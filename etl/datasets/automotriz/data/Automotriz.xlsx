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g\OneDrive\Escritorio\Archivos\Consultora Ledesma\bco de datos reales\"/>
    </mc:Choice>
  </mc:AlternateContent>
  <xr:revisionPtr revIDLastSave="0" documentId="13_ncr:1_{59ADBDEE-5997-4572-926D-E9070C5D3FA3}" xr6:coauthVersionLast="47" xr6:coauthVersionMax="47" xr10:uidLastSave="{00000000-0000-0000-0000-000000000000}"/>
  <bookViews>
    <workbookView xWindow="-120" yWindow="-120" windowWidth="29040" windowHeight="15840" activeTab="3" xr2:uid="{179C3C9E-473E-4E05-9886-86015AA2D13F}"/>
  </bookViews>
  <sheets>
    <sheet name="Gráfico1 (3)" sheetId="9" r:id="rId1"/>
    <sheet name="Gráfico1 (2)" sheetId="4" r:id="rId2"/>
    <sheet name="Gráfico1" sheetId="2" r:id="rId3"/>
    <sheet name="Hoja1" sheetId="1" r:id="rId4"/>
    <sheet name="Hoja12" sheetId="15" r:id="rId5"/>
    <sheet name="Hoja11" sheetId="14" r:id="rId6"/>
    <sheet name="Hoja10" sheetId="13" r:id="rId7"/>
    <sheet name="Hoja9" sheetId="12" r:id="rId8"/>
    <sheet name="Hoja8" sheetId="11" r:id="rId9"/>
    <sheet name="Hoja6" sheetId="8" r:id="rId10"/>
    <sheet name="Hoja5" sheetId="7" r:id="rId11"/>
    <sheet name="Hoja4" sheetId="6" r:id="rId12"/>
    <sheet name="Hoja3" sheetId="5" r:id="rId13"/>
    <sheet name="Hoja2" sheetId="3" r:id="rId14"/>
    <sheet name="Hoja7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88" i="1" l="1"/>
  <c r="C389" i="1"/>
  <c r="I388" i="1"/>
  <c r="F388" i="1"/>
  <c r="K388" i="1" s="1"/>
  <c r="E388" i="1"/>
  <c r="I387" i="1"/>
  <c r="D522" i="1"/>
  <c r="D523" i="1"/>
  <c r="E523" i="1"/>
  <c r="D524" i="1"/>
  <c r="D525" i="1"/>
  <c r="D526" i="1"/>
  <c r="C522" i="1"/>
  <c r="C523" i="1"/>
  <c r="C524" i="1"/>
  <c r="E524" i="1" s="1"/>
  <c r="C525" i="1"/>
  <c r="E525" i="1" s="1"/>
  <c r="C526" i="1"/>
  <c r="E526" i="1" s="1"/>
  <c r="B526" i="1"/>
  <c r="B524" i="1"/>
  <c r="B525" i="1"/>
  <c r="B523" i="1"/>
  <c r="B522" i="1"/>
  <c r="J387" i="1"/>
  <c r="F387" i="1"/>
  <c r="J385" i="1"/>
  <c r="J386" i="1"/>
  <c r="E387" i="1"/>
  <c r="I386" i="1"/>
  <c r="E386" i="1"/>
  <c r="F386" i="1"/>
  <c r="I385" i="1"/>
  <c r="F385" i="1"/>
  <c r="E385" i="1"/>
  <c r="J372" i="1"/>
  <c r="J384" i="1"/>
  <c r="E384" i="1"/>
  <c r="F384" i="1"/>
  <c r="L388" i="1" l="1"/>
  <c r="K386" i="1"/>
  <c r="L387" i="1"/>
  <c r="L386" i="1"/>
  <c r="K387" i="1"/>
  <c r="K385" i="1"/>
  <c r="L385" i="1"/>
  <c r="J383" i="1"/>
  <c r="E383" i="1"/>
  <c r="F383" i="1"/>
  <c r="J382" i="1"/>
  <c r="F382" i="1"/>
  <c r="K383" i="1" l="1"/>
  <c r="K384" i="1"/>
  <c r="L384" i="1"/>
  <c r="L383" i="1"/>
  <c r="E382" i="1"/>
  <c r="F380" i="1"/>
  <c r="F381" i="1"/>
  <c r="L382" i="1" s="1"/>
  <c r="J381" i="1"/>
  <c r="J380" i="1"/>
  <c r="E381" i="1"/>
  <c r="E380" i="1"/>
  <c r="E379" i="1"/>
  <c r="J379" i="1"/>
  <c r="F379" i="1"/>
  <c r="E375" i="1"/>
  <c r="K382" i="1" l="1"/>
  <c r="K380" i="1"/>
  <c r="K381" i="1"/>
  <c r="L381" i="1"/>
  <c r="L380" i="1"/>
  <c r="F378" i="1"/>
  <c r="K379" i="1" s="1"/>
  <c r="J378" i="1"/>
  <c r="L379" i="1" l="1"/>
  <c r="E378" i="1"/>
  <c r="J377" i="1"/>
  <c r="E377" i="1"/>
  <c r="F377" i="1"/>
  <c r="J376" i="1"/>
  <c r="F376" i="1"/>
  <c r="E376" i="1"/>
  <c r="J375" i="1"/>
  <c r="F375" i="1"/>
  <c r="F374" i="1"/>
  <c r="J374" i="1"/>
  <c r="E374" i="1"/>
  <c r="J373" i="1"/>
  <c r="F373" i="1"/>
  <c r="E373" i="1"/>
  <c r="D474" i="1"/>
  <c r="B399" i="1"/>
  <c r="C399" i="1"/>
  <c r="B400" i="1"/>
  <c r="C400" i="1"/>
  <c r="B401" i="1"/>
  <c r="C401" i="1"/>
  <c r="B402" i="1"/>
  <c r="C402" i="1"/>
  <c r="B403" i="1"/>
  <c r="D403" i="1" s="1"/>
  <c r="C403" i="1"/>
  <c r="B404" i="1"/>
  <c r="D404" i="1" s="1"/>
  <c r="C404" i="1"/>
  <c r="B405" i="1"/>
  <c r="D405" i="1" s="1"/>
  <c r="C405" i="1"/>
  <c r="B406" i="1"/>
  <c r="D406" i="1" s="1"/>
  <c r="C406" i="1"/>
  <c r="B407" i="1"/>
  <c r="D407" i="1" s="1"/>
  <c r="C407" i="1"/>
  <c r="B408" i="1"/>
  <c r="D408" i="1" s="1"/>
  <c r="C408" i="1"/>
  <c r="B409" i="1"/>
  <c r="D409" i="1" s="1"/>
  <c r="C409" i="1"/>
  <c r="B410" i="1"/>
  <c r="D410" i="1" s="1"/>
  <c r="C410" i="1"/>
  <c r="B411" i="1"/>
  <c r="D411" i="1" s="1"/>
  <c r="C411" i="1"/>
  <c r="B412" i="1"/>
  <c r="C412" i="1"/>
  <c r="B413" i="1"/>
  <c r="D413" i="1" s="1"/>
  <c r="C413" i="1"/>
  <c r="B414" i="1"/>
  <c r="D414" i="1" s="1"/>
  <c r="C414" i="1"/>
  <c r="B415" i="1"/>
  <c r="D415" i="1" s="1"/>
  <c r="C415" i="1"/>
  <c r="B416" i="1"/>
  <c r="D416" i="1" s="1"/>
  <c r="C416" i="1"/>
  <c r="B417" i="1"/>
  <c r="D417" i="1" s="1"/>
  <c r="C417" i="1"/>
  <c r="B418" i="1"/>
  <c r="D418" i="1" s="1"/>
  <c r="C418" i="1"/>
  <c r="B419" i="1"/>
  <c r="D419" i="1" s="1"/>
  <c r="C419" i="1"/>
  <c r="B420" i="1"/>
  <c r="D420" i="1" s="1"/>
  <c r="C420" i="1"/>
  <c r="B421" i="1"/>
  <c r="D421" i="1" s="1"/>
  <c r="C421" i="1"/>
  <c r="B422" i="1"/>
  <c r="D422" i="1" s="1"/>
  <c r="C422" i="1"/>
  <c r="B423" i="1"/>
  <c r="D423" i="1" s="1"/>
  <c r="C423" i="1"/>
  <c r="B424" i="1"/>
  <c r="D424" i="1" s="1"/>
  <c r="C424" i="1"/>
  <c r="B425" i="1"/>
  <c r="D425" i="1" s="1"/>
  <c r="C425" i="1"/>
  <c r="B426" i="1"/>
  <c r="D426" i="1" s="1"/>
  <c r="C426" i="1"/>
  <c r="B427" i="1"/>
  <c r="D427" i="1" s="1"/>
  <c r="C427" i="1"/>
  <c r="B428" i="1"/>
  <c r="D428" i="1" s="1"/>
  <c r="C428" i="1"/>
  <c r="B429" i="1"/>
  <c r="D429" i="1" s="1"/>
  <c r="C429" i="1"/>
  <c r="B430" i="1"/>
  <c r="D430" i="1" s="1"/>
  <c r="C430" i="1"/>
  <c r="B431" i="1"/>
  <c r="D431" i="1" s="1"/>
  <c r="C431" i="1"/>
  <c r="B432" i="1"/>
  <c r="D432" i="1" s="1"/>
  <c r="C432" i="1"/>
  <c r="B433" i="1"/>
  <c r="D433" i="1" s="1"/>
  <c r="C433" i="1"/>
  <c r="B434" i="1"/>
  <c r="D434" i="1" s="1"/>
  <c r="C434" i="1"/>
  <c r="B435" i="1"/>
  <c r="D435" i="1" s="1"/>
  <c r="C435" i="1"/>
  <c r="B436" i="1"/>
  <c r="C436" i="1"/>
  <c r="B437" i="1"/>
  <c r="D437" i="1" s="1"/>
  <c r="C437" i="1"/>
  <c r="B438" i="1"/>
  <c r="D438" i="1" s="1"/>
  <c r="C438" i="1"/>
  <c r="B439" i="1"/>
  <c r="C439" i="1"/>
  <c r="B440" i="1"/>
  <c r="D440" i="1" s="1"/>
  <c r="C440" i="1"/>
  <c r="B441" i="1"/>
  <c r="D441" i="1" s="1"/>
  <c r="C441" i="1"/>
  <c r="B442" i="1"/>
  <c r="D442" i="1" s="1"/>
  <c r="C442" i="1"/>
  <c r="B443" i="1"/>
  <c r="D443" i="1" s="1"/>
  <c r="C443" i="1"/>
  <c r="B444" i="1"/>
  <c r="D444" i="1" s="1"/>
  <c r="C444" i="1"/>
  <c r="B445" i="1"/>
  <c r="D445" i="1" s="1"/>
  <c r="C445" i="1"/>
  <c r="B446" i="1"/>
  <c r="D446" i="1" s="1"/>
  <c r="C446" i="1"/>
  <c r="B447" i="1"/>
  <c r="D447" i="1" s="1"/>
  <c r="C447" i="1"/>
  <c r="B448" i="1"/>
  <c r="D448" i="1" s="1"/>
  <c r="C448" i="1"/>
  <c r="B449" i="1"/>
  <c r="D449" i="1" s="1"/>
  <c r="C449" i="1"/>
  <c r="B450" i="1"/>
  <c r="D450" i="1" s="1"/>
  <c r="C450" i="1"/>
  <c r="B451" i="1"/>
  <c r="D451" i="1" s="1"/>
  <c r="C451" i="1"/>
  <c r="B452" i="1"/>
  <c r="D452" i="1" s="1"/>
  <c r="C452" i="1"/>
  <c r="B453" i="1"/>
  <c r="D453" i="1" s="1"/>
  <c r="C453" i="1"/>
  <c r="B454" i="1"/>
  <c r="D454" i="1" s="1"/>
  <c r="C454" i="1"/>
  <c r="B455" i="1"/>
  <c r="D455" i="1" s="1"/>
  <c r="C455" i="1"/>
  <c r="B456" i="1"/>
  <c r="D456" i="1" s="1"/>
  <c r="C456" i="1"/>
  <c r="B457" i="1"/>
  <c r="D457" i="1" s="1"/>
  <c r="C457" i="1"/>
  <c r="B458" i="1"/>
  <c r="D458" i="1" s="1"/>
  <c r="C458" i="1"/>
  <c r="B459" i="1"/>
  <c r="D459" i="1" s="1"/>
  <c r="C459" i="1"/>
  <c r="B460" i="1"/>
  <c r="D460" i="1" s="1"/>
  <c r="C460" i="1"/>
  <c r="B461" i="1"/>
  <c r="D461" i="1" s="1"/>
  <c r="C461" i="1"/>
  <c r="B462" i="1"/>
  <c r="D462" i="1" s="1"/>
  <c r="C462" i="1"/>
  <c r="B463" i="1"/>
  <c r="D463" i="1" s="1"/>
  <c r="C463" i="1"/>
  <c r="B464" i="1"/>
  <c r="D464" i="1" s="1"/>
  <c r="C464" i="1"/>
  <c r="B465" i="1"/>
  <c r="D465" i="1" s="1"/>
  <c r="C465" i="1"/>
  <c r="B466" i="1"/>
  <c r="D466" i="1" s="1"/>
  <c r="C466" i="1"/>
  <c r="B467" i="1"/>
  <c r="D467" i="1" s="1"/>
  <c r="C467" i="1"/>
  <c r="B468" i="1"/>
  <c r="D468" i="1" s="1"/>
  <c r="C468" i="1"/>
  <c r="B469" i="1"/>
  <c r="C469" i="1"/>
  <c r="B470" i="1"/>
  <c r="D470" i="1" s="1"/>
  <c r="C470" i="1"/>
  <c r="B471" i="1"/>
  <c r="D471" i="1" s="1"/>
  <c r="C471" i="1"/>
  <c r="B472" i="1"/>
  <c r="D472" i="1" s="1"/>
  <c r="C472" i="1"/>
  <c r="B473" i="1"/>
  <c r="D473" i="1" s="1"/>
  <c r="C473" i="1"/>
  <c r="B474" i="1"/>
  <c r="C474" i="1"/>
  <c r="B475" i="1"/>
  <c r="D475" i="1" s="1"/>
  <c r="C475" i="1"/>
  <c r="B476" i="1"/>
  <c r="D476" i="1" s="1"/>
  <c r="C476" i="1"/>
  <c r="B477" i="1"/>
  <c r="D477" i="1" s="1"/>
  <c r="C477" i="1"/>
  <c r="B478" i="1"/>
  <c r="D478" i="1" s="1"/>
  <c r="C478" i="1"/>
  <c r="B479" i="1"/>
  <c r="D479" i="1" s="1"/>
  <c r="C479" i="1"/>
  <c r="B480" i="1"/>
  <c r="C480" i="1"/>
  <c r="B481" i="1"/>
  <c r="D481" i="1" s="1"/>
  <c r="C481" i="1"/>
  <c r="B482" i="1"/>
  <c r="D482" i="1" s="1"/>
  <c r="C482" i="1"/>
  <c r="B483" i="1"/>
  <c r="D483" i="1" s="1"/>
  <c r="C483" i="1"/>
  <c r="B484" i="1"/>
  <c r="D484" i="1" s="1"/>
  <c r="C484" i="1"/>
  <c r="B485" i="1"/>
  <c r="D485" i="1" s="1"/>
  <c r="C485" i="1"/>
  <c r="B486" i="1"/>
  <c r="D486" i="1" s="1"/>
  <c r="C486" i="1"/>
  <c r="B487" i="1"/>
  <c r="D487" i="1" s="1"/>
  <c r="C487" i="1"/>
  <c r="B488" i="1"/>
  <c r="D488" i="1" s="1"/>
  <c r="C488" i="1"/>
  <c r="B489" i="1"/>
  <c r="C489" i="1"/>
  <c r="B490" i="1"/>
  <c r="D490" i="1" s="1"/>
  <c r="C490" i="1"/>
  <c r="B491" i="1"/>
  <c r="D491" i="1" s="1"/>
  <c r="C491" i="1"/>
  <c r="B492" i="1"/>
  <c r="D492" i="1" s="1"/>
  <c r="C492" i="1"/>
  <c r="B493" i="1"/>
  <c r="D493" i="1" s="1"/>
  <c r="C493" i="1"/>
  <c r="B494" i="1"/>
  <c r="D494" i="1" s="1"/>
  <c r="C494" i="1"/>
  <c r="B495" i="1"/>
  <c r="D495" i="1" s="1"/>
  <c r="C495" i="1"/>
  <c r="B496" i="1"/>
  <c r="D496" i="1" s="1"/>
  <c r="C496" i="1"/>
  <c r="B497" i="1"/>
  <c r="D497" i="1" s="1"/>
  <c r="C497" i="1"/>
  <c r="B498" i="1"/>
  <c r="D498" i="1" s="1"/>
  <c r="C498" i="1"/>
  <c r="B499" i="1"/>
  <c r="D499" i="1" s="1"/>
  <c r="C499" i="1"/>
  <c r="B500" i="1"/>
  <c r="D500" i="1" s="1"/>
  <c r="C500" i="1"/>
  <c r="B501" i="1"/>
  <c r="C501" i="1"/>
  <c r="B502" i="1"/>
  <c r="D502" i="1" s="1"/>
  <c r="C502" i="1"/>
  <c r="B503" i="1"/>
  <c r="D503" i="1" s="1"/>
  <c r="C503" i="1"/>
  <c r="B504" i="1"/>
  <c r="D504" i="1" s="1"/>
  <c r="C504" i="1"/>
  <c r="B505" i="1"/>
  <c r="D505" i="1" s="1"/>
  <c r="C505" i="1"/>
  <c r="B506" i="1"/>
  <c r="D506" i="1" s="1"/>
  <c r="C506" i="1"/>
  <c r="B507" i="1"/>
  <c r="D507" i="1" s="1"/>
  <c r="C507" i="1"/>
  <c r="B508" i="1"/>
  <c r="D508" i="1" s="1"/>
  <c r="C508" i="1"/>
  <c r="B509" i="1"/>
  <c r="D509" i="1" s="1"/>
  <c r="C509" i="1"/>
  <c r="B510" i="1"/>
  <c r="D510" i="1" s="1"/>
  <c r="C510" i="1"/>
  <c r="B511" i="1"/>
  <c r="D511" i="1" s="1"/>
  <c r="C511" i="1"/>
  <c r="B512" i="1"/>
  <c r="D512" i="1" s="1"/>
  <c r="C512" i="1"/>
  <c r="B513" i="1"/>
  <c r="C513" i="1"/>
  <c r="B514" i="1"/>
  <c r="D514" i="1" s="1"/>
  <c r="C514" i="1"/>
  <c r="B515" i="1"/>
  <c r="D515" i="1" s="1"/>
  <c r="C515" i="1"/>
  <c r="B516" i="1"/>
  <c r="D516" i="1" s="1"/>
  <c r="C516" i="1"/>
  <c r="B517" i="1"/>
  <c r="D517" i="1" s="1"/>
  <c r="C517" i="1"/>
  <c r="B518" i="1"/>
  <c r="D518" i="1" s="1"/>
  <c r="C518" i="1"/>
  <c r="B519" i="1"/>
  <c r="D519" i="1" s="1"/>
  <c r="C519" i="1"/>
  <c r="B520" i="1"/>
  <c r="D520" i="1" s="1"/>
  <c r="C520" i="1"/>
  <c r="B521" i="1"/>
  <c r="D521" i="1" s="1"/>
  <c r="C521" i="1"/>
  <c r="E522" i="1" s="1"/>
  <c r="C398" i="1"/>
  <c r="B398" i="1"/>
  <c r="D402" i="1" s="1"/>
  <c r="F372" i="1"/>
  <c r="E372" i="1"/>
  <c r="I384" i="1" s="1"/>
  <c r="J371" i="1"/>
  <c r="F371" i="1"/>
  <c r="E371" i="1"/>
  <c r="I383" i="1" s="1"/>
  <c r="J370" i="1"/>
  <c r="F370" i="1"/>
  <c r="E370" i="1"/>
  <c r="I382" i="1" s="1"/>
  <c r="J369" i="1"/>
  <c r="F369" i="1"/>
  <c r="E369" i="1"/>
  <c r="I381" i="1" s="1"/>
  <c r="D480" i="1" l="1"/>
  <c r="D436" i="1"/>
  <c r="D412" i="1"/>
  <c r="D469" i="1"/>
  <c r="D513" i="1"/>
  <c r="K377" i="1"/>
  <c r="L378" i="1"/>
  <c r="K378" i="1"/>
  <c r="D501" i="1"/>
  <c r="D489" i="1"/>
  <c r="D439" i="1"/>
  <c r="K375" i="1"/>
  <c r="L377" i="1"/>
  <c r="K376" i="1"/>
  <c r="E411" i="1"/>
  <c r="L376" i="1"/>
  <c r="E419" i="1"/>
  <c r="L375" i="1"/>
  <c r="E521" i="1"/>
  <c r="E519" i="1"/>
  <c r="E447" i="1"/>
  <c r="E415" i="1"/>
  <c r="E511" i="1"/>
  <c r="E431" i="1"/>
  <c r="E407" i="1"/>
  <c r="E403" i="1"/>
  <c r="E517" i="1"/>
  <c r="E513" i="1"/>
  <c r="E509" i="1"/>
  <c r="L374" i="1"/>
  <c r="E518" i="1"/>
  <c r="E514" i="1"/>
  <c r="E510" i="1"/>
  <c r="E512" i="1"/>
  <c r="E504" i="1"/>
  <c r="E492" i="1"/>
  <c r="E484" i="1"/>
  <c r="E480" i="1"/>
  <c r="E476" i="1"/>
  <c r="E472" i="1"/>
  <c r="E464" i="1"/>
  <c r="E456" i="1"/>
  <c r="E404" i="1"/>
  <c r="E520" i="1"/>
  <c r="E516" i="1"/>
  <c r="E508" i="1"/>
  <c r="E500" i="1"/>
  <c r="E488" i="1"/>
  <c r="E497" i="1"/>
  <c r="E468" i="1"/>
  <c r="E460" i="1"/>
  <c r="E452" i="1"/>
  <c r="E448" i="1"/>
  <c r="E440" i="1"/>
  <c r="E436" i="1"/>
  <c r="E428" i="1"/>
  <c r="E424" i="1"/>
  <c r="K373" i="1"/>
  <c r="E444" i="1"/>
  <c r="E432" i="1"/>
  <c r="E420" i="1"/>
  <c r="E515" i="1"/>
  <c r="E479" i="1"/>
  <c r="E463" i="1"/>
  <c r="E474" i="1"/>
  <c r="E466" i="1"/>
  <c r="E458" i="1"/>
  <c r="E450" i="1"/>
  <c r="E446" i="1"/>
  <c r="E438" i="1"/>
  <c r="E434" i="1"/>
  <c r="E426" i="1"/>
  <c r="E422" i="1"/>
  <c r="E418" i="1"/>
  <c r="E414" i="1"/>
  <c r="E410" i="1"/>
  <c r="E406" i="1"/>
  <c r="E402" i="1"/>
  <c r="E482" i="1"/>
  <c r="E470" i="1"/>
  <c r="E462" i="1"/>
  <c r="E442" i="1"/>
  <c r="E430" i="1"/>
  <c r="K374" i="1"/>
  <c r="E416" i="1"/>
  <c r="E412" i="1"/>
  <c r="E408" i="1"/>
  <c r="L373" i="1"/>
  <c r="E483" i="1"/>
  <c r="E506" i="1"/>
  <c r="E498" i="1"/>
  <c r="E490" i="1"/>
  <c r="E486" i="1"/>
  <c r="E478" i="1"/>
  <c r="E454" i="1"/>
  <c r="E502" i="1"/>
  <c r="E494" i="1"/>
  <c r="E499" i="1"/>
  <c r="E491" i="1"/>
  <c r="E471" i="1"/>
  <c r="E459" i="1"/>
  <c r="E451" i="1"/>
  <c r="E439" i="1"/>
  <c r="E423" i="1"/>
  <c r="E503" i="1"/>
  <c r="E495" i="1"/>
  <c r="E487" i="1"/>
  <c r="E475" i="1"/>
  <c r="E467" i="1"/>
  <c r="E455" i="1"/>
  <c r="E443" i="1"/>
  <c r="E435" i="1"/>
  <c r="E427" i="1"/>
  <c r="E505" i="1"/>
  <c r="E489" i="1"/>
  <c r="E481" i="1"/>
  <c r="E477" i="1"/>
  <c r="E465" i="1"/>
  <c r="E457" i="1"/>
  <c r="E445" i="1"/>
  <c r="E433" i="1"/>
  <c r="E425" i="1"/>
  <c r="E417" i="1"/>
  <c r="E409" i="1"/>
  <c r="E493" i="1"/>
  <c r="E485" i="1"/>
  <c r="E473" i="1"/>
  <c r="E461" i="1"/>
  <c r="E449" i="1"/>
  <c r="E441" i="1"/>
  <c r="E429" i="1"/>
  <c r="E413" i="1"/>
  <c r="E405" i="1"/>
  <c r="E496" i="1"/>
  <c r="E469" i="1"/>
  <c r="E453" i="1"/>
  <c r="E501" i="1"/>
  <c r="K372" i="1"/>
  <c r="E437" i="1"/>
  <c r="E421" i="1"/>
  <c r="E507" i="1"/>
  <c r="L371" i="1"/>
  <c r="K370" i="1"/>
  <c r="L372" i="1"/>
  <c r="K371" i="1"/>
  <c r="L370" i="1"/>
  <c r="J368" i="1"/>
  <c r="F368" i="1"/>
  <c r="E368" i="1"/>
  <c r="I380" i="1" s="1"/>
  <c r="J367" i="1"/>
  <c r="F367" i="1"/>
  <c r="E367" i="1"/>
  <c r="I379" i="1" s="1"/>
  <c r="F366" i="1"/>
  <c r="J366" i="1"/>
  <c r="E366" i="1"/>
  <c r="I378" i="1" s="1"/>
  <c r="J365" i="1"/>
  <c r="E365" i="1"/>
  <c r="I377" i="1" s="1"/>
  <c r="F365" i="1"/>
  <c r="L368" i="1" l="1"/>
  <c r="L369" i="1"/>
  <c r="K369" i="1"/>
  <c r="K368" i="1"/>
  <c r="L367" i="1"/>
  <c r="K366" i="1"/>
  <c r="K367" i="1"/>
  <c r="L366" i="1"/>
  <c r="J364" i="1"/>
  <c r="F364" i="1"/>
  <c r="K365" i="1" s="1"/>
  <c r="J363" i="1"/>
  <c r="E364" i="1"/>
  <c r="I376" i="1" s="1"/>
  <c r="F363" i="1"/>
  <c r="E363" i="1"/>
  <c r="I375" i="1" s="1"/>
  <c r="F362" i="1"/>
  <c r="J362" i="1"/>
  <c r="E362" i="1"/>
  <c r="I374" i="1" s="1"/>
  <c r="F361" i="1"/>
  <c r="J361" i="1"/>
  <c r="E361" i="1"/>
  <c r="I373" i="1" s="1"/>
  <c r="J360" i="1"/>
  <c r="F360" i="1"/>
  <c r="E360" i="1"/>
  <c r="I372" i="1" s="1"/>
  <c r="J359" i="1"/>
  <c r="E359" i="1"/>
  <c r="I371" i="1" s="1"/>
  <c r="F359" i="1"/>
  <c r="J349" i="1"/>
  <c r="J350" i="1"/>
  <c r="J351" i="1"/>
  <c r="J352" i="1"/>
  <c r="J353" i="1"/>
  <c r="J354" i="1"/>
  <c r="J355" i="1"/>
  <c r="J356" i="1"/>
  <c r="J357" i="1"/>
  <c r="J358" i="1"/>
  <c r="E354" i="1"/>
  <c r="I366" i="1" s="1"/>
  <c r="F354" i="1"/>
  <c r="E355" i="1"/>
  <c r="I367" i="1" s="1"/>
  <c r="F355" i="1"/>
  <c r="E356" i="1"/>
  <c r="I368" i="1" s="1"/>
  <c r="F356" i="1"/>
  <c r="E357" i="1"/>
  <c r="I369" i="1" s="1"/>
  <c r="F357" i="1"/>
  <c r="E358" i="1"/>
  <c r="I370" i="1" s="1"/>
  <c r="F358" i="1"/>
  <c r="K363" i="1" l="1"/>
  <c r="L365" i="1"/>
  <c r="L363" i="1"/>
  <c r="K364" i="1"/>
  <c r="K362" i="1"/>
  <c r="L364" i="1"/>
  <c r="L362" i="1"/>
  <c r="K359" i="1"/>
  <c r="K360" i="1"/>
  <c r="L360" i="1"/>
  <c r="L358" i="1"/>
  <c r="K361" i="1"/>
  <c r="L361" i="1"/>
  <c r="L355" i="1"/>
  <c r="L357" i="1"/>
  <c r="K358" i="1"/>
  <c r="L359" i="1"/>
  <c r="K356" i="1"/>
  <c r="K355" i="1"/>
  <c r="L356" i="1"/>
  <c r="K357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L354" i="1" s="1"/>
  <c r="E344" i="1"/>
  <c r="I356" i="1" s="1"/>
  <c r="E345" i="1"/>
  <c r="I357" i="1" s="1"/>
  <c r="E346" i="1"/>
  <c r="E347" i="1"/>
  <c r="E348" i="1"/>
  <c r="E349" i="1"/>
  <c r="E350" i="1"/>
  <c r="I362" i="1" s="1"/>
  <c r="E351" i="1"/>
  <c r="E352" i="1"/>
  <c r="E353" i="1"/>
  <c r="I365" i="1" s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I360" i="1" l="1"/>
  <c r="I359" i="1"/>
  <c r="I364" i="1"/>
  <c r="I363" i="1"/>
  <c r="I358" i="1"/>
  <c r="I361" i="1"/>
  <c r="K349" i="1"/>
  <c r="K343" i="1"/>
  <c r="L350" i="1"/>
  <c r="K351" i="1"/>
  <c r="L349" i="1"/>
  <c r="K345" i="1"/>
  <c r="K337" i="1"/>
  <c r="L339" i="1"/>
  <c r="K335" i="1"/>
  <c r="L345" i="1"/>
  <c r="K353" i="1"/>
  <c r="L353" i="1"/>
  <c r="L337" i="1"/>
  <c r="L346" i="1"/>
  <c r="K338" i="1"/>
  <c r="K354" i="1"/>
  <c r="L352" i="1"/>
  <c r="K352" i="1"/>
  <c r="L344" i="1"/>
  <c r="L336" i="1"/>
  <c r="K342" i="1"/>
  <c r="K344" i="1"/>
  <c r="L341" i="1"/>
  <c r="K336" i="1"/>
  <c r="L351" i="1"/>
  <c r="K341" i="1"/>
  <c r="L348" i="1"/>
  <c r="K340" i="1"/>
  <c r="L343" i="1"/>
  <c r="L335" i="1"/>
  <c r="K348" i="1"/>
  <c r="K346" i="1"/>
  <c r="K350" i="1"/>
  <c r="K347" i="1"/>
  <c r="L342" i="1"/>
  <c r="L340" i="1"/>
  <c r="L338" i="1"/>
  <c r="L347" i="1"/>
  <c r="K339" i="1"/>
  <c r="E343" i="1"/>
  <c r="E342" i="1"/>
  <c r="E341" i="1"/>
  <c r="I353" i="1" s="1"/>
  <c r="E340" i="1"/>
  <c r="I352" i="1" s="1"/>
  <c r="E339" i="1"/>
  <c r="E338" i="1"/>
  <c r="I350" i="1" s="1"/>
  <c r="E337" i="1"/>
  <c r="E336" i="1"/>
  <c r="E335" i="1"/>
  <c r="E334" i="1"/>
  <c r="I346" i="1" s="1"/>
  <c r="F333" i="1"/>
  <c r="J333" i="1"/>
  <c r="E333" i="1"/>
  <c r="I345" i="1" s="1"/>
  <c r="F332" i="1"/>
  <c r="J332" i="1"/>
  <c r="E332" i="1"/>
  <c r="I344" i="1" s="1"/>
  <c r="J331" i="1"/>
  <c r="F331" i="1"/>
  <c r="E331" i="1"/>
  <c r="J330" i="1"/>
  <c r="F330" i="1"/>
  <c r="I355" i="1" l="1"/>
  <c r="I343" i="1"/>
  <c r="I347" i="1"/>
  <c r="I351" i="1"/>
  <c r="I348" i="1"/>
  <c r="I354" i="1"/>
  <c r="I341" i="1"/>
  <c r="I349" i="1"/>
  <c r="K333" i="1"/>
  <c r="K334" i="1"/>
  <c r="L334" i="1"/>
  <c r="K331" i="1"/>
  <c r="L333" i="1"/>
  <c r="K332" i="1"/>
  <c r="L332" i="1"/>
  <c r="L331" i="1"/>
  <c r="E330" i="1"/>
  <c r="I342" i="1" s="1"/>
  <c r="J329" i="1"/>
  <c r="E329" i="1"/>
  <c r="F329" i="1"/>
  <c r="J328" i="1"/>
  <c r="F328" i="1"/>
  <c r="L329" i="1" l="1"/>
  <c r="K330" i="1"/>
  <c r="L330" i="1"/>
  <c r="K329" i="1"/>
  <c r="E328" i="1"/>
  <c r="I340" i="1" s="1"/>
  <c r="F327" i="1"/>
  <c r="J327" i="1"/>
  <c r="E327" i="1"/>
  <c r="I339" i="1" s="1"/>
  <c r="J324" i="1"/>
  <c r="J325" i="1"/>
  <c r="J326" i="1"/>
  <c r="K328" i="1" l="1"/>
  <c r="L328" i="1"/>
  <c r="E324" i="1"/>
  <c r="I336" i="1" s="1"/>
  <c r="F324" i="1"/>
  <c r="E325" i="1"/>
  <c r="I337" i="1" s="1"/>
  <c r="F325" i="1"/>
  <c r="E326" i="1"/>
  <c r="I338" i="1" s="1"/>
  <c r="F326" i="1"/>
  <c r="J323" i="1"/>
  <c r="E323" i="1"/>
  <c r="I335" i="1" s="1"/>
  <c r="F323" i="1"/>
  <c r="K327" i="1" l="1"/>
  <c r="L327" i="1"/>
  <c r="K326" i="1"/>
  <c r="L326" i="1"/>
  <c r="K325" i="1"/>
  <c r="L325" i="1"/>
  <c r="K324" i="1"/>
  <c r="L324" i="1"/>
  <c r="E321" i="1"/>
  <c r="I333" i="1" s="1"/>
  <c r="F321" i="1"/>
  <c r="E322" i="1"/>
  <c r="I334" i="1" s="1"/>
  <c r="F322" i="1"/>
  <c r="L323" i="1" s="1"/>
  <c r="J322" i="1"/>
  <c r="J321" i="1"/>
  <c r="K323" i="1" l="1"/>
  <c r="K322" i="1"/>
  <c r="L322" i="1"/>
  <c r="J314" i="1"/>
  <c r="J315" i="1"/>
  <c r="J316" i="1"/>
  <c r="J317" i="1"/>
  <c r="J318" i="1"/>
  <c r="J319" i="1"/>
  <c r="J320" i="1"/>
  <c r="F320" i="1"/>
  <c r="K321" i="1" s="1"/>
  <c r="E320" i="1"/>
  <c r="I332" i="1" s="1"/>
  <c r="L321" i="1" l="1"/>
  <c r="F316" i="1"/>
  <c r="F314" i="1"/>
  <c r="F315" i="1"/>
  <c r="F317" i="1"/>
  <c r="F318" i="1"/>
  <c r="F319" i="1"/>
  <c r="K320" i="1" s="1"/>
  <c r="E319" i="1"/>
  <c r="I331" i="1" s="1"/>
  <c r="E318" i="1"/>
  <c r="I330" i="1" s="1"/>
  <c r="E317" i="1"/>
  <c r="I329" i="1" s="1"/>
  <c r="E316" i="1"/>
  <c r="I328" i="1" s="1"/>
  <c r="E315" i="1"/>
  <c r="I327" i="1" s="1"/>
  <c r="E314" i="1"/>
  <c r="K316" i="1" l="1"/>
  <c r="I326" i="1"/>
  <c r="K318" i="1"/>
  <c r="L318" i="1"/>
  <c r="L315" i="1"/>
  <c r="K315" i="1"/>
  <c r="L319" i="1"/>
  <c r="K319" i="1"/>
  <c r="L320" i="1"/>
  <c r="L316" i="1"/>
  <c r="J313" i="1"/>
  <c r="F313" i="1" l="1"/>
  <c r="E313" i="1"/>
  <c r="E308" i="1"/>
  <c r="F308" i="1"/>
  <c r="G308" i="1"/>
  <c r="E309" i="1"/>
  <c r="I321" i="1" s="1"/>
  <c r="F309" i="1"/>
  <c r="G309" i="1"/>
  <c r="E310" i="1"/>
  <c r="F310" i="1"/>
  <c r="G310" i="1"/>
  <c r="E311" i="1"/>
  <c r="I323" i="1" s="1"/>
  <c r="F311" i="1"/>
  <c r="G311" i="1"/>
  <c r="E312" i="1"/>
  <c r="F312" i="1"/>
  <c r="G312" i="1"/>
  <c r="G313" i="1"/>
  <c r="J308" i="1"/>
  <c r="J309" i="1"/>
  <c r="J310" i="1"/>
  <c r="J311" i="1"/>
  <c r="J312" i="1"/>
  <c r="K312" i="1" l="1"/>
  <c r="I325" i="1"/>
  <c r="I324" i="1"/>
  <c r="I320" i="1"/>
  <c r="I322" i="1"/>
  <c r="L313" i="1"/>
  <c r="L314" i="1"/>
  <c r="K314" i="1"/>
  <c r="K311" i="1"/>
  <c r="K309" i="1"/>
  <c r="K310" i="1"/>
  <c r="K313" i="1"/>
  <c r="F307" i="1"/>
  <c r="K308" i="1" s="1"/>
  <c r="J306" i="1"/>
  <c r="J307" i="1"/>
  <c r="F306" i="1"/>
  <c r="G306" i="1"/>
  <c r="G307" i="1"/>
  <c r="K307" i="1" l="1"/>
  <c r="E307" i="1"/>
  <c r="I319" i="1" s="1"/>
  <c r="E306" i="1"/>
  <c r="I318" i="1" s="1"/>
  <c r="G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J301" i="1"/>
  <c r="J302" i="1"/>
  <c r="J303" i="1"/>
  <c r="J304" i="1"/>
  <c r="J305" i="1"/>
  <c r="E303" i="1"/>
  <c r="I315" i="1" s="1"/>
  <c r="F303" i="1"/>
  <c r="E304" i="1"/>
  <c r="I316" i="1" s="1"/>
  <c r="F304" i="1"/>
  <c r="E305" i="1"/>
  <c r="I317" i="1" s="1"/>
  <c r="F305" i="1"/>
  <c r="K305" i="1" l="1"/>
  <c r="K306" i="1"/>
  <c r="K304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F302" i="1" l="1"/>
  <c r="E302" i="1"/>
  <c r="I314" i="1" s="1"/>
  <c r="K303" i="1" l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I14" i="1" s="1"/>
  <c r="F14" i="1"/>
  <c r="E15" i="1"/>
  <c r="F15" i="1"/>
  <c r="E16" i="1"/>
  <c r="I16" i="1" s="1"/>
  <c r="F16" i="1"/>
  <c r="E17" i="1"/>
  <c r="I17" i="1" s="1"/>
  <c r="F17" i="1"/>
  <c r="E18" i="1"/>
  <c r="I18" i="1" s="1"/>
  <c r="F18" i="1"/>
  <c r="E19" i="1"/>
  <c r="F19" i="1"/>
  <c r="E20" i="1"/>
  <c r="I20" i="1" s="1"/>
  <c r="F20" i="1"/>
  <c r="E21" i="1"/>
  <c r="F21" i="1"/>
  <c r="E22" i="1"/>
  <c r="I22" i="1" s="1"/>
  <c r="F22" i="1"/>
  <c r="E23" i="1"/>
  <c r="I23" i="1" s="1"/>
  <c r="F23" i="1"/>
  <c r="E24" i="1"/>
  <c r="I24" i="1" s="1"/>
  <c r="F24" i="1"/>
  <c r="E25" i="1"/>
  <c r="F25" i="1"/>
  <c r="E26" i="1"/>
  <c r="I26" i="1" s="1"/>
  <c r="F26" i="1"/>
  <c r="E27" i="1"/>
  <c r="I27" i="1" s="1"/>
  <c r="F27" i="1"/>
  <c r="E28" i="1"/>
  <c r="F28" i="1"/>
  <c r="E29" i="1"/>
  <c r="I29" i="1" s="1"/>
  <c r="F29" i="1"/>
  <c r="E30" i="1"/>
  <c r="I30" i="1" s="1"/>
  <c r="F30" i="1"/>
  <c r="E31" i="1"/>
  <c r="I31" i="1" s="1"/>
  <c r="F31" i="1"/>
  <c r="E32" i="1"/>
  <c r="I32" i="1" s="1"/>
  <c r="F32" i="1"/>
  <c r="E33" i="1"/>
  <c r="I33" i="1" s="1"/>
  <c r="F33" i="1"/>
  <c r="E34" i="1"/>
  <c r="I34" i="1" s="1"/>
  <c r="F34" i="1"/>
  <c r="E35" i="1"/>
  <c r="I35" i="1" s="1"/>
  <c r="F35" i="1"/>
  <c r="E36" i="1"/>
  <c r="I36" i="1" s="1"/>
  <c r="F36" i="1"/>
  <c r="E37" i="1"/>
  <c r="F37" i="1"/>
  <c r="E38" i="1"/>
  <c r="F38" i="1"/>
  <c r="E39" i="1"/>
  <c r="I39" i="1" s="1"/>
  <c r="F39" i="1"/>
  <c r="E40" i="1"/>
  <c r="F40" i="1"/>
  <c r="E41" i="1"/>
  <c r="I41" i="1" s="1"/>
  <c r="F41" i="1"/>
  <c r="E42" i="1"/>
  <c r="I42" i="1" s="1"/>
  <c r="F42" i="1"/>
  <c r="E43" i="1"/>
  <c r="I43" i="1" s="1"/>
  <c r="F43" i="1"/>
  <c r="E44" i="1"/>
  <c r="I44" i="1" s="1"/>
  <c r="F44" i="1"/>
  <c r="E45" i="1"/>
  <c r="I45" i="1" s="1"/>
  <c r="F45" i="1"/>
  <c r="E46" i="1"/>
  <c r="I46" i="1" s="1"/>
  <c r="F46" i="1"/>
  <c r="E47" i="1"/>
  <c r="I47" i="1" s="1"/>
  <c r="F47" i="1"/>
  <c r="E48" i="1"/>
  <c r="F48" i="1"/>
  <c r="E49" i="1"/>
  <c r="I49" i="1" s="1"/>
  <c r="F49" i="1"/>
  <c r="E50" i="1"/>
  <c r="I50" i="1" s="1"/>
  <c r="F50" i="1"/>
  <c r="E51" i="1"/>
  <c r="I51" i="1" s="1"/>
  <c r="F51" i="1"/>
  <c r="E52" i="1"/>
  <c r="F52" i="1"/>
  <c r="E53" i="1"/>
  <c r="I53" i="1" s="1"/>
  <c r="F53" i="1"/>
  <c r="E54" i="1"/>
  <c r="I54" i="1" s="1"/>
  <c r="F54" i="1"/>
  <c r="E55" i="1"/>
  <c r="I55" i="1" s="1"/>
  <c r="F55" i="1"/>
  <c r="E56" i="1"/>
  <c r="I56" i="1" s="1"/>
  <c r="F56" i="1"/>
  <c r="E57" i="1"/>
  <c r="I57" i="1" s="1"/>
  <c r="F57" i="1"/>
  <c r="E58" i="1"/>
  <c r="I58" i="1" s="1"/>
  <c r="F58" i="1"/>
  <c r="E59" i="1"/>
  <c r="F59" i="1"/>
  <c r="E60" i="1"/>
  <c r="I60" i="1" s="1"/>
  <c r="F60" i="1"/>
  <c r="E61" i="1"/>
  <c r="I61" i="1" s="1"/>
  <c r="F61" i="1"/>
  <c r="E62" i="1"/>
  <c r="I62" i="1" s="1"/>
  <c r="F62" i="1"/>
  <c r="E63" i="1"/>
  <c r="F63" i="1"/>
  <c r="E64" i="1"/>
  <c r="I64" i="1" s="1"/>
  <c r="F64" i="1"/>
  <c r="E65" i="1"/>
  <c r="I65" i="1" s="1"/>
  <c r="F65" i="1"/>
  <c r="E66" i="1"/>
  <c r="I66" i="1" s="1"/>
  <c r="F66" i="1"/>
  <c r="E67" i="1"/>
  <c r="F67" i="1"/>
  <c r="E68" i="1"/>
  <c r="F68" i="1"/>
  <c r="E69" i="1"/>
  <c r="I69" i="1" s="1"/>
  <c r="F69" i="1"/>
  <c r="E70" i="1"/>
  <c r="I70" i="1" s="1"/>
  <c r="F70" i="1"/>
  <c r="E71" i="1"/>
  <c r="I71" i="1" s="1"/>
  <c r="F71" i="1"/>
  <c r="E72" i="1"/>
  <c r="I72" i="1" s="1"/>
  <c r="F72" i="1"/>
  <c r="E73" i="1"/>
  <c r="I73" i="1" s="1"/>
  <c r="F73" i="1"/>
  <c r="E74" i="1"/>
  <c r="I74" i="1" s="1"/>
  <c r="F74" i="1"/>
  <c r="E75" i="1"/>
  <c r="I75" i="1" s="1"/>
  <c r="F75" i="1"/>
  <c r="E76" i="1"/>
  <c r="I76" i="1" s="1"/>
  <c r="F76" i="1"/>
  <c r="E77" i="1"/>
  <c r="F77" i="1"/>
  <c r="E78" i="1"/>
  <c r="I78" i="1" s="1"/>
  <c r="F78" i="1"/>
  <c r="E79" i="1"/>
  <c r="I79" i="1" s="1"/>
  <c r="F79" i="1"/>
  <c r="E80" i="1"/>
  <c r="I80" i="1" s="1"/>
  <c r="F80" i="1"/>
  <c r="E81" i="1"/>
  <c r="I81" i="1" s="1"/>
  <c r="F81" i="1"/>
  <c r="E82" i="1"/>
  <c r="I82" i="1" s="1"/>
  <c r="F82" i="1"/>
  <c r="E83" i="1"/>
  <c r="I83" i="1" s="1"/>
  <c r="F83" i="1"/>
  <c r="E84" i="1"/>
  <c r="I84" i="1" s="1"/>
  <c r="F84" i="1"/>
  <c r="E85" i="1"/>
  <c r="I85" i="1" s="1"/>
  <c r="F85" i="1"/>
  <c r="E86" i="1"/>
  <c r="F86" i="1"/>
  <c r="E87" i="1"/>
  <c r="I87" i="1" s="1"/>
  <c r="F87" i="1"/>
  <c r="E88" i="1"/>
  <c r="I88" i="1" s="1"/>
  <c r="F88" i="1"/>
  <c r="E89" i="1"/>
  <c r="I89" i="1" s="1"/>
  <c r="F89" i="1"/>
  <c r="E90" i="1"/>
  <c r="I90" i="1" s="1"/>
  <c r="F90" i="1"/>
  <c r="E91" i="1"/>
  <c r="I91" i="1" s="1"/>
  <c r="F91" i="1"/>
  <c r="E92" i="1"/>
  <c r="F92" i="1"/>
  <c r="E93" i="1"/>
  <c r="I93" i="1" s="1"/>
  <c r="F93" i="1"/>
  <c r="E94" i="1"/>
  <c r="F94" i="1"/>
  <c r="E95" i="1"/>
  <c r="I95" i="1" s="1"/>
  <c r="F95" i="1"/>
  <c r="E96" i="1"/>
  <c r="I96" i="1" s="1"/>
  <c r="F96" i="1"/>
  <c r="E97" i="1"/>
  <c r="I97" i="1" s="1"/>
  <c r="F97" i="1"/>
  <c r="E98" i="1"/>
  <c r="F98" i="1"/>
  <c r="E99" i="1"/>
  <c r="F99" i="1"/>
  <c r="E100" i="1"/>
  <c r="I100" i="1" s="1"/>
  <c r="F100" i="1"/>
  <c r="E101" i="1"/>
  <c r="I101" i="1" s="1"/>
  <c r="F101" i="1"/>
  <c r="E102" i="1"/>
  <c r="I102" i="1" s="1"/>
  <c r="F102" i="1"/>
  <c r="E103" i="1"/>
  <c r="I103" i="1" s="1"/>
  <c r="F103" i="1"/>
  <c r="E104" i="1"/>
  <c r="I104" i="1" s="1"/>
  <c r="F104" i="1"/>
  <c r="E105" i="1"/>
  <c r="I105" i="1" s="1"/>
  <c r="F105" i="1"/>
  <c r="E106" i="1"/>
  <c r="I106" i="1" s="1"/>
  <c r="F106" i="1"/>
  <c r="E107" i="1"/>
  <c r="I107" i="1" s="1"/>
  <c r="F107" i="1"/>
  <c r="E108" i="1"/>
  <c r="I108" i="1" s="1"/>
  <c r="F108" i="1"/>
  <c r="E109" i="1"/>
  <c r="I109" i="1" s="1"/>
  <c r="F109" i="1"/>
  <c r="E110" i="1"/>
  <c r="F110" i="1"/>
  <c r="E111" i="1"/>
  <c r="I111" i="1" s="1"/>
  <c r="F111" i="1"/>
  <c r="E112" i="1"/>
  <c r="I112" i="1" s="1"/>
  <c r="F112" i="1"/>
  <c r="E113" i="1"/>
  <c r="F113" i="1"/>
  <c r="E114" i="1"/>
  <c r="F114" i="1"/>
  <c r="E115" i="1"/>
  <c r="I115" i="1" s="1"/>
  <c r="F115" i="1"/>
  <c r="E116" i="1"/>
  <c r="I116" i="1" s="1"/>
  <c r="F116" i="1"/>
  <c r="E117" i="1"/>
  <c r="F117" i="1"/>
  <c r="E118" i="1"/>
  <c r="I118" i="1" s="1"/>
  <c r="F118" i="1"/>
  <c r="E119" i="1"/>
  <c r="I119" i="1" s="1"/>
  <c r="F119" i="1"/>
  <c r="E120" i="1"/>
  <c r="I120" i="1" s="1"/>
  <c r="F120" i="1"/>
  <c r="E121" i="1"/>
  <c r="F121" i="1"/>
  <c r="E122" i="1"/>
  <c r="I122" i="1" s="1"/>
  <c r="F122" i="1"/>
  <c r="E123" i="1"/>
  <c r="I123" i="1" s="1"/>
  <c r="F123" i="1"/>
  <c r="E124" i="1"/>
  <c r="I124" i="1" s="1"/>
  <c r="F124" i="1"/>
  <c r="E125" i="1"/>
  <c r="I125" i="1" s="1"/>
  <c r="F125" i="1"/>
  <c r="E126" i="1"/>
  <c r="I126" i="1" s="1"/>
  <c r="F126" i="1"/>
  <c r="E127" i="1"/>
  <c r="I127" i="1" s="1"/>
  <c r="F127" i="1"/>
  <c r="E128" i="1"/>
  <c r="I128" i="1" s="1"/>
  <c r="F128" i="1"/>
  <c r="E129" i="1"/>
  <c r="I129" i="1" s="1"/>
  <c r="F129" i="1"/>
  <c r="E130" i="1"/>
  <c r="I130" i="1" s="1"/>
  <c r="F130" i="1"/>
  <c r="E131" i="1"/>
  <c r="I131" i="1" s="1"/>
  <c r="F131" i="1"/>
  <c r="E132" i="1"/>
  <c r="I132" i="1" s="1"/>
  <c r="F132" i="1"/>
  <c r="E133" i="1"/>
  <c r="I133" i="1" s="1"/>
  <c r="F133" i="1"/>
  <c r="E134" i="1"/>
  <c r="I134" i="1" s="1"/>
  <c r="F134" i="1"/>
  <c r="E135" i="1"/>
  <c r="I135" i="1" s="1"/>
  <c r="F135" i="1"/>
  <c r="E136" i="1"/>
  <c r="I136" i="1" s="1"/>
  <c r="F136" i="1"/>
  <c r="E137" i="1"/>
  <c r="I137" i="1" s="1"/>
  <c r="F137" i="1"/>
  <c r="E138" i="1"/>
  <c r="I138" i="1" s="1"/>
  <c r="F138" i="1"/>
  <c r="E139" i="1"/>
  <c r="I139" i="1" s="1"/>
  <c r="F139" i="1"/>
  <c r="E140" i="1"/>
  <c r="F140" i="1"/>
  <c r="E141" i="1"/>
  <c r="I141" i="1" s="1"/>
  <c r="F141" i="1"/>
  <c r="E142" i="1"/>
  <c r="I142" i="1" s="1"/>
  <c r="F142" i="1"/>
  <c r="E143" i="1"/>
  <c r="I143" i="1" s="1"/>
  <c r="F143" i="1"/>
  <c r="E144" i="1"/>
  <c r="I144" i="1" s="1"/>
  <c r="F144" i="1"/>
  <c r="E145" i="1"/>
  <c r="F145" i="1"/>
  <c r="E146" i="1"/>
  <c r="I146" i="1" s="1"/>
  <c r="F146" i="1"/>
  <c r="E147" i="1"/>
  <c r="I147" i="1" s="1"/>
  <c r="F147" i="1"/>
  <c r="E148" i="1"/>
  <c r="I148" i="1" s="1"/>
  <c r="F148" i="1"/>
  <c r="E149" i="1"/>
  <c r="I149" i="1" s="1"/>
  <c r="F149" i="1"/>
  <c r="E150" i="1"/>
  <c r="I150" i="1" s="1"/>
  <c r="F150" i="1"/>
  <c r="E151" i="1"/>
  <c r="F151" i="1"/>
  <c r="E152" i="1"/>
  <c r="I152" i="1" s="1"/>
  <c r="F152" i="1"/>
  <c r="E153" i="1"/>
  <c r="I153" i="1" s="1"/>
  <c r="F153" i="1"/>
  <c r="E154" i="1"/>
  <c r="I154" i="1" s="1"/>
  <c r="F154" i="1"/>
  <c r="E155" i="1"/>
  <c r="F155" i="1"/>
  <c r="E156" i="1"/>
  <c r="I156" i="1" s="1"/>
  <c r="F156" i="1"/>
  <c r="E157" i="1"/>
  <c r="I157" i="1" s="1"/>
  <c r="F157" i="1"/>
  <c r="E158" i="1"/>
  <c r="I158" i="1" s="1"/>
  <c r="F158" i="1"/>
  <c r="E159" i="1"/>
  <c r="I159" i="1" s="1"/>
  <c r="F159" i="1"/>
  <c r="E160" i="1"/>
  <c r="I160" i="1" s="1"/>
  <c r="F160" i="1"/>
  <c r="E161" i="1"/>
  <c r="I161" i="1" s="1"/>
  <c r="F161" i="1"/>
  <c r="E162" i="1"/>
  <c r="I162" i="1" s="1"/>
  <c r="F162" i="1"/>
  <c r="E163" i="1"/>
  <c r="I163" i="1" s="1"/>
  <c r="F163" i="1"/>
  <c r="E164" i="1"/>
  <c r="I164" i="1" s="1"/>
  <c r="F164" i="1"/>
  <c r="E165" i="1"/>
  <c r="F165" i="1"/>
  <c r="E166" i="1"/>
  <c r="I166" i="1" s="1"/>
  <c r="F166" i="1"/>
  <c r="E167" i="1"/>
  <c r="I167" i="1" s="1"/>
  <c r="F167" i="1"/>
  <c r="E168" i="1"/>
  <c r="I168" i="1" s="1"/>
  <c r="F168" i="1"/>
  <c r="E169" i="1"/>
  <c r="F169" i="1"/>
  <c r="E170" i="1"/>
  <c r="I170" i="1" s="1"/>
  <c r="F170" i="1"/>
  <c r="E171" i="1"/>
  <c r="I171" i="1" s="1"/>
  <c r="F171" i="1"/>
  <c r="E172" i="1"/>
  <c r="I172" i="1" s="1"/>
  <c r="F172" i="1"/>
  <c r="E173" i="1"/>
  <c r="F173" i="1"/>
  <c r="E174" i="1"/>
  <c r="I174" i="1" s="1"/>
  <c r="F174" i="1"/>
  <c r="E175" i="1"/>
  <c r="I175" i="1" s="1"/>
  <c r="F175" i="1"/>
  <c r="E176" i="1"/>
  <c r="I176" i="1" s="1"/>
  <c r="F176" i="1"/>
  <c r="E177" i="1"/>
  <c r="I177" i="1" s="1"/>
  <c r="F177" i="1"/>
  <c r="E178" i="1"/>
  <c r="I178" i="1" s="1"/>
  <c r="F178" i="1"/>
  <c r="E179" i="1"/>
  <c r="I179" i="1" s="1"/>
  <c r="F179" i="1"/>
  <c r="E180" i="1"/>
  <c r="I180" i="1" s="1"/>
  <c r="F180" i="1"/>
  <c r="E181" i="1"/>
  <c r="I181" i="1" s="1"/>
  <c r="F181" i="1"/>
  <c r="E182" i="1"/>
  <c r="I182" i="1" s="1"/>
  <c r="F182" i="1"/>
  <c r="E183" i="1"/>
  <c r="I183" i="1" s="1"/>
  <c r="F183" i="1"/>
  <c r="E184" i="1"/>
  <c r="I184" i="1" s="1"/>
  <c r="F184" i="1"/>
  <c r="E185" i="1"/>
  <c r="F185" i="1"/>
  <c r="E186" i="1"/>
  <c r="I186" i="1" s="1"/>
  <c r="F186" i="1"/>
  <c r="E187" i="1"/>
  <c r="I187" i="1" s="1"/>
  <c r="F187" i="1"/>
  <c r="E188" i="1"/>
  <c r="I188" i="1" s="1"/>
  <c r="F188" i="1"/>
  <c r="E189" i="1"/>
  <c r="F189" i="1"/>
  <c r="E190" i="1"/>
  <c r="I190" i="1" s="1"/>
  <c r="F190" i="1"/>
  <c r="E191" i="1"/>
  <c r="I191" i="1" s="1"/>
  <c r="F191" i="1"/>
  <c r="E192" i="1"/>
  <c r="I192" i="1" s="1"/>
  <c r="F192" i="1"/>
  <c r="E193" i="1"/>
  <c r="I193" i="1" s="1"/>
  <c r="F193" i="1"/>
  <c r="E194" i="1"/>
  <c r="I194" i="1" s="1"/>
  <c r="F194" i="1"/>
  <c r="E195" i="1"/>
  <c r="I195" i="1" s="1"/>
  <c r="F195" i="1"/>
  <c r="E196" i="1"/>
  <c r="I196" i="1" s="1"/>
  <c r="F196" i="1"/>
  <c r="E197" i="1"/>
  <c r="I197" i="1" s="1"/>
  <c r="F197" i="1"/>
  <c r="E198" i="1"/>
  <c r="I198" i="1" s="1"/>
  <c r="F198" i="1"/>
  <c r="E199" i="1"/>
  <c r="I199" i="1" s="1"/>
  <c r="F199" i="1"/>
  <c r="E200" i="1"/>
  <c r="I200" i="1" s="1"/>
  <c r="F200" i="1"/>
  <c r="E201" i="1"/>
  <c r="I201" i="1" s="1"/>
  <c r="F201" i="1"/>
  <c r="E202" i="1"/>
  <c r="I202" i="1" s="1"/>
  <c r="F202" i="1"/>
  <c r="E203" i="1"/>
  <c r="F203" i="1"/>
  <c r="E204" i="1"/>
  <c r="F204" i="1"/>
  <c r="E205" i="1"/>
  <c r="I205" i="1" s="1"/>
  <c r="F205" i="1"/>
  <c r="E206" i="1"/>
  <c r="I206" i="1" s="1"/>
  <c r="F206" i="1"/>
  <c r="E207" i="1"/>
  <c r="I207" i="1" s="1"/>
  <c r="F207" i="1"/>
  <c r="E208" i="1"/>
  <c r="I208" i="1" s="1"/>
  <c r="F208" i="1"/>
  <c r="E209" i="1"/>
  <c r="I209" i="1" s="1"/>
  <c r="F209" i="1"/>
  <c r="E210" i="1"/>
  <c r="I210" i="1" s="1"/>
  <c r="F210" i="1"/>
  <c r="E211" i="1"/>
  <c r="I211" i="1" s="1"/>
  <c r="F211" i="1"/>
  <c r="E212" i="1"/>
  <c r="I212" i="1" s="1"/>
  <c r="F212" i="1"/>
  <c r="E213" i="1"/>
  <c r="I213" i="1" s="1"/>
  <c r="F213" i="1"/>
  <c r="E214" i="1"/>
  <c r="I214" i="1" s="1"/>
  <c r="F214" i="1"/>
  <c r="E215" i="1"/>
  <c r="I215" i="1" s="1"/>
  <c r="F215" i="1"/>
  <c r="E216" i="1"/>
  <c r="I216" i="1" s="1"/>
  <c r="F216" i="1"/>
  <c r="E217" i="1"/>
  <c r="F217" i="1"/>
  <c r="E218" i="1"/>
  <c r="I218" i="1" s="1"/>
  <c r="F218" i="1"/>
  <c r="E219" i="1"/>
  <c r="I219" i="1" s="1"/>
  <c r="F219" i="1"/>
  <c r="E220" i="1"/>
  <c r="F220" i="1"/>
  <c r="E221" i="1"/>
  <c r="F221" i="1"/>
  <c r="E222" i="1"/>
  <c r="I222" i="1" s="1"/>
  <c r="F222" i="1"/>
  <c r="E223" i="1"/>
  <c r="I223" i="1" s="1"/>
  <c r="F223" i="1"/>
  <c r="E224" i="1"/>
  <c r="I224" i="1" s="1"/>
  <c r="F224" i="1"/>
  <c r="E225" i="1"/>
  <c r="I225" i="1" s="1"/>
  <c r="F225" i="1"/>
  <c r="E226" i="1"/>
  <c r="I226" i="1" s="1"/>
  <c r="F226" i="1"/>
  <c r="E227" i="1"/>
  <c r="I227" i="1" s="1"/>
  <c r="F227" i="1"/>
  <c r="E228" i="1"/>
  <c r="I228" i="1" s="1"/>
  <c r="F228" i="1"/>
  <c r="E229" i="1"/>
  <c r="F229" i="1"/>
  <c r="E230" i="1"/>
  <c r="I230" i="1" s="1"/>
  <c r="F230" i="1"/>
  <c r="E231" i="1"/>
  <c r="I231" i="1" s="1"/>
  <c r="F231" i="1"/>
  <c r="E232" i="1"/>
  <c r="I232" i="1" s="1"/>
  <c r="F232" i="1"/>
  <c r="E233" i="1"/>
  <c r="I233" i="1" s="1"/>
  <c r="F233" i="1"/>
  <c r="E234" i="1"/>
  <c r="I234" i="1" s="1"/>
  <c r="F234" i="1"/>
  <c r="E235" i="1"/>
  <c r="I235" i="1" s="1"/>
  <c r="F235" i="1"/>
  <c r="E236" i="1"/>
  <c r="I236" i="1" s="1"/>
  <c r="F236" i="1"/>
  <c r="E237" i="1"/>
  <c r="I237" i="1" s="1"/>
  <c r="F237" i="1"/>
  <c r="E238" i="1"/>
  <c r="I238" i="1" s="1"/>
  <c r="F238" i="1"/>
  <c r="E239" i="1"/>
  <c r="I239" i="1" s="1"/>
  <c r="F239" i="1"/>
  <c r="E240" i="1"/>
  <c r="I240" i="1" s="1"/>
  <c r="F240" i="1"/>
  <c r="E241" i="1"/>
  <c r="I241" i="1" s="1"/>
  <c r="F241" i="1"/>
  <c r="E242" i="1"/>
  <c r="I242" i="1" s="1"/>
  <c r="F242" i="1"/>
  <c r="E243" i="1"/>
  <c r="I243" i="1" s="1"/>
  <c r="F243" i="1"/>
  <c r="E244" i="1"/>
  <c r="F244" i="1"/>
  <c r="E245" i="1"/>
  <c r="I245" i="1" s="1"/>
  <c r="F245" i="1"/>
  <c r="E246" i="1"/>
  <c r="I246" i="1" s="1"/>
  <c r="F246" i="1"/>
  <c r="E247" i="1"/>
  <c r="I247" i="1" s="1"/>
  <c r="F247" i="1"/>
  <c r="E248" i="1"/>
  <c r="F248" i="1"/>
  <c r="E249" i="1"/>
  <c r="I249" i="1" s="1"/>
  <c r="F249" i="1"/>
  <c r="E250" i="1"/>
  <c r="I250" i="1" s="1"/>
  <c r="F250" i="1"/>
  <c r="E251" i="1"/>
  <c r="F251" i="1"/>
  <c r="E252" i="1"/>
  <c r="I252" i="1" s="1"/>
  <c r="F252" i="1"/>
  <c r="E253" i="1"/>
  <c r="F253" i="1"/>
  <c r="E254" i="1"/>
  <c r="I254" i="1" s="1"/>
  <c r="F254" i="1"/>
  <c r="E255" i="1"/>
  <c r="I255" i="1" s="1"/>
  <c r="F255" i="1"/>
  <c r="E256" i="1"/>
  <c r="F256" i="1"/>
  <c r="E257" i="1"/>
  <c r="F257" i="1"/>
  <c r="E258" i="1"/>
  <c r="I258" i="1" s="1"/>
  <c r="F258" i="1"/>
  <c r="E259" i="1"/>
  <c r="I259" i="1" s="1"/>
  <c r="F259" i="1"/>
  <c r="E260" i="1"/>
  <c r="I260" i="1" s="1"/>
  <c r="F260" i="1"/>
  <c r="E261" i="1"/>
  <c r="I261" i="1" s="1"/>
  <c r="F261" i="1"/>
  <c r="E262" i="1"/>
  <c r="I262" i="1" s="1"/>
  <c r="F262" i="1"/>
  <c r="E263" i="1"/>
  <c r="I263" i="1" s="1"/>
  <c r="F263" i="1"/>
  <c r="E264" i="1"/>
  <c r="F264" i="1"/>
  <c r="E265" i="1"/>
  <c r="I265" i="1" s="1"/>
  <c r="F265" i="1"/>
  <c r="E266" i="1"/>
  <c r="I266" i="1" s="1"/>
  <c r="F266" i="1"/>
  <c r="E267" i="1"/>
  <c r="I267" i="1" s="1"/>
  <c r="F267" i="1"/>
  <c r="E268" i="1"/>
  <c r="F268" i="1"/>
  <c r="E269" i="1"/>
  <c r="I269" i="1" s="1"/>
  <c r="F269" i="1"/>
  <c r="E270" i="1"/>
  <c r="I270" i="1" s="1"/>
  <c r="F270" i="1"/>
  <c r="E271" i="1"/>
  <c r="I271" i="1" s="1"/>
  <c r="F271" i="1"/>
  <c r="E272" i="1"/>
  <c r="I272" i="1" s="1"/>
  <c r="F272" i="1"/>
  <c r="E273" i="1"/>
  <c r="F273" i="1"/>
  <c r="E274" i="1"/>
  <c r="I274" i="1" s="1"/>
  <c r="F274" i="1"/>
  <c r="E275" i="1"/>
  <c r="I275" i="1" s="1"/>
  <c r="F275" i="1"/>
  <c r="E276" i="1"/>
  <c r="F276" i="1"/>
  <c r="E277" i="1"/>
  <c r="I277" i="1" s="1"/>
  <c r="F277" i="1"/>
  <c r="E278" i="1"/>
  <c r="I278" i="1" s="1"/>
  <c r="F278" i="1"/>
  <c r="E279" i="1"/>
  <c r="I279" i="1" s="1"/>
  <c r="F279" i="1"/>
  <c r="E280" i="1"/>
  <c r="I280" i="1" s="1"/>
  <c r="F280" i="1"/>
  <c r="E281" i="1"/>
  <c r="I281" i="1" s="1"/>
  <c r="F281" i="1"/>
  <c r="E282" i="1"/>
  <c r="I282" i="1" s="1"/>
  <c r="F282" i="1"/>
  <c r="E283" i="1"/>
  <c r="I283" i="1" s="1"/>
  <c r="F283" i="1"/>
  <c r="E284" i="1"/>
  <c r="I284" i="1" s="1"/>
  <c r="F284" i="1"/>
  <c r="E285" i="1"/>
  <c r="I285" i="1" s="1"/>
  <c r="F285" i="1"/>
  <c r="E286" i="1"/>
  <c r="I286" i="1" s="1"/>
  <c r="F286" i="1"/>
  <c r="E287" i="1"/>
  <c r="F287" i="1"/>
  <c r="E288" i="1"/>
  <c r="I288" i="1" s="1"/>
  <c r="F288" i="1"/>
  <c r="E289" i="1"/>
  <c r="I289" i="1" s="1"/>
  <c r="F289" i="1"/>
  <c r="E290" i="1"/>
  <c r="I290" i="1" s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F1" i="1"/>
  <c r="E1" i="1"/>
  <c r="I48" i="1" l="1"/>
  <c r="I21" i="1"/>
  <c r="I25" i="1"/>
  <c r="I173" i="1"/>
  <c r="I273" i="1"/>
  <c r="I117" i="1"/>
  <c r="I37" i="1"/>
  <c r="I229" i="1"/>
  <c r="I220" i="1"/>
  <c r="I68" i="1"/>
  <c r="I28" i="1"/>
  <c r="I251" i="1"/>
  <c r="I67" i="1"/>
  <c r="I155" i="1"/>
  <c r="I63" i="1"/>
  <c r="I140" i="1"/>
  <c r="I203" i="1"/>
  <c r="I99" i="1"/>
  <c r="I59" i="1"/>
  <c r="I189" i="1"/>
  <c r="I185" i="1"/>
  <c r="I264" i="1"/>
  <c r="I253" i="1"/>
  <c r="I257" i="1"/>
  <c r="I113" i="1"/>
  <c r="I145" i="1"/>
  <c r="I151" i="1"/>
  <c r="I19" i="1"/>
  <c r="I297" i="1"/>
  <c r="I309" i="1"/>
  <c r="I217" i="1"/>
  <c r="I300" i="1"/>
  <c r="I312" i="1"/>
  <c r="I256" i="1"/>
  <c r="I52" i="1"/>
  <c r="I165" i="1"/>
  <c r="I221" i="1"/>
  <c r="I121" i="1"/>
  <c r="I77" i="1"/>
  <c r="I296" i="1"/>
  <c r="I308" i="1"/>
  <c r="I204" i="1"/>
  <c r="I299" i="1"/>
  <c r="I311" i="1"/>
  <c r="I287" i="1"/>
  <c r="I298" i="1"/>
  <c r="I310" i="1"/>
  <c r="I301" i="1"/>
  <c r="I313" i="1"/>
  <c r="L312" i="1"/>
  <c r="L311" i="1"/>
  <c r="L308" i="1"/>
  <c r="L310" i="1"/>
  <c r="L309" i="1"/>
  <c r="L306" i="1"/>
  <c r="L307" i="1"/>
  <c r="L303" i="1"/>
  <c r="L305" i="1"/>
  <c r="L304" i="1"/>
  <c r="L301" i="1"/>
  <c r="L302" i="1"/>
  <c r="I292" i="1"/>
  <c r="I304" i="1"/>
  <c r="I291" i="1"/>
  <c r="I303" i="1"/>
  <c r="I295" i="1"/>
  <c r="I307" i="1"/>
  <c r="I294" i="1"/>
  <c r="I306" i="1"/>
  <c r="I293" i="1"/>
  <c r="I305" i="1"/>
  <c r="L294" i="1"/>
  <c r="K294" i="1"/>
  <c r="K301" i="1"/>
  <c r="K297" i="1"/>
  <c r="L297" i="1"/>
  <c r="L293" i="1"/>
  <c r="K293" i="1"/>
  <c r="K289" i="1"/>
  <c r="L289" i="1"/>
  <c r="L285" i="1"/>
  <c r="K285" i="1"/>
  <c r="K281" i="1"/>
  <c r="L281" i="1"/>
  <c r="L277" i="1"/>
  <c r="K277" i="1"/>
  <c r="K273" i="1"/>
  <c r="L273" i="1"/>
  <c r="K269" i="1"/>
  <c r="L269" i="1"/>
  <c r="K265" i="1"/>
  <c r="L265" i="1"/>
  <c r="K261" i="1"/>
  <c r="L261" i="1"/>
  <c r="K257" i="1"/>
  <c r="L257" i="1"/>
  <c r="K253" i="1"/>
  <c r="L253" i="1"/>
  <c r="K249" i="1"/>
  <c r="L249" i="1"/>
  <c r="L245" i="1"/>
  <c r="K245" i="1"/>
  <c r="K241" i="1"/>
  <c r="L241" i="1"/>
  <c r="L237" i="1"/>
  <c r="K237" i="1"/>
  <c r="K233" i="1"/>
  <c r="L233" i="1"/>
  <c r="L229" i="1"/>
  <c r="K229" i="1"/>
  <c r="K225" i="1"/>
  <c r="L225" i="1"/>
  <c r="L221" i="1"/>
  <c r="K221" i="1"/>
  <c r="K217" i="1"/>
  <c r="L217" i="1"/>
  <c r="L213" i="1"/>
  <c r="K213" i="1"/>
  <c r="K209" i="1"/>
  <c r="L209" i="1"/>
  <c r="L205" i="1"/>
  <c r="K205" i="1"/>
  <c r="K201" i="1"/>
  <c r="L201" i="1"/>
  <c r="L197" i="1"/>
  <c r="K197" i="1"/>
  <c r="K193" i="1"/>
  <c r="L193" i="1"/>
  <c r="L189" i="1"/>
  <c r="K189" i="1"/>
  <c r="K185" i="1"/>
  <c r="L185" i="1"/>
  <c r="L181" i="1"/>
  <c r="K181" i="1"/>
  <c r="K177" i="1"/>
  <c r="L177" i="1"/>
  <c r="L173" i="1"/>
  <c r="K173" i="1"/>
  <c r="K169" i="1"/>
  <c r="L169" i="1"/>
  <c r="L165" i="1"/>
  <c r="K165" i="1"/>
  <c r="K161" i="1"/>
  <c r="L161" i="1"/>
  <c r="L157" i="1"/>
  <c r="K157" i="1"/>
  <c r="K153" i="1"/>
  <c r="L153" i="1"/>
  <c r="L149" i="1"/>
  <c r="K149" i="1"/>
  <c r="K145" i="1"/>
  <c r="L145" i="1"/>
  <c r="L141" i="1"/>
  <c r="K141" i="1"/>
  <c r="K137" i="1"/>
  <c r="L137" i="1"/>
  <c r="L133" i="1"/>
  <c r="K133" i="1"/>
  <c r="L129" i="1"/>
  <c r="K129" i="1"/>
  <c r="L125" i="1"/>
  <c r="K125" i="1"/>
  <c r="L121" i="1"/>
  <c r="K121" i="1"/>
  <c r="L117" i="1"/>
  <c r="K117" i="1"/>
  <c r="L113" i="1"/>
  <c r="K113" i="1"/>
  <c r="L109" i="1"/>
  <c r="K109" i="1"/>
  <c r="L105" i="1"/>
  <c r="K105" i="1"/>
  <c r="L101" i="1"/>
  <c r="K101" i="1"/>
  <c r="L97" i="1"/>
  <c r="K97" i="1"/>
  <c r="L93" i="1"/>
  <c r="K93" i="1"/>
  <c r="L89" i="1"/>
  <c r="K89" i="1"/>
  <c r="L85" i="1"/>
  <c r="K85" i="1"/>
  <c r="L81" i="1"/>
  <c r="K81" i="1"/>
  <c r="L77" i="1"/>
  <c r="K77" i="1"/>
  <c r="L73" i="1"/>
  <c r="K73" i="1"/>
  <c r="L69" i="1"/>
  <c r="K69" i="1"/>
  <c r="L65" i="1"/>
  <c r="K65" i="1"/>
  <c r="L61" i="1"/>
  <c r="K61" i="1"/>
  <c r="L57" i="1"/>
  <c r="K57" i="1"/>
  <c r="L53" i="1"/>
  <c r="K53" i="1"/>
  <c r="L49" i="1"/>
  <c r="K49" i="1"/>
  <c r="L45" i="1"/>
  <c r="K45" i="1"/>
  <c r="L41" i="1"/>
  <c r="K41" i="1"/>
  <c r="L37" i="1"/>
  <c r="K37" i="1"/>
  <c r="L33" i="1"/>
  <c r="K33" i="1"/>
  <c r="K29" i="1"/>
  <c r="L29" i="1"/>
  <c r="L25" i="1"/>
  <c r="K25" i="1"/>
  <c r="K21" i="1"/>
  <c r="L21" i="1"/>
  <c r="L17" i="1"/>
  <c r="K17" i="1"/>
  <c r="K13" i="1"/>
  <c r="L13" i="1"/>
  <c r="L168" i="1"/>
  <c r="K168" i="1"/>
  <c r="L164" i="1"/>
  <c r="K164" i="1"/>
  <c r="L160" i="1"/>
  <c r="K160" i="1"/>
  <c r="L156" i="1"/>
  <c r="K156" i="1"/>
  <c r="L144" i="1"/>
  <c r="K144" i="1"/>
  <c r="L140" i="1"/>
  <c r="K140" i="1"/>
  <c r="L136" i="1"/>
  <c r="K136" i="1"/>
  <c r="L132" i="1"/>
  <c r="K132" i="1"/>
  <c r="L128" i="1"/>
  <c r="K128" i="1"/>
  <c r="L124" i="1"/>
  <c r="K124" i="1"/>
  <c r="L120" i="1"/>
  <c r="K120" i="1"/>
  <c r="L116" i="1"/>
  <c r="K116" i="1"/>
  <c r="L112" i="1"/>
  <c r="K112" i="1"/>
  <c r="L108" i="1"/>
  <c r="K108" i="1"/>
  <c r="L104" i="1"/>
  <c r="K104" i="1"/>
  <c r="L100" i="1"/>
  <c r="K100" i="1"/>
  <c r="L96" i="1"/>
  <c r="K96" i="1"/>
  <c r="L92" i="1"/>
  <c r="K92" i="1"/>
  <c r="L88" i="1"/>
  <c r="K88" i="1"/>
  <c r="L84" i="1"/>
  <c r="K84" i="1"/>
  <c r="L80" i="1"/>
  <c r="K80" i="1"/>
  <c r="L76" i="1"/>
  <c r="K76" i="1"/>
  <c r="L72" i="1"/>
  <c r="K72" i="1"/>
  <c r="L68" i="1"/>
  <c r="K68" i="1"/>
  <c r="L64" i="1"/>
  <c r="K64" i="1"/>
  <c r="L60" i="1"/>
  <c r="K60" i="1"/>
  <c r="L56" i="1"/>
  <c r="K56" i="1"/>
  <c r="L52" i="1"/>
  <c r="K52" i="1"/>
  <c r="L48" i="1"/>
  <c r="K48" i="1"/>
  <c r="L44" i="1"/>
  <c r="K44" i="1"/>
  <c r="L40" i="1"/>
  <c r="K40" i="1"/>
  <c r="K36" i="1"/>
  <c r="L36" i="1"/>
  <c r="K32" i="1"/>
  <c r="L32" i="1"/>
  <c r="K28" i="1"/>
  <c r="L28" i="1"/>
  <c r="K24" i="1"/>
  <c r="L24" i="1"/>
  <c r="K20" i="1"/>
  <c r="L20" i="1"/>
  <c r="K16" i="1"/>
  <c r="L16" i="1"/>
  <c r="L290" i="1"/>
  <c r="K290" i="1"/>
  <c r="L300" i="1"/>
  <c r="K300" i="1"/>
  <c r="L296" i="1"/>
  <c r="K296" i="1"/>
  <c r="L292" i="1"/>
  <c r="K292" i="1"/>
  <c r="L288" i="1"/>
  <c r="K288" i="1"/>
  <c r="L284" i="1"/>
  <c r="K284" i="1"/>
  <c r="L280" i="1"/>
  <c r="K280" i="1"/>
  <c r="L276" i="1"/>
  <c r="K276" i="1"/>
  <c r="L272" i="1"/>
  <c r="K272" i="1"/>
  <c r="L268" i="1"/>
  <c r="K268" i="1"/>
  <c r="L264" i="1"/>
  <c r="K264" i="1"/>
  <c r="L260" i="1"/>
  <c r="K260" i="1"/>
  <c r="L256" i="1"/>
  <c r="K256" i="1"/>
  <c r="L252" i="1"/>
  <c r="K252" i="1"/>
  <c r="L248" i="1"/>
  <c r="K248" i="1"/>
  <c r="L244" i="1"/>
  <c r="K244" i="1"/>
  <c r="L240" i="1"/>
  <c r="K240" i="1"/>
  <c r="L236" i="1"/>
  <c r="K236" i="1"/>
  <c r="L232" i="1"/>
  <c r="K232" i="1"/>
  <c r="L228" i="1"/>
  <c r="K228" i="1"/>
  <c r="L224" i="1"/>
  <c r="K224" i="1"/>
  <c r="L220" i="1"/>
  <c r="K220" i="1"/>
  <c r="L216" i="1"/>
  <c r="K216" i="1"/>
  <c r="L212" i="1"/>
  <c r="K212" i="1"/>
  <c r="L204" i="1"/>
  <c r="K204" i="1"/>
  <c r="L196" i="1"/>
  <c r="K196" i="1"/>
  <c r="L188" i="1"/>
  <c r="K188" i="1"/>
  <c r="L180" i="1"/>
  <c r="K180" i="1"/>
  <c r="L172" i="1"/>
  <c r="K172" i="1"/>
  <c r="L152" i="1"/>
  <c r="K152" i="1"/>
  <c r="K295" i="1"/>
  <c r="L295" i="1"/>
  <c r="K287" i="1"/>
  <c r="L287" i="1"/>
  <c r="K279" i="1"/>
  <c r="L279" i="1"/>
  <c r="K271" i="1"/>
  <c r="L271" i="1"/>
  <c r="K263" i="1"/>
  <c r="L263" i="1"/>
  <c r="K255" i="1"/>
  <c r="L255" i="1"/>
  <c r="L243" i="1"/>
  <c r="K243" i="1"/>
  <c r="K231" i="1"/>
  <c r="L231" i="1"/>
  <c r="K223" i="1"/>
  <c r="L223" i="1"/>
  <c r="K215" i="1"/>
  <c r="L215" i="1"/>
  <c r="L203" i="1"/>
  <c r="K203" i="1"/>
  <c r="L195" i="1"/>
  <c r="K195" i="1"/>
  <c r="L187" i="1"/>
  <c r="K187" i="1"/>
  <c r="L179" i="1"/>
  <c r="K179" i="1"/>
  <c r="L171" i="1"/>
  <c r="K171" i="1"/>
  <c r="L163" i="1"/>
  <c r="K163" i="1"/>
  <c r="L155" i="1"/>
  <c r="K155" i="1"/>
  <c r="K143" i="1"/>
  <c r="L143" i="1"/>
  <c r="K135" i="1"/>
  <c r="L135" i="1"/>
  <c r="L131" i="1"/>
  <c r="K131" i="1"/>
  <c r="L123" i="1"/>
  <c r="K123" i="1"/>
  <c r="K119" i="1"/>
  <c r="L119" i="1"/>
  <c r="K111" i="1"/>
  <c r="L111" i="1"/>
  <c r="L107" i="1"/>
  <c r="K107" i="1"/>
  <c r="L99" i="1"/>
  <c r="K99" i="1"/>
  <c r="K95" i="1"/>
  <c r="L95" i="1"/>
  <c r="L91" i="1"/>
  <c r="K91" i="1"/>
  <c r="K87" i="1"/>
  <c r="L87" i="1"/>
  <c r="L83" i="1"/>
  <c r="K83" i="1"/>
  <c r="K79" i="1"/>
  <c r="L79" i="1"/>
  <c r="L75" i="1"/>
  <c r="K75" i="1"/>
  <c r="K71" i="1"/>
  <c r="L71" i="1"/>
  <c r="K63" i="1"/>
  <c r="L63" i="1"/>
  <c r="L59" i="1"/>
  <c r="K59" i="1"/>
  <c r="K55" i="1"/>
  <c r="L55" i="1"/>
  <c r="L51" i="1"/>
  <c r="K51" i="1"/>
  <c r="K47" i="1"/>
  <c r="L47" i="1"/>
  <c r="L43" i="1"/>
  <c r="K43" i="1"/>
  <c r="K39" i="1"/>
  <c r="L39" i="1"/>
  <c r="L35" i="1"/>
  <c r="K35" i="1"/>
  <c r="L31" i="1"/>
  <c r="K31" i="1"/>
  <c r="L27" i="1"/>
  <c r="K27" i="1"/>
  <c r="L23" i="1"/>
  <c r="K23" i="1"/>
  <c r="L19" i="1"/>
  <c r="K19" i="1"/>
  <c r="L15" i="1"/>
  <c r="K15" i="1"/>
  <c r="L208" i="1"/>
  <c r="K208" i="1"/>
  <c r="L200" i="1"/>
  <c r="K200" i="1"/>
  <c r="L192" i="1"/>
  <c r="K192" i="1"/>
  <c r="L184" i="1"/>
  <c r="K184" i="1"/>
  <c r="L176" i="1"/>
  <c r="K176" i="1"/>
  <c r="L148" i="1"/>
  <c r="K148" i="1"/>
  <c r="L299" i="1"/>
  <c r="K299" i="1"/>
  <c r="L291" i="1"/>
  <c r="K291" i="1"/>
  <c r="L283" i="1"/>
  <c r="K283" i="1"/>
  <c r="L275" i="1"/>
  <c r="K275" i="1"/>
  <c r="L267" i="1"/>
  <c r="K267" i="1"/>
  <c r="L259" i="1"/>
  <c r="K259" i="1"/>
  <c r="L251" i="1"/>
  <c r="K251" i="1"/>
  <c r="K247" i="1"/>
  <c r="L247" i="1"/>
  <c r="K239" i="1"/>
  <c r="L239" i="1"/>
  <c r="L235" i="1"/>
  <c r="K235" i="1"/>
  <c r="L227" i="1"/>
  <c r="K227" i="1"/>
  <c r="L219" i="1"/>
  <c r="K219" i="1"/>
  <c r="L211" i="1"/>
  <c r="K211" i="1"/>
  <c r="K207" i="1"/>
  <c r="L207" i="1"/>
  <c r="K199" i="1"/>
  <c r="L199" i="1"/>
  <c r="K191" i="1"/>
  <c r="L191" i="1"/>
  <c r="K183" i="1"/>
  <c r="L183" i="1"/>
  <c r="K175" i="1"/>
  <c r="L175" i="1"/>
  <c r="K167" i="1"/>
  <c r="L167" i="1"/>
  <c r="K159" i="1"/>
  <c r="L159" i="1"/>
  <c r="K151" i="1"/>
  <c r="L151" i="1"/>
  <c r="L147" i="1"/>
  <c r="K147" i="1"/>
  <c r="L139" i="1"/>
  <c r="K139" i="1"/>
  <c r="K127" i="1"/>
  <c r="L127" i="1"/>
  <c r="L115" i="1"/>
  <c r="K115" i="1"/>
  <c r="K103" i="1"/>
  <c r="L103" i="1"/>
  <c r="L67" i="1"/>
  <c r="K67" i="1"/>
  <c r="K302" i="1"/>
  <c r="L298" i="1"/>
  <c r="K298" i="1"/>
  <c r="L286" i="1"/>
  <c r="K286" i="1"/>
  <c r="L282" i="1"/>
  <c r="K282" i="1"/>
  <c r="L278" i="1"/>
  <c r="K278" i="1"/>
  <c r="L274" i="1"/>
  <c r="K274" i="1"/>
  <c r="L270" i="1"/>
  <c r="K270" i="1"/>
  <c r="L266" i="1"/>
  <c r="K266" i="1"/>
  <c r="L262" i="1"/>
  <c r="K262" i="1"/>
  <c r="L258" i="1"/>
  <c r="K258" i="1"/>
  <c r="L254" i="1"/>
  <c r="K254" i="1"/>
  <c r="L250" i="1"/>
  <c r="K250" i="1"/>
  <c r="L246" i="1"/>
  <c r="K246" i="1"/>
  <c r="L242" i="1"/>
  <c r="K242" i="1"/>
  <c r="L238" i="1"/>
  <c r="K238" i="1"/>
  <c r="L234" i="1"/>
  <c r="K234" i="1"/>
  <c r="L230" i="1"/>
  <c r="K230" i="1"/>
  <c r="L226" i="1"/>
  <c r="K226" i="1"/>
  <c r="L222" i="1"/>
  <c r="K222" i="1"/>
  <c r="L218" i="1"/>
  <c r="K218" i="1"/>
  <c r="L214" i="1"/>
  <c r="K214" i="1"/>
  <c r="L210" i="1"/>
  <c r="K210" i="1"/>
  <c r="L206" i="1"/>
  <c r="K206" i="1"/>
  <c r="L202" i="1"/>
  <c r="K202" i="1"/>
  <c r="L198" i="1"/>
  <c r="K198" i="1"/>
  <c r="L194" i="1"/>
  <c r="K194" i="1"/>
  <c r="L190" i="1"/>
  <c r="K190" i="1"/>
  <c r="K186" i="1"/>
  <c r="L186" i="1"/>
  <c r="L182" i="1"/>
  <c r="K182" i="1"/>
  <c r="L178" i="1"/>
  <c r="K178" i="1"/>
  <c r="L174" i="1"/>
  <c r="K174" i="1"/>
  <c r="L170" i="1"/>
  <c r="K170" i="1"/>
  <c r="L166" i="1"/>
  <c r="K166" i="1"/>
  <c r="L162" i="1"/>
  <c r="K162" i="1"/>
  <c r="L158" i="1"/>
  <c r="K158" i="1"/>
  <c r="L154" i="1"/>
  <c r="K154" i="1"/>
  <c r="L150" i="1"/>
  <c r="K150" i="1"/>
  <c r="L146" i="1"/>
  <c r="K146" i="1"/>
  <c r="L142" i="1"/>
  <c r="K142" i="1"/>
  <c r="L138" i="1"/>
  <c r="K138" i="1"/>
  <c r="K134" i="1"/>
  <c r="L134" i="1"/>
  <c r="K130" i="1"/>
  <c r="L130" i="1"/>
  <c r="K126" i="1"/>
  <c r="L126" i="1"/>
  <c r="K122" i="1"/>
  <c r="L122" i="1"/>
  <c r="K118" i="1"/>
  <c r="L118" i="1"/>
  <c r="K114" i="1"/>
  <c r="L114" i="1"/>
  <c r="K110" i="1"/>
  <c r="L110" i="1"/>
  <c r="K106" i="1"/>
  <c r="L106" i="1"/>
  <c r="K102" i="1"/>
  <c r="L102" i="1"/>
  <c r="K98" i="1"/>
  <c r="L98" i="1"/>
  <c r="K94" i="1"/>
  <c r="L94" i="1"/>
  <c r="K90" i="1"/>
  <c r="L90" i="1"/>
  <c r="K86" i="1"/>
  <c r="L86" i="1"/>
  <c r="K82" i="1"/>
  <c r="L82" i="1"/>
  <c r="K78" i="1"/>
  <c r="L78" i="1"/>
  <c r="K74" i="1"/>
  <c r="L74" i="1"/>
  <c r="K70" i="1"/>
  <c r="L70" i="1"/>
  <c r="K66" i="1"/>
  <c r="L66" i="1"/>
  <c r="K62" i="1"/>
  <c r="L62" i="1"/>
  <c r="K58" i="1"/>
  <c r="L58" i="1"/>
  <c r="K54" i="1"/>
  <c r="L54" i="1"/>
  <c r="K50" i="1"/>
  <c r="L50" i="1"/>
  <c r="K46" i="1"/>
  <c r="L46" i="1"/>
  <c r="K42" i="1"/>
  <c r="L42" i="1"/>
  <c r="K38" i="1"/>
  <c r="L38" i="1"/>
  <c r="K34" i="1"/>
  <c r="L34" i="1"/>
  <c r="K30" i="1"/>
  <c r="L30" i="1"/>
  <c r="K26" i="1"/>
  <c r="L26" i="1"/>
  <c r="K22" i="1"/>
  <c r="L22" i="1"/>
  <c r="K18" i="1"/>
  <c r="L18" i="1"/>
  <c r="K14" i="1"/>
  <c r="L14" i="1"/>
  <c r="I114" i="1"/>
  <c r="I110" i="1"/>
  <c r="I86" i="1"/>
  <c r="I13" i="1"/>
  <c r="I92" i="1"/>
  <c r="I15" i="1"/>
  <c r="I302" i="1"/>
  <c r="I98" i="1"/>
  <c r="I38" i="1"/>
  <c r="I94" i="1"/>
  <c r="I169" i="1"/>
  <c r="I276" i="1"/>
  <c r="I244" i="1"/>
  <c r="I40" i="1"/>
  <c r="I268" i="1"/>
  <c r="I248" i="1"/>
</calcChain>
</file>

<file path=xl/sharedStrings.xml><?xml version="1.0" encoding="utf-8"?>
<sst xmlns="http://schemas.openxmlformats.org/spreadsheetml/2006/main" count="638" uniqueCount="85">
  <si>
    <t>E-94</t>
  </si>
  <si>
    <t>E-95</t>
  </si>
  <si>
    <t>F</t>
  </si>
  <si>
    <t>M</t>
  </si>
  <si>
    <t>A</t>
  </si>
  <si>
    <t>J</t>
  </si>
  <si>
    <t>S</t>
  </si>
  <si>
    <t>O</t>
  </si>
  <si>
    <t>N</t>
  </si>
  <si>
    <t>D</t>
  </si>
  <si>
    <t>E-96</t>
  </si>
  <si>
    <t>E-97</t>
  </si>
  <si>
    <t>E-98</t>
  </si>
  <si>
    <t>E-99</t>
  </si>
  <si>
    <t>E-00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</si>
  <si>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</si>
  <si>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</si>
  <si>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</si>
  <si>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</si>
  <si>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</si>
  <si>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</si>
  <si>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</si>
  <si>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</si>
  <si>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</si>
  <si>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</si>
  <si>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</si>
  <si>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</si>
  <si>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</si>
  <si>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</si>
  <si>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</si>
  <si>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</si>
  <si>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</si>
  <si>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</si>
  <si>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</si>
  <si>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Month</t>
  </si>
  <si>
    <t>Automotriz,d11</t>
  </si>
  <si>
    <t>E-20</t>
  </si>
  <si>
    <t>YearMonthAutomotriz.d11199401+0.536415092367433E+05199402+0.121415049014212E+05199403+0.279586844658032E+05199404+0.344428245006043E+05199405+0.296253035636096E+05199406+0.318718970486143E+05199407+0.327452319410445E+05199408+0.348710280824320E+05199409+0.361327479340463E+05199410+0.340922987019196E+05199411+0.336882659121352E+05199412+0.329648002353464E+05199501+0.267898450231097E+05199502+0.364659317303504E+05199503+0.301059644880456E+05199504+0.251772081998825E+05199505+0.252626290656012E+05199506+0.192484917855273E+05199507+0.197644012918426E+05199508+0.170659049260990E+05199509+0.171890150865728E+05199510+0.181614514983611E+05199511+0.184561985056858E+05199512+0.218112379261831E+05199601+0.207783086003845E+05199602+0.238736187609843E+05199603+0.230292447400129E+05199604+0.245278435145927E+05199605+0.243337554696415E+05199606+0.259951725517862E+05199607+0.257022768237491E+05199608+0.268871615581973E+05199609+0.242268769391378E+05199610+0.266788189031527E+05199611+0.281828084937768E+05199612+0.279542982607835E+05199701+0.287961337105049E+05199702+0.305244988397596E+05199703+0.312284584967946E+05199704+0.336310410604176E+05199705+0.346337611056377E+05199706+0.355347293904498E+05199707+0.373119565372538E+05199708+0.375337899364978E+05199709+0.397912092848845E+05199710+0.472045641727946E+05199711+0.421002983196431E+05199712+0.269569708990548E+05199801+0.323594310941492E+05199802+0.383680799342661E+05199803+0.394406491048438E+05199804+0.403964133595056E+05199805+0.396098220613833E+05199806+0.414119100612552E+05199807+0.394665714637343E+05199808+0.445450244033478E+05199809+0.402727084077363E+05199810+0.345073270517031E+05199811+0.286822513881974E+05199812+0.162445732899929E+05199901+0.246576954810891E+05199902+0.214115594724357E+05199903+0.184796214696050E+05199904+0.189959361272796E+05199905+0.218828348972382E+05199906+0.219127877772097E+05199907+0.226202254658999E+05199908+0.253123295317976E+05199909+0.250902813820391E+05199910+0.287214543217967E+05199911+0.293445533431914E+05199912+0.335079195140281E+05200001+0.346511349335504E+05200002+0.256483182931290E+05200003+0.310992106235740E+05200004+0.285999457822572E+05200005+0.257579016231432E+05200006+0.249037255582672E+05200007+0.263715036136634E+05200008+0.246414807731448E+05200009+0.271025551215552E+05200010+0.252825987701632E+05200011+0.251985016018254E+05200012+0.284341216108071E+05200101+0.210754651544605E+05200102+0.200505186471928E+05200103+0.240085515939847E+05200104+0.246092704398443E+05200105+0.243332401662318E+05200106+0.233222605839908E+05200107+0.211586135066191E+05200108+0.141125187111629E+05200109+0.152829359257057E+05200110+0.143956093379590E+05200111+0.132028315705702E+05200112+0.120534018850186E+05200201+0.126251615861192E+05200202+0.125255644707325E+05200203+0.117762305078650E+05200204+0.135708784673712E+05200205+0.117239417197827E+05200206+0.133468114290898E+05200207+0.126964804024086E+05200208+0.122357530971544E+05200209+0.132252424382708E+05200210+0.121936573589439E+05200211+0.124348654145283E+05200212+0.146685930105828E+05200301+0.164134747155287E+05200302+0.141875882683194E+05200303+0.136409790198653E+05200304+0.124465953626274E+05200305+0.123467311772454E+05200306+0.120644945231923E+05200307+0.916975938018376E+04200308+0.135546248559438E+05200309+0.122272673123292E+05200310+0.123395168109682E+05200311+0.160568280675755E+05200312+0.147827652943417E+05200401+0.211002867279876E+05200402+0.189287965806368E+05200403+0.184848957433888E+05200404+0.172562080015489E+05200405+0.209113379099313E+05200406+0.191038090189908E+05200407+0.189436791609443E+05200408+0.195395788887099E+05200409+0.206680784844443E+05200410+0.226019255374859E+05200411+0.213691505949450E+05200412+0.233537169932653E+05200501+0.325731161988916E+05200502+0.171501404045239E+05200503+0.241951476644739E+05200504+0.258392608311120E+05200505+0.251361982910034E+05200506+0.235792520106751E+05200507+0.259644306859202E+05200508+0.235548244309245E+05200509+0.228482220198704E+05200510+0.260224078654400E+05200511+0.269016861660614E+05200512+0.244065490849292E+05200601+0.231604698028133E+05200602+0.340482691667521E+05200603+0.311290683060792E+05200604+0.331872047796751E+05200605+0.283540538466024E+05200606+0.324478870272296E+05200607+0.353563569174058E+05200608+0.344480958470094E+05200609+0.377387550192424E+05200610+0.358257372959907E+05200611+0.397449800510870E+05200612+0.421116370500412E+05200701+0.279586770775129E+05200702+0.421064249201502E+05200703+0.430622852130595E+05200704+0.395752596919307E+05200705+0.412920580874877E+05200706+0.449203132268899E+05200707+0.392621070916964E+05200708+0.441665355562660E+05200709+0.426313378760728E+05200710+0.452285464436860E+05200711+0.494733559043415E+05200712+0.511381204676294E+05200801+0.533630517407704E+05200802+0.398478721329508E+05200803+0.481419304944987E+05200804+0.506971084430754E+05200805+0.508558035879176E+05200806+0.462364172408427E+05200807+0.552323151046654E+05200808+0.495381366841912E+05200809+0.504454784445141E+05200810+0.469361111777926E+05200811+0.355162752733355E+05200812+0.278462415228238E+05200901+0.349999570352331E+05200902+0.245895867658445E+05200903+0.376869237901119E+05200904+0.369615602130318E+05200905+0.409868579604015E+05200906+0.401039727524318E+05200907+0.434596215398178E+05200908+0.409727635785079E+05200909+0.447247381736965E+05200910+0.489310606844286E+05200911+0.496177888454294E+05200912+0.546819930347869E+05201001+0.506430289081545E+05201002+0.495547925732065E+05201003+0.494235933512356E+05201004+0.555914139784470E+05201005+0.566370986571264E+05201006+0.590786631344915E+05201007+0.547269250996398E+05201008+0.626606222477543E+05201009+0.626670451812730E+05201010+0.588454679364565E+05201011+0.668570667345688E+05201012+0.690538154968498E+05201101+0.677097024729594E+05201102+0.502513256674680E+05201103+0.658898054652799E+05201104+0.719371742241147E+05201105+0.747107285389853E+05201106+0.745182815423280E+05201107+0.690926724469823E+05201108+0.736810797035379E+05201109+0.692003055633732E+05201110+0.652702919996629E+05201111+0.657720631706383E+05201112+0.582935904007816E+05201201+0.629418222725420E+05201202+0.614805562000731E+05201203+0.634275702540952E+05201204+0.541179530908612E+05201205+0.540938124100110E+05201206+0.481534803863018E+05201207+0.634314039415046E+05201208+0.699654651117136E+05201209+0.609567803870469E+05201210+0.680840030879516E+05201211+0.689879560264985E+05201212+0.699662357091084E+05201301+0.643310921457709E+05201302+0.579180326269641E+05201303+0.736314170170340E+05201304+0.717044578642981E+05201305+0.738439782436672E+05201306+0.592604232378853E+05201307+0.680470225812604E+05201308+0.621681560359333E+05201309+0.628589468746991E+05201310+0.639062703155315E+05201311+0.545395986143514E+05201312+0.528687330286817E+05201401+0.563829084609316E+05201402+0.562369839901459E+05201403+0.527092843569363E+05201404+0.550415410469184E+05201405+0.473056049094145E+05201406+0.456995214969693E+05201407+0.459039255721211E+05201408+0.417740975927360E+05201409+0.485863374630585E+05201410+0.501501539864049E+05201411+0.493405314932836E+05201412+0.484569716869466E+05201501+0.470223310124314E+05201502+0.488190542893433E+05201503+0.457646007562665E+05201504+0.417492727837476E+05201505+0.435854790707148E+05201506+0.476019322797307E+05201507+0.421922286278215E+05201508+0.450309038348003E+05201509+0.456072861768603E+05201510+0.387537248995820E+05201511+0.408804526048226E+05201512+0.399616482580906E+05201601+0.402920607843894E+05201602+0.377546185938640E+05201603+0.409613690416431E+05201604+0.426220589105519E+05201605+0.376047886884490E+05201606+0.374189175482239E+05201607+0.394193208365875E+05201608+0.376943240500222E+05201609+0.355853915290151E+05201610+0.337887734547809E+05201611+0.414329032386711E+05201612+0.494920665669788E+05201701+0.470287537543850E+05201702+0.292084428806034E+05201703+0.349235426553098E+05201704+0.371865406574574E+05201705+0.419302029864299E+05201706+0.416687460665887E+05201707+0.396240013534635E+05201708+0.383515323438992E+05201709+0.421216513252302E+05201710+0.392137843539432E+05201711+0.399718955220822E+05201712+0.435865676714859E+05201801+0.397618241708924E+05201802+0.422357062489938E+05201803+0.469676203657410E+05201804+0.444821256227701E+05201805+0.434028840209182E+05201806+0.370876484800818E+05201807+0.412347162587951E+05201808+0.416684883105739E+05201809+0.341722525078706E+05201810+0.329807559133426E+05201811+0.321488467794285E+05201812+0.306222431448248E+05201901+0.317268347028973E+05201902+0.356131710794804E+05201903+0.283243531774070E+05201904+0.279724769832563E+05201905+0.272042767580006E+05201906+0.232182372641125E+05201907+0.194645243499316E+05201908+0.239333941457977E+05201909+0.236713849037513E+05201910+0.261497278850506E+05201911+0.241789132890749E+05201912+0.234022327646588E+05202001+0.367423276203833E+05202002+0.297575997302023E+05202003+0.173639346457346E+05202004-0.185789131208248E+04202005+0.453422278800263E+04202006+0.124151702658279E+05202007+0.188384029862984E+05</t>
  </si>
  <si>
    <t>Year</t>
  </si>
  <si>
    <t>Automotriz.d11</t>
  </si>
  <si>
    <t>E-21</t>
  </si>
  <si>
    <t>Automotriz,xlsb,d11</t>
  </si>
  <si>
    <t>E-22</t>
  </si>
  <si>
    <t>E-23</t>
  </si>
  <si>
    <t xml:space="preserve"> </t>
  </si>
  <si>
    <t>E-24</t>
  </si>
  <si>
    <t>I-94</t>
  </si>
  <si>
    <t>II</t>
  </si>
  <si>
    <t>III</t>
  </si>
  <si>
    <t>IV</t>
  </si>
  <si>
    <t>I-95</t>
  </si>
  <si>
    <t>I-96</t>
  </si>
  <si>
    <t>I-97</t>
  </si>
  <si>
    <t>I-98</t>
  </si>
  <si>
    <t>I-99</t>
  </si>
  <si>
    <t>I-00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</si>
  <si>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</si>
  <si>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</si>
  <si>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</si>
  <si>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</si>
  <si>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</si>
  <si>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</si>
  <si>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</si>
  <si>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</si>
  <si>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</si>
  <si>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</si>
  <si>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</si>
  <si>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</si>
  <si>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</si>
  <si>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</si>
  <si>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</si>
  <si>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</si>
  <si>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</si>
  <si>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</si>
  <si>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</si>
  <si>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</si>
  <si>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</si>
  <si>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</si>
  <si>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</si>
  <si>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</si>
  <si>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E-25</t>
  </si>
  <si>
    <t>cemento,xlsb,d11</t>
  </si>
  <si>
    <t>E-26</t>
  </si>
  <si>
    <t>I-25</t>
  </si>
  <si>
    <t>I-26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</si>
</sst>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.0_-;\-* #,##0.0_-;_-* &quot;-&quot;?_-;_-@_-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166" fontId="3" fillId="0" borderId="0" xfId="2" applyNumberFormat="1" applyFont="1" applyAlignment="1">
      <alignment horizontal="center" vertical="center"/>
    </xf>
    <xf numFmtId="14" fontId="2" fillId="0" borderId="0" xfId="0" applyNumberFormat="1" applyFont="1"/>
    <xf numFmtId="165" fontId="2" fillId="0" borderId="0" xfId="0" applyNumberFormat="1" applyFont="1"/>
    <xf numFmtId="164" fontId="2" fillId="0" borderId="0" xfId="1" applyNumberFormat="1" applyFont="1"/>
    <xf numFmtId="0" fontId="2" fillId="0" borderId="0" xfId="0" applyFont="1"/>
    <xf numFmtId="0" fontId="2" fillId="0" borderId="0" xfId="0" applyFont="1" applyAlignment="1">
      <alignment vertical="center" wrapText="1"/>
    </xf>
    <xf numFmtId="166" fontId="2" fillId="0" borderId="0" xfId="2" applyNumberFormat="1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1" fontId="6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43" fontId="2" fillId="0" borderId="0" xfId="1" applyFont="1" applyAlignment="1">
      <alignment vertical="center" wrapText="1"/>
    </xf>
    <xf numFmtId="43" fontId="5" fillId="0" borderId="0" xfId="1" applyFont="1" applyAlignment="1">
      <alignment horizontal="left" vertical="center" wrapText="1"/>
    </xf>
    <xf numFmtId="43" fontId="6" fillId="0" borderId="0" xfId="1" applyFont="1" applyAlignment="1">
      <alignment vertical="center" wrapText="1"/>
    </xf>
    <xf numFmtId="43" fontId="0" fillId="0" borderId="0" xfId="1" applyFont="1"/>
    <xf numFmtId="164" fontId="5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vertical="center" wrapText="1"/>
    </xf>
    <xf numFmtId="164" fontId="0" fillId="0" borderId="0" xfId="1" applyNumberFormat="1" applyFont="1"/>
    <xf numFmtId="2" fontId="5" fillId="0" borderId="0" xfId="0" applyNumberFormat="1" applyFont="1" applyAlignment="1">
      <alignment horizontal="left" vertical="center" wrapText="1"/>
    </xf>
    <xf numFmtId="2" fontId="6" fillId="0" borderId="0" xfId="0" applyNumberFormat="1" applyFont="1" applyAlignment="1">
      <alignment vertical="center" wrapText="1"/>
    </xf>
    <xf numFmtId="0" fontId="3" fillId="0" borderId="0" xfId="2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 wrapText="1"/>
    </xf>
    <xf numFmtId="10" fontId="2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003A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calcChain" Target="calcChai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438915707496E-2"/>
          <c:y val="0.10667344274874217"/>
          <c:w val="0.90513388263033567"/>
          <c:h val="0.79400951788362495"/>
        </c:manualLayout>
      </c:layout>
      <c:lineChart>
        <c:grouping val="standard"/>
        <c:varyColors val="0"/>
        <c:ser>
          <c:idx val="1"/>
          <c:order val="0"/>
          <c:tx>
            <c:v>Con ajuste estacional</c:v>
          </c:tx>
          <c:spPr>
            <a:ln w="22225" cap="rnd">
              <a:solidFill>
                <a:srgbClr val="00003A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3A"/>
              </a:solidFill>
              <a:ln w="9525">
                <a:noFill/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93-451B-9A9E-0EA0DA16D50F}"/>
                </c:ext>
              </c:extLst>
            </c:dLbl>
            <c:dLbl>
              <c:idx val="89"/>
              <c:layout>
                <c:manualLayout>
                  <c:x val="3.7623762180693005E-3"/>
                  <c:y val="-3.1361762290682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D7-4869-95E1-F69EDE7BB73A}"/>
                </c:ext>
              </c:extLst>
            </c:dLbl>
            <c:dLbl>
              <c:idx val="110"/>
              <c:layout>
                <c:manualLayout>
                  <c:x val="2.5082508120462003E-3"/>
                  <c:y val="-2.7180193985258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D7-4869-95E1-F69EDE7BB73A}"/>
                </c:ext>
              </c:extLst>
            </c:dLbl>
            <c:dLbl>
              <c:idx val="215"/>
              <c:layout>
                <c:manualLayout>
                  <c:x val="-6.3986314812076048E-2"/>
                  <c:y val="-3.97527324031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E2-42BF-A651-EAABA4B8FA95}"/>
                </c:ext>
              </c:extLst>
            </c:dLbl>
            <c:dLbl>
              <c:idx val="231"/>
              <c:layout>
                <c:manualLayout>
                  <c:x val="-7.7755775173432115E-2"/>
                  <c:y val="-4.8088035512380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D7-4869-95E1-F69EDE7BB73A}"/>
                </c:ext>
              </c:extLst>
            </c:dLbl>
            <c:dLbl>
              <c:idx val="235"/>
              <c:layout>
                <c:manualLayout>
                  <c:x val="-1.7573358189374715E-2"/>
                  <c:y val="-5.0191660701621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2-42BF-A651-EAABA4B8FA95}"/>
                </c:ext>
              </c:extLst>
            </c:dLbl>
            <c:dLbl>
              <c:idx val="240"/>
              <c:layout>
                <c:manualLayout>
                  <c:x val="-6.5181143602395242E-2"/>
                  <c:y val="1.8831873955019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E2-42BF-A651-EAABA4B8FA95}"/>
                </c:ext>
              </c:extLst>
            </c:dLbl>
            <c:dLbl>
              <c:idx val="243"/>
              <c:layout>
                <c:manualLayout>
                  <c:x val="-6.3939361950368437E-2"/>
                  <c:y val="7.3297788905212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6D-41B0-A3E8-9D3EFE285A0B}"/>
                </c:ext>
              </c:extLst>
            </c:dLbl>
            <c:dLbl>
              <c:idx val="245"/>
              <c:layout>
                <c:manualLayout>
                  <c:x val="-1.7542578739341747E-2"/>
                  <c:y val="3.5495267588432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E5-4270-97FA-FED42844EDE8}"/>
                </c:ext>
              </c:extLst>
            </c:dLbl>
            <c:dLbl>
              <c:idx val="252"/>
              <c:layout>
                <c:manualLayout>
                  <c:x val="-5.1401805041714717E-2"/>
                  <c:y val="-5.4347293181153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59-43A7-8440-FCE8A3DDC6FB}"/>
                </c:ext>
              </c:extLst>
            </c:dLbl>
            <c:dLbl>
              <c:idx val="256"/>
              <c:layout>
                <c:manualLayout>
                  <c:x val="3.7609560054027466E-3"/>
                  <c:y val="-4.1788398685014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75-48B9-84EF-3F1BF84D4055}"/>
                </c:ext>
              </c:extLst>
            </c:dLbl>
            <c:dLbl>
              <c:idx val="261"/>
              <c:layout>
                <c:manualLayout>
                  <c:x val="-1.5043824021610986E-2"/>
                  <c:y val="-6.6861437896023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67-4297-82D6-D006D960322E}"/>
                </c:ext>
              </c:extLst>
            </c:dLbl>
            <c:dLbl>
              <c:idx val="263"/>
              <c:layout>
                <c:manualLayout>
                  <c:x val="-2.2555336081473525E-2"/>
                  <c:y val="5.4329286307402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7-423E-AA26-F110B22733AD}"/>
                </c:ext>
              </c:extLst>
            </c:dLbl>
            <c:dLbl>
              <c:idx val="264"/>
              <c:layout>
                <c:manualLayout>
                  <c:x val="-1.2536520018009156E-3"/>
                  <c:y val="-3.5520138882262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D4-4157-A417-2A6543F3C6A5}"/>
                </c:ext>
              </c:extLst>
            </c:dLbl>
            <c:dLbl>
              <c:idx val="266"/>
              <c:layout>
                <c:manualLayout>
                  <c:x val="3.7609560054025627E-3"/>
                  <c:y val="-4.17883986850145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71-4F23-B7BE-75CED9122407}"/>
                </c:ext>
              </c:extLst>
            </c:dLbl>
            <c:dLbl>
              <c:idx val="267"/>
              <c:layout>
                <c:manualLayout>
                  <c:x val="0"/>
                  <c:y val="2.0894199342507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3A-4541-BDF4-BF8A04A46A2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Hoja1!$H$121:$H$388</c:f>
              <c:strCache>
                <c:ptCount val="268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</c:v>
                </c:pt>
                <c:pt idx="204">
                  <c:v>E-21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</c:v>
                </c:pt>
                <c:pt idx="216">
                  <c:v>E-22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</c:v>
                </c:pt>
                <c:pt idx="228">
                  <c:v>E-23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</c:v>
                </c:pt>
                <c:pt idx="240">
                  <c:v>E-24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</c:v>
                </c:pt>
                <c:pt idx="252">
                  <c:v>E-25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</c:v>
                </c:pt>
                <c:pt idx="264">
                  <c:v>E-26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</c:strCache>
            </c:strRef>
          </c:cat>
          <c:val>
            <c:numRef>
              <c:f>Hoja1!$F$121:$F$388</c:f>
              <c:numCache>
                <c:formatCode>_-* #,##0.0_-;\-* #,##0.0_-;_-* "-"??_-;_-@_-</c:formatCode>
                <c:ptCount val="268"/>
                <c:pt idx="0">
                  <c:v>128.27571489639539</c:v>
                </c:pt>
                <c:pt idx="1">
                  <c:v>96.84948375366217</c:v>
                </c:pt>
                <c:pt idx="2">
                  <c:v>88.194605230509097</c:v>
                </c:pt>
                <c:pt idx="3">
                  <c:v>82.542036487150455</c:v>
                </c:pt>
                <c:pt idx="4">
                  <c:v>100.7053028744081</c:v>
                </c:pt>
                <c:pt idx="5">
                  <c:v>91.937531222807095</c:v>
                </c:pt>
                <c:pt idx="6">
                  <c:v>92.006518816184553</c:v>
                </c:pt>
                <c:pt idx="7">
                  <c:v>95.747512646116249</c:v>
                </c:pt>
                <c:pt idx="8">
                  <c:v>99.656004880509926</c:v>
                </c:pt>
                <c:pt idx="9">
                  <c:v>110.36072335845022</c:v>
                </c:pt>
                <c:pt idx="10">
                  <c:v>102.3985297377546</c:v>
                </c:pt>
                <c:pt idx="11">
                  <c:v>111.32603609605225</c:v>
                </c:pt>
                <c:pt idx="12">
                  <c:v>186.00310583665203</c:v>
                </c:pt>
                <c:pt idx="13">
                  <c:v>76.20141339469258</c:v>
                </c:pt>
                <c:pt idx="14">
                  <c:v>116.49587598045996</c:v>
                </c:pt>
                <c:pt idx="15">
                  <c:v>125.87126044669026</c:v>
                </c:pt>
                <c:pt idx="16">
                  <c:v>120.0677275780027</c:v>
                </c:pt>
                <c:pt idx="17">
                  <c:v>113.90380561036307</c:v>
                </c:pt>
                <c:pt idx="18">
                  <c:v>127.98664109925627</c:v>
                </c:pt>
                <c:pt idx="19">
                  <c:v>114.567824719565</c:v>
                </c:pt>
                <c:pt idx="20">
                  <c:v>111.12385640554874</c:v>
                </c:pt>
                <c:pt idx="21">
                  <c:v>127.90708190204995</c:v>
                </c:pt>
                <c:pt idx="22">
                  <c:v>129.71199050704919</c:v>
                </c:pt>
                <c:pt idx="23">
                  <c:v>117.0710343095851</c:v>
                </c:pt>
                <c:pt idx="24">
                  <c:v>137.4142365689498</c:v>
                </c:pt>
                <c:pt idx="25">
                  <c:v>158.20253601314579</c:v>
                </c:pt>
                <c:pt idx="26">
                  <c:v>151.17716904453039</c:v>
                </c:pt>
                <c:pt idx="27">
                  <c:v>163.37432999512353</c:v>
                </c:pt>
                <c:pt idx="28">
                  <c:v>135.31566788507348</c:v>
                </c:pt>
                <c:pt idx="29">
                  <c:v>157.24813210847174</c:v>
                </c:pt>
                <c:pt idx="30">
                  <c:v>174.57788938836117</c:v>
                </c:pt>
                <c:pt idx="31">
                  <c:v>168.71659367674641</c:v>
                </c:pt>
                <c:pt idx="32">
                  <c:v>185.94634466958803</c:v>
                </c:pt>
                <c:pt idx="33">
                  <c:v>176.11761779956737</c:v>
                </c:pt>
                <c:pt idx="34">
                  <c:v>193.26321125449158</c:v>
                </c:pt>
                <c:pt idx="35">
                  <c:v>205.04404633438605</c:v>
                </c:pt>
                <c:pt idx="36">
                  <c:v>156.20681682946773</c:v>
                </c:pt>
                <c:pt idx="37">
                  <c:v>197.01552822777617</c:v>
                </c:pt>
                <c:pt idx="38">
                  <c:v>211.93907908690585</c:v>
                </c:pt>
                <c:pt idx="39">
                  <c:v>194.79703940169372</c:v>
                </c:pt>
                <c:pt idx="40">
                  <c:v>199.57817300135375</c:v>
                </c:pt>
                <c:pt idx="41">
                  <c:v>219.42040378795377</c:v>
                </c:pt>
                <c:pt idx="42">
                  <c:v>193.44245132166728</c:v>
                </c:pt>
                <c:pt idx="43">
                  <c:v>216.96113221429241</c:v>
                </c:pt>
                <c:pt idx="44">
                  <c:v>211.56738383242103</c:v>
                </c:pt>
                <c:pt idx="45">
                  <c:v>222.29022769453707</c:v>
                </c:pt>
                <c:pt idx="46">
                  <c:v>241.19139430977512</c:v>
                </c:pt>
                <c:pt idx="47">
                  <c:v>249.14451265278618</c:v>
                </c:pt>
                <c:pt idx="48">
                  <c:v>276.59171812900473</c:v>
                </c:pt>
                <c:pt idx="49">
                  <c:v>195.55789016252143</c:v>
                </c:pt>
                <c:pt idx="50">
                  <c:v>238.9020341450946</c:v>
                </c:pt>
                <c:pt idx="51">
                  <c:v>249.12699980474241</c:v>
                </c:pt>
                <c:pt idx="52">
                  <c:v>248.64146882328134</c:v>
                </c:pt>
                <c:pt idx="53">
                  <c:v>226.14869229925247</c:v>
                </c:pt>
                <c:pt idx="54">
                  <c:v>271.49337437004647</c:v>
                </c:pt>
                <c:pt idx="55">
                  <c:v>245.4670568030441</c:v>
                </c:pt>
                <c:pt idx="56">
                  <c:v>248.51490512076185</c:v>
                </c:pt>
                <c:pt idx="57">
                  <c:v>231.11461288405039</c:v>
                </c:pt>
                <c:pt idx="58">
                  <c:v>174.76213472860749</c:v>
                </c:pt>
                <c:pt idx="59">
                  <c:v>132.16545779542977</c:v>
                </c:pt>
                <c:pt idx="60">
                  <c:v>182.74611985561776</c:v>
                </c:pt>
                <c:pt idx="61">
                  <c:v>111.57381078790259</c:v>
                </c:pt>
                <c:pt idx="62">
                  <c:v>187.52278846972808</c:v>
                </c:pt>
                <c:pt idx="63">
                  <c:v>181.9352396203596</c:v>
                </c:pt>
                <c:pt idx="64">
                  <c:v>202.0424183181411</c:v>
                </c:pt>
                <c:pt idx="65">
                  <c:v>195.34212039324629</c:v>
                </c:pt>
                <c:pt idx="66">
                  <c:v>213.88058514081342</c:v>
                </c:pt>
                <c:pt idx="67">
                  <c:v>203.0136303968149</c:v>
                </c:pt>
                <c:pt idx="68">
                  <c:v>220.67941294477001</c:v>
                </c:pt>
                <c:pt idx="69">
                  <c:v>242.16684324421087</c:v>
                </c:pt>
                <c:pt idx="70">
                  <c:v>243.56962580869558</c:v>
                </c:pt>
                <c:pt idx="71">
                  <c:v>264.00270366961036</c:v>
                </c:pt>
                <c:pt idx="72">
                  <c:v>256.83816917228859</c:v>
                </c:pt>
                <c:pt idx="73">
                  <c:v>235.52195148721765</c:v>
                </c:pt>
                <c:pt idx="74">
                  <c:v>245.13773242118623</c:v>
                </c:pt>
                <c:pt idx="75">
                  <c:v>273.7150048540729</c:v>
                </c:pt>
                <c:pt idx="76">
                  <c:v>279.91383762462067</c:v>
                </c:pt>
                <c:pt idx="77">
                  <c:v>289.5684704794059</c:v>
                </c:pt>
                <c:pt idx="78">
                  <c:v>270.16222335749194</c:v>
                </c:pt>
                <c:pt idx="79">
                  <c:v>308.27544050157513</c:v>
                </c:pt>
                <c:pt idx="80">
                  <c:v>308.86405967541862</c:v>
                </c:pt>
                <c:pt idx="81">
                  <c:v>292.03922670991324</c:v>
                </c:pt>
                <c:pt idx="82">
                  <c:v>328.23466450997989</c:v>
                </c:pt>
                <c:pt idx="83">
                  <c:v>335.05058711452978</c:v>
                </c:pt>
                <c:pt idx="84">
                  <c:v>337.29651173603406</c:v>
                </c:pt>
                <c:pt idx="85">
                  <c:v>240.68931578246358</c:v>
                </c:pt>
                <c:pt idx="86">
                  <c:v>326.37787994494215</c:v>
                </c:pt>
                <c:pt idx="87">
                  <c:v>355.16817362090256</c:v>
                </c:pt>
                <c:pt idx="88">
                  <c:v>368.09426053788195</c:v>
                </c:pt>
                <c:pt idx="89">
                  <c:v>366.41268376206739</c:v>
                </c:pt>
                <c:pt idx="90">
                  <c:v>341.70823607493213</c:v>
                </c:pt>
                <c:pt idx="91">
                  <c:v>361.04223726576407</c:v>
                </c:pt>
                <c:pt idx="92">
                  <c:v>340.71493385418228</c:v>
                </c:pt>
                <c:pt idx="93">
                  <c:v>323.70880507635576</c:v>
                </c:pt>
                <c:pt idx="94">
                  <c:v>323.26428602197927</c:v>
                </c:pt>
                <c:pt idx="95">
                  <c:v>283.91165919190723</c:v>
                </c:pt>
                <c:pt idx="96">
                  <c:v>310.49815633133358</c:v>
                </c:pt>
                <c:pt idx="97">
                  <c:v>307.26266241210794</c:v>
                </c:pt>
                <c:pt idx="98">
                  <c:v>314.71173290823953</c:v>
                </c:pt>
                <c:pt idx="99">
                  <c:v>267.17641311401712</c:v>
                </c:pt>
                <c:pt idx="100">
                  <c:v>265.57697053472953</c:v>
                </c:pt>
                <c:pt idx="101">
                  <c:v>238.27273524431624</c:v>
                </c:pt>
                <c:pt idx="102">
                  <c:v>312.68732344463797</c:v>
                </c:pt>
                <c:pt idx="103">
                  <c:v>342.5316981723426</c:v>
                </c:pt>
                <c:pt idx="104">
                  <c:v>301.67193856055337</c:v>
                </c:pt>
                <c:pt idx="105">
                  <c:v>335.64406521804818</c:v>
                </c:pt>
                <c:pt idx="106">
                  <c:v>339.27651461103585</c:v>
                </c:pt>
                <c:pt idx="107">
                  <c:v>343.05629543124701</c:v>
                </c:pt>
                <c:pt idx="108">
                  <c:v>315.88610976507965</c:v>
                </c:pt>
                <c:pt idx="109">
                  <c:v>281.40973460399442</c:v>
                </c:pt>
                <c:pt idx="110">
                  <c:v>364.87531901428508</c:v>
                </c:pt>
                <c:pt idx="111">
                  <c:v>352.56535979109924</c:v>
                </c:pt>
                <c:pt idx="112">
                  <c:v>362.76150793724327</c:v>
                </c:pt>
                <c:pt idx="113">
                  <c:v>293.86580167342919</c:v>
                </c:pt>
                <c:pt idx="114">
                  <c:v>334.42510482074465</c:v>
                </c:pt>
                <c:pt idx="115">
                  <c:v>304.9663704046049</c:v>
                </c:pt>
                <c:pt idx="116">
                  <c:v>309.93996540497449</c:v>
                </c:pt>
                <c:pt idx="117">
                  <c:v>315.75048068084021</c:v>
                </c:pt>
                <c:pt idx="118">
                  <c:v>268.79935573766409</c:v>
                </c:pt>
                <c:pt idx="119">
                  <c:v>258.86269231336973</c:v>
                </c:pt>
                <c:pt idx="120">
                  <c:v>276.88484500312518</c:v>
                </c:pt>
                <c:pt idx="121">
                  <c:v>273.04565937938389</c:v>
                </c:pt>
                <c:pt idx="122">
                  <c:v>260.77093046090272</c:v>
                </c:pt>
                <c:pt idx="123">
                  <c:v>270.45036182230808</c:v>
                </c:pt>
                <c:pt idx="124">
                  <c:v>233.03621484975841</c:v>
                </c:pt>
                <c:pt idx="125">
                  <c:v>226.18869278145661</c:v>
                </c:pt>
                <c:pt idx="126">
                  <c:v>225.34651049558238</c:v>
                </c:pt>
                <c:pt idx="127">
                  <c:v>205.85884364442219</c:v>
                </c:pt>
                <c:pt idx="128">
                  <c:v>238.72877758681588</c:v>
                </c:pt>
                <c:pt idx="129">
                  <c:v>248.69324003835595</c:v>
                </c:pt>
                <c:pt idx="130">
                  <c:v>244.00261368294323</c:v>
                </c:pt>
                <c:pt idx="131">
                  <c:v>236.81783967746944</c:v>
                </c:pt>
                <c:pt idx="132">
                  <c:v>231.66791064869508</c:v>
                </c:pt>
                <c:pt idx="133">
                  <c:v>236.38170450098764</c:v>
                </c:pt>
                <c:pt idx="134">
                  <c:v>224.36791759580657</c:v>
                </c:pt>
                <c:pt idx="135">
                  <c:v>204.65679667636007</c:v>
                </c:pt>
                <c:pt idx="136">
                  <c:v>215.56985742844284</c:v>
                </c:pt>
                <c:pt idx="137">
                  <c:v>234.99163825242459</c:v>
                </c:pt>
                <c:pt idx="138">
                  <c:v>207.10757983199852</c:v>
                </c:pt>
                <c:pt idx="139">
                  <c:v>222.6547410058831</c:v>
                </c:pt>
                <c:pt idx="140">
                  <c:v>224.28294045724186</c:v>
                </c:pt>
                <c:pt idx="141">
                  <c:v>194.06298954259896</c:v>
                </c:pt>
                <c:pt idx="142">
                  <c:v>201.42254907622896</c:v>
                </c:pt>
                <c:pt idx="143">
                  <c:v>195.45824788901496</c:v>
                </c:pt>
                <c:pt idx="144">
                  <c:v>199.16575121738296</c:v>
                </c:pt>
                <c:pt idx="145">
                  <c:v>190.27748501699421</c:v>
                </c:pt>
                <c:pt idx="146">
                  <c:v>198.75100184403277</c:v>
                </c:pt>
                <c:pt idx="147">
                  <c:v>209.39254508608411</c:v>
                </c:pt>
                <c:pt idx="148">
                  <c:v>185.15215021025523</c:v>
                </c:pt>
                <c:pt idx="149">
                  <c:v>185.39111925201351</c:v>
                </c:pt>
                <c:pt idx="150">
                  <c:v>195.79320511418626</c:v>
                </c:pt>
                <c:pt idx="151">
                  <c:v>185.71447050898263</c:v>
                </c:pt>
                <c:pt idx="152">
                  <c:v>175.4785774101465</c:v>
                </c:pt>
                <c:pt idx="153">
                  <c:v>170.82703385295522</c:v>
                </c:pt>
                <c:pt idx="154">
                  <c:v>203.9674683676356</c:v>
                </c:pt>
                <c:pt idx="155">
                  <c:v>242.67386853786147</c:v>
                </c:pt>
                <c:pt idx="156">
                  <c:v>231.76742950612183</c:v>
                </c:pt>
                <c:pt idx="157">
                  <c:v>137.07345482576986</c:v>
                </c:pt>
                <c:pt idx="158">
                  <c:v>166.30249983224346</c:v>
                </c:pt>
                <c:pt idx="159">
                  <c:v>183.5747875142732</c:v>
                </c:pt>
                <c:pt idx="160">
                  <c:v>205.38921923644438</c:v>
                </c:pt>
                <c:pt idx="161">
                  <c:v>208.3333033257525</c:v>
                </c:pt>
                <c:pt idx="162">
                  <c:v>198.05645811381305</c:v>
                </c:pt>
                <c:pt idx="163">
                  <c:v>189.79215063540173</c:v>
                </c:pt>
                <c:pt idx="164">
                  <c:v>208.23579711918526</c:v>
                </c:pt>
                <c:pt idx="165">
                  <c:v>197.65561941707523</c:v>
                </c:pt>
                <c:pt idx="166">
                  <c:v>197.24472906846853</c:v>
                </c:pt>
                <c:pt idx="167">
                  <c:v>212.19491178522429</c:v>
                </c:pt>
                <c:pt idx="168">
                  <c:v>197.48968395492176</c:v>
                </c:pt>
                <c:pt idx="169">
                  <c:v>199.32071674208399</c:v>
                </c:pt>
                <c:pt idx="170">
                  <c:v>221.86874287887809</c:v>
                </c:pt>
                <c:pt idx="171">
                  <c:v>218.92337541382244</c:v>
                </c:pt>
                <c:pt idx="172">
                  <c:v>212.91342520532481</c:v>
                </c:pt>
                <c:pt idx="173">
                  <c:v>187.98409446401095</c:v>
                </c:pt>
                <c:pt idx="174">
                  <c:v>208.37543480864289</c:v>
                </c:pt>
                <c:pt idx="175">
                  <c:v>208.07821004300479</c:v>
                </c:pt>
                <c:pt idx="176">
                  <c:v>169.11017394902325</c:v>
                </c:pt>
                <c:pt idx="177">
                  <c:v>166.40903060481926</c:v>
                </c:pt>
                <c:pt idx="178">
                  <c:v>157.94676662102057</c:v>
                </c:pt>
                <c:pt idx="179">
                  <c:v>144.41308287866659</c:v>
                </c:pt>
                <c:pt idx="180">
                  <c:v>161.33092923856699</c:v>
                </c:pt>
                <c:pt idx="181">
                  <c:v>166.62934903831618</c:v>
                </c:pt>
                <c:pt idx="182">
                  <c:v>125.76090683960766</c:v>
                </c:pt>
                <c:pt idx="183">
                  <c:v>137.47091601981199</c:v>
                </c:pt>
                <c:pt idx="184">
                  <c:v>133.34749854406559</c:v>
                </c:pt>
                <c:pt idx="185">
                  <c:v>121.97661194577216</c:v>
                </c:pt>
                <c:pt idx="186">
                  <c:v>104.0352653424026</c:v>
                </c:pt>
                <c:pt idx="187">
                  <c:v>123.62593666109909</c:v>
                </c:pt>
                <c:pt idx="188">
                  <c:v>115.26305735668045</c:v>
                </c:pt>
                <c:pt idx="189">
                  <c:v>131.68719870783187</c:v>
                </c:pt>
                <c:pt idx="190">
                  <c:v>117.31690382559957</c:v>
                </c:pt>
                <c:pt idx="191">
                  <c:v>104.99592104143738</c:v>
                </c:pt>
                <c:pt idx="192">
                  <c:v>190.04754629929323</c:v>
                </c:pt>
                <c:pt idx="193">
                  <c:v>149.20385234817627</c:v>
                </c:pt>
                <c:pt idx="194">
                  <c:v>66.859519620733593</c:v>
                </c:pt>
                <c:pt idx="195">
                  <c:v>-9.4215498234706949</c:v>
                </c:pt>
                <c:pt idx="196">
                  <c:v>25.061479010161204</c:v>
                </c:pt>
                <c:pt idx="197">
                  <c:v>67.279002957505242</c:v>
                </c:pt>
                <c:pt idx="198">
                  <c:v>105.07439114347277</c:v>
                </c:pt>
                <c:pt idx="199">
                  <c:v>105.72173149828204</c:v>
                </c:pt>
                <c:pt idx="200">
                  <c:v>128.45793355189775</c:v>
                </c:pt>
                <c:pt idx="201">
                  <c:v>121.82757164719922</c:v>
                </c:pt>
                <c:pt idx="202">
                  <c:v>141.92254482640087</c:v>
                </c:pt>
                <c:pt idx="203">
                  <c:v>173.38374438794065</c:v>
                </c:pt>
                <c:pt idx="204">
                  <c:v>223.54577417857789</c:v>
                </c:pt>
                <c:pt idx="205">
                  <c:v>115.57231421994251</c:v>
                </c:pt>
                <c:pt idx="206">
                  <c:v>175.60269536503284</c:v>
                </c:pt>
                <c:pt idx="207">
                  <c:v>135.08274603603832</c:v>
                </c:pt>
                <c:pt idx="208">
                  <c:v>177.95646628916336</c:v>
                </c:pt>
                <c:pt idx="209">
                  <c:v>188.63278496140688</c:v>
                </c:pt>
                <c:pt idx="210">
                  <c:v>164.62034365717543</c:v>
                </c:pt>
                <c:pt idx="211">
                  <c:v>158.41672354389149</c:v>
                </c:pt>
                <c:pt idx="212">
                  <c:v>183.40941028201351</c:v>
                </c:pt>
                <c:pt idx="213">
                  <c:v>188.26612200352361</c:v>
                </c:pt>
                <c:pt idx="214">
                  <c:v>198.78608344093598</c:v>
                </c:pt>
                <c:pt idx="215">
                  <c:v>221.70156426890193</c:v>
                </c:pt>
                <c:pt idx="216">
                  <c:v>196.51177161743854</c:v>
                </c:pt>
                <c:pt idx="217">
                  <c:v>196.8907886042995</c:v>
                </c:pt>
                <c:pt idx="218">
                  <c:v>203.32621520099582</c:v>
                </c:pt>
                <c:pt idx="219">
                  <c:v>213.42197456415684</c:v>
                </c:pt>
                <c:pt idx="220">
                  <c:v>230.33860888318699</c:v>
                </c:pt>
                <c:pt idx="221">
                  <c:v>229.15035230520525</c:v>
                </c:pt>
                <c:pt idx="222">
                  <c:v>232.63502891991124</c:v>
                </c:pt>
                <c:pt idx="223">
                  <c:v>227.18673989957017</c:v>
                </c:pt>
                <c:pt idx="224">
                  <c:v>223.72966994624673</c:v>
                </c:pt>
                <c:pt idx="225">
                  <c:v>242.42418781729521</c:v>
                </c:pt>
                <c:pt idx="226">
                  <c:v>229.09403926070925</c:v>
                </c:pt>
                <c:pt idx="227">
                  <c:v>217.5789766689158</c:v>
                </c:pt>
                <c:pt idx="228">
                  <c:v>230.75732607187302</c:v>
                </c:pt>
                <c:pt idx="229">
                  <c:v>243.84590252206695</c:v>
                </c:pt>
                <c:pt idx="230">
                  <c:v>265.1583885462062</c:v>
                </c:pt>
                <c:pt idx="231">
                  <c:v>272.26942847573372</c:v>
                </c:pt>
                <c:pt idx="232">
                  <c:v>258.64785126717413</c:v>
                </c:pt>
                <c:pt idx="233">
                  <c:v>254.98351566007216</c:v>
                </c:pt>
                <c:pt idx="234">
                  <c:v>257.43076182582888</c:v>
                </c:pt>
                <c:pt idx="235">
                  <c:v>271.32945447463544</c:v>
                </c:pt>
                <c:pt idx="236">
                  <c:v>252.28120402679966</c:v>
                </c:pt>
                <c:pt idx="237">
                  <c:v>230.43534591879498</c:v>
                </c:pt>
                <c:pt idx="238">
                  <c:v>243.18876921689969</c:v>
                </c:pt>
                <c:pt idx="239">
                  <c:v>228.03578249968965</c:v>
                </c:pt>
                <c:pt idx="240">
                  <c:v>198.63061823760847</c:v>
                </c:pt>
                <c:pt idx="241">
                  <c:v>213.45661810657367</c:v>
                </c:pt>
                <c:pt idx="242">
                  <c:v>193.20764134279972</c:v>
                </c:pt>
                <c:pt idx="243">
                  <c:v>200.73143028321411</c:v>
                </c:pt>
                <c:pt idx="244">
                  <c:v>186.27496961974927</c:v>
                </c:pt>
                <c:pt idx="245">
                  <c:v>164.3159514481728</c:v>
                </c:pt>
                <c:pt idx="246">
                  <c:v>219.43181106957863</c:v>
                </c:pt>
                <c:pt idx="247">
                  <c:v>218.19122284638075</c:v>
                </c:pt>
                <c:pt idx="248">
                  <c:v>215.80361731596821</c:v>
                </c:pt>
                <c:pt idx="249">
                  <c:v>223.78116011076585</c:v>
                </c:pt>
                <c:pt idx="250">
                  <c:v>236.49665955514246</c:v>
                </c:pt>
                <c:pt idx="251">
                  <c:v>228.94434998518253</c:v>
                </c:pt>
                <c:pt idx="252">
                  <c:v>231.63146313581439</c:v>
                </c:pt>
                <c:pt idx="253">
                  <c:v>230.12610996054539</c:v>
                </c:pt>
                <c:pt idx="254">
                  <c:v>187.01431889991954</c:v>
                </c:pt>
                <c:pt idx="255">
                  <c:v>213.51203079756513</c:v>
                </c:pt>
                <c:pt idx="256">
                  <c:v>241.72621235085833</c:v>
                </c:pt>
                <c:pt idx="257">
                  <c:v>211.15950874021848</c:v>
                </c:pt>
                <c:pt idx="258">
                  <c:v>182.05145952294629</c:v>
                </c:pt>
                <c:pt idx="259">
                  <c:v>189.15364042072338</c:v>
                </c:pt>
                <c:pt idx="260">
                  <c:v>195.26021431857939</c:v>
                </c:pt>
                <c:pt idx="261">
                  <c:v>197.65351352683251</c:v>
                </c:pt>
                <c:pt idx="262">
                  <c:v>167.21684031371439</c:v>
                </c:pt>
                <c:pt idx="263">
                  <c:v>165.80509546674458</c:v>
                </c:pt>
                <c:pt idx="264">
                  <c:v>191.35116129101274</c:v>
                </c:pt>
                <c:pt idx="265">
                  <c:v>168.51941727827426</c:v>
                </c:pt>
                <c:pt idx="266">
                  <c:v>181.48608535953599</c:v>
                </c:pt>
                <c:pt idx="267">
                  <c:v>175.31194147789054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E2-42BF-A651-EAABA4B8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680"/>
        <c:axId val="408531968"/>
      </c:lineChart>
      <c:catAx>
        <c:axId val="40859068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31968"/>
        <c:crosses val="autoZero"/>
        <c:auto val="1"/>
        <c:lblAlgn val="ctr"/>
        <c:lblOffset val="100"/>
        <c:tickLblSkip val="6"/>
        <c:tickMarkSkip val="12"/>
        <c:noMultiLvlLbl val="0"/>
      </c:catAx>
      <c:valAx>
        <c:axId val="408531968"/>
        <c:scaling>
          <c:orientation val="minMax"/>
          <c:max val="420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Montserrat" pitchFamily="2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391835056369E-2"/>
          <c:y val="6.2795693962465982E-2"/>
          <c:w val="0.90513808255257155"/>
          <c:h val="0.85667715184443805"/>
        </c:manualLayout>
      </c:layout>
      <c:lineChart>
        <c:grouping val="standard"/>
        <c:varyColors val="0"/>
        <c:ser>
          <c:idx val="1"/>
          <c:order val="0"/>
          <c:tx>
            <c:v>Con ajuste estacional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9"/>
              <c:layout>
                <c:manualLayout>
                  <c:x val="8.7706853506271838E-3"/>
                  <c:y val="-1.4613490437944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4E-4896-B9F8-ACC5ABD3E651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4E-4896-B9F8-ACC5ABD3E651}"/>
                </c:ext>
              </c:extLst>
            </c:dLbl>
            <c:dLbl>
              <c:idx val="155"/>
              <c:layout>
                <c:manualLayout>
                  <c:x val="-2.5059101001791823E-3"/>
                  <c:y val="-3.9665188331563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E-4896-B9F8-ACC5ABD3E651}"/>
                </c:ext>
              </c:extLst>
            </c:dLbl>
            <c:dLbl>
              <c:idx val="215"/>
              <c:layout>
                <c:manualLayout>
                  <c:x val="-6.3986314812076048E-2"/>
                  <c:y val="-3.97527324031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B6-45F8-9AD4-3BFE28C7ACFE}"/>
                </c:ext>
              </c:extLst>
            </c:dLbl>
            <c:dLbl>
              <c:idx val="235"/>
              <c:layout>
                <c:manualLayout>
                  <c:x val="-3.011456576732683E-2"/>
                  <c:y val="-2.5102319955092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4B-4748-B7FF-AF4B49F5B367}"/>
                </c:ext>
              </c:extLst>
            </c:dLbl>
            <c:dLbl>
              <c:idx val="241"/>
              <c:layout>
                <c:manualLayout>
                  <c:x val="-6.5185187524873817E-2"/>
                  <c:y val="2.5077722014767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9-4A31-A401-B8575DF7470E}"/>
                </c:ext>
              </c:extLst>
            </c:dLbl>
            <c:dLbl>
              <c:idx val="242"/>
              <c:layout>
                <c:manualLayout>
                  <c:x val="-6.520075303863411E-2"/>
                  <c:y val="6.4790595528081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A6-4941-ADC0-CDDDFF8722DF}"/>
                </c:ext>
              </c:extLst>
            </c:dLbl>
            <c:dLbl>
              <c:idx val="244"/>
              <c:layout>
                <c:manualLayout>
                  <c:x val="0"/>
                  <c:y val="-8.29878588031074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A-4D07-A292-4134E6C6B8ED}"/>
                </c:ext>
              </c:extLst>
            </c:dLbl>
            <c:dLbl>
              <c:idx val="245"/>
              <c:layout>
                <c:manualLayout>
                  <c:x val="-1.2529550500895912E-3"/>
                  <c:y val="3.13146223670238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4E-4896-B9F8-ACC5ABD3E651}"/>
                </c:ext>
              </c:extLst>
            </c:dLbl>
            <c:dLbl>
              <c:idx val="247"/>
              <c:layout>
                <c:manualLayout>
                  <c:x val="-3.7588651502687737E-3"/>
                  <c:y val="-4.38404713138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02-4E13-8AA9-FF8E591E8FF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Hoja1!$H$121:$H$368</c:f>
              <c:strCache>
                <c:ptCount val="248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</c:v>
                </c:pt>
                <c:pt idx="204">
                  <c:v>E-21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</c:v>
                </c:pt>
                <c:pt idx="216">
                  <c:v>E-22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</c:v>
                </c:pt>
                <c:pt idx="228">
                  <c:v>E-23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</c:v>
                </c:pt>
                <c:pt idx="240">
                  <c:v>E-24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</c:strCache>
            </c:strRef>
          </c:cat>
          <c:val>
            <c:numRef>
              <c:f>Hoja1!$F$121:$F$368</c:f>
              <c:numCache>
                <c:formatCode>_-* #,##0.0_-;\-* #,##0.0_-;_-* "-"??_-;_-@_-</c:formatCode>
                <c:ptCount val="248"/>
                <c:pt idx="0">
                  <c:v>128.27571489639539</c:v>
                </c:pt>
                <c:pt idx="1">
                  <c:v>96.84948375366217</c:v>
                </c:pt>
                <c:pt idx="2">
                  <c:v>88.194605230509097</c:v>
                </c:pt>
                <c:pt idx="3">
                  <c:v>82.542036487150455</c:v>
                </c:pt>
                <c:pt idx="4">
                  <c:v>100.7053028744081</c:v>
                </c:pt>
                <c:pt idx="5">
                  <c:v>91.937531222807095</c:v>
                </c:pt>
                <c:pt idx="6">
                  <c:v>92.006518816184553</c:v>
                </c:pt>
                <c:pt idx="7">
                  <c:v>95.747512646116249</c:v>
                </c:pt>
                <c:pt idx="8">
                  <c:v>99.656004880509926</c:v>
                </c:pt>
                <c:pt idx="9">
                  <c:v>110.36072335845022</c:v>
                </c:pt>
                <c:pt idx="10">
                  <c:v>102.3985297377546</c:v>
                </c:pt>
                <c:pt idx="11">
                  <c:v>111.32603609605225</c:v>
                </c:pt>
                <c:pt idx="12">
                  <c:v>186.00310583665203</c:v>
                </c:pt>
                <c:pt idx="13">
                  <c:v>76.20141339469258</c:v>
                </c:pt>
                <c:pt idx="14">
                  <c:v>116.49587598045996</c:v>
                </c:pt>
                <c:pt idx="15">
                  <c:v>125.87126044669026</c:v>
                </c:pt>
                <c:pt idx="16">
                  <c:v>120.0677275780027</c:v>
                </c:pt>
                <c:pt idx="17">
                  <c:v>113.90380561036307</c:v>
                </c:pt>
                <c:pt idx="18">
                  <c:v>127.98664109925627</c:v>
                </c:pt>
                <c:pt idx="19">
                  <c:v>114.567824719565</c:v>
                </c:pt>
                <c:pt idx="20">
                  <c:v>111.12385640554874</c:v>
                </c:pt>
                <c:pt idx="21">
                  <c:v>127.90708190204995</c:v>
                </c:pt>
                <c:pt idx="22">
                  <c:v>129.71199050704919</c:v>
                </c:pt>
                <c:pt idx="23">
                  <c:v>117.0710343095851</c:v>
                </c:pt>
                <c:pt idx="24">
                  <c:v>137.4142365689498</c:v>
                </c:pt>
                <c:pt idx="25">
                  <c:v>158.20253601314579</c:v>
                </c:pt>
                <c:pt idx="26">
                  <c:v>151.17716904453039</c:v>
                </c:pt>
                <c:pt idx="27">
                  <c:v>163.37432999512353</c:v>
                </c:pt>
                <c:pt idx="28">
                  <c:v>135.31566788507348</c:v>
                </c:pt>
                <c:pt idx="29">
                  <c:v>157.24813210847174</c:v>
                </c:pt>
                <c:pt idx="30">
                  <c:v>174.57788938836117</c:v>
                </c:pt>
                <c:pt idx="31">
                  <c:v>168.71659367674641</c:v>
                </c:pt>
                <c:pt idx="32">
                  <c:v>185.94634466958803</c:v>
                </c:pt>
                <c:pt idx="33">
                  <c:v>176.11761779956737</c:v>
                </c:pt>
                <c:pt idx="34">
                  <c:v>193.26321125449158</c:v>
                </c:pt>
                <c:pt idx="35">
                  <c:v>205.04404633438605</c:v>
                </c:pt>
                <c:pt idx="36">
                  <c:v>156.20681682946773</c:v>
                </c:pt>
                <c:pt idx="37">
                  <c:v>197.01552822777617</c:v>
                </c:pt>
                <c:pt idx="38">
                  <c:v>211.93907908690585</c:v>
                </c:pt>
                <c:pt idx="39">
                  <c:v>194.79703940169372</c:v>
                </c:pt>
                <c:pt idx="40">
                  <c:v>199.57817300135375</c:v>
                </c:pt>
                <c:pt idx="41">
                  <c:v>219.42040378795377</c:v>
                </c:pt>
                <c:pt idx="42">
                  <c:v>193.44245132166728</c:v>
                </c:pt>
                <c:pt idx="43">
                  <c:v>216.96113221429241</c:v>
                </c:pt>
                <c:pt idx="44">
                  <c:v>211.56738383242103</c:v>
                </c:pt>
                <c:pt idx="45">
                  <c:v>222.29022769453707</c:v>
                </c:pt>
                <c:pt idx="46">
                  <c:v>241.19139430977512</c:v>
                </c:pt>
                <c:pt idx="47">
                  <c:v>249.14451265278618</c:v>
                </c:pt>
                <c:pt idx="48">
                  <c:v>276.59171812900473</c:v>
                </c:pt>
                <c:pt idx="49">
                  <c:v>195.55789016252143</c:v>
                </c:pt>
                <c:pt idx="50">
                  <c:v>238.9020341450946</c:v>
                </c:pt>
                <c:pt idx="51">
                  <c:v>249.12699980474241</c:v>
                </c:pt>
                <c:pt idx="52">
                  <c:v>248.64146882328134</c:v>
                </c:pt>
                <c:pt idx="53">
                  <c:v>226.14869229925247</c:v>
                </c:pt>
                <c:pt idx="54">
                  <c:v>271.49337437004647</c:v>
                </c:pt>
                <c:pt idx="55">
                  <c:v>245.4670568030441</c:v>
                </c:pt>
                <c:pt idx="56">
                  <c:v>248.51490512076185</c:v>
                </c:pt>
                <c:pt idx="57">
                  <c:v>231.11461288405039</c:v>
                </c:pt>
                <c:pt idx="58">
                  <c:v>174.76213472860749</c:v>
                </c:pt>
                <c:pt idx="59">
                  <c:v>132.16545779542977</c:v>
                </c:pt>
                <c:pt idx="60">
                  <c:v>182.74611985561776</c:v>
                </c:pt>
                <c:pt idx="61">
                  <c:v>111.57381078790259</c:v>
                </c:pt>
                <c:pt idx="62">
                  <c:v>187.52278846972808</c:v>
                </c:pt>
                <c:pt idx="63">
                  <c:v>181.9352396203596</c:v>
                </c:pt>
                <c:pt idx="64">
                  <c:v>202.0424183181411</c:v>
                </c:pt>
                <c:pt idx="65">
                  <c:v>195.34212039324629</c:v>
                </c:pt>
                <c:pt idx="66">
                  <c:v>213.88058514081342</c:v>
                </c:pt>
                <c:pt idx="67">
                  <c:v>203.0136303968149</c:v>
                </c:pt>
                <c:pt idx="68">
                  <c:v>220.67941294477001</c:v>
                </c:pt>
                <c:pt idx="69">
                  <c:v>242.16684324421087</c:v>
                </c:pt>
                <c:pt idx="70">
                  <c:v>243.56962580869558</c:v>
                </c:pt>
                <c:pt idx="71">
                  <c:v>264.00270366961036</c:v>
                </c:pt>
                <c:pt idx="72">
                  <c:v>256.83816917228859</c:v>
                </c:pt>
                <c:pt idx="73">
                  <c:v>235.52195148721765</c:v>
                </c:pt>
                <c:pt idx="74">
                  <c:v>245.13773242118623</c:v>
                </c:pt>
                <c:pt idx="75">
                  <c:v>273.7150048540729</c:v>
                </c:pt>
                <c:pt idx="76">
                  <c:v>279.91383762462067</c:v>
                </c:pt>
                <c:pt idx="77">
                  <c:v>289.5684704794059</c:v>
                </c:pt>
                <c:pt idx="78">
                  <c:v>270.16222335749194</c:v>
                </c:pt>
                <c:pt idx="79">
                  <c:v>308.27544050157513</c:v>
                </c:pt>
                <c:pt idx="80">
                  <c:v>308.86405967541862</c:v>
                </c:pt>
                <c:pt idx="81">
                  <c:v>292.03922670991324</c:v>
                </c:pt>
                <c:pt idx="82">
                  <c:v>328.23466450997989</c:v>
                </c:pt>
                <c:pt idx="83">
                  <c:v>335.05058711452978</c:v>
                </c:pt>
                <c:pt idx="84">
                  <c:v>337.29651173603406</c:v>
                </c:pt>
                <c:pt idx="85">
                  <c:v>240.68931578246358</c:v>
                </c:pt>
                <c:pt idx="86">
                  <c:v>326.37787994494215</c:v>
                </c:pt>
                <c:pt idx="87">
                  <c:v>355.16817362090256</c:v>
                </c:pt>
                <c:pt idx="88">
                  <c:v>368.09426053788195</c:v>
                </c:pt>
                <c:pt idx="89">
                  <c:v>366.41268376206739</c:v>
                </c:pt>
                <c:pt idx="90">
                  <c:v>341.70823607493213</c:v>
                </c:pt>
                <c:pt idx="91">
                  <c:v>361.04223726576407</c:v>
                </c:pt>
                <c:pt idx="92">
                  <c:v>340.71493385418228</c:v>
                </c:pt>
                <c:pt idx="93">
                  <c:v>323.70880507635576</c:v>
                </c:pt>
                <c:pt idx="94">
                  <c:v>323.26428602197927</c:v>
                </c:pt>
                <c:pt idx="95">
                  <c:v>283.91165919190723</c:v>
                </c:pt>
                <c:pt idx="96">
                  <c:v>310.49815633133358</c:v>
                </c:pt>
                <c:pt idx="97">
                  <c:v>307.26266241210794</c:v>
                </c:pt>
                <c:pt idx="98">
                  <c:v>314.71173290823953</c:v>
                </c:pt>
                <c:pt idx="99">
                  <c:v>267.17641311401712</c:v>
                </c:pt>
                <c:pt idx="100">
                  <c:v>265.57697053472953</c:v>
                </c:pt>
                <c:pt idx="101">
                  <c:v>238.27273524431624</c:v>
                </c:pt>
                <c:pt idx="102">
                  <c:v>312.68732344463797</c:v>
                </c:pt>
                <c:pt idx="103">
                  <c:v>342.5316981723426</c:v>
                </c:pt>
                <c:pt idx="104">
                  <c:v>301.67193856055337</c:v>
                </c:pt>
                <c:pt idx="105">
                  <c:v>335.64406521804818</c:v>
                </c:pt>
                <c:pt idx="106">
                  <c:v>339.27651461103585</c:v>
                </c:pt>
                <c:pt idx="107">
                  <c:v>343.05629543124701</c:v>
                </c:pt>
                <c:pt idx="108">
                  <c:v>315.88610976507965</c:v>
                </c:pt>
                <c:pt idx="109">
                  <c:v>281.40973460399442</c:v>
                </c:pt>
                <c:pt idx="110">
                  <c:v>364.87531901428508</c:v>
                </c:pt>
                <c:pt idx="111">
                  <c:v>352.56535979109924</c:v>
                </c:pt>
                <c:pt idx="112">
                  <c:v>362.76150793724327</c:v>
                </c:pt>
                <c:pt idx="113">
                  <c:v>293.86580167342919</c:v>
                </c:pt>
                <c:pt idx="114">
                  <c:v>334.42510482074465</c:v>
                </c:pt>
                <c:pt idx="115">
                  <c:v>304.9663704046049</c:v>
                </c:pt>
                <c:pt idx="116">
                  <c:v>309.93996540497449</c:v>
                </c:pt>
                <c:pt idx="117">
                  <c:v>315.75048068084021</c:v>
                </c:pt>
                <c:pt idx="118">
                  <c:v>268.79935573766409</c:v>
                </c:pt>
                <c:pt idx="119">
                  <c:v>258.86269231336973</c:v>
                </c:pt>
                <c:pt idx="120">
                  <c:v>276.88484500312518</c:v>
                </c:pt>
                <c:pt idx="121">
                  <c:v>273.04565937938389</c:v>
                </c:pt>
                <c:pt idx="122">
                  <c:v>260.77093046090272</c:v>
                </c:pt>
                <c:pt idx="123">
                  <c:v>270.45036182230808</c:v>
                </c:pt>
                <c:pt idx="124">
                  <c:v>233.03621484975841</c:v>
                </c:pt>
                <c:pt idx="125">
                  <c:v>226.18869278145661</c:v>
                </c:pt>
                <c:pt idx="126">
                  <c:v>225.34651049558238</c:v>
                </c:pt>
                <c:pt idx="127">
                  <c:v>205.85884364442219</c:v>
                </c:pt>
                <c:pt idx="128">
                  <c:v>238.72877758681588</c:v>
                </c:pt>
                <c:pt idx="129">
                  <c:v>248.69324003835595</c:v>
                </c:pt>
                <c:pt idx="130">
                  <c:v>244.00261368294323</c:v>
                </c:pt>
                <c:pt idx="131">
                  <c:v>236.81783967746944</c:v>
                </c:pt>
                <c:pt idx="132">
                  <c:v>231.66791064869508</c:v>
                </c:pt>
                <c:pt idx="133">
                  <c:v>236.38170450098764</c:v>
                </c:pt>
                <c:pt idx="134">
                  <c:v>224.36791759580657</c:v>
                </c:pt>
                <c:pt idx="135">
                  <c:v>204.65679667636007</c:v>
                </c:pt>
                <c:pt idx="136">
                  <c:v>215.56985742844284</c:v>
                </c:pt>
                <c:pt idx="137">
                  <c:v>234.99163825242459</c:v>
                </c:pt>
                <c:pt idx="138">
                  <c:v>207.10757983199852</c:v>
                </c:pt>
                <c:pt idx="139">
                  <c:v>222.6547410058831</c:v>
                </c:pt>
                <c:pt idx="140">
                  <c:v>224.28294045724186</c:v>
                </c:pt>
                <c:pt idx="141">
                  <c:v>194.06298954259896</c:v>
                </c:pt>
                <c:pt idx="142">
                  <c:v>201.42254907622896</c:v>
                </c:pt>
                <c:pt idx="143">
                  <c:v>195.45824788901496</c:v>
                </c:pt>
                <c:pt idx="144">
                  <c:v>199.16575121738296</c:v>
                </c:pt>
                <c:pt idx="145">
                  <c:v>190.27748501699421</c:v>
                </c:pt>
                <c:pt idx="146">
                  <c:v>198.75100184403277</c:v>
                </c:pt>
                <c:pt idx="147">
                  <c:v>209.39254508608411</c:v>
                </c:pt>
                <c:pt idx="148">
                  <c:v>185.15215021025523</c:v>
                </c:pt>
                <c:pt idx="149">
                  <c:v>185.39111925201351</c:v>
                </c:pt>
                <c:pt idx="150">
                  <c:v>195.79320511418626</c:v>
                </c:pt>
                <c:pt idx="151">
                  <c:v>185.71447050898263</c:v>
                </c:pt>
                <c:pt idx="152">
                  <c:v>175.4785774101465</c:v>
                </c:pt>
                <c:pt idx="153">
                  <c:v>170.82703385295522</c:v>
                </c:pt>
                <c:pt idx="154">
                  <c:v>203.9674683676356</c:v>
                </c:pt>
                <c:pt idx="155">
                  <c:v>242.67386853786147</c:v>
                </c:pt>
                <c:pt idx="156">
                  <c:v>231.76742950612183</c:v>
                </c:pt>
                <c:pt idx="157">
                  <c:v>137.07345482576986</c:v>
                </c:pt>
                <c:pt idx="158">
                  <c:v>166.30249983224346</c:v>
                </c:pt>
                <c:pt idx="159">
                  <c:v>183.5747875142732</c:v>
                </c:pt>
                <c:pt idx="160">
                  <c:v>205.38921923644438</c:v>
                </c:pt>
                <c:pt idx="161">
                  <c:v>208.3333033257525</c:v>
                </c:pt>
                <c:pt idx="162">
                  <c:v>198.05645811381305</c:v>
                </c:pt>
                <c:pt idx="163">
                  <c:v>189.79215063540173</c:v>
                </c:pt>
                <c:pt idx="164">
                  <c:v>208.23579711918526</c:v>
                </c:pt>
                <c:pt idx="165">
                  <c:v>197.65561941707523</c:v>
                </c:pt>
                <c:pt idx="166">
                  <c:v>197.24472906846853</c:v>
                </c:pt>
                <c:pt idx="167">
                  <c:v>212.19491178522429</c:v>
                </c:pt>
                <c:pt idx="168">
                  <c:v>197.48968395492176</c:v>
                </c:pt>
                <c:pt idx="169">
                  <c:v>199.32071674208399</c:v>
                </c:pt>
                <c:pt idx="170">
                  <c:v>221.86874287887809</c:v>
                </c:pt>
                <c:pt idx="171">
                  <c:v>218.92337541382244</c:v>
                </c:pt>
                <c:pt idx="172">
                  <c:v>212.91342520532481</c:v>
                </c:pt>
                <c:pt idx="173">
                  <c:v>187.98409446401095</c:v>
                </c:pt>
                <c:pt idx="174">
                  <c:v>208.37543480864289</c:v>
                </c:pt>
                <c:pt idx="175">
                  <c:v>208.07821004300479</c:v>
                </c:pt>
                <c:pt idx="176">
                  <c:v>169.11017394902325</c:v>
                </c:pt>
                <c:pt idx="177">
                  <c:v>166.40903060481926</c:v>
                </c:pt>
                <c:pt idx="178">
                  <c:v>157.94676662102057</c:v>
                </c:pt>
                <c:pt idx="179">
                  <c:v>144.41308287866659</c:v>
                </c:pt>
                <c:pt idx="180">
                  <c:v>161.33092923856699</c:v>
                </c:pt>
                <c:pt idx="181">
                  <c:v>166.62934903831618</c:v>
                </c:pt>
                <c:pt idx="182">
                  <c:v>125.76090683960766</c:v>
                </c:pt>
                <c:pt idx="183">
                  <c:v>137.47091601981199</c:v>
                </c:pt>
                <c:pt idx="184">
                  <c:v>133.34749854406559</c:v>
                </c:pt>
                <c:pt idx="185">
                  <c:v>121.97661194577216</c:v>
                </c:pt>
                <c:pt idx="186">
                  <c:v>104.0352653424026</c:v>
                </c:pt>
                <c:pt idx="187">
                  <c:v>123.62593666109909</c:v>
                </c:pt>
                <c:pt idx="188">
                  <c:v>115.26305735668045</c:v>
                </c:pt>
                <c:pt idx="189">
                  <c:v>131.68719870783187</c:v>
                </c:pt>
                <c:pt idx="190">
                  <c:v>117.31690382559957</c:v>
                </c:pt>
                <c:pt idx="191">
                  <c:v>104.99592104143738</c:v>
                </c:pt>
                <c:pt idx="192">
                  <c:v>190.04754629929323</c:v>
                </c:pt>
                <c:pt idx="193">
                  <c:v>149.20385234817627</c:v>
                </c:pt>
                <c:pt idx="194">
                  <c:v>66.859519620733593</c:v>
                </c:pt>
                <c:pt idx="195">
                  <c:v>-9.4215498234706949</c:v>
                </c:pt>
                <c:pt idx="196">
                  <c:v>25.061479010161204</c:v>
                </c:pt>
                <c:pt idx="197">
                  <c:v>67.279002957505242</c:v>
                </c:pt>
                <c:pt idx="198">
                  <c:v>105.07439114347277</c:v>
                </c:pt>
                <c:pt idx="199">
                  <c:v>105.72173149828204</c:v>
                </c:pt>
                <c:pt idx="200">
                  <c:v>128.45793355189775</c:v>
                </c:pt>
                <c:pt idx="201">
                  <c:v>121.82757164719922</c:v>
                </c:pt>
                <c:pt idx="202">
                  <c:v>141.92254482640087</c:v>
                </c:pt>
                <c:pt idx="203">
                  <c:v>173.38374438794065</c:v>
                </c:pt>
                <c:pt idx="204">
                  <c:v>223.54577417857789</c:v>
                </c:pt>
                <c:pt idx="205">
                  <c:v>115.57231421994251</c:v>
                </c:pt>
                <c:pt idx="206">
                  <c:v>175.60269536503284</c:v>
                </c:pt>
                <c:pt idx="207">
                  <c:v>135.08274603603832</c:v>
                </c:pt>
                <c:pt idx="208">
                  <c:v>177.95646628916336</c:v>
                </c:pt>
                <c:pt idx="209">
                  <c:v>188.63278496140688</c:v>
                </c:pt>
                <c:pt idx="210">
                  <c:v>164.62034365717543</c:v>
                </c:pt>
                <c:pt idx="211">
                  <c:v>158.41672354389149</c:v>
                </c:pt>
                <c:pt idx="212">
                  <c:v>183.40941028201351</c:v>
                </c:pt>
                <c:pt idx="213">
                  <c:v>188.26612200352361</c:v>
                </c:pt>
                <c:pt idx="214">
                  <c:v>198.78608344093598</c:v>
                </c:pt>
                <c:pt idx="215">
                  <c:v>221.70156426890193</c:v>
                </c:pt>
                <c:pt idx="216">
                  <c:v>196.51177161743854</c:v>
                </c:pt>
                <c:pt idx="217">
                  <c:v>196.8907886042995</c:v>
                </c:pt>
                <c:pt idx="218">
                  <c:v>203.32621520099582</c:v>
                </c:pt>
                <c:pt idx="219">
                  <c:v>213.42197456415684</c:v>
                </c:pt>
                <c:pt idx="220">
                  <c:v>230.33860888318699</c:v>
                </c:pt>
                <c:pt idx="221">
                  <c:v>229.15035230520525</c:v>
                </c:pt>
                <c:pt idx="222">
                  <c:v>232.63502891991124</c:v>
                </c:pt>
                <c:pt idx="223">
                  <c:v>227.18673989957017</c:v>
                </c:pt>
                <c:pt idx="224">
                  <c:v>223.72966994624673</c:v>
                </c:pt>
                <c:pt idx="225">
                  <c:v>242.42418781729521</c:v>
                </c:pt>
                <c:pt idx="226">
                  <c:v>229.09403926070925</c:v>
                </c:pt>
                <c:pt idx="227">
                  <c:v>217.5789766689158</c:v>
                </c:pt>
                <c:pt idx="228">
                  <c:v>230.75732607187302</c:v>
                </c:pt>
                <c:pt idx="229">
                  <c:v>243.84590252206695</c:v>
                </c:pt>
                <c:pt idx="230">
                  <c:v>265.1583885462062</c:v>
                </c:pt>
                <c:pt idx="231">
                  <c:v>272.26942847573372</c:v>
                </c:pt>
                <c:pt idx="232">
                  <c:v>258.64785126717413</c:v>
                </c:pt>
                <c:pt idx="233">
                  <c:v>254.98351566007216</c:v>
                </c:pt>
                <c:pt idx="234">
                  <c:v>257.43076182582888</c:v>
                </c:pt>
                <c:pt idx="235">
                  <c:v>271.32945447463544</c:v>
                </c:pt>
                <c:pt idx="236">
                  <c:v>252.28120402679966</c:v>
                </c:pt>
                <c:pt idx="237">
                  <c:v>230.43534591879498</c:v>
                </c:pt>
                <c:pt idx="238">
                  <c:v>243.18876921689969</c:v>
                </c:pt>
                <c:pt idx="239">
                  <c:v>228.03578249968965</c:v>
                </c:pt>
                <c:pt idx="240">
                  <c:v>198.63061823760847</c:v>
                </c:pt>
                <c:pt idx="241">
                  <c:v>213.45661810657367</c:v>
                </c:pt>
                <c:pt idx="242">
                  <c:v>193.20764134279972</c:v>
                </c:pt>
                <c:pt idx="243">
                  <c:v>200.73143028321411</c:v>
                </c:pt>
                <c:pt idx="244">
                  <c:v>186.27496961974927</c:v>
                </c:pt>
                <c:pt idx="245">
                  <c:v>164.3159514481728</c:v>
                </c:pt>
                <c:pt idx="246">
                  <c:v>219.43181106957863</c:v>
                </c:pt>
                <c:pt idx="247">
                  <c:v>218.19122284638075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4-4F3F-99B6-B80782128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680"/>
        <c:axId val="408531968"/>
      </c:lineChart>
      <c:catAx>
        <c:axId val="40859068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31968"/>
        <c:crosses val="autoZero"/>
        <c:auto val="1"/>
        <c:lblAlgn val="ctr"/>
        <c:lblOffset val="100"/>
        <c:tickLblSkip val="6"/>
        <c:tickMarkSkip val="12"/>
        <c:noMultiLvlLbl val="0"/>
      </c:catAx>
      <c:valAx>
        <c:axId val="408531968"/>
        <c:scaling>
          <c:orientation val="minMax"/>
          <c:max val="420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391835056369E-2"/>
          <c:y val="6.2795693962465982E-2"/>
          <c:w val="0.93775126931363217"/>
          <c:h val="0.7952813332653923"/>
        </c:manualLayout>
      </c:layout>
      <c:lineChart>
        <c:grouping val="standard"/>
        <c:varyColors val="0"/>
        <c:ser>
          <c:idx val="0"/>
          <c:order val="0"/>
          <c:tx>
            <c:v>Original</c:v>
          </c:tx>
          <c:spPr>
            <a:ln w="28575" cap="rnd">
              <a:solidFill>
                <a:srgbClr val="336600"/>
              </a:solidFill>
              <a:round/>
            </a:ln>
            <a:effectLst/>
          </c:spPr>
          <c:marker>
            <c:symbol val="none"/>
          </c:marker>
          <c:cat>
            <c:strRef>
              <c:f>Hoja1!$H$253:$H$323</c:f>
              <c:strCache>
                <c:ptCount val="71"/>
                <c:pt idx="0">
                  <c:v>E-15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E-16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E-17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E-18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E-19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E-20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</c:strCache>
            </c:strRef>
          </c:cat>
          <c:val>
            <c:numRef>
              <c:f>Hoja1!$E$253:$E$323</c:f>
              <c:numCache>
                <c:formatCode>_-* #,##0.0_-;\-* #,##0.0_-;_-* "-"??_-;_-@_-</c:formatCode>
                <c:ptCount val="71"/>
                <c:pt idx="0">
                  <c:v>123.82429617382122</c:v>
                </c:pt>
                <c:pt idx="1">
                  <c:v>216.8951023765772</c:v>
                </c:pt>
                <c:pt idx="2">
                  <c:v>247.7075258959741</c:v>
                </c:pt>
                <c:pt idx="3">
                  <c:v>219.22297753567727</c:v>
                </c:pt>
                <c:pt idx="4">
                  <c:v>216.10441060312758</c:v>
                </c:pt>
                <c:pt idx="5">
                  <c:v>255.1577086309</c:v>
                </c:pt>
                <c:pt idx="6">
                  <c:v>213.59482367000484</c:v>
                </c:pt>
                <c:pt idx="7">
                  <c:v>233.64205236082066</c:v>
                </c:pt>
                <c:pt idx="8">
                  <c:v>260.17688249714541</c:v>
                </c:pt>
                <c:pt idx="9">
                  <c:v>222.17947721031499</c:v>
                </c:pt>
                <c:pt idx="10">
                  <c:v>223.3483259188927</c:v>
                </c:pt>
                <c:pt idx="11">
                  <c:v>154.62689743516285</c:v>
                </c:pt>
                <c:pt idx="12">
                  <c:v>87.344429756530772</c:v>
                </c:pt>
                <c:pt idx="13">
                  <c:v>167.83292339047978</c:v>
                </c:pt>
                <c:pt idx="14">
                  <c:v>226.93836123809561</c:v>
                </c:pt>
                <c:pt idx="15">
                  <c:v>218.28495189139855</c:v>
                </c:pt>
                <c:pt idx="16">
                  <c:v>195.30577917108326</c:v>
                </c:pt>
                <c:pt idx="17">
                  <c:v>204.57307964623502</c:v>
                </c:pt>
                <c:pt idx="18">
                  <c:v>185.17903111609499</c:v>
                </c:pt>
                <c:pt idx="19">
                  <c:v>213.8894914116631</c:v>
                </c:pt>
                <c:pt idx="20">
                  <c:v>209.20918544832466</c:v>
                </c:pt>
                <c:pt idx="21">
                  <c:v>185.7978333735773</c:v>
                </c:pt>
                <c:pt idx="22">
                  <c:v>230.63644139590656</c:v>
                </c:pt>
                <c:pt idx="23">
                  <c:v>196.87242933089959</c:v>
                </c:pt>
                <c:pt idx="24">
                  <c:v>131.43163503763151</c:v>
                </c:pt>
                <c:pt idx="25">
                  <c:v>126.29950520375046</c:v>
                </c:pt>
                <c:pt idx="26">
                  <c:v>194.84904417151299</c:v>
                </c:pt>
                <c:pt idx="27">
                  <c:v>185.30180934178594</c:v>
                </c:pt>
                <c:pt idx="28">
                  <c:v>222.34154446822703</c:v>
                </c:pt>
                <c:pt idx="29">
                  <c:v>223.43672624139015</c:v>
                </c:pt>
                <c:pt idx="30">
                  <c:v>187.45288385589109</c:v>
                </c:pt>
                <c:pt idx="31">
                  <c:v>222.28752204892302</c:v>
                </c:pt>
                <c:pt idx="32">
                  <c:v>230.63153026687894</c:v>
                </c:pt>
                <c:pt idx="33">
                  <c:v>215.3726523780096</c:v>
                </c:pt>
                <c:pt idx="34">
                  <c:v>222.12054366198336</c:v>
                </c:pt>
                <c:pt idx="35">
                  <c:v>163.44237403977195</c:v>
                </c:pt>
                <c:pt idx="36">
                  <c:v>107.34745828609782</c:v>
                </c:pt>
                <c:pt idx="37">
                  <c:v>191.95147804520693</c:v>
                </c:pt>
                <c:pt idx="38">
                  <c:v>243.86211186733405</c:v>
                </c:pt>
                <c:pt idx="39">
                  <c:v>224.93953172384721</c:v>
                </c:pt>
                <c:pt idx="40">
                  <c:v>230.0127280093966</c:v>
                </c:pt>
                <c:pt idx="41">
                  <c:v>193.59670626946547</c:v>
                </c:pt>
                <c:pt idx="42">
                  <c:v>203.56629819556935</c:v>
                </c:pt>
                <c:pt idx="43">
                  <c:v>242.29055057849007</c:v>
                </c:pt>
                <c:pt idx="44">
                  <c:v>183.02304547296217</c:v>
                </c:pt>
                <c:pt idx="45">
                  <c:v>189.8593370794334</c:v>
                </c:pt>
                <c:pt idx="46">
                  <c:v>180.7688372492766</c:v>
                </c:pt>
                <c:pt idx="47">
                  <c:v>100.55536684087531</c:v>
                </c:pt>
                <c:pt idx="48">
                  <c:v>72.699442996116119</c:v>
                </c:pt>
                <c:pt idx="49">
                  <c:v>160.40729630069205</c:v>
                </c:pt>
                <c:pt idx="50">
                  <c:v>143.53756809075767</c:v>
                </c:pt>
                <c:pt idx="51">
                  <c:v>148.77774276324672</c:v>
                </c:pt>
                <c:pt idx="52">
                  <c:v>148.7089869568598</c:v>
                </c:pt>
                <c:pt idx="53">
                  <c:v>117.45456182497553</c:v>
                </c:pt>
                <c:pt idx="54">
                  <c:v>106.30629893223869</c:v>
                </c:pt>
                <c:pt idx="55">
                  <c:v>151.33644098664581</c:v>
                </c:pt>
                <c:pt idx="56">
                  <c:v>135.97442938819609</c:v>
                </c:pt>
                <c:pt idx="57">
                  <c:v>156.34088146580828</c:v>
                </c:pt>
                <c:pt idx="58">
                  <c:v>133.08668551994532</c:v>
                </c:pt>
                <c:pt idx="59">
                  <c:v>71.329237997405286</c:v>
                </c:pt>
                <c:pt idx="60">
                  <c:v>101.57688167862389</c:v>
                </c:pt>
                <c:pt idx="61">
                  <c:v>128.34253487924761</c:v>
                </c:pt>
                <c:pt idx="62">
                  <c:v>94.116876685642708</c:v>
                </c:pt>
                <c:pt idx="63">
                  <c:v>0</c:v>
                </c:pt>
                <c:pt idx="64">
                  <c:v>23.583241590714689</c:v>
                </c:pt>
                <c:pt idx="65">
                  <c:v>76.893547185718433</c:v>
                </c:pt>
                <c:pt idx="66">
                  <c:v>104.68562635311835</c:v>
                </c:pt>
                <c:pt idx="67">
                  <c:v>126.87901842901167</c:v>
                </c:pt>
                <c:pt idx="68">
                  <c:v>157.88788710951408</c:v>
                </c:pt>
                <c:pt idx="69">
                  <c:v>140.97886986735858</c:v>
                </c:pt>
                <c:pt idx="70">
                  <c:v>159.9554724301494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FD-4E81-A0AB-154DBDF86E19}"/>
            </c:ext>
          </c:extLst>
        </c:ser>
        <c:ser>
          <c:idx val="1"/>
          <c:order val="1"/>
          <c:tx>
            <c:v>Con ajuste estacional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Hoja1!$H$253:$H$323</c:f>
              <c:strCache>
                <c:ptCount val="71"/>
                <c:pt idx="0">
                  <c:v>E-15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E-16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E-17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E-18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E-19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E-20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</c:strCache>
            </c:strRef>
          </c:cat>
          <c:val>
            <c:numRef>
              <c:f>Hoja1!$F$253:$F$323</c:f>
              <c:numCache>
                <c:formatCode>_-* #,##0.0_-;\-* #,##0.0_-;_-* "-"??_-;_-@_-</c:formatCode>
                <c:ptCount val="71"/>
                <c:pt idx="0">
                  <c:v>231.66791064869508</c:v>
                </c:pt>
                <c:pt idx="1">
                  <c:v>236.38170450098764</c:v>
                </c:pt>
                <c:pt idx="2">
                  <c:v>224.36791759580657</c:v>
                </c:pt>
                <c:pt idx="3">
                  <c:v>204.65679667636007</c:v>
                </c:pt>
                <c:pt idx="4">
                  <c:v>215.56985742844284</c:v>
                </c:pt>
                <c:pt idx="5">
                  <c:v>234.99163825242459</c:v>
                </c:pt>
                <c:pt idx="6">
                  <c:v>207.10757983199852</c:v>
                </c:pt>
                <c:pt idx="7">
                  <c:v>222.6547410058831</c:v>
                </c:pt>
                <c:pt idx="8">
                  <c:v>224.28294045724186</c:v>
                </c:pt>
                <c:pt idx="9">
                  <c:v>194.06298954259896</c:v>
                </c:pt>
                <c:pt idx="10">
                  <c:v>201.42254907622896</c:v>
                </c:pt>
                <c:pt idx="11">
                  <c:v>195.45824788901496</c:v>
                </c:pt>
                <c:pt idx="12">
                  <c:v>199.16575121738296</c:v>
                </c:pt>
                <c:pt idx="13">
                  <c:v>190.27748501699421</c:v>
                </c:pt>
                <c:pt idx="14">
                  <c:v>198.75100184403277</c:v>
                </c:pt>
                <c:pt idx="15">
                  <c:v>209.39254508608411</c:v>
                </c:pt>
                <c:pt idx="16">
                  <c:v>185.15215021025523</c:v>
                </c:pt>
                <c:pt idx="17">
                  <c:v>185.39111925201351</c:v>
                </c:pt>
                <c:pt idx="18">
                  <c:v>195.79320511418626</c:v>
                </c:pt>
                <c:pt idx="19">
                  <c:v>185.71447050898263</c:v>
                </c:pt>
                <c:pt idx="20">
                  <c:v>175.4785774101465</c:v>
                </c:pt>
                <c:pt idx="21">
                  <c:v>170.82703385295522</c:v>
                </c:pt>
                <c:pt idx="22">
                  <c:v>203.9674683676356</c:v>
                </c:pt>
                <c:pt idx="23">
                  <c:v>242.67386853786147</c:v>
                </c:pt>
                <c:pt idx="24">
                  <c:v>231.76742950612183</c:v>
                </c:pt>
                <c:pt idx="25">
                  <c:v>137.07345482576986</c:v>
                </c:pt>
                <c:pt idx="26">
                  <c:v>166.30249983224346</c:v>
                </c:pt>
                <c:pt idx="27">
                  <c:v>183.5747875142732</c:v>
                </c:pt>
                <c:pt idx="28">
                  <c:v>205.38921923644438</c:v>
                </c:pt>
                <c:pt idx="29">
                  <c:v>208.3333033257525</c:v>
                </c:pt>
                <c:pt idx="30">
                  <c:v>198.05645811381305</c:v>
                </c:pt>
                <c:pt idx="31">
                  <c:v>189.79215063540173</c:v>
                </c:pt>
                <c:pt idx="32">
                  <c:v>208.23579711918526</c:v>
                </c:pt>
                <c:pt idx="33">
                  <c:v>197.65561941707523</c:v>
                </c:pt>
                <c:pt idx="34">
                  <c:v>197.24472906846853</c:v>
                </c:pt>
                <c:pt idx="35">
                  <c:v>212.19491178522429</c:v>
                </c:pt>
                <c:pt idx="36">
                  <c:v>197.48968395492176</c:v>
                </c:pt>
                <c:pt idx="37">
                  <c:v>199.32071674208399</c:v>
                </c:pt>
                <c:pt idx="38">
                  <c:v>221.86874287887809</c:v>
                </c:pt>
                <c:pt idx="39">
                  <c:v>218.92337541382244</c:v>
                </c:pt>
                <c:pt idx="40">
                  <c:v>212.91342520532481</c:v>
                </c:pt>
                <c:pt idx="41">
                  <c:v>187.98409446401095</c:v>
                </c:pt>
                <c:pt idx="42">
                  <c:v>208.37543480864289</c:v>
                </c:pt>
                <c:pt idx="43">
                  <c:v>208.07821004300479</c:v>
                </c:pt>
                <c:pt idx="44">
                  <c:v>169.11017394902325</c:v>
                </c:pt>
                <c:pt idx="45">
                  <c:v>166.40903060481926</c:v>
                </c:pt>
                <c:pt idx="46">
                  <c:v>157.94676662102057</c:v>
                </c:pt>
                <c:pt idx="47">
                  <c:v>144.41308287866659</c:v>
                </c:pt>
                <c:pt idx="48">
                  <c:v>161.33092923856699</c:v>
                </c:pt>
                <c:pt idx="49">
                  <c:v>166.62934903831618</c:v>
                </c:pt>
                <c:pt idx="50">
                  <c:v>125.76090683960766</c:v>
                </c:pt>
                <c:pt idx="51">
                  <c:v>137.47091601981199</c:v>
                </c:pt>
                <c:pt idx="52">
                  <c:v>133.34749854406559</c:v>
                </c:pt>
                <c:pt idx="53">
                  <c:v>121.97661194577216</c:v>
                </c:pt>
                <c:pt idx="54">
                  <c:v>104.0352653424026</c:v>
                </c:pt>
                <c:pt idx="55">
                  <c:v>123.62593666109909</c:v>
                </c:pt>
                <c:pt idx="56">
                  <c:v>115.26305735668045</c:v>
                </c:pt>
                <c:pt idx="57">
                  <c:v>131.68719870783187</c:v>
                </c:pt>
                <c:pt idx="58">
                  <c:v>117.31690382559957</c:v>
                </c:pt>
                <c:pt idx="59">
                  <c:v>104.99592104143738</c:v>
                </c:pt>
                <c:pt idx="60">
                  <c:v>190.04754629929323</c:v>
                </c:pt>
                <c:pt idx="61">
                  <c:v>149.20385234817627</c:v>
                </c:pt>
                <c:pt idx="62">
                  <c:v>66.859519620733593</c:v>
                </c:pt>
                <c:pt idx="63">
                  <c:v>-9.4215498234706949</c:v>
                </c:pt>
                <c:pt idx="64">
                  <c:v>25.061479010161204</c:v>
                </c:pt>
                <c:pt idx="65">
                  <c:v>67.279002957505242</c:v>
                </c:pt>
                <c:pt idx="66">
                  <c:v>105.07439114347277</c:v>
                </c:pt>
                <c:pt idx="67">
                  <c:v>105.72173149828204</c:v>
                </c:pt>
                <c:pt idx="68">
                  <c:v>128.45793355189775</c:v>
                </c:pt>
                <c:pt idx="69">
                  <c:v>121.82757164719922</c:v>
                </c:pt>
                <c:pt idx="70">
                  <c:v>141.92254482640087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FD-4E81-A0AB-154DBDF8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90680"/>
        <c:axId val="408531968"/>
      </c:lineChart>
      <c:catAx>
        <c:axId val="40859068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31968"/>
        <c:crosses val="autoZero"/>
        <c:auto val="1"/>
        <c:lblAlgn val="ctr"/>
        <c:lblOffset val="100"/>
        <c:tickLblSkip val="6"/>
        <c:tickMarkSkip val="12"/>
        <c:noMultiLvlLbl val="0"/>
      </c:catAx>
      <c:valAx>
        <c:axId val="408531968"/>
        <c:scaling>
          <c:orientation val="minMax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366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21163014822079437"/>
          <c:y val="0.63874527221054267"/>
          <c:w val="0.52366673069829206"/>
          <c:h val="4.756996322084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19A950-4DD2-4F10-9E64-1D7DC59B902E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E724A0-FCC0-448B-A463-549FF67FE1BF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363EC9-1F71-431F-8A83-876421154E16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779790-E195-9A70-540D-680CD3E261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PRODUCCIÓN AUTOMOTRIZ</a:t>
          </a:r>
        </a:p>
        <a:p xmlns:a="http://schemas.openxmlformats.org/drawingml/2006/main">
          <a:pPr algn="l" rtl="0">
            <a:defRPr sz="1000"/>
          </a:pPr>
          <a:r>
            <a:rPr lang="es-ES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Índice con ajuste estacional 2004 = 100 | E'04 a A'26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Montserrat" pitchFamily="2" charset="0"/>
              <a:ea typeface="Tahoma"/>
              <a:cs typeface="Tahoma"/>
            </a:rPr>
            <a:t>Fuente: En base a datos del ADEFA y CENSUS-X13.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988F48-EECF-4DE2-A2A9-51D65E290C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400" b="1" i="0" u="none" strike="noStrike" baseline="0">
              <a:solidFill>
                <a:schemeClr val="accent6">
                  <a:lumMod val="75000"/>
                </a:schemeClr>
              </a:solidFill>
              <a:latin typeface="Tahoma"/>
              <a:ea typeface="Tahoma"/>
              <a:cs typeface="Tahoma"/>
            </a:rPr>
            <a:t>PRODUCCIÓN AUTOMOTRIZ</a:t>
          </a:r>
        </a:p>
        <a:p xmlns:a="http://schemas.openxmlformats.org/drawingml/2006/main">
          <a:pPr algn="l" rtl="0">
            <a:defRPr sz="1000"/>
          </a:pPr>
          <a:r>
            <a:rPr lang="es-ES" sz="1800" b="0" i="0" u="none" strike="noStrike" baseline="0">
              <a:solidFill>
                <a:srgbClr val="808080"/>
              </a:solidFill>
              <a:latin typeface="Tahoma"/>
              <a:ea typeface="Tahoma"/>
              <a:cs typeface="Tahoma"/>
            </a:rPr>
            <a:t>Índice con ajuste estacional 2004 = 100 | E'04 a J'24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4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Fuente: Elaborado por [CL] en base a datos del ADEFA y CENSUS-X13.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822740-DF3E-4CA3-96E0-2B1FFDC772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400" b="1" i="0" u="none" strike="noStrike" baseline="0">
              <a:solidFill>
                <a:schemeClr val="accent6">
                  <a:lumMod val="75000"/>
                </a:schemeClr>
              </a:solidFill>
              <a:latin typeface="Tahoma"/>
              <a:ea typeface="Tahoma"/>
              <a:cs typeface="Tahoma"/>
            </a:rPr>
            <a:t>PRODUCCIÓN AUTOMOTRIZ</a:t>
          </a:r>
        </a:p>
        <a:p xmlns:a="http://schemas.openxmlformats.org/drawingml/2006/main">
          <a:pPr algn="l" rtl="0">
            <a:defRPr sz="1000"/>
          </a:pPr>
          <a:r>
            <a:rPr lang="es-ES" sz="1800" b="0" i="0" u="none" strike="noStrike" baseline="0">
              <a:solidFill>
                <a:srgbClr val="808080"/>
              </a:solidFill>
              <a:latin typeface="Tahoma"/>
              <a:ea typeface="Tahoma"/>
              <a:cs typeface="Tahoma"/>
            </a:rPr>
            <a:t>Índices 2004 = 100 | E'15 a N'20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4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Fuente: Elaborado por [CL] en base a datos del INDEC, BCRA y CENSUS-X13.</a:t>
          </a:r>
        </a:p>
      </cdr:txBody>
    </cdr:sp>
  </cdr:relSizeAnchor>
  <cdr:relSizeAnchor xmlns:cdr="http://schemas.openxmlformats.org/drawingml/2006/chartDrawing">
    <cdr:from>
      <cdr:x>0.80943</cdr:x>
      <cdr:y>0.0086</cdr:y>
    </cdr:from>
    <cdr:to>
      <cdr:x>0.98968</cdr:x>
      <cdr:y>0.1052</cdr:y>
    </cdr:to>
    <cdr:pic>
      <cdr:nvPicPr>
        <cdr:cNvPr id="4" name="Imagen 3">
          <a:extLst xmlns:a="http://schemas.openxmlformats.org/drawingml/2006/main">
            <a:ext uri="{FF2B5EF4-FFF2-40B4-BE49-F238E27FC236}">
              <a16:creationId xmlns:a16="http://schemas.microsoft.com/office/drawing/2014/main" id="{8A42BE45-2E7C-4B2A-9670-CE761FC03724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185123" y="52192"/>
          <a:ext cx="1822651" cy="58611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9E6F-66F7-45E1-8AC5-CAE60C392E3E}">
  <dimension ref="A1:AC561"/>
  <sheetViews>
    <sheetView tabSelected="1" topLeftCell="A542" workbookViewId="0">
      <selection activeCell="L561" sqref="L561:S561"/>
    </sheetView>
  </sheetViews>
  <sheetFormatPr baseColWidth="10" defaultColWidth="11.42578125" defaultRowHeight="14.25" x14ac:dyDescent="0.2"/>
  <cols>
    <col min="1" max="1" width="11.42578125" style="6"/>
    <col min="2" max="2" width="10.7109375" style="6" bestFit="1" customWidth="1"/>
    <col min="3" max="3" width="13.5703125" style="6" bestFit="1" customWidth="1"/>
    <col min="4" max="4" width="10.7109375" style="6" bestFit="1" customWidth="1"/>
    <col min="5" max="5" width="10.7109375" style="5" bestFit="1" customWidth="1"/>
    <col min="6" max="6" width="8" style="5" bestFit="1" customWidth="1"/>
    <col min="7" max="7" width="7.7109375" style="5" bestFit="1" customWidth="1"/>
    <col min="8" max="8" width="8.85546875" style="1" customWidth="1"/>
    <col min="9" max="12" width="10.5703125" style="6" customWidth="1"/>
    <col min="13" max="16384" width="11.42578125" style="6"/>
  </cols>
  <sheetData>
    <row r="1" spans="1:20" x14ac:dyDescent="0.2">
      <c r="A1" s="3">
        <v>34335</v>
      </c>
      <c r="B1" s="4">
        <v>33418</v>
      </c>
      <c r="C1" s="5">
        <v>54184.919853681902</v>
      </c>
      <c r="D1" s="4">
        <v>22464.977645248098</v>
      </c>
      <c r="E1" s="5">
        <f>+B1/AVERAGE(B$121:B$132)*100</f>
        <v>164.12010984558592</v>
      </c>
      <c r="F1" s="5">
        <f>+C1/AVERAGE(C$121:C$132)*100</f>
        <v>266.72199140020302</v>
      </c>
      <c r="G1" s="5">
        <f>+D1/AVERAGE(D$121:D$132)*100</f>
        <v>112.30291835421954</v>
      </c>
      <c r="H1" s="1" t="s">
        <v>0</v>
      </c>
      <c r="O1" s="7"/>
      <c r="R1" s="7"/>
      <c r="S1" s="7"/>
      <c r="T1" s="7"/>
    </row>
    <row r="2" spans="1:20" x14ac:dyDescent="0.2">
      <c r="A2" s="3">
        <v>34366</v>
      </c>
      <c r="B2" s="4">
        <v>7980</v>
      </c>
      <c r="C2" s="5">
        <v>11377.410415660001</v>
      </c>
      <c r="D2" s="4">
        <v>24165.918231207099</v>
      </c>
      <c r="E2" s="5">
        <f t="shared" ref="E2:E65" si="0">+B2/AVERAGE(B$121:B$132)*100</f>
        <v>39.190809640546284</v>
      </c>
      <c r="F2" s="5">
        <f t="shared" ref="F2:G65" si="1">+C2/AVERAGE(C$121:C$132)*100</f>
        <v>56.00461477541603</v>
      </c>
      <c r="G2" s="5">
        <f t="shared" si="1"/>
        <v>120.8059578304568</v>
      </c>
      <c r="H2" s="1" t="s">
        <v>2</v>
      </c>
      <c r="I2" s="8"/>
      <c r="O2" s="7"/>
      <c r="R2" s="7"/>
      <c r="S2" s="7"/>
      <c r="T2" s="7"/>
    </row>
    <row r="3" spans="1:20" x14ac:dyDescent="0.2">
      <c r="A3" s="3">
        <v>34394</v>
      </c>
      <c r="B3" s="4">
        <v>32323</v>
      </c>
      <c r="C3" s="5">
        <v>27975.131324678299</v>
      </c>
      <c r="D3" s="4">
        <v>26107.853173462801</v>
      </c>
      <c r="E3" s="5">
        <f t="shared" si="0"/>
        <v>158.74242356032298</v>
      </c>
      <c r="F3" s="5">
        <f t="shared" si="1"/>
        <v>137.70589228053228</v>
      </c>
      <c r="G3" s="5">
        <f t="shared" si="1"/>
        <v>130.51373340509568</v>
      </c>
      <c r="H3" s="1" t="s">
        <v>3</v>
      </c>
      <c r="I3" s="8"/>
      <c r="O3" s="7"/>
      <c r="R3" s="7"/>
      <c r="S3" s="7"/>
      <c r="T3" s="7"/>
    </row>
    <row r="4" spans="1:20" x14ac:dyDescent="0.2">
      <c r="A4" s="3">
        <v>34425</v>
      </c>
      <c r="B4" s="4">
        <v>33896</v>
      </c>
      <c r="C4" s="5">
        <v>34619.232720471198</v>
      </c>
      <c r="D4" s="4">
        <v>28117.7370180045</v>
      </c>
      <c r="E4" s="5">
        <f t="shared" si="0"/>
        <v>166.46762952079658</v>
      </c>
      <c r="F4" s="5">
        <f t="shared" si="1"/>
        <v>170.41107963037263</v>
      </c>
      <c r="G4" s="5">
        <f t="shared" si="1"/>
        <v>140.56118703978808</v>
      </c>
      <c r="H4" s="1" t="s">
        <v>4</v>
      </c>
      <c r="I4" s="8"/>
      <c r="O4" s="7"/>
      <c r="R4" s="7"/>
      <c r="S4" s="7"/>
      <c r="T4" s="7"/>
    </row>
    <row r="5" spans="1:20" x14ac:dyDescent="0.2">
      <c r="A5" s="3">
        <v>34455</v>
      </c>
      <c r="B5" s="4">
        <v>32975</v>
      </c>
      <c r="C5" s="5">
        <v>29650.927593224598</v>
      </c>
      <c r="D5" s="4">
        <v>30103.619319454501</v>
      </c>
      <c r="E5" s="5">
        <f t="shared" si="0"/>
        <v>161.94447968634256</v>
      </c>
      <c r="F5" s="5">
        <f t="shared" si="1"/>
        <v>145.95489807651163</v>
      </c>
      <c r="G5" s="5">
        <f t="shared" si="1"/>
        <v>150.4886564315951</v>
      </c>
      <c r="H5" s="1" t="s">
        <v>3</v>
      </c>
      <c r="I5" s="8"/>
      <c r="O5" s="7"/>
      <c r="R5" s="7"/>
      <c r="S5" s="7"/>
      <c r="T5" s="7"/>
    </row>
    <row r="6" spans="1:20" x14ac:dyDescent="0.2">
      <c r="A6" s="3">
        <v>34486</v>
      </c>
      <c r="B6" s="4">
        <v>32982</v>
      </c>
      <c r="C6" s="5">
        <v>31585.568568543698</v>
      </c>
      <c r="D6" s="4">
        <v>31918.490003500501</v>
      </c>
      <c r="E6" s="5">
        <f t="shared" si="0"/>
        <v>161.97885758953601</v>
      </c>
      <c r="F6" s="5">
        <f t="shared" si="1"/>
        <v>155.47805128915735</v>
      </c>
      <c r="G6" s="5">
        <f t="shared" si="1"/>
        <v>159.56123497907458</v>
      </c>
      <c r="H6" s="1" t="s">
        <v>5</v>
      </c>
      <c r="I6" s="8"/>
      <c r="O6" s="7"/>
      <c r="R6" s="7"/>
      <c r="S6" s="7"/>
      <c r="T6" s="7"/>
    </row>
    <row r="7" spans="1:20" x14ac:dyDescent="0.2">
      <c r="A7" s="3">
        <v>34516</v>
      </c>
      <c r="B7" s="4">
        <v>34681</v>
      </c>
      <c r="C7" s="5">
        <v>32738.744906158299</v>
      </c>
      <c r="D7" s="4">
        <v>33346.729899997903</v>
      </c>
      <c r="E7" s="5">
        <f t="shared" si="0"/>
        <v>170.32286580749192</v>
      </c>
      <c r="F7" s="5">
        <f t="shared" si="1"/>
        <v>161.15449207812088</v>
      </c>
      <c r="G7" s="5">
        <f t="shared" si="1"/>
        <v>166.70103769864303</v>
      </c>
      <c r="H7" s="1" t="s">
        <v>5</v>
      </c>
      <c r="I7" s="8"/>
      <c r="O7" s="7"/>
      <c r="R7" s="7"/>
      <c r="S7" s="7"/>
      <c r="T7" s="7"/>
    </row>
    <row r="8" spans="1:20" x14ac:dyDescent="0.2">
      <c r="A8" s="3">
        <v>34547</v>
      </c>
      <c r="B8" s="4">
        <v>40460</v>
      </c>
      <c r="C8" s="5">
        <v>34574.880033895803</v>
      </c>
      <c r="D8" s="4">
        <v>34278.139625280302</v>
      </c>
      <c r="E8" s="5">
        <f t="shared" si="0"/>
        <v>198.7042804582083</v>
      </c>
      <c r="F8" s="5">
        <f t="shared" si="1"/>
        <v>170.19275621272649</v>
      </c>
      <c r="G8" s="5">
        <f t="shared" si="1"/>
        <v>171.35717544266797</v>
      </c>
      <c r="H8" s="1" t="s">
        <v>4</v>
      </c>
      <c r="I8" s="8"/>
      <c r="O8" s="7"/>
      <c r="R8" s="7"/>
      <c r="S8" s="7"/>
      <c r="T8" s="7"/>
    </row>
    <row r="9" spans="1:20" x14ac:dyDescent="0.2">
      <c r="A9" s="3">
        <v>34578</v>
      </c>
      <c r="B9" s="4">
        <v>40250</v>
      </c>
      <c r="C9" s="5">
        <v>35853.527564119497</v>
      </c>
      <c r="D9" s="4">
        <v>34741.174395000497</v>
      </c>
      <c r="E9" s="5">
        <f t="shared" si="0"/>
        <v>197.67294336240448</v>
      </c>
      <c r="F9" s="5">
        <f t="shared" si="1"/>
        <v>176.48682136002486</v>
      </c>
      <c r="G9" s="5">
        <f t="shared" si="1"/>
        <v>173.67189646132209</v>
      </c>
      <c r="H9" s="1" t="s">
        <v>6</v>
      </c>
      <c r="I9" s="8"/>
      <c r="O9" s="7"/>
      <c r="R9" s="7"/>
      <c r="S9" s="7"/>
      <c r="T9" s="7"/>
    </row>
    <row r="10" spans="1:20" x14ac:dyDescent="0.2">
      <c r="A10" s="3">
        <v>34608</v>
      </c>
      <c r="B10" s="4">
        <v>36106</v>
      </c>
      <c r="C10" s="5">
        <v>34197.938022183698</v>
      </c>
      <c r="D10" s="4">
        <v>34735.585860228501</v>
      </c>
      <c r="E10" s="5">
        <f t="shared" si="0"/>
        <v>177.3212246718752</v>
      </c>
      <c r="F10" s="5">
        <f t="shared" si="1"/>
        <v>168.33728195387846</v>
      </c>
      <c r="G10" s="5">
        <f t="shared" si="1"/>
        <v>173.64395925283119</v>
      </c>
      <c r="H10" s="1" t="s">
        <v>7</v>
      </c>
      <c r="I10" s="8"/>
      <c r="O10" s="7"/>
      <c r="R10" s="7"/>
      <c r="S10" s="7"/>
      <c r="T10" s="7"/>
    </row>
    <row r="11" spans="1:20" x14ac:dyDescent="0.2">
      <c r="A11" s="3">
        <v>34639</v>
      </c>
      <c r="B11" s="4">
        <v>37768</v>
      </c>
      <c r="C11" s="5">
        <v>33917.7733169766</v>
      </c>
      <c r="D11" s="4">
        <v>34220.689793316298</v>
      </c>
      <c r="E11" s="5">
        <f t="shared" si="0"/>
        <v>185.48352111580851</v>
      </c>
      <c r="F11" s="5">
        <f t="shared" si="1"/>
        <v>166.95818813414641</v>
      </c>
      <c r="G11" s="5">
        <f t="shared" si="1"/>
        <v>171.06998246654308</v>
      </c>
      <c r="H11" s="1" t="s">
        <v>8</v>
      </c>
      <c r="I11" s="8"/>
      <c r="O11" s="7"/>
      <c r="R11" s="7"/>
      <c r="S11" s="7"/>
      <c r="T11" s="7"/>
    </row>
    <row r="12" spans="1:20" x14ac:dyDescent="0.2">
      <c r="A12" s="3">
        <v>34669</v>
      </c>
      <c r="B12" s="4">
        <v>30369</v>
      </c>
      <c r="C12" s="5">
        <v>32998.406600299502</v>
      </c>
      <c r="D12" s="4">
        <v>33370.259413948603</v>
      </c>
      <c r="E12" s="5">
        <f t="shared" si="0"/>
        <v>149.14607744031954</v>
      </c>
      <c r="F12" s="5">
        <f t="shared" si="1"/>
        <v>162.43266106570471</v>
      </c>
      <c r="G12" s="5">
        <f t="shared" si="1"/>
        <v>166.81866225744952</v>
      </c>
      <c r="H12" s="1" t="s">
        <v>9</v>
      </c>
      <c r="I12" s="8"/>
      <c r="O12" s="7"/>
      <c r="R12" s="7"/>
      <c r="S12" s="7"/>
      <c r="T12" s="7"/>
    </row>
    <row r="13" spans="1:20" x14ac:dyDescent="0.2">
      <c r="A13" s="3">
        <v>34700</v>
      </c>
      <c r="B13" s="4">
        <v>8133</v>
      </c>
      <c r="C13" s="5">
        <v>27377.563106936301</v>
      </c>
      <c r="D13" s="4">
        <v>32183.306789048202</v>
      </c>
      <c r="E13" s="5">
        <f t="shared" si="0"/>
        <v>39.942212381774802</v>
      </c>
      <c r="F13" s="5">
        <f t="shared" si="1"/>
        <v>134.7643988638398</v>
      </c>
      <c r="G13" s="5">
        <f t="shared" si="1"/>
        <v>160.88505992632446</v>
      </c>
      <c r="H13" s="1" t="s">
        <v>1</v>
      </c>
      <c r="I13" s="2">
        <f t="shared" ref="I13:I36" si="2">+E13/E1-1</f>
        <v>-0.75662816446226588</v>
      </c>
      <c r="J13" s="2">
        <f t="shared" ref="J13" si="3">+AVERAGE(B13:B13)/AVERAGE(B1:B1)-1</f>
        <v>-0.75662816446226588</v>
      </c>
      <c r="K13" s="2">
        <f t="shared" ref="K13:K36" si="4">+F13/F12-1</f>
        <v>-0.17033681539375245</v>
      </c>
      <c r="L13" s="2">
        <f t="shared" ref="L13" si="5">+F13/F12-1</f>
        <v>-0.17033681539375245</v>
      </c>
      <c r="O13" s="7"/>
      <c r="R13" s="7"/>
      <c r="S13" s="7"/>
      <c r="T13" s="7"/>
    </row>
    <row r="14" spans="1:20" x14ac:dyDescent="0.2">
      <c r="A14" s="3">
        <v>34731</v>
      </c>
      <c r="B14" s="4">
        <v>32169</v>
      </c>
      <c r="C14" s="5">
        <v>35724.345782012802</v>
      </c>
      <c r="D14" s="4">
        <v>30625.588797456399</v>
      </c>
      <c r="E14" s="5">
        <f t="shared" si="0"/>
        <v>157.98610969006683</v>
      </c>
      <c r="F14" s="5">
        <f t="shared" si="1"/>
        <v>175.85093184926862</v>
      </c>
      <c r="G14" s="5">
        <f t="shared" si="1"/>
        <v>153.0979933558115</v>
      </c>
      <c r="H14" s="1" t="s">
        <v>2</v>
      </c>
      <c r="I14" s="2">
        <f t="shared" si="2"/>
        <v>3.0312030075187968</v>
      </c>
      <c r="J14" s="2">
        <f t="shared" ref="J14" si="6">+AVERAGE(B13:B14)/AVERAGE(B1:B2)-1</f>
        <v>-2.6474708923136414E-2</v>
      </c>
      <c r="K14" s="2">
        <f t="shared" si="4"/>
        <v>0.30487675774772605</v>
      </c>
      <c r="L14" s="2">
        <f t="shared" ref="L14" si="7">+F14/F12-1</f>
        <v>8.2608206351653335E-2</v>
      </c>
      <c r="O14" s="7"/>
      <c r="R14" s="7"/>
      <c r="S14" s="7"/>
      <c r="T14" s="7"/>
    </row>
    <row r="15" spans="1:20" x14ac:dyDescent="0.2">
      <c r="A15" s="3">
        <v>34759</v>
      </c>
      <c r="B15" s="4">
        <v>34142</v>
      </c>
      <c r="C15" s="5">
        <v>30041.463004886598</v>
      </c>
      <c r="D15" s="4">
        <v>28651.432937468999</v>
      </c>
      <c r="E15" s="5">
        <f t="shared" si="0"/>
        <v>167.67576726159535</v>
      </c>
      <c r="F15" s="5">
        <f t="shared" si="1"/>
        <v>147.87728502461576</v>
      </c>
      <c r="G15" s="5">
        <f t="shared" si="1"/>
        <v>143.22914470331506</v>
      </c>
      <c r="H15" s="1" t="s">
        <v>3</v>
      </c>
      <c r="I15" s="2">
        <f t="shared" si="2"/>
        <v>5.6275716981715629E-2</v>
      </c>
      <c r="J15" s="2">
        <f t="shared" ref="J15" si="8">+AVERAGE(B13:B15)/AVERAGE(B1:B3)-1</f>
        <v>9.8072462391991522E-3</v>
      </c>
      <c r="K15" s="2">
        <f t="shared" si="4"/>
        <v>-0.15907590895583423</v>
      </c>
      <c r="L15" s="2">
        <f t="shared" ref="L15" si="9">+F15/F12-1</f>
        <v>-8.9608678116781193E-2</v>
      </c>
      <c r="O15" s="7"/>
      <c r="R15" s="7"/>
      <c r="S15" s="7"/>
      <c r="T15" s="7"/>
    </row>
    <row r="16" spans="1:20" x14ac:dyDescent="0.2">
      <c r="A16" s="3">
        <v>34790</v>
      </c>
      <c r="B16" s="4">
        <v>23443</v>
      </c>
      <c r="C16" s="5">
        <v>25523.124279007199</v>
      </c>
      <c r="D16" s="4">
        <v>26248.822965470699</v>
      </c>
      <c r="E16" s="5">
        <f t="shared" si="0"/>
        <v>115.13159779490306</v>
      </c>
      <c r="F16" s="5">
        <f t="shared" si="1"/>
        <v>125.63603587187167</v>
      </c>
      <c r="G16" s="5">
        <f t="shared" si="1"/>
        <v>131.21844450217631</v>
      </c>
      <c r="H16" s="1" t="s">
        <v>4</v>
      </c>
      <c r="I16" s="2">
        <f t="shared" si="2"/>
        <v>-0.30838447014396986</v>
      </c>
      <c r="J16" s="2">
        <f t="shared" ref="J16" si="10">+AVERAGE(B13:B16)/AVERAGE(B1:B4)-1</f>
        <v>-9.0413224676398674E-2</v>
      </c>
      <c r="K16" s="2">
        <f t="shared" si="4"/>
        <v>-0.1504034182737517</v>
      </c>
      <c r="L16" s="2">
        <f t="shared" ref="L16" si="11">+F16/F12-1</f>
        <v>-0.2265346448947767</v>
      </c>
      <c r="O16" s="7"/>
      <c r="R16" s="7"/>
      <c r="S16" s="7"/>
      <c r="T16" s="7"/>
    </row>
    <row r="17" spans="1:20" x14ac:dyDescent="0.2">
      <c r="A17" s="3">
        <v>34820</v>
      </c>
      <c r="B17" s="4">
        <v>29768</v>
      </c>
      <c r="C17" s="5">
        <v>25067.731543215599</v>
      </c>
      <c r="D17" s="4">
        <v>23623.8227180473</v>
      </c>
      <c r="E17" s="5">
        <f t="shared" si="0"/>
        <v>146.19448889470948</v>
      </c>
      <c r="F17" s="5">
        <f t="shared" si="1"/>
        <v>123.39439266768284</v>
      </c>
      <c r="G17" s="5">
        <f t="shared" si="1"/>
        <v>118.09601041292839</v>
      </c>
      <c r="H17" s="1" t="s">
        <v>3</v>
      </c>
      <c r="I17" s="2">
        <f t="shared" si="2"/>
        <v>-9.7255496588324553E-2</v>
      </c>
      <c r="J17" s="2">
        <f t="shared" ref="J17" si="12">+AVERAGE(B13:B17)/AVERAGE(B1:B5)-1</f>
        <v>-9.2018038010697634E-2</v>
      </c>
      <c r="K17" s="2">
        <f t="shared" si="4"/>
        <v>-1.7842358592680685E-2</v>
      </c>
      <c r="L17" s="2">
        <f t="shared" ref="L17" si="13">+F17/F12-1</f>
        <v>-0.24033509111957918</v>
      </c>
      <c r="O17" s="7"/>
      <c r="R17" s="7"/>
      <c r="S17" s="7"/>
      <c r="T17" s="7"/>
    </row>
    <row r="18" spans="1:20" x14ac:dyDescent="0.2">
      <c r="A18" s="3">
        <v>34851</v>
      </c>
      <c r="B18" s="4">
        <v>20574</v>
      </c>
      <c r="C18" s="5">
        <v>18988.896923801702</v>
      </c>
      <c r="D18" s="4">
        <v>21117.117184917199</v>
      </c>
      <c r="E18" s="5">
        <f t="shared" si="0"/>
        <v>101.04156861461142</v>
      </c>
      <c r="F18" s="5">
        <f t="shared" si="1"/>
        <v>93.471696842704205</v>
      </c>
      <c r="G18" s="5">
        <f t="shared" si="1"/>
        <v>105.56493420752979</v>
      </c>
      <c r="H18" s="1" t="s">
        <v>5</v>
      </c>
      <c r="I18" s="2">
        <f t="shared" si="2"/>
        <v>-0.37620520283791159</v>
      </c>
      <c r="J18" s="2">
        <f t="shared" ref="J18" si="14">+AVERAGE(B13:B18)/AVERAGE(B1:B6)-1</f>
        <v>-0.14601841289594064</v>
      </c>
      <c r="K18" s="2">
        <f t="shared" si="4"/>
        <v>-0.24249639856459559</v>
      </c>
      <c r="L18" s="2">
        <f t="shared" ref="L18" si="15">+F18/F12-1</f>
        <v>-0.42455109563898297</v>
      </c>
      <c r="O18" s="7"/>
      <c r="R18" s="7"/>
      <c r="S18" s="7"/>
      <c r="T18" s="7"/>
    </row>
    <row r="19" spans="1:20" x14ac:dyDescent="0.2">
      <c r="A19" s="3">
        <v>34881</v>
      </c>
      <c r="B19" s="4">
        <v>21653</v>
      </c>
      <c r="C19" s="5">
        <v>19800.092567661399</v>
      </c>
      <c r="D19" s="4">
        <v>19133.270078047299</v>
      </c>
      <c r="E19" s="5">
        <f t="shared" si="0"/>
        <v>106.34067683543216</v>
      </c>
      <c r="F19" s="5">
        <f t="shared" si="1"/>
        <v>97.464758346341853</v>
      </c>
      <c r="G19" s="5">
        <f t="shared" si="1"/>
        <v>95.647638798282358</v>
      </c>
      <c r="H19" s="1" t="s">
        <v>5</v>
      </c>
      <c r="I19" s="2">
        <f t="shared" si="2"/>
        <v>-0.37565237449900513</v>
      </c>
      <c r="J19" s="2">
        <f t="shared" ref="J19" si="16">+AVERAGE(B13:B19)/AVERAGE(B1:B7)-1</f>
        <v>-0.18425968164029682</v>
      </c>
      <c r="K19" s="2">
        <f t="shared" si="4"/>
        <v>4.2719471653084984E-2</v>
      </c>
      <c r="L19" s="2">
        <f t="shared" ref="L19" si="17">+F19/F12-1</f>
        <v>-0.39996822248133368</v>
      </c>
      <c r="O19" s="7"/>
      <c r="R19" s="7"/>
      <c r="S19" s="7"/>
      <c r="T19" s="7"/>
    </row>
    <row r="20" spans="1:20" x14ac:dyDescent="0.2">
      <c r="A20" s="3">
        <v>34912</v>
      </c>
      <c r="B20" s="4">
        <v>22582</v>
      </c>
      <c r="C20" s="5">
        <v>16745.827759619799</v>
      </c>
      <c r="D20" s="4">
        <v>17911.738040604301</v>
      </c>
      <c r="E20" s="5">
        <f t="shared" si="0"/>
        <v>110.90311570210727</v>
      </c>
      <c r="F20" s="5">
        <f t="shared" si="1"/>
        <v>82.430324521133201</v>
      </c>
      <c r="G20" s="5">
        <f t="shared" si="1"/>
        <v>89.541173221761213</v>
      </c>
      <c r="H20" s="1" t="s">
        <v>4</v>
      </c>
      <c r="I20" s="2">
        <f t="shared" si="2"/>
        <v>-0.44186851211072664</v>
      </c>
      <c r="J20" s="2">
        <f t="shared" ref="J20" si="18">+AVERAGE(B13:B20)/AVERAGE(B1:B8)-1</f>
        <v>-0.22616649578835213</v>
      </c>
      <c r="K20" s="2">
        <f t="shared" si="4"/>
        <v>-0.15425507722271947</v>
      </c>
      <c r="L20" s="2">
        <f t="shared" ref="L20" si="19">+F20/F12-1</f>
        <v>-0.49252617065856119</v>
      </c>
      <c r="O20" s="7"/>
      <c r="R20" s="7"/>
      <c r="S20" s="7"/>
      <c r="T20" s="7"/>
    </row>
    <row r="21" spans="1:20" x14ac:dyDescent="0.2">
      <c r="A21" s="3">
        <v>34943</v>
      </c>
      <c r="B21" s="4">
        <v>20190</v>
      </c>
      <c r="C21" s="5">
        <v>16960.4863945785</v>
      </c>
      <c r="D21" s="4">
        <v>17595.3313443476</v>
      </c>
      <c r="E21" s="5">
        <f t="shared" si="0"/>
        <v>99.155695067998678</v>
      </c>
      <c r="F21" s="5">
        <f t="shared" si="1"/>
        <v>83.48696867124066</v>
      </c>
      <c r="G21" s="5">
        <f t="shared" si="1"/>
        <v>87.959449173887037</v>
      </c>
      <c r="H21" s="1" t="s">
        <v>6</v>
      </c>
      <c r="I21" s="2">
        <f t="shared" si="2"/>
        <v>-0.49838509316770185</v>
      </c>
      <c r="J21" s="2">
        <f t="shared" ref="J21" si="20">+AVERAGE(B13:B21)/AVERAGE(B1:B9)-1</f>
        <v>-0.26408388559168061</v>
      </c>
      <c r="K21" s="2">
        <f t="shared" si="4"/>
        <v>1.2818633873466823E-2</v>
      </c>
      <c r="L21" s="2">
        <f t="shared" ref="L21" si="21">+F21/F12-1</f>
        <v>-0.48602104943986713</v>
      </c>
      <c r="O21" s="7"/>
      <c r="R21" s="7"/>
      <c r="S21" s="7"/>
      <c r="T21" s="7"/>
    </row>
    <row r="22" spans="1:20" x14ac:dyDescent="0.2">
      <c r="A22" s="3">
        <v>34973</v>
      </c>
      <c r="B22" s="4">
        <v>21595</v>
      </c>
      <c r="C22" s="5">
        <v>18049.109994197301</v>
      </c>
      <c r="D22" s="4">
        <v>18097.094480622101</v>
      </c>
      <c r="E22" s="5">
        <f t="shared" si="0"/>
        <v>106.05583135182918</v>
      </c>
      <c r="F22" s="5">
        <f t="shared" si="1"/>
        <v>88.845652510944689</v>
      </c>
      <c r="G22" s="5">
        <f t="shared" si="1"/>
        <v>90.467774150480622</v>
      </c>
      <c r="H22" s="1" t="s">
        <v>7</v>
      </c>
      <c r="I22" s="2">
        <f t="shared" si="2"/>
        <v>-0.40189996122528115</v>
      </c>
      <c r="J22" s="2">
        <f t="shared" ref="J22" si="22">+AVERAGE(B13:B22)/AVERAGE(B1:B10)-1</f>
        <v>-0.27939127144531495</v>
      </c>
      <c r="K22" s="2">
        <f t="shared" si="4"/>
        <v>6.4185871459841115E-2</v>
      </c>
      <c r="L22" s="2">
        <f t="shared" ref="L22" si="23">+F22/F12-1</f>
        <v>-0.45303086258615044</v>
      </c>
      <c r="O22" s="7"/>
      <c r="R22" s="7"/>
      <c r="S22" s="7"/>
      <c r="T22" s="7"/>
    </row>
    <row r="23" spans="1:20" x14ac:dyDescent="0.2">
      <c r="A23" s="3">
        <v>35004</v>
      </c>
      <c r="B23" s="4">
        <v>22461</v>
      </c>
      <c r="C23" s="5">
        <v>18684.519614650999</v>
      </c>
      <c r="D23" s="4">
        <v>19165.938209199201</v>
      </c>
      <c r="E23" s="5">
        <f t="shared" si="0"/>
        <v>110.30886908976316</v>
      </c>
      <c r="F23" s="5">
        <f t="shared" si="1"/>
        <v>91.973417944203746</v>
      </c>
      <c r="G23" s="5">
        <f t="shared" si="1"/>
        <v>95.810947505883632</v>
      </c>
      <c r="H23" s="1" t="s">
        <v>8</v>
      </c>
      <c r="I23" s="2">
        <f t="shared" si="2"/>
        <v>-0.40529019275577205</v>
      </c>
      <c r="J23" s="2">
        <f t="shared" ref="J23" si="24">+AVERAGE(B13:B23)/AVERAGE(B1:B11)-1</f>
        <v>-0.29249612086903565</v>
      </c>
      <c r="K23" s="2">
        <f t="shared" si="4"/>
        <v>3.5204484911332656E-2</v>
      </c>
      <c r="L23" s="2">
        <f t="shared" ref="L23" si="25">+F23/F12-1</f>
        <v>-0.43377509584109997</v>
      </c>
      <c r="O23" s="7"/>
      <c r="R23" s="7"/>
      <c r="S23" s="7"/>
      <c r="T23" s="7"/>
    </row>
    <row r="24" spans="1:20" x14ac:dyDescent="0.2">
      <c r="A24" s="3">
        <v>35034</v>
      </c>
      <c r="B24" s="4">
        <v>17789</v>
      </c>
      <c r="C24" s="5">
        <v>21960.583303994099</v>
      </c>
      <c r="D24" s="4">
        <v>20498.670604603602</v>
      </c>
      <c r="E24" s="5">
        <f t="shared" si="0"/>
        <v>87.364074272641318</v>
      </c>
      <c r="F24" s="5">
        <f t="shared" si="1"/>
        <v>108.09964335036926</v>
      </c>
      <c r="G24" s="5">
        <f t="shared" si="1"/>
        <v>102.47330612259842</v>
      </c>
      <c r="H24" s="1" t="s">
        <v>9</v>
      </c>
      <c r="I24" s="2">
        <f t="shared" si="2"/>
        <v>-0.41423820343113049</v>
      </c>
      <c r="J24" s="2">
        <f t="shared" ref="J24" si="26">+AVERAGE(B13:B24)/AVERAGE(B1:B12)-1</f>
        <v>-0.30189874061565369</v>
      </c>
      <c r="K24" s="2">
        <f t="shared" si="4"/>
        <v>0.17533571945699133</v>
      </c>
      <c r="L24" s="2">
        <f t="shared" ref="L24" si="27">+F24/F12-1</f>
        <v>-0.3344956448959332</v>
      </c>
      <c r="O24" s="7"/>
      <c r="R24" s="7"/>
      <c r="S24" s="7"/>
      <c r="T24" s="7"/>
    </row>
    <row r="25" spans="1:20" x14ac:dyDescent="0.2">
      <c r="A25" s="3">
        <v>35065</v>
      </c>
      <c r="B25" s="4">
        <v>4172</v>
      </c>
      <c r="C25" s="5">
        <v>21608.389458003501</v>
      </c>
      <c r="D25" s="4">
        <v>21779.994851195999</v>
      </c>
      <c r="E25" s="5">
        <f t="shared" si="0"/>
        <v>20.489230303303145</v>
      </c>
      <c r="F25" s="5">
        <f t="shared" si="1"/>
        <v>106.36599044075578</v>
      </c>
      <c r="G25" s="5">
        <f t="shared" si="1"/>
        <v>108.87867427041786</v>
      </c>
      <c r="H25" s="1" t="s">
        <v>10</v>
      </c>
      <c r="I25" s="2">
        <f t="shared" si="2"/>
        <v>-0.48702815689167589</v>
      </c>
      <c r="J25" s="2">
        <f t="shared" ref="J25" si="28">+AVERAGE(B25:B25)/AVERAGE(B13:B13)-1</f>
        <v>-0.48702815689167589</v>
      </c>
      <c r="K25" s="2">
        <f t="shared" si="4"/>
        <v>-1.6037545137817188E-2</v>
      </c>
      <c r="L25" s="2">
        <f t="shared" ref="L25" si="29">+F25/F24-1</f>
        <v>-1.6037545137817188E-2</v>
      </c>
      <c r="O25" s="7"/>
      <c r="R25" s="7"/>
      <c r="S25" s="7"/>
      <c r="T25" s="7"/>
    </row>
    <row r="26" spans="1:20" x14ac:dyDescent="0.2">
      <c r="A26" s="3">
        <v>35096</v>
      </c>
      <c r="B26" s="4">
        <v>19733</v>
      </c>
      <c r="C26" s="5">
        <v>25070.950698786401</v>
      </c>
      <c r="D26" s="4">
        <v>22884.995790664299</v>
      </c>
      <c r="E26" s="5">
        <f t="shared" si="0"/>
        <v>96.911309102368378</v>
      </c>
      <c r="F26" s="5">
        <f t="shared" si="1"/>
        <v>123.41023876631674</v>
      </c>
      <c r="G26" s="5">
        <f t="shared" si="1"/>
        <v>114.40259831993471</v>
      </c>
      <c r="H26" s="1" t="s">
        <v>2</v>
      </c>
      <c r="I26" s="2">
        <f t="shared" si="2"/>
        <v>-0.38658335664770438</v>
      </c>
      <c r="J26" s="2">
        <f t="shared" ref="J26" si="30">+AVERAGE(B25:B26)/AVERAGE(B13:B14)-1</f>
        <v>-0.40685325790283355</v>
      </c>
      <c r="K26" s="2">
        <f t="shared" si="4"/>
        <v>0.16024152320618246</v>
      </c>
      <c r="L26" s="2">
        <f t="shared" ref="L26" si="31">+F26/F24-1</f>
        <v>0.14163409740699362</v>
      </c>
      <c r="O26" s="7"/>
      <c r="R26" s="7"/>
      <c r="S26" s="7"/>
      <c r="T26" s="7"/>
    </row>
    <row r="27" spans="1:20" x14ac:dyDescent="0.2">
      <c r="A27" s="3">
        <v>35125</v>
      </c>
      <c r="B27" s="4">
        <v>23659</v>
      </c>
      <c r="C27" s="5">
        <v>23221.784570876898</v>
      </c>
      <c r="D27" s="4">
        <v>23776.215791803999</v>
      </c>
      <c r="E27" s="5">
        <f t="shared" si="0"/>
        <v>116.19240166487272</v>
      </c>
      <c r="F27" s="5">
        <f t="shared" si="1"/>
        <v>114.30783032135324</v>
      </c>
      <c r="G27" s="5">
        <f t="shared" si="1"/>
        <v>118.85782674722896</v>
      </c>
      <c r="H27" s="1" t="s">
        <v>3</v>
      </c>
      <c r="I27" s="2">
        <f t="shared" si="2"/>
        <v>-0.30704118095014943</v>
      </c>
      <c r="J27" s="2">
        <f t="shared" ref="J27" si="32">+AVERAGE(B25:B27)/AVERAGE(B13:B15)-1</f>
        <v>-0.36107678254795561</v>
      </c>
      <c r="K27" s="2">
        <f t="shared" si="4"/>
        <v>-7.3757319781216468E-2</v>
      </c>
      <c r="L27" s="2">
        <f t="shared" ref="L27" si="33">+F27/F24-1</f>
        <v>5.7430226211405699E-2</v>
      </c>
      <c r="O27" s="7"/>
      <c r="R27" s="7"/>
      <c r="S27" s="7"/>
      <c r="T27" s="7"/>
    </row>
    <row r="28" spans="1:20" x14ac:dyDescent="0.2">
      <c r="A28" s="3">
        <v>35156</v>
      </c>
      <c r="B28" s="4">
        <v>25457</v>
      </c>
      <c r="C28" s="5">
        <v>24418.130845783598</v>
      </c>
      <c r="D28" s="4">
        <v>24472.938093429799</v>
      </c>
      <c r="E28" s="5">
        <f t="shared" si="0"/>
        <v>125.02261165656475</v>
      </c>
      <c r="F28" s="5">
        <f t="shared" si="1"/>
        <v>120.19677251613712</v>
      </c>
      <c r="G28" s="5">
        <f t="shared" si="1"/>
        <v>122.34075688811859</v>
      </c>
      <c r="H28" s="1" t="s">
        <v>4</v>
      </c>
      <c r="I28" s="2">
        <f t="shared" si="2"/>
        <v>8.5910506334513581E-2</v>
      </c>
      <c r="J28" s="2">
        <f t="shared" ref="J28" si="34">+AVERAGE(B25:B28)/AVERAGE(B13:B16)-1</f>
        <v>-0.2540276032568165</v>
      </c>
      <c r="K28" s="2">
        <f t="shared" si="4"/>
        <v>5.1518274629378524E-2</v>
      </c>
      <c r="L28" s="2">
        <f t="shared" ref="L28" si="35">+F28/F24-1</f>
        <v>0.11190720700677059</v>
      </c>
      <c r="O28" s="7"/>
      <c r="R28" s="7"/>
      <c r="S28" s="7"/>
      <c r="T28" s="7"/>
    </row>
    <row r="29" spans="1:20" x14ac:dyDescent="0.2">
      <c r="A29" s="3">
        <v>35186</v>
      </c>
      <c r="B29" s="4">
        <v>28752</v>
      </c>
      <c r="C29" s="5">
        <v>24085.058829388101</v>
      </c>
      <c r="D29" s="4">
        <v>24960.290570562702</v>
      </c>
      <c r="E29" s="5">
        <f t="shared" si="0"/>
        <v>141.2047818026299</v>
      </c>
      <c r="F29" s="5">
        <f t="shared" si="1"/>
        <v>118.55724565640233</v>
      </c>
      <c r="G29" s="5">
        <f t="shared" si="1"/>
        <v>124.77704266206682</v>
      </c>
      <c r="H29" s="1" t="s">
        <v>3</v>
      </c>
      <c r="I29" s="2">
        <f t="shared" si="2"/>
        <v>-3.413061005106155E-2</v>
      </c>
      <c r="J29" s="2">
        <f t="shared" ref="J29" si="36">+AVERAGE(B25:B29)/AVERAGE(B13:B17)-1</f>
        <v>-0.20274959852728058</v>
      </c>
      <c r="K29" s="2">
        <f t="shared" si="4"/>
        <v>-1.3640356770101003E-2</v>
      </c>
      <c r="L29" s="2">
        <f t="shared" ref="L29" si="37">+F29/F24-1</f>
        <v>9.6740396007951812E-2</v>
      </c>
      <c r="O29" s="7"/>
      <c r="R29" s="7"/>
      <c r="S29" s="7"/>
      <c r="T29" s="7"/>
    </row>
    <row r="30" spans="1:20" x14ac:dyDescent="0.2">
      <c r="A30" s="3">
        <v>35217</v>
      </c>
      <c r="B30" s="4">
        <v>25119</v>
      </c>
      <c r="C30" s="5">
        <v>26143.3913308585</v>
      </c>
      <c r="D30" s="4">
        <v>25303.9258547549</v>
      </c>
      <c r="E30" s="5">
        <f t="shared" si="0"/>
        <v>123.3626500452233</v>
      </c>
      <c r="F30" s="5">
        <f t="shared" si="1"/>
        <v>128.6892629268614</v>
      </c>
      <c r="G30" s="5">
        <f t="shared" si="1"/>
        <v>126.49488302112137</v>
      </c>
      <c r="H30" s="1" t="s">
        <v>5</v>
      </c>
      <c r="I30" s="2">
        <f t="shared" si="2"/>
        <v>0.22090988626421693</v>
      </c>
      <c r="J30" s="2">
        <f t="shared" ref="J30" si="38">+AVERAGE(B25:B30)/AVERAGE(B13:B18)-1</f>
        <v>-0.1439461913660619</v>
      </c>
      <c r="K30" s="2">
        <f t="shared" si="4"/>
        <v>8.5460970473481446E-2</v>
      </c>
      <c r="L30" s="2">
        <f t="shared" ref="L30" si="39">+F30/F24-1</f>
        <v>0.19046889460826155</v>
      </c>
      <c r="O30" s="7"/>
      <c r="R30" s="7"/>
      <c r="S30" s="7"/>
      <c r="T30" s="7"/>
    </row>
    <row r="31" spans="1:20" x14ac:dyDescent="0.2">
      <c r="A31" s="3">
        <v>35247</v>
      </c>
      <c r="B31" s="4">
        <v>30133</v>
      </c>
      <c r="C31" s="5">
        <v>25408.346574961499</v>
      </c>
      <c r="D31" s="4">
        <v>25591.646735229999</v>
      </c>
      <c r="E31" s="5">
        <f t="shared" si="0"/>
        <v>147.98705098979713</v>
      </c>
      <c r="F31" s="5">
        <f t="shared" si="1"/>
        <v>125.07104956435143</v>
      </c>
      <c r="G31" s="5">
        <f t="shared" si="1"/>
        <v>127.93320604369664</v>
      </c>
      <c r="H31" s="1" t="s">
        <v>5</v>
      </c>
      <c r="I31" s="2">
        <f t="shared" si="2"/>
        <v>0.39163164457580923</v>
      </c>
      <c r="J31" s="2">
        <f t="shared" ref="J31" si="40">+AVERAGE(B25:B31)/AVERAGE(B13:B19)-1</f>
        <v>-7.5681943937556562E-2</v>
      </c>
      <c r="K31" s="2">
        <f t="shared" si="4"/>
        <v>-2.8115891568718743E-2</v>
      </c>
      <c r="L31" s="2">
        <f t="shared" ref="L31" si="41">+F31/F24-1</f>
        <v>0.1569978002515231</v>
      </c>
      <c r="O31" s="7"/>
      <c r="R31" s="7"/>
      <c r="S31" s="7"/>
      <c r="T31" s="7"/>
    </row>
    <row r="32" spans="1:20" x14ac:dyDescent="0.2">
      <c r="A32" s="3">
        <v>35278</v>
      </c>
      <c r="B32" s="4">
        <v>31029</v>
      </c>
      <c r="C32" s="5">
        <v>26721.123785518401</v>
      </c>
      <c r="D32" s="4">
        <v>25863.138539244901</v>
      </c>
      <c r="E32" s="5">
        <f t="shared" si="0"/>
        <v>152.38742259856022</v>
      </c>
      <c r="F32" s="5">
        <f t="shared" si="1"/>
        <v>131.53311599925726</v>
      </c>
      <c r="G32" s="5">
        <f t="shared" si="1"/>
        <v>129.29039955537479</v>
      </c>
      <c r="H32" s="1" t="s">
        <v>4</v>
      </c>
      <c r="I32" s="2">
        <f t="shared" si="2"/>
        <v>0.37405898503232682</v>
      </c>
      <c r="J32" s="2">
        <f t="shared" ref="J32" si="42">+AVERAGE(B25:B32)/AVERAGE(B13:B20)-1</f>
        <v>-2.2913376007980713E-2</v>
      </c>
      <c r="K32" s="2">
        <f t="shared" si="4"/>
        <v>5.1667164043274205E-2</v>
      </c>
      <c r="L32" s="2">
        <f t="shared" ref="L32" si="43">+F32/F24-1</f>
        <v>0.21677659539482619</v>
      </c>
      <c r="O32" s="7"/>
      <c r="R32" s="7"/>
      <c r="S32" s="7"/>
      <c r="T32" s="7"/>
    </row>
    <row r="33" spans="1:20" x14ac:dyDescent="0.2">
      <c r="A33" s="3">
        <v>35309</v>
      </c>
      <c r="B33" s="4">
        <v>27253</v>
      </c>
      <c r="C33" s="5">
        <v>23844.175430935102</v>
      </c>
      <c r="D33" s="4">
        <v>26215.086619724902</v>
      </c>
      <c r="E33" s="5">
        <f t="shared" si="0"/>
        <v>133.84299939020147</v>
      </c>
      <c r="F33" s="5">
        <f t="shared" si="1"/>
        <v>117.37151169381409</v>
      </c>
      <c r="G33" s="5">
        <f t="shared" si="1"/>
        <v>131.04979576627778</v>
      </c>
      <c r="H33" s="1" t="s">
        <v>6</v>
      </c>
      <c r="I33" s="2">
        <f t="shared" si="2"/>
        <v>0.34982664685487852</v>
      </c>
      <c r="J33" s="2">
        <f t="shared" ref="J33" si="44">+AVERAGE(B25:B33)/AVERAGE(B13:B21)-1</f>
        <v>1.2475664694762356E-2</v>
      </c>
      <c r="K33" s="2">
        <f t="shared" si="4"/>
        <v>-0.10766569466447629</v>
      </c>
      <c r="L33" s="2">
        <f t="shared" ref="L33" si="45">+F33/F24-1</f>
        <v>8.5771498000165591E-2</v>
      </c>
      <c r="O33" s="7"/>
      <c r="R33" s="7"/>
      <c r="S33" s="7"/>
      <c r="T33" s="7"/>
    </row>
    <row r="34" spans="1:20" x14ac:dyDescent="0.2">
      <c r="A34" s="3">
        <v>35339</v>
      </c>
      <c r="B34" s="4">
        <v>31579</v>
      </c>
      <c r="C34" s="5">
        <v>26318.523451090001</v>
      </c>
      <c r="D34" s="4">
        <v>26640.994520189201</v>
      </c>
      <c r="E34" s="5">
        <f t="shared" si="0"/>
        <v>155.08854356376077</v>
      </c>
      <c r="F34" s="5">
        <f t="shared" si="1"/>
        <v>129.55134019840528</v>
      </c>
      <c r="G34" s="5">
        <f t="shared" si="1"/>
        <v>133.17891874728267</v>
      </c>
      <c r="H34" s="1" t="s">
        <v>7</v>
      </c>
      <c r="I34" s="2">
        <f t="shared" si="2"/>
        <v>0.46232924288029631</v>
      </c>
      <c r="J34" s="2">
        <f t="shared" ref="J34" si="46">+AVERAGE(B25:B34)/AVERAGE(B13:B22)-1</f>
        <v>5.3946868503173873E-2</v>
      </c>
      <c r="K34" s="2">
        <f t="shared" si="4"/>
        <v>0.10377159098337763</v>
      </c>
      <c r="L34" s="2">
        <f t="shared" ref="L34" si="47">+F34/F24-1</f>
        <v>0.19844373379204816</v>
      </c>
      <c r="O34" s="7"/>
      <c r="R34" s="7"/>
      <c r="S34" s="7"/>
      <c r="T34" s="7"/>
    </row>
    <row r="35" spans="1:20" x14ac:dyDescent="0.2">
      <c r="A35" s="3">
        <v>35370</v>
      </c>
      <c r="B35" s="4">
        <v>30704</v>
      </c>
      <c r="C35" s="5">
        <v>28553.208084188602</v>
      </c>
      <c r="D35" s="4">
        <v>27252.019741253</v>
      </c>
      <c r="E35" s="5">
        <f t="shared" si="0"/>
        <v>150.79130566457806</v>
      </c>
      <c r="F35" s="5">
        <f t="shared" si="1"/>
        <v>140.55144017273403</v>
      </c>
      <c r="G35" s="5">
        <f t="shared" si="1"/>
        <v>136.23344729376495</v>
      </c>
      <c r="H35" s="1" t="s">
        <v>8</v>
      </c>
      <c r="I35" s="2">
        <f t="shared" si="2"/>
        <v>0.36699167445794911</v>
      </c>
      <c r="J35" s="2">
        <f t="shared" ref="J35" si="48">+AVERAGE(B25:B35)/AVERAGE(B13:B23)-1</f>
        <v>8.1336917143858711E-2</v>
      </c>
      <c r="K35" s="2">
        <f t="shared" si="4"/>
        <v>8.4909194744587912E-2</v>
      </c>
      <c r="L35" s="2">
        <f t="shared" ref="L35" si="49">+F35/F24-1</f>
        <v>0.30020262617502813</v>
      </c>
      <c r="O35" s="7"/>
      <c r="R35" s="7"/>
      <c r="S35" s="7"/>
      <c r="T35" s="7"/>
    </row>
    <row r="36" spans="1:20" x14ac:dyDescent="0.2">
      <c r="A36" s="3">
        <v>35400</v>
      </c>
      <c r="B36" s="4">
        <v>25152</v>
      </c>
      <c r="C36" s="5">
        <v>27780.878732873</v>
      </c>
      <c r="D36" s="4">
        <v>28084.2756540144</v>
      </c>
      <c r="E36" s="5">
        <f t="shared" si="0"/>
        <v>123.52471730313535</v>
      </c>
      <c r="F36" s="5">
        <f t="shared" si="1"/>
        <v>136.74969564388746</v>
      </c>
      <c r="G36" s="5">
        <f t="shared" si="1"/>
        <v>140.39391294374661</v>
      </c>
      <c r="H36" s="1" t="s">
        <v>9</v>
      </c>
      <c r="I36" s="2">
        <f t="shared" si="2"/>
        <v>0.41390747090898894</v>
      </c>
      <c r="J36" s="2">
        <f t="shared" ref="J36" si="50">+AVERAGE(B25:B36)/AVERAGE(B13:B24)-1</f>
        <v>0.10288926371316465</v>
      </c>
      <c r="K36" s="2">
        <f t="shared" si="4"/>
        <v>-2.7048776762261029E-2</v>
      </c>
      <c r="L36" s="2">
        <f t="shared" ref="L36" si="51">+F36/F24-1</f>
        <v>0.2650337355939143</v>
      </c>
      <c r="O36" s="7"/>
      <c r="R36" s="7"/>
      <c r="S36" s="7"/>
      <c r="T36" s="7"/>
    </row>
    <row r="37" spans="1:20" x14ac:dyDescent="0.2">
      <c r="A37" s="3">
        <v>35431</v>
      </c>
      <c r="B37" s="4">
        <v>13355</v>
      </c>
      <c r="C37" s="5">
        <v>30316.584082667501</v>
      </c>
      <c r="D37" s="4">
        <v>29129.0895596874</v>
      </c>
      <c r="E37" s="5">
        <f t="shared" si="0"/>
        <v>65.588128164097199</v>
      </c>
      <c r="F37" s="5">
        <f t="shared" si="1"/>
        <v>149.23155189333212</v>
      </c>
      <c r="G37" s="5">
        <f t="shared" si="1"/>
        <v>145.61696068485875</v>
      </c>
      <c r="H37" s="1" t="s">
        <v>11</v>
      </c>
      <c r="I37" s="2">
        <f t="shared" ref="I37:I100" si="52">+E37/E25-1</f>
        <v>2.2011025886864815</v>
      </c>
      <c r="J37" s="2">
        <f t="shared" ref="J37" si="53">+AVERAGE(B37:B37)/AVERAGE(B25:B25)-1</f>
        <v>2.2011025886864815</v>
      </c>
      <c r="K37" s="2">
        <f t="shared" ref="K37:K100" si="54">+F37/F36-1</f>
        <v>9.127520314157711E-2</v>
      </c>
      <c r="L37" s="2">
        <f>+F37/F36-1</f>
        <v>9.127520314157711E-2</v>
      </c>
      <c r="O37" s="7"/>
      <c r="R37" s="7"/>
      <c r="S37" s="7"/>
      <c r="T37" s="7"/>
    </row>
    <row r="38" spans="1:20" x14ac:dyDescent="0.2">
      <c r="A38" s="3">
        <v>35462</v>
      </c>
      <c r="B38" s="4">
        <v>25660</v>
      </c>
      <c r="C38" s="5">
        <v>29783.183503449902</v>
      </c>
      <c r="D38" s="4">
        <v>30336.308248804002</v>
      </c>
      <c r="E38" s="5">
        <f t="shared" si="0"/>
        <v>126.01957084917512</v>
      </c>
      <c r="F38" s="5">
        <f t="shared" si="1"/>
        <v>146.60591979703824</v>
      </c>
      <c r="G38" s="5">
        <f t="shared" si="1"/>
        <v>151.65187351764439</v>
      </c>
      <c r="H38" s="1" t="s">
        <v>2</v>
      </c>
      <c r="I38" s="2">
        <f t="shared" si="52"/>
        <v>0.30035980337505719</v>
      </c>
      <c r="J38" s="2">
        <f>+AVERAGE(B37:B38)/AVERAGE(B25:B26)-1</f>
        <v>0.63208533779544029</v>
      </c>
      <c r="K38" s="2">
        <f t="shared" si="54"/>
        <v>-1.7594349606245729E-2</v>
      </c>
      <c r="L38" s="2">
        <f>+F38/F36-1</f>
        <v>7.2074925700877257E-2</v>
      </c>
      <c r="O38" s="7"/>
      <c r="R38" s="7"/>
      <c r="S38" s="7"/>
      <c r="T38" s="7"/>
    </row>
    <row r="39" spans="1:20" x14ac:dyDescent="0.2">
      <c r="A39" s="3">
        <v>35490</v>
      </c>
      <c r="B39" s="4">
        <v>30902</v>
      </c>
      <c r="C39" s="5">
        <v>31266.826704029001</v>
      </c>
      <c r="D39" s="4">
        <v>31638.001738550502</v>
      </c>
      <c r="E39" s="5">
        <f t="shared" si="0"/>
        <v>151.76370921205026</v>
      </c>
      <c r="F39" s="5">
        <f t="shared" si="1"/>
        <v>153.90906373550689</v>
      </c>
      <c r="G39" s="5">
        <f t="shared" si="1"/>
        <v>158.15906796090891</v>
      </c>
      <c r="H39" s="1" t="s">
        <v>3</v>
      </c>
      <c r="I39" s="2">
        <f t="shared" si="52"/>
        <v>0.30614142609577755</v>
      </c>
      <c r="J39" s="2">
        <f t="shared" ref="J39" si="55">+AVERAGE(B37:B39)/AVERAGE(B25:B27)-1</f>
        <v>0.46995626944748148</v>
      </c>
      <c r="K39" s="2">
        <f t="shared" si="54"/>
        <v>4.9814795668409184E-2</v>
      </c>
      <c r="L39" s="2">
        <f t="shared" ref="L39" si="56">+F39/F36-1</f>
        <v>0.12548011906589163</v>
      </c>
      <c r="O39" s="7"/>
      <c r="R39" s="7"/>
      <c r="S39" s="7"/>
      <c r="T39" s="7"/>
    </row>
    <row r="40" spans="1:20" x14ac:dyDescent="0.2">
      <c r="A40" s="3">
        <v>35521</v>
      </c>
      <c r="B40" s="4">
        <v>34719</v>
      </c>
      <c r="C40" s="5">
        <v>33424.059481946402</v>
      </c>
      <c r="D40" s="4">
        <v>33027.561302498798</v>
      </c>
      <c r="E40" s="5">
        <f t="shared" si="0"/>
        <v>170.50948871054214</v>
      </c>
      <c r="F40" s="5">
        <f t="shared" si="1"/>
        <v>164.5279116362448</v>
      </c>
      <c r="G40" s="5">
        <f t="shared" si="1"/>
        <v>165.10550684558856</v>
      </c>
      <c r="H40" s="1" t="s">
        <v>4</v>
      </c>
      <c r="I40" s="2">
        <f t="shared" si="52"/>
        <v>0.363829202184075</v>
      </c>
      <c r="J40" s="2">
        <f t="shared" ref="J40" si="57">+AVERAGE(B37:B40)/AVERAGE(B25:B28)-1</f>
        <v>0.43295764232207179</v>
      </c>
      <c r="K40" s="2">
        <f t="shared" si="54"/>
        <v>6.8994298600805193E-2</v>
      </c>
      <c r="L40" s="2">
        <f t="shared" ref="L40" si="58">+F40/F36-1</f>
        <v>0.20313183046999339</v>
      </c>
      <c r="O40" s="7"/>
      <c r="R40" s="7"/>
      <c r="S40" s="7"/>
      <c r="T40" s="7"/>
    </row>
    <row r="41" spans="1:20" x14ac:dyDescent="0.2">
      <c r="A41" s="3">
        <v>35551</v>
      </c>
      <c r="B41" s="4">
        <v>37415</v>
      </c>
      <c r="C41" s="5">
        <v>34511.587308119299</v>
      </c>
      <c r="D41" s="4">
        <v>34481.198400789697</v>
      </c>
      <c r="E41" s="5">
        <f t="shared" si="0"/>
        <v>183.74989256905252</v>
      </c>
      <c r="F41" s="5">
        <f t="shared" si="1"/>
        <v>169.88120159742314</v>
      </c>
      <c r="G41" s="5">
        <f t="shared" si="1"/>
        <v>172.37227073665161</v>
      </c>
      <c r="H41" s="1" t="s">
        <v>3</v>
      </c>
      <c r="I41" s="2">
        <f t="shared" si="52"/>
        <v>0.30130077907623831</v>
      </c>
      <c r="J41" s="2">
        <f t="shared" ref="J41" si="59">+AVERAGE(B37:B41)/AVERAGE(B25:B29)-1</f>
        <v>0.3957631198844489</v>
      </c>
      <c r="K41" s="2">
        <f t="shared" si="54"/>
        <v>3.2537275334862059E-2</v>
      </c>
      <c r="L41" s="2">
        <f t="shared" ref="L41" si="60">+F41/F36-1</f>
        <v>0.24227846210213211</v>
      </c>
      <c r="O41" s="7"/>
      <c r="R41" s="7"/>
      <c r="S41" s="7"/>
      <c r="T41" s="7"/>
    </row>
    <row r="42" spans="1:20" x14ac:dyDescent="0.2">
      <c r="A42" s="3">
        <v>35582</v>
      </c>
      <c r="B42" s="4">
        <v>36448</v>
      </c>
      <c r="C42" s="5">
        <v>35496.090419817403</v>
      </c>
      <c r="D42" s="4">
        <v>35892.098439709</v>
      </c>
      <c r="E42" s="5">
        <f t="shared" si="0"/>
        <v>179.00083079932716</v>
      </c>
      <c r="F42" s="5">
        <f t="shared" si="1"/>
        <v>174.72735863153699</v>
      </c>
      <c r="G42" s="5">
        <f t="shared" si="1"/>
        <v>179.42539112603401</v>
      </c>
      <c r="H42" s="1" t="s">
        <v>5</v>
      </c>
      <c r="I42" s="2">
        <f t="shared" si="52"/>
        <v>0.45101317727616541</v>
      </c>
      <c r="J42" s="2">
        <f t="shared" ref="J42" si="61">+AVERAGE(B37:B42)/AVERAGE(B25:B30)-1</f>
        <v>0.40670018598493196</v>
      </c>
      <c r="K42" s="2">
        <f t="shared" si="54"/>
        <v>2.8526740972777187E-2</v>
      </c>
      <c r="L42" s="2">
        <f t="shared" ref="L42" si="62">+F42/F36-1</f>
        <v>0.27771661800657954</v>
      </c>
      <c r="O42" s="7"/>
      <c r="R42" s="7"/>
      <c r="S42" s="7"/>
      <c r="T42" s="7"/>
    </row>
    <row r="43" spans="1:20" x14ac:dyDescent="0.2">
      <c r="A43" s="3">
        <v>35612</v>
      </c>
      <c r="B43" s="4">
        <v>41655</v>
      </c>
      <c r="C43" s="5">
        <v>37058.324771455802</v>
      </c>
      <c r="D43" s="4">
        <v>37148.470771303699</v>
      </c>
      <c r="E43" s="5">
        <f t="shared" si="0"/>
        <v>204.57307964623502</v>
      </c>
      <c r="F43" s="5">
        <f t="shared" si="1"/>
        <v>182.41736275866288</v>
      </c>
      <c r="G43" s="5">
        <f t="shared" si="1"/>
        <v>185.70602410086471</v>
      </c>
      <c r="H43" s="1" t="s">
        <v>5</v>
      </c>
      <c r="I43" s="2">
        <f t="shared" si="52"/>
        <v>0.3823714864102481</v>
      </c>
      <c r="J43" s="2">
        <f t="shared" ref="J43" si="63">+AVERAGE(B37:B43)/AVERAGE(B25:B31)-1</f>
        <v>0.40203152364273187</v>
      </c>
      <c r="K43" s="2">
        <f t="shared" si="54"/>
        <v>4.4011448392249131E-2</v>
      </c>
      <c r="L43" s="2">
        <f t="shared" ref="L43" si="64">+F43/F36-1</f>
        <v>0.33395077699989528</v>
      </c>
      <c r="O43" s="7"/>
      <c r="R43" s="7"/>
      <c r="S43" s="7"/>
      <c r="T43" s="7"/>
    </row>
    <row r="44" spans="1:20" x14ac:dyDescent="0.2">
      <c r="A44" s="3">
        <v>35643</v>
      </c>
      <c r="B44" s="4">
        <v>40280</v>
      </c>
      <c r="C44" s="5">
        <v>37552.537486997899</v>
      </c>
      <c r="D44" s="4">
        <v>38141.721297184798</v>
      </c>
      <c r="E44" s="5">
        <f t="shared" si="0"/>
        <v>197.82027723323358</v>
      </c>
      <c r="F44" s="5">
        <f t="shared" si="1"/>
        <v>184.85009496571683</v>
      </c>
      <c r="G44" s="5">
        <f t="shared" si="1"/>
        <v>190.67130536999187</v>
      </c>
      <c r="H44" s="1" t="s">
        <v>4</v>
      </c>
      <c r="I44" s="2">
        <f t="shared" si="52"/>
        <v>0.29814044925714644</v>
      </c>
      <c r="J44" s="2">
        <f t="shared" ref="J44" si="65">+AVERAGE(B37:B44)/AVERAGE(B25:B32)-1</f>
        <v>0.38488944664830305</v>
      </c>
      <c r="K44" s="2">
        <f t="shared" si="54"/>
        <v>1.3336078157606401E-2</v>
      </c>
      <c r="L44" s="2">
        <f t="shared" ref="L44" si="66">+F44/F36-1</f>
        <v>0.3517404488203657</v>
      </c>
      <c r="O44" s="7"/>
      <c r="R44" s="7"/>
      <c r="S44" s="7"/>
      <c r="T44" s="7"/>
    </row>
    <row r="45" spans="1:20" x14ac:dyDescent="0.2">
      <c r="A45" s="3">
        <v>35674</v>
      </c>
      <c r="B45" s="4">
        <v>44167</v>
      </c>
      <c r="C45" s="5">
        <v>39091.2937447718</v>
      </c>
      <c r="D45" s="4">
        <v>38744.737179926196</v>
      </c>
      <c r="E45" s="5">
        <f t="shared" si="0"/>
        <v>216.90983576366008</v>
      </c>
      <c r="F45" s="5">
        <f t="shared" si="1"/>
        <v>192.42452959552261</v>
      </c>
      <c r="G45" s="5">
        <f t="shared" si="1"/>
        <v>193.6857950576827</v>
      </c>
      <c r="H45" s="1" t="s">
        <v>6</v>
      </c>
      <c r="I45" s="2">
        <f t="shared" si="52"/>
        <v>0.62062892158661431</v>
      </c>
      <c r="J45" s="2">
        <f t="shared" ref="J45" si="67">+AVERAGE(B37:B45)/AVERAGE(B25:B33)-1</f>
        <v>0.41472873617671513</v>
      </c>
      <c r="K45" s="2">
        <f t="shared" si="54"/>
        <v>4.0976092715616863E-2</v>
      </c>
      <c r="L45" s="2">
        <f t="shared" ref="L45" si="68">+F45/F36-1</f>
        <v>0.40712949077867844</v>
      </c>
      <c r="O45" s="7"/>
      <c r="R45" s="7"/>
      <c r="S45" s="7"/>
      <c r="T45" s="7"/>
    </row>
    <row r="46" spans="1:20" x14ac:dyDescent="0.2">
      <c r="A46" s="3">
        <v>35704</v>
      </c>
      <c r="B46" s="4">
        <v>52218</v>
      </c>
      <c r="C46" s="5">
        <v>46856.699261907001</v>
      </c>
      <c r="D46" s="4">
        <v>38923.872823274301</v>
      </c>
      <c r="E46" s="5">
        <f t="shared" si="0"/>
        <v>256.44933556516861</v>
      </c>
      <c r="F46" s="5">
        <f t="shared" si="1"/>
        <v>230.64926867704924</v>
      </c>
      <c r="G46" s="5">
        <f t="shared" si="1"/>
        <v>194.58129808675017</v>
      </c>
      <c r="H46" s="1" t="s">
        <v>7</v>
      </c>
      <c r="I46" s="2">
        <f t="shared" si="52"/>
        <v>0.65356724405459321</v>
      </c>
      <c r="J46" s="2">
        <f t="shared" ref="J46" si="69">+AVERAGE(B37:B46)/AVERAGE(B25:B34)-1</f>
        <v>0.44527838759589455</v>
      </c>
      <c r="K46" s="2">
        <f t="shared" si="54"/>
        <v>0.1986479538854804</v>
      </c>
      <c r="L46" s="2">
        <f t="shared" ref="L46" si="70">+F46/F36-1</f>
        <v>0.68665288497378074</v>
      </c>
      <c r="O46" s="7"/>
      <c r="R46" s="7"/>
      <c r="S46" s="7"/>
      <c r="T46" s="7"/>
    </row>
    <row r="47" spans="1:20" x14ac:dyDescent="0.2">
      <c r="A47" s="3">
        <v>35735</v>
      </c>
      <c r="B47" s="4">
        <v>43102</v>
      </c>
      <c r="C47" s="5">
        <v>42623.626518107798</v>
      </c>
      <c r="D47" s="4">
        <v>38813.9299832795</v>
      </c>
      <c r="E47" s="5">
        <f t="shared" si="0"/>
        <v>211.67948334922627</v>
      </c>
      <c r="F47" s="5">
        <f t="shared" si="1"/>
        <v>209.81222407096917</v>
      </c>
      <c r="G47" s="5">
        <f t="shared" si="1"/>
        <v>194.03169140658599</v>
      </c>
      <c r="H47" s="1" t="s">
        <v>8</v>
      </c>
      <c r="I47" s="2">
        <f t="shared" si="52"/>
        <v>0.40379103699843677</v>
      </c>
      <c r="J47" s="2">
        <f t="shared" ref="J47" si="71">+AVERAGE(B37:B47)/AVERAGE(B25:B35)-1</f>
        <v>0.44068950610612778</v>
      </c>
      <c r="K47" s="2">
        <f t="shared" si="54"/>
        <v>-9.0340822347265703E-2</v>
      </c>
      <c r="L47" s="2">
        <f t="shared" ref="L47" si="72">+F47/F36-1</f>
        <v>0.53427927633086103</v>
      </c>
      <c r="O47" s="7"/>
      <c r="R47" s="7"/>
      <c r="S47" s="7"/>
      <c r="T47" s="7"/>
    </row>
    <row r="48" spans="1:20" x14ac:dyDescent="0.2">
      <c r="A48" s="3">
        <v>35765</v>
      </c>
      <c r="B48" s="4">
        <v>25303</v>
      </c>
      <c r="C48" s="5">
        <v>26341.308605894701</v>
      </c>
      <c r="D48" s="4">
        <v>38572.944863028402</v>
      </c>
      <c r="E48" s="5">
        <f t="shared" si="0"/>
        <v>124.26629778630857</v>
      </c>
      <c r="F48" s="5">
        <f t="shared" si="1"/>
        <v>129.66349874510576</v>
      </c>
      <c r="G48" s="5">
        <f t="shared" si="1"/>
        <v>192.82700147937987</v>
      </c>
      <c r="H48" s="1" t="s">
        <v>9</v>
      </c>
      <c r="I48" s="2">
        <f t="shared" si="52"/>
        <v>6.0034987277350904E-3</v>
      </c>
      <c r="J48" s="2">
        <f t="shared" ref="J48" si="73">+AVERAGE(B37:B48)/AVERAGE(B25:B36)-1</f>
        <v>0.4045755131432045</v>
      </c>
      <c r="K48" s="2">
        <f t="shared" si="54"/>
        <v>-0.38200217208866261</v>
      </c>
      <c r="L48" s="2">
        <f t="shared" ref="L48" si="74">+F48/F36-1</f>
        <v>-5.1818739818149329E-2</v>
      </c>
      <c r="O48" s="7"/>
      <c r="R48" s="7"/>
      <c r="S48" s="7"/>
      <c r="T48" s="7"/>
    </row>
    <row r="49" spans="1:20" x14ac:dyDescent="0.2">
      <c r="A49" s="3">
        <v>35796</v>
      </c>
      <c r="B49" s="4">
        <v>17019</v>
      </c>
      <c r="C49" s="5">
        <v>34616.6059526479</v>
      </c>
      <c r="D49" s="4">
        <v>38470.716860818</v>
      </c>
      <c r="E49" s="5">
        <f t="shared" si="0"/>
        <v>83.582504921360538</v>
      </c>
      <c r="F49" s="5">
        <f t="shared" si="1"/>
        <v>170.39814952460395</v>
      </c>
      <c r="G49" s="5">
        <f t="shared" si="1"/>
        <v>192.31596144332724</v>
      </c>
      <c r="H49" s="1" t="s">
        <v>12</v>
      </c>
      <c r="I49" s="2">
        <f t="shared" si="52"/>
        <v>0.27435417446649168</v>
      </c>
      <c r="J49" s="2">
        <f t="shared" ref="J49" si="75">+AVERAGE(B49:B49)/AVERAGE(B37:B37)-1</f>
        <v>0.27435417446649191</v>
      </c>
      <c r="K49" s="2">
        <f t="shared" si="54"/>
        <v>0.31415665298045758</v>
      </c>
      <c r="L49" s="2">
        <f t="shared" ref="L49" si="76">+F49/F48-1</f>
        <v>0.31415665298045758</v>
      </c>
      <c r="O49" s="7"/>
      <c r="R49" s="7"/>
      <c r="S49" s="7"/>
      <c r="T49" s="7"/>
    </row>
    <row r="50" spans="1:20" x14ac:dyDescent="0.2">
      <c r="A50" s="3">
        <v>35827</v>
      </c>
      <c r="B50" s="4">
        <v>33126</v>
      </c>
      <c r="C50" s="5">
        <v>37689.402208084502</v>
      </c>
      <c r="D50" s="4">
        <v>38677.239833514701</v>
      </c>
      <c r="E50" s="5">
        <f t="shared" si="0"/>
        <v>162.6860601695158</v>
      </c>
      <c r="F50" s="5">
        <f t="shared" si="1"/>
        <v>185.5238032790119</v>
      </c>
      <c r="G50" s="5">
        <f t="shared" si="1"/>
        <v>193.34837433539766</v>
      </c>
      <c r="H50" s="1" t="s">
        <v>2</v>
      </c>
      <c r="I50" s="2">
        <f t="shared" si="52"/>
        <v>0.29095869056897894</v>
      </c>
      <c r="J50" s="2">
        <f t="shared" ref="J50" si="77">+AVERAGE(B49:B50)/AVERAGE(B37:B38)-1</f>
        <v>0.28527489427143404</v>
      </c>
      <c r="K50" s="2">
        <f t="shared" si="54"/>
        <v>8.8766537644964005E-2</v>
      </c>
      <c r="L50" s="2">
        <f t="shared" ref="L50" si="78">+F50/F48-1</f>
        <v>0.43080978898862732</v>
      </c>
      <c r="O50" s="7"/>
      <c r="R50" s="7"/>
      <c r="S50" s="7"/>
      <c r="T50" s="7"/>
    </row>
    <row r="51" spans="1:20" x14ac:dyDescent="0.2">
      <c r="A51" s="3">
        <v>35855</v>
      </c>
      <c r="B51" s="4">
        <v>39566</v>
      </c>
      <c r="C51" s="5">
        <v>39230.018131008299</v>
      </c>
      <c r="D51" s="4">
        <v>39176.858053630902</v>
      </c>
      <c r="E51" s="5">
        <f t="shared" si="0"/>
        <v>194.31373110750053</v>
      </c>
      <c r="F51" s="5">
        <f t="shared" si="1"/>
        <v>193.10739199806349</v>
      </c>
      <c r="G51" s="5">
        <f t="shared" si="1"/>
        <v>195.8459768288441</v>
      </c>
      <c r="H51" s="1" t="s">
        <v>3</v>
      </c>
      <c r="I51" s="2">
        <f t="shared" si="52"/>
        <v>0.28037020257588519</v>
      </c>
      <c r="J51" s="2">
        <f t="shared" ref="J51" si="79">+AVERAGE(B49:B51)/AVERAGE(B37:B39)-1</f>
        <v>0.28310711271936717</v>
      </c>
      <c r="K51" s="2">
        <f t="shared" si="54"/>
        <v>4.0876634615163221E-2</v>
      </c>
      <c r="L51" s="2">
        <f t="shared" ref="L51" si="80">+F51/F48-1</f>
        <v>0.48929647793691422</v>
      </c>
      <c r="O51" s="7"/>
      <c r="R51" s="7"/>
      <c r="S51" s="7"/>
      <c r="T51" s="7"/>
    </row>
    <row r="52" spans="1:20" x14ac:dyDescent="0.2">
      <c r="A52" s="3">
        <v>35886</v>
      </c>
      <c r="B52" s="4">
        <v>41720</v>
      </c>
      <c r="C52" s="5">
        <v>40105.368967091599</v>
      </c>
      <c r="D52" s="4">
        <v>39814.009015944801</v>
      </c>
      <c r="E52" s="5">
        <f t="shared" si="0"/>
        <v>204.8923030330314</v>
      </c>
      <c r="F52" s="5">
        <f t="shared" si="1"/>
        <v>197.41625355593669</v>
      </c>
      <c r="G52" s="5">
        <f t="shared" si="1"/>
        <v>199.03110853162082</v>
      </c>
      <c r="H52" s="1" t="s">
        <v>4</v>
      </c>
      <c r="I52" s="2">
        <f t="shared" si="52"/>
        <v>0.20164751288919591</v>
      </c>
      <c r="J52" s="2">
        <f t="shared" ref="J52" si="81">+AVERAGE(B49:B52)/AVERAGE(B37:B40)-1</f>
        <v>0.2560782139990061</v>
      </c>
      <c r="K52" s="2">
        <f t="shared" si="54"/>
        <v>2.2313291652327871E-2</v>
      </c>
      <c r="L52" s="2">
        <f t="shared" ref="L52" si="82">+F52/F48-1</f>
        <v>0.5225275846059052</v>
      </c>
      <c r="O52" s="7"/>
      <c r="R52" s="7"/>
      <c r="S52" s="7"/>
      <c r="T52" s="7"/>
    </row>
    <row r="53" spans="1:20" x14ac:dyDescent="0.2">
      <c r="A53" s="3">
        <v>35916</v>
      </c>
      <c r="B53" s="4">
        <v>40864</v>
      </c>
      <c r="C53" s="5">
        <v>39621.004503797798</v>
      </c>
      <c r="D53" s="4">
        <v>40350.172659807897</v>
      </c>
      <c r="E53" s="5">
        <f t="shared" si="0"/>
        <v>200.68837658537385</v>
      </c>
      <c r="F53" s="5">
        <f t="shared" si="1"/>
        <v>195.03199877504798</v>
      </c>
      <c r="G53" s="5">
        <f t="shared" si="1"/>
        <v>201.71140240380257</v>
      </c>
      <c r="H53" s="1" t="s">
        <v>3</v>
      </c>
      <c r="I53" s="2">
        <f t="shared" si="52"/>
        <v>9.2182279834291059E-2</v>
      </c>
      <c r="J53" s="2">
        <f t="shared" ref="J53" si="83">+AVERAGE(B49:B53)/AVERAGE(B37:B41)-1</f>
        <v>0.21290944801514944</v>
      </c>
      <c r="K53" s="2">
        <f t="shared" si="54"/>
        <v>-1.2077297273869858E-2</v>
      </c>
      <c r="L53" s="2">
        <f t="shared" ref="L53" si="84">+F53/F48-1</f>
        <v>0.50413956635895274</v>
      </c>
      <c r="O53" s="7"/>
      <c r="R53" s="7"/>
      <c r="S53" s="7"/>
      <c r="T53" s="7"/>
    </row>
    <row r="54" spans="1:20" x14ac:dyDescent="0.2">
      <c r="A54" s="3">
        <v>35947</v>
      </c>
      <c r="B54" s="4">
        <v>44041</v>
      </c>
      <c r="C54" s="5">
        <v>41146.906094480699</v>
      </c>
      <c r="D54" s="4">
        <v>40493.150622257301</v>
      </c>
      <c r="E54" s="5">
        <f t="shared" si="0"/>
        <v>216.2910335061778</v>
      </c>
      <c r="F54" s="5">
        <f t="shared" si="1"/>
        <v>202.54315708342415</v>
      </c>
      <c r="G54" s="5">
        <f t="shared" si="1"/>
        <v>202.42615238917833</v>
      </c>
      <c r="H54" s="1" t="s">
        <v>5</v>
      </c>
      <c r="I54" s="2">
        <f t="shared" si="52"/>
        <v>0.20832418788410889</v>
      </c>
      <c r="J54" s="2">
        <f t="shared" ref="J54" si="85">+AVERAGE(B49:B54)/AVERAGE(B37:B42)-1</f>
        <v>0.21197317632031565</v>
      </c>
      <c r="K54" s="2">
        <f t="shared" si="54"/>
        <v>3.8512440807416448E-2</v>
      </c>
      <c r="L54" s="2">
        <f t="shared" ref="L54" si="86">+F54/F48-1</f>
        <v>0.562067652374445</v>
      </c>
      <c r="O54" s="7"/>
      <c r="R54" s="7"/>
      <c r="S54" s="7"/>
      <c r="T54" s="7"/>
    </row>
    <row r="55" spans="1:20" x14ac:dyDescent="0.2">
      <c r="A55" s="3">
        <v>35977</v>
      </c>
      <c r="B55" s="4">
        <v>43683</v>
      </c>
      <c r="C55" s="5">
        <v>39163.537041550997</v>
      </c>
      <c r="D55" s="4">
        <v>39900.772227598703</v>
      </c>
      <c r="E55" s="5">
        <f t="shared" si="0"/>
        <v>214.5328493142836</v>
      </c>
      <c r="F55" s="5">
        <f t="shared" si="1"/>
        <v>192.7801428553428</v>
      </c>
      <c r="G55" s="5">
        <f t="shared" si="1"/>
        <v>199.46483973885304</v>
      </c>
      <c r="H55" s="1" t="s">
        <v>5</v>
      </c>
      <c r="I55" s="2">
        <f t="shared" si="52"/>
        <v>4.8685631976953525E-2</v>
      </c>
      <c r="J55" s="2">
        <f t="shared" ref="J55" si="87">+AVERAGE(B49:B55)/AVERAGE(B37:B43)-1</f>
        <v>0.18107779100084498</v>
      </c>
      <c r="K55" s="2">
        <f t="shared" si="54"/>
        <v>-4.8202143032954337E-2</v>
      </c>
      <c r="L55" s="2">
        <f t="shared" ref="L55" si="88">+F55/F48-1</f>
        <v>0.48677264396754083</v>
      </c>
      <c r="O55" s="7"/>
      <c r="R55" s="7"/>
      <c r="S55" s="7"/>
      <c r="T55" s="7"/>
    </row>
    <row r="56" spans="1:20" x14ac:dyDescent="0.2">
      <c r="A56" s="3">
        <v>36008</v>
      </c>
      <c r="B56" s="4">
        <v>47017</v>
      </c>
      <c r="C56" s="5">
        <v>44666.293578942103</v>
      </c>
      <c r="D56" s="4">
        <v>38483.2825985608</v>
      </c>
      <c r="E56" s="5">
        <f t="shared" si="0"/>
        <v>230.90655349242661</v>
      </c>
      <c r="F56" s="5">
        <f t="shared" si="1"/>
        <v>219.86712915719133</v>
      </c>
      <c r="G56" s="5">
        <f t="shared" si="1"/>
        <v>192.37877784323979</v>
      </c>
      <c r="H56" s="1" t="s">
        <v>4</v>
      </c>
      <c r="I56" s="2">
        <f t="shared" si="52"/>
        <v>0.16725422045680238</v>
      </c>
      <c r="J56" s="2">
        <f t="shared" ref="J56" si="89">+AVERAGE(B49:B56)/AVERAGE(B37:B44)-1</f>
        <v>0.17893976976892412</v>
      </c>
      <c r="K56" s="2">
        <f t="shared" si="54"/>
        <v>0.14050713886115274</v>
      </c>
      <c r="L56" s="2">
        <f t="shared" ref="L56" si="90">+F56/F48-1</f>
        <v>0.69567481430845146</v>
      </c>
      <c r="O56" s="7"/>
      <c r="R56" s="7"/>
      <c r="S56" s="7"/>
      <c r="T56" s="7"/>
    </row>
    <row r="57" spans="1:20" x14ac:dyDescent="0.2">
      <c r="A57" s="3">
        <v>36039</v>
      </c>
      <c r="B57" s="4">
        <v>44608</v>
      </c>
      <c r="C57" s="5">
        <v>39507.388652230497</v>
      </c>
      <c r="D57" s="4">
        <v>36276.293160634697</v>
      </c>
      <c r="E57" s="5">
        <f t="shared" si="0"/>
        <v>219.07564366484817</v>
      </c>
      <c r="F57" s="5">
        <f t="shared" si="1"/>
        <v>194.47273161609505</v>
      </c>
      <c r="G57" s="5">
        <f t="shared" si="1"/>
        <v>181.34598900320873</v>
      </c>
      <c r="H57" s="1" t="s">
        <v>6</v>
      </c>
      <c r="I57" s="2">
        <f t="shared" si="52"/>
        <v>9.9848303031675467E-3</v>
      </c>
      <c r="J57" s="2">
        <f t="shared" ref="J57" si="91">+AVERAGE(B49:B57)/AVERAGE(B37:B45)-1</f>
        <v>0.15444138397444518</v>
      </c>
      <c r="K57" s="2">
        <f t="shared" si="54"/>
        <v>-0.11549883622185686</v>
      </c>
      <c r="L57" s="2">
        <f t="shared" ref="L57" si="92">+F57/F48-1</f>
        <v>0.49982634664511205</v>
      </c>
      <c r="O57" s="7"/>
      <c r="R57" s="7"/>
      <c r="S57" s="7"/>
      <c r="T57" s="7"/>
    </row>
    <row r="58" spans="1:20" x14ac:dyDescent="0.2">
      <c r="A58" s="3">
        <v>36069</v>
      </c>
      <c r="B58" s="4">
        <v>38108</v>
      </c>
      <c r="C58" s="5">
        <v>34305.091007386203</v>
      </c>
      <c r="D58" s="4">
        <v>33392.3533304878</v>
      </c>
      <c r="E58" s="5">
        <f t="shared" si="0"/>
        <v>187.15330498520521</v>
      </c>
      <c r="F58" s="5">
        <f t="shared" si="1"/>
        <v>168.86473604396227</v>
      </c>
      <c r="G58" s="5">
        <f t="shared" si="1"/>
        <v>166.92911023315679</v>
      </c>
      <c r="H58" s="1" t="s">
        <v>7</v>
      </c>
      <c r="I58" s="2">
        <f t="shared" si="52"/>
        <v>-0.27021333639741085</v>
      </c>
      <c r="J58" s="2">
        <f t="shared" ref="J58" si="93">+AVERAGE(B49:B58)/AVERAGE(B37:B46)-1</f>
        <v>9.2296094098128112E-2</v>
      </c>
      <c r="K58" s="2">
        <f t="shared" si="54"/>
        <v>-0.13167910667643135</v>
      </c>
      <c r="L58" s="2">
        <f t="shared" ref="L58" si="94">+F58/F48-1</f>
        <v>0.30233055314910806</v>
      </c>
      <c r="O58" s="7"/>
      <c r="R58" s="7"/>
      <c r="S58" s="7"/>
      <c r="T58" s="7"/>
    </row>
    <row r="59" spans="1:20" x14ac:dyDescent="0.2">
      <c r="A59" s="3">
        <v>36100</v>
      </c>
      <c r="B59" s="4">
        <v>30788</v>
      </c>
      <c r="C59" s="5">
        <v>28983.738455854102</v>
      </c>
      <c r="D59" s="4">
        <v>30016.638430909101</v>
      </c>
      <c r="E59" s="5">
        <f t="shared" si="0"/>
        <v>151.20384050289962</v>
      </c>
      <c r="F59" s="5">
        <f t="shared" si="1"/>
        <v>142.67069989294728</v>
      </c>
      <c r="G59" s="5">
        <f t="shared" si="1"/>
        <v>150.0538370527849</v>
      </c>
      <c r="H59" s="1" t="s">
        <v>8</v>
      </c>
      <c r="I59" s="2">
        <f t="shared" si="52"/>
        <v>-0.28569439933181739</v>
      </c>
      <c r="J59" s="2">
        <f t="shared" ref="J59" si="95">+AVERAGE(B49:B59)/AVERAGE(B37:B47)-1</f>
        <v>5.1557682642321856E-2</v>
      </c>
      <c r="K59" s="2">
        <f t="shared" si="54"/>
        <v>-0.15511845021447002</v>
      </c>
      <c r="L59" s="2">
        <f t="shared" ref="L59" si="96">+F59/F48-1</f>
        <v>0.10031505607766489</v>
      </c>
      <c r="O59" s="7"/>
      <c r="R59" s="7"/>
      <c r="S59" s="7"/>
      <c r="T59" s="7"/>
    </row>
    <row r="60" spans="1:20" x14ac:dyDescent="0.2">
      <c r="A60" s="3">
        <v>36130</v>
      </c>
      <c r="B60" s="4">
        <v>14463</v>
      </c>
      <c r="C60" s="5">
        <v>15343.033591760601</v>
      </c>
      <c r="D60" s="4">
        <v>26564.6719176119</v>
      </c>
      <c r="E60" s="5">
        <f t="shared" si="0"/>
        <v>71.029659126719409</v>
      </c>
      <c r="F60" s="5">
        <f t="shared" si="1"/>
        <v>75.525155057261202</v>
      </c>
      <c r="G60" s="5">
        <f t="shared" si="1"/>
        <v>132.79738037492498</v>
      </c>
      <c r="H60" s="1" t="s">
        <v>9</v>
      </c>
      <c r="I60" s="2">
        <f t="shared" si="52"/>
        <v>-0.42840769869185458</v>
      </c>
      <c r="J60" s="2">
        <f t="shared" ref="J60" si="97">+AVERAGE(B49:B60)/AVERAGE(B37:B48)-1</f>
        <v>2.2997290839651408E-2</v>
      </c>
      <c r="K60" s="2">
        <f t="shared" si="54"/>
        <v>-0.47063303737956441</v>
      </c>
      <c r="L60" s="2">
        <f t="shared" ref="L60" si="98">+F60/F48-1</f>
        <v>-0.41752956083863224</v>
      </c>
      <c r="O60" s="7"/>
      <c r="R60" s="7"/>
      <c r="S60" s="7"/>
      <c r="T60" s="7"/>
    </row>
    <row r="61" spans="1:20" x14ac:dyDescent="0.2">
      <c r="A61" s="3">
        <v>36161</v>
      </c>
      <c r="B61" s="4">
        <v>9459</v>
      </c>
      <c r="C61" s="5">
        <v>27624.387690503401</v>
      </c>
      <c r="D61" s="4">
        <v>23549.841955622102</v>
      </c>
      <c r="E61" s="5">
        <f t="shared" si="0"/>
        <v>46.454369472421966</v>
      </c>
      <c r="F61" s="5">
        <f t="shared" si="1"/>
        <v>135.97937795088683</v>
      </c>
      <c r="G61" s="5">
        <f t="shared" si="1"/>
        <v>117.72617895110287</v>
      </c>
      <c r="H61" s="1" t="s">
        <v>13</v>
      </c>
      <c r="I61" s="2">
        <f t="shared" si="52"/>
        <v>-0.44420941300898986</v>
      </c>
      <c r="J61" s="2">
        <f t="shared" ref="J61" si="99">+AVERAGE(B61:B61)/AVERAGE(B49:B49)-1</f>
        <v>-0.44420941300898997</v>
      </c>
      <c r="K61" s="2">
        <f t="shared" si="54"/>
        <v>0.80045148994120985</v>
      </c>
      <c r="L61" s="2">
        <f t="shared" ref="L61" si="100">+F61/F60-1</f>
        <v>0.80045148994120985</v>
      </c>
      <c r="O61" s="7"/>
      <c r="R61" s="7"/>
      <c r="S61" s="7"/>
      <c r="T61" s="7"/>
    </row>
    <row r="62" spans="1:20" x14ac:dyDescent="0.2">
      <c r="A62" s="3">
        <v>36192</v>
      </c>
      <c r="B62" s="4">
        <v>15898</v>
      </c>
      <c r="C62" s="5">
        <v>20762.024560814101</v>
      </c>
      <c r="D62" s="4">
        <v>21316.777019091602</v>
      </c>
      <c r="E62" s="5">
        <f t="shared" si="0"/>
        <v>78.077129281379044</v>
      </c>
      <c r="F62" s="5">
        <f t="shared" si="1"/>
        <v>102.19981041429875</v>
      </c>
      <c r="G62" s="5">
        <f t="shared" si="1"/>
        <v>106.56303811887055</v>
      </c>
      <c r="H62" s="1" t="s">
        <v>2</v>
      </c>
      <c r="I62" s="2">
        <f t="shared" si="52"/>
        <v>-0.52007486566443273</v>
      </c>
      <c r="J62" s="2">
        <f t="shared" ref="J62" si="101">+AVERAGE(B61:B62)/AVERAGE(B49:B50)-1</f>
        <v>-0.49432645328547209</v>
      </c>
      <c r="K62" s="2">
        <f t="shared" si="54"/>
        <v>-0.24841684118299623</v>
      </c>
      <c r="L62" s="2">
        <f t="shared" ref="L62" si="102">+F62/F60-1</f>
        <v>0.35318901810679537</v>
      </c>
      <c r="O62" s="7"/>
      <c r="R62" s="7"/>
      <c r="S62" s="7"/>
      <c r="T62" s="7"/>
    </row>
    <row r="63" spans="1:20" x14ac:dyDescent="0.2">
      <c r="A63" s="3">
        <v>36220</v>
      </c>
      <c r="B63" s="4">
        <v>19519</v>
      </c>
      <c r="C63" s="5">
        <v>18046.1306319453</v>
      </c>
      <c r="D63" s="4">
        <v>20128.250958956502</v>
      </c>
      <c r="E63" s="5">
        <f t="shared" si="0"/>
        <v>95.860327490453983</v>
      </c>
      <c r="F63" s="5">
        <f t="shared" si="1"/>
        <v>88.830986780422222</v>
      </c>
      <c r="G63" s="5">
        <f t="shared" si="1"/>
        <v>100.62157015033029</v>
      </c>
      <c r="H63" s="1" t="s">
        <v>3</v>
      </c>
      <c r="I63" s="2">
        <f t="shared" si="52"/>
        <v>-0.50667239549107834</v>
      </c>
      <c r="J63" s="2">
        <f t="shared" ref="J63" si="103">+AVERAGE(B61:B63)/AVERAGE(B49:B51)-1</f>
        <v>-0.49977148844623298</v>
      </c>
      <c r="K63" s="2">
        <f t="shared" si="54"/>
        <v>-0.1308106500362558</v>
      </c>
      <c r="L63" s="2">
        <f t="shared" ref="L63" si="104">+F63/F60-1</f>
        <v>0.17617748302632252</v>
      </c>
      <c r="O63" s="7"/>
      <c r="R63" s="7"/>
      <c r="S63" s="7"/>
      <c r="T63" s="7"/>
    </row>
    <row r="64" spans="1:20" x14ac:dyDescent="0.2">
      <c r="A64" s="3">
        <v>36251</v>
      </c>
      <c r="B64" s="4">
        <v>20707</v>
      </c>
      <c r="C64" s="5">
        <v>18642.089562739999</v>
      </c>
      <c r="D64" s="4">
        <v>19910.4921246427</v>
      </c>
      <c r="E64" s="5">
        <f t="shared" si="0"/>
        <v>101.6947487752872</v>
      </c>
      <c r="F64" s="5">
        <f t="shared" si="1"/>
        <v>91.764558579430727</v>
      </c>
      <c r="G64" s="5">
        <f t="shared" si="1"/>
        <v>99.532988938408835</v>
      </c>
      <c r="H64" s="1" t="s">
        <v>4</v>
      </c>
      <c r="I64" s="2">
        <f t="shared" si="52"/>
        <v>-0.50366730584851382</v>
      </c>
      <c r="J64" s="2">
        <f t="shared" ref="J64" si="105">+AVERAGE(B61:B64)/AVERAGE(B49:B52)-1</f>
        <v>-0.50100813354535845</v>
      </c>
      <c r="K64" s="2">
        <f t="shared" si="54"/>
        <v>3.3024194656982475E-2</v>
      </c>
      <c r="L64" s="2">
        <f t="shared" ref="L64" si="106">+F64/F60-1</f>
        <v>0.21501979717694364</v>
      </c>
      <c r="O64" s="7"/>
      <c r="R64" s="7"/>
      <c r="S64" s="7"/>
      <c r="T64" s="7"/>
    </row>
    <row r="65" spans="1:20" x14ac:dyDescent="0.2">
      <c r="A65" s="3">
        <v>36281</v>
      </c>
      <c r="B65" s="4">
        <v>22717</v>
      </c>
      <c r="C65" s="5">
        <v>21853.531798893298</v>
      </c>
      <c r="D65" s="4">
        <v>20470.084672149598</v>
      </c>
      <c r="E65" s="5">
        <f t="shared" si="0"/>
        <v>111.56611812083833</v>
      </c>
      <c r="F65" s="5">
        <f t="shared" si="1"/>
        <v>107.57268878994954</v>
      </c>
      <c r="G65" s="5">
        <f t="shared" si="1"/>
        <v>102.33040441625552</v>
      </c>
      <c r="H65" s="1" t="s">
        <v>3</v>
      </c>
      <c r="I65" s="2">
        <f t="shared" si="52"/>
        <v>-0.44408281127642912</v>
      </c>
      <c r="J65" s="2">
        <f t="shared" ref="J65" si="107">+AVERAGE(B61:B65)/AVERAGE(B49:B53)-1</f>
        <v>-0.48750689224875943</v>
      </c>
      <c r="K65" s="2">
        <f t="shared" si="54"/>
        <v>0.1722683621567842</v>
      </c>
      <c r="L65" s="2">
        <f t="shared" ref="L65" si="108">+F65/F60-1</f>
        <v>0.42432926762468393</v>
      </c>
      <c r="O65" s="7"/>
      <c r="R65" s="7"/>
      <c r="S65" s="7"/>
      <c r="T65" s="7"/>
    </row>
    <row r="66" spans="1:20" x14ac:dyDescent="0.2">
      <c r="A66" s="3">
        <v>36312</v>
      </c>
      <c r="B66" s="4">
        <v>24890</v>
      </c>
      <c r="C66" s="5">
        <v>21591.239228119299</v>
      </c>
      <c r="D66" s="4">
        <v>21536.230412247001</v>
      </c>
      <c r="E66" s="5">
        <f t="shared" ref="E66:E129" si="109">+B66/AVERAGE(B$121:B$132)*100</f>
        <v>122.23800149789434</v>
      </c>
      <c r="F66" s="5">
        <f t="shared" ref="F66:G129" si="110">+C66/AVERAGE(C$121:C$132)*100</f>
        <v>106.28156947123071</v>
      </c>
      <c r="G66" s="5">
        <f t="shared" si="110"/>
        <v>107.66009046778755</v>
      </c>
      <c r="H66" s="1" t="s">
        <v>5</v>
      </c>
      <c r="I66" s="2">
        <f t="shared" si="52"/>
        <v>-0.43484480370563794</v>
      </c>
      <c r="J66" s="2">
        <f t="shared" ref="J66" si="111">+AVERAGE(B61:B66)/AVERAGE(B49:B54)-1</f>
        <v>-0.47678611049478592</v>
      </c>
      <c r="K66" s="2">
        <f t="shared" si="54"/>
        <v>-1.2002296616754782E-2</v>
      </c>
      <c r="L66" s="2">
        <f t="shared" ref="L66" si="112">+F66/F60-1</f>
        <v>0.4072340452747274</v>
      </c>
      <c r="O66" s="7"/>
      <c r="R66" s="7"/>
      <c r="S66" s="7"/>
      <c r="T66" s="7"/>
    </row>
    <row r="67" spans="1:20" x14ac:dyDescent="0.2">
      <c r="A67" s="3">
        <v>36342</v>
      </c>
      <c r="B67" s="4">
        <v>25260</v>
      </c>
      <c r="C67" s="5">
        <v>22443.148876883999</v>
      </c>
      <c r="D67" s="4">
        <v>22951.1432124401</v>
      </c>
      <c r="E67" s="5">
        <f t="shared" si="109"/>
        <v>124.05511923812018</v>
      </c>
      <c r="F67" s="5">
        <f t="shared" si="110"/>
        <v>110.47504320202425</v>
      </c>
      <c r="G67" s="5">
        <f t="shared" si="110"/>
        <v>114.73327073921492</v>
      </c>
      <c r="H67" s="1" t="s">
        <v>5</v>
      </c>
      <c r="I67" s="2">
        <f t="shared" si="52"/>
        <v>-0.42174301215575849</v>
      </c>
      <c r="J67" s="2">
        <f t="shared" ref="J67" si="113">+AVERAGE(B61:B67)/AVERAGE(B49:B55)-1</f>
        <v>-0.46753891061807018</v>
      </c>
      <c r="K67" s="2">
        <f t="shared" si="54"/>
        <v>3.9456264634186278E-2</v>
      </c>
      <c r="L67" s="2">
        <f t="shared" ref="L67" si="114">+F67/F60-1</f>
        <v>0.46275824416732347</v>
      </c>
      <c r="O67" s="7"/>
      <c r="R67" s="7"/>
      <c r="S67" s="7"/>
      <c r="T67" s="7"/>
    </row>
    <row r="68" spans="1:20" x14ac:dyDescent="0.2">
      <c r="A68" s="3">
        <v>36373</v>
      </c>
      <c r="B68" s="4">
        <v>28691</v>
      </c>
      <c r="C68" s="5">
        <v>25381.910034239801</v>
      </c>
      <c r="D68" s="4">
        <v>24636.124938844001</v>
      </c>
      <c r="E68" s="5">
        <f t="shared" si="109"/>
        <v>140.90520293194402</v>
      </c>
      <c r="F68" s="5">
        <f t="shared" si="110"/>
        <v>124.94091729127499</v>
      </c>
      <c r="G68" s="5">
        <f t="shared" si="110"/>
        <v>123.15653152481893</v>
      </c>
      <c r="H68" s="1" t="s">
        <v>4</v>
      </c>
      <c r="I68" s="2">
        <f t="shared" si="52"/>
        <v>-0.3897739115639024</v>
      </c>
      <c r="J68" s="2">
        <f t="shared" ref="J68" si="115">+AVERAGE(B61:B68)/AVERAGE(B49:B56)-1</f>
        <v>-0.45563061009132477</v>
      </c>
      <c r="K68" s="2">
        <f t="shared" si="54"/>
        <v>0.13094246148242883</v>
      </c>
      <c r="L68" s="2">
        <f t="shared" ref="L68" si="116">+F68/F60-1</f>
        <v>0.65429540921230878</v>
      </c>
      <c r="O68" s="7"/>
      <c r="R68" s="7"/>
      <c r="S68" s="7"/>
      <c r="T68" s="7"/>
    </row>
    <row r="69" spans="1:20" x14ac:dyDescent="0.2">
      <c r="A69" s="3">
        <v>36404</v>
      </c>
      <c r="B69" s="4">
        <v>29371</v>
      </c>
      <c r="C69" s="5">
        <v>24281.778176861299</v>
      </c>
      <c r="D69" s="4">
        <v>26538.629458617601</v>
      </c>
      <c r="E69" s="5">
        <f t="shared" si="109"/>
        <v>144.24477067073744</v>
      </c>
      <c r="F69" s="5">
        <f t="shared" si="110"/>
        <v>119.52558474865687</v>
      </c>
      <c r="G69" s="5">
        <f t="shared" si="110"/>
        <v>132.66719354846273</v>
      </c>
      <c r="H69" s="1" t="s">
        <v>6</v>
      </c>
      <c r="I69" s="2">
        <f t="shared" si="52"/>
        <v>-0.34157550215208032</v>
      </c>
      <c r="J69" s="2">
        <f t="shared" ref="J69" si="117">+AVERAGE(B61:B69)/AVERAGE(B49:B57)-1</f>
        <v>-0.44116208438079418</v>
      </c>
      <c r="K69" s="2">
        <f t="shared" si="54"/>
        <v>-4.3343146985173386E-2</v>
      </c>
      <c r="L69" s="2">
        <f t="shared" ref="L69" si="118">+F69/F60-1</f>
        <v>0.5825930401339221</v>
      </c>
      <c r="O69" s="7"/>
      <c r="R69" s="7"/>
      <c r="S69" s="7"/>
      <c r="T69" s="7"/>
    </row>
    <row r="70" spans="1:20" x14ac:dyDescent="0.2">
      <c r="A70" s="3">
        <v>36434</v>
      </c>
      <c r="B70" s="4">
        <v>30664</v>
      </c>
      <c r="C70" s="5">
        <v>28724.3541712265</v>
      </c>
      <c r="D70" s="4">
        <v>28612.839631518698</v>
      </c>
      <c r="E70" s="5">
        <f t="shared" si="109"/>
        <v>150.59486050347257</v>
      </c>
      <c r="F70" s="5">
        <f t="shared" si="110"/>
        <v>141.39389643691908</v>
      </c>
      <c r="G70" s="5">
        <f t="shared" si="110"/>
        <v>143.03621591631165</v>
      </c>
      <c r="H70" s="1" t="s">
        <v>7</v>
      </c>
      <c r="I70" s="2">
        <f t="shared" si="52"/>
        <v>-0.19533956124698226</v>
      </c>
      <c r="J70" s="2">
        <f t="shared" ref="J70" si="119">+AVERAGE(B61:B70)/AVERAGE(B49:B58)-1</f>
        <v>-0.41712678831667316</v>
      </c>
      <c r="K70" s="2">
        <f t="shared" si="54"/>
        <v>0.18295925290177628</v>
      </c>
      <c r="L70" s="2">
        <f t="shared" ref="L70" si="120">+F70/F60-1</f>
        <v>0.87214308040437549</v>
      </c>
      <c r="O70" s="7"/>
      <c r="R70" s="7"/>
      <c r="S70" s="7"/>
      <c r="T70" s="7"/>
    </row>
    <row r="71" spans="1:20" x14ac:dyDescent="0.2">
      <c r="A71" s="3">
        <v>36465</v>
      </c>
      <c r="B71" s="4">
        <v>32512</v>
      </c>
      <c r="C71" s="5">
        <v>29348.663139907901</v>
      </c>
      <c r="D71" s="4">
        <v>30639.495777026099</v>
      </c>
      <c r="E71" s="5">
        <f t="shared" si="109"/>
        <v>159.67062694654643</v>
      </c>
      <c r="F71" s="5">
        <f t="shared" si="110"/>
        <v>144.46701958308898</v>
      </c>
      <c r="G71" s="5">
        <f t="shared" si="110"/>
        <v>153.16751465317634</v>
      </c>
      <c r="H71" s="1" t="s">
        <v>8</v>
      </c>
      <c r="I71" s="2">
        <f t="shared" si="52"/>
        <v>5.599584253605272E-2</v>
      </c>
      <c r="J71" s="2">
        <f t="shared" ref="J71" si="121">+AVERAGE(B61:B71)/AVERAGE(B49:B59)-1</f>
        <v>-0.38248918057735293</v>
      </c>
      <c r="K71" s="2">
        <f t="shared" si="54"/>
        <v>2.1734482347623318E-2</v>
      </c>
      <c r="L71" s="2">
        <f t="shared" ref="L71" si="122">+F71/F60-1</f>
        <v>0.91283314113764957</v>
      </c>
      <c r="O71" s="7"/>
      <c r="R71" s="7"/>
      <c r="S71" s="7"/>
      <c r="T71" s="7"/>
    </row>
    <row r="72" spans="1:20" x14ac:dyDescent="0.2">
      <c r="A72" s="3">
        <v>36495</v>
      </c>
      <c r="B72" s="4">
        <v>31589</v>
      </c>
      <c r="C72" s="5">
        <v>32374.5826176501</v>
      </c>
      <c r="D72" s="4">
        <v>32162.9523601734</v>
      </c>
      <c r="E72" s="5">
        <f t="shared" si="109"/>
        <v>155.13765485403715</v>
      </c>
      <c r="F72" s="5">
        <f t="shared" si="110"/>
        <v>159.36192523395007</v>
      </c>
      <c r="G72" s="5">
        <f t="shared" si="110"/>
        <v>160.7833076877881</v>
      </c>
      <c r="H72" s="1" t="s">
        <v>9</v>
      </c>
      <c r="I72" s="2">
        <f t="shared" si="52"/>
        <v>1.1841250086427433</v>
      </c>
      <c r="J72" s="2">
        <f t="shared" ref="J72" si="123">+AVERAGE(B61:B72)/AVERAGE(B49:B60)-1</f>
        <v>-0.33040231906446627</v>
      </c>
      <c r="K72" s="2">
        <f t="shared" si="54"/>
        <v>0.10310246375848031</v>
      </c>
      <c r="L72" s="2">
        <f t="shared" ref="L72" si="124">+F72/F60-1</f>
        <v>1.110050950747814</v>
      </c>
      <c r="O72" s="7"/>
      <c r="R72" s="7"/>
      <c r="S72" s="7"/>
      <c r="T72" s="7"/>
    </row>
    <row r="73" spans="1:20" x14ac:dyDescent="0.2">
      <c r="A73" s="3">
        <v>36526</v>
      </c>
      <c r="B73" s="4">
        <v>21007</v>
      </c>
      <c r="C73" s="5">
        <v>38018.561463152502</v>
      </c>
      <c r="D73" s="4">
        <v>32702.357492807201</v>
      </c>
      <c r="E73" s="5">
        <f t="shared" si="109"/>
        <v>103.1680874835784</v>
      </c>
      <c r="F73" s="5">
        <f t="shared" si="110"/>
        <v>187.14406980771801</v>
      </c>
      <c r="G73" s="5">
        <f t="shared" si="110"/>
        <v>163.47980583377375</v>
      </c>
      <c r="H73" s="1" t="s">
        <v>14</v>
      </c>
      <c r="I73" s="2">
        <f t="shared" si="52"/>
        <v>1.2208478697536735</v>
      </c>
      <c r="J73" s="2">
        <f t="shared" ref="J73" si="125">+AVERAGE(B73:B73)/AVERAGE(B61:B61)-1</f>
        <v>1.2208478697536735</v>
      </c>
      <c r="K73" s="2">
        <f t="shared" si="54"/>
        <v>0.17433364044129473</v>
      </c>
      <c r="L73" s="2">
        <f t="shared" ref="L73" si="126">+F73/F72-1</f>
        <v>0.17433364044129473</v>
      </c>
      <c r="O73" s="7"/>
      <c r="R73" s="7"/>
      <c r="S73" s="7"/>
      <c r="T73" s="7"/>
    </row>
    <row r="74" spans="1:20" x14ac:dyDescent="0.2">
      <c r="A74" s="3">
        <v>36557</v>
      </c>
      <c r="B74" s="4">
        <v>20471</v>
      </c>
      <c r="C74" s="5">
        <v>26947.517213094499</v>
      </c>
      <c r="D74" s="4">
        <v>32165.037595353799</v>
      </c>
      <c r="E74" s="5">
        <f t="shared" si="109"/>
        <v>100.53572232476478</v>
      </c>
      <c r="F74" s="5">
        <f t="shared" si="110"/>
        <v>132.64752395641716</v>
      </c>
      <c r="G74" s="5">
        <f t="shared" si="110"/>
        <v>160.79373182441142</v>
      </c>
      <c r="H74" s="1" t="s">
        <v>2</v>
      </c>
      <c r="I74" s="2">
        <f t="shared" si="52"/>
        <v>0.28764624481066803</v>
      </c>
      <c r="J74" s="2">
        <f t="shared" ref="J74" si="127">+AVERAGE(B73:B74)/AVERAGE(B61:B62)-1</f>
        <v>0.63576132823283515</v>
      </c>
      <c r="K74" s="2">
        <f t="shared" si="54"/>
        <v>-0.29120102981245177</v>
      </c>
      <c r="L74" s="2">
        <f t="shared" ref="L74" si="128">+F74/F72-1</f>
        <v>-0.16763352499861583</v>
      </c>
      <c r="O74" s="7"/>
      <c r="R74" s="7"/>
      <c r="S74" s="7"/>
      <c r="T74" s="7"/>
    </row>
    <row r="75" spans="1:20" x14ac:dyDescent="0.2">
      <c r="A75" s="3">
        <v>36586</v>
      </c>
      <c r="B75" s="4">
        <v>32120</v>
      </c>
      <c r="C75" s="5">
        <v>30664.298202580299</v>
      </c>
      <c r="D75" s="4">
        <v>30714.174313361498</v>
      </c>
      <c r="E75" s="5">
        <f t="shared" si="109"/>
        <v>157.7454643677126</v>
      </c>
      <c r="F75" s="5">
        <f t="shared" si="110"/>
        <v>150.94315362221812</v>
      </c>
      <c r="G75" s="5">
        <f t="shared" si="110"/>
        <v>153.54083430215718</v>
      </c>
      <c r="H75" s="1" t="s">
        <v>3</v>
      </c>
      <c r="I75" s="2">
        <f t="shared" si="52"/>
        <v>0.64557610533326515</v>
      </c>
      <c r="J75" s="2">
        <f t="shared" ref="J75" si="129">+AVERAGE(B73:B75)/AVERAGE(B61:B63)-1</f>
        <v>0.64003030573134878</v>
      </c>
      <c r="K75" s="2">
        <f t="shared" si="54"/>
        <v>0.13792665795866799</v>
      </c>
      <c r="L75" s="2">
        <f t="shared" ref="L75" si="130">+F75/F72-1</f>
        <v>-5.2827998904837803E-2</v>
      </c>
      <c r="O75" s="7"/>
      <c r="R75" s="7"/>
      <c r="S75" s="7"/>
      <c r="T75" s="7"/>
    </row>
    <row r="76" spans="1:20" x14ac:dyDescent="0.2">
      <c r="A76" s="3">
        <v>36617</v>
      </c>
      <c r="B76" s="4">
        <v>28038</v>
      </c>
      <c r="C76" s="5">
        <v>28588.474456038199</v>
      </c>
      <c r="D76" s="4">
        <v>28842.977160741801</v>
      </c>
      <c r="E76" s="5">
        <f t="shared" si="109"/>
        <v>137.69823567689681</v>
      </c>
      <c r="F76" s="5">
        <f t="shared" si="110"/>
        <v>140.7250367555948</v>
      </c>
      <c r="G76" s="5">
        <f t="shared" si="110"/>
        <v>144.18667849689876</v>
      </c>
      <c r="H76" s="1" t="s">
        <v>4</v>
      </c>
      <c r="I76" s="2">
        <f t="shared" si="52"/>
        <v>0.35403486743613266</v>
      </c>
      <c r="J76" s="2">
        <f t="shared" ref="J76" si="131">+AVERAGE(B73:B76)/AVERAGE(B61:B64)-1</f>
        <v>0.54973087537929044</v>
      </c>
      <c r="K76" s="2">
        <f t="shared" si="54"/>
        <v>-6.7695133044571976E-2</v>
      </c>
      <c r="L76" s="2">
        <f t="shared" ref="L76" si="132">+F76/F72-1</f>
        <v>-0.11694693353506824</v>
      </c>
      <c r="O76" s="7"/>
      <c r="R76" s="7"/>
      <c r="S76" s="7"/>
      <c r="T76" s="7"/>
    </row>
    <row r="77" spans="1:20" x14ac:dyDescent="0.2">
      <c r="A77" s="3">
        <v>36647</v>
      </c>
      <c r="B77" s="4">
        <v>29014</v>
      </c>
      <c r="C77" s="5">
        <v>25318.404791981498</v>
      </c>
      <c r="D77" s="4">
        <v>27158.133040368801</v>
      </c>
      <c r="E77" s="5">
        <f t="shared" si="109"/>
        <v>142.49149760787091</v>
      </c>
      <c r="F77" s="5">
        <f t="shared" si="110"/>
        <v>124.62831657644094</v>
      </c>
      <c r="G77" s="5">
        <f t="shared" si="110"/>
        <v>135.76410560687592</v>
      </c>
      <c r="H77" s="1" t="s">
        <v>3</v>
      </c>
      <c r="I77" s="2">
        <f t="shared" si="52"/>
        <v>0.27719329136769844</v>
      </c>
      <c r="J77" s="2">
        <f t="shared" ref="J77" si="133">+AVERAGE(B73:B77)/AVERAGE(B61:B65)-1</f>
        <v>0.47961494903737267</v>
      </c>
      <c r="K77" s="2">
        <f t="shared" si="54"/>
        <v>-0.11438419594879878</v>
      </c>
      <c r="L77" s="2">
        <f t="shared" ref="L77" si="134">+F77/F72-1</f>
        <v>-0.21795424852278056</v>
      </c>
      <c r="O77" s="7"/>
      <c r="R77" s="7"/>
      <c r="S77" s="7"/>
      <c r="T77" s="7"/>
    </row>
    <row r="78" spans="1:20" x14ac:dyDescent="0.2">
      <c r="A78" s="3">
        <v>36678</v>
      </c>
      <c r="B78" s="4">
        <v>27963</v>
      </c>
      <c r="C78" s="5">
        <v>24503.403937364699</v>
      </c>
      <c r="D78" s="4">
        <v>26049.1382601308</v>
      </c>
      <c r="E78" s="5">
        <f t="shared" si="109"/>
        <v>137.32990099982402</v>
      </c>
      <c r="F78" s="5">
        <f t="shared" si="110"/>
        <v>120.61652415295379</v>
      </c>
      <c r="G78" s="5">
        <f t="shared" si="110"/>
        <v>130.2202162593311</v>
      </c>
      <c r="H78" s="1" t="s">
        <v>5</v>
      </c>
      <c r="I78" s="2">
        <f t="shared" si="52"/>
        <v>0.12346323824829253</v>
      </c>
      <c r="J78" s="2">
        <f t="shared" ref="J78" si="135">+AVERAGE(B73:B78)/AVERAGE(B61:B66)-1</f>
        <v>0.40129870129870127</v>
      </c>
      <c r="K78" s="2">
        <f t="shared" si="54"/>
        <v>-3.2190055468064638E-2</v>
      </c>
      <c r="L78" s="2">
        <f t="shared" ref="L78" si="136">+F78/F72-1</f>
        <v>-0.24312834464139654</v>
      </c>
      <c r="O78" s="7"/>
      <c r="R78" s="7"/>
      <c r="S78" s="7"/>
      <c r="T78" s="7"/>
    </row>
    <row r="79" spans="1:20" x14ac:dyDescent="0.2">
      <c r="A79" s="3">
        <v>36708</v>
      </c>
      <c r="B79" s="4">
        <v>27252</v>
      </c>
      <c r="C79" s="5">
        <v>26309.1755642186</v>
      </c>
      <c r="D79" s="4">
        <v>25635.376936685399</v>
      </c>
      <c r="E79" s="5">
        <f t="shared" si="109"/>
        <v>133.83808826117382</v>
      </c>
      <c r="F79" s="5">
        <f t="shared" si="110"/>
        <v>129.50532579055053</v>
      </c>
      <c r="G79" s="5">
        <f t="shared" si="110"/>
        <v>128.15181428454204</v>
      </c>
      <c r="H79" s="1" t="s">
        <v>5</v>
      </c>
      <c r="I79" s="2">
        <f t="shared" si="52"/>
        <v>7.8859857482185047E-2</v>
      </c>
      <c r="J79" s="2">
        <f t="shared" ref="J79" si="137">+AVERAGE(B73:B79)/AVERAGE(B61:B67)-1</f>
        <v>0.3424702058504876</v>
      </c>
      <c r="K79" s="2">
        <f t="shared" si="54"/>
        <v>7.3694725494865443E-2</v>
      </c>
      <c r="L79" s="2">
        <f t="shared" ref="L79" si="138">+F79/F72-1</f>
        <v>-0.18735089576489983</v>
      </c>
      <c r="O79" s="7"/>
      <c r="R79" s="7"/>
      <c r="S79" s="7"/>
      <c r="T79" s="7"/>
    </row>
    <row r="80" spans="1:20" x14ac:dyDescent="0.2">
      <c r="A80" s="3">
        <v>36739</v>
      </c>
      <c r="B80" s="4">
        <v>28951</v>
      </c>
      <c r="C80" s="5">
        <v>24617.533326077701</v>
      </c>
      <c r="D80" s="4">
        <v>25580.254519653499</v>
      </c>
      <c r="E80" s="5">
        <f t="shared" si="109"/>
        <v>142.18209647912974</v>
      </c>
      <c r="F80" s="5">
        <f t="shared" si="110"/>
        <v>121.17831916745266</v>
      </c>
      <c r="G80" s="5">
        <f t="shared" si="110"/>
        <v>127.8762561069567</v>
      </c>
      <c r="H80" s="1" t="s">
        <v>4</v>
      </c>
      <c r="I80" s="2">
        <f t="shared" si="52"/>
        <v>9.0620752152243966E-3</v>
      </c>
      <c r="J80" s="2">
        <f t="shared" ref="J80" si="139">+AVERAGE(B73:B80)/AVERAGE(B61:B68)-1</f>
        <v>0.28523821204850996</v>
      </c>
      <c r="K80" s="2">
        <f t="shared" si="54"/>
        <v>-6.4298565115114781E-2</v>
      </c>
      <c r="L80" s="2">
        <f t="shared" ref="L80" si="140">+F80/F72-1</f>
        <v>-0.23960306710930024</v>
      </c>
      <c r="O80" s="7"/>
      <c r="R80" s="7"/>
      <c r="S80" s="7"/>
      <c r="T80" s="7"/>
    </row>
    <row r="81" spans="1:20" x14ac:dyDescent="0.2">
      <c r="A81" s="3">
        <v>36770</v>
      </c>
      <c r="B81" s="4">
        <v>29706</v>
      </c>
      <c r="C81" s="5">
        <v>26542.167916748</v>
      </c>
      <c r="D81" s="4">
        <v>25516.1384928802</v>
      </c>
      <c r="E81" s="5">
        <f t="shared" si="109"/>
        <v>145.88999889499595</v>
      </c>
      <c r="F81" s="5">
        <f t="shared" si="110"/>
        <v>130.65221655675396</v>
      </c>
      <c r="G81" s="5">
        <f t="shared" si="110"/>
        <v>127.55573867606391</v>
      </c>
      <c r="H81" s="1" t="s">
        <v>6</v>
      </c>
      <c r="I81" s="2">
        <f t="shared" si="52"/>
        <v>1.1405808450512422E-2</v>
      </c>
      <c r="J81" s="2">
        <f t="shared" ref="J81" si="141">+AVERAGE(B73:B81)/AVERAGE(B61:B69)-1</f>
        <v>0.24431078000325668</v>
      </c>
      <c r="K81" s="2">
        <f t="shared" si="54"/>
        <v>7.8181455679457112E-2</v>
      </c>
      <c r="L81" s="2">
        <f t="shared" ref="L81" si="142">+F81/F72-1</f>
        <v>-0.18015412800171082</v>
      </c>
      <c r="O81" s="7"/>
      <c r="R81" s="7"/>
      <c r="S81" s="7"/>
      <c r="T81" s="7"/>
    </row>
    <row r="82" spans="1:20" x14ac:dyDescent="0.2">
      <c r="A82" s="3">
        <v>36800</v>
      </c>
      <c r="B82" s="4">
        <v>27902</v>
      </c>
      <c r="C82" s="5">
        <v>25043.483939992399</v>
      </c>
      <c r="D82" s="4">
        <v>25220.420521093602</v>
      </c>
      <c r="E82" s="5">
        <f t="shared" si="109"/>
        <v>137.03032212913811</v>
      </c>
      <c r="F82" s="5">
        <f t="shared" si="110"/>
        <v>123.27503530707702</v>
      </c>
      <c r="G82" s="5">
        <f t="shared" si="110"/>
        <v>126.07743801777455</v>
      </c>
      <c r="H82" s="1" t="s">
        <v>7</v>
      </c>
      <c r="I82" s="2">
        <f t="shared" si="52"/>
        <v>-9.0073049830420193E-2</v>
      </c>
      <c r="J82" s="2">
        <f t="shared" ref="J82" si="143">+AVERAGE(B73:B82)/AVERAGE(B61:B70)-1</f>
        <v>0.19917596929253101</v>
      </c>
      <c r="K82" s="2">
        <f t="shared" si="54"/>
        <v>-5.6464264014015941E-2</v>
      </c>
      <c r="L82" s="2">
        <f t="shared" ref="L82" si="144">+F82/F72-1</f>
        <v>-0.22644612176902335</v>
      </c>
      <c r="O82" s="7"/>
      <c r="R82" s="7"/>
      <c r="S82" s="7"/>
      <c r="T82" s="7"/>
    </row>
    <row r="83" spans="1:20" x14ac:dyDescent="0.2">
      <c r="A83" s="3">
        <v>36831</v>
      </c>
      <c r="B83" s="4">
        <v>28362</v>
      </c>
      <c r="C83" s="5">
        <v>24995.5922893963</v>
      </c>
      <c r="D83" s="4">
        <v>24672.170268415801</v>
      </c>
      <c r="E83" s="5">
        <f t="shared" si="109"/>
        <v>139.28944148185133</v>
      </c>
      <c r="F83" s="5">
        <f t="shared" si="110"/>
        <v>123.03929155304125</v>
      </c>
      <c r="G83" s="5">
        <f t="shared" si="110"/>
        <v>123.33672292175135</v>
      </c>
      <c r="H83" s="1" t="s">
        <v>8</v>
      </c>
      <c r="I83" s="2">
        <f t="shared" si="52"/>
        <v>-0.12764517716535428</v>
      </c>
      <c r="J83" s="2">
        <f t="shared" ref="J83" si="145">+AVERAGE(B73:B83)/AVERAGE(B61:B71)-1</f>
        <v>0.15825914173931799</v>
      </c>
      <c r="K83" s="2">
        <f t="shared" si="54"/>
        <v>-1.9123397811124931E-3</v>
      </c>
      <c r="L83" s="2">
        <f t="shared" ref="L83" si="146">+F83/F72-1</f>
        <v>-0.22792541962319823</v>
      </c>
      <c r="O83" s="7"/>
      <c r="R83" s="7"/>
      <c r="S83" s="7"/>
      <c r="T83" s="7"/>
    </row>
    <row r="84" spans="1:20" x14ac:dyDescent="0.2">
      <c r="A84" s="3">
        <v>36861</v>
      </c>
      <c r="B84" s="4">
        <v>23865</v>
      </c>
      <c r="C84" s="5">
        <v>27620.319277143401</v>
      </c>
      <c r="D84" s="4">
        <v>24092.0523675777</v>
      </c>
      <c r="E84" s="5">
        <f t="shared" si="109"/>
        <v>117.20409424456604</v>
      </c>
      <c r="F84" s="5">
        <f t="shared" si="110"/>
        <v>135.95935143214049</v>
      </c>
      <c r="G84" s="5">
        <f t="shared" si="110"/>
        <v>120.43670075024373</v>
      </c>
      <c r="H84" s="1" t="s">
        <v>9</v>
      </c>
      <c r="I84" s="2">
        <f t="shared" si="52"/>
        <v>-0.24451549590047172</v>
      </c>
      <c r="J84" s="2">
        <f t="shared" ref="J84" si="147">+AVERAGE(B73:B84)/AVERAGE(B61:B72)-1</f>
        <v>0.11457821935820545</v>
      </c>
      <c r="K84" s="2">
        <f t="shared" si="54"/>
        <v>0.10500759323317066</v>
      </c>
      <c r="L84" s="2">
        <f t="shared" ref="L84" si="148">+F84/F72-1</f>
        <v>-0.14685172614132025</v>
      </c>
      <c r="O84" s="7"/>
      <c r="R84" s="7"/>
      <c r="S84" s="7"/>
      <c r="T84" s="7"/>
    </row>
    <row r="85" spans="1:20" x14ac:dyDescent="0.2">
      <c r="A85" s="3">
        <v>36892</v>
      </c>
      <c r="B85" s="4">
        <v>11613</v>
      </c>
      <c r="C85" s="5">
        <v>24612.0005935267</v>
      </c>
      <c r="D85" s="4">
        <v>23756.323104306699</v>
      </c>
      <c r="E85" s="5">
        <f t="shared" si="109"/>
        <v>57.032941397952875</v>
      </c>
      <c r="F85" s="5">
        <f t="shared" si="110"/>
        <v>121.15108462603648</v>
      </c>
      <c r="G85" s="5">
        <f t="shared" si="110"/>
        <v>118.75838276401502</v>
      </c>
      <c r="H85" s="1" t="s">
        <v>15</v>
      </c>
      <c r="I85" s="2">
        <f t="shared" si="52"/>
        <v>-0.4471842719093635</v>
      </c>
      <c r="J85" s="2">
        <f t="shared" ref="J85" si="149">+AVERAGE(B85:B85)/AVERAGE(B73:B73)-1</f>
        <v>-0.4471842719093635</v>
      </c>
      <c r="K85" s="2">
        <f t="shared" si="54"/>
        <v>-0.10891686853548332</v>
      </c>
      <c r="L85" s="2">
        <f t="shared" ref="L85" si="150">+F85/F84-1</f>
        <v>-0.10891686853548332</v>
      </c>
      <c r="O85" s="7"/>
      <c r="R85" s="7"/>
      <c r="S85" s="7"/>
      <c r="T85" s="7"/>
    </row>
    <row r="86" spans="1:20" x14ac:dyDescent="0.2">
      <c r="A86" s="3">
        <v>36923</v>
      </c>
      <c r="B86" s="4">
        <v>14696</v>
      </c>
      <c r="C86" s="5">
        <v>19274.859027923801</v>
      </c>
      <c r="D86" s="4">
        <v>23770.551564959598</v>
      </c>
      <c r="E86" s="5">
        <f t="shared" si="109"/>
        <v>72.173952190158914</v>
      </c>
      <c r="F86" s="5">
        <f t="shared" si="110"/>
        <v>94.879328008024757</v>
      </c>
      <c r="G86" s="5">
        <f t="shared" si="110"/>
        <v>118.8295111523999</v>
      </c>
      <c r="H86" s="1" t="s">
        <v>2</v>
      </c>
      <c r="I86" s="2">
        <f t="shared" si="52"/>
        <v>-0.28210639441160668</v>
      </c>
      <c r="J86" s="2">
        <f t="shared" ref="J86" si="151">+AVERAGE(B85:B86)/AVERAGE(B73:B74)-1</f>
        <v>-0.36571194368098747</v>
      </c>
      <c r="K86" s="2">
        <f t="shared" si="54"/>
        <v>-0.21685118791223501</v>
      </c>
      <c r="L86" s="2">
        <f t="shared" ref="L86" si="152">+F86/F84-1</f>
        <v>-0.30214930412211805</v>
      </c>
      <c r="O86" s="7"/>
      <c r="R86" s="7"/>
      <c r="S86" s="7"/>
      <c r="T86" s="7"/>
    </row>
    <row r="87" spans="1:20" x14ac:dyDescent="0.2">
      <c r="A87" s="3">
        <v>36951</v>
      </c>
      <c r="B87" s="4">
        <v>24006</v>
      </c>
      <c r="C87" s="5">
        <v>23731.055231634899</v>
      </c>
      <c r="D87" s="4">
        <v>24008.622550225398</v>
      </c>
      <c r="E87" s="5">
        <f t="shared" si="109"/>
        <v>117.8965634374629</v>
      </c>
      <c r="F87" s="5">
        <f t="shared" si="110"/>
        <v>116.8146843531737</v>
      </c>
      <c r="G87" s="5">
        <f t="shared" si="110"/>
        <v>120.01963325458991</v>
      </c>
      <c r="H87" s="1" t="s">
        <v>3</v>
      </c>
      <c r="I87" s="2">
        <f t="shared" si="52"/>
        <v>-0.25261519302615199</v>
      </c>
      <c r="J87" s="2">
        <f t="shared" ref="J87" si="153">+AVERAGE(B85:B87)/AVERAGE(B73:B75)-1</f>
        <v>-0.31635370526372997</v>
      </c>
      <c r="K87" s="2">
        <f t="shared" si="54"/>
        <v>0.23119215540073901</v>
      </c>
      <c r="L87" s="2">
        <f t="shared" ref="L87" si="154">+F87/F84-1</f>
        <v>-0.14081169759420487</v>
      </c>
      <c r="O87" s="7"/>
      <c r="R87" s="7"/>
      <c r="S87" s="7"/>
      <c r="T87" s="7"/>
    </row>
    <row r="88" spans="1:20" x14ac:dyDescent="0.2">
      <c r="A88" s="3">
        <v>36982</v>
      </c>
      <c r="B88" s="4">
        <v>25500</v>
      </c>
      <c r="C88" s="5">
        <v>24375.407581475902</v>
      </c>
      <c r="D88" s="4">
        <v>24143.659252285401</v>
      </c>
      <c r="E88" s="5">
        <f t="shared" si="109"/>
        <v>125.23379020475313</v>
      </c>
      <c r="F88" s="5">
        <f t="shared" si="110"/>
        <v>119.98646983107201</v>
      </c>
      <c r="G88" s="5">
        <f t="shared" si="110"/>
        <v>120.69468470426162</v>
      </c>
      <c r="H88" s="1" t="s">
        <v>4</v>
      </c>
      <c r="I88" s="2">
        <f t="shared" si="52"/>
        <v>-9.0520008559811793E-2</v>
      </c>
      <c r="J88" s="2">
        <f t="shared" ref="J88" si="155">+AVERAGE(B85:B88)/AVERAGE(B73:B76)-1</f>
        <v>-0.25405368176630327</v>
      </c>
      <c r="K88" s="2">
        <f t="shared" si="54"/>
        <v>2.7152283939824162E-2</v>
      </c>
      <c r="L88" s="2">
        <f t="shared" ref="L88" si="156">+F88/F84-1</f>
        <v>-0.11748277284950714</v>
      </c>
      <c r="O88" s="7"/>
      <c r="R88" s="7"/>
      <c r="S88" s="7"/>
      <c r="T88" s="7"/>
    </row>
    <row r="89" spans="1:20" x14ac:dyDescent="0.2">
      <c r="A89" s="3">
        <v>37012</v>
      </c>
      <c r="B89" s="4">
        <v>27329</v>
      </c>
      <c r="C89" s="5">
        <v>23883.207074048601</v>
      </c>
      <c r="D89" s="4">
        <v>23740.443799462999</v>
      </c>
      <c r="E89" s="5">
        <f t="shared" si="109"/>
        <v>134.21624519630191</v>
      </c>
      <c r="F89" s="5">
        <f t="shared" si="110"/>
        <v>117.56364259678426</v>
      </c>
      <c r="G89" s="5">
        <f t="shared" si="110"/>
        <v>118.67900176913739</v>
      </c>
      <c r="H89" s="1" t="s">
        <v>3</v>
      </c>
      <c r="I89" s="2">
        <f t="shared" si="52"/>
        <v>-5.8075411870131766E-2</v>
      </c>
      <c r="J89" s="2">
        <f t="shared" ref="J89" si="157">+AVERAGE(B85:B89)/AVERAGE(B73:B77)-1</f>
        <v>-0.21053195560658255</v>
      </c>
      <c r="K89" s="2">
        <f t="shared" si="54"/>
        <v>-2.0192503685614094E-2</v>
      </c>
      <c r="L89" s="2">
        <f t="shared" ref="L89" si="158">+F89/F84-1</f>
        <v>-0.13530300521136152</v>
      </c>
      <c r="O89" s="7"/>
      <c r="R89" s="7"/>
      <c r="S89" s="7"/>
      <c r="T89" s="7"/>
    </row>
    <row r="90" spans="1:20" x14ac:dyDescent="0.2">
      <c r="A90" s="3">
        <v>37043</v>
      </c>
      <c r="B90" s="4">
        <v>24921</v>
      </c>
      <c r="C90" s="5">
        <v>23044.011165833599</v>
      </c>
      <c r="D90" s="4">
        <v>22614.122921314702</v>
      </c>
      <c r="E90" s="5">
        <f t="shared" si="109"/>
        <v>122.39024649775109</v>
      </c>
      <c r="F90" s="5">
        <f t="shared" si="110"/>
        <v>113.43275148504264</v>
      </c>
      <c r="G90" s="5">
        <f t="shared" si="110"/>
        <v>113.04849887628912</v>
      </c>
      <c r="H90" s="1" t="s">
        <v>5</v>
      </c>
      <c r="I90" s="2">
        <f t="shared" si="52"/>
        <v>-0.10878661087866126</v>
      </c>
      <c r="J90" s="2">
        <f t="shared" ref="J90" si="159">+AVERAGE(B85:B90)/AVERAGE(B73:B78)-1</f>
        <v>-0.1925945540403371</v>
      </c>
      <c r="K90" s="2">
        <f t="shared" si="54"/>
        <v>-3.5137488261652527E-2</v>
      </c>
      <c r="L90" s="2">
        <f t="shared" ref="L90" si="160">+F90/F84-1</f>
        <v>-0.16568628571563349</v>
      </c>
      <c r="O90" s="7"/>
      <c r="R90" s="7"/>
      <c r="S90" s="7"/>
      <c r="T90" s="7"/>
    </row>
    <row r="91" spans="1:20" x14ac:dyDescent="0.2">
      <c r="A91" s="3">
        <v>37073</v>
      </c>
      <c r="B91" s="4">
        <v>22748</v>
      </c>
      <c r="C91" s="5">
        <v>20871.218348611001</v>
      </c>
      <c r="D91" s="4">
        <v>20786.108764406101</v>
      </c>
      <c r="E91" s="5">
        <f t="shared" si="109"/>
        <v>111.71836312069507</v>
      </c>
      <c r="F91" s="5">
        <f t="shared" si="110"/>
        <v>102.73731023174548</v>
      </c>
      <c r="G91" s="5">
        <f t="shared" si="110"/>
        <v>103.91021581830049</v>
      </c>
      <c r="H91" s="1" t="s">
        <v>5</v>
      </c>
      <c r="I91" s="2">
        <f t="shared" si="52"/>
        <v>-0.16527227359459851</v>
      </c>
      <c r="J91" s="2">
        <f t="shared" ref="J91" si="161">+AVERAGE(B85:B91)/AVERAGE(B73:B79)-1</f>
        <v>-0.18858849164716329</v>
      </c>
      <c r="K91" s="2">
        <f t="shared" si="54"/>
        <v>-9.4288828519754952E-2</v>
      </c>
      <c r="L91" s="2">
        <f t="shared" ref="L91" si="162">+F91/F84-1</f>
        <v>-0.24435274845347188</v>
      </c>
      <c r="O91" s="7"/>
      <c r="R91" s="7"/>
      <c r="S91" s="7"/>
      <c r="T91" s="7"/>
    </row>
    <row r="92" spans="1:20" x14ac:dyDescent="0.2">
      <c r="A92" s="3">
        <v>37104</v>
      </c>
      <c r="B92" s="4">
        <v>18069</v>
      </c>
      <c r="C92" s="5">
        <v>14056.847280329301</v>
      </c>
      <c r="D92" s="4">
        <v>18573.774952815202</v>
      </c>
      <c r="E92" s="5">
        <f t="shared" si="109"/>
        <v>88.739190400379783</v>
      </c>
      <c r="F92" s="5">
        <f t="shared" si="110"/>
        <v>69.193980715340913</v>
      </c>
      <c r="G92" s="5">
        <f t="shared" si="110"/>
        <v>92.850710336534476</v>
      </c>
      <c r="H92" s="1" t="s">
        <v>4</v>
      </c>
      <c r="I92" s="2">
        <f t="shared" si="52"/>
        <v>-0.37587648095057169</v>
      </c>
      <c r="J92" s="2">
        <f t="shared" ref="J92" si="163">+AVERAGE(B85:B92)/AVERAGE(B73:B80)-1</f>
        <v>-0.21382950990615224</v>
      </c>
      <c r="K92" s="2">
        <f t="shared" si="54"/>
        <v>-0.32649608443846323</v>
      </c>
      <c r="L92" s="2">
        <f t="shared" ref="L92" si="164">+F92/F84-1</f>
        <v>-0.49106861730009987</v>
      </c>
      <c r="O92" s="7"/>
      <c r="R92" s="7"/>
      <c r="S92" s="7"/>
      <c r="T92" s="7"/>
    </row>
    <row r="93" spans="1:20" x14ac:dyDescent="0.2">
      <c r="A93" s="3">
        <v>37135</v>
      </c>
      <c r="B93" s="4">
        <v>16242</v>
      </c>
      <c r="C93" s="5">
        <v>15018.533105483801</v>
      </c>
      <c r="D93" s="4">
        <v>16405.623260508801</v>
      </c>
      <c r="E93" s="5">
        <f t="shared" si="109"/>
        <v>79.7665576668863</v>
      </c>
      <c r="F93" s="5">
        <f t="shared" si="110"/>
        <v>73.927821036212521</v>
      </c>
      <c r="G93" s="5">
        <f t="shared" si="110"/>
        <v>82.012072242801381</v>
      </c>
      <c r="H93" s="1" t="s">
        <v>6</v>
      </c>
      <c r="I93" s="2">
        <f t="shared" si="52"/>
        <v>-0.45324176933952731</v>
      </c>
      <c r="J93" s="2">
        <f t="shared" ref="J93" si="165">+AVERAGE(B85:B93)/AVERAGE(B73:B81)-1</f>
        <v>-0.242914747957239</v>
      </c>
      <c r="K93" s="2">
        <f t="shared" si="54"/>
        <v>6.841404804192841E-2</v>
      </c>
      <c r="L93" s="2">
        <f t="shared" ref="L93" si="166">+F93/F84-1</f>
        <v>-0.45625056123402374</v>
      </c>
      <c r="O93" s="7"/>
      <c r="R93" s="7"/>
      <c r="S93" s="7"/>
      <c r="T93" s="7"/>
    </row>
    <row r="94" spans="1:20" x14ac:dyDescent="0.2">
      <c r="A94" s="3">
        <v>37165</v>
      </c>
      <c r="B94" s="4">
        <v>17847</v>
      </c>
      <c r="C94" s="5">
        <v>13946.766587329899</v>
      </c>
      <c r="D94" s="4">
        <v>14547.3818624914</v>
      </c>
      <c r="E94" s="5">
        <f t="shared" si="109"/>
        <v>87.648919756244297</v>
      </c>
      <c r="F94" s="5">
        <f t="shared" si="110"/>
        <v>68.652115160666298</v>
      </c>
      <c r="G94" s="5">
        <f t="shared" si="110"/>
        <v>72.722682540331704</v>
      </c>
      <c r="H94" s="1" t="s">
        <v>7</v>
      </c>
      <c r="I94" s="2">
        <f t="shared" si="52"/>
        <v>-0.36036843237043925</v>
      </c>
      <c r="J94" s="2">
        <f t="shared" ref="J94" si="167">+AVERAGE(B85:B94)/AVERAGE(B73:B82)-1</f>
        <v>-0.25494449828208976</v>
      </c>
      <c r="K94" s="2">
        <f t="shared" si="54"/>
        <v>-7.1362929430342503E-2</v>
      </c>
      <c r="L94" s="2">
        <f t="shared" ref="L94" si="168">+F94/F84-1</f>
        <v>-0.49505411406046851</v>
      </c>
      <c r="O94" s="7"/>
      <c r="R94" s="7"/>
      <c r="S94" s="7"/>
      <c r="T94" s="7"/>
    </row>
    <row r="95" spans="1:20" x14ac:dyDescent="0.2">
      <c r="A95" s="3">
        <v>37196</v>
      </c>
      <c r="B95" s="4">
        <v>16676</v>
      </c>
      <c r="C95" s="5">
        <v>12802.930420660001</v>
      </c>
      <c r="D95" s="4">
        <v>13233.754157909299</v>
      </c>
      <c r="E95" s="5">
        <f t="shared" si="109"/>
        <v>81.89798766488093</v>
      </c>
      <c r="F95" s="5">
        <f t="shared" si="110"/>
        <v>63.021650798374942</v>
      </c>
      <c r="G95" s="5">
        <f t="shared" si="110"/>
        <v>66.155828694085855</v>
      </c>
      <c r="H95" s="1" t="s">
        <v>8</v>
      </c>
      <c r="I95" s="2">
        <f t="shared" si="52"/>
        <v>-0.41203018122840418</v>
      </c>
      <c r="J95" s="2">
        <f t="shared" ref="J95" si="169">+AVERAGE(B85:B95)/AVERAGE(B73:B83)-1</f>
        <v>-0.26975657111700679</v>
      </c>
      <c r="K95" s="2">
        <f t="shared" si="54"/>
        <v>-8.20144339196891E-2</v>
      </c>
      <c r="L95" s="2">
        <f t="shared" ref="L95" si="170">+F95/F84-1</f>
        <v>-0.5364669650558751</v>
      </c>
      <c r="O95" s="7"/>
      <c r="R95" s="7"/>
      <c r="S95" s="7"/>
      <c r="T95" s="7"/>
    </row>
    <row r="96" spans="1:20" x14ac:dyDescent="0.2">
      <c r="A96" s="3">
        <v>37226</v>
      </c>
      <c r="B96" s="4">
        <v>7442</v>
      </c>
      <c r="C96" s="5">
        <v>11193.117448711901</v>
      </c>
      <c r="D96" s="4">
        <v>12472.3923379549</v>
      </c>
      <c r="E96" s="5">
        <f t="shared" si="109"/>
        <v>36.54862222367737</v>
      </c>
      <c r="F96" s="5">
        <f t="shared" si="110"/>
        <v>55.097443789869047</v>
      </c>
      <c r="G96" s="5">
        <f t="shared" si="110"/>
        <v>62.34976417648128</v>
      </c>
      <c r="H96" s="1" t="s">
        <v>9</v>
      </c>
      <c r="I96" s="2">
        <f t="shared" si="52"/>
        <v>-0.68816258118583695</v>
      </c>
      <c r="J96" s="2">
        <f t="shared" ref="J96" si="171">+AVERAGE(B85:B96)/AVERAGE(B73:B84)-1</f>
        <v>-0.30051347446950727</v>
      </c>
      <c r="K96" s="2">
        <f t="shared" si="54"/>
        <v>-0.12573785212097666</v>
      </c>
      <c r="L96" s="2">
        <f t="shared" ref="L96" si="172">+F96/F84-1</f>
        <v>-0.59475061325686696</v>
      </c>
      <c r="O96" s="7"/>
      <c r="R96" s="7"/>
      <c r="S96" s="7"/>
      <c r="T96" s="7"/>
    </row>
    <row r="97" spans="1:20" x14ac:dyDescent="0.2">
      <c r="A97" s="3">
        <v>37257</v>
      </c>
      <c r="B97" s="4">
        <v>4300</v>
      </c>
      <c r="C97" s="5">
        <v>16697.178628423499</v>
      </c>
      <c r="D97" s="4">
        <v>12161.6198115796</v>
      </c>
      <c r="E97" s="5">
        <f t="shared" si="109"/>
        <v>21.117854818840726</v>
      </c>
      <c r="F97" s="5">
        <f t="shared" si="110"/>
        <v>82.190852114648052</v>
      </c>
      <c r="G97" s="5">
        <f t="shared" si="110"/>
        <v>60.7962054680157</v>
      </c>
      <c r="H97" s="1" t="s">
        <v>16</v>
      </c>
      <c r="I97" s="2">
        <f t="shared" si="52"/>
        <v>-0.62972530784465686</v>
      </c>
      <c r="J97" s="2">
        <f t="shared" ref="J97" si="173">+AVERAGE(B97:B97)/AVERAGE(B85:B85)-1</f>
        <v>-0.62972530784465686</v>
      </c>
      <c r="K97" s="2">
        <f t="shared" si="54"/>
        <v>0.4917362124476774</v>
      </c>
      <c r="L97" s="2">
        <f t="shared" ref="L97" si="174">+F97/F96-1</f>
        <v>0.4917362124476774</v>
      </c>
      <c r="O97" s="7"/>
      <c r="R97" s="7"/>
      <c r="S97" s="7"/>
      <c r="T97" s="7"/>
    </row>
    <row r="98" spans="1:20" x14ac:dyDescent="0.2">
      <c r="A98" s="3">
        <v>37288</v>
      </c>
      <c r="B98" s="4">
        <v>7404</v>
      </c>
      <c r="C98" s="5">
        <v>11637.0059091123</v>
      </c>
      <c r="D98" s="4">
        <v>12153.4201079391</v>
      </c>
      <c r="E98" s="5">
        <f t="shared" si="109"/>
        <v>36.361999320627149</v>
      </c>
      <c r="F98" s="5">
        <f t="shared" si="110"/>
        <v>57.282457894111928</v>
      </c>
      <c r="G98" s="5">
        <f t="shared" si="110"/>
        <v>60.755214968803571</v>
      </c>
      <c r="H98" s="1" t="s">
        <v>2</v>
      </c>
      <c r="I98" s="2">
        <f t="shared" si="52"/>
        <v>-0.4961894393032118</v>
      </c>
      <c r="J98" s="2">
        <f t="shared" ref="J98" si="175">+AVERAGE(B97:B98)/AVERAGE(B85:B86)-1</f>
        <v>-0.55513322437188795</v>
      </c>
      <c r="K98" s="2">
        <f t="shared" si="54"/>
        <v>-0.30305555399025907</v>
      </c>
      <c r="L98" s="2">
        <f t="shared" ref="L98" si="176">+F98/F96-1</f>
        <v>3.9657268177015537E-2</v>
      </c>
      <c r="O98" s="7"/>
      <c r="R98" s="7"/>
      <c r="S98" s="7"/>
      <c r="T98" s="7"/>
    </row>
    <row r="99" spans="1:20" x14ac:dyDescent="0.2">
      <c r="A99" s="3">
        <v>37316</v>
      </c>
      <c r="B99" s="4">
        <v>10823</v>
      </c>
      <c r="C99" s="5">
        <v>11629.965782556599</v>
      </c>
      <c r="D99" s="4">
        <v>12282.013989814999</v>
      </c>
      <c r="E99" s="5">
        <f t="shared" si="109"/>
        <v>53.153149466119345</v>
      </c>
      <c r="F99" s="5">
        <f t="shared" si="110"/>
        <v>57.247803296860198</v>
      </c>
      <c r="G99" s="5">
        <f t="shared" si="110"/>
        <v>61.398058618381654</v>
      </c>
      <c r="H99" s="1" t="s">
        <v>3</v>
      </c>
      <c r="I99" s="2">
        <f t="shared" si="52"/>
        <v>-0.54915437807214862</v>
      </c>
      <c r="J99" s="2">
        <f t="shared" ref="J99" si="177">+AVERAGE(B97:B99)/AVERAGE(B85:B87)-1</f>
        <v>-0.55228063201828481</v>
      </c>
      <c r="K99" s="2">
        <f t="shared" si="54"/>
        <v>-6.0497748395837991E-4</v>
      </c>
      <c r="L99" s="2">
        <f t="shared" ref="L99" si="178">+F99/F96-1</f>
        <v>3.902829893873494E-2</v>
      </c>
      <c r="O99" s="7"/>
      <c r="R99" s="7"/>
      <c r="S99" s="7"/>
      <c r="T99" s="7"/>
    </row>
    <row r="100" spans="1:20" x14ac:dyDescent="0.2">
      <c r="A100" s="3">
        <v>37347</v>
      </c>
      <c r="B100" s="4">
        <v>15831</v>
      </c>
      <c r="C100" s="5">
        <v>13109.3279377947</v>
      </c>
      <c r="D100" s="4">
        <v>12462.9859534192</v>
      </c>
      <c r="E100" s="5">
        <f t="shared" si="109"/>
        <v>77.748083636527326</v>
      </c>
      <c r="F100" s="5">
        <f t="shared" si="110"/>
        <v>64.529874048514003</v>
      </c>
      <c r="G100" s="5">
        <f t="shared" si="110"/>
        <v>62.302741452880014</v>
      </c>
      <c r="H100" s="1" t="s">
        <v>4</v>
      </c>
      <c r="I100" s="2">
        <f t="shared" si="52"/>
        <v>-0.37917647058823534</v>
      </c>
      <c r="J100" s="2">
        <f t="shared" ref="J100" si="179">+AVERAGE(B97:B100)/AVERAGE(B85:B88)-1</f>
        <v>-0.49405790410868566</v>
      </c>
      <c r="K100" s="2">
        <f t="shared" si="54"/>
        <v>0.12720262319747722</v>
      </c>
      <c r="L100" s="2">
        <f t="shared" ref="L100" si="180">+F100/F96-1</f>
        <v>0.17119542414015454</v>
      </c>
      <c r="O100" s="7"/>
      <c r="R100" s="7"/>
      <c r="S100" s="7"/>
      <c r="T100" s="7"/>
    </row>
    <row r="101" spans="1:20" x14ac:dyDescent="0.2">
      <c r="A101" s="3">
        <v>37377</v>
      </c>
      <c r="B101" s="4">
        <v>14551</v>
      </c>
      <c r="C101" s="5">
        <v>11229.1688365022</v>
      </c>
      <c r="D101" s="4">
        <v>12637.3877537387</v>
      </c>
      <c r="E101" s="5">
        <f t="shared" si="109"/>
        <v>71.461838481151503</v>
      </c>
      <c r="F101" s="5">
        <f t="shared" si="110"/>
        <v>55.274904566227768</v>
      </c>
      <c r="G101" s="5">
        <f t="shared" si="110"/>
        <v>63.174579896318328</v>
      </c>
      <c r="H101" s="1" t="s">
        <v>3</v>
      </c>
      <c r="I101" s="2">
        <f t="shared" ref="I101:I164" si="181">+E101/E89-1</f>
        <v>-0.4675619305499652</v>
      </c>
      <c r="J101" s="2">
        <f t="shared" ref="J101" si="182">+AVERAGE(B97:B101)/AVERAGE(B85:B89)-1</f>
        <v>-0.4870375397502521</v>
      </c>
      <c r="K101" s="2">
        <f t="shared" ref="K101:K164" si="183">+F101/F100-1</f>
        <v>-0.14342147135338101</v>
      </c>
      <c r="L101" s="2">
        <f t="shared" ref="L101" si="184">+F101/F96-1</f>
        <v>3.2208531676265473E-3</v>
      </c>
      <c r="O101" s="7"/>
      <c r="R101" s="7"/>
      <c r="S101" s="7"/>
      <c r="T101" s="7"/>
    </row>
    <row r="102" spans="1:20" x14ac:dyDescent="0.2">
      <c r="A102" s="3">
        <v>37408</v>
      </c>
      <c r="B102" s="4">
        <v>13252</v>
      </c>
      <c r="C102" s="5">
        <v>13196.9484592188</v>
      </c>
      <c r="D102" s="4">
        <v>12694.5550890136</v>
      </c>
      <c r="E102" s="5">
        <f t="shared" si="109"/>
        <v>65.08228187425054</v>
      </c>
      <c r="F102" s="5">
        <f t="shared" si="110"/>
        <v>64.961180766783002</v>
      </c>
      <c r="G102" s="5">
        <f t="shared" si="110"/>
        <v>63.460360665268411</v>
      </c>
      <c r="H102" s="1" t="s">
        <v>5</v>
      </c>
      <c r="I102" s="2">
        <f t="shared" si="181"/>
        <v>-0.46823963725372164</v>
      </c>
      <c r="J102" s="2">
        <f t="shared" ref="J102" si="185">+AVERAGE(B97:B102)/AVERAGE(B85:B90)-1</f>
        <v>-0.48337953383047672</v>
      </c>
      <c r="K102" s="2">
        <f t="shared" si="183"/>
        <v>0.1752382256752627</v>
      </c>
      <c r="L102" s="2">
        <f t="shared" ref="L102" si="186">+F102/F96-1</f>
        <v>0.17902349543714458</v>
      </c>
      <c r="O102" s="7"/>
      <c r="R102" s="7"/>
      <c r="S102" s="7"/>
      <c r="T102" s="7"/>
    </row>
    <row r="103" spans="1:20" x14ac:dyDescent="0.2">
      <c r="A103" s="3">
        <v>37438</v>
      </c>
      <c r="B103" s="4">
        <v>15086</v>
      </c>
      <c r="C103" s="5">
        <v>12176.1961354264</v>
      </c>
      <c r="D103" s="4">
        <v>12618.946548419901</v>
      </c>
      <c r="E103" s="5">
        <f t="shared" si="109"/>
        <v>74.089292510937483</v>
      </c>
      <c r="F103" s="5">
        <f t="shared" si="110"/>
        <v>59.936589178136522</v>
      </c>
      <c r="G103" s="5">
        <f t="shared" si="110"/>
        <v>63.082391904503943</v>
      </c>
      <c r="H103" s="1" t="s">
        <v>5</v>
      </c>
      <c r="I103" s="2">
        <f t="shared" si="181"/>
        <v>-0.33682081941269559</v>
      </c>
      <c r="J103" s="2">
        <f t="shared" ref="J103" si="187">+AVERAGE(B97:B103)/AVERAGE(B85:B91)-1</f>
        <v>-0.46127323241365137</v>
      </c>
      <c r="K103" s="2">
        <f t="shared" si="183"/>
        <v>-7.7347602511802505E-2</v>
      </c>
      <c r="L103" s="2">
        <f t="shared" ref="L103" si="188">+F103/F96-1</f>
        <v>8.7828854759996355E-2</v>
      </c>
      <c r="O103" s="7"/>
      <c r="R103" s="7"/>
      <c r="S103" s="7"/>
      <c r="T103" s="7"/>
    </row>
    <row r="104" spans="1:20" x14ac:dyDescent="0.2">
      <c r="A104" s="3">
        <v>37469</v>
      </c>
      <c r="B104" s="4">
        <v>14646</v>
      </c>
      <c r="C104" s="5">
        <v>12317.288272924399</v>
      </c>
      <c r="D104" s="4">
        <v>12583.2807784379</v>
      </c>
      <c r="E104" s="5">
        <f t="shared" si="109"/>
        <v>71.928395738777041</v>
      </c>
      <c r="F104" s="5">
        <f t="shared" si="110"/>
        <v>60.631106693083446</v>
      </c>
      <c r="G104" s="5">
        <f t="shared" si="110"/>
        <v>62.904097934326053</v>
      </c>
      <c r="H104" s="1" t="s">
        <v>4</v>
      </c>
      <c r="I104" s="2">
        <f t="shared" si="181"/>
        <v>-0.18944047816702636</v>
      </c>
      <c r="J104" s="2">
        <f t="shared" ref="J104" si="189">+AVERAGE(B97:B104)/AVERAGE(B85:B92)-1</f>
        <v>-0.43218933930199788</v>
      </c>
      <c r="K104" s="2">
        <f t="shared" si="183"/>
        <v>1.1587538171095479E-2</v>
      </c>
      <c r="L104" s="2">
        <f t="shared" ref="L104" si="190">+F104/F96-1</f>
        <v>0.10043411313814699</v>
      </c>
      <c r="O104" s="7"/>
      <c r="R104" s="7"/>
      <c r="S104" s="7"/>
      <c r="T104" s="7"/>
    </row>
    <row r="105" spans="1:20" x14ac:dyDescent="0.2">
      <c r="A105" s="3">
        <v>37500</v>
      </c>
      <c r="B105" s="4">
        <v>15096</v>
      </c>
      <c r="C105" s="5">
        <v>12865.4061426927</v>
      </c>
      <c r="D105" s="4">
        <v>12724.136449040499</v>
      </c>
      <c r="E105" s="5">
        <f t="shared" si="109"/>
        <v>74.138403801213855</v>
      </c>
      <c r="F105" s="5">
        <f t="shared" si="110"/>
        <v>63.329183762153882</v>
      </c>
      <c r="G105" s="5">
        <f t="shared" si="110"/>
        <v>63.608238535986452</v>
      </c>
      <c r="H105" s="1" t="s">
        <v>6</v>
      </c>
      <c r="I105" s="2">
        <f t="shared" si="181"/>
        <v>-7.0557813077207321E-2</v>
      </c>
      <c r="J105" s="2">
        <f t="shared" ref="J105" si="191">+AVERAGE(B97:B105)/AVERAGE(B85:B93)-1</f>
        <v>-0.40046131241762273</v>
      </c>
      <c r="K105" s="2">
        <f t="shared" si="183"/>
        <v>4.4499881599195934E-2</v>
      </c>
      <c r="L105" s="2">
        <f t="shared" ref="L105" si="192">+F105/F96-1</f>
        <v>0.14940330088051068</v>
      </c>
      <c r="O105" s="7"/>
      <c r="R105" s="7"/>
      <c r="S105" s="7"/>
      <c r="T105" s="7"/>
    </row>
    <row r="106" spans="1:20" x14ac:dyDescent="0.2">
      <c r="A106" s="3">
        <v>37530</v>
      </c>
      <c r="B106" s="4">
        <v>15515</v>
      </c>
      <c r="C106" s="5">
        <v>11661.005275199601</v>
      </c>
      <c r="D106" s="4">
        <v>13109.9437271879</v>
      </c>
      <c r="E106" s="5">
        <f t="shared" si="109"/>
        <v>76.19616686379392</v>
      </c>
      <c r="F106" s="5">
        <f t="shared" si="110"/>
        <v>57.400593322427262</v>
      </c>
      <c r="G106" s="5">
        <f t="shared" si="110"/>
        <v>65.536897622251601</v>
      </c>
      <c r="H106" s="1" t="s">
        <v>7</v>
      </c>
      <c r="I106" s="2">
        <f t="shared" si="181"/>
        <v>-0.13066621841205817</v>
      </c>
      <c r="J106" s="2">
        <f t="shared" ref="J106" si="193">+AVERAGE(B97:B106)/AVERAGE(B85:B94)-1</f>
        <v>-0.37673854885673319</v>
      </c>
      <c r="K106" s="2">
        <f t="shared" si="183"/>
        <v>-9.3615456374626427E-2</v>
      </c>
      <c r="L106" s="2">
        <f t="shared" ref="L106" si="194">+F106/F96-1</f>
        <v>4.180138631007968E-2</v>
      </c>
      <c r="O106" s="7"/>
      <c r="R106" s="7"/>
      <c r="S106" s="7"/>
      <c r="T106" s="7"/>
    </row>
    <row r="107" spans="1:20" x14ac:dyDescent="0.2">
      <c r="A107" s="3">
        <v>37561</v>
      </c>
      <c r="B107" s="4">
        <v>15364</v>
      </c>
      <c r="C107" s="5">
        <v>12123.5078203261</v>
      </c>
      <c r="D107" s="4">
        <v>13639.0283395973</v>
      </c>
      <c r="E107" s="5">
        <f t="shared" si="109"/>
        <v>75.454586380620682</v>
      </c>
      <c r="F107" s="5">
        <f t="shared" si="110"/>
        <v>59.677234133134668</v>
      </c>
      <c r="G107" s="5">
        <f t="shared" si="110"/>
        <v>68.181803260181539</v>
      </c>
      <c r="H107" s="1" t="s">
        <v>8</v>
      </c>
      <c r="I107" s="2">
        <f t="shared" si="181"/>
        <v>-7.8675941472775346E-2</v>
      </c>
      <c r="J107" s="2">
        <f t="shared" ref="J107" si="195">+AVERAGE(B97:B107)/AVERAGE(B85:B95)-1</f>
        <v>-0.35410909322685946</v>
      </c>
      <c r="K107" s="2">
        <f t="shared" si="183"/>
        <v>3.9662321919203825E-2</v>
      </c>
      <c r="L107" s="2">
        <f t="shared" ref="L107" si="196">+F107/F96-1</f>
        <v>8.3121648269782744E-2</v>
      </c>
      <c r="O107" s="7"/>
      <c r="R107" s="7"/>
      <c r="S107" s="7"/>
      <c r="T107" s="7"/>
    </row>
    <row r="108" spans="1:20" x14ac:dyDescent="0.2">
      <c r="A108" s="3">
        <v>37591</v>
      </c>
      <c r="B108" s="4">
        <v>11205</v>
      </c>
      <c r="C108" s="5">
        <v>13781.7390091367</v>
      </c>
      <c r="D108" s="4">
        <v>14097.418594738599</v>
      </c>
      <c r="E108" s="5">
        <f t="shared" si="109"/>
        <v>55.029200754676822</v>
      </c>
      <c r="F108" s="5">
        <f t="shared" si="110"/>
        <v>67.839776886281058</v>
      </c>
      <c r="G108" s="5">
        <f t="shared" si="110"/>
        <v>70.473306248095369</v>
      </c>
      <c r="H108" s="1" t="s">
        <v>9</v>
      </c>
      <c r="I108" s="2">
        <f t="shared" si="181"/>
        <v>0.5056436441816714</v>
      </c>
      <c r="J108" s="2">
        <f t="shared" ref="J108" si="197">+AVERAGE(B97:B108)/AVERAGE(B85:B96)-1</f>
        <v>-0.32593388495259557</v>
      </c>
      <c r="K108" s="2">
        <f t="shared" si="183"/>
        <v>0.13677816795155873</v>
      </c>
      <c r="L108" s="2">
        <f t="shared" ref="L108" si="198">+F108/F96-1</f>
        <v>0.23126904298879625</v>
      </c>
      <c r="O108" s="7"/>
      <c r="R108" s="7"/>
      <c r="S108" s="7"/>
      <c r="T108" s="7"/>
    </row>
    <row r="109" spans="1:20" x14ac:dyDescent="0.2">
      <c r="A109" s="3">
        <v>37622</v>
      </c>
      <c r="B109" s="4">
        <v>8561</v>
      </c>
      <c r="C109" s="5">
        <v>20918.3111980182</v>
      </c>
      <c r="D109" s="4">
        <v>14358.916795089801</v>
      </c>
      <c r="E109" s="5">
        <f t="shared" si="109"/>
        <v>42.044175605603598</v>
      </c>
      <c r="F109" s="5">
        <f t="shared" si="110"/>
        <v>102.96912193523266</v>
      </c>
      <c r="G109" s="5">
        <f t="shared" si="110"/>
        <v>71.780541514809642</v>
      </c>
      <c r="H109" s="1" t="s">
        <v>17</v>
      </c>
      <c r="I109" s="2">
        <f t="shared" si="181"/>
        <v>0.99093023255813972</v>
      </c>
      <c r="J109" s="2">
        <f t="shared" ref="J109" si="199">+AVERAGE(B109:B109)/AVERAGE(B97:B97)-1</f>
        <v>0.9909302325581395</v>
      </c>
      <c r="K109" s="2">
        <f t="shared" si="183"/>
        <v>0.51782813360130109</v>
      </c>
      <c r="L109" s="2">
        <f t="shared" ref="L109" si="200">+F109/F108-1</f>
        <v>0.51782813360130109</v>
      </c>
      <c r="O109" s="7"/>
      <c r="R109" s="7"/>
      <c r="S109" s="7"/>
      <c r="T109" s="7"/>
    </row>
    <row r="110" spans="1:20" x14ac:dyDescent="0.2">
      <c r="A110" s="3">
        <v>37653</v>
      </c>
      <c r="B110" s="4">
        <v>9262</v>
      </c>
      <c r="C110" s="5">
        <v>13013.180399668699</v>
      </c>
      <c r="D110" s="4">
        <v>14201.987839298699</v>
      </c>
      <c r="E110" s="5">
        <f t="shared" si="109"/>
        <v>45.486877053977395</v>
      </c>
      <c r="F110" s="5">
        <f t="shared" si="110"/>
        <v>64.056593606161343</v>
      </c>
      <c r="G110" s="5">
        <f t="shared" si="110"/>
        <v>70.996050206252804</v>
      </c>
      <c r="H110" s="1" t="s">
        <v>2</v>
      </c>
      <c r="I110" s="2">
        <f t="shared" si="181"/>
        <v>0.25094543490005394</v>
      </c>
      <c r="J110" s="2">
        <f t="shared" ref="J110" si="201">+AVERAGE(B109:B110)/AVERAGE(B97:B98)-1</f>
        <v>0.5228127136021874</v>
      </c>
      <c r="K110" s="2">
        <f t="shared" si="183"/>
        <v>-0.37790482814398685</v>
      </c>
      <c r="L110" s="2">
        <f t="shared" ref="L110" si="202">+F110/F108-1</f>
        <v>-5.5766446379406864E-2</v>
      </c>
      <c r="O110" s="7"/>
      <c r="R110" s="7"/>
      <c r="S110" s="7"/>
      <c r="T110" s="7"/>
    </row>
    <row r="111" spans="1:20" x14ac:dyDescent="0.2">
      <c r="A111" s="3">
        <v>37681</v>
      </c>
      <c r="B111" s="4">
        <v>13082</v>
      </c>
      <c r="C111" s="5">
        <v>13488.9149745467</v>
      </c>
      <c r="D111" s="4">
        <v>13669.518461850899</v>
      </c>
      <c r="E111" s="5">
        <f t="shared" si="109"/>
        <v>64.247389939552178</v>
      </c>
      <c r="F111" s="5">
        <f t="shared" si="110"/>
        <v>66.398368283175429</v>
      </c>
      <c r="G111" s="5">
        <f t="shared" si="110"/>
        <v>68.334224053299067</v>
      </c>
      <c r="H111" s="1" t="s">
        <v>3</v>
      </c>
      <c r="I111" s="2">
        <f t="shared" si="181"/>
        <v>0.20872216575810776</v>
      </c>
      <c r="J111" s="2">
        <f t="shared" ref="J111" si="203">+AVERAGE(B109:B111)/AVERAGE(B97:B99)-1</f>
        <v>0.37190926443822958</v>
      </c>
      <c r="K111" s="2">
        <f t="shared" si="183"/>
        <v>3.6557902085958549E-2</v>
      </c>
      <c r="L111" s="2">
        <f t="shared" ref="L111" si="204">+F111/F108-1</f>
        <v>-2.1247248579868483E-2</v>
      </c>
      <c r="O111" s="7"/>
      <c r="R111" s="7"/>
      <c r="S111" s="7"/>
      <c r="T111" s="7"/>
    </row>
    <row r="112" spans="1:20" x14ac:dyDescent="0.2">
      <c r="A112" s="3">
        <v>37712</v>
      </c>
      <c r="B112" s="4">
        <v>14756</v>
      </c>
      <c r="C112" s="5">
        <v>11988.7286223226</v>
      </c>
      <c r="D112" s="4">
        <v>12956.741350062601</v>
      </c>
      <c r="E112" s="5">
        <f t="shared" si="109"/>
        <v>72.468619931817159</v>
      </c>
      <c r="F112" s="5">
        <f t="shared" si="110"/>
        <v>59.013791681103932</v>
      </c>
      <c r="G112" s="5">
        <f t="shared" si="110"/>
        <v>64.771035562575165</v>
      </c>
      <c r="H112" s="1" t="s">
        <v>4</v>
      </c>
      <c r="I112" s="2">
        <f t="shared" si="181"/>
        <v>-6.7904743856989302E-2</v>
      </c>
      <c r="J112" s="2">
        <f t="shared" ref="J112" si="205">+AVERAGE(B109:B112)/AVERAGE(B97:B100)-1</f>
        <v>0.19039053131028738</v>
      </c>
      <c r="K112" s="2">
        <f t="shared" si="183"/>
        <v>-0.11121623607643172</v>
      </c>
      <c r="L112" s="2">
        <f t="shared" ref="L112" si="206">+F112/F108-1</f>
        <v>-0.13010044564226697</v>
      </c>
      <c r="O112" s="7"/>
      <c r="R112" s="7"/>
      <c r="S112" s="7"/>
      <c r="T112" s="7"/>
    </row>
    <row r="113" spans="1:20" x14ac:dyDescent="0.2">
      <c r="A113" s="3">
        <v>37742</v>
      </c>
      <c r="B113" s="4">
        <v>13332</v>
      </c>
      <c r="C113" s="5">
        <v>11872.7840869878</v>
      </c>
      <c r="D113" s="4">
        <v>12241.1497176179</v>
      </c>
      <c r="E113" s="5">
        <f t="shared" si="109"/>
        <v>65.475172196461529</v>
      </c>
      <c r="F113" s="5">
        <f t="shared" si="110"/>
        <v>58.443061717121758</v>
      </c>
      <c r="G113" s="5">
        <f t="shared" si="110"/>
        <v>61.193777221060699</v>
      </c>
      <c r="H113" s="1" t="s">
        <v>3</v>
      </c>
      <c r="I113" s="2">
        <f t="shared" si="181"/>
        <v>-8.377431104391464E-2</v>
      </c>
      <c r="J113" s="2">
        <f t="shared" ref="J113" si="207">+AVERAGE(B109:B113)/AVERAGE(B97:B101)-1</f>
        <v>0.11498988829877721</v>
      </c>
      <c r="K113" s="2">
        <f t="shared" si="183"/>
        <v>-9.6711285230791644E-3</v>
      </c>
      <c r="L113" s="2">
        <f t="shared" ref="L113" si="208">+F113/F108-1</f>
        <v>-0.13851335603462989</v>
      </c>
      <c r="O113" s="7"/>
      <c r="R113" s="7"/>
      <c r="S113" s="7"/>
      <c r="T113" s="7"/>
    </row>
    <row r="114" spans="1:20" x14ac:dyDescent="0.2">
      <c r="A114" s="3">
        <v>37773</v>
      </c>
      <c r="B114" s="4">
        <v>12753</v>
      </c>
      <c r="C114" s="5">
        <v>11761.436808263699</v>
      </c>
      <c r="D114" s="4">
        <v>11811.8687332953</v>
      </c>
      <c r="E114" s="5">
        <f t="shared" si="109"/>
        <v>62.631628489459487</v>
      </c>
      <c r="F114" s="5">
        <f t="shared" si="110"/>
        <v>57.894961470808163</v>
      </c>
      <c r="G114" s="5">
        <f t="shared" si="110"/>
        <v>59.047792119508749</v>
      </c>
      <c r="H114" s="1" t="s">
        <v>5</v>
      </c>
      <c r="I114" s="2">
        <f t="shared" si="181"/>
        <v>-3.7654693631150038E-2</v>
      </c>
      <c r="J114" s="2">
        <f t="shared" ref="J114" si="209">+AVERAGE(B109:B114)/AVERAGE(B97:B102)-1</f>
        <v>8.4415289974456131E-2</v>
      </c>
      <c r="K114" s="2">
        <f t="shared" si="183"/>
        <v>-9.3783629777394184E-3</v>
      </c>
      <c r="L114" s="2">
        <f t="shared" ref="L114" si="210">+F114/F108-1</f>
        <v>-0.14659269048221168</v>
      </c>
      <c r="O114" s="7"/>
      <c r="R114" s="7"/>
      <c r="S114" s="7"/>
      <c r="T114" s="7"/>
    </row>
    <row r="115" spans="1:20" x14ac:dyDescent="0.2">
      <c r="A115" s="3">
        <v>37803</v>
      </c>
      <c r="B115" s="4">
        <v>11345</v>
      </c>
      <c r="C115" s="5">
        <v>8679.9450308908908</v>
      </c>
      <c r="D115" s="4">
        <v>11710.7545308519</v>
      </c>
      <c r="E115" s="5">
        <f t="shared" si="109"/>
        <v>55.716758818546054</v>
      </c>
      <c r="F115" s="5">
        <f t="shared" si="110"/>
        <v>42.726504535490243</v>
      </c>
      <c r="G115" s="5">
        <f t="shared" si="110"/>
        <v>58.542319993038362</v>
      </c>
      <c r="H115" s="1" t="s">
        <v>5</v>
      </c>
      <c r="I115" s="2">
        <f t="shared" si="181"/>
        <v>-0.24797825798753803</v>
      </c>
      <c r="J115" s="2">
        <f t="shared" ref="J115" si="211">+AVERAGE(B109:B115)/AVERAGE(B97:B103)-1</f>
        <v>2.2696222629758678E-2</v>
      </c>
      <c r="K115" s="2">
        <f t="shared" si="183"/>
        <v>-0.26199960324640981</v>
      </c>
      <c r="L115" s="2">
        <f t="shared" ref="L115" si="212">+F115/F108-1</f>
        <v>-0.37018506698345821</v>
      </c>
      <c r="O115" s="7"/>
      <c r="R115" s="7"/>
      <c r="S115" s="7"/>
      <c r="T115" s="7"/>
    </row>
    <row r="116" spans="1:20" x14ac:dyDescent="0.2">
      <c r="A116" s="3">
        <v>37834</v>
      </c>
      <c r="B116" s="4">
        <v>14486</v>
      </c>
      <c r="C116" s="5">
        <v>13721.0718563505</v>
      </c>
      <c r="D116" s="4">
        <v>11953.924385181799</v>
      </c>
      <c r="E116" s="5">
        <f t="shared" si="109"/>
        <v>71.142615094355065</v>
      </c>
      <c r="F116" s="5">
        <f t="shared" si="110"/>
        <v>67.541146495253244</v>
      </c>
      <c r="G116" s="5">
        <f t="shared" si="110"/>
        <v>59.757931454053761</v>
      </c>
      <c r="H116" s="1" t="s">
        <v>4</v>
      </c>
      <c r="I116" s="2">
        <f t="shared" si="181"/>
        <v>-1.0924484500887566E-2</v>
      </c>
      <c r="J116" s="2">
        <f t="shared" ref="J116" si="213">+AVERAGE(B109:B116)/AVERAGE(B97:B104)-1</f>
        <v>1.7561240132230704E-2</v>
      </c>
      <c r="K116" s="2">
        <f t="shared" si="183"/>
        <v>0.5807786578738503</v>
      </c>
      <c r="L116" s="2">
        <f t="shared" ref="L116" si="214">+F116/F108-1</f>
        <v>-4.4019954772022141E-3</v>
      </c>
      <c r="O116" s="7"/>
      <c r="R116" s="7"/>
      <c r="S116" s="7"/>
      <c r="T116" s="7"/>
    </row>
    <row r="117" spans="1:20" x14ac:dyDescent="0.2">
      <c r="A117" s="3">
        <v>37865</v>
      </c>
      <c r="B117" s="4">
        <v>15537</v>
      </c>
      <c r="C117" s="5">
        <v>11728.8977731627</v>
      </c>
      <c r="D117" s="4">
        <v>12618.854147023299</v>
      </c>
      <c r="E117" s="5">
        <f t="shared" si="109"/>
        <v>76.304211702401943</v>
      </c>
      <c r="F117" s="5">
        <f t="shared" si="110"/>
        <v>57.734790038169415</v>
      </c>
      <c r="G117" s="5">
        <f t="shared" si="110"/>
        <v>63.0819299878859</v>
      </c>
      <c r="H117" s="1" t="s">
        <v>6</v>
      </c>
      <c r="I117" s="2">
        <f t="shared" si="181"/>
        <v>2.9213036565977735E-2</v>
      </c>
      <c r="J117" s="2">
        <f t="shared" ref="J117" si="215">+AVERAGE(B109:B117)/AVERAGE(B97:B105)-1</f>
        <v>1.914604149960808E-2</v>
      </c>
      <c r="K117" s="2">
        <f t="shared" si="183"/>
        <v>-0.14519084981438712</v>
      </c>
      <c r="L117" s="2">
        <f t="shared" ref="L117" si="216">+F117/F108-1</f>
        <v>-0.14895371582737515</v>
      </c>
      <c r="O117" s="7"/>
      <c r="R117" s="7"/>
      <c r="S117" s="7"/>
      <c r="T117" s="7"/>
    </row>
    <row r="118" spans="1:20" x14ac:dyDescent="0.2">
      <c r="A118" s="3">
        <v>37895</v>
      </c>
      <c r="B118" s="4">
        <v>15882</v>
      </c>
      <c r="C118" s="5">
        <v>11775.9687061809</v>
      </c>
      <c r="D118" s="4">
        <v>13774.664402056</v>
      </c>
      <c r="E118" s="5">
        <f t="shared" si="109"/>
        <v>77.998551216936846</v>
      </c>
      <c r="F118" s="5">
        <f t="shared" si="110"/>
        <v>57.966493859557033</v>
      </c>
      <c r="G118" s="5">
        <f t="shared" si="110"/>
        <v>68.859850925695653</v>
      </c>
      <c r="H118" s="1" t="s">
        <v>7</v>
      </c>
      <c r="I118" s="2">
        <f t="shared" si="181"/>
        <v>2.3654527876248999E-2</v>
      </c>
      <c r="J118" s="2">
        <f t="shared" ref="J118" si="217">+AVERAGE(B109:B118)/AVERAGE(B97:B106)-1</f>
        <v>1.9698981850376329E-2</v>
      </c>
      <c r="K118" s="2">
        <f t="shared" si="183"/>
        <v>4.0132443754352654E-3</v>
      </c>
      <c r="L118" s="2">
        <f t="shared" ref="L118" si="218">+F118/F108-1</f>
        <v>-0.14553825911418428</v>
      </c>
      <c r="O118" s="7"/>
      <c r="R118" s="7"/>
      <c r="S118" s="7"/>
      <c r="T118" s="7"/>
    </row>
    <row r="119" spans="1:20" x14ac:dyDescent="0.2">
      <c r="A119" s="3">
        <v>37926</v>
      </c>
      <c r="B119" s="4">
        <v>18435</v>
      </c>
      <c r="C119" s="5">
        <v>15889.7751105641</v>
      </c>
      <c r="D119" s="4">
        <v>15172.6578997989</v>
      </c>
      <c r="E119" s="5">
        <f t="shared" si="109"/>
        <v>90.536663624495077</v>
      </c>
      <c r="F119" s="5">
        <f t="shared" si="110"/>
        <v>78.21645712193579</v>
      </c>
      <c r="G119" s="5">
        <f t="shared" si="110"/>
        <v>75.848451231289999</v>
      </c>
      <c r="H119" s="1" t="s">
        <v>8</v>
      </c>
      <c r="I119" s="2">
        <f t="shared" si="181"/>
        <v>0.19988284300963288</v>
      </c>
      <c r="J119" s="2">
        <f t="shared" ref="J119" si="219">+AVERAGE(B109:B119)/AVERAGE(B97:B107)-1</f>
        <v>3.9212507401246155E-2</v>
      </c>
      <c r="K119" s="2">
        <f t="shared" si="183"/>
        <v>0.34933910806199497</v>
      </c>
      <c r="L119" s="2">
        <f t="shared" ref="L119" si="220">+F119/F108-1</f>
        <v>0.15295864331996589</v>
      </c>
      <c r="O119" s="7"/>
      <c r="R119" s="7"/>
      <c r="S119" s="7"/>
      <c r="T119" s="7"/>
    </row>
    <row r="120" spans="1:20" x14ac:dyDescent="0.2">
      <c r="A120" s="3">
        <v>37956</v>
      </c>
      <c r="B120" s="4">
        <v>12732</v>
      </c>
      <c r="C120" s="5">
        <v>13864.427280611801</v>
      </c>
      <c r="D120" s="4">
        <v>16582.131107979301</v>
      </c>
      <c r="E120" s="5">
        <f t="shared" si="109"/>
        <v>62.528494779879097</v>
      </c>
      <c r="F120" s="5">
        <f t="shared" si="110"/>
        <v>68.246804902430853</v>
      </c>
      <c r="G120" s="5">
        <f t="shared" si="110"/>
        <v>82.894438862362719</v>
      </c>
      <c r="H120" s="1" t="s">
        <v>9</v>
      </c>
      <c r="I120" s="2">
        <f t="shared" si="181"/>
        <v>0.13627844712182058</v>
      </c>
      <c r="J120" s="2">
        <f t="shared" ref="J120" si="221">+AVERAGE(B109:B120)/AVERAGE(B97:B108)-1</f>
        <v>4.6317769952898269E-2</v>
      </c>
      <c r="K120" s="2">
        <f t="shared" si="183"/>
        <v>-0.12746233447984889</v>
      </c>
      <c r="L120" s="2">
        <f t="shared" ref="L120" si="222">+F120/F108-1</f>
        <v>5.9998430836836203E-3</v>
      </c>
      <c r="O120" s="7"/>
      <c r="R120" s="7"/>
      <c r="S120" s="7"/>
      <c r="T120" s="7"/>
    </row>
    <row r="121" spans="1:20" x14ac:dyDescent="0.2">
      <c r="A121" s="3">
        <v>37987</v>
      </c>
      <c r="B121" s="4">
        <v>11725</v>
      </c>
      <c r="C121" s="5">
        <v>26059.378509985301</v>
      </c>
      <c r="D121" s="4">
        <v>17787.399861251299</v>
      </c>
      <c r="E121" s="5">
        <f t="shared" si="109"/>
        <v>57.582987849048259</v>
      </c>
      <c r="F121" s="5">
        <f t="shared" si="110"/>
        <v>128.27571489639539</v>
      </c>
      <c r="G121" s="5">
        <f t="shared" si="110"/>
        <v>88.919603922886523</v>
      </c>
      <c r="H121" s="1" t="s">
        <v>18</v>
      </c>
      <c r="I121" s="2">
        <f t="shared" si="181"/>
        <v>0.36958299264104655</v>
      </c>
      <c r="J121" s="2">
        <f t="shared" ref="J121" si="223">+AVERAGE(B121:B121)/AVERAGE(B109:B109)-1</f>
        <v>0.36958299264104655</v>
      </c>
      <c r="K121" s="2">
        <f t="shared" si="183"/>
        <v>0.87958564624065483</v>
      </c>
      <c r="L121" s="2">
        <f t="shared" ref="L121" si="224">+F121/F120-1</f>
        <v>0.87958564624065483</v>
      </c>
      <c r="O121" s="7"/>
      <c r="R121" s="7"/>
      <c r="S121" s="7"/>
      <c r="T121" s="7"/>
    </row>
    <row r="122" spans="1:20" x14ac:dyDescent="0.2">
      <c r="A122" s="3">
        <v>38018</v>
      </c>
      <c r="B122" s="4">
        <v>12963</v>
      </c>
      <c r="C122" s="5">
        <v>19675.098733004801</v>
      </c>
      <c r="D122" s="4">
        <v>18645.974917056901</v>
      </c>
      <c r="E122" s="5">
        <f t="shared" si="109"/>
        <v>63.662965585263329</v>
      </c>
      <c r="F122" s="5">
        <f t="shared" si="110"/>
        <v>96.84948375366217</v>
      </c>
      <c r="G122" s="5">
        <f t="shared" si="110"/>
        <v>93.211639548993702</v>
      </c>
      <c r="H122" s="1" t="s">
        <v>2</v>
      </c>
      <c r="I122" s="2">
        <f t="shared" si="181"/>
        <v>0.39958972144245308</v>
      </c>
      <c r="J122" s="2">
        <f t="shared" ref="J122" si="225">+AVERAGE(B121:B122)/AVERAGE(B109:B110)-1</f>
        <v>0.38517645738652306</v>
      </c>
      <c r="K122" s="2">
        <f t="shared" si="183"/>
        <v>-0.24498971740765807</v>
      </c>
      <c r="L122" s="2">
        <f t="shared" ref="L122" si="226">+F122/F120-1</f>
        <v>0.41910648992466659</v>
      </c>
      <c r="O122" s="7"/>
      <c r="R122" s="7"/>
      <c r="S122" s="7"/>
      <c r="T122" s="7"/>
    </row>
    <row r="123" spans="1:20" x14ac:dyDescent="0.2">
      <c r="A123" s="3">
        <v>38047</v>
      </c>
      <c r="B123" s="4">
        <v>20742</v>
      </c>
      <c r="C123" s="5">
        <v>17916.848891443198</v>
      </c>
      <c r="D123" s="4">
        <v>19107.033688625401</v>
      </c>
      <c r="E123" s="5">
        <f t="shared" si="109"/>
        <v>101.8666382912545</v>
      </c>
      <c r="F123" s="5">
        <f t="shared" si="110"/>
        <v>88.194605230509097</v>
      </c>
      <c r="G123" s="5">
        <f t="shared" si="110"/>
        <v>95.516482509338516</v>
      </c>
      <c r="H123" s="1" t="s">
        <v>3</v>
      </c>
      <c r="I123" s="2">
        <f t="shared" si="181"/>
        <v>0.58553737960556496</v>
      </c>
      <c r="J123" s="2">
        <f t="shared" ref="J123" si="227">+AVERAGE(B121:B123)/AVERAGE(B109:B111)-1</f>
        <v>0.4699886749716875</v>
      </c>
      <c r="K123" s="2">
        <f t="shared" si="183"/>
        <v>-8.9364219484812768E-2</v>
      </c>
      <c r="L123" s="2">
        <f t="shared" ref="L123" si="228">+F123/F120-1</f>
        <v>0.2922891460867163</v>
      </c>
      <c r="O123" s="7"/>
      <c r="R123" s="7"/>
      <c r="S123" s="7"/>
      <c r="T123" s="7"/>
    </row>
    <row r="124" spans="1:20" x14ac:dyDescent="0.2">
      <c r="A124" s="3">
        <v>38078</v>
      </c>
      <c r="B124" s="4">
        <v>19266</v>
      </c>
      <c r="C124" s="5">
        <v>16768.522190977201</v>
      </c>
      <c r="D124" s="4">
        <v>19174.6288962865</v>
      </c>
      <c r="E124" s="5">
        <f t="shared" si="109"/>
        <v>94.617811846461734</v>
      </c>
      <c r="F124" s="5">
        <f t="shared" si="110"/>
        <v>82.542036487150455</v>
      </c>
      <c r="G124" s="5">
        <f t="shared" si="110"/>
        <v>95.854392442167082</v>
      </c>
      <c r="H124" s="1" t="s">
        <v>4</v>
      </c>
      <c r="I124" s="2">
        <f t="shared" si="181"/>
        <v>0.30563838438601243</v>
      </c>
      <c r="J124" s="2">
        <f t="shared" ref="J124" si="229">+AVERAGE(B121:B124)/AVERAGE(B109:B112)-1</f>
        <v>0.41687654672477614</v>
      </c>
      <c r="K124" s="2">
        <f t="shared" si="183"/>
        <v>-6.4092001189696934E-2</v>
      </c>
      <c r="L124" s="2">
        <f t="shared" ref="L124" si="230">+F124/F120-1</f>
        <v>0.2094637485982942</v>
      </c>
      <c r="O124" s="7"/>
      <c r="R124" s="7"/>
      <c r="S124" s="7"/>
      <c r="T124" s="7"/>
    </row>
    <row r="125" spans="1:20" x14ac:dyDescent="0.2">
      <c r="A125" s="3">
        <v>38108</v>
      </c>
      <c r="B125" s="4">
        <v>20075</v>
      </c>
      <c r="C125" s="5">
        <v>20458.413408075699</v>
      </c>
      <c r="D125" s="4">
        <v>19148.097497869101</v>
      </c>
      <c r="E125" s="5">
        <f t="shared" si="109"/>
        <v>98.590915229820382</v>
      </c>
      <c r="F125" s="5">
        <f t="shared" si="110"/>
        <v>100.7053028744081</v>
      </c>
      <c r="G125" s="5">
        <f t="shared" si="110"/>
        <v>95.721761396753038</v>
      </c>
      <c r="H125" s="1" t="s">
        <v>3</v>
      </c>
      <c r="I125" s="2">
        <f t="shared" si="181"/>
        <v>0.50577557755775593</v>
      </c>
      <c r="J125" s="2">
        <f t="shared" ref="J125" si="231">+AVERAGE(B121:B125)/AVERAGE(B109:B113)-1</f>
        <v>0.43696709779126341</v>
      </c>
      <c r="K125" s="2">
        <f t="shared" si="183"/>
        <v>0.22004868258956978</v>
      </c>
      <c r="L125" s="2">
        <f t="shared" ref="L125" si="232">+F125/F120-1</f>
        <v>0.47560465311719113</v>
      </c>
      <c r="O125" s="7"/>
      <c r="R125" s="7"/>
      <c r="S125" s="7"/>
      <c r="T125" s="7"/>
    </row>
    <row r="126" spans="1:20" x14ac:dyDescent="0.2">
      <c r="A126" s="3">
        <v>38139</v>
      </c>
      <c r="B126" s="4">
        <v>20833</v>
      </c>
      <c r="C126" s="5">
        <v>18677.229180470898</v>
      </c>
      <c r="D126" s="4">
        <v>19239.125054721499</v>
      </c>
      <c r="E126" s="5">
        <f t="shared" si="109"/>
        <v>102.31355103276951</v>
      </c>
      <c r="F126" s="5">
        <f t="shared" si="110"/>
        <v>91.937531222807095</v>
      </c>
      <c r="G126" s="5">
        <f t="shared" si="110"/>
        <v>96.176810159614419</v>
      </c>
      <c r="H126" s="1" t="s">
        <v>5</v>
      </c>
      <c r="I126" s="2">
        <f t="shared" si="181"/>
        <v>0.63357641339292714</v>
      </c>
      <c r="J126" s="2">
        <f t="shared" ref="J126" si="233">+AVERAGE(B121:B126)/AVERAGE(B109:B114)-1</f>
        <v>0.47191481058177476</v>
      </c>
      <c r="K126" s="2">
        <f t="shared" si="183"/>
        <v>-8.7063654061350637E-2</v>
      </c>
      <c r="L126" s="2">
        <f t="shared" ref="L126" si="234">+F126/F120-1</f>
        <v>0.3471331200668768</v>
      </c>
      <c r="O126" s="7"/>
      <c r="R126" s="7"/>
      <c r="S126" s="7"/>
      <c r="T126" s="7"/>
    </row>
    <row r="127" spans="1:20" x14ac:dyDescent="0.2">
      <c r="A127" s="3">
        <v>38169</v>
      </c>
      <c r="B127" s="4">
        <v>19679</v>
      </c>
      <c r="C127" s="5">
        <v>18691.2440998948</v>
      </c>
      <c r="D127" s="4">
        <v>19542.857921005299</v>
      </c>
      <c r="E127" s="5">
        <f t="shared" si="109"/>
        <v>96.646108134875959</v>
      </c>
      <c r="F127" s="5">
        <f t="shared" si="110"/>
        <v>92.006518816184553</v>
      </c>
      <c r="G127" s="5">
        <f t="shared" si="110"/>
        <v>97.695177452135539</v>
      </c>
      <c r="H127" s="1" t="s">
        <v>5</v>
      </c>
      <c r="I127" s="2">
        <f t="shared" si="181"/>
        <v>0.7345967386513883</v>
      </c>
      <c r="J127" s="2">
        <f t="shared" ref="J127" si="235">+AVERAGE(B121:B127)/AVERAGE(B109:B115)-1</f>
        <v>0.50778062606058416</v>
      </c>
      <c r="K127" s="2">
        <f t="shared" si="183"/>
        <v>7.5037465613769783E-4</v>
      </c>
      <c r="L127" s="2">
        <f t="shared" ref="L127" si="236">+F127/F120-1</f>
        <v>0.34814397461861857</v>
      </c>
      <c r="O127" s="7"/>
      <c r="R127" s="7"/>
      <c r="S127" s="7"/>
      <c r="T127" s="7"/>
    </row>
    <row r="128" spans="1:20" x14ac:dyDescent="0.2">
      <c r="A128" s="3">
        <v>38200</v>
      </c>
      <c r="B128" s="4">
        <v>22035</v>
      </c>
      <c r="C128" s="5">
        <v>19451.2318676219</v>
      </c>
      <c r="D128" s="4">
        <v>20104.0907534773</v>
      </c>
      <c r="E128" s="5">
        <f t="shared" si="109"/>
        <v>108.21672812398964</v>
      </c>
      <c r="F128" s="5">
        <f t="shared" si="110"/>
        <v>95.747512646116249</v>
      </c>
      <c r="G128" s="5">
        <f t="shared" si="110"/>
        <v>100.50079275067301</v>
      </c>
      <c r="H128" s="1" t="s">
        <v>4</v>
      </c>
      <c r="I128" s="2">
        <f t="shared" si="181"/>
        <v>0.52112384371116938</v>
      </c>
      <c r="J128" s="2">
        <f t="shared" ref="J128" si="237">+AVERAGE(B121:B128)/AVERAGE(B109:B116)-1</f>
        <v>0.50976152167006572</v>
      </c>
      <c r="K128" s="2">
        <f t="shared" si="183"/>
        <v>4.0660095372216487E-2</v>
      </c>
      <c r="L128" s="2">
        <f t="shared" ref="L128" si="238">+F128/F120-1</f>
        <v>0.40295963720209071</v>
      </c>
      <c r="O128" s="7"/>
      <c r="R128" s="7"/>
      <c r="S128" s="7"/>
      <c r="T128" s="7"/>
    </row>
    <row r="129" spans="1:20" x14ac:dyDescent="0.2">
      <c r="A129" s="3">
        <v>38231</v>
      </c>
      <c r="B129" s="4">
        <v>24277</v>
      </c>
      <c r="C129" s="5">
        <v>20245.247154316399</v>
      </c>
      <c r="D129" s="4">
        <v>20760.948750017102</v>
      </c>
      <c r="E129" s="5">
        <f t="shared" si="109"/>
        <v>119.22747940395264</v>
      </c>
      <c r="F129" s="5">
        <f t="shared" si="110"/>
        <v>99.656004880509926</v>
      </c>
      <c r="G129" s="5">
        <f t="shared" si="110"/>
        <v>103.78444035186834</v>
      </c>
      <c r="H129" s="1" t="s">
        <v>6</v>
      </c>
      <c r="I129" s="2">
        <f t="shared" si="181"/>
        <v>0.56252815858917438</v>
      </c>
      <c r="J129" s="2">
        <f t="shared" ref="J129" si="239">+AVERAGE(B121:B129)/AVERAGE(B109:B117)-1</f>
        <v>0.51700938875824365</v>
      </c>
      <c r="K129" s="2">
        <f t="shared" si="183"/>
        <v>4.0820822665540213E-2</v>
      </c>
      <c r="L129" s="2">
        <f t="shared" ref="L129" si="240">+F129/F120-1</f>
        <v>0.46022960375922772</v>
      </c>
      <c r="O129" s="7"/>
      <c r="R129" s="7"/>
      <c r="S129" s="7"/>
      <c r="T129" s="7"/>
    </row>
    <row r="130" spans="1:20" x14ac:dyDescent="0.2">
      <c r="A130" s="3">
        <v>38261</v>
      </c>
      <c r="B130" s="4">
        <v>24017</v>
      </c>
      <c r="C130" s="5">
        <v>22419.924651805199</v>
      </c>
      <c r="D130" s="4">
        <v>21452.062487098101</v>
      </c>
      <c r="E130" s="5">
        <f t="shared" ref="E130:E193" si="241">+B130/AVERAGE(B$121:B$132)*100</f>
        <v>117.95058585676692</v>
      </c>
      <c r="F130" s="5">
        <f t="shared" ref="F130:G193" si="242">+C130/AVERAGE(C$121:C$132)*100</f>
        <v>110.36072335845022</v>
      </c>
      <c r="G130" s="5">
        <f t="shared" si="242"/>
        <v>107.23933315499137</v>
      </c>
      <c r="H130" s="1" t="s">
        <v>7</v>
      </c>
      <c r="I130" s="2">
        <f t="shared" si="181"/>
        <v>0.51221508626117607</v>
      </c>
      <c r="J130" s="2">
        <f t="shared" ref="J130" si="243">+AVERAGE(B121:B130)/AVERAGE(B109:B118)-1</f>
        <v>0.51641911377096972</v>
      </c>
      <c r="K130" s="2">
        <f t="shared" si="183"/>
        <v>0.10741669296070544</v>
      </c>
      <c r="L130" s="2">
        <f t="shared" ref="L130" si="244">+F130/F120-1</f>
        <v>0.61708263875836522</v>
      </c>
      <c r="O130" s="7"/>
      <c r="R130" s="7"/>
      <c r="S130" s="7"/>
      <c r="T130" s="7"/>
    </row>
    <row r="131" spans="1:20" x14ac:dyDescent="0.2">
      <c r="A131" s="3">
        <v>38292</v>
      </c>
      <c r="B131" s="4">
        <v>27163</v>
      </c>
      <c r="C131" s="5">
        <v>20802.394650128099</v>
      </c>
      <c r="D131" s="4">
        <v>22171.931856708099</v>
      </c>
      <c r="E131" s="5">
        <f t="shared" si="241"/>
        <v>133.40099777771411</v>
      </c>
      <c r="F131" s="5">
        <f t="shared" si="242"/>
        <v>102.3985297377546</v>
      </c>
      <c r="G131" s="5">
        <f t="shared" si="242"/>
        <v>110.8379759988722</v>
      </c>
      <c r="H131" s="1" t="s">
        <v>8</v>
      </c>
      <c r="I131" s="2">
        <f t="shared" si="181"/>
        <v>0.47344724708435026</v>
      </c>
      <c r="J131" s="2">
        <f t="shared" ref="J131" si="245">+AVERAGE(B121:B131)/AVERAGE(B109:B119)-1</f>
        <v>0.51104584517503104</v>
      </c>
      <c r="K131" s="2">
        <f t="shared" si="183"/>
        <v>-7.2146986521957723E-2</v>
      </c>
      <c r="L131" s="2">
        <f t="shared" ref="L131" si="246">+F131/F120-1</f>
        <v>0.50041499941497358</v>
      </c>
      <c r="O131" s="7"/>
      <c r="R131" s="7"/>
      <c r="S131" s="7"/>
      <c r="T131" s="7"/>
    </row>
    <row r="132" spans="1:20" x14ac:dyDescent="0.2">
      <c r="A132" s="3">
        <v>38322</v>
      </c>
      <c r="B132" s="4">
        <v>21568</v>
      </c>
      <c r="C132" s="5">
        <v>22616.029191390098</v>
      </c>
      <c r="D132" s="4">
        <v>22912.799627232202</v>
      </c>
      <c r="E132" s="5">
        <f t="shared" si="241"/>
        <v>105.92323086808297</v>
      </c>
      <c r="F132" s="5">
        <f t="shared" si="242"/>
        <v>111.32603609605225</v>
      </c>
      <c r="G132" s="5">
        <f t="shared" si="242"/>
        <v>114.54159031170639</v>
      </c>
      <c r="H132" s="1" t="s">
        <v>9</v>
      </c>
      <c r="I132" s="2">
        <f t="shared" si="181"/>
        <v>0.69399937166195413</v>
      </c>
      <c r="J132" s="2">
        <f t="shared" ref="J132" si="247">+AVERAGE(B121:B132)/AVERAGE(B109:B120)-1</f>
        <v>0.52558955564019172</v>
      </c>
      <c r="K132" s="2">
        <f t="shared" si="183"/>
        <v>8.7183931069725551E-2</v>
      </c>
      <c r="L132" s="2">
        <f t="shared" ref="L132" si="248">+F132/F120-1</f>
        <v>0.63122707729995109</v>
      </c>
      <c r="O132" s="7"/>
      <c r="R132" s="7"/>
      <c r="S132" s="7"/>
      <c r="T132" s="7"/>
    </row>
    <row r="133" spans="1:20" x14ac:dyDescent="0.2">
      <c r="A133" s="3">
        <v>38353</v>
      </c>
      <c r="B133" s="4">
        <v>21253</v>
      </c>
      <c r="C133" s="5">
        <v>37786.773146772597</v>
      </c>
      <c r="D133" s="4">
        <v>23517.6562157476</v>
      </c>
      <c r="E133" s="5">
        <f t="shared" si="241"/>
        <v>104.37622522437719</v>
      </c>
      <c r="F133" s="5">
        <f t="shared" si="242"/>
        <v>186.00310583665203</v>
      </c>
      <c r="G133" s="5">
        <f t="shared" si="242"/>
        <v>117.56528172812872</v>
      </c>
      <c r="H133" s="1" t="s">
        <v>19</v>
      </c>
      <c r="I133" s="2">
        <f t="shared" si="181"/>
        <v>0.81262260127931762</v>
      </c>
      <c r="J133" s="2">
        <f t="shared" ref="J133" si="249">+AVERAGE(B133:B133)/AVERAGE(B121:B121)-1</f>
        <v>0.81262260127931762</v>
      </c>
      <c r="K133" s="2">
        <f t="shared" si="183"/>
        <v>0.67079609010931018</v>
      </c>
      <c r="L133" s="2">
        <f t="shared" ref="L133" si="250">+F133/F132-1</f>
        <v>0.67079609010931018</v>
      </c>
      <c r="O133" s="7"/>
      <c r="R133" s="7"/>
      <c r="S133" s="7"/>
      <c r="T133" s="7"/>
    </row>
    <row r="134" spans="1:20" x14ac:dyDescent="0.2">
      <c r="A134" s="3">
        <v>38384</v>
      </c>
      <c r="B134" s="4">
        <v>11509</v>
      </c>
      <c r="C134" s="5">
        <v>15480.416353570899</v>
      </c>
      <c r="D134" s="4">
        <v>24046.612937310801</v>
      </c>
      <c r="E134" s="5">
        <f t="shared" si="241"/>
        <v>56.522183979078591</v>
      </c>
      <c r="F134" s="5">
        <f t="shared" si="242"/>
        <v>76.20141339469258</v>
      </c>
      <c r="G134" s="5">
        <f t="shared" si="242"/>
        <v>120.20954803689993</v>
      </c>
      <c r="H134" s="1" t="s">
        <v>2</v>
      </c>
      <c r="I134" s="2">
        <f t="shared" si="181"/>
        <v>-0.11216539381316037</v>
      </c>
      <c r="J134" s="2">
        <f t="shared" ref="J134" si="251">+AVERAGE(B133:B134)/AVERAGE(B121:B122)-1</f>
        <v>0.32704147764095914</v>
      </c>
      <c r="K134" s="2">
        <f t="shared" si="183"/>
        <v>-0.59032182257422794</v>
      </c>
      <c r="L134" s="2">
        <f t="shared" ref="L134" si="252">+F134/F132-1</f>
        <v>-0.31551130295391183</v>
      </c>
      <c r="O134" s="7"/>
      <c r="R134" s="7"/>
      <c r="S134" s="7"/>
      <c r="T134" s="7"/>
    </row>
    <row r="135" spans="1:20" x14ac:dyDescent="0.2">
      <c r="A135" s="3">
        <v>38412</v>
      </c>
      <c r="B135" s="4">
        <v>26334</v>
      </c>
      <c r="C135" s="5">
        <v>23666.288895595299</v>
      </c>
      <c r="D135" s="4">
        <v>24517.655291206</v>
      </c>
      <c r="E135" s="5">
        <f t="shared" si="241"/>
        <v>129.32967181380272</v>
      </c>
      <c r="F135" s="5">
        <f t="shared" si="242"/>
        <v>116.49587598045996</v>
      </c>
      <c r="G135" s="5">
        <f t="shared" si="242"/>
        <v>122.5642991453241</v>
      </c>
      <c r="H135" s="1" t="s">
        <v>3</v>
      </c>
      <c r="I135" s="2">
        <f t="shared" si="181"/>
        <v>0.2695979172693086</v>
      </c>
      <c r="J135" s="2">
        <f t="shared" ref="J135" si="253">+AVERAGE(B133:B135)/AVERAGE(B121:B123)-1</f>
        <v>0.30081443979749056</v>
      </c>
      <c r="K135" s="2">
        <f t="shared" si="183"/>
        <v>0.52878891336382861</v>
      </c>
      <c r="L135" s="2">
        <f t="shared" ref="L135" si="254">+F135/F132-1</f>
        <v>4.6438731366911901E-2</v>
      </c>
      <c r="O135" s="7"/>
      <c r="R135" s="7"/>
      <c r="S135" s="7"/>
      <c r="T135" s="7"/>
    </row>
    <row r="136" spans="1:20" x14ac:dyDescent="0.2">
      <c r="A136" s="3">
        <v>38443</v>
      </c>
      <c r="B136" s="4">
        <v>26034</v>
      </c>
      <c r="C136" s="5">
        <v>25570.910457669299</v>
      </c>
      <c r="D136" s="4">
        <v>24801.7033454421</v>
      </c>
      <c r="E136" s="5">
        <f t="shared" si="241"/>
        <v>127.8563331055115</v>
      </c>
      <c r="F136" s="5">
        <f t="shared" si="242"/>
        <v>125.87126044669026</v>
      </c>
      <c r="G136" s="5">
        <f t="shared" si="242"/>
        <v>123.9842616285852</v>
      </c>
      <c r="H136" s="1" t="s">
        <v>4</v>
      </c>
      <c r="I136" s="2">
        <f t="shared" si="181"/>
        <v>0.35129243226409201</v>
      </c>
      <c r="J136" s="2">
        <f t="shared" ref="J136" si="255">+AVERAGE(B133:B136)/AVERAGE(B121:B124)-1</f>
        <v>0.31584642018053666</v>
      </c>
      <c r="K136" s="2">
        <f t="shared" si="183"/>
        <v>8.0478252018147511E-2</v>
      </c>
      <c r="L136" s="2">
        <f t="shared" ref="L136" si="256">+F136/F132-1</f>
        <v>0.1306542913114086</v>
      </c>
      <c r="O136" s="7"/>
      <c r="R136" s="7"/>
      <c r="S136" s="7"/>
      <c r="T136" s="7"/>
    </row>
    <row r="137" spans="1:20" x14ac:dyDescent="0.2">
      <c r="A137" s="3">
        <v>38473</v>
      </c>
      <c r="B137" s="4">
        <v>25068</v>
      </c>
      <c r="C137" s="5">
        <v>24391.915198571201</v>
      </c>
      <c r="D137" s="4">
        <v>24809.1543377462</v>
      </c>
      <c r="E137" s="5">
        <f t="shared" si="241"/>
        <v>123.11218246481378</v>
      </c>
      <c r="F137" s="5">
        <f t="shared" si="242"/>
        <v>120.0677275780027</v>
      </c>
      <c r="G137" s="5">
        <f t="shared" si="242"/>
        <v>124.0215093033258</v>
      </c>
      <c r="H137" s="1" t="s">
        <v>3</v>
      </c>
      <c r="I137" s="2">
        <f t="shared" si="181"/>
        <v>0.24871731008717268</v>
      </c>
      <c r="J137" s="2">
        <f t="shared" ref="J137" si="257">+AVERAGE(B133:B137)/AVERAGE(B121:B125)-1</f>
        <v>0.29994927510587344</v>
      </c>
      <c r="K137" s="2">
        <f t="shared" si="183"/>
        <v>-4.6106894044693369E-2</v>
      </c>
      <c r="L137" s="2">
        <f t="shared" ref="L137" si="258">+F137/F132-1</f>
        <v>7.8523333700735609E-2</v>
      </c>
      <c r="O137" s="7"/>
      <c r="R137" s="7"/>
      <c r="S137" s="7"/>
      <c r="T137" s="7"/>
    </row>
    <row r="138" spans="1:20" x14ac:dyDescent="0.2">
      <c r="A138" s="3">
        <v>38504</v>
      </c>
      <c r="B138" s="4">
        <v>24970</v>
      </c>
      <c r="C138" s="5">
        <v>23139.706424755601</v>
      </c>
      <c r="D138" s="4">
        <v>24662.743387212198</v>
      </c>
      <c r="E138" s="5">
        <f t="shared" si="241"/>
        <v>122.63089182010533</v>
      </c>
      <c r="F138" s="5">
        <f t="shared" si="242"/>
        <v>113.90380561036307</v>
      </c>
      <c r="G138" s="5">
        <f t="shared" si="242"/>
        <v>123.2895977348555</v>
      </c>
      <c r="H138" s="1" t="s">
        <v>5</v>
      </c>
      <c r="I138" s="2">
        <f t="shared" si="181"/>
        <v>0.19857917726683616</v>
      </c>
      <c r="J138" s="2">
        <f t="shared" ref="J138" si="259">+AVERAGE(B133:B138)/AVERAGE(B121:B126)-1</f>
        <v>0.2799515169879927</v>
      </c>
      <c r="K138" s="2">
        <f t="shared" si="183"/>
        <v>-5.133704195105393E-2</v>
      </c>
      <c r="L138" s="2">
        <f t="shared" ref="L138" si="260">+F138/F132-1</f>
        <v>2.3155136073350402E-2</v>
      </c>
      <c r="O138" s="7"/>
      <c r="R138" s="7"/>
      <c r="S138" s="7"/>
      <c r="T138" s="7"/>
    </row>
    <row r="139" spans="1:20" x14ac:dyDescent="0.2">
      <c r="A139" s="3">
        <v>38534</v>
      </c>
      <c r="B139" s="4">
        <v>25739</v>
      </c>
      <c r="C139" s="5">
        <v>26000.6527916913</v>
      </c>
      <c r="D139" s="4">
        <v>24561.045419067999</v>
      </c>
      <c r="E139" s="5">
        <f t="shared" si="241"/>
        <v>126.40755004235848</v>
      </c>
      <c r="F139" s="5">
        <f t="shared" si="242"/>
        <v>127.98664109925627</v>
      </c>
      <c r="G139" s="5">
        <f t="shared" si="242"/>
        <v>122.78120735078122</v>
      </c>
      <c r="H139" s="1" t="s">
        <v>5</v>
      </c>
      <c r="I139" s="2">
        <f t="shared" si="181"/>
        <v>0.30794247675186748</v>
      </c>
      <c r="J139" s="2">
        <f t="shared" ref="J139" si="261">+AVERAGE(B133:B139)/AVERAGE(B121:B127)-1</f>
        <v>0.28434823559461386</v>
      </c>
      <c r="K139" s="2">
        <f t="shared" si="183"/>
        <v>0.1236379716501057</v>
      </c>
      <c r="L139" s="2">
        <f t="shared" ref="L139" si="262">+F139/F132-1</f>
        <v>0.14965596178084728</v>
      </c>
      <c r="O139" s="7"/>
      <c r="R139" s="7"/>
      <c r="S139" s="7"/>
      <c r="T139" s="7"/>
    </row>
    <row r="140" spans="1:20" x14ac:dyDescent="0.2">
      <c r="A140" s="3">
        <v>38565</v>
      </c>
      <c r="B140" s="4">
        <v>27807</v>
      </c>
      <c r="C140" s="5">
        <v>23274.602771414298</v>
      </c>
      <c r="D140" s="4">
        <v>24460.027962391701</v>
      </c>
      <c r="E140" s="5">
        <f t="shared" si="241"/>
        <v>136.56376487151257</v>
      </c>
      <c r="F140" s="5">
        <f t="shared" si="242"/>
        <v>114.567824719565</v>
      </c>
      <c r="G140" s="5">
        <f t="shared" si="242"/>
        <v>122.27621885853277</v>
      </c>
      <c r="H140" s="1" t="s">
        <v>4</v>
      </c>
      <c r="I140" s="2">
        <f t="shared" si="181"/>
        <v>0.26194690265486709</v>
      </c>
      <c r="J140" s="2">
        <f t="shared" ref="J140" si="263">+AVERAGE(B133:B140)/AVERAGE(B121:B128)-1</f>
        <v>0.28099756988283842</v>
      </c>
      <c r="K140" s="2">
        <f t="shared" si="183"/>
        <v>-0.10484544530928597</v>
      </c>
      <c r="L140" s="2">
        <f t="shared" ref="L140" si="264">+F140/F132-1</f>
        <v>2.9119770515459109E-2</v>
      </c>
      <c r="O140" s="7"/>
      <c r="R140" s="7"/>
      <c r="S140" s="7"/>
      <c r="T140" s="7"/>
    </row>
    <row r="141" spans="1:20" x14ac:dyDescent="0.2">
      <c r="A141" s="3">
        <v>38596</v>
      </c>
      <c r="B141" s="4">
        <v>27546</v>
      </c>
      <c r="C141" s="5">
        <v>22574.956124004599</v>
      </c>
      <c r="D141" s="4">
        <v>24419.413659029098</v>
      </c>
      <c r="E141" s="5">
        <f t="shared" si="241"/>
        <v>135.28196019529923</v>
      </c>
      <c r="F141" s="5">
        <f t="shared" si="242"/>
        <v>111.12385640554874</v>
      </c>
      <c r="G141" s="5">
        <f t="shared" si="242"/>
        <v>122.07318706092451</v>
      </c>
      <c r="H141" s="1" t="s">
        <v>6</v>
      </c>
      <c r="I141" s="2">
        <f t="shared" si="181"/>
        <v>0.13465419944803725</v>
      </c>
      <c r="J141" s="2">
        <f t="shared" ref="J141" si="265">+AVERAGE(B133:B141)/AVERAGE(B121:B129)-1</f>
        <v>0.2602931320842683</v>
      </c>
      <c r="K141" s="2">
        <f t="shared" si="183"/>
        <v>-3.006051936873444E-2</v>
      </c>
      <c r="L141" s="2">
        <f t="shared" ref="L141" si="266">+F141/F132-1</f>
        <v>-1.8161042788685799E-3</v>
      </c>
      <c r="O141" s="7"/>
      <c r="R141" s="7"/>
      <c r="S141" s="7"/>
      <c r="T141" s="7"/>
    </row>
    <row r="142" spans="1:20" x14ac:dyDescent="0.2">
      <c r="A142" s="3">
        <v>38626</v>
      </c>
      <c r="B142" s="4">
        <v>28323</v>
      </c>
      <c r="C142" s="5">
        <v>25984.4902371842</v>
      </c>
      <c r="D142" s="4">
        <v>24549.8422686474</v>
      </c>
      <c r="E142" s="5">
        <f t="shared" si="241"/>
        <v>139.09790744977346</v>
      </c>
      <c r="F142" s="5">
        <f t="shared" si="242"/>
        <v>127.90708190204995</v>
      </c>
      <c r="G142" s="5">
        <f t="shared" si="242"/>
        <v>122.72520255492243</v>
      </c>
      <c r="H142" s="1" t="s">
        <v>7</v>
      </c>
      <c r="I142" s="2">
        <f t="shared" si="181"/>
        <v>0.17928966981721262</v>
      </c>
      <c r="J142" s="2">
        <f t="shared" ref="J142" si="267">+AVERAGE(B133:B142)/AVERAGE(B121:B130)-1</f>
        <v>0.25034762693495272</v>
      </c>
      <c r="K142" s="2">
        <f t="shared" si="183"/>
        <v>0.15103170497656682</v>
      </c>
      <c r="L142" s="2">
        <f t="shared" ref="L142" si="268">+F142/F132-1</f>
        <v>0.14894131137204547</v>
      </c>
      <c r="O142" s="7"/>
      <c r="R142" s="7"/>
      <c r="S142" s="7"/>
      <c r="T142" s="7"/>
    </row>
    <row r="143" spans="1:20" x14ac:dyDescent="0.2">
      <c r="A143" s="3">
        <v>38657</v>
      </c>
      <c r="B143" s="4">
        <v>33006</v>
      </c>
      <c r="C143" s="5">
        <v>26351.159770474998</v>
      </c>
      <c r="D143" s="4">
        <v>25086.275525545399</v>
      </c>
      <c r="E143" s="5">
        <f t="shared" si="241"/>
        <v>162.09672468619931</v>
      </c>
      <c r="F143" s="5">
        <f t="shared" si="242"/>
        <v>129.71199050704919</v>
      </c>
      <c r="G143" s="5">
        <f t="shared" si="242"/>
        <v>125.40684422860764</v>
      </c>
      <c r="H143" s="1" t="s">
        <v>8</v>
      </c>
      <c r="I143" s="2">
        <f t="shared" si="181"/>
        <v>0.21510878768913599</v>
      </c>
      <c r="J143" s="2">
        <f t="shared" ref="J143" si="269">+AVERAGE(B133:B143)/AVERAGE(B121:B131)-1</f>
        <v>0.2460509482661879</v>
      </c>
      <c r="K143" s="2">
        <f t="shared" si="183"/>
        <v>1.4111092037745188E-2</v>
      </c>
      <c r="L143" s="2">
        <f t="shared" ref="L143" si="270">+F143/F132-1</f>
        <v>0.16515412796278417</v>
      </c>
      <c r="O143" s="7"/>
      <c r="R143" s="7"/>
      <c r="S143" s="7"/>
      <c r="T143" s="7"/>
    </row>
    <row r="144" spans="1:20" x14ac:dyDescent="0.2">
      <c r="A144" s="3">
        <v>38687</v>
      </c>
      <c r="B144" s="4">
        <v>21616</v>
      </c>
      <c r="C144" s="5">
        <v>23783.133059075099</v>
      </c>
      <c r="D144" s="4">
        <v>26005.334635630301</v>
      </c>
      <c r="E144" s="5">
        <f t="shared" si="241"/>
        <v>106.15896506140956</v>
      </c>
      <c r="F144" s="5">
        <f t="shared" si="242"/>
        <v>117.0710343095851</v>
      </c>
      <c r="G144" s="5">
        <f t="shared" si="242"/>
        <v>130.00124097506506</v>
      </c>
      <c r="H144" s="1" t="s">
        <v>9</v>
      </c>
      <c r="I144" s="2">
        <f t="shared" si="181"/>
        <v>2.225519287833766E-3</v>
      </c>
      <c r="J144" s="2">
        <f t="shared" ref="J144" si="271">+AVERAGE(B133:B144)/AVERAGE(B121:B132)-1</f>
        <v>0.22452863392853484</v>
      </c>
      <c r="K144" s="2">
        <f t="shared" si="183"/>
        <v>-9.7454029870716719E-2</v>
      </c>
      <c r="L144" s="2">
        <f t="shared" ref="L144" si="272">+F144/F132-1</f>
        <v>5.1605162772310198E-2</v>
      </c>
      <c r="O144" s="7"/>
      <c r="R144" s="7"/>
      <c r="S144" s="7"/>
      <c r="T144" s="7"/>
    </row>
    <row r="145" spans="1:20" x14ac:dyDescent="0.2">
      <c r="A145" s="3">
        <v>38718</v>
      </c>
      <c r="B145" s="4">
        <v>11841</v>
      </c>
      <c r="C145" s="5">
        <v>27915.8810871032</v>
      </c>
      <c r="D145" s="4">
        <v>27161.951716846299</v>
      </c>
      <c r="E145" s="5">
        <f t="shared" si="241"/>
        <v>58.152678816254202</v>
      </c>
      <c r="F145" s="5">
        <f t="shared" si="242"/>
        <v>137.4142365689498</v>
      </c>
      <c r="G145" s="5">
        <f t="shared" si="242"/>
        <v>135.78319525474677</v>
      </c>
      <c r="H145" s="1" t="s">
        <v>20</v>
      </c>
      <c r="I145" s="2">
        <f t="shared" si="181"/>
        <v>-0.4428551263351056</v>
      </c>
      <c r="J145" s="2">
        <f t="shared" ref="J145" si="273">+AVERAGE(B145:B145)/AVERAGE(B133:B133)-1</f>
        <v>-0.4428551263351056</v>
      </c>
      <c r="K145" s="2">
        <f t="shared" si="183"/>
        <v>0.1737680236562078</v>
      </c>
      <c r="L145" s="2">
        <f t="shared" ref="L145" si="274">+F145/F144-1</f>
        <v>0.1737680236562078</v>
      </c>
      <c r="O145" s="7"/>
      <c r="R145" s="7"/>
      <c r="S145" s="7"/>
      <c r="T145" s="7"/>
    </row>
    <row r="146" spans="1:20" x14ac:dyDescent="0.2">
      <c r="A146" s="3">
        <v>38749</v>
      </c>
      <c r="B146" s="4">
        <v>27247</v>
      </c>
      <c r="C146" s="5">
        <v>32139.051187794201</v>
      </c>
      <c r="D146" s="4">
        <v>28440.323515210301</v>
      </c>
      <c r="E146" s="5">
        <f t="shared" si="241"/>
        <v>133.81353261603564</v>
      </c>
      <c r="F146" s="5">
        <f t="shared" si="242"/>
        <v>158.20253601314579</v>
      </c>
      <c r="G146" s="5">
        <f t="shared" si="242"/>
        <v>142.17380404880345</v>
      </c>
      <c r="H146" s="1" t="s">
        <v>2</v>
      </c>
      <c r="I146" s="2">
        <f t="shared" si="181"/>
        <v>1.3674515596489702</v>
      </c>
      <c r="J146" s="2">
        <f t="shared" ref="J146" si="275">+AVERAGE(B145:B146)/AVERAGE(B133:B134)-1</f>
        <v>0.19308955497222402</v>
      </c>
      <c r="K146" s="2">
        <f t="shared" si="183"/>
        <v>0.15128199205011139</v>
      </c>
      <c r="L146" s="2">
        <f t="shared" ref="L146" si="276">+F146/F144-1</f>
        <v>0.35133798847964126</v>
      </c>
      <c r="O146" s="7"/>
      <c r="R146" s="7"/>
      <c r="S146" s="7"/>
      <c r="T146" s="7"/>
    </row>
    <row r="147" spans="1:20" x14ac:dyDescent="0.2">
      <c r="A147" s="3">
        <v>38777</v>
      </c>
      <c r="B147" s="4">
        <v>32992</v>
      </c>
      <c r="C147" s="5">
        <v>30711.838740336301</v>
      </c>
      <c r="D147" s="4">
        <v>29651.004175184298</v>
      </c>
      <c r="E147" s="5">
        <f t="shared" si="241"/>
        <v>162.02796887981239</v>
      </c>
      <c r="F147" s="5">
        <f t="shared" si="242"/>
        <v>151.17716904453039</v>
      </c>
      <c r="G147" s="5">
        <f t="shared" si="242"/>
        <v>148.22602335020355</v>
      </c>
      <c r="H147" s="1" t="s">
        <v>3</v>
      </c>
      <c r="I147" s="2">
        <f t="shared" si="181"/>
        <v>0.25282904230272663</v>
      </c>
      <c r="J147" s="2">
        <f t="shared" ref="J147" si="277">+AVERAGE(B145:B147)/AVERAGE(B133:B135)-1</f>
        <v>0.21971030188168394</v>
      </c>
      <c r="K147" s="2">
        <f t="shared" si="183"/>
        <v>-4.4407423203580154E-2</v>
      </c>
      <c r="L147" s="2">
        <f t="shared" ref="L147" si="278">+F147/F144-1</f>
        <v>0.29132855053415097</v>
      </c>
      <c r="O147" s="7"/>
      <c r="R147" s="7"/>
      <c r="S147" s="7"/>
      <c r="T147" s="7"/>
    </row>
    <row r="148" spans="1:20" x14ac:dyDescent="0.2">
      <c r="A148" s="3">
        <v>38808</v>
      </c>
      <c r="B148" s="4">
        <v>31460</v>
      </c>
      <c r="C148" s="5">
        <v>33189.707869465201</v>
      </c>
      <c r="D148" s="4">
        <v>30846.704997181099</v>
      </c>
      <c r="E148" s="5">
        <f t="shared" si="241"/>
        <v>154.50411920947192</v>
      </c>
      <c r="F148" s="5">
        <f t="shared" si="242"/>
        <v>163.37432999512353</v>
      </c>
      <c r="G148" s="5">
        <f t="shared" si="242"/>
        <v>154.20335811141501</v>
      </c>
      <c r="H148" s="1" t="s">
        <v>4</v>
      </c>
      <c r="I148" s="2">
        <f t="shared" si="181"/>
        <v>0.20841975877698404</v>
      </c>
      <c r="J148" s="2">
        <f t="shared" ref="J148" si="279">+AVERAGE(B145:B148)/AVERAGE(B133:B136)-1</f>
        <v>0.21625748854692817</v>
      </c>
      <c r="K148" s="2">
        <f t="shared" si="183"/>
        <v>8.0681236642289322E-2</v>
      </c>
      <c r="L148" s="2">
        <f t="shared" ref="L148" si="280">+F148/F144-1</f>
        <v>0.39551453490274135</v>
      </c>
      <c r="O148" s="7"/>
      <c r="R148" s="7"/>
      <c r="S148" s="7"/>
      <c r="T148" s="7"/>
    </row>
    <row r="149" spans="1:20" x14ac:dyDescent="0.2">
      <c r="A149" s="3">
        <v>38838</v>
      </c>
      <c r="B149" s="4">
        <v>29573</v>
      </c>
      <c r="C149" s="5">
        <v>27489.554126411502</v>
      </c>
      <c r="D149" s="4">
        <v>31946.951210265401</v>
      </c>
      <c r="E149" s="5">
        <f t="shared" si="241"/>
        <v>145.2368187343202</v>
      </c>
      <c r="F149" s="5">
        <f t="shared" si="242"/>
        <v>135.31566788507348</v>
      </c>
      <c r="G149" s="5">
        <f t="shared" si="242"/>
        <v>159.70351317894884</v>
      </c>
      <c r="H149" s="1" t="s">
        <v>3</v>
      </c>
      <c r="I149" s="2">
        <f t="shared" si="181"/>
        <v>0.17971118557523558</v>
      </c>
      <c r="J149" s="2">
        <f t="shared" ref="J149" si="281">+AVERAGE(B145:B149)/AVERAGE(B133:B137)-1</f>
        <v>0.20794388282908938</v>
      </c>
      <c r="K149" s="2">
        <f t="shared" si="183"/>
        <v>-0.17174461931006879</v>
      </c>
      <c r="L149" s="2">
        <f t="shared" ref="L149" si="282">+F149/F144-1</f>
        <v>0.15584242236420232</v>
      </c>
      <c r="O149" s="7"/>
      <c r="R149" s="7"/>
      <c r="S149" s="7"/>
      <c r="T149" s="7"/>
    </row>
    <row r="150" spans="1:20" x14ac:dyDescent="0.2">
      <c r="A150" s="3">
        <v>38869</v>
      </c>
      <c r="B150" s="4">
        <v>33805</v>
      </c>
      <c r="C150" s="5">
        <v>31945.162791823099</v>
      </c>
      <c r="D150" s="4">
        <v>32872.5233365518</v>
      </c>
      <c r="E150" s="5">
        <f t="shared" si="241"/>
        <v>166.02071677928157</v>
      </c>
      <c r="F150" s="5">
        <f t="shared" si="242"/>
        <v>157.24813210847174</v>
      </c>
      <c r="G150" s="5">
        <f t="shared" si="242"/>
        <v>164.33046863693789</v>
      </c>
      <c r="H150" s="1" t="s">
        <v>5</v>
      </c>
      <c r="I150" s="2">
        <f t="shared" si="181"/>
        <v>0.3538245895074088</v>
      </c>
      <c r="J150" s="2">
        <f t="shared" ref="J150" si="283">+AVERAGE(B145:B150)/AVERAGE(B133:B138)-1</f>
        <v>0.23489287405303028</v>
      </c>
      <c r="K150" s="2">
        <f t="shared" si="183"/>
        <v>0.16208370077311351</v>
      </c>
      <c r="L150" s="2">
        <f t="shared" ref="L150" si="284">+F150/F144-1</f>
        <v>0.34318563969155225</v>
      </c>
      <c r="O150" s="7"/>
      <c r="R150" s="7"/>
      <c r="S150" s="7"/>
      <c r="T150" s="7"/>
    </row>
    <row r="151" spans="1:20" x14ac:dyDescent="0.2">
      <c r="A151" s="3">
        <v>38899</v>
      </c>
      <c r="B151" s="4">
        <v>35620</v>
      </c>
      <c r="C151" s="5">
        <v>35465.725548441202</v>
      </c>
      <c r="D151" s="4">
        <v>33829.441723710399</v>
      </c>
      <c r="E151" s="5">
        <f t="shared" si="241"/>
        <v>174.93441596444342</v>
      </c>
      <c r="F151" s="5">
        <f t="shared" si="242"/>
        <v>174.57788938836117</v>
      </c>
      <c r="G151" s="5">
        <f t="shared" si="242"/>
        <v>169.11412474386731</v>
      </c>
      <c r="H151" s="1" t="s">
        <v>5</v>
      </c>
      <c r="I151" s="2">
        <f t="shared" si="181"/>
        <v>0.38389214810210182</v>
      </c>
      <c r="J151" s="2">
        <f t="shared" ref="J151" si="285">+AVERAGE(B145:B151)/AVERAGE(B133:B139)-1</f>
        <v>0.25872709080400469</v>
      </c>
      <c r="K151" s="2">
        <f t="shared" si="183"/>
        <v>0.11020644282079717</v>
      </c>
      <c r="L151" s="2">
        <f t="shared" ref="L151" si="286">+F151/F144-1</f>
        <v>0.49121335108993525</v>
      </c>
      <c r="O151" s="7"/>
      <c r="R151" s="7"/>
      <c r="S151" s="7"/>
      <c r="T151" s="7"/>
    </row>
    <row r="152" spans="1:20" x14ac:dyDescent="0.2">
      <c r="A152" s="3">
        <v>38930</v>
      </c>
      <c r="B152" s="4">
        <v>39345</v>
      </c>
      <c r="C152" s="5">
        <v>34274.995692589</v>
      </c>
      <c r="D152" s="4">
        <v>35068.101747435903</v>
      </c>
      <c r="E152" s="5">
        <f t="shared" si="241"/>
        <v>193.22837159239265</v>
      </c>
      <c r="F152" s="5">
        <f t="shared" si="242"/>
        <v>168.71659367674641</v>
      </c>
      <c r="G152" s="5">
        <f t="shared" si="242"/>
        <v>175.30621350129837</v>
      </c>
      <c r="H152" s="1" t="s">
        <v>4</v>
      </c>
      <c r="I152" s="2">
        <f t="shared" si="181"/>
        <v>0.41493149207034197</v>
      </c>
      <c r="J152" s="2">
        <f t="shared" ref="J152" si="287">+AVERAGE(B145:B152)/AVERAGE(B133:B140)-1</f>
        <v>0.28174380279152578</v>
      </c>
      <c r="K152" s="2">
        <f t="shared" si="183"/>
        <v>-3.3574101119849598E-2</v>
      </c>
      <c r="L152" s="2">
        <f t="shared" ref="L152" si="288">+F152/F144-1</f>
        <v>0.44114720324917189</v>
      </c>
      <c r="O152" s="7"/>
      <c r="R152" s="7"/>
      <c r="S152" s="7"/>
      <c r="T152" s="7"/>
    </row>
    <row r="153" spans="1:20" x14ac:dyDescent="0.2">
      <c r="A153" s="3">
        <v>38961</v>
      </c>
      <c r="B153" s="4">
        <v>42242</v>
      </c>
      <c r="C153" s="5">
        <v>37775.2420417744</v>
      </c>
      <c r="D153" s="4">
        <v>36546.315967688701</v>
      </c>
      <c r="E153" s="5">
        <f t="shared" si="241"/>
        <v>207.45591238545816</v>
      </c>
      <c r="F153" s="5">
        <f t="shared" si="242"/>
        <v>185.94634466958803</v>
      </c>
      <c r="G153" s="5">
        <f t="shared" si="242"/>
        <v>182.69583896670412</v>
      </c>
      <c r="H153" s="1" t="s">
        <v>6</v>
      </c>
      <c r="I153" s="2">
        <f t="shared" si="181"/>
        <v>0.53350758730850223</v>
      </c>
      <c r="J153" s="2">
        <f t="shared" ref="J153" si="289">+AVERAGE(B145:B153)/AVERAGE(B133:B141)-1</f>
        <v>0.31381207805419398</v>
      </c>
      <c r="K153" s="2">
        <f t="shared" si="183"/>
        <v>0.10212244461177944</v>
      </c>
      <c r="L153" s="2">
        <f t="shared" ref="L153" si="290">+F153/F144-1</f>
        <v>0.58832067869040605</v>
      </c>
      <c r="O153" s="7"/>
      <c r="R153" s="7"/>
      <c r="S153" s="7"/>
      <c r="T153" s="7"/>
    </row>
    <row r="154" spans="1:20" x14ac:dyDescent="0.2">
      <c r="A154" s="3">
        <v>38991</v>
      </c>
      <c r="B154" s="4">
        <v>40504</v>
      </c>
      <c r="C154" s="5">
        <v>35778.523380069797</v>
      </c>
      <c r="D154" s="4">
        <v>38076.452124904099</v>
      </c>
      <c r="E154" s="5">
        <f t="shared" si="241"/>
        <v>198.92037013542435</v>
      </c>
      <c r="F154" s="5">
        <f t="shared" si="242"/>
        <v>176.11761779956737</v>
      </c>
      <c r="G154" s="5">
        <f t="shared" si="242"/>
        <v>190.34502333929345</v>
      </c>
      <c r="H154" s="1" t="s">
        <v>7</v>
      </c>
      <c r="I154" s="2">
        <f t="shared" si="181"/>
        <v>0.43007449775800577</v>
      </c>
      <c r="J154" s="2">
        <f t="shared" ref="J154" si="291">+AVERAGE(B145:B154)/AVERAGE(B133:B142)-1</f>
        <v>0.32727540344177641</v>
      </c>
      <c r="K154" s="2">
        <f t="shared" si="183"/>
        <v>-5.2857865463747267E-2</v>
      </c>
      <c r="L154" s="2">
        <f t="shared" ref="L154" si="292">+F154/F144-1</f>
        <v>0.50436543794290101</v>
      </c>
      <c r="O154" s="7"/>
      <c r="R154" s="7"/>
      <c r="S154" s="7"/>
      <c r="T154" s="7"/>
    </row>
    <row r="155" spans="1:20" x14ac:dyDescent="0.2">
      <c r="A155" s="3">
        <v>39022</v>
      </c>
      <c r="B155" s="4">
        <v>46041</v>
      </c>
      <c r="C155" s="5">
        <v>39261.673015845103</v>
      </c>
      <c r="D155" s="4">
        <v>39455.743429633701</v>
      </c>
      <c r="E155" s="5">
        <f t="shared" si="241"/>
        <v>226.11329156145254</v>
      </c>
      <c r="F155" s="5">
        <f t="shared" si="242"/>
        <v>193.26321125449158</v>
      </c>
      <c r="G155" s="5">
        <f t="shared" si="242"/>
        <v>197.24013096983668</v>
      </c>
      <c r="H155" s="1" t="s">
        <v>8</v>
      </c>
      <c r="I155" s="2">
        <f t="shared" si="181"/>
        <v>0.39492819487365938</v>
      </c>
      <c r="J155" s="2">
        <f t="shared" ref="J155" si="293">+AVERAGE(B145:B155)/AVERAGE(B133:B143)-1</f>
        <v>0.3353194831207289</v>
      </c>
      <c r="K155" s="2">
        <f t="shared" si="183"/>
        <v>9.7353085223063518E-2</v>
      </c>
      <c r="L155" s="2">
        <f t="shared" ref="L155" si="294">+F155/F144-1</f>
        <v>0.65082005462958747</v>
      </c>
      <c r="O155" s="7"/>
      <c r="R155" s="7"/>
      <c r="S155" s="7"/>
      <c r="T155" s="7"/>
    </row>
    <row r="156" spans="1:20" x14ac:dyDescent="0.2">
      <c r="A156" s="3">
        <v>39052</v>
      </c>
      <c r="B156" s="4">
        <v>38204</v>
      </c>
      <c r="C156" s="5">
        <v>41654.965002240497</v>
      </c>
      <c r="D156" s="4">
        <v>40473.1498654678</v>
      </c>
      <c r="E156" s="5">
        <f t="shared" si="241"/>
        <v>187.62477337185842</v>
      </c>
      <c r="F156" s="5">
        <f t="shared" si="242"/>
        <v>205.04404633438605</v>
      </c>
      <c r="G156" s="5">
        <f t="shared" si="242"/>
        <v>202.32616816519098</v>
      </c>
      <c r="H156" s="1" t="s">
        <v>9</v>
      </c>
      <c r="I156" s="2">
        <f t="shared" si="181"/>
        <v>0.76739452257587004</v>
      </c>
      <c r="J156" s="2">
        <f t="shared" ref="J156" si="295">+AVERAGE(B145:B156)/AVERAGE(B133:B144)-1</f>
        <v>0.36653465015624742</v>
      </c>
      <c r="K156" s="2">
        <f t="shared" si="183"/>
        <v>6.0957463158269221E-2</v>
      </c>
      <c r="L156" s="2">
        <f t="shared" ref="L156" si="296">+F156/F144-1</f>
        <v>0.75144985729060254</v>
      </c>
      <c r="O156" s="7"/>
      <c r="R156" s="7"/>
      <c r="S156" s="7"/>
      <c r="T156" s="7"/>
    </row>
    <row r="157" spans="1:20" x14ac:dyDescent="0.2">
      <c r="A157" s="3">
        <v>39083</v>
      </c>
      <c r="B157" s="4">
        <v>16285</v>
      </c>
      <c r="C157" s="5">
        <v>31733.618236988899</v>
      </c>
      <c r="D157" s="4">
        <v>41272.983683302598</v>
      </c>
      <c r="E157" s="5">
        <f t="shared" si="241"/>
        <v>79.9777362150747</v>
      </c>
      <c r="F157" s="5">
        <f t="shared" si="242"/>
        <v>156.20681682946773</v>
      </c>
      <c r="G157" s="5">
        <f t="shared" si="242"/>
        <v>206.32455504808399</v>
      </c>
      <c r="H157" s="1" t="s">
        <v>21</v>
      </c>
      <c r="I157" s="2">
        <f t="shared" si="181"/>
        <v>0.37530613968414817</v>
      </c>
      <c r="J157" s="2">
        <f t="shared" ref="J157" si="297">+AVERAGE(B157:B157)/AVERAGE(B145:B145)-1</f>
        <v>0.37530613968414839</v>
      </c>
      <c r="K157" s="2">
        <f t="shared" si="183"/>
        <v>-0.23817921260329855</v>
      </c>
      <c r="L157" s="2">
        <f t="shared" ref="L157" si="298">+F157/F156-1</f>
        <v>-0.23817921260329855</v>
      </c>
      <c r="O157" s="7"/>
      <c r="R157" s="7"/>
      <c r="S157" s="7"/>
      <c r="T157" s="7"/>
    </row>
    <row r="158" spans="1:20" x14ac:dyDescent="0.2">
      <c r="A158" s="3">
        <v>39114</v>
      </c>
      <c r="B158" s="4">
        <v>33855</v>
      </c>
      <c r="C158" s="5">
        <v>40023.961094888298</v>
      </c>
      <c r="D158" s="4">
        <v>41699.892983331498</v>
      </c>
      <c r="E158" s="5">
        <f t="shared" si="241"/>
        <v>166.26627323066344</v>
      </c>
      <c r="F158" s="5">
        <f t="shared" si="242"/>
        <v>197.01552822777617</v>
      </c>
      <c r="G158" s="5">
        <f t="shared" si="242"/>
        <v>208.45868404758215</v>
      </c>
      <c r="H158" s="1" t="s">
        <v>2</v>
      </c>
      <c r="I158" s="2">
        <f t="shared" si="181"/>
        <v>0.24252211252614964</v>
      </c>
      <c r="J158" s="2">
        <f t="shared" ref="J158" si="299">+AVERAGE(B157:B158)/AVERAGE(B145:B146)-1</f>
        <v>0.2827466230045026</v>
      </c>
      <c r="K158" s="2">
        <f t="shared" si="183"/>
        <v>0.26124795464502459</v>
      </c>
      <c r="L158" s="2">
        <f t="shared" ref="L158" si="300">+F158/F156-1</f>
        <v>-3.9155090089848077E-2</v>
      </c>
      <c r="O158" s="7"/>
      <c r="R158" s="7"/>
      <c r="S158" s="7"/>
      <c r="T158" s="7"/>
    </row>
    <row r="159" spans="1:20" x14ac:dyDescent="0.2">
      <c r="A159" s="3">
        <v>39142</v>
      </c>
      <c r="B159" s="4">
        <v>42996</v>
      </c>
      <c r="C159" s="5">
        <v>43055.6998839894</v>
      </c>
      <c r="D159" s="4">
        <v>41808.457379502303</v>
      </c>
      <c r="E159" s="5">
        <f t="shared" si="241"/>
        <v>211.15890367229673</v>
      </c>
      <c r="F159" s="5">
        <f t="shared" si="242"/>
        <v>211.93907908690585</v>
      </c>
      <c r="G159" s="5">
        <f t="shared" si="242"/>
        <v>209.00139985669068</v>
      </c>
      <c r="H159" s="1" t="s">
        <v>3</v>
      </c>
      <c r="I159" s="2">
        <f t="shared" si="181"/>
        <v>0.30322502424830255</v>
      </c>
      <c r="J159" s="2">
        <f t="shared" ref="J159" si="301">+AVERAGE(B157:B159)/AVERAGE(B145:B147)-1</f>
        <v>0.2921198668146503</v>
      </c>
      <c r="K159" s="2">
        <f t="shared" si="183"/>
        <v>7.5748094545502243E-2</v>
      </c>
      <c r="L159" s="2">
        <f t="shared" ref="L159" si="302">+F159/F156-1</f>
        <v>3.3627080989590663E-2</v>
      </c>
      <c r="O159" s="7"/>
      <c r="R159" s="7"/>
      <c r="S159" s="7"/>
      <c r="T159" s="7"/>
    </row>
    <row r="160" spans="1:20" x14ac:dyDescent="0.2">
      <c r="A160" s="3">
        <v>39173</v>
      </c>
      <c r="B160" s="4">
        <v>38764</v>
      </c>
      <c r="C160" s="5">
        <v>39573.272201158499</v>
      </c>
      <c r="D160" s="4">
        <v>41756.140631895003</v>
      </c>
      <c r="E160" s="5">
        <f t="shared" si="241"/>
        <v>190.37500562733533</v>
      </c>
      <c r="F160" s="5">
        <f t="shared" si="242"/>
        <v>194.79703940169372</v>
      </c>
      <c r="G160" s="5">
        <f t="shared" si="242"/>
        <v>208.73986728239302</v>
      </c>
      <c r="H160" s="1" t="s">
        <v>4</v>
      </c>
      <c r="I160" s="2">
        <f t="shared" si="181"/>
        <v>0.23216783216783221</v>
      </c>
      <c r="J160" s="2">
        <f t="shared" ref="J160" si="303">+AVERAGE(B157:B160)/AVERAGE(B145:B148)-1</f>
        <v>0.27390380529264058</v>
      </c>
      <c r="K160" s="2">
        <f t="shared" si="183"/>
        <v>-8.0881920215304048E-2</v>
      </c>
      <c r="L160" s="2">
        <f t="shared" ref="L160" si="304">+F160/F156-1</f>
        <v>-4.997466210738688E-2</v>
      </c>
      <c r="O160" s="7"/>
      <c r="R160" s="7"/>
      <c r="S160" s="7"/>
      <c r="T160" s="7"/>
    </row>
    <row r="161" spans="1:20" x14ac:dyDescent="0.2">
      <c r="A161" s="3">
        <v>39203</v>
      </c>
      <c r="B161" s="4">
        <v>42852</v>
      </c>
      <c r="C161" s="5">
        <v>40544.565717479803</v>
      </c>
      <c r="D161" s="4">
        <v>41639.852851441799</v>
      </c>
      <c r="E161" s="5">
        <f t="shared" si="241"/>
        <v>210.45170109231694</v>
      </c>
      <c r="F161" s="5">
        <f t="shared" si="242"/>
        <v>199.57817300135375</v>
      </c>
      <c r="G161" s="5">
        <f t="shared" si="242"/>
        <v>208.15854210504114</v>
      </c>
      <c r="H161" s="1" t="s">
        <v>3</v>
      </c>
      <c r="I161" s="2">
        <f t="shared" si="181"/>
        <v>0.44902444797619445</v>
      </c>
      <c r="J161" s="2">
        <f t="shared" ref="J161" si="305">+AVERAGE(B157:B161)/AVERAGE(B145:B149)-1</f>
        <v>0.31280941756252223</v>
      </c>
      <c r="K161" s="2">
        <f t="shared" si="183"/>
        <v>2.4544180005737992E-2</v>
      </c>
      <c r="L161" s="2">
        <f t="shared" ref="L161" si="306">+F161/F156-1</f>
        <v>-2.6657069204138462E-2</v>
      </c>
      <c r="O161" s="7"/>
      <c r="R161" s="7"/>
      <c r="S161" s="7"/>
      <c r="T161" s="7"/>
    </row>
    <row r="162" spans="1:20" x14ac:dyDescent="0.2">
      <c r="A162" s="3">
        <v>39234</v>
      </c>
      <c r="B162" s="4">
        <v>45279</v>
      </c>
      <c r="C162" s="5">
        <v>44575.540738497002</v>
      </c>
      <c r="D162" s="4">
        <v>41700.086797479897</v>
      </c>
      <c r="E162" s="5">
        <f t="shared" si="241"/>
        <v>222.37101124239285</v>
      </c>
      <c r="F162" s="5">
        <f t="shared" si="242"/>
        <v>219.42040378795377</v>
      </c>
      <c r="G162" s="5">
        <f t="shared" si="242"/>
        <v>208.45965292878148</v>
      </c>
      <c r="H162" s="1" t="s">
        <v>5</v>
      </c>
      <c r="I162" s="2">
        <f t="shared" si="181"/>
        <v>0.33941724596953127</v>
      </c>
      <c r="J162" s="2">
        <f t="shared" ref="J162" si="307">+AVERAGE(B157:B162)/AVERAGE(B145:B150)-1</f>
        <v>0.31819815717897404</v>
      </c>
      <c r="K162" s="2">
        <f t="shared" si="183"/>
        <v>9.9420845918182899E-2</v>
      </c>
      <c r="L162" s="2">
        <f t="shared" ref="L162" si="308">+F162/F156-1</f>
        <v>7.0113508344069375E-2</v>
      </c>
      <c r="O162" s="7"/>
      <c r="R162" s="7"/>
      <c r="S162" s="7"/>
      <c r="T162" s="7"/>
    </row>
    <row r="163" spans="1:20" x14ac:dyDescent="0.2">
      <c r="A163" s="3">
        <v>39264</v>
      </c>
      <c r="B163" s="4">
        <v>41133</v>
      </c>
      <c r="C163" s="5">
        <v>39298.085868881702</v>
      </c>
      <c r="D163" s="4">
        <v>42046.623052242299</v>
      </c>
      <c r="E163" s="5">
        <f t="shared" si="241"/>
        <v>202.00947029380828</v>
      </c>
      <c r="F163" s="5">
        <f t="shared" si="242"/>
        <v>193.44245132166728</v>
      </c>
      <c r="G163" s="5">
        <f t="shared" si="242"/>
        <v>210.19199530365097</v>
      </c>
      <c r="H163" s="1" t="s">
        <v>5</v>
      </c>
      <c r="I163" s="2">
        <f t="shared" si="181"/>
        <v>0.15477259966311063</v>
      </c>
      <c r="J163" s="2">
        <f t="shared" ref="J163" si="309">+AVERAGE(B157:B163)/AVERAGE(B145:B151)-1</f>
        <v>0.28945679329311025</v>
      </c>
      <c r="K163" s="2">
        <f t="shared" si="183"/>
        <v>-0.11839351317296543</v>
      </c>
      <c r="L163" s="2">
        <f t="shared" ref="L163" si="310">+F163/F156-1</f>
        <v>-5.6580989402632453E-2</v>
      </c>
      <c r="O163" s="7"/>
      <c r="R163" s="7"/>
      <c r="S163" s="7"/>
      <c r="T163" s="7"/>
    </row>
    <row r="164" spans="1:20" x14ac:dyDescent="0.2">
      <c r="A164" s="3">
        <v>39295</v>
      </c>
      <c r="B164" s="4">
        <v>50008</v>
      </c>
      <c r="C164" s="5">
        <v>44075.936516071502</v>
      </c>
      <c r="D164" s="4">
        <v>42926.565068384203</v>
      </c>
      <c r="E164" s="5">
        <f t="shared" si="241"/>
        <v>245.59574041409002</v>
      </c>
      <c r="F164" s="5">
        <f t="shared" si="242"/>
        <v>216.96113221429241</v>
      </c>
      <c r="G164" s="5">
        <f t="shared" si="242"/>
        <v>214.59084483538575</v>
      </c>
      <c r="H164" s="1" t="s">
        <v>4</v>
      </c>
      <c r="I164" s="2">
        <f t="shared" si="181"/>
        <v>0.27101283517600705</v>
      </c>
      <c r="J164" s="2">
        <f t="shared" ref="J164" si="311">+AVERAGE(B157:B164)/AVERAGE(B145:B152)-1</f>
        <v>0.28645667533476926</v>
      </c>
      <c r="K164" s="2">
        <f t="shared" si="183"/>
        <v>0.12157972943341644</v>
      </c>
      <c r="L164" s="2">
        <f t="shared" ref="L164" si="312">+F164/F156-1</f>
        <v>5.8119638648136851E-2</v>
      </c>
      <c r="O164" s="7"/>
      <c r="R164" s="7"/>
      <c r="S164" s="7"/>
      <c r="T164" s="7"/>
    </row>
    <row r="165" spans="1:20" x14ac:dyDescent="0.2">
      <c r="A165" s="3">
        <v>39326</v>
      </c>
      <c r="B165" s="4">
        <v>47233</v>
      </c>
      <c r="C165" s="5">
        <v>42980.189509053598</v>
      </c>
      <c r="D165" s="4">
        <v>44487.894274527003</v>
      </c>
      <c r="E165" s="5">
        <f t="shared" si="241"/>
        <v>231.96735736239629</v>
      </c>
      <c r="F165" s="5">
        <f t="shared" si="242"/>
        <v>211.56738383242103</v>
      </c>
      <c r="G165" s="5">
        <f t="shared" si="242"/>
        <v>222.39596394702673</v>
      </c>
      <c r="H165" s="1" t="s">
        <v>6</v>
      </c>
      <c r="I165" s="2">
        <f t="shared" ref="I165:I228" si="313">+E165/E153-1</f>
        <v>0.11815254959518939</v>
      </c>
      <c r="J165" s="2">
        <f t="shared" ref="J165" si="314">+AVERAGE(B157:B165)/AVERAGE(B145:B153)-1</f>
        <v>0.26143422789265292</v>
      </c>
      <c r="K165" s="2">
        <f t="shared" ref="K165:K228" si="315">+F165/F164-1</f>
        <v>-2.4860436184228507E-2</v>
      </c>
      <c r="L165" s="2">
        <f t="shared" ref="L165" si="316">+F165/F156-1</f>
        <v>3.1814322896245972E-2</v>
      </c>
      <c r="O165" s="7"/>
      <c r="R165" s="7"/>
      <c r="S165" s="7"/>
      <c r="T165" s="7"/>
    </row>
    <row r="166" spans="1:20" x14ac:dyDescent="0.2">
      <c r="A166" s="3">
        <v>39356</v>
      </c>
      <c r="B166" s="4">
        <v>51861</v>
      </c>
      <c r="C166" s="5">
        <v>45158.549201938898</v>
      </c>
      <c r="D166" s="4">
        <v>46452.132539030899</v>
      </c>
      <c r="E166" s="5">
        <f t="shared" si="241"/>
        <v>254.69606250230208</v>
      </c>
      <c r="F166" s="5">
        <f t="shared" si="242"/>
        <v>222.29022769453707</v>
      </c>
      <c r="G166" s="5">
        <f t="shared" si="242"/>
        <v>232.21523432112724</v>
      </c>
      <c r="H166" s="1" t="s">
        <v>7</v>
      </c>
      <c r="I166" s="2">
        <f t="shared" si="313"/>
        <v>0.28039206004345263</v>
      </c>
      <c r="J166" s="2">
        <f t="shared" ref="J166" si="317">+AVERAGE(B157:B166)/AVERAGE(B145:B154)-1</f>
        <v>0.26379959892677474</v>
      </c>
      <c r="K166" s="2">
        <f t="shared" si="315"/>
        <v>5.0682877804120396E-2</v>
      </c>
      <c r="L166" s="2">
        <f t="shared" ref="L166" si="318">+F166/F156-1</f>
        <v>8.4109642140137719E-2</v>
      </c>
      <c r="O166" s="7"/>
      <c r="R166" s="7"/>
      <c r="S166" s="7"/>
      <c r="T166" s="7"/>
    </row>
    <row r="167" spans="1:20" x14ac:dyDescent="0.2">
      <c r="A167" s="3">
        <v>39387</v>
      </c>
      <c r="B167" s="4">
        <v>55669</v>
      </c>
      <c r="C167" s="5">
        <v>48998.345811177103</v>
      </c>
      <c r="D167" s="4">
        <v>48391.853506529304</v>
      </c>
      <c r="E167" s="5">
        <f t="shared" si="241"/>
        <v>273.3976418395452</v>
      </c>
      <c r="F167" s="5">
        <f t="shared" si="242"/>
        <v>241.19139430977512</v>
      </c>
      <c r="G167" s="5">
        <f t="shared" si="242"/>
        <v>241.91194218716063</v>
      </c>
      <c r="H167" s="1" t="s">
        <v>8</v>
      </c>
      <c r="I167" s="2">
        <f t="shared" si="313"/>
        <v>0.20911796007905981</v>
      </c>
      <c r="J167" s="2">
        <f t="shared" ref="J167" si="319">+AVERAGE(B157:B167)/AVERAGE(B145:B155)-1</f>
        <v>0.25700758086707842</v>
      </c>
      <c r="K167" s="2">
        <f t="shared" si="315"/>
        <v>8.5029228730699513E-2</v>
      </c>
      <c r="L167" s="2">
        <f t="shared" ref="L167" si="320">+F167/F156-1</f>
        <v>0.17629064887082824</v>
      </c>
      <c r="O167" s="7"/>
      <c r="R167" s="7"/>
      <c r="S167" s="7"/>
      <c r="T167" s="7"/>
    </row>
    <row r="168" spans="1:20" x14ac:dyDescent="0.2">
      <c r="A168" s="3">
        <v>39417</v>
      </c>
      <c r="B168" s="4">
        <v>47297</v>
      </c>
      <c r="C168" s="5">
        <v>50614.032158375601</v>
      </c>
      <c r="D168" s="4">
        <v>50016.676288061797</v>
      </c>
      <c r="E168" s="5">
        <f t="shared" si="241"/>
        <v>232.2816696201651</v>
      </c>
      <c r="F168" s="5">
        <f t="shared" si="242"/>
        <v>249.14451265278618</v>
      </c>
      <c r="G168" s="5">
        <f t="shared" si="242"/>
        <v>250.03446708150952</v>
      </c>
      <c r="H168" s="1" t="s">
        <v>9</v>
      </c>
      <c r="I168" s="2">
        <f t="shared" si="313"/>
        <v>0.23801172652078306</v>
      </c>
      <c r="J168" s="2">
        <f t="shared" ref="J168" si="321">+AVERAGE(B157:B168)/AVERAGE(B145:B156)-1</f>
        <v>0.25523266336328554</v>
      </c>
      <c r="K168" s="2">
        <f t="shared" si="315"/>
        <v>3.2974303937214344E-2</v>
      </c>
      <c r="L168" s="2">
        <f t="shared" ref="L168" si="322">+F168/F156-1</f>
        <v>0.21507801424519801</v>
      </c>
      <c r="O168" s="7"/>
      <c r="R168" s="7"/>
      <c r="S168" s="7"/>
      <c r="T168" s="7"/>
    </row>
    <row r="169" spans="1:20" x14ac:dyDescent="0.2">
      <c r="A169" s="3">
        <v>39448</v>
      </c>
      <c r="B169" s="4">
        <v>39926</v>
      </c>
      <c r="C169" s="5">
        <v>56189.9676900841</v>
      </c>
      <c r="D169" s="4">
        <v>50830.7459244239</v>
      </c>
      <c r="E169" s="5">
        <f t="shared" si="241"/>
        <v>196.08173755744997</v>
      </c>
      <c r="F169" s="5">
        <f t="shared" si="242"/>
        <v>276.59171812900473</v>
      </c>
      <c r="G169" s="5">
        <f t="shared" si="242"/>
        <v>254.10401913496378</v>
      </c>
      <c r="H169" s="1" t="s">
        <v>22</v>
      </c>
      <c r="I169" s="2">
        <f t="shared" si="313"/>
        <v>1.4517040221062332</v>
      </c>
      <c r="J169" s="2">
        <f t="shared" ref="J169" si="323">+AVERAGE(B169:B169)/AVERAGE(B157:B157)-1</f>
        <v>1.4517040221062327</v>
      </c>
      <c r="K169" s="2">
        <f t="shared" si="315"/>
        <v>0.11016580370955098</v>
      </c>
      <c r="L169" s="2">
        <f t="shared" ref="L169" si="324">+F169/F168-1</f>
        <v>0.11016580370955098</v>
      </c>
      <c r="O169" s="7"/>
      <c r="R169" s="7"/>
      <c r="S169" s="7"/>
      <c r="T169" s="7"/>
    </row>
    <row r="170" spans="1:20" x14ac:dyDescent="0.2">
      <c r="A170" s="3">
        <v>39479</v>
      </c>
      <c r="B170" s="4">
        <v>30523</v>
      </c>
      <c r="C170" s="5">
        <v>39727.840023930199</v>
      </c>
      <c r="D170" s="4">
        <v>50886.458751795602</v>
      </c>
      <c r="E170" s="5">
        <f t="shared" si="241"/>
        <v>149.90239131057569</v>
      </c>
      <c r="F170" s="5">
        <f t="shared" si="242"/>
        <v>195.55789016252143</v>
      </c>
      <c r="G170" s="5">
        <f t="shared" si="242"/>
        <v>254.38252878684983</v>
      </c>
      <c r="H170" s="1" t="s">
        <v>2</v>
      </c>
      <c r="I170" s="2">
        <f t="shared" si="313"/>
        <v>-9.8419731206616512E-2</v>
      </c>
      <c r="J170" s="2">
        <f t="shared" ref="J170" si="325">+AVERAGE(B169:B170)/AVERAGE(B157:B158)-1</f>
        <v>0.40504587155963301</v>
      </c>
      <c r="K170" s="2">
        <f t="shared" si="315"/>
        <v>-0.29297271991596086</v>
      </c>
      <c r="L170" s="2">
        <f t="shared" ref="L170" si="326">+F170/F168-1</f>
        <v>-0.21508249136092494</v>
      </c>
      <c r="O170" s="7"/>
      <c r="R170" s="7"/>
      <c r="S170" s="7"/>
      <c r="T170" s="7"/>
    </row>
    <row r="171" spans="1:20" x14ac:dyDescent="0.2">
      <c r="A171" s="3">
        <v>39508</v>
      </c>
      <c r="B171" s="4">
        <v>46194</v>
      </c>
      <c r="C171" s="5">
        <v>48533.259312729002</v>
      </c>
      <c r="D171" s="4">
        <v>50609.152674516699</v>
      </c>
      <c r="E171" s="5">
        <f t="shared" si="241"/>
        <v>226.86469430268104</v>
      </c>
      <c r="F171" s="5">
        <f t="shared" si="242"/>
        <v>238.9020341450946</v>
      </c>
      <c r="G171" s="5">
        <f t="shared" si="242"/>
        <v>252.9962695949842</v>
      </c>
      <c r="H171" s="1" t="s">
        <v>3</v>
      </c>
      <c r="I171" s="2">
        <f t="shared" si="313"/>
        <v>7.4379012001116296E-2</v>
      </c>
      <c r="J171" s="2">
        <f t="shared" ref="J171" si="327">+AVERAGE(B169:B171)/AVERAGE(B157:B159)-1</f>
        <v>0.25239434805016314</v>
      </c>
      <c r="K171" s="2">
        <f t="shared" si="315"/>
        <v>0.22164354476595838</v>
      </c>
      <c r="L171" s="2">
        <f t="shared" ref="L171" si="328">+F171/F168-1</f>
        <v>-4.1110592397295642E-2</v>
      </c>
      <c r="O171" s="7"/>
      <c r="R171" s="7"/>
      <c r="S171" s="7"/>
      <c r="T171" s="7"/>
    </row>
    <row r="172" spans="1:20" x14ac:dyDescent="0.2">
      <c r="A172" s="3">
        <v>39539</v>
      </c>
      <c r="B172" s="4">
        <v>50773</v>
      </c>
      <c r="C172" s="5">
        <v>50610.474400491898</v>
      </c>
      <c r="D172" s="4">
        <v>50363.524119690999</v>
      </c>
      <c r="E172" s="5">
        <f t="shared" si="241"/>
        <v>249.35275412023259</v>
      </c>
      <c r="F172" s="5">
        <f t="shared" si="242"/>
        <v>249.12699980474241</v>
      </c>
      <c r="G172" s="5">
        <f t="shared" si="242"/>
        <v>251.76836703600301</v>
      </c>
      <c r="H172" s="1" t="s">
        <v>4</v>
      </c>
      <c r="I172" s="2">
        <f t="shared" si="313"/>
        <v>0.30979775049014546</v>
      </c>
      <c r="J172" s="2">
        <f t="shared" ref="J172" si="329">+AVERAGE(B169:B172)/AVERAGE(B157:B160)-1</f>
        <v>0.26926459438968919</v>
      </c>
      <c r="K172" s="2">
        <f t="shared" si="315"/>
        <v>4.2799826699833732E-2</v>
      </c>
      <c r="L172" s="2">
        <f t="shared" ref="L172" si="330">+F172/F168-1</f>
        <v>-7.0291927593779668E-5</v>
      </c>
      <c r="O172" s="7"/>
      <c r="R172" s="7"/>
      <c r="S172" s="7"/>
      <c r="T172" s="7"/>
    </row>
    <row r="173" spans="1:20" x14ac:dyDescent="0.2">
      <c r="A173" s="3">
        <v>39569</v>
      </c>
      <c r="B173" s="4">
        <v>52057</v>
      </c>
      <c r="C173" s="5">
        <v>50511.838149394498</v>
      </c>
      <c r="D173" s="4">
        <v>50642.805568825897</v>
      </c>
      <c r="E173" s="5">
        <f t="shared" si="241"/>
        <v>255.65864379171899</v>
      </c>
      <c r="F173" s="5">
        <f t="shared" si="242"/>
        <v>248.64146882328134</v>
      </c>
      <c r="G173" s="5">
        <f t="shared" si="242"/>
        <v>253.164501155312</v>
      </c>
      <c r="H173" s="1" t="s">
        <v>3</v>
      </c>
      <c r="I173" s="2">
        <f t="shared" si="313"/>
        <v>0.21480911042658435</v>
      </c>
      <c r="J173" s="2">
        <f t="shared" ref="J173" si="331">+AVERAGE(B169:B173)/AVERAGE(B157:B161)-1</f>
        <v>0.25591123420618933</v>
      </c>
      <c r="K173" s="2">
        <f t="shared" si="315"/>
        <v>-1.9489295894929981E-3</v>
      </c>
      <c r="L173" s="2">
        <f t="shared" ref="L173" si="332">+F173/F168-1</f>
        <v>-2.0190845230690924E-3</v>
      </c>
      <c r="O173" s="7"/>
      <c r="R173" s="7"/>
      <c r="S173" s="7"/>
      <c r="T173" s="7"/>
    </row>
    <row r="174" spans="1:20" x14ac:dyDescent="0.2">
      <c r="A174" s="3">
        <v>39600</v>
      </c>
      <c r="B174" s="4">
        <v>47478</v>
      </c>
      <c r="C174" s="5">
        <v>45942.401310522902</v>
      </c>
      <c r="D174" s="4">
        <v>51185.583935746501</v>
      </c>
      <c r="E174" s="5">
        <f t="shared" si="241"/>
        <v>233.17058397416744</v>
      </c>
      <c r="F174" s="5">
        <f t="shared" si="242"/>
        <v>226.14869229925247</v>
      </c>
      <c r="G174" s="5">
        <f t="shared" si="242"/>
        <v>255.87786217384004</v>
      </c>
      <c r="H174" s="1" t="s">
        <v>5</v>
      </c>
      <c r="I174" s="2">
        <f t="shared" si="313"/>
        <v>4.8565560193467139E-2</v>
      </c>
      <c r="J174" s="2">
        <f t="shared" ref="J174" si="333">+AVERAGE(B169:B174)/AVERAGE(B157:B162)-1</f>
        <v>0.21324267944062436</v>
      </c>
      <c r="K174" s="2">
        <f t="shared" si="315"/>
        <v>-9.0462691643827586E-2</v>
      </c>
      <c r="L174" s="2">
        <f t="shared" ref="L174" si="334">+F174/F168-1</f>
        <v>-9.2299124346283401E-2</v>
      </c>
      <c r="O174" s="7"/>
      <c r="R174" s="7"/>
      <c r="S174" s="7"/>
      <c r="T174" s="7"/>
    </row>
    <row r="175" spans="1:20" x14ac:dyDescent="0.2">
      <c r="A175" s="3">
        <v>39630</v>
      </c>
      <c r="B175" s="4">
        <v>57986</v>
      </c>
      <c r="C175" s="5">
        <v>55154.2325168596</v>
      </c>
      <c r="D175" s="4">
        <v>51233.508448765002</v>
      </c>
      <c r="E175" s="5">
        <f t="shared" si="241"/>
        <v>284.77672779658099</v>
      </c>
      <c r="F175" s="5">
        <f t="shared" si="242"/>
        <v>271.49337437004647</v>
      </c>
      <c r="G175" s="5">
        <f t="shared" si="242"/>
        <v>256.11743787062784</v>
      </c>
      <c r="H175" s="1" t="s">
        <v>5</v>
      </c>
      <c r="I175" s="2">
        <f t="shared" si="313"/>
        <v>0.40971968978678897</v>
      </c>
      <c r="J175" s="2">
        <f t="shared" ref="J175" si="335">+AVERAGE(B169:B175)/AVERAGE(B157:B163)-1</f>
        <v>0.24418756030693367</v>
      </c>
      <c r="K175" s="2">
        <f t="shared" si="315"/>
        <v>0.20050826564493862</v>
      </c>
      <c r="L175" s="2">
        <f t="shared" ref="L175" si="336">+F175/F168-1</f>
        <v>8.9702403955435273E-2</v>
      </c>
      <c r="O175" s="7"/>
      <c r="R175" s="7"/>
      <c r="S175" s="7"/>
      <c r="T175" s="7"/>
    </row>
    <row r="176" spans="1:20" x14ac:dyDescent="0.2">
      <c r="A176" s="3">
        <v>39661</v>
      </c>
      <c r="B176" s="4">
        <v>54078</v>
      </c>
      <c r="C176" s="5">
        <v>49866.952214057303</v>
      </c>
      <c r="D176" s="4">
        <v>50117.608394052302</v>
      </c>
      <c r="E176" s="5">
        <f t="shared" si="241"/>
        <v>265.58403555657412</v>
      </c>
      <c r="F176" s="5">
        <f t="shared" si="242"/>
        <v>245.4670568030441</v>
      </c>
      <c r="G176" s="5">
        <f t="shared" si="242"/>
        <v>250.53902890379868</v>
      </c>
      <c r="H176" s="1" t="s">
        <v>4</v>
      </c>
      <c r="I176" s="2">
        <f t="shared" si="313"/>
        <v>8.1386978083506589E-2</v>
      </c>
      <c r="J176" s="2">
        <f t="shared" ref="J176" si="337">+AVERAGE(B169:B176)/AVERAGE(B157:B164)-1</f>
        <v>0.21802411528029508</v>
      </c>
      <c r="K176" s="2">
        <f t="shared" si="315"/>
        <v>-9.5863545942481809E-2</v>
      </c>
      <c r="L176" s="2">
        <f t="shared" ref="L176" si="338">+F176/F168-1</f>
        <v>-1.4760332509779484E-2</v>
      </c>
      <c r="O176" s="7"/>
      <c r="R176" s="7"/>
      <c r="S176" s="7"/>
      <c r="T176" s="7"/>
    </row>
    <row r="177" spans="1:20" x14ac:dyDescent="0.2">
      <c r="A177" s="3">
        <v>39692</v>
      </c>
      <c r="B177" s="4">
        <v>58518</v>
      </c>
      <c r="C177" s="5">
        <v>50486.126568428102</v>
      </c>
      <c r="D177" s="4">
        <v>47519.490308303401</v>
      </c>
      <c r="E177" s="5">
        <f t="shared" si="241"/>
        <v>287.38944843928408</v>
      </c>
      <c r="F177" s="5">
        <f t="shared" si="242"/>
        <v>248.51490512076185</v>
      </c>
      <c r="G177" s="5">
        <f t="shared" si="242"/>
        <v>237.55097933321753</v>
      </c>
      <c r="H177" s="1" t="s">
        <v>6</v>
      </c>
      <c r="I177" s="2">
        <f t="shared" si="313"/>
        <v>0.23892194016894952</v>
      </c>
      <c r="J177" s="2">
        <f t="shared" ref="J177" si="339">+AVERAGE(B169:B177)/AVERAGE(B157:B165)-1</f>
        <v>0.22077816994740584</v>
      </c>
      <c r="K177" s="2">
        <f t="shared" si="315"/>
        <v>1.2416526915720816E-2</v>
      </c>
      <c r="L177" s="2">
        <f t="shared" ref="L177" si="340">+F177/F168-1</f>
        <v>-2.5270776599513045E-3</v>
      </c>
      <c r="O177" s="7"/>
      <c r="R177" s="7"/>
      <c r="S177" s="7"/>
      <c r="T177" s="7"/>
    </row>
    <row r="178" spans="1:20" x14ac:dyDescent="0.2">
      <c r="A178" s="3">
        <v>39722</v>
      </c>
      <c r="B178" s="4">
        <v>53854</v>
      </c>
      <c r="C178" s="5">
        <v>46951.234543487502</v>
      </c>
      <c r="D178" s="4">
        <v>43911.329695149798</v>
      </c>
      <c r="E178" s="5">
        <f t="shared" si="241"/>
        <v>264.48394265438338</v>
      </c>
      <c r="F178" s="5">
        <f t="shared" si="242"/>
        <v>231.11461288405039</v>
      </c>
      <c r="G178" s="5">
        <f t="shared" si="242"/>
        <v>219.5137049078138</v>
      </c>
      <c r="H178" s="1" t="s">
        <v>7</v>
      </c>
      <c r="I178" s="2">
        <f t="shared" si="313"/>
        <v>3.8429648483446099E-2</v>
      </c>
      <c r="J178" s="2">
        <f t="shared" ref="J178" si="341">+AVERAGE(B169:B178)/AVERAGE(B157:B166)-1</f>
        <v>0.19772781561231012</v>
      </c>
      <c r="K178" s="2">
        <f t="shared" si="315"/>
        <v>-7.0017097076153556E-2</v>
      </c>
      <c r="L178" s="2">
        <f t="shared" ref="L178" si="342">+F178/F168-1</f>
        <v>-7.2367236094269094E-2</v>
      </c>
      <c r="O178" s="7"/>
      <c r="R178" s="7"/>
      <c r="S178" s="7"/>
      <c r="T178" s="7"/>
    </row>
    <row r="179" spans="1:20" x14ac:dyDescent="0.2">
      <c r="A179" s="3">
        <v>39753</v>
      </c>
      <c r="B179" s="4">
        <v>39323</v>
      </c>
      <c r="C179" s="5">
        <v>35503.155229219497</v>
      </c>
      <c r="D179" s="4">
        <v>40073.7408230687</v>
      </c>
      <c r="E179" s="5">
        <f t="shared" si="241"/>
        <v>193.12032675378464</v>
      </c>
      <c r="F179" s="5">
        <f t="shared" si="242"/>
        <v>174.76213472860749</v>
      </c>
      <c r="G179" s="5">
        <f t="shared" si="242"/>
        <v>200.32951355966227</v>
      </c>
      <c r="H179" s="1" t="s">
        <v>8</v>
      </c>
      <c r="I179" s="2">
        <f t="shared" si="313"/>
        <v>-0.29362841078517665</v>
      </c>
      <c r="J179" s="2">
        <f t="shared" ref="J179" si="343">+AVERAGE(B169:B179)/AVERAGE(B157:B167)-1</f>
        <v>0.13902153733889921</v>
      </c>
      <c r="K179" s="2">
        <f t="shared" si="315"/>
        <v>-0.24382914369726505</v>
      </c>
      <c r="L179" s="2">
        <f t="shared" ref="L179" si="344">+F179/F168-1</f>
        <v>-0.2985511385829307</v>
      </c>
      <c r="O179" s="7"/>
      <c r="R179" s="7"/>
      <c r="S179" s="7"/>
      <c r="T179" s="7"/>
    </row>
    <row r="180" spans="1:20" x14ac:dyDescent="0.2">
      <c r="A180" s="3">
        <v>39783</v>
      </c>
      <c r="B180" s="4">
        <v>25962</v>
      </c>
      <c r="C180" s="5">
        <v>26849.5848447879</v>
      </c>
      <c r="D180" s="4">
        <v>36918.8671589195</v>
      </c>
      <c r="E180" s="5">
        <f t="shared" si="241"/>
        <v>127.50273181552161</v>
      </c>
      <c r="F180" s="5">
        <f t="shared" si="242"/>
        <v>132.16545779542977</v>
      </c>
      <c r="G180" s="5">
        <f t="shared" si="242"/>
        <v>184.5582305823223</v>
      </c>
      <c r="H180" s="1" t="s">
        <v>9</v>
      </c>
      <c r="I180" s="2">
        <f t="shared" si="313"/>
        <v>-0.45108569253863884</v>
      </c>
      <c r="J180" s="2">
        <f t="shared" ref="J180" si="345">+AVERAGE(B169:B180)/AVERAGE(B157:B168)-1</f>
        <v>8.4640084795959636E-2</v>
      </c>
      <c r="K180" s="2">
        <f t="shared" si="315"/>
        <v>-0.24374088242471503</v>
      </c>
      <c r="L180" s="2">
        <f t="shared" ref="L180" si="346">+F180/F168-1</f>
        <v>-0.46952290304053879</v>
      </c>
      <c r="O180" s="7"/>
      <c r="R180" s="7"/>
      <c r="S180" s="7"/>
      <c r="T180" s="7"/>
    </row>
    <row r="181" spans="1:20" x14ac:dyDescent="0.2">
      <c r="A181" s="3">
        <v>39814</v>
      </c>
      <c r="B181" s="4">
        <v>18714</v>
      </c>
      <c r="C181" s="5">
        <v>37125.112203779303</v>
      </c>
      <c r="D181" s="4">
        <v>35149.585831128097</v>
      </c>
      <c r="E181" s="5">
        <f t="shared" si="241"/>
        <v>91.906868623205895</v>
      </c>
      <c r="F181" s="5">
        <f t="shared" si="242"/>
        <v>182.74611985561776</v>
      </c>
      <c r="G181" s="5">
        <f t="shared" si="242"/>
        <v>175.71355423150331</v>
      </c>
      <c r="H181" s="1" t="s">
        <v>23</v>
      </c>
      <c r="I181" s="2">
        <f t="shared" si="313"/>
        <v>-0.53128287331563395</v>
      </c>
      <c r="J181" s="2">
        <f t="shared" ref="J181" si="347">+AVERAGE(B181:B181)/AVERAGE(B169:B169)-1</f>
        <v>-0.53128287331563384</v>
      </c>
      <c r="K181" s="2">
        <f t="shared" si="315"/>
        <v>0.38270712260141737</v>
      </c>
      <c r="L181" s="2">
        <f t="shared" ref="L181" si="348">+F181/F180-1</f>
        <v>0.38270712260141737</v>
      </c>
      <c r="O181" s="7"/>
      <c r="R181" s="7"/>
      <c r="S181" s="7"/>
      <c r="T181" s="7"/>
    </row>
    <row r="182" spans="1:20" x14ac:dyDescent="0.2">
      <c r="A182" s="3">
        <v>39845</v>
      </c>
      <c r="B182" s="4">
        <v>13985</v>
      </c>
      <c r="C182" s="5">
        <v>22666.364942668799</v>
      </c>
      <c r="D182" s="4">
        <v>35059.398865851697</v>
      </c>
      <c r="E182" s="5">
        <f t="shared" si="241"/>
        <v>68.682139451508732</v>
      </c>
      <c r="F182" s="5">
        <f t="shared" si="242"/>
        <v>111.57381078790259</v>
      </c>
      <c r="G182" s="5">
        <f t="shared" si="242"/>
        <v>175.26270760445612</v>
      </c>
      <c r="H182" s="1" t="s">
        <v>2</v>
      </c>
      <c r="I182" s="2">
        <f t="shared" si="313"/>
        <v>-0.54182092192772657</v>
      </c>
      <c r="J182" s="2">
        <f t="shared" ref="J182" si="349">+AVERAGE(B181:B182)/AVERAGE(B169:B170)-1</f>
        <v>-0.53584862808556544</v>
      </c>
      <c r="K182" s="2">
        <f t="shared" si="315"/>
        <v>-0.38946002861207829</v>
      </c>
      <c r="L182" s="2">
        <f t="shared" ref="L182" si="350">+F182/F180-1</f>
        <v>-0.15580203292905503</v>
      </c>
      <c r="O182" s="7"/>
      <c r="R182" s="7"/>
      <c r="S182" s="7"/>
      <c r="T182" s="7"/>
    </row>
    <row r="183" spans="1:20" x14ac:dyDescent="0.2">
      <c r="A183" s="3">
        <v>39873</v>
      </c>
      <c r="B183" s="4">
        <v>36885</v>
      </c>
      <c r="C183" s="5">
        <v>38095.498652472299</v>
      </c>
      <c r="D183" s="4">
        <v>36138.6769092908</v>
      </c>
      <c r="E183" s="5">
        <f t="shared" si="241"/>
        <v>181.14699418440469</v>
      </c>
      <c r="F183" s="5">
        <f t="shared" si="242"/>
        <v>187.52278846972808</v>
      </c>
      <c r="G183" s="5">
        <f t="shared" si="242"/>
        <v>180.65804232981611</v>
      </c>
      <c r="H183" s="1" t="s">
        <v>3</v>
      </c>
      <c r="I183" s="2">
        <f t="shared" si="313"/>
        <v>-0.20151967788024416</v>
      </c>
      <c r="J183" s="2">
        <f t="shared" ref="J183" si="351">+AVERAGE(B181:B183)/AVERAGE(B169:B171)-1</f>
        <v>-0.40344469878175282</v>
      </c>
      <c r="K183" s="2">
        <f t="shared" si="315"/>
        <v>0.6807061365520759</v>
      </c>
      <c r="L183" s="2">
        <f t="shared" ref="L183" si="352">+F183/F180-1</f>
        <v>0.41884870372092453</v>
      </c>
      <c r="O183" s="7"/>
      <c r="R183" s="7"/>
      <c r="S183" s="7"/>
      <c r="T183" s="7"/>
    </row>
    <row r="184" spans="1:20" x14ac:dyDescent="0.2">
      <c r="A184" s="3">
        <v>39904</v>
      </c>
      <c r="B184" s="4">
        <v>36674</v>
      </c>
      <c r="C184" s="5">
        <v>36960.380828133297</v>
      </c>
      <c r="D184" s="4">
        <v>37741.024915114896</v>
      </c>
      <c r="E184" s="5">
        <f t="shared" si="241"/>
        <v>180.11074595957322</v>
      </c>
      <c r="F184" s="5">
        <f t="shared" si="242"/>
        <v>181.9352396203596</v>
      </c>
      <c r="G184" s="5">
        <f t="shared" si="242"/>
        <v>188.6682153250772</v>
      </c>
      <c r="H184" s="1" t="s">
        <v>4</v>
      </c>
      <c r="I184" s="2">
        <f t="shared" si="313"/>
        <v>-0.27768695960451406</v>
      </c>
      <c r="J184" s="2">
        <f t="shared" ref="J184" si="353">+AVERAGE(B181:B184)/AVERAGE(B169:B172)-1</f>
        <v>-0.365305586084962</v>
      </c>
      <c r="K184" s="2">
        <f t="shared" si="315"/>
        <v>-2.9796639090989729E-2</v>
      </c>
      <c r="L184" s="2">
        <f t="shared" ref="L184" si="354">+F184/F180-1</f>
        <v>0.37657178097143351</v>
      </c>
      <c r="O184" s="7"/>
      <c r="R184" s="7"/>
      <c r="S184" s="7"/>
      <c r="T184" s="7"/>
    </row>
    <row r="185" spans="1:20" x14ac:dyDescent="0.2">
      <c r="A185" s="3">
        <v>39934</v>
      </c>
      <c r="B185" s="4">
        <v>41697</v>
      </c>
      <c r="C185" s="5">
        <v>41045.180362297702</v>
      </c>
      <c r="D185" s="4">
        <v>39259.467018841096</v>
      </c>
      <c r="E185" s="5">
        <f t="shared" si="241"/>
        <v>204.77934706539577</v>
      </c>
      <c r="F185" s="5">
        <f t="shared" si="242"/>
        <v>202.0424183181411</v>
      </c>
      <c r="G185" s="5">
        <f t="shared" si="242"/>
        <v>196.25894086654878</v>
      </c>
      <c r="H185" s="1" t="s">
        <v>3</v>
      </c>
      <c r="I185" s="2">
        <f t="shared" si="313"/>
        <v>-0.19901262078106685</v>
      </c>
      <c r="J185" s="2">
        <f t="shared" ref="J185" si="355">+AVERAGE(B181:B185)/AVERAGE(B169:B173)-1</f>
        <v>-0.32586240676529687</v>
      </c>
      <c r="K185" s="2">
        <f t="shared" si="315"/>
        <v>0.11051832915788462</v>
      </c>
      <c r="L185" s="2">
        <f t="shared" ref="L185" si="356">+F185/F180-1</f>
        <v>0.5287081941702898</v>
      </c>
      <c r="O185" s="7"/>
      <c r="R185" s="7"/>
      <c r="S185" s="7"/>
      <c r="T185" s="7"/>
    </row>
    <row r="186" spans="1:20" x14ac:dyDescent="0.2">
      <c r="A186" s="3">
        <v>39965</v>
      </c>
      <c r="B186" s="4">
        <v>43372</v>
      </c>
      <c r="C186" s="5">
        <v>39684.006114346499</v>
      </c>
      <c r="D186" s="4">
        <v>40541.550623236602</v>
      </c>
      <c r="E186" s="5">
        <f t="shared" si="241"/>
        <v>213.00548818668838</v>
      </c>
      <c r="F186" s="5">
        <f t="shared" si="242"/>
        <v>195.34212039324629</v>
      </c>
      <c r="G186" s="5">
        <f t="shared" si="242"/>
        <v>202.66810506076146</v>
      </c>
      <c r="H186" s="1" t="s">
        <v>5</v>
      </c>
      <c r="I186" s="2">
        <f t="shared" si="313"/>
        <v>-8.6482160158389054E-2</v>
      </c>
      <c r="J186" s="2">
        <f t="shared" ref="J186" si="357">+AVERAGE(B181:B186)/AVERAGE(B169:B174)-1</f>
        <v>-0.28328794422946535</v>
      </c>
      <c r="K186" s="2">
        <f t="shared" si="315"/>
        <v>-3.316282778967905E-2</v>
      </c>
      <c r="L186" s="2">
        <f t="shared" ref="L186" si="358">+F186/F180-1</f>
        <v>0.47801190758634915</v>
      </c>
      <c r="O186" s="7"/>
      <c r="R186" s="7"/>
      <c r="S186" s="7"/>
      <c r="T186" s="7"/>
    </row>
    <row r="187" spans="1:20" x14ac:dyDescent="0.2">
      <c r="A187" s="3">
        <v>39995</v>
      </c>
      <c r="B187" s="4">
        <v>45916</v>
      </c>
      <c r="C187" s="5">
        <v>43450.119366890503</v>
      </c>
      <c r="D187" s="4">
        <v>41969.911658475503</v>
      </c>
      <c r="E187" s="5">
        <f t="shared" si="241"/>
        <v>225.49940043299785</v>
      </c>
      <c r="F187" s="5">
        <f t="shared" si="242"/>
        <v>213.88058514081342</v>
      </c>
      <c r="G187" s="5">
        <f t="shared" si="242"/>
        <v>209.80851335556841</v>
      </c>
      <c r="H187" s="1" t="s">
        <v>5</v>
      </c>
      <c r="I187" s="2">
        <f t="shared" si="313"/>
        <v>-0.20815369227054803</v>
      </c>
      <c r="J187" s="2">
        <f t="shared" ref="J187" si="359">+AVERAGE(B181:B187)/AVERAGE(B169:B175)-1</f>
        <v>-0.26988000750914787</v>
      </c>
      <c r="K187" s="2">
        <f t="shared" si="315"/>
        <v>9.4902546927652098E-2</v>
      </c>
      <c r="L187" s="2">
        <f t="shared" ref="L187" si="360">+F187/F180-1</f>
        <v>0.61827900200569141</v>
      </c>
      <c r="O187" s="7"/>
      <c r="R187" s="7"/>
      <c r="S187" s="7"/>
      <c r="T187" s="7"/>
    </row>
    <row r="188" spans="1:20" x14ac:dyDescent="0.2">
      <c r="A188" s="3">
        <v>40026</v>
      </c>
      <c r="B188" s="4">
        <v>46670</v>
      </c>
      <c r="C188" s="5">
        <v>41242.4833607029</v>
      </c>
      <c r="D188" s="4">
        <v>43733.793634804002</v>
      </c>
      <c r="E188" s="5">
        <f t="shared" si="241"/>
        <v>229.20239171983644</v>
      </c>
      <c r="F188" s="5">
        <f t="shared" si="242"/>
        <v>203.0136303968149</v>
      </c>
      <c r="G188" s="5">
        <f t="shared" si="242"/>
        <v>218.62619822942807</v>
      </c>
      <c r="H188" s="1" t="s">
        <v>4</v>
      </c>
      <c r="I188" s="2">
        <f t="shared" si="313"/>
        <v>-0.13698731461962343</v>
      </c>
      <c r="J188" s="2">
        <f t="shared" ref="J188" si="361">+AVERAGE(B181:B188)/AVERAGE(B169:B176)-1</f>
        <v>-0.25091882907008956</v>
      </c>
      <c r="K188" s="2">
        <f t="shared" si="315"/>
        <v>-5.0808514184884968E-2</v>
      </c>
      <c r="L188" s="2">
        <f t="shared" ref="L188" si="362">+F188/F180-1</f>
        <v>0.53605665037718375</v>
      </c>
      <c r="O188" s="7"/>
      <c r="R188" s="7"/>
      <c r="S188" s="7"/>
      <c r="T188" s="7"/>
    </row>
    <row r="189" spans="1:20" x14ac:dyDescent="0.2">
      <c r="A189" s="3">
        <v>40057</v>
      </c>
      <c r="B189" s="4">
        <v>53304</v>
      </c>
      <c r="C189" s="5">
        <v>44831.3100880696</v>
      </c>
      <c r="D189" s="4">
        <v>45808.584945478702</v>
      </c>
      <c r="E189" s="5">
        <f t="shared" si="241"/>
        <v>261.78282168918281</v>
      </c>
      <c r="F189" s="5">
        <f t="shared" si="242"/>
        <v>220.67941294477001</v>
      </c>
      <c r="G189" s="5">
        <f t="shared" si="242"/>
        <v>228.9981257178149</v>
      </c>
      <c r="H189" s="1" t="s">
        <v>6</v>
      </c>
      <c r="I189" s="2">
        <f t="shared" si="313"/>
        <v>-8.9100789500666355E-2</v>
      </c>
      <c r="J189" s="2">
        <f t="shared" ref="J189" si="363">+AVERAGE(B181:B189)/AVERAGE(B169:B177)-1</f>
        <v>-0.22927642029286943</v>
      </c>
      <c r="K189" s="2">
        <f t="shared" si="315"/>
        <v>8.70177165613224E-2</v>
      </c>
      <c r="L189" s="2">
        <f t="shared" ref="L189" si="364">+F189/F180-1</f>
        <v>0.66972079260183981</v>
      </c>
      <c r="O189" s="7"/>
      <c r="R189" s="7"/>
      <c r="S189" s="7"/>
      <c r="T189" s="7"/>
    </row>
    <row r="190" spans="1:20" x14ac:dyDescent="0.2">
      <c r="A190" s="3">
        <v>40087</v>
      </c>
      <c r="B190" s="4">
        <v>54913</v>
      </c>
      <c r="C190" s="5">
        <v>49196.509532347198</v>
      </c>
      <c r="D190" s="4">
        <v>47823.619508262898</v>
      </c>
      <c r="E190" s="5">
        <f t="shared" si="241"/>
        <v>269.68482829465137</v>
      </c>
      <c r="F190" s="5">
        <f t="shared" si="242"/>
        <v>242.16684324421087</v>
      </c>
      <c r="G190" s="5">
        <f t="shared" si="242"/>
        <v>239.07132790651823</v>
      </c>
      <c r="H190" s="1" t="s">
        <v>7</v>
      </c>
      <c r="I190" s="2">
        <f t="shared" si="313"/>
        <v>1.9664277490994087E-2</v>
      </c>
      <c r="J190" s="2">
        <f t="shared" ref="J190" si="365">+AVERAGE(B181:B190)/AVERAGE(B169:B178)-1</f>
        <v>-0.20199354073266074</v>
      </c>
      <c r="K190" s="2">
        <f t="shared" si="315"/>
        <v>9.7369437469088105E-2</v>
      </c>
      <c r="L190" s="2">
        <f t="shared" ref="L190" si="366">+F190/F180-1</f>
        <v>0.83230056690792087</v>
      </c>
      <c r="O190" s="7"/>
      <c r="R190" s="7"/>
      <c r="S190" s="7"/>
      <c r="T190" s="7"/>
    </row>
    <row r="191" spans="1:20" x14ac:dyDescent="0.2">
      <c r="A191" s="3">
        <v>40118</v>
      </c>
      <c r="B191" s="4">
        <v>54817</v>
      </c>
      <c r="C191" s="5">
        <v>49481.486636896101</v>
      </c>
      <c r="D191" s="4">
        <v>49389.356333673299</v>
      </c>
      <c r="E191" s="5">
        <f t="shared" si="241"/>
        <v>269.21335990799815</v>
      </c>
      <c r="F191" s="5">
        <f t="shared" si="242"/>
        <v>243.56962580869558</v>
      </c>
      <c r="G191" s="5">
        <f t="shared" si="242"/>
        <v>246.89848080401745</v>
      </c>
      <c r="H191" s="1" t="s">
        <v>8</v>
      </c>
      <c r="I191" s="2">
        <f t="shared" si="313"/>
        <v>0.39401876764234656</v>
      </c>
      <c r="J191" s="2">
        <f t="shared" ref="J191" si="367">+AVERAGE(B181:B191)/AVERAGE(B169:B179)-1</f>
        <v>-0.15783196095796204</v>
      </c>
      <c r="K191" s="2">
        <f t="shared" si="315"/>
        <v>5.7926285270608613E-3</v>
      </c>
      <c r="L191" s="2">
        <f t="shared" ref="L191" si="368">+F191/F180-1</f>
        <v>0.84291440344194157</v>
      </c>
      <c r="O191" s="7"/>
      <c r="R191" s="7"/>
      <c r="S191" s="7"/>
      <c r="T191" s="7"/>
    </row>
    <row r="192" spans="1:20" x14ac:dyDescent="0.2">
      <c r="A192" s="3">
        <v>40148</v>
      </c>
      <c r="B192" s="4">
        <v>51645</v>
      </c>
      <c r="C192" s="5">
        <v>53632.493010406797</v>
      </c>
      <c r="D192" s="4">
        <v>50400.485554333703</v>
      </c>
      <c r="E192" s="5">
        <f t="shared" si="241"/>
        <v>253.63525863233241</v>
      </c>
      <c r="F192" s="5">
        <f t="shared" si="242"/>
        <v>264.00270366961036</v>
      </c>
      <c r="G192" s="5">
        <f t="shared" si="242"/>
        <v>251.9531380623749</v>
      </c>
      <c r="H192" s="1" t="s">
        <v>9</v>
      </c>
      <c r="I192" s="2">
        <f t="shared" si="313"/>
        <v>0.98925352438178882</v>
      </c>
      <c r="J192" s="2">
        <f t="shared" ref="J192" si="369">+AVERAGE(B181:B192)/AVERAGE(B169:B180)-1</f>
        <v>-0.10433432973097267</v>
      </c>
      <c r="K192" s="2">
        <f t="shared" si="315"/>
        <v>8.3890090125454897E-2</v>
      </c>
      <c r="L192" s="2">
        <f t="shared" ref="L192" si="370">+F192/F180-1</f>
        <v>0.99751665884018492</v>
      </c>
      <c r="O192" s="7"/>
      <c r="R192" s="7"/>
      <c r="S192" s="7"/>
      <c r="T192" s="7"/>
    </row>
    <row r="193" spans="1:20" x14ac:dyDescent="0.2">
      <c r="A193" s="3">
        <v>40179</v>
      </c>
      <c r="B193" s="4">
        <v>31171</v>
      </c>
      <c r="C193" s="5">
        <v>52177.008498281102</v>
      </c>
      <c r="D193" s="4">
        <v>51082.053420429504</v>
      </c>
      <c r="E193" s="5">
        <f t="shared" si="241"/>
        <v>153.08480292048472</v>
      </c>
      <c r="F193" s="5">
        <f t="shared" si="242"/>
        <v>256.83816917228859</v>
      </c>
      <c r="G193" s="5">
        <f t="shared" si="242"/>
        <v>255.36031084606145</v>
      </c>
      <c r="H193" s="1" t="s">
        <v>24</v>
      </c>
      <c r="I193" s="2">
        <f t="shared" si="313"/>
        <v>0.66565138399059531</v>
      </c>
      <c r="J193" s="2">
        <f t="shared" ref="J193" si="371">+AVERAGE(B193:B193)/AVERAGE(B181:B181)-1</f>
        <v>0.66565138399059531</v>
      </c>
      <c r="K193" s="2">
        <f t="shared" si="315"/>
        <v>-2.7138110321354603E-2</v>
      </c>
      <c r="L193" s="2">
        <f t="shared" ref="L193" si="372">+F193/F192-1</f>
        <v>-2.7138110321354603E-2</v>
      </c>
      <c r="O193" s="7"/>
      <c r="R193" s="7"/>
      <c r="S193" s="7"/>
      <c r="T193" s="7"/>
    </row>
    <row r="194" spans="1:20" x14ac:dyDescent="0.2">
      <c r="A194" s="3">
        <v>40210</v>
      </c>
      <c r="B194" s="4">
        <v>38763</v>
      </c>
      <c r="C194" s="5">
        <v>47846.591119550001</v>
      </c>
      <c r="D194" s="4">
        <v>51664.032012163298</v>
      </c>
      <c r="E194" s="5">
        <f t="shared" ref="E194:E257" si="373">+B194/AVERAGE(B$121:B$132)*100</f>
        <v>190.37009449830768</v>
      </c>
      <c r="F194" s="5">
        <f t="shared" ref="F194:G257" si="374">+C194/AVERAGE(C$121:C$132)*100</f>
        <v>235.52195148721765</v>
      </c>
      <c r="G194" s="5">
        <f t="shared" si="374"/>
        <v>258.26963465236446</v>
      </c>
      <c r="H194" s="1" t="s">
        <v>2</v>
      </c>
      <c r="I194" s="2">
        <f t="shared" si="313"/>
        <v>1.7717554522702894</v>
      </c>
      <c r="J194" s="2">
        <f t="shared" ref="J194" si="375">+AVERAGE(B193:B194)/AVERAGE(B181:B182)-1</f>
        <v>1.1387198385271722</v>
      </c>
      <c r="K194" s="2">
        <f t="shared" si="315"/>
        <v>-8.2994742384929099E-2</v>
      </c>
      <c r="L194" s="2">
        <f t="shared" ref="L194" si="376">+F194/F192-1</f>
        <v>-0.10788053223134908</v>
      </c>
      <c r="O194" s="7"/>
      <c r="R194" s="7"/>
      <c r="S194" s="7"/>
      <c r="T194" s="7"/>
    </row>
    <row r="195" spans="1:20" x14ac:dyDescent="0.2">
      <c r="A195" s="3">
        <v>40238</v>
      </c>
      <c r="B195" s="4">
        <v>50739</v>
      </c>
      <c r="C195" s="5">
        <v>49800.049537067098</v>
      </c>
      <c r="D195" s="4">
        <v>52432.061235642002</v>
      </c>
      <c r="E195" s="5">
        <f t="shared" si="373"/>
        <v>249.18577573329293</v>
      </c>
      <c r="F195" s="5">
        <f t="shared" si="374"/>
        <v>245.13773242118623</v>
      </c>
      <c r="G195" s="5">
        <f t="shared" si="374"/>
        <v>262.1090296671299</v>
      </c>
      <c r="H195" s="1" t="s">
        <v>3</v>
      </c>
      <c r="I195" s="2">
        <f t="shared" si="313"/>
        <v>0.37559983733224889</v>
      </c>
      <c r="J195" s="2">
        <f t="shared" ref="J195" si="377">+AVERAGE(B193:B195)/AVERAGE(B181:B183)-1</f>
        <v>0.73420613934237755</v>
      </c>
      <c r="K195" s="2">
        <f t="shared" si="315"/>
        <v>4.0827535918622981E-2</v>
      </c>
      <c r="L195" s="2">
        <f t="shared" ref="L195" si="378">+F195/F192-1</f>
        <v>-7.1457492617321594E-2</v>
      </c>
      <c r="O195" s="7"/>
      <c r="R195" s="7"/>
      <c r="S195" s="7"/>
      <c r="T195" s="7"/>
    </row>
    <row r="196" spans="1:20" x14ac:dyDescent="0.2">
      <c r="A196" s="3">
        <v>40269</v>
      </c>
      <c r="B196" s="4">
        <v>55156</v>
      </c>
      <c r="C196" s="5">
        <v>55605.559642491498</v>
      </c>
      <c r="D196" s="4">
        <v>53788.119836064398</v>
      </c>
      <c r="E196" s="5">
        <f t="shared" si="373"/>
        <v>270.87823264836726</v>
      </c>
      <c r="F196" s="5">
        <f t="shared" si="374"/>
        <v>273.7150048540729</v>
      </c>
      <c r="G196" s="5">
        <f t="shared" si="374"/>
        <v>268.88799649681584</v>
      </c>
      <c r="H196" s="1" t="s">
        <v>4</v>
      </c>
      <c r="I196" s="2">
        <f t="shared" si="313"/>
        <v>0.50395375470360482</v>
      </c>
      <c r="J196" s="2">
        <f t="shared" ref="J196" si="379">+AVERAGE(B193:B196)/AVERAGE(B181:B184)-1</f>
        <v>0.654736584539517</v>
      </c>
      <c r="K196" s="2">
        <f t="shared" si="315"/>
        <v>0.11657639218015725</v>
      </c>
      <c r="L196" s="2">
        <f t="shared" ref="L196" si="380">+F196/F192-1</f>
        <v>3.6788642879268085E-2</v>
      </c>
      <c r="O196" s="7"/>
      <c r="R196" s="7"/>
      <c r="S196" s="7"/>
      <c r="T196" s="7"/>
    </row>
    <row r="197" spans="1:20" x14ac:dyDescent="0.2">
      <c r="A197" s="3">
        <v>40299</v>
      </c>
      <c r="B197" s="4">
        <v>58115</v>
      </c>
      <c r="C197" s="5">
        <v>56864.860591375502</v>
      </c>
      <c r="D197" s="4">
        <v>55490.066105545498</v>
      </c>
      <c r="E197" s="5">
        <f t="shared" si="373"/>
        <v>285.41026344114624</v>
      </c>
      <c r="F197" s="5">
        <f t="shared" si="374"/>
        <v>279.91383762462067</v>
      </c>
      <c r="G197" s="5">
        <f t="shared" si="374"/>
        <v>277.39606340714437</v>
      </c>
      <c r="H197" s="1" t="s">
        <v>3</v>
      </c>
      <c r="I197" s="2">
        <f t="shared" si="313"/>
        <v>0.39374535338273731</v>
      </c>
      <c r="J197" s="2">
        <f t="shared" ref="J197" si="381">+AVERAGE(B193:B197)/AVERAGE(B181:B185)-1</f>
        <v>0.58118346794633524</v>
      </c>
      <c r="K197" s="2">
        <f t="shared" si="315"/>
        <v>2.2647033084110868E-2</v>
      </c>
      <c r="L197" s="2">
        <f t="shared" ref="L197" si="382">+F197/F192-1</f>
        <v>6.0268829575785388E-2</v>
      </c>
      <c r="O197" s="7"/>
      <c r="R197" s="7"/>
      <c r="S197" s="7"/>
      <c r="T197" s="7"/>
    </row>
    <row r="198" spans="1:20" x14ac:dyDescent="0.2">
      <c r="A198" s="3">
        <v>40330</v>
      </c>
      <c r="B198" s="4">
        <v>62993</v>
      </c>
      <c r="C198" s="5">
        <v>58826.211827195897</v>
      </c>
      <c r="D198" s="4">
        <v>57185.078971777701</v>
      </c>
      <c r="E198" s="5">
        <f t="shared" si="373"/>
        <v>309.36675083796138</v>
      </c>
      <c r="F198" s="5">
        <f t="shared" si="374"/>
        <v>289.5684704794059</v>
      </c>
      <c r="G198" s="5">
        <f t="shared" si="374"/>
        <v>285.86947008182631</v>
      </c>
      <c r="H198" s="1" t="s">
        <v>5</v>
      </c>
      <c r="I198" s="2">
        <f t="shared" si="313"/>
        <v>0.45238863783085859</v>
      </c>
      <c r="J198" s="2">
        <f t="shared" ref="J198" si="383">+AVERAGE(B193:B198)/AVERAGE(B181:B186)-1</f>
        <v>0.55198691245877485</v>
      </c>
      <c r="K198" s="2">
        <f t="shared" si="315"/>
        <v>3.4491445427333955E-2</v>
      </c>
      <c r="L198" s="2">
        <f t="shared" ref="L198" si="384">+F198/F192-1</f>
        <v>9.6839034049401862E-2</v>
      </c>
      <c r="O198" s="7"/>
      <c r="R198" s="7"/>
      <c r="S198" s="7"/>
      <c r="T198" s="7"/>
    </row>
    <row r="199" spans="1:20" x14ac:dyDescent="0.2">
      <c r="A199" s="3">
        <v>40360</v>
      </c>
      <c r="B199" s="4">
        <v>55597</v>
      </c>
      <c r="C199" s="5">
        <v>54883.807455357302</v>
      </c>
      <c r="D199" s="4">
        <v>58732.596293627903</v>
      </c>
      <c r="E199" s="5">
        <f t="shared" si="373"/>
        <v>273.04404054955535</v>
      </c>
      <c r="F199" s="5">
        <f t="shared" si="374"/>
        <v>270.16222335749194</v>
      </c>
      <c r="G199" s="5">
        <f t="shared" si="374"/>
        <v>293.60554327948847</v>
      </c>
      <c r="H199" s="1" t="s">
        <v>5</v>
      </c>
      <c r="I199" s="2">
        <f t="shared" si="313"/>
        <v>0.21084153671922667</v>
      </c>
      <c r="J199" s="2">
        <f t="shared" ref="J199" si="385">+AVERAGE(B193:B199)/AVERAGE(B181:B187)-1</f>
        <v>0.48596165113406919</v>
      </c>
      <c r="K199" s="2">
        <f t="shared" si="315"/>
        <v>-6.7017818237549265E-2</v>
      </c>
      <c r="L199" s="2">
        <f t="shared" ref="L199" si="386">+F199/F192-1</f>
        <v>2.333127502962995E-2</v>
      </c>
      <c r="O199" s="7"/>
      <c r="R199" s="7"/>
      <c r="S199" s="7"/>
      <c r="T199" s="7"/>
    </row>
    <row r="200" spans="1:20" x14ac:dyDescent="0.2">
      <c r="A200" s="3">
        <v>40391</v>
      </c>
      <c r="B200" s="4">
        <v>69982</v>
      </c>
      <c r="C200" s="5">
        <v>62626.5571456873</v>
      </c>
      <c r="D200" s="4">
        <v>60141.624438171202</v>
      </c>
      <c r="E200" s="5">
        <f t="shared" si="373"/>
        <v>343.69063161211903</v>
      </c>
      <c r="F200" s="5">
        <f t="shared" si="374"/>
        <v>308.27544050157513</v>
      </c>
      <c r="G200" s="5">
        <f t="shared" si="374"/>
        <v>300.64930602763059</v>
      </c>
      <c r="H200" s="1" t="s">
        <v>4</v>
      </c>
      <c r="I200" s="2">
        <f t="shared" si="313"/>
        <v>0.49950717805871014</v>
      </c>
      <c r="J200" s="2">
        <f t="shared" ref="J200" si="387">+AVERAGE(B193:B200)/AVERAGE(B181:B188)-1</f>
        <v>0.48818828303036499</v>
      </c>
      <c r="K200" s="2">
        <f t="shared" si="315"/>
        <v>0.14107530161109882</v>
      </c>
      <c r="L200" s="2">
        <f t="shared" ref="L200" si="388">+F200/F192-1</f>
        <v>0.16769804330250526</v>
      </c>
      <c r="O200" s="7"/>
      <c r="R200" s="7"/>
      <c r="S200" s="7"/>
      <c r="T200" s="7"/>
    </row>
    <row r="201" spans="1:20" x14ac:dyDescent="0.2">
      <c r="A201" s="3">
        <v>40422</v>
      </c>
      <c r="B201" s="4">
        <v>71091</v>
      </c>
      <c r="C201" s="5">
        <v>62746.1358972991</v>
      </c>
      <c r="D201" s="4">
        <v>61700.035247893597</v>
      </c>
      <c r="E201" s="5">
        <f t="shared" si="373"/>
        <v>349.13707370376886</v>
      </c>
      <c r="F201" s="5">
        <f t="shared" si="374"/>
        <v>308.86405967541862</v>
      </c>
      <c r="G201" s="5">
        <f t="shared" si="374"/>
        <v>308.43983601124745</v>
      </c>
      <c r="H201" s="1" t="s">
        <v>6</v>
      </c>
      <c r="I201" s="2">
        <f t="shared" si="313"/>
        <v>0.33368977937865818</v>
      </c>
      <c r="J201" s="2">
        <f t="shared" ref="J201" si="389">+AVERAGE(B193:B201)/AVERAGE(B181:B189)-1</f>
        <v>0.46376665470602019</v>
      </c>
      <c r="K201" s="2">
        <f t="shared" si="315"/>
        <v>1.9093936671885636E-3</v>
      </c>
      <c r="L201" s="2">
        <f t="shared" ref="L201" si="390">+F201/F192-1</f>
        <v>0.16992763855157555</v>
      </c>
      <c r="O201" s="7"/>
      <c r="R201" s="7"/>
      <c r="S201" s="7"/>
      <c r="T201" s="7"/>
    </row>
    <row r="202" spans="1:20" x14ac:dyDescent="0.2">
      <c r="A202" s="3">
        <v>40452</v>
      </c>
      <c r="B202" s="4">
        <v>64213</v>
      </c>
      <c r="C202" s="5">
        <v>59328.149172613899</v>
      </c>
      <c r="D202" s="4">
        <v>63391.351135424396</v>
      </c>
      <c r="E202" s="5">
        <f t="shared" si="373"/>
        <v>315.35832825167898</v>
      </c>
      <c r="F202" s="5">
        <f t="shared" si="374"/>
        <v>292.03922670991324</v>
      </c>
      <c r="G202" s="5">
        <f t="shared" si="374"/>
        <v>316.8947614079234</v>
      </c>
      <c r="H202" s="1" t="s">
        <v>7</v>
      </c>
      <c r="I202" s="2">
        <f t="shared" si="313"/>
        <v>0.16935880392621061</v>
      </c>
      <c r="J202" s="2">
        <f t="shared" ref="J202" si="391">+AVERAGE(B193:B202)/AVERAGE(B181:B190)-1</f>
        <v>0.42253844388340611</v>
      </c>
      <c r="K202" s="2">
        <f t="shared" si="315"/>
        <v>-5.4473262389888921E-2</v>
      </c>
      <c r="L202" s="2">
        <f t="shared" ref="L202" si="392">+F202/F192-1</f>
        <v>0.10619786331957259</v>
      </c>
      <c r="O202" s="7"/>
      <c r="R202" s="7"/>
      <c r="S202" s="7"/>
      <c r="T202" s="7"/>
    </row>
    <row r="203" spans="1:20" x14ac:dyDescent="0.2">
      <c r="A203" s="3">
        <v>40483</v>
      </c>
      <c r="B203" s="4">
        <v>73504</v>
      </c>
      <c r="C203" s="5">
        <v>66681.299492051898</v>
      </c>
      <c r="D203" s="4">
        <v>64992.706030785797</v>
      </c>
      <c r="E203" s="5">
        <f t="shared" si="373"/>
        <v>360.98762804745786</v>
      </c>
      <c r="F203" s="5">
        <f t="shared" si="374"/>
        <v>328.23466450997989</v>
      </c>
      <c r="G203" s="5">
        <f t="shared" si="374"/>
        <v>324.89996982209431</v>
      </c>
      <c r="H203" s="1" t="s">
        <v>8</v>
      </c>
      <c r="I203" s="2">
        <f t="shared" si="313"/>
        <v>0.34089789663790437</v>
      </c>
      <c r="J203" s="2">
        <f t="shared" ref="J203" si="393">+AVERAGE(B193:B203)/AVERAGE(B181:B191)-1</f>
        <v>0.41252542247738555</v>
      </c>
      <c r="K203" s="2">
        <f t="shared" si="315"/>
        <v>0.12394032886554696</v>
      </c>
      <c r="L203" s="2">
        <f t="shared" ref="L203" si="394">+F203/F192-1</f>
        <v>0.24330039028976569</v>
      </c>
      <c r="O203" s="7"/>
      <c r="R203" s="7"/>
      <c r="S203" s="7"/>
      <c r="T203" s="7"/>
    </row>
    <row r="204" spans="1:20" x14ac:dyDescent="0.2">
      <c r="A204" s="3">
        <v>40513</v>
      </c>
      <c r="B204" s="4">
        <v>64302</v>
      </c>
      <c r="C204" s="5">
        <v>68065.963044230797</v>
      </c>
      <c r="D204" s="4">
        <v>66321.875506298195</v>
      </c>
      <c r="E204" s="5">
        <f t="shared" si="373"/>
        <v>315.7954187351387</v>
      </c>
      <c r="F204" s="5">
        <f t="shared" si="374"/>
        <v>335.05058711452978</v>
      </c>
      <c r="G204" s="5">
        <f t="shared" si="374"/>
        <v>331.54451732374577</v>
      </c>
      <c r="H204" s="1" t="s">
        <v>9</v>
      </c>
      <c r="I204" s="2">
        <f t="shared" si="313"/>
        <v>0.24507696776067389</v>
      </c>
      <c r="J204" s="2">
        <f t="shared" ref="J204" si="395">+AVERAGE(B193:B204)/AVERAGE(B181:B192)-1</f>
        <v>0.39518082921506958</v>
      </c>
      <c r="K204" s="2">
        <f t="shared" si="315"/>
        <v>2.0765395436601164E-2</v>
      </c>
      <c r="L204" s="2">
        <f t="shared" ref="L204" si="396">+F204/F192-1</f>
        <v>0.26911801454061335</v>
      </c>
      <c r="O204" s="7"/>
      <c r="R204" s="7"/>
      <c r="S204" s="7"/>
      <c r="T204" s="7"/>
    </row>
    <row r="205" spans="1:20" x14ac:dyDescent="0.2">
      <c r="A205" s="3">
        <v>40544</v>
      </c>
      <c r="B205" s="4">
        <v>46527</v>
      </c>
      <c r="C205" s="5">
        <v>68522.225555524899</v>
      </c>
      <c r="D205" s="4">
        <v>67579.4832806419</v>
      </c>
      <c r="E205" s="5">
        <f t="shared" si="373"/>
        <v>228.50010026888432</v>
      </c>
      <c r="F205" s="5">
        <f t="shared" si="374"/>
        <v>337.29651173603406</v>
      </c>
      <c r="G205" s="5">
        <f t="shared" si="374"/>
        <v>337.83132630410671</v>
      </c>
      <c r="H205" s="1" t="s">
        <v>25</v>
      </c>
      <c r="I205" s="2">
        <f t="shared" si="313"/>
        <v>0.49263738731513285</v>
      </c>
      <c r="J205" s="2">
        <f t="shared" ref="J205" si="397">+AVERAGE(B205:B205)/AVERAGE(B193:B193)-1</f>
        <v>0.49263738731513262</v>
      </c>
      <c r="K205" s="2">
        <f t="shared" si="315"/>
        <v>6.7032403698983334E-3</v>
      </c>
      <c r="L205" s="2">
        <f t="shared" ref="L205" si="398">+F205/F204-1</f>
        <v>6.7032403698983334E-3</v>
      </c>
      <c r="O205" s="7"/>
      <c r="R205" s="7"/>
      <c r="S205" s="7"/>
      <c r="T205" s="7"/>
    </row>
    <row r="206" spans="1:20" x14ac:dyDescent="0.2">
      <c r="A206" s="3">
        <v>40575</v>
      </c>
      <c r="B206" s="4">
        <v>40271</v>
      </c>
      <c r="C206" s="5">
        <v>48896.347904593502</v>
      </c>
      <c r="D206" s="4">
        <v>68802.841291700301</v>
      </c>
      <c r="E206" s="5">
        <f t="shared" si="373"/>
        <v>197.77607707198484</v>
      </c>
      <c r="F206" s="5">
        <f t="shared" si="374"/>
        <v>240.68931578246358</v>
      </c>
      <c r="G206" s="5">
        <f t="shared" si="374"/>
        <v>343.94691996297382</v>
      </c>
      <c r="H206" s="1" t="s">
        <v>2</v>
      </c>
      <c r="I206" s="2">
        <f t="shared" si="313"/>
        <v>3.8903077677166387E-2</v>
      </c>
      <c r="J206" s="2">
        <f t="shared" ref="J206" si="399">+AVERAGE(B205:B206)/AVERAGE(B193:B194)-1</f>
        <v>0.24114164783939152</v>
      </c>
      <c r="K206" s="2">
        <f t="shared" si="315"/>
        <v>-0.28641623198633792</v>
      </c>
      <c r="L206" s="2">
        <f t="shared" ref="L206" si="400">+F206/F204-1</f>
        <v>-0.28163290846528455</v>
      </c>
      <c r="O206" s="7"/>
      <c r="R206" s="7"/>
      <c r="S206" s="7"/>
      <c r="T206" s="7"/>
    </row>
    <row r="207" spans="1:20" x14ac:dyDescent="0.2">
      <c r="A207" s="3">
        <v>40603</v>
      </c>
      <c r="B207" s="4">
        <v>68555</v>
      </c>
      <c r="C207" s="5">
        <v>66304.091289931195</v>
      </c>
      <c r="D207" s="4">
        <v>70103.409607374095</v>
      </c>
      <c r="E207" s="5">
        <f t="shared" si="373"/>
        <v>336.68245048968049</v>
      </c>
      <c r="F207" s="5">
        <f t="shared" si="374"/>
        <v>326.37787994494215</v>
      </c>
      <c r="G207" s="5">
        <f t="shared" si="374"/>
        <v>350.44848963625122</v>
      </c>
      <c r="H207" s="1" t="s">
        <v>3</v>
      </c>
      <c r="I207" s="2">
        <f t="shared" si="313"/>
        <v>0.35113029425097086</v>
      </c>
      <c r="J207" s="2">
        <f t="shared" ref="J207" si="401">+AVERAGE(B205:B207)/AVERAGE(B193:B195)-1</f>
        <v>0.28738823100444999</v>
      </c>
      <c r="K207" s="2">
        <f t="shared" si="315"/>
        <v>0.35601316113227233</v>
      </c>
      <c r="L207" s="2">
        <f t="shared" ref="L207" si="402">+F207/F204-1</f>
        <v>-2.5884769354614034E-2</v>
      </c>
      <c r="O207" s="7"/>
      <c r="R207" s="7"/>
      <c r="S207" s="7"/>
      <c r="T207" s="7"/>
    </row>
    <row r="208" spans="1:20" x14ac:dyDescent="0.2">
      <c r="A208" s="3">
        <v>40634</v>
      </c>
      <c r="B208" s="4">
        <v>70728</v>
      </c>
      <c r="C208" s="5">
        <v>72152.876938262605</v>
      </c>
      <c r="D208" s="4">
        <v>71317.713375428895</v>
      </c>
      <c r="E208" s="5">
        <f t="shared" si="373"/>
        <v>347.35433386673651</v>
      </c>
      <c r="F208" s="5">
        <f t="shared" si="374"/>
        <v>355.16817362090256</v>
      </c>
      <c r="G208" s="5">
        <f t="shared" si="374"/>
        <v>356.51882093479691</v>
      </c>
      <c r="H208" s="1" t="s">
        <v>4</v>
      </c>
      <c r="I208" s="2">
        <f t="shared" si="313"/>
        <v>0.28232649213140903</v>
      </c>
      <c r="J208" s="2">
        <f t="shared" ref="J208" si="403">+AVERAGE(B205:B208)/AVERAGE(B193:B196)-1</f>
        <v>0.28580040835129594</v>
      </c>
      <c r="K208" s="2">
        <f t="shared" si="315"/>
        <v>8.8211534681263082E-2</v>
      </c>
      <c r="L208" s="2">
        <f t="shared" ref="L208" si="404">+F208/F204-1</f>
        <v>6.0043430097008077E-2</v>
      </c>
      <c r="O208" s="7"/>
      <c r="R208" s="7"/>
      <c r="S208" s="7"/>
      <c r="T208" s="7"/>
    </row>
    <row r="209" spans="1:20" x14ac:dyDescent="0.2">
      <c r="A209" s="3">
        <v>40664</v>
      </c>
      <c r="B209" s="4">
        <v>77436</v>
      </c>
      <c r="C209" s="5">
        <v>74778.828326602903</v>
      </c>
      <c r="D209" s="4">
        <v>72285.770764576999</v>
      </c>
      <c r="E209" s="5">
        <f t="shared" si="373"/>
        <v>380.29818738412803</v>
      </c>
      <c r="F209" s="5">
        <f t="shared" si="374"/>
        <v>368.09426053788195</v>
      </c>
      <c r="G209" s="5">
        <f t="shared" si="374"/>
        <v>361.35816115816436</v>
      </c>
      <c r="H209" s="1" t="s">
        <v>3</v>
      </c>
      <c r="I209" s="2">
        <f t="shared" si="313"/>
        <v>0.33246149875247344</v>
      </c>
      <c r="J209" s="2">
        <f t="shared" ref="J209" si="405">+AVERAGE(B205:B209)/AVERAGE(B193:B197)-1</f>
        <v>0.29739168347980716</v>
      </c>
      <c r="K209" s="2">
        <f t="shared" si="315"/>
        <v>3.6394271438229708E-2</v>
      </c>
      <c r="L209" s="2">
        <f t="shared" ref="L209" si="406">+F209/F204-1</f>
        <v>9.8622938428270635E-2</v>
      </c>
      <c r="O209" s="7"/>
      <c r="R209" s="7"/>
      <c r="S209" s="7"/>
      <c r="T209" s="7"/>
    </row>
    <row r="210" spans="1:20" x14ac:dyDescent="0.2">
      <c r="A210" s="3">
        <v>40695</v>
      </c>
      <c r="B210" s="4">
        <v>78736</v>
      </c>
      <c r="C210" s="5">
        <v>74437.213815002295</v>
      </c>
      <c r="D210" s="4">
        <v>72824.389776154901</v>
      </c>
      <c r="E210" s="5">
        <f t="shared" si="373"/>
        <v>386.68265512005661</v>
      </c>
      <c r="F210" s="5">
        <f t="shared" si="374"/>
        <v>366.41268376206739</v>
      </c>
      <c r="G210" s="5">
        <f t="shared" si="374"/>
        <v>364.0507294676662</v>
      </c>
      <c r="H210" s="1" t="s">
        <v>5</v>
      </c>
      <c r="I210" s="2">
        <f t="shared" si="313"/>
        <v>0.24991665740637847</v>
      </c>
      <c r="J210" s="2">
        <f t="shared" ref="J210" si="407">+AVERAGE(B205:B210)/AVERAGE(B193:B198)-1</f>
        <v>0.28732020596961649</v>
      </c>
      <c r="K210" s="2">
        <f t="shared" si="315"/>
        <v>-4.5683319630067665E-3</v>
      </c>
      <c r="L210" s="2">
        <f t="shared" ref="L210" si="408">+F210/F204-1</f>
        <v>9.3604064143356203E-2</v>
      </c>
      <c r="O210" s="7"/>
      <c r="R210" s="7"/>
      <c r="S210" s="7"/>
      <c r="T210" s="7"/>
    </row>
    <row r="211" spans="1:20" x14ac:dyDescent="0.2">
      <c r="A211" s="3">
        <v>40725</v>
      </c>
      <c r="B211" s="4">
        <v>68477</v>
      </c>
      <c r="C211" s="5">
        <v>69418.473099511801</v>
      </c>
      <c r="D211" s="4">
        <v>72422.510857325498</v>
      </c>
      <c r="E211" s="5">
        <f t="shared" si="373"/>
        <v>336.29938242552475</v>
      </c>
      <c r="F211" s="5">
        <f t="shared" si="374"/>
        <v>341.70823607493213</v>
      </c>
      <c r="G211" s="5">
        <f t="shared" si="374"/>
        <v>362.04172789542889</v>
      </c>
      <c r="H211" s="1" t="s">
        <v>5</v>
      </c>
      <c r="I211" s="2">
        <f t="shared" si="313"/>
        <v>0.23166717628649014</v>
      </c>
      <c r="J211" s="2">
        <f t="shared" ref="J211" si="409">+AVERAGE(B205:B211)/AVERAGE(B193:B199)-1</f>
        <v>0.27854334617370236</v>
      </c>
      <c r="K211" s="2">
        <f t="shared" si="315"/>
        <v>-6.7422468658801304E-2</v>
      </c>
      <c r="L211" s="2">
        <f t="shared" ref="L211" si="410">+F211/F204-1</f>
        <v>1.9870578403513139E-2</v>
      </c>
      <c r="O211" s="7"/>
      <c r="R211" s="7"/>
      <c r="S211" s="7"/>
      <c r="T211" s="7"/>
    </row>
    <row r="212" spans="1:20" x14ac:dyDescent="0.2">
      <c r="A212" s="3">
        <v>40756</v>
      </c>
      <c r="B212" s="4">
        <v>81868</v>
      </c>
      <c r="C212" s="5">
        <v>73346.200616379094</v>
      </c>
      <c r="D212" s="4">
        <v>71010.055140463694</v>
      </c>
      <c r="E212" s="5">
        <f t="shared" si="373"/>
        <v>402.06431123461687</v>
      </c>
      <c r="F212" s="5">
        <f t="shared" si="374"/>
        <v>361.04223726576407</v>
      </c>
      <c r="G212" s="5">
        <f t="shared" si="374"/>
        <v>354.98083063772634</v>
      </c>
      <c r="H212" s="1" t="s">
        <v>4</v>
      </c>
      <c r="I212" s="2">
        <f t="shared" si="313"/>
        <v>0.16984367408762235</v>
      </c>
      <c r="J212" s="2">
        <f t="shared" ref="J212" si="411">+AVERAGE(B205:B212)/AVERAGE(B193:B200)-1</f>
        <v>0.26053924585104471</v>
      </c>
      <c r="K212" s="2">
        <f t="shared" si="315"/>
        <v>5.6580436611402662E-2</v>
      </c>
      <c r="L212" s="2">
        <f t="shared" ref="L212" si="412">+F212/F204-1</f>
        <v>7.7575301016707732E-2</v>
      </c>
      <c r="O212" s="7"/>
      <c r="R212" s="7"/>
      <c r="S212" s="7"/>
      <c r="T212" s="7"/>
    </row>
    <row r="213" spans="1:20" x14ac:dyDescent="0.2">
      <c r="A213" s="3">
        <v>40787</v>
      </c>
      <c r="B213" s="4">
        <v>77424</v>
      </c>
      <c r="C213" s="5">
        <v>69216.682459980104</v>
      </c>
      <c r="D213" s="4">
        <v>68903.826233227403</v>
      </c>
      <c r="E213" s="5">
        <f t="shared" si="373"/>
        <v>380.23925383579638</v>
      </c>
      <c r="F213" s="5">
        <f t="shared" si="374"/>
        <v>340.71493385418228</v>
      </c>
      <c r="G213" s="5">
        <f t="shared" si="374"/>
        <v>344.45174591127488</v>
      </c>
      <c r="H213" s="1" t="s">
        <v>6</v>
      </c>
      <c r="I213" s="2">
        <f t="shared" si="313"/>
        <v>8.9083006287715705E-2</v>
      </c>
      <c r="J213" s="2">
        <f t="shared" ref="J213" si="413">+AVERAGE(B205:B213)/AVERAGE(B193:B201)-1</f>
        <v>0.23584552082932375</v>
      </c>
      <c r="K213" s="2">
        <f t="shared" si="315"/>
        <v>-5.6301732355538259E-2</v>
      </c>
      <c r="L213" s="2">
        <f t="shared" ref="L213" si="414">+F213/F204-1</f>
        <v>1.6905944825926333E-2</v>
      </c>
      <c r="O213" s="7"/>
      <c r="R213" s="7"/>
      <c r="S213" s="7"/>
      <c r="T213" s="7"/>
    </row>
    <row r="214" spans="1:20" x14ac:dyDescent="0.2">
      <c r="A214" s="3">
        <v>40817</v>
      </c>
      <c r="B214" s="4">
        <v>71245</v>
      </c>
      <c r="C214" s="5">
        <v>65761.865254955206</v>
      </c>
      <c r="D214" s="4">
        <v>66807.281172229297</v>
      </c>
      <c r="E214" s="5">
        <f t="shared" si="373"/>
        <v>349.89338757402504</v>
      </c>
      <c r="F214" s="5">
        <f t="shared" si="374"/>
        <v>323.70880507635576</v>
      </c>
      <c r="G214" s="5">
        <f t="shared" si="374"/>
        <v>333.97107094559044</v>
      </c>
      <c r="H214" s="1" t="s">
        <v>7</v>
      </c>
      <c r="I214" s="2">
        <f t="shared" si="313"/>
        <v>0.10951053524987153</v>
      </c>
      <c r="J214" s="2">
        <f t="shared" ref="J214" si="415">+AVERAGE(B205:B214)/AVERAGE(B193:B202)-1</f>
        <v>0.2213025707217382</v>
      </c>
      <c r="K214" s="2">
        <f t="shared" si="315"/>
        <v>-4.9913071274723553E-2</v>
      </c>
      <c r="L214" s="2">
        <f t="shared" ref="L214" si="416">+F214/F204-1</f>
        <v>-3.3850954077860096E-2</v>
      </c>
      <c r="O214" s="7"/>
      <c r="R214" s="7"/>
      <c r="S214" s="7"/>
      <c r="T214" s="7"/>
    </row>
    <row r="215" spans="1:20" x14ac:dyDescent="0.2">
      <c r="A215" s="3">
        <v>40848</v>
      </c>
      <c r="B215" s="4">
        <v>72523</v>
      </c>
      <c r="C215" s="5">
        <v>65671.560630246997</v>
      </c>
      <c r="D215" s="4">
        <v>65124.519058327198</v>
      </c>
      <c r="E215" s="5">
        <f t="shared" si="373"/>
        <v>356.16981047134561</v>
      </c>
      <c r="F215" s="5">
        <f t="shared" si="374"/>
        <v>323.26428602197927</v>
      </c>
      <c r="G215" s="5">
        <f t="shared" si="374"/>
        <v>325.55890605180099</v>
      </c>
      <c r="H215" s="1" t="s">
        <v>8</v>
      </c>
      <c r="I215" s="2">
        <f t="shared" si="313"/>
        <v>-1.3346212451022965E-2</v>
      </c>
      <c r="J215" s="2">
        <f t="shared" ref="J215" si="417">+AVERAGE(B205:B215)/AVERAGE(B193:B203)-1</f>
        <v>0.19398280439203952</v>
      </c>
      <c r="K215" s="2">
        <f t="shared" si="315"/>
        <v>-1.3732065591223197E-3</v>
      </c>
      <c r="L215" s="2">
        <f t="shared" ref="L215" si="418">+F215/F204-1</f>
        <v>-3.5177676284810167E-2</v>
      </c>
      <c r="O215" s="7"/>
      <c r="R215" s="7"/>
      <c r="S215" s="7"/>
      <c r="T215" s="7"/>
    </row>
    <row r="216" spans="1:20" x14ac:dyDescent="0.2">
      <c r="A216" s="3">
        <v>40878</v>
      </c>
      <c r="B216" s="4">
        <v>50625</v>
      </c>
      <c r="C216" s="5">
        <v>57677.023248363599</v>
      </c>
      <c r="D216" s="4">
        <v>63652.180048643801</v>
      </c>
      <c r="E216" s="5">
        <f t="shared" si="373"/>
        <v>248.62590702414229</v>
      </c>
      <c r="F216" s="5">
        <f t="shared" si="374"/>
        <v>283.91165919190723</v>
      </c>
      <c r="G216" s="5">
        <f t="shared" si="374"/>
        <v>318.19865089351543</v>
      </c>
      <c r="H216" s="1" t="s">
        <v>9</v>
      </c>
      <c r="I216" s="2">
        <f t="shared" si="313"/>
        <v>-0.21269944947280017</v>
      </c>
      <c r="J216" s="2">
        <f t="shared" ref="J216" si="419">+AVERAGE(B205:B216)/AVERAGE(B193:B204)-1</f>
        <v>0.15639007167644658</v>
      </c>
      <c r="K216" s="2">
        <f t="shared" si="315"/>
        <v>-0.12173515148962788</v>
      </c>
      <c r="L216" s="2">
        <f t="shared" ref="L216" si="420">+F216/F204-1</f>
        <v>-0.15263046802285352</v>
      </c>
      <c r="O216" s="7"/>
      <c r="R216" s="7"/>
      <c r="S216" s="7"/>
      <c r="T216" s="7"/>
    </row>
    <row r="217" spans="1:20" x14ac:dyDescent="0.2">
      <c r="A217" s="3">
        <v>40909</v>
      </c>
      <c r="B217" s="4">
        <v>41555</v>
      </c>
      <c r="C217" s="5">
        <v>63078.104760717899</v>
      </c>
      <c r="D217" s="4">
        <v>62055.157193599502</v>
      </c>
      <c r="E217" s="5">
        <f t="shared" si="373"/>
        <v>204.08196674347127</v>
      </c>
      <c r="F217" s="5">
        <f t="shared" si="374"/>
        <v>310.49815633133358</v>
      </c>
      <c r="G217" s="5">
        <f t="shared" si="374"/>
        <v>310.21509844436355</v>
      </c>
      <c r="H217" s="1" t="s">
        <v>26</v>
      </c>
      <c r="I217" s="2">
        <f t="shared" si="313"/>
        <v>-0.10686268188363746</v>
      </c>
      <c r="J217" s="2">
        <f t="shared" ref="J217" si="421">+AVERAGE(B217:B217)/AVERAGE(B205:B205)-1</f>
        <v>-0.10686268188363746</v>
      </c>
      <c r="K217" s="2">
        <f t="shared" si="315"/>
        <v>9.3643555235100262E-2</v>
      </c>
      <c r="L217" s="2">
        <f t="shared" ref="L217" si="422">+F217/F216-1</f>
        <v>9.3643555235100262E-2</v>
      </c>
      <c r="O217" s="7"/>
      <c r="R217" s="7"/>
      <c r="S217" s="7"/>
      <c r="T217" s="7"/>
    </row>
    <row r="218" spans="1:20" x14ac:dyDescent="0.2">
      <c r="A218" s="3">
        <v>40940</v>
      </c>
      <c r="B218" s="4">
        <v>53380</v>
      </c>
      <c r="C218" s="5">
        <v>62420.809958065998</v>
      </c>
      <c r="D218" s="4">
        <v>60362.6375821193</v>
      </c>
      <c r="E218" s="5">
        <f t="shared" si="373"/>
        <v>262.15606749528325</v>
      </c>
      <c r="F218" s="5">
        <f t="shared" si="374"/>
        <v>307.26266241210794</v>
      </c>
      <c r="G218" s="5">
        <f t="shared" si="374"/>
        <v>301.75415560513568</v>
      </c>
      <c r="H218" s="1" t="s">
        <v>2</v>
      </c>
      <c r="I218" s="2">
        <f t="shared" si="313"/>
        <v>0.32551960467830465</v>
      </c>
      <c r="J218" s="2">
        <f t="shared" ref="J218" si="423">+AVERAGE(B217:B218)/AVERAGE(B205:B206)-1</f>
        <v>9.374639968662879E-2</v>
      </c>
      <c r="K218" s="2">
        <f t="shared" si="315"/>
        <v>-1.0420332144494338E-2</v>
      </c>
      <c r="L218" s="2">
        <f t="shared" ref="L218" si="424">+F218/F216-1</f>
        <v>8.2247426141864866E-2</v>
      </c>
      <c r="O218" s="7"/>
      <c r="R218" s="7"/>
      <c r="S218" s="7"/>
      <c r="T218" s="7"/>
    </row>
    <row r="219" spans="1:20" x14ac:dyDescent="0.2">
      <c r="A219" s="3">
        <v>40969</v>
      </c>
      <c r="B219" s="4">
        <v>66298</v>
      </c>
      <c r="C219" s="5">
        <v>63934.098328846398</v>
      </c>
      <c r="D219" s="4">
        <v>58945.3785929804</v>
      </c>
      <c r="E219" s="5">
        <f t="shared" si="373"/>
        <v>325.59803227430291</v>
      </c>
      <c r="F219" s="5">
        <f t="shared" si="374"/>
        <v>314.71173290823953</v>
      </c>
      <c r="G219" s="5">
        <f t="shared" si="374"/>
        <v>294.66924668346059</v>
      </c>
      <c r="H219" s="1" t="s">
        <v>3</v>
      </c>
      <c r="I219" s="2">
        <f t="shared" si="313"/>
        <v>-3.2922471008679177E-2</v>
      </c>
      <c r="J219" s="2">
        <f t="shared" ref="J219" si="425">+AVERAGE(B217:B219)/AVERAGE(B205:B207)-1</f>
        <v>3.7849285176340342E-2</v>
      </c>
      <c r="K219" s="2">
        <f t="shared" si="315"/>
        <v>2.424333121914013E-2</v>
      </c>
      <c r="L219" s="2">
        <f t="shared" ref="L219" si="426">+F219/F216-1</f>
        <v>0.10848470895488416</v>
      </c>
      <c r="O219" s="7"/>
      <c r="R219" s="7"/>
      <c r="S219" s="7"/>
      <c r="T219" s="7"/>
    </row>
    <row r="220" spans="1:20" x14ac:dyDescent="0.2">
      <c r="A220" s="3">
        <v>41000</v>
      </c>
      <c r="B220" s="4">
        <v>53406</v>
      </c>
      <c r="C220" s="5">
        <v>54277.236216549201</v>
      </c>
      <c r="D220" s="4">
        <v>57891.536787291298</v>
      </c>
      <c r="E220" s="5">
        <f t="shared" si="373"/>
        <v>262.28375685000185</v>
      </c>
      <c r="F220" s="5">
        <f t="shared" si="374"/>
        <v>267.17641311401712</v>
      </c>
      <c r="G220" s="5">
        <f t="shared" si="374"/>
        <v>289.40106827120206</v>
      </c>
      <c r="H220" s="1" t="s">
        <v>4</v>
      </c>
      <c r="I220" s="2">
        <f t="shared" si="313"/>
        <v>-0.24491007804546994</v>
      </c>
      <c r="J220" s="2">
        <f t="shared" ref="J220" si="427">+AVERAGE(B217:B220)/AVERAGE(B205:B208)-1</f>
        <v>-5.0610179537422417E-2</v>
      </c>
      <c r="K220" s="2">
        <f t="shared" si="315"/>
        <v>-0.15104400257006712</v>
      </c>
      <c r="L220" s="2">
        <f t="shared" ref="L220" si="428">+F220/F216-1</f>
        <v>-5.8945258273377488E-2</v>
      </c>
      <c r="O220" s="7"/>
      <c r="R220" s="7"/>
      <c r="S220" s="7"/>
      <c r="T220" s="7"/>
    </row>
    <row r="221" spans="1:20" x14ac:dyDescent="0.2">
      <c r="A221" s="3">
        <v>41030</v>
      </c>
      <c r="B221" s="4">
        <v>57896</v>
      </c>
      <c r="C221" s="5">
        <v>53952.307373920601</v>
      </c>
      <c r="D221" s="4">
        <v>57564.071201713901</v>
      </c>
      <c r="E221" s="5">
        <f t="shared" si="373"/>
        <v>284.33472618409365</v>
      </c>
      <c r="F221" s="5">
        <f t="shared" si="374"/>
        <v>265.57697053472953</v>
      </c>
      <c r="G221" s="5">
        <f t="shared" si="374"/>
        <v>287.76406059188685</v>
      </c>
      <c r="H221" s="1" t="s">
        <v>3</v>
      </c>
      <c r="I221" s="2">
        <f t="shared" si="313"/>
        <v>-0.25233741412263033</v>
      </c>
      <c r="J221" s="2">
        <f t="shared" ref="J221" si="429">+AVERAGE(B217:B221)/AVERAGE(B205:B209)-1</f>
        <v>-0.10207665468491056</v>
      </c>
      <c r="K221" s="2">
        <f t="shared" si="315"/>
        <v>-5.986466247696165E-3</v>
      </c>
      <c r="L221" s="2">
        <f t="shared" ref="L221" si="430">+F221/F216-1</f>
        <v>-6.4578850721958458E-2</v>
      </c>
      <c r="O221" s="7"/>
      <c r="R221" s="7"/>
      <c r="S221" s="7"/>
      <c r="T221" s="7"/>
    </row>
    <row r="222" spans="1:20" x14ac:dyDescent="0.2">
      <c r="A222" s="3">
        <v>41061</v>
      </c>
      <c r="B222" s="4">
        <v>51531</v>
      </c>
      <c r="C222" s="5">
        <v>48405.416421620997</v>
      </c>
      <c r="D222" s="4">
        <v>58230.845668400201</v>
      </c>
      <c r="E222" s="5">
        <f t="shared" si="373"/>
        <v>253.07538992318172</v>
      </c>
      <c r="F222" s="5">
        <f t="shared" si="374"/>
        <v>238.27273524431624</v>
      </c>
      <c r="G222" s="5">
        <f t="shared" si="374"/>
        <v>291.09728084589358</v>
      </c>
      <c r="H222" s="1" t="s">
        <v>5</v>
      </c>
      <c r="I222" s="2">
        <f t="shared" si="313"/>
        <v>-0.34552174354805942</v>
      </c>
      <c r="J222" s="2">
        <f t="shared" ref="J222" si="431">+AVERAGE(B217:B222)/AVERAGE(B205:B210)-1</f>
        <v>-0.15222117288811343</v>
      </c>
      <c r="K222" s="2">
        <f t="shared" si="315"/>
        <v>-0.10281100516899944</v>
      </c>
      <c r="L222" s="2">
        <f t="shared" ref="L222" si="432">+F222/F216-1</f>
        <v>-0.16075043933557454</v>
      </c>
      <c r="O222" s="7"/>
      <c r="R222" s="7"/>
      <c r="S222" s="7"/>
      <c r="T222" s="7"/>
    </row>
    <row r="223" spans="1:20" x14ac:dyDescent="0.2">
      <c r="A223" s="3">
        <v>41091</v>
      </c>
      <c r="B223" s="4">
        <v>63614</v>
      </c>
      <c r="C223" s="5">
        <v>63522.836910316801</v>
      </c>
      <c r="D223" s="4">
        <v>59973.354053833398</v>
      </c>
      <c r="E223" s="5">
        <f t="shared" si="373"/>
        <v>312.41656196412418</v>
      </c>
      <c r="F223" s="5">
        <f t="shared" si="374"/>
        <v>312.68732344463797</v>
      </c>
      <c r="G223" s="5">
        <f t="shared" si="374"/>
        <v>299.80811866781505</v>
      </c>
      <c r="H223" s="1" t="s">
        <v>5</v>
      </c>
      <c r="I223" s="2">
        <f t="shared" si="313"/>
        <v>-7.1016545701476419E-2</v>
      </c>
      <c r="J223" s="2">
        <f t="shared" ref="J223" si="433">+AVERAGE(B217:B223)/AVERAGE(B205:B211)-1</f>
        <v>-0.13988418787300594</v>
      </c>
      <c r="K223" s="2">
        <f t="shared" si="315"/>
        <v>0.31230844823273518</v>
      </c>
      <c r="L223" s="2">
        <f t="shared" ref="L223" si="434">+F223/F216-1</f>
        <v>0.10135428863553675</v>
      </c>
      <c r="O223" s="7"/>
      <c r="R223" s="7"/>
      <c r="S223" s="7"/>
      <c r="T223" s="7"/>
    </row>
    <row r="224" spans="1:20" x14ac:dyDescent="0.2">
      <c r="A224" s="3">
        <v>41122</v>
      </c>
      <c r="B224" s="4">
        <v>77273</v>
      </c>
      <c r="C224" s="5">
        <v>69585.760496837</v>
      </c>
      <c r="D224" s="4">
        <v>62388.566769223202</v>
      </c>
      <c r="E224" s="5">
        <f t="shared" si="373"/>
        <v>379.49767335262317</v>
      </c>
      <c r="F224" s="5">
        <f t="shared" si="374"/>
        <v>342.5316981723426</v>
      </c>
      <c r="G224" s="5">
        <f t="shared" si="374"/>
        <v>311.88182026091977</v>
      </c>
      <c r="H224" s="1" t="s">
        <v>4</v>
      </c>
      <c r="I224" s="2">
        <f t="shared" si="313"/>
        <v>-5.612693604338681E-2</v>
      </c>
      <c r="J224" s="2">
        <f t="shared" ref="J224" si="435">+AVERAGE(B217:B224)/AVERAGE(B205:B212)-1</f>
        <v>-0.12700948933341849</v>
      </c>
      <c r="K224" s="2">
        <f t="shared" si="315"/>
        <v>9.5444786181070329E-2</v>
      </c>
      <c r="L224" s="2">
        <f t="shared" ref="L224" si="436">+F224/F216-1</f>
        <v>0.20647281322396038</v>
      </c>
      <c r="O224" s="7"/>
      <c r="R224" s="7"/>
      <c r="S224" s="7"/>
      <c r="T224" s="7"/>
    </row>
    <row r="225" spans="1:20" x14ac:dyDescent="0.2">
      <c r="A225" s="3">
        <v>41153</v>
      </c>
      <c r="B225" s="4">
        <v>66476</v>
      </c>
      <c r="C225" s="5">
        <v>61285.047127898702</v>
      </c>
      <c r="D225" s="4">
        <v>64629.789430020799</v>
      </c>
      <c r="E225" s="5">
        <f t="shared" si="373"/>
        <v>326.47221324122239</v>
      </c>
      <c r="F225" s="5">
        <f t="shared" si="374"/>
        <v>301.67193856055337</v>
      </c>
      <c r="G225" s="5">
        <f t="shared" si="374"/>
        <v>323.08574173655143</v>
      </c>
      <c r="H225" s="1" t="s">
        <v>6</v>
      </c>
      <c r="I225" s="2">
        <f t="shared" si="313"/>
        <v>-0.14140318247571804</v>
      </c>
      <c r="J225" s="2">
        <f t="shared" ref="J225" si="437">+AVERAGE(B217:B225)/AVERAGE(B205:B213)-1</f>
        <v>-0.12883633705013919</v>
      </c>
      <c r="K225" s="2">
        <f t="shared" si="315"/>
        <v>-0.11928752821944932</v>
      </c>
      <c r="L225" s="2">
        <f t="shared" ref="L225" si="438">+F225/F216-1</f>
        <v>6.2555653470508732E-2</v>
      </c>
      <c r="O225" s="7"/>
      <c r="R225" s="7"/>
      <c r="S225" s="7"/>
      <c r="T225" s="7"/>
    </row>
    <row r="226" spans="1:20" x14ac:dyDescent="0.2">
      <c r="A226" s="3">
        <v>41183</v>
      </c>
      <c r="B226" s="4">
        <v>76974</v>
      </c>
      <c r="C226" s="5">
        <v>68186.528893732902</v>
      </c>
      <c r="D226" s="4">
        <v>66260.591507321005</v>
      </c>
      <c r="E226" s="5">
        <f t="shared" si="373"/>
        <v>378.02924577335955</v>
      </c>
      <c r="F226" s="5">
        <f t="shared" si="374"/>
        <v>335.64406521804818</v>
      </c>
      <c r="G226" s="5">
        <f t="shared" si="374"/>
        <v>331.2381572622208</v>
      </c>
      <c r="H226" s="1" t="s">
        <v>7</v>
      </c>
      <c r="I226" s="2">
        <f t="shared" si="313"/>
        <v>8.0412660537581448E-2</v>
      </c>
      <c r="J226" s="2">
        <f t="shared" ref="J226" si="439">+AVERAGE(B217:B226)/AVERAGE(B205:B214)-1</f>
        <v>-0.10695366133982709</v>
      </c>
      <c r="K226" s="2">
        <f t="shared" si="315"/>
        <v>0.11261281649063859</v>
      </c>
      <c r="L226" s="2">
        <f t="shared" ref="L226" si="440">+F226/F216-1</f>
        <v>0.18221303828587376</v>
      </c>
      <c r="O226" s="7"/>
      <c r="R226" s="7"/>
      <c r="S226" s="7"/>
      <c r="T226" s="7"/>
    </row>
    <row r="227" spans="1:20" x14ac:dyDescent="0.2">
      <c r="A227" s="3">
        <v>41214</v>
      </c>
      <c r="B227" s="4">
        <v>75632</v>
      </c>
      <c r="C227" s="5">
        <v>68924.465717758299</v>
      </c>
      <c r="D227" s="4">
        <v>67272.703189434105</v>
      </c>
      <c r="E227" s="5">
        <f t="shared" si="373"/>
        <v>371.43851061827019</v>
      </c>
      <c r="F227" s="5">
        <f t="shared" si="374"/>
        <v>339.27651461103585</v>
      </c>
      <c r="G227" s="5">
        <f t="shared" si="374"/>
        <v>336.29772586703274</v>
      </c>
      <c r="H227" s="1" t="s">
        <v>8</v>
      </c>
      <c r="I227" s="2">
        <f t="shared" si="313"/>
        <v>4.2869158749637926E-2</v>
      </c>
      <c r="J227" s="2">
        <f t="shared" ref="J227" si="441">+AVERAGE(B217:B227)/AVERAGE(B205:B215)-1</f>
        <v>-9.2539036071054181E-2</v>
      </c>
      <c r="K227" s="2">
        <f t="shared" si="315"/>
        <v>1.0822325699779256E-2</v>
      </c>
      <c r="L227" s="2">
        <f t="shared" ref="L227" si="442">+F227/F216-1</f>
        <v>0.19500733283272909</v>
      </c>
      <c r="O227" s="7"/>
      <c r="R227" s="7"/>
      <c r="S227" s="7"/>
      <c r="T227" s="7"/>
    </row>
    <row r="228" spans="1:20" x14ac:dyDescent="0.2">
      <c r="A228" s="3">
        <v>41244</v>
      </c>
      <c r="B228" s="4">
        <v>59428</v>
      </c>
      <c r="C228" s="5">
        <v>69692.333113065499</v>
      </c>
      <c r="D228" s="4">
        <v>68223.280561321706</v>
      </c>
      <c r="E228" s="5">
        <f t="shared" si="373"/>
        <v>291.85857585443415</v>
      </c>
      <c r="F228" s="5">
        <f t="shared" si="374"/>
        <v>343.05629543124701</v>
      </c>
      <c r="G228" s="5">
        <f t="shared" si="374"/>
        <v>341.04968309887278</v>
      </c>
      <c r="H228" s="1" t="s">
        <v>9</v>
      </c>
      <c r="I228" s="2">
        <f t="shared" si="313"/>
        <v>0.1738864197530865</v>
      </c>
      <c r="J228" s="2">
        <f t="shared" ref="J228" si="443">+AVERAGE(B217:B228)/AVERAGE(B205:B216)-1</f>
        <v>-7.5771834190063503E-2</v>
      </c>
      <c r="K228" s="2">
        <f t="shared" si="315"/>
        <v>1.1140708706420366E-2</v>
      </c>
      <c r="L228" s="2">
        <f t="shared" ref="L228" si="444">+F228/F216-1</f>
        <v>0.20832056142985511</v>
      </c>
      <c r="O228" s="7"/>
      <c r="R228" s="7"/>
      <c r="S228" s="7"/>
      <c r="T228" s="7"/>
    </row>
    <row r="229" spans="1:20" x14ac:dyDescent="0.2">
      <c r="A229" s="3">
        <v>41275</v>
      </c>
      <c r="B229" s="4">
        <v>43692</v>
      </c>
      <c r="C229" s="5">
        <v>64172.674516478502</v>
      </c>
      <c r="D229" s="4">
        <v>69315.477580123406</v>
      </c>
      <c r="E229" s="5">
        <f t="shared" si="373"/>
        <v>214.57704947553231</v>
      </c>
      <c r="F229" s="5">
        <f t="shared" si="374"/>
        <v>315.88610976507965</v>
      </c>
      <c r="G229" s="5">
        <f t="shared" si="374"/>
        <v>346.50960006679173</v>
      </c>
      <c r="H229" s="1" t="s">
        <v>27</v>
      </c>
      <c r="I229" s="2">
        <f t="shared" ref="I229:I292" si="445">+E229/E217-1</f>
        <v>5.1425821200818067E-2</v>
      </c>
      <c r="J229" s="2">
        <f t="shared" ref="J229" si="446">+AVERAGE(B229:B229)/AVERAGE(B217:B217)-1</f>
        <v>5.1425821200818289E-2</v>
      </c>
      <c r="K229" s="2">
        <f t="shared" ref="K229:K292" si="447">+F229/F228-1</f>
        <v>-7.9200370399885589E-2</v>
      </c>
      <c r="L229" s="2">
        <f t="shared" ref="L229" si="448">+F229/F228-1</f>
        <v>-7.9200370399885589E-2</v>
      </c>
      <c r="O229" s="7"/>
      <c r="R229" s="7"/>
      <c r="S229" s="7"/>
      <c r="T229" s="7"/>
    </row>
    <row r="230" spans="1:20" x14ac:dyDescent="0.2">
      <c r="A230" s="3">
        <v>41306</v>
      </c>
      <c r="B230" s="4">
        <v>51077</v>
      </c>
      <c r="C230" s="5">
        <v>57168.754010554097</v>
      </c>
      <c r="D230" s="4">
        <v>70502.036236489206</v>
      </c>
      <c r="E230" s="5">
        <f t="shared" si="373"/>
        <v>250.84573734463436</v>
      </c>
      <c r="F230" s="5">
        <f t="shared" si="374"/>
        <v>281.40973460399442</v>
      </c>
      <c r="G230" s="5">
        <f t="shared" si="374"/>
        <v>352.44123294052963</v>
      </c>
      <c r="H230" s="1" t="s">
        <v>2</v>
      </c>
      <c r="I230" s="2">
        <f t="shared" si="445"/>
        <v>-4.3143499437991784E-2</v>
      </c>
      <c r="J230" s="2">
        <f t="shared" ref="J230" si="449">+AVERAGE(B229:B230)/AVERAGE(B217:B218)-1</f>
        <v>-1.7485648074998528E-3</v>
      </c>
      <c r="K230" s="2">
        <f t="shared" si="447"/>
        <v>-0.10914178906671412</v>
      </c>
      <c r="L230" s="2">
        <f t="shared" ref="L230" si="450">+F230/F228-1</f>
        <v>-0.17969808934640985</v>
      </c>
      <c r="O230" s="7"/>
      <c r="R230" s="7"/>
      <c r="S230" s="7"/>
      <c r="T230" s="7"/>
    </row>
    <row r="231" spans="1:20" x14ac:dyDescent="0.2">
      <c r="A231" s="3">
        <v>41334</v>
      </c>
      <c r="B231" s="4">
        <v>76506</v>
      </c>
      <c r="C231" s="5">
        <v>74124.896164676</v>
      </c>
      <c r="D231" s="4">
        <v>71403.871150112202</v>
      </c>
      <c r="E231" s="5">
        <f t="shared" si="373"/>
        <v>375.73083738842524</v>
      </c>
      <c r="F231" s="5">
        <f t="shared" si="374"/>
        <v>364.87531901428508</v>
      </c>
      <c r="G231" s="5">
        <f t="shared" si="374"/>
        <v>356.94952554926994</v>
      </c>
      <c r="H231" s="1" t="s">
        <v>3</v>
      </c>
      <c r="I231" s="2">
        <f t="shared" si="445"/>
        <v>0.15397146218588786</v>
      </c>
      <c r="J231" s="2">
        <f t="shared" ref="J231" si="451">+AVERAGE(B229:B231)/AVERAGE(B217:B219)-1</f>
        <v>6.2282535213014523E-2</v>
      </c>
      <c r="K231" s="2">
        <f t="shared" si="447"/>
        <v>0.29659807087962031</v>
      </c>
      <c r="L231" s="2">
        <f t="shared" ref="L231" si="452">+F231/F228-1</f>
        <v>6.3601874892311727E-2</v>
      </c>
      <c r="O231" s="7"/>
      <c r="R231" s="7"/>
      <c r="S231" s="7"/>
      <c r="T231" s="7"/>
    </row>
    <row r="232" spans="1:20" x14ac:dyDescent="0.2">
      <c r="A232" s="3">
        <v>41365</v>
      </c>
      <c r="B232" s="4">
        <v>73092</v>
      </c>
      <c r="C232" s="5">
        <v>71624.111919594405</v>
      </c>
      <c r="D232" s="4">
        <v>71690.261771327598</v>
      </c>
      <c r="E232" s="5">
        <f t="shared" si="373"/>
        <v>358.96424288807128</v>
      </c>
      <c r="F232" s="5">
        <f t="shared" si="374"/>
        <v>352.56535979109924</v>
      </c>
      <c r="G232" s="5">
        <f t="shared" si="374"/>
        <v>358.38119857648832</v>
      </c>
      <c r="H232" s="1" t="s">
        <v>4</v>
      </c>
      <c r="I232" s="2">
        <f t="shared" si="445"/>
        <v>0.36861026850915635</v>
      </c>
      <c r="J232" s="2">
        <f t="shared" ref="J232" si="453">+AVERAGE(B229:B232)/AVERAGE(B217:B220)-1</f>
        <v>0.13850232250429784</v>
      </c>
      <c r="K232" s="2">
        <f t="shared" si="447"/>
        <v>-3.3737440110888639E-2</v>
      </c>
      <c r="L232" s="2">
        <f t="shared" ref="L232" si="454">+F232/F228-1</f>
        <v>2.7718670336303264E-2</v>
      </c>
      <c r="O232" s="7"/>
      <c r="R232" s="7"/>
      <c r="S232" s="7"/>
      <c r="T232" s="7"/>
    </row>
    <row r="233" spans="1:20" x14ac:dyDescent="0.2">
      <c r="A233" s="3">
        <v>41395</v>
      </c>
      <c r="B233" s="4">
        <v>76939</v>
      </c>
      <c r="C233" s="5">
        <v>73695.472691965493</v>
      </c>
      <c r="D233" s="4">
        <v>71247.449479012605</v>
      </c>
      <c r="E233" s="5">
        <f t="shared" si="373"/>
        <v>377.85735625739221</v>
      </c>
      <c r="F233" s="5">
        <f t="shared" si="374"/>
        <v>362.76150793724327</v>
      </c>
      <c r="G233" s="5">
        <f t="shared" si="374"/>
        <v>356.16757016806594</v>
      </c>
      <c r="H233" s="1" t="s">
        <v>3</v>
      </c>
      <c r="I233" s="2">
        <f t="shared" si="445"/>
        <v>0.32891736907558378</v>
      </c>
      <c r="J233" s="2">
        <f t="shared" ref="J233" si="455">+AVERAGE(B229:B233)/AVERAGE(B217:B221)-1</f>
        <v>0.17895316197919531</v>
      </c>
      <c r="K233" s="2">
        <f t="shared" si="447"/>
        <v>2.891988070576601E-2</v>
      </c>
      <c r="L233" s="2">
        <f t="shared" ref="L233" si="456">+F233/F228-1</f>
        <v>5.7440171681517604E-2</v>
      </c>
      <c r="O233" s="7"/>
      <c r="R233" s="7"/>
      <c r="S233" s="7"/>
      <c r="T233" s="7"/>
    </row>
    <row r="234" spans="1:20" x14ac:dyDescent="0.2">
      <c r="A234" s="3">
        <v>41426</v>
      </c>
      <c r="B234" s="4">
        <v>61271</v>
      </c>
      <c r="C234" s="5">
        <v>59699.220254849301</v>
      </c>
      <c r="D234" s="4">
        <v>69859.929298955496</v>
      </c>
      <c r="E234" s="5">
        <f t="shared" si="373"/>
        <v>300.9097866523698</v>
      </c>
      <c r="F234" s="5">
        <f t="shared" si="374"/>
        <v>293.86580167342919</v>
      </c>
      <c r="G234" s="5">
        <f t="shared" si="374"/>
        <v>349.23132620840431</v>
      </c>
      <c r="H234" s="1" t="s">
        <v>5</v>
      </c>
      <c r="I234" s="2">
        <f t="shared" si="445"/>
        <v>0.18901243911431953</v>
      </c>
      <c r="J234" s="2">
        <f t="shared" ref="J234" si="457">+AVERAGE(B229:B234)/AVERAGE(B217:B222)-1</f>
        <v>0.18055272691365354</v>
      </c>
      <c r="K234" s="2">
        <f t="shared" si="447"/>
        <v>-0.18992011212979309</v>
      </c>
      <c r="L234" s="2">
        <f t="shared" ref="L234" si="458">+F234/F228-1</f>
        <v>-0.14338898429478386</v>
      </c>
      <c r="O234" s="7"/>
      <c r="R234" s="7"/>
      <c r="S234" s="7"/>
      <c r="T234" s="7"/>
    </row>
    <row r="235" spans="1:20" x14ac:dyDescent="0.2">
      <c r="A235" s="3">
        <v>41456</v>
      </c>
      <c r="B235" s="4">
        <v>69521</v>
      </c>
      <c r="C235" s="5">
        <v>67938.895501803097</v>
      </c>
      <c r="D235" s="4">
        <v>67532.897751227894</v>
      </c>
      <c r="E235" s="5">
        <f t="shared" si="373"/>
        <v>341.42660113037817</v>
      </c>
      <c r="F235" s="5">
        <f t="shared" si="374"/>
        <v>334.42510482074465</v>
      </c>
      <c r="G235" s="5">
        <f t="shared" si="374"/>
        <v>337.59844421586763</v>
      </c>
      <c r="H235" s="1" t="s">
        <v>5</v>
      </c>
      <c r="I235" s="2">
        <f t="shared" si="445"/>
        <v>9.2856918288427126E-2</v>
      </c>
      <c r="J235" s="2">
        <f t="shared" ref="J235" si="459">+AVERAGE(B229:B235)/AVERAGE(B217:B223)-1</f>
        <v>0.1661628146925298</v>
      </c>
      <c r="K235" s="2">
        <f t="shared" si="447"/>
        <v>0.13801981352150916</v>
      </c>
      <c r="L235" s="2">
        <f t="shared" ref="L235" si="460">+F235/F228-1</f>
        <v>-2.5159691646679527E-2</v>
      </c>
      <c r="O235" s="7"/>
      <c r="R235" s="7"/>
      <c r="S235" s="7"/>
      <c r="T235" s="7"/>
    </row>
    <row r="236" spans="1:20" x14ac:dyDescent="0.2">
      <c r="A236" s="3">
        <v>41487</v>
      </c>
      <c r="B236" s="4">
        <v>67143</v>
      </c>
      <c r="C236" s="5">
        <v>61954.315246722501</v>
      </c>
      <c r="D236" s="4">
        <v>64632.665840244503</v>
      </c>
      <c r="E236" s="5">
        <f t="shared" si="373"/>
        <v>329.74793630265651</v>
      </c>
      <c r="F236" s="5">
        <f t="shared" si="374"/>
        <v>304.9663704046049</v>
      </c>
      <c r="G236" s="5">
        <f t="shared" si="374"/>
        <v>323.1001209746529</v>
      </c>
      <c r="H236" s="1" t="s">
        <v>4</v>
      </c>
      <c r="I236" s="2">
        <f t="shared" si="445"/>
        <v>-0.13109365496357073</v>
      </c>
      <c r="J236" s="2">
        <f t="shared" ref="J236" si="461">+AVERAGE(B229:B236)/AVERAGE(B217:B224)-1</f>
        <v>0.11676018866423066</v>
      </c>
      <c r="K236" s="2">
        <f t="shared" si="447"/>
        <v>-8.8087688368760242E-2</v>
      </c>
      <c r="L236" s="2">
        <f t="shared" ref="L236" si="462">+F236/F228-1</f>
        <v>-0.11103112093821299</v>
      </c>
      <c r="O236" s="7"/>
      <c r="R236" s="7"/>
      <c r="S236" s="7"/>
      <c r="T236" s="7"/>
    </row>
    <row r="237" spans="1:20" x14ac:dyDescent="0.2">
      <c r="A237" s="3">
        <v>41518</v>
      </c>
      <c r="B237" s="4">
        <v>69442</v>
      </c>
      <c r="C237" s="5">
        <v>62964.707547203398</v>
      </c>
      <c r="D237" s="4">
        <v>61793.435715544801</v>
      </c>
      <c r="E237" s="5">
        <f t="shared" si="373"/>
        <v>341.03862193719482</v>
      </c>
      <c r="F237" s="5">
        <f t="shared" si="374"/>
        <v>309.93996540497449</v>
      </c>
      <c r="G237" s="5">
        <f t="shared" si="374"/>
        <v>308.90674700748866</v>
      </c>
      <c r="H237" s="1" t="s">
        <v>6</v>
      </c>
      <c r="I237" s="2">
        <f t="shared" si="445"/>
        <v>4.4617606354172779E-2</v>
      </c>
      <c r="J237" s="2">
        <f t="shared" ref="J237" si="463">+AVERAGE(B229:B237)/AVERAGE(B217:B225)-1</f>
        <v>0.10773593462155806</v>
      </c>
      <c r="K237" s="2">
        <f t="shared" si="447"/>
        <v>1.6308667063096305E-2</v>
      </c>
      <c r="L237" s="2">
        <f t="shared" ref="L237" si="464">+F237/F228-1</f>
        <v>-9.6533223460140483E-2</v>
      </c>
      <c r="O237" s="7"/>
      <c r="R237" s="7"/>
      <c r="S237" s="7"/>
      <c r="T237" s="7"/>
    </row>
    <row r="238" spans="1:20" x14ac:dyDescent="0.2">
      <c r="A238" s="3">
        <v>41548</v>
      </c>
      <c r="B238" s="4">
        <v>72987</v>
      </c>
      <c r="C238" s="5">
        <v>64145.121291411597</v>
      </c>
      <c r="D238" s="4">
        <v>59252.854425860103</v>
      </c>
      <c r="E238" s="5">
        <f t="shared" si="373"/>
        <v>358.44857434016933</v>
      </c>
      <c r="F238" s="5">
        <f t="shared" si="374"/>
        <v>315.75048068084021</v>
      </c>
      <c r="G238" s="5">
        <f t="shared" si="374"/>
        <v>296.20632514848586</v>
      </c>
      <c r="H238" s="1" t="s">
        <v>7</v>
      </c>
      <c r="I238" s="2">
        <f t="shared" si="445"/>
        <v>-5.1796710577597604E-2</v>
      </c>
      <c r="J238" s="2">
        <f t="shared" ref="J238" si="465">+AVERAGE(B229:B238)/AVERAGE(B217:B226)-1</f>
        <v>8.7552165258882653E-2</v>
      </c>
      <c r="K238" s="2">
        <f t="shared" si="447"/>
        <v>1.8747228252005366E-2</v>
      </c>
      <c r="L238" s="2">
        <f t="shared" ref="L238" si="466">+F238/F228-1</f>
        <v>-7.9595725582244148E-2</v>
      </c>
      <c r="O238" s="7"/>
      <c r="R238" s="7"/>
      <c r="S238" s="7"/>
      <c r="T238" s="7"/>
    </row>
    <row r="239" spans="1:20" x14ac:dyDescent="0.2">
      <c r="A239" s="3">
        <v>41579</v>
      </c>
      <c r="B239" s="4">
        <v>59723</v>
      </c>
      <c r="C239" s="5">
        <v>54606.939123789001</v>
      </c>
      <c r="D239" s="4">
        <v>57304.681149737298</v>
      </c>
      <c r="E239" s="5">
        <f t="shared" si="373"/>
        <v>293.30735891758712</v>
      </c>
      <c r="F239" s="5">
        <f t="shared" si="374"/>
        <v>268.79935573766409</v>
      </c>
      <c r="G239" s="5">
        <f t="shared" si="374"/>
        <v>286.46736400535866</v>
      </c>
      <c r="H239" s="1" t="s">
        <v>8</v>
      </c>
      <c r="I239" s="2">
        <f t="shared" si="445"/>
        <v>-0.21034747196953674</v>
      </c>
      <c r="J239" s="2">
        <f t="shared" ref="J239" si="467">+AVERAGE(B229:B239)/AVERAGE(B217:B227)-1</f>
        <v>5.4614164479887872E-2</v>
      </c>
      <c r="K239" s="2">
        <f t="shared" si="447"/>
        <v>-0.14869692309553184</v>
      </c>
      <c r="L239" s="2">
        <f t="shared" ref="L239" si="468">+F239/F228-1</f>
        <v>-0.21645700919213995</v>
      </c>
      <c r="O239" s="7"/>
      <c r="R239" s="7"/>
      <c r="S239" s="7"/>
      <c r="T239" s="7"/>
    </row>
    <row r="240" spans="1:20" x14ac:dyDescent="0.2">
      <c r="A240" s="3">
        <v>41609</v>
      </c>
      <c r="B240" s="4">
        <v>42768</v>
      </c>
      <c r="C240" s="5">
        <v>52588.293010538699</v>
      </c>
      <c r="D240" s="4">
        <v>56037.1640083897</v>
      </c>
      <c r="E240" s="5">
        <f t="shared" si="373"/>
        <v>210.0391662539954</v>
      </c>
      <c r="F240" s="5">
        <f t="shared" si="374"/>
        <v>258.86269231336973</v>
      </c>
      <c r="G240" s="5">
        <f t="shared" si="374"/>
        <v>280.13101788095275</v>
      </c>
      <c r="H240" s="1" t="s">
        <v>9</v>
      </c>
      <c r="I240" s="2">
        <f t="shared" si="445"/>
        <v>-0.28033923403109651</v>
      </c>
      <c r="J240" s="2">
        <f t="shared" ref="J240" si="469">+AVERAGE(B229:B240)/AVERAGE(B217:B228)-1</f>
        <v>2.783998665703602E-2</v>
      </c>
      <c r="K240" s="2">
        <f t="shared" si="447"/>
        <v>-3.6966842413090006E-2</v>
      </c>
      <c r="L240" s="2">
        <f t="shared" ref="L240" si="470">+F240/F228-1</f>
        <v>-0.24542211945721537</v>
      </c>
      <c r="O240" s="7"/>
      <c r="R240" s="7"/>
      <c r="S240" s="7"/>
      <c r="T240" s="7"/>
    </row>
    <row r="241" spans="1:20" x14ac:dyDescent="0.2">
      <c r="A241" s="3">
        <v>41640</v>
      </c>
      <c r="B241" s="4">
        <v>35516</v>
      </c>
      <c r="C241" s="5">
        <v>56249.516796244403</v>
      </c>
      <c r="D241" s="4">
        <v>55129.502186756501</v>
      </c>
      <c r="E241" s="5">
        <f t="shared" si="373"/>
        <v>174.42365854556914</v>
      </c>
      <c r="F241" s="5">
        <f t="shared" si="374"/>
        <v>276.88484500312518</v>
      </c>
      <c r="G241" s="5">
        <f t="shared" si="374"/>
        <v>275.59359643065022</v>
      </c>
      <c r="H241" s="1" t="s">
        <v>28</v>
      </c>
      <c r="I241" s="2">
        <f t="shared" si="445"/>
        <v>-0.18712807836674894</v>
      </c>
      <c r="J241" s="2">
        <f t="shared" ref="J241" si="471">+AVERAGE(B241:B241)/AVERAGE(B229:B229)-1</f>
        <v>-0.18712807836674905</v>
      </c>
      <c r="K241" s="2">
        <f t="shared" si="447"/>
        <v>6.9620510119467127E-2</v>
      </c>
      <c r="L241" s="2">
        <f t="shared" ref="L241" si="472">+F241/F240-1</f>
        <v>6.9620510119467127E-2</v>
      </c>
      <c r="O241" s="7"/>
      <c r="R241" s="7"/>
      <c r="S241" s="7"/>
      <c r="T241" s="7"/>
    </row>
    <row r="242" spans="1:20" x14ac:dyDescent="0.2">
      <c r="A242" s="3">
        <v>41671</v>
      </c>
      <c r="B242" s="4">
        <v>50729</v>
      </c>
      <c r="C242" s="5">
        <v>55469.5812377486</v>
      </c>
      <c r="D242" s="4">
        <v>54294.564381922697</v>
      </c>
      <c r="E242" s="5">
        <f t="shared" si="373"/>
        <v>249.13666444301654</v>
      </c>
      <c r="F242" s="5">
        <f t="shared" si="374"/>
        <v>273.04565937938389</v>
      </c>
      <c r="G242" s="5">
        <f t="shared" si="374"/>
        <v>271.41972394309244</v>
      </c>
      <c r="H242" s="1" t="s">
        <v>2</v>
      </c>
      <c r="I242" s="2">
        <f t="shared" si="445"/>
        <v>-6.8132427511404803E-3</v>
      </c>
      <c r="J242" s="2">
        <f t="shared" ref="J242" si="473">+AVERAGE(B241:B242)/AVERAGE(B229:B230)-1</f>
        <v>-8.9945024216779745E-2</v>
      </c>
      <c r="K242" s="2">
        <f t="shared" si="447"/>
        <v>-1.38656401497812E-2</v>
      </c>
      <c r="L242" s="2">
        <f t="shared" ref="L242" si="474">+F242/F240-1</f>
        <v>5.4789537029324986E-2</v>
      </c>
      <c r="O242" s="7"/>
      <c r="R242" s="7"/>
      <c r="S242" s="7"/>
      <c r="T242" s="7"/>
    </row>
    <row r="243" spans="1:20" x14ac:dyDescent="0.2">
      <c r="A243" s="3">
        <v>41699</v>
      </c>
      <c r="B243" s="4">
        <v>56145</v>
      </c>
      <c r="C243" s="5">
        <v>52975.954074941401</v>
      </c>
      <c r="D243" s="4">
        <v>53052.565700724903</v>
      </c>
      <c r="E243" s="5">
        <f t="shared" si="373"/>
        <v>275.73533925670063</v>
      </c>
      <c r="F243" s="5">
        <f t="shared" si="374"/>
        <v>260.77093046090272</v>
      </c>
      <c r="G243" s="5">
        <f t="shared" si="374"/>
        <v>265.21094516337672</v>
      </c>
      <c r="H243" s="1" t="s">
        <v>3</v>
      </c>
      <c r="I243" s="2">
        <f t="shared" si="445"/>
        <v>-0.26613598933416982</v>
      </c>
      <c r="J243" s="2">
        <f t="shared" ref="J243" si="475">+AVERAGE(B241:B243)/AVERAGE(B229:B231)-1</f>
        <v>-0.16864691285943645</v>
      </c>
      <c r="K243" s="2">
        <f t="shared" si="447"/>
        <v>-4.495485826942236E-2</v>
      </c>
      <c r="L243" s="2">
        <f t="shared" ref="L243" si="476">+F243/F240-1</f>
        <v>7.371622888102225E-3</v>
      </c>
      <c r="O243" s="7"/>
      <c r="R243" s="7"/>
      <c r="S243" s="7"/>
      <c r="T243" s="7"/>
    </row>
    <row r="244" spans="1:20" x14ac:dyDescent="0.2">
      <c r="A244" s="3">
        <v>41730</v>
      </c>
      <c r="B244" s="4">
        <v>57074</v>
      </c>
      <c r="C244" s="5">
        <v>54942.343159671997</v>
      </c>
      <c r="D244" s="4">
        <v>51242.420407355203</v>
      </c>
      <c r="E244" s="5">
        <f t="shared" si="373"/>
        <v>280.29777812337574</v>
      </c>
      <c r="F244" s="5">
        <f t="shared" si="374"/>
        <v>270.45036182230808</v>
      </c>
      <c r="G244" s="5">
        <f t="shared" si="374"/>
        <v>256.16198894803091</v>
      </c>
      <c r="H244" s="1" t="s">
        <v>4</v>
      </c>
      <c r="I244" s="2">
        <f t="shared" si="445"/>
        <v>-0.21914847042083951</v>
      </c>
      <c r="J244" s="2">
        <f t="shared" ref="J244" si="477">+AVERAGE(B241:B244)/AVERAGE(B229:B232)-1</f>
        <v>-0.18375230698089351</v>
      </c>
      <c r="K244" s="2">
        <f t="shared" si="447"/>
        <v>3.7118521394609916E-2</v>
      </c>
      <c r="L244" s="2">
        <f t="shared" ref="L244" si="478">+F244/F240-1</f>
        <v>4.4763768024597139E-2</v>
      </c>
      <c r="O244" s="7"/>
      <c r="R244" s="7"/>
      <c r="S244" s="7"/>
      <c r="T244" s="7"/>
    </row>
    <row r="245" spans="1:20" x14ac:dyDescent="0.2">
      <c r="A245" s="3">
        <v>41760</v>
      </c>
      <c r="B245" s="4">
        <v>49030</v>
      </c>
      <c r="C245" s="5">
        <v>47341.610484953599</v>
      </c>
      <c r="D245" s="4">
        <v>49058.272198926403</v>
      </c>
      <c r="E245" s="5">
        <f t="shared" si="373"/>
        <v>240.79265622506068</v>
      </c>
      <c r="F245" s="5">
        <f t="shared" si="374"/>
        <v>233.03621484975841</v>
      </c>
      <c r="G245" s="5">
        <f t="shared" si="374"/>
        <v>245.24338391765474</v>
      </c>
      <c r="H245" s="1" t="s">
        <v>3</v>
      </c>
      <c r="I245" s="2">
        <f t="shared" si="445"/>
        <v>-0.36274191242412812</v>
      </c>
      <c r="J245" s="2">
        <f t="shared" ref="J245" si="479">+AVERAGE(B241:B245)/AVERAGE(B229:B233)-1</f>
        <v>-0.22661263717453139</v>
      </c>
      <c r="K245" s="2">
        <f t="shared" si="447"/>
        <v>-0.13834016238858504</v>
      </c>
      <c r="L245" s="2">
        <f t="shared" ref="L245" si="480">+F245/F240-1</f>
        <v>-9.9769021301635563E-2</v>
      </c>
      <c r="O245" s="7"/>
      <c r="R245" s="7"/>
      <c r="S245" s="7"/>
      <c r="T245" s="7"/>
    </row>
    <row r="246" spans="1:20" x14ac:dyDescent="0.2">
      <c r="A246" s="3">
        <v>41791</v>
      </c>
      <c r="B246" s="4">
        <v>49024</v>
      </c>
      <c r="C246" s="5">
        <v>45950.527460567602</v>
      </c>
      <c r="D246" s="4">
        <v>47136.5697309795</v>
      </c>
      <c r="E246" s="5">
        <f t="shared" si="373"/>
        <v>240.76318945089486</v>
      </c>
      <c r="F246" s="5">
        <f t="shared" si="374"/>
        <v>226.18869278145661</v>
      </c>
      <c r="G246" s="5">
        <f t="shared" si="374"/>
        <v>235.63675092798903</v>
      </c>
      <c r="H246" s="1" t="s">
        <v>5</v>
      </c>
      <c r="I246" s="2">
        <f t="shared" si="445"/>
        <v>-0.19988248926898522</v>
      </c>
      <c r="J246" s="2">
        <f t="shared" ref="J246" si="481">+AVERAGE(B241:B246)/AVERAGE(B229:B234)-1</f>
        <v>-0.22233171361582116</v>
      </c>
      <c r="K246" s="2">
        <f t="shared" si="447"/>
        <v>-2.9383939628080946E-2</v>
      </c>
      <c r="L246" s="2">
        <f t="shared" ref="L246" si="482">+F246/F240-1</f>
        <v>-0.12622135403103651</v>
      </c>
      <c r="O246" s="7"/>
      <c r="R246" s="7"/>
      <c r="S246" s="7"/>
      <c r="T246" s="7"/>
    </row>
    <row r="247" spans="1:20" x14ac:dyDescent="0.2">
      <c r="A247" s="3">
        <v>41821</v>
      </c>
      <c r="B247" s="4">
        <v>47290</v>
      </c>
      <c r="C247" s="5">
        <v>45779.437032580303</v>
      </c>
      <c r="D247" s="4">
        <v>46207.268032950502</v>
      </c>
      <c r="E247" s="5">
        <f t="shared" si="373"/>
        <v>232.2472917169716</v>
      </c>
      <c r="F247" s="5">
        <f t="shared" si="374"/>
        <v>225.34651049558238</v>
      </c>
      <c r="G247" s="5">
        <f t="shared" si="374"/>
        <v>230.99115125866268</v>
      </c>
      <c r="H247" s="1" t="s">
        <v>5</v>
      </c>
      <c r="I247" s="2">
        <f t="shared" si="445"/>
        <v>-0.31977388127328432</v>
      </c>
      <c r="J247" s="2">
        <f t="shared" ref="J247" si="483">+AVERAGE(B241:B247)/AVERAGE(B229:B235)-1</f>
        <v>-0.23731580321080825</v>
      </c>
      <c r="K247" s="2">
        <f t="shared" si="447"/>
        <v>-3.7233615682458199E-3</v>
      </c>
      <c r="L247" s="2">
        <f t="shared" ref="L247" si="484">+F247/F240-1</f>
        <v>-0.12947474786059121</v>
      </c>
      <c r="O247" s="7"/>
      <c r="R247" s="7"/>
      <c r="S247" s="7"/>
      <c r="T247" s="7"/>
    </row>
    <row r="248" spans="1:20" x14ac:dyDescent="0.2">
      <c r="A248" s="3">
        <v>41852</v>
      </c>
      <c r="B248" s="4">
        <v>44454</v>
      </c>
      <c r="C248" s="5">
        <v>41820.492136728099</v>
      </c>
      <c r="D248" s="4">
        <v>46351.564165541298</v>
      </c>
      <c r="E248" s="5">
        <f t="shared" si="373"/>
        <v>218.31932979459202</v>
      </c>
      <c r="F248" s="5">
        <f t="shared" si="374"/>
        <v>205.85884364442219</v>
      </c>
      <c r="G248" s="5">
        <f t="shared" si="374"/>
        <v>231.7124908056264</v>
      </c>
      <c r="H248" s="1" t="s">
        <v>4</v>
      </c>
      <c r="I248" s="2">
        <f t="shared" si="445"/>
        <v>-0.33792055761583484</v>
      </c>
      <c r="J248" s="2">
        <f t="shared" ref="J248" si="485">+AVERAGE(B241:B248)/AVERAGE(B229:B236)-1</f>
        <v>-0.25032499359642246</v>
      </c>
      <c r="K248" s="2">
        <f t="shared" si="447"/>
        <v>-8.6478671483764646E-2</v>
      </c>
      <c r="L248" s="2">
        <f t="shared" ref="L248" si="486">+F248/F240-1</f>
        <v>-0.20475661515867649</v>
      </c>
      <c r="O248" s="7"/>
      <c r="R248" s="7"/>
      <c r="S248" s="7"/>
      <c r="T248" s="7"/>
    </row>
    <row r="249" spans="1:20" x14ac:dyDescent="0.2">
      <c r="A249" s="3">
        <v>41883</v>
      </c>
      <c r="B249" s="4">
        <v>56378</v>
      </c>
      <c r="C249" s="5">
        <v>48498.062017315999</v>
      </c>
      <c r="D249" s="4">
        <v>47193.742375884904</v>
      </c>
      <c r="E249" s="5">
        <f t="shared" si="373"/>
        <v>276.8796323201401</v>
      </c>
      <c r="F249" s="5">
        <f t="shared" si="374"/>
        <v>238.72877758681588</v>
      </c>
      <c r="G249" s="5">
        <f t="shared" si="374"/>
        <v>235.92255823989902</v>
      </c>
      <c r="H249" s="1" t="s">
        <v>6</v>
      </c>
      <c r="I249" s="2">
        <f t="shared" si="445"/>
        <v>-0.1881282221134184</v>
      </c>
      <c r="J249" s="2">
        <f t="shared" ref="J249" si="487">+AVERAGE(B241:B249)/AVERAGE(B229:B237)-1</f>
        <v>-0.24298816171012239</v>
      </c>
      <c r="K249" s="2">
        <f t="shared" si="447"/>
        <v>0.15967219751398964</v>
      </c>
      <c r="L249" s="2">
        <f t="shared" ref="L249" si="488">+F249/F240-1</f>
        <v>-7.7778356342599109E-2</v>
      </c>
      <c r="O249" s="7"/>
      <c r="R249" s="7"/>
      <c r="S249" s="7"/>
      <c r="T249" s="7"/>
    </row>
    <row r="250" spans="1:20" x14ac:dyDescent="0.2">
      <c r="A250" s="3">
        <v>41913</v>
      </c>
      <c r="B250" s="4">
        <v>58882</v>
      </c>
      <c r="C250" s="5">
        <v>50522.355539148601</v>
      </c>
      <c r="D250" s="4">
        <v>48277.165851063903</v>
      </c>
      <c r="E250" s="5">
        <f t="shared" si="373"/>
        <v>289.17709940534411</v>
      </c>
      <c r="F250" s="5">
        <f t="shared" si="374"/>
        <v>248.69324003835595</v>
      </c>
      <c r="G250" s="5">
        <f t="shared" si="374"/>
        <v>241.33861606988791</v>
      </c>
      <c r="H250" s="1" t="s">
        <v>7</v>
      </c>
      <c r="I250" s="2">
        <f t="shared" si="445"/>
        <v>-0.19325359310562151</v>
      </c>
      <c r="J250" s="2">
        <f t="shared" ref="J250" si="489">+AVERAGE(B241:B250)/AVERAGE(B229:B238)-1</f>
        <v>-0.23750207807517343</v>
      </c>
      <c r="K250" s="2">
        <f t="shared" si="447"/>
        <v>4.1739678610453357E-2</v>
      </c>
      <c r="L250" s="2">
        <f t="shared" ref="L250" si="490">+F250/F240-1</f>
        <v>-3.9285121328735184E-2</v>
      </c>
      <c r="O250" s="7"/>
      <c r="R250" s="7"/>
      <c r="S250" s="7"/>
      <c r="T250" s="7"/>
    </row>
    <row r="251" spans="1:20" x14ac:dyDescent="0.2">
      <c r="A251" s="3">
        <v>41944</v>
      </c>
      <c r="B251" s="4">
        <v>52826</v>
      </c>
      <c r="C251" s="5">
        <v>49569.448687346303</v>
      </c>
      <c r="D251" s="4">
        <v>48984.258502099903</v>
      </c>
      <c r="E251" s="5">
        <f t="shared" si="373"/>
        <v>259.43530201397215</v>
      </c>
      <c r="F251" s="5">
        <f t="shared" si="374"/>
        <v>244.00261368294323</v>
      </c>
      <c r="G251" s="5">
        <f t="shared" si="374"/>
        <v>244.87338781603128</v>
      </c>
      <c r="H251" s="1" t="s">
        <v>8</v>
      </c>
      <c r="I251" s="2">
        <f t="shared" si="445"/>
        <v>-0.11548314719622255</v>
      </c>
      <c r="J251" s="2">
        <f t="shared" ref="J251" si="491">+AVERAGE(B241:B251)/AVERAGE(B229:B239)-1</f>
        <v>-0.22740032132277421</v>
      </c>
      <c r="K251" s="2">
        <f t="shared" si="447"/>
        <v>-1.8861093106870452E-2</v>
      </c>
      <c r="L251" s="2">
        <f t="shared" ref="L251" si="492">+F251/F240-1</f>
        <v>-5.7405254104509695E-2</v>
      </c>
      <c r="O251" s="7"/>
      <c r="R251" s="7"/>
      <c r="S251" s="7"/>
      <c r="T251" s="7"/>
    </row>
    <row r="252" spans="1:20" x14ac:dyDescent="0.2">
      <c r="A252" s="3">
        <v>41974</v>
      </c>
      <c r="B252" s="4">
        <v>39494</v>
      </c>
      <c r="C252" s="5">
        <v>48109.852492785503</v>
      </c>
      <c r="D252" s="4">
        <v>48772.660655347201</v>
      </c>
      <c r="E252" s="5">
        <f t="shared" si="373"/>
        <v>193.96012981751062</v>
      </c>
      <c r="F252" s="5">
        <f t="shared" si="374"/>
        <v>236.81783967746944</v>
      </c>
      <c r="G252" s="5">
        <f t="shared" si="374"/>
        <v>243.81560551670972</v>
      </c>
      <c r="H252" s="1" t="s">
        <v>9</v>
      </c>
      <c r="I252" s="2">
        <f t="shared" si="445"/>
        <v>-7.6552562663673829E-2</v>
      </c>
      <c r="J252" s="2">
        <f t="shared" ref="J252" si="493">+AVERAGE(B241:B252)/AVERAGE(B229:B240)-1</f>
        <v>-0.21895778507408781</v>
      </c>
      <c r="K252" s="2">
        <f t="shared" si="447"/>
        <v>-2.9445479689859777E-2</v>
      </c>
      <c r="L252" s="2">
        <f t="shared" ref="L252" si="494">+F252/F240-1</f>
        <v>-8.5160408550543854E-2</v>
      </c>
      <c r="O252" s="7"/>
      <c r="R252" s="7"/>
      <c r="S252" s="7"/>
      <c r="T252" s="7"/>
    </row>
    <row r="253" spans="1:20" x14ac:dyDescent="0.2">
      <c r="A253" s="3">
        <v>42005</v>
      </c>
      <c r="B253" s="4">
        <v>25213</v>
      </c>
      <c r="C253" s="5">
        <v>47063.637704828303</v>
      </c>
      <c r="D253" s="4">
        <v>47885.904884192903</v>
      </c>
      <c r="E253" s="5">
        <f t="shared" si="373"/>
        <v>123.82429617382122</v>
      </c>
      <c r="F253" s="5">
        <f t="shared" si="374"/>
        <v>231.66791064869508</v>
      </c>
      <c r="G253" s="5">
        <f t="shared" si="374"/>
        <v>239.38269387349968</v>
      </c>
      <c r="H253" s="1" t="s">
        <v>29</v>
      </c>
      <c r="I253" s="2">
        <f t="shared" si="445"/>
        <v>-0.29009460524833874</v>
      </c>
      <c r="J253" s="2">
        <f>+AVERAGE(B253:B253)/AVERAGE(B241:B241)-1</f>
        <v>-0.29009460524833874</v>
      </c>
      <c r="K253" s="2">
        <f t="shared" si="447"/>
        <v>-2.1746372806154435E-2</v>
      </c>
      <c r="L253" s="2">
        <f t="shared" ref="L253" si="495">+F253/F252-1</f>
        <v>-2.1746372806154435E-2</v>
      </c>
      <c r="O253" s="7"/>
      <c r="R253" s="7"/>
      <c r="S253" s="7"/>
      <c r="T253" s="7"/>
    </row>
    <row r="254" spans="1:20" x14ac:dyDescent="0.2">
      <c r="A254" s="3">
        <v>42036</v>
      </c>
      <c r="B254" s="4">
        <v>44164</v>
      </c>
      <c r="C254" s="5">
        <v>48021.251063788302</v>
      </c>
      <c r="D254" s="4">
        <v>46630.782613070704</v>
      </c>
      <c r="E254" s="5">
        <f t="shared" si="373"/>
        <v>216.8951023765772</v>
      </c>
      <c r="F254" s="5">
        <f t="shared" si="374"/>
        <v>236.38170450098764</v>
      </c>
      <c r="G254" s="5">
        <f t="shared" si="374"/>
        <v>233.10830997852108</v>
      </c>
      <c r="H254" s="1" t="s">
        <v>2</v>
      </c>
      <c r="I254" s="2">
        <f t="shared" si="445"/>
        <v>-0.12941315618285387</v>
      </c>
      <c r="J254" s="2">
        <f>+AVERAGE(B253:B254)/AVERAGE(B241:B242)-1</f>
        <v>-0.19558235260015078</v>
      </c>
      <c r="K254" s="2">
        <f t="shared" si="447"/>
        <v>2.0347202334123127E-2</v>
      </c>
      <c r="L254" s="2">
        <f t="shared" ref="L254" si="496">+F254/F252-1</f>
        <v>-1.8416483195513589E-3</v>
      </c>
      <c r="O254" s="7"/>
      <c r="R254" s="7"/>
      <c r="S254" s="7"/>
      <c r="T254" s="7"/>
    </row>
    <row r="255" spans="1:20" x14ac:dyDescent="0.2">
      <c r="A255" s="3">
        <v>42064</v>
      </c>
      <c r="B255" s="4">
        <v>50438</v>
      </c>
      <c r="C255" s="5">
        <v>45580.634610757603</v>
      </c>
      <c r="D255" s="4">
        <v>45406.557175395101</v>
      </c>
      <c r="E255" s="5">
        <f t="shared" si="373"/>
        <v>247.7075258959741</v>
      </c>
      <c r="F255" s="5">
        <f t="shared" si="374"/>
        <v>224.36791759580657</v>
      </c>
      <c r="G255" s="5">
        <f t="shared" si="374"/>
        <v>226.98838003487728</v>
      </c>
      <c r="H255" s="1" t="s">
        <v>3</v>
      </c>
      <c r="I255" s="2">
        <f t="shared" si="445"/>
        <v>-0.10164751981476539</v>
      </c>
      <c r="J255" s="2">
        <f>+AVERAGE(B253:B255)/AVERAGE(B241:B243)-1</f>
        <v>-0.15854343703911788</v>
      </c>
      <c r="K255" s="2">
        <f t="shared" si="447"/>
        <v>-5.0823674914023953E-2</v>
      </c>
      <c r="L255" s="2">
        <f t="shared" ref="L255" si="497">+F255/F252-1</f>
        <v>-5.2571723898076517E-2</v>
      </c>
      <c r="O255" s="7"/>
      <c r="R255" s="7"/>
      <c r="S255" s="7"/>
      <c r="T255" s="7"/>
    </row>
    <row r="256" spans="1:20" x14ac:dyDescent="0.2">
      <c r="A256" s="3">
        <v>42095</v>
      </c>
      <c r="B256" s="4">
        <v>44638</v>
      </c>
      <c r="C256" s="5">
        <v>41576.2947299718</v>
      </c>
      <c r="D256" s="4">
        <v>44684.363587604603</v>
      </c>
      <c r="E256" s="5">
        <f t="shared" si="373"/>
        <v>219.22297753567727</v>
      </c>
      <c r="F256" s="5">
        <f t="shared" si="374"/>
        <v>204.65679667636007</v>
      </c>
      <c r="G256" s="5">
        <f t="shared" si="374"/>
        <v>223.37811837308868</v>
      </c>
      <c r="H256" s="1" t="s">
        <v>4</v>
      </c>
      <c r="I256" s="2">
        <f t="shared" si="445"/>
        <v>-0.21789256053544526</v>
      </c>
      <c r="J256" s="2">
        <f>+AVERAGE(B253:B256)/AVERAGE(B241:B244)-1</f>
        <v>-0.1755254080936911</v>
      </c>
      <c r="K256" s="2">
        <f t="shared" si="447"/>
        <v>-8.7851779927625939E-2</v>
      </c>
      <c r="L256" s="2">
        <f t="shared" ref="L256" si="498">+F256/F252-1</f>
        <v>-0.13580498430739263</v>
      </c>
      <c r="O256" s="7"/>
      <c r="R256" s="7"/>
      <c r="S256" s="7"/>
      <c r="T256" s="7"/>
    </row>
    <row r="257" spans="1:20" x14ac:dyDescent="0.2">
      <c r="A257" s="3">
        <v>42125</v>
      </c>
      <c r="B257" s="4">
        <v>44003</v>
      </c>
      <c r="C257" s="5">
        <v>43793.297231736702</v>
      </c>
      <c r="D257" s="4">
        <v>44395.790550932703</v>
      </c>
      <c r="E257" s="5">
        <f t="shared" si="373"/>
        <v>216.10441060312758</v>
      </c>
      <c r="F257" s="5">
        <f t="shared" si="374"/>
        <v>215.56985742844284</v>
      </c>
      <c r="G257" s="5">
        <f t="shared" si="374"/>
        <v>221.93553540290495</v>
      </c>
      <c r="H257" s="1" t="s">
        <v>3</v>
      </c>
      <c r="I257" s="2">
        <f t="shared" si="445"/>
        <v>-0.10252906383846627</v>
      </c>
      <c r="J257" s="2">
        <f>+AVERAGE(B253:B257)/AVERAGE(B241:B245)-1</f>
        <v>-0.1611226025578083</v>
      </c>
      <c r="K257" s="2">
        <f t="shared" si="447"/>
        <v>5.3323715260434001E-2</v>
      </c>
      <c r="L257" s="2">
        <f t="shared" ref="L257" si="499">+F257/F252-1</f>
        <v>-8.9722895361113664E-2</v>
      </c>
      <c r="O257" s="7"/>
      <c r="R257" s="7"/>
      <c r="S257" s="7"/>
      <c r="T257" s="7"/>
    </row>
    <row r="258" spans="1:20" x14ac:dyDescent="0.2">
      <c r="A258" s="3">
        <v>42156</v>
      </c>
      <c r="B258" s="4">
        <v>51955</v>
      </c>
      <c r="C258" s="5">
        <v>47738.857295376903</v>
      </c>
      <c r="D258" s="4">
        <v>44331.939432208499</v>
      </c>
      <c r="E258" s="5">
        <f t="shared" ref="E258:E302" si="500">+B258/AVERAGE(B$121:B$132)*100</f>
        <v>255.1577086309</v>
      </c>
      <c r="F258" s="5">
        <f t="shared" ref="F258:G301" si="501">+C258/AVERAGE(C$121:C$132)*100</f>
        <v>234.99163825242459</v>
      </c>
      <c r="G258" s="5">
        <f t="shared" si="501"/>
        <v>221.61634225318787</v>
      </c>
      <c r="H258" s="1" t="s">
        <v>5</v>
      </c>
      <c r="I258" s="2">
        <f t="shared" si="445"/>
        <v>5.9787043080939961E-2</v>
      </c>
      <c r="J258" s="2">
        <f>+AVERAGE(B253:B258)/AVERAGE(B241:B246)-1</f>
        <v>-0.12472186556779752</v>
      </c>
      <c r="K258" s="2">
        <f t="shared" si="447"/>
        <v>9.0095067351559921E-2</v>
      </c>
      <c r="L258" s="2">
        <f t="shared" ref="L258" si="502">+F258/F252-1</f>
        <v>-7.7114183100901457E-3</v>
      </c>
      <c r="O258" s="7"/>
      <c r="R258" s="7"/>
      <c r="S258" s="7"/>
      <c r="T258" s="7"/>
    </row>
    <row r="259" spans="1:20" x14ac:dyDescent="0.2">
      <c r="A259" s="3">
        <v>42186</v>
      </c>
      <c r="B259" s="4">
        <v>43492</v>
      </c>
      <c r="C259" s="5">
        <v>42074.174519223103</v>
      </c>
      <c r="D259" s="4">
        <v>44233.678028320603</v>
      </c>
      <c r="E259" s="5">
        <f t="shared" si="500"/>
        <v>213.59482367000484</v>
      </c>
      <c r="F259" s="5">
        <f t="shared" si="501"/>
        <v>207.10757983199852</v>
      </c>
      <c r="G259" s="5">
        <f t="shared" si="501"/>
        <v>221.12513132956929</v>
      </c>
      <c r="H259" s="1" t="s">
        <v>5</v>
      </c>
      <c r="I259" s="2">
        <f t="shared" si="445"/>
        <v>-8.0312962571368107E-2</v>
      </c>
      <c r="J259" s="2">
        <f>+AVERAGE(B253:B259)/AVERAGE(B241:B247)-1</f>
        <v>-0.11863123825433297</v>
      </c>
      <c r="K259" s="2">
        <f t="shared" si="447"/>
        <v>-0.11865978988781478</v>
      </c>
      <c r="L259" s="2">
        <f t="shared" ref="L259" si="503">+F259/F252-1</f>
        <v>-0.12545617292149258</v>
      </c>
      <c r="O259" s="7"/>
      <c r="R259" s="7"/>
      <c r="S259" s="7"/>
      <c r="T259" s="7"/>
    </row>
    <row r="260" spans="1:20" x14ac:dyDescent="0.2">
      <c r="A260" s="3">
        <v>42217</v>
      </c>
      <c r="B260" s="4">
        <v>47574</v>
      </c>
      <c r="C260" s="5">
        <v>45232.600555774399</v>
      </c>
      <c r="D260" s="4">
        <v>43884.579787283103</v>
      </c>
      <c r="E260" s="5">
        <f t="shared" si="500"/>
        <v>233.64205236082066</v>
      </c>
      <c r="F260" s="5">
        <f t="shared" si="501"/>
        <v>222.6547410058831</v>
      </c>
      <c r="G260" s="5">
        <f t="shared" si="501"/>
        <v>219.379981528847</v>
      </c>
      <c r="H260" s="1" t="s">
        <v>4</v>
      </c>
      <c r="I260" s="2">
        <f t="shared" si="445"/>
        <v>7.0184910244297516E-2</v>
      </c>
      <c r="J260" s="2">
        <f>+AVERAGE(B253:B260)/AVERAGE(B241:B248)-1</f>
        <v>-9.7068298472494097E-2</v>
      </c>
      <c r="K260" s="2">
        <f t="shared" si="447"/>
        <v>7.5068045247286941E-2</v>
      </c>
      <c r="L260" s="2">
        <f t="shared" ref="L260" si="504">+F260/F252-1</f>
        <v>-5.9805877339627611E-2</v>
      </c>
      <c r="O260" s="7"/>
      <c r="R260" s="7"/>
      <c r="S260" s="7"/>
      <c r="T260" s="7"/>
    </row>
    <row r="261" spans="1:20" x14ac:dyDescent="0.2">
      <c r="A261" s="3">
        <v>42248</v>
      </c>
      <c r="B261" s="4">
        <v>52977</v>
      </c>
      <c r="C261" s="5">
        <v>45563.371394408801</v>
      </c>
      <c r="D261" s="4">
        <v>43118.029390103198</v>
      </c>
      <c r="E261" s="5">
        <f t="shared" si="500"/>
        <v>260.17688249714541</v>
      </c>
      <c r="F261" s="5">
        <f t="shared" si="501"/>
        <v>224.28294045724186</v>
      </c>
      <c r="G261" s="5">
        <f t="shared" si="501"/>
        <v>215.54797919934106</v>
      </c>
      <c r="H261" s="1" t="s">
        <v>6</v>
      </c>
      <c r="I261" s="2">
        <f t="shared" si="445"/>
        <v>-6.0324949448366305E-2</v>
      </c>
      <c r="J261" s="2">
        <f>+AVERAGE(B253:B261)/AVERAGE(B241:B249)-1</f>
        <v>-9.2419890494569557E-2</v>
      </c>
      <c r="K261" s="2">
        <f t="shared" si="447"/>
        <v>7.3126646394461314E-3</v>
      </c>
      <c r="L261" s="2">
        <f t="shared" ref="L261" si="505">+F261/F252-1</f>
        <v>-5.2930553024634008E-2</v>
      </c>
      <c r="O261" s="7"/>
      <c r="R261" s="7"/>
      <c r="S261" s="7"/>
      <c r="T261" s="7"/>
    </row>
    <row r="262" spans="1:20" x14ac:dyDescent="0.2">
      <c r="A262" s="3">
        <v>42278</v>
      </c>
      <c r="B262" s="4">
        <v>45240</v>
      </c>
      <c r="C262" s="5">
        <v>39424.1490164715</v>
      </c>
      <c r="D262" s="4">
        <v>41961.015054765303</v>
      </c>
      <c r="E262" s="5">
        <f t="shared" si="500"/>
        <v>222.17947721031499</v>
      </c>
      <c r="F262" s="5">
        <f t="shared" si="501"/>
        <v>194.06298954259896</v>
      </c>
      <c r="G262" s="5">
        <f t="shared" si="501"/>
        <v>209.76403903754891</v>
      </c>
      <c r="H262" s="1" t="s">
        <v>7</v>
      </c>
      <c r="I262" s="2">
        <f t="shared" si="445"/>
        <v>-0.23168370639584257</v>
      </c>
      <c r="J262" s="2">
        <f>+AVERAGE(B253:B262)/AVERAGE(B241:B250)-1</f>
        <v>-0.10867315994148907</v>
      </c>
      <c r="K262" s="2">
        <f t="shared" si="447"/>
        <v>-0.13474030103686885</v>
      </c>
      <c r="L262" s="2">
        <f t="shared" ref="L262" si="506">+F262/F252-1</f>
        <v>-0.18053897541291575</v>
      </c>
      <c r="O262" s="7"/>
      <c r="R262" s="7"/>
      <c r="S262" s="7"/>
      <c r="T262" s="7"/>
    </row>
    <row r="263" spans="1:20" x14ac:dyDescent="0.2">
      <c r="A263" s="3">
        <v>42309</v>
      </c>
      <c r="B263" s="4">
        <v>45478</v>
      </c>
      <c r="C263" s="5">
        <v>40919.253118666798</v>
      </c>
      <c r="D263" s="4">
        <v>40899.119787326599</v>
      </c>
      <c r="E263" s="5">
        <f t="shared" si="500"/>
        <v>223.3483259188927</v>
      </c>
      <c r="F263" s="5">
        <f t="shared" si="501"/>
        <v>201.42254907622896</v>
      </c>
      <c r="G263" s="5">
        <f t="shared" si="501"/>
        <v>204.45560119251388</v>
      </c>
      <c r="H263" s="1" t="s">
        <v>8</v>
      </c>
      <c r="I263" s="2">
        <f t="shared" si="445"/>
        <v>-0.13909817135501457</v>
      </c>
      <c r="J263" s="2">
        <f>+AVERAGE(B253:B263)/AVERAGE(B241:B251)-1</f>
        <v>-0.11155687290525851</v>
      </c>
      <c r="K263" s="2">
        <f t="shared" si="447"/>
        <v>3.7923560545863433E-2</v>
      </c>
      <c r="L263" s="2">
        <f t="shared" ref="L263" si="507">+F263/F252-1</f>
        <v>-0.14946209563201218</v>
      </c>
      <c r="O263" s="7"/>
      <c r="R263" s="7"/>
      <c r="S263" s="7"/>
      <c r="T263" s="7"/>
    </row>
    <row r="264" spans="1:20" x14ac:dyDescent="0.2">
      <c r="A264" s="3">
        <v>42339</v>
      </c>
      <c r="B264" s="4">
        <v>31485</v>
      </c>
      <c r="C264" s="5">
        <v>39707.597566322402</v>
      </c>
      <c r="D264" s="4">
        <v>40300.387152237898</v>
      </c>
      <c r="E264" s="5">
        <f t="shared" si="500"/>
        <v>154.62689743516285</v>
      </c>
      <c r="F264" s="5">
        <f t="shared" si="501"/>
        <v>195.45824788901496</v>
      </c>
      <c r="G264" s="5">
        <f t="shared" si="501"/>
        <v>201.46252355423738</v>
      </c>
      <c r="H264" s="1" t="s">
        <v>9</v>
      </c>
      <c r="I264" s="2">
        <f t="shared" si="445"/>
        <v>-0.20279029726034337</v>
      </c>
      <c r="J264" s="2">
        <f>+AVERAGE(B253:B264)/AVERAGE(B241:B252)-1</f>
        <v>-0.11759393608358659</v>
      </c>
      <c r="K264" s="2">
        <f t="shared" si="447"/>
        <v>-2.9610891206410028E-2</v>
      </c>
      <c r="L264" s="2">
        <f t="shared" ref="L264" si="508">+F264/F252-1</f>
        <v>-0.17464728098518068</v>
      </c>
      <c r="O264" s="7"/>
      <c r="R264" s="7"/>
      <c r="S264" s="7"/>
      <c r="T264" s="7"/>
    </row>
    <row r="265" spans="1:20" x14ac:dyDescent="0.2">
      <c r="A265" s="3">
        <v>42370</v>
      </c>
      <c r="B265" s="4">
        <v>17785</v>
      </c>
      <c r="C265" s="5">
        <v>40460.781695048601</v>
      </c>
      <c r="D265" s="4">
        <v>40050.258066189803</v>
      </c>
      <c r="E265" s="5">
        <f t="shared" si="500"/>
        <v>87.344429756530772</v>
      </c>
      <c r="F265" s="5">
        <f t="shared" si="501"/>
        <v>199.16575121738296</v>
      </c>
      <c r="G265" s="5">
        <f t="shared" si="501"/>
        <v>200.21212274048824</v>
      </c>
      <c r="H265" s="1" t="s">
        <v>30</v>
      </c>
      <c r="I265" s="2">
        <f t="shared" si="445"/>
        <v>-0.29460992345218739</v>
      </c>
      <c r="J265" s="2">
        <f>+AVERAGE(B265:B265)/AVERAGE(B253:B253)-1</f>
        <v>-0.29460992345218739</v>
      </c>
      <c r="K265" s="2">
        <f t="shared" si="447"/>
        <v>1.8968262370146594E-2</v>
      </c>
      <c r="L265" s="2">
        <f t="shared" ref="L265" si="509">+F265/F264-1</f>
        <v>1.8968262370146594E-2</v>
      </c>
      <c r="O265" s="7"/>
      <c r="R265" s="7"/>
      <c r="S265" s="7"/>
      <c r="T265" s="7"/>
    </row>
    <row r="266" spans="1:20" x14ac:dyDescent="0.2">
      <c r="A266" s="3">
        <v>42401</v>
      </c>
      <c r="B266" s="4">
        <v>34174</v>
      </c>
      <c r="C266" s="5">
        <v>38655.118842960699</v>
      </c>
      <c r="D266" s="4">
        <v>39930.045349973101</v>
      </c>
      <c r="E266" s="5">
        <f t="shared" si="500"/>
        <v>167.83292339047978</v>
      </c>
      <c r="F266" s="5">
        <f t="shared" si="501"/>
        <v>190.27748501699421</v>
      </c>
      <c r="G266" s="5">
        <f t="shared" si="501"/>
        <v>199.61117672275299</v>
      </c>
      <c r="H266" s="1" t="s">
        <v>2</v>
      </c>
      <c r="I266" s="2">
        <f t="shared" si="445"/>
        <v>-0.22620233674486012</v>
      </c>
      <c r="J266" s="2">
        <f>+AVERAGE(B265:B266)/AVERAGE(B253:B254)-1</f>
        <v>-0.2510630324170835</v>
      </c>
      <c r="K266" s="2">
        <f t="shared" si="447"/>
        <v>-4.4627483119261346E-2</v>
      </c>
      <c r="L266" s="2">
        <f t="shared" ref="L266" si="510">+F266/F264-1</f>
        <v>-2.6505726557840115E-2</v>
      </c>
      <c r="O266" s="7"/>
      <c r="R266" s="7"/>
      <c r="S266" s="7"/>
      <c r="T266" s="7"/>
    </row>
    <row r="267" spans="1:20" x14ac:dyDescent="0.2">
      <c r="A267" s="3">
        <v>42430</v>
      </c>
      <c r="B267" s="4">
        <v>46209</v>
      </c>
      <c r="C267" s="5">
        <v>40376.524819804203</v>
      </c>
      <c r="D267" s="4">
        <v>39880.366815532303</v>
      </c>
      <c r="E267" s="5">
        <f t="shared" si="500"/>
        <v>226.93836123809561</v>
      </c>
      <c r="F267" s="5">
        <f t="shared" si="501"/>
        <v>198.75100184403277</v>
      </c>
      <c r="G267" s="5">
        <f t="shared" si="501"/>
        <v>199.36283263421825</v>
      </c>
      <c r="H267" s="1" t="s">
        <v>3</v>
      </c>
      <c r="I267" s="2">
        <f t="shared" si="445"/>
        <v>-8.3845513303461794E-2</v>
      </c>
      <c r="J267" s="2">
        <f>+AVERAGE(B265:B267)/AVERAGE(B253:B255)-1</f>
        <v>-0.18067019989149946</v>
      </c>
      <c r="K267" s="2">
        <f t="shared" si="447"/>
        <v>4.4532419725233252E-2</v>
      </c>
      <c r="L267" s="2">
        <f t="shared" ref="L267" si="511">+F267/F264-1</f>
        <v>1.6846329027197182E-2</v>
      </c>
      <c r="O267" s="7"/>
      <c r="R267" s="7"/>
      <c r="S267" s="7"/>
      <c r="T267" s="7"/>
    </row>
    <row r="268" spans="1:20" x14ac:dyDescent="0.2">
      <c r="A268" s="3">
        <v>42461</v>
      </c>
      <c r="B268" s="4">
        <v>44447</v>
      </c>
      <c r="C268" s="5">
        <v>42538.368185861204</v>
      </c>
      <c r="D268" s="4">
        <v>39605.970557959903</v>
      </c>
      <c r="E268" s="5">
        <f t="shared" si="500"/>
        <v>218.28495189139855</v>
      </c>
      <c r="F268" s="5">
        <f t="shared" si="501"/>
        <v>209.39254508608411</v>
      </c>
      <c r="G268" s="5">
        <f t="shared" si="501"/>
        <v>197.99111969519493</v>
      </c>
      <c r="H268" s="1" t="s">
        <v>4</v>
      </c>
      <c r="I268" s="2">
        <f t="shared" si="445"/>
        <v>-4.2788655405707754E-3</v>
      </c>
      <c r="J268" s="2">
        <f>+AVERAGE(B265:B268)/AVERAGE(B253:B256)-1</f>
        <v>-0.13279173988920845</v>
      </c>
      <c r="K268" s="2">
        <f t="shared" si="447"/>
        <v>5.3542086043934178E-2</v>
      </c>
      <c r="L268" s="2">
        <f t="shared" ref="L268" si="512">+F268/F264-1</f>
        <v>7.1290402669430097E-2</v>
      </c>
      <c r="O268" s="7"/>
      <c r="R268" s="7"/>
      <c r="S268" s="7"/>
      <c r="T268" s="7"/>
    </row>
    <row r="269" spans="1:20" x14ac:dyDescent="0.2">
      <c r="A269" s="3">
        <v>42491</v>
      </c>
      <c r="B269" s="4">
        <v>39768</v>
      </c>
      <c r="C269" s="5">
        <v>37613.9004032343</v>
      </c>
      <c r="D269" s="4">
        <v>38999.320314174503</v>
      </c>
      <c r="E269" s="5">
        <f t="shared" si="500"/>
        <v>195.30577917108326</v>
      </c>
      <c r="F269" s="5">
        <f t="shared" si="501"/>
        <v>185.15215021025523</v>
      </c>
      <c r="G269" s="5">
        <f t="shared" si="501"/>
        <v>194.95846175654748</v>
      </c>
      <c r="H269" s="1" t="s">
        <v>3</v>
      </c>
      <c r="I269" s="2">
        <f t="shared" si="445"/>
        <v>-9.6243437947412747E-2</v>
      </c>
      <c r="J269" s="2">
        <f>+AVERAGE(B265:B269)/AVERAGE(B253:B257)-1</f>
        <v>-0.12507675480676972</v>
      </c>
      <c r="K269" s="2">
        <f t="shared" si="447"/>
        <v>-0.11576531946666646</v>
      </c>
      <c r="L269" s="2">
        <f t="shared" ref="L269" si="513">+F269/F264-1</f>
        <v>-5.2727873037170192E-2</v>
      </c>
      <c r="O269" s="7"/>
      <c r="R269" s="7"/>
      <c r="S269" s="7"/>
      <c r="T269" s="7"/>
    </row>
    <row r="270" spans="1:20" x14ac:dyDescent="0.2">
      <c r="A270" s="3">
        <v>42522</v>
      </c>
      <c r="B270" s="4">
        <v>41655</v>
      </c>
      <c r="C270" s="5">
        <v>37662.447275230901</v>
      </c>
      <c r="D270" s="4">
        <v>38341.830940804801</v>
      </c>
      <c r="E270" s="5">
        <f t="shared" si="500"/>
        <v>204.57307964623502</v>
      </c>
      <c r="F270" s="5">
        <f t="shared" si="501"/>
        <v>185.39111925201351</v>
      </c>
      <c r="G270" s="5">
        <f t="shared" si="501"/>
        <v>191.67165788866456</v>
      </c>
      <c r="H270" s="1" t="s">
        <v>5</v>
      </c>
      <c r="I270" s="2">
        <f t="shared" si="445"/>
        <v>-0.19824848426522945</v>
      </c>
      <c r="J270" s="2">
        <f>+AVERAGE(B265:B270)/AVERAGE(B253:B258)-1</f>
        <v>-0.1396753593358192</v>
      </c>
      <c r="K270" s="2">
        <f t="shared" si="447"/>
        <v>1.2906630654134776E-3</v>
      </c>
      <c r="L270" s="2">
        <f t="shared" ref="L270" si="514">+F270/F264-1</f>
        <v>-5.1505263890003539E-2</v>
      </c>
      <c r="O270" s="7"/>
      <c r="R270" s="7"/>
      <c r="S270" s="7"/>
      <c r="T270" s="7"/>
    </row>
    <row r="271" spans="1:20" x14ac:dyDescent="0.2">
      <c r="A271" s="3">
        <v>42552</v>
      </c>
      <c r="B271" s="4">
        <v>37706</v>
      </c>
      <c r="C271" s="5">
        <v>39775.644562766298</v>
      </c>
      <c r="D271" s="4">
        <v>37860.748595670302</v>
      </c>
      <c r="E271" s="5">
        <f t="shared" si="500"/>
        <v>185.17903111609499</v>
      </c>
      <c r="F271" s="5">
        <f t="shared" si="501"/>
        <v>195.79320511418626</v>
      </c>
      <c r="G271" s="5">
        <f t="shared" si="501"/>
        <v>189.26671664276378</v>
      </c>
      <c r="H271" s="1" t="s">
        <v>5</v>
      </c>
      <c r="I271" s="2">
        <f t="shared" si="445"/>
        <v>-0.13303596063643885</v>
      </c>
      <c r="J271" s="2">
        <f>+AVERAGE(B265:B271)/AVERAGE(B253:B259)-1</f>
        <v>-0.1387251853387429</v>
      </c>
      <c r="K271" s="2">
        <f t="shared" si="447"/>
        <v>5.6108868127779932E-2</v>
      </c>
      <c r="L271" s="2">
        <f t="shared" ref="L271" si="515">+F271/F264-1</f>
        <v>1.7137021782855921E-3</v>
      </c>
      <c r="O271" s="7"/>
      <c r="R271" s="7"/>
      <c r="S271" s="7"/>
      <c r="T271" s="7"/>
    </row>
    <row r="272" spans="1:20" x14ac:dyDescent="0.2">
      <c r="A272" s="3">
        <v>42583</v>
      </c>
      <c r="B272" s="4">
        <v>43552</v>
      </c>
      <c r="C272" s="5">
        <v>37728.136504122303</v>
      </c>
      <c r="D272" s="4">
        <v>37778.539292048903</v>
      </c>
      <c r="E272" s="5">
        <f t="shared" si="500"/>
        <v>213.8894914116631</v>
      </c>
      <c r="F272" s="5">
        <f t="shared" si="501"/>
        <v>185.71447050898263</v>
      </c>
      <c r="G272" s="5">
        <f t="shared" si="501"/>
        <v>188.85575052214963</v>
      </c>
      <c r="H272" s="1" t="s">
        <v>4</v>
      </c>
      <c r="I272" s="2">
        <f t="shared" si="445"/>
        <v>-8.4541976709967659E-2</v>
      </c>
      <c r="J272" s="2">
        <f>+AVERAGE(B265:B272)/AVERAGE(B253:B260)-1</f>
        <v>-0.13139124323924467</v>
      </c>
      <c r="K272" s="2">
        <f t="shared" si="447"/>
        <v>-5.1476426872555381E-2</v>
      </c>
      <c r="L272" s="2">
        <f t="shared" ref="L272" si="516">+F272/F264-1</f>
        <v>-4.9850939959131479E-2</v>
      </c>
      <c r="O272" s="7"/>
      <c r="R272" s="7"/>
      <c r="S272" s="7"/>
      <c r="T272" s="7"/>
    </row>
    <row r="273" spans="1:20" x14ac:dyDescent="0.2">
      <c r="A273" s="3">
        <v>42614</v>
      </c>
      <c r="B273" s="4">
        <v>42599</v>
      </c>
      <c r="C273" s="5">
        <v>35648.701492859604</v>
      </c>
      <c r="D273" s="4">
        <v>38175.301139409603</v>
      </c>
      <c r="E273" s="5">
        <f t="shared" si="500"/>
        <v>209.20918544832466</v>
      </c>
      <c r="F273" s="5">
        <f t="shared" si="501"/>
        <v>175.4785774101465</v>
      </c>
      <c r="G273" s="5">
        <f t="shared" si="501"/>
        <v>190.83917174133978</v>
      </c>
      <c r="H273" s="1" t="s">
        <v>6</v>
      </c>
      <c r="I273" s="2">
        <f t="shared" si="445"/>
        <v>-0.19589633237065152</v>
      </c>
      <c r="J273" s="2">
        <f>+AVERAGE(B265:B273)/AVERAGE(B253:B261)-1</f>
        <v>-0.13984037739767696</v>
      </c>
      <c r="K273" s="2">
        <f t="shared" si="447"/>
        <v>-5.5116292611894435E-2</v>
      </c>
      <c r="L273" s="2">
        <f t="shared" ref="L273" si="517">+F273/F264-1</f>
        <v>-0.10221963357726049</v>
      </c>
      <c r="O273" s="7"/>
      <c r="R273" s="7"/>
      <c r="S273" s="7"/>
      <c r="T273" s="7"/>
    </row>
    <row r="274" spans="1:20" x14ac:dyDescent="0.2">
      <c r="A274" s="3">
        <v>42644</v>
      </c>
      <c r="B274" s="4">
        <v>37832</v>
      </c>
      <c r="C274" s="5">
        <v>34703.734362406001</v>
      </c>
      <c r="D274" s="4">
        <v>38809.527973004602</v>
      </c>
      <c r="E274" s="5">
        <f t="shared" si="500"/>
        <v>185.7978333735773</v>
      </c>
      <c r="F274" s="5">
        <f t="shared" si="501"/>
        <v>170.82703385295522</v>
      </c>
      <c r="G274" s="5">
        <f t="shared" si="501"/>
        <v>194.00968566020589</v>
      </c>
      <c r="H274" s="1" t="s">
        <v>7</v>
      </c>
      <c r="I274" s="2">
        <f t="shared" si="445"/>
        <v>-0.16374889478337751</v>
      </c>
      <c r="J274" s="2">
        <f>+AVERAGE(B265:B274)/AVERAGE(B253:B262)-1</f>
        <v>-0.14224561590770624</v>
      </c>
      <c r="K274" s="2">
        <f t="shared" si="447"/>
        <v>-2.6507757390346387E-2</v>
      </c>
      <c r="L274" s="2">
        <f t="shared" ref="L274" si="518">+F274/F264-1</f>
        <v>-0.12601777772021072</v>
      </c>
      <c r="O274" s="7"/>
      <c r="R274" s="7"/>
      <c r="S274" s="7"/>
      <c r="T274" s="7"/>
    </row>
    <row r="275" spans="1:20" x14ac:dyDescent="0.2">
      <c r="A275" s="3">
        <v>42675</v>
      </c>
      <c r="B275" s="4">
        <v>46962</v>
      </c>
      <c r="C275" s="5">
        <v>41436.256786474798</v>
      </c>
      <c r="D275" s="4">
        <v>39154.415465251099</v>
      </c>
      <c r="E275" s="5">
        <f t="shared" si="500"/>
        <v>230.63644139590656</v>
      </c>
      <c r="F275" s="5">
        <f t="shared" si="501"/>
        <v>203.9674683676356</v>
      </c>
      <c r="G275" s="5">
        <f t="shared" si="501"/>
        <v>195.73378583492129</v>
      </c>
      <c r="H275" s="1" t="s">
        <v>8</v>
      </c>
      <c r="I275" s="2">
        <f t="shared" si="445"/>
        <v>3.2631162320242657E-2</v>
      </c>
      <c r="J275" s="2">
        <f>+AVERAGE(B265:B275)/AVERAGE(B253:B263)-1</f>
        <v>-0.12618443692292769</v>
      </c>
      <c r="K275" s="2">
        <f t="shared" si="447"/>
        <v>0.19399994115221286</v>
      </c>
      <c r="L275" s="2">
        <f t="shared" ref="L275" si="519">+F275/F264-1</f>
        <v>4.3534721970148516E-2</v>
      </c>
      <c r="O275" s="7"/>
      <c r="R275" s="7"/>
      <c r="S275" s="7"/>
      <c r="T275" s="7"/>
    </row>
    <row r="276" spans="1:20" x14ac:dyDescent="0.2">
      <c r="A276" s="3">
        <v>42705</v>
      </c>
      <c r="B276" s="4">
        <v>40087</v>
      </c>
      <c r="C276" s="5">
        <v>49299.512380953798</v>
      </c>
      <c r="D276" s="4">
        <v>39006.809028579701</v>
      </c>
      <c r="E276" s="5">
        <f t="shared" si="500"/>
        <v>196.87242933089959</v>
      </c>
      <c r="F276" s="5">
        <f t="shared" si="501"/>
        <v>242.67386853786147</v>
      </c>
      <c r="G276" s="5">
        <f t="shared" si="501"/>
        <v>194.99589800490281</v>
      </c>
      <c r="H276" s="1" t="s">
        <v>9</v>
      </c>
      <c r="I276" s="2">
        <f t="shared" si="445"/>
        <v>0.2732094648245198</v>
      </c>
      <c r="J276" s="2">
        <f>+AVERAGE(B265:B276)/AVERAGE(B253:B264)-1</f>
        <v>-0.10230757399977597</v>
      </c>
      <c r="K276" s="2">
        <f t="shared" si="447"/>
        <v>0.18976751773209521</v>
      </c>
      <c r="L276" s="2">
        <f t="shared" ref="L276" si="520">+F276/F264-1</f>
        <v>0.24156371582567582</v>
      </c>
      <c r="O276" s="7"/>
      <c r="R276" s="7"/>
      <c r="S276" s="7"/>
      <c r="T276" s="7"/>
    </row>
    <row r="277" spans="1:20" x14ac:dyDescent="0.2">
      <c r="A277" s="3">
        <v>42736</v>
      </c>
      <c r="B277" s="4">
        <v>26762</v>
      </c>
      <c r="C277" s="5">
        <v>47083.855090298799</v>
      </c>
      <c r="D277" s="4">
        <v>38609.231645797401</v>
      </c>
      <c r="E277" s="5">
        <f t="shared" si="500"/>
        <v>131.43163503763151</v>
      </c>
      <c r="F277" s="5">
        <f t="shared" si="501"/>
        <v>231.76742950612183</v>
      </c>
      <c r="G277" s="5">
        <f t="shared" si="501"/>
        <v>193.00839990616649</v>
      </c>
      <c r="H277" s="1" t="s">
        <v>31</v>
      </c>
      <c r="I277" s="2">
        <f t="shared" si="445"/>
        <v>0.50475119482710129</v>
      </c>
      <c r="J277" s="2">
        <f>+AVERAGE(B277:B277)/AVERAGE(B265:B265)-1</f>
        <v>0.50475119482710151</v>
      </c>
      <c r="K277" s="2">
        <f t="shared" si="447"/>
        <v>-4.4942783075294424E-2</v>
      </c>
      <c r="L277" s="2">
        <f t="shared" ref="L277" si="521">+F277/F276-1</f>
        <v>-4.4942783075294424E-2</v>
      </c>
      <c r="O277" s="7"/>
      <c r="R277" s="7"/>
      <c r="S277" s="7"/>
      <c r="T277" s="7"/>
    </row>
    <row r="278" spans="1:20" x14ac:dyDescent="0.2">
      <c r="A278" s="3">
        <v>42767</v>
      </c>
      <c r="B278" s="4">
        <v>25717</v>
      </c>
      <c r="C278" s="5">
        <v>27846.650832241699</v>
      </c>
      <c r="D278" s="4">
        <v>38199.645700945199</v>
      </c>
      <c r="E278" s="5">
        <f t="shared" si="500"/>
        <v>126.29950520375046</v>
      </c>
      <c r="F278" s="5">
        <f t="shared" si="501"/>
        <v>137.07345482576986</v>
      </c>
      <c r="G278" s="5">
        <f t="shared" si="501"/>
        <v>190.96087074098602</v>
      </c>
      <c r="H278" s="1" t="s">
        <v>2</v>
      </c>
      <c r="I278" s="2">
        <f t="shared" si="445"/>
        <v>-0.24746883595716052</v>
      </c>
      <c r="J278" s="2">
        <f>+AVERAGE(B277:B278)/AVERAGE(B265:B266)-1</f>
        <v>1.0007890837006039E-2</v>
      </c>
      <c r="K278" s="2">
        <f t="shared" si="447"/>
        <v>-0.40857326192095833</v>
      </c>
      <c r="L278" s="2">
        <f t="shared" ref="L278" si="522">+F278/F276-1</f>
        <v>-0.43515362551537373</v>
      </c>
      <c r="O278" s="7"/>
      <c r="R278" s="7"/>
      <c r="S278" s="7"/>
      <c r="T278" s="7"/>
    </row>
    <row r="279" spans="1:20" x14ac:dyDescent="0.2">
      <c r="A279" s="3">
        <v>42795</v>
      </c>
      <c r="B279" s="4">
        <v>39675</v>
      </c>
      <c r="C279" s="5">
        <v>33784.569384668299</v>
      </c>
      <c r="D279" s="4">
        <v>37939.098491894802</v>
      </c>
      <c r="E279" s="5">
        <f t="shared" si="500"/>
        <v>194.84904417151299</v>
      </c>
      <c r="F279" s="5">
        <f t="shared" si="501"/>
        <v>166.30249983224346</v>
      </c>
      <c r="G279" s="5">
        <f t="shared" si="501"/>
        <v>189.65838950074337</v>
      </c>
      <c r="H279" s="1" t="s">
        <v>3</v>
      </c>
      <c r="I279" s="2">
        <f t="shared" si="445"/>
        <v>-0.14140102577419977</v>
      </c>
      <c r="J279" s="2">
        <f>+AVERAGE(B277:B279)/AVERAGE(B265:B267)-1</f>
        <v>-6.1262325808817519E-2</v>
      </c>
      <c r="K279" s="2">
        <f t="shared" si="447"/>
        <v>0.21323636325958084</v>
      </c>
      <c r="L279" s="2">
        <f t="shared" ref="L279" si="523">+F279/F276-1</f>
        <v>-0.31470783881991282</v>
      </c>
      <c r="O279" s="7"/>
      <c r="R279" s="7"/>
      <c r="S279" s="7"/>
      <c r="T279" s="7"/>
    </row>
    <row r="280" spans="1:20" x14ac:dyDescent="0.2">
      <c r="A280" s="3">
        <v>42826</v>
      </c>
      <c r="B280" s="4">
        <v>37731</v>
      </c>
      <c r="C280" s="5">
        <v>37293.457117649603</v>
      </c>
      <c r="D280" s="4">
        <v>38105.380287059699</v>
      </c>
      <c r="E280" s="5">
        <f t="shared" si="500"/>
        <v>185.30180934178594</v>
      </c>
      <c r="F280" s="5">
        <f t="shared" si="501"/>
        <v>183.5747875142732</v>
      </c>
      <c r="G280" s="5">
        <f t="shared" si="501"/>
        <v>190.48963585945702</v>
      </c>
      <c r="H280" s="1" t="s">
        <v>4</v>
      </c>
      <c r="I280" s="2">
        <f t="shared" si="445"/>
        <v>-0.15110131167457863</v>
      </c>
      <c r="J280" s="2">
        <f>+AVERAGE(B277:B280)/AVERAGE(B265:B268)-1</f>
        <v>-8.9261297899940417E-2</v>
      </c>
      <c r="K280" s="2">
        <f t="shared" si="447"/>
        <v>0.10386066174262587</v>
      </c>
      <c r="L280" s="2">
        <f t="shared" ref="L280" si="524">+F280/F276-1</f>
        <v>-0.24353294147271465</v>
      </c>
      <c r="O280" s="7"/>
      <c r="R280" s="7"/>
      <c r="S280" s="7"/>
      <c r="T280" s="7"/>
    </row>
    <row r="281" spans="1:20" x14ac:dyDescent="0.2">
      <c r="A281" s="3">
        <v>42856</v>
      </c>
      <c r="B281" s="4">
        <v>45273</v>
      </c>
      <c r="C281" s="5">
        <v>41725.087326745903</v>
      </c>
      <c r="D281" s="4">
        <v>38779.2627295169</v>
      </c>
      <c r="E281" s="5">
        <f t="shared" si="500"/>
        <v>222.34154446822703</v>
      </c>
      <c r="F281" s="5">
        <f t="shared" si="501"/>
        <v>205.38921923644438</v>
      </c>
      <c r="G281" s="5">
        <f t="shared" si="501"/>
        <v>193.85838904099521</v>
      </c>
      <c r="H281" s="1" t="s">
        <v>3</v>
      </c>
      <c r="I281" s="2">
        <f t="shared" si="445"/>
        <v>0.13842788171394083</v>
      </c>
      <c r="J281" s="2">
        <f>+AVERAGE(B277:B281)/AVERAGE(B265:B269)-1</f>
        <v>-3.9614437749132314E-2</v>
      </c>
      <c r="K281" s="2">
        <f t="shared" si="447"/>
        <v>0.11883130585388835</v>
      </c>
      <c r="L281" s="2">
        <f t="shared" ref="L281" si="525">+F281/F276-1</f>
        <v>-0.15364097307246749</v>
      </c>
      <c r="O281" s="7"/>
      <c r="R281" s="7"/>
      <c r="S281" s="7"/>
      <c r="T281" s="7"/>
    </row>
    <row r="282" spans="1:20" x14ac:dyDescent="0.2">
      <c r="A282" s="3">
        <v>42887</v>
      </c>
      <c r="B282" s="4">
        <v>45496</v>
      </c>
      <c r="C282" s="5">
        <v>42323.181843003098</v>
      </c>
      <c r="D282" s="4">
        <v>39599.4060573159</v>
      </c>
      <c r="E282" s="5">
        <f t="shared" si="500"/>
        <v>223.43672624139015</v>
      </c>
      <c r="F282" s="5">
        <f t="shared" si="501"/>
        <v>208.3333033257525</v>
      </c>
      <c r="G282" s="5">
        <f t="shared" si="501"/>
        <v>197.95830361180055</v>
      </c>
      <c r="H282" s="1" t="s">
        <v>5</v>
      </c>
      <c r="I282" s="2">
        <f t="shared" si="445"/>
        <v>9.2209818749249495E-2</v>
      </c>
      <c r="J282" s="2">
        <f>+AVERAGE(B277:B282)/AVERAGE(B265:B270)-1</f>
        <v>-1.5104580472955487E-2</v>
      </c>
      <c r="K282" s="2">
        <f t="shared" si="447"/>
        <v>1.4334170509304522E-2</v>
      </c>
      <c r="L282" s="2">
        <f t="shared" ref="L282" si="526">+F282/F276-1</f>
        <v>-0.1415091184683992</v>
      </c>
      <c r="O282" s="7"/>
      <c r="R282" s="7"/>
      <c r="S282" s="7"/>
      <c r="T282" s="7"/>
    </row>
    <row r="283" spans="1:20" x14ac:dyDescent="0.2">
      <c r="A283" s="3">
        <v>42917</v>
      </c>
      <c r="B283" s="4">
        <v>38169</v>
      </c>
      <c r="C283" s="5">
        <v>40235.427356639397</v>
      </c>
      <c r="D283" s="4">
        <v>40283.306412974998</v>
      </c>
      <c r="E283" s="5">
        <f t="shared" si="500"/>
        <v>187.45288385589109</v>
      </c>
      <c r="F283" s="5">
        <f t="shared" si="501"/>
        <v>198.05645811381305</v>
      </c>
      <c r="G283" s="5">
        <f t="shared" si="501"/>
        <v>201.37713656221976</v>
      </c>
      <c r="H283" s="1" t="s">
        <v>5</v>
      </c>
      <c r="I283" s="2">
        <f t="shared" si="445"/>
        <v>1.2279212857370103E-2</v>
      </c>
      <c r="J283" s="2">
        <f>+AVERAGE(B277:B283)/AVERAGE(B265:B271)-1</f>
        <v>-1.1159759153982596E-2</v>
      </c>
      <c r="K283" s="2">
        <f t="shared" si="447"/>
        <v>-4.9328864122460736E-2</v>
      </c>
      <c r="L283" s="2">
        <f t="shared" ref="L283" si="527">+F283/F276-1</f>
        <v>-0.18385749851384303</v>
      </c>
      <c r="O283" s="7"/>
      <c r="R283" s="7"/>
      <c r="S283" s="7"/>
      <c r="T283" s="7"/>
    </row>
    <row r="284" spans="1:20" x14ac:dyDescent="0.2">
      <c r="A284" s="3">
        <v>42948</v>
      </c>
      <c r="B284" s="4">
        <v>45262</v>
      </c>
      <c r="C284" s="5">
        <v>38556.522531382601</v>
      </c>
      <c r="D284" s="4">
        <v>40677.850892048402</v>
      </c>
      <c r="E284" s="5">
        <f t="shared" si="500"/>
        <v>222.28752204892302</v>
      </c>
      <c r="F284" s="5">
        <f t="shared" si="501"/>
        <v>189.79215063540173</v>
      </c>
      <c r="G284" s="5">
        <f t="shared" si="501"/>
        <v>203.34947310847315</v>
      </c>
      <c r="H284" s="1" t="s">
        <v>4</v>
      </c>
      <c r="I284" s="2">
        <f t="shared" si="445"/>
        <v>3.9263409257898729E-2</v>
      </c>
      <c r="J284" s="2">
        <f>+AVERAGE(B277:B284)/AVERAGE(B265:B272)-1</f>
        <v>-3.9666422095278042E-3</v>
      </c>
      <c r="K284" s="2">
        <f t="shared" si="447"/>
        <v>-4.1727028530734622E-2</v>
      </c>
      <c r="L284" s="2">
        <f t="shared" ref="L284" si="528">+F284/F276-1</f>
        <v>-0.21791269995850104</v>
      </c>
      <c r="O284" s="7"/>
      <c r="R284" s="7"/>
      <c r="S284" s="7"/>
      <c r="T284" s="7"/>
    </row>
    <row r="285" spans="1:20" x14ac:dyDescent="0.2">
      <c r="A285" s="3">
        <v>42979</v>
      </c>
      <c r="B285" s="4">
        <v>46961</v>
      </c>
      <c r="C285" s="5">
        <v>42303.373330175396</v>
      </c>
      <c r="D285" s="4">
        <v>40758.048565347999</v>
      </c>
      <c r="E285" s="5">
        <f t="shared" si="500"/>
        <v>230.63153026687894</v>
      </c>
      <c r="F285" s="5">
        <f t="shared" si="501"/>
        <v>208.23579711918526</v>
      </c>
      <c r="G285" s="5">
        <f t="shared" si="501"/>
        <v>203.75038304477431</v>
      </c>
      <c r="H285" s="1" t="s">
        <v>6</v>
      </c>
      <c r="I285" s="2">
        <f t="shared" si="445"/>
        <v>0.10239676987722723</v>
      </c>
      <c r="J285" s="2">
        <f>+AVERAGE(B277:B285)/AVERAGE(B265:B273)-1</f>
        <v>9.0573305163914597E-3</v>
      </c>
      <c r="K285" s="2">
        <f t="shared" si="447"/>
        <v>9.7178131034589166E-2</v>
      </c>
      <c r="L285" s="2">
        <f t="shared" ref="L285" si="529">+F285/F276-1</f>
        <v>-0.14191091783458032</v>
      </c>
      <c r="O285" s="7"/>
      <c r="R285" s="7"/>
      <c r="S285" s="7"/>
      <c r="T285" s="7"/>
    </row>
    <row r="286" spans="1:20" x14ac:dyDescent="0.2">
      <c r="A286" s="3">
        <v>43009</v>
      </c>
      <c r="B286" s="4">
        <v>43854</v>
      </c>
      <c r="C286" s="5">
        <v>40153.996453462001</v>
      </c>
      <c r="D286" s="4">
        <v>40779.199128941204</v>
      </c>
      <c r="E286" s="5">
        <f t="shared" si="500"/>
        <v>215.3726523780096</v>
      </c>
      <c r="F286" s="5">
        <f t="shared" si="501"/>
        <v>197.65561941707523</v>
      </c>
      <c r="G286" s="5">
        <f t="shared" si="501"/>
        <v>203.85611517831398</v>
      </c>
      <c r="H286" s="1" t="s">
        <v>7</v>
      </c>
      <c r="I286" s="2">
        <f t="shared" si="445"/>
        <v>0.15917741594417434</v>
      </c>
      <c r="J286" s="2">
        <f>+AVERAGE(B277:B286)/AVERAGE(B265:B274)-1</f>
        <v>2.3781067957389546E-2</v>
      </c>
      <c r="K286" s="2">
        <f t="shared" si="447"/>
        <v>-5.0808640245722958E-2</v>
      </c>
      <c r="L286" s="2">
        <f t="shared" ref="L286" si="530">+F286/F276-1</f>
        <v>-0.18550925730910572</v>
      </c>
      <c r="O286" s="7"/>
      <c r="R286" s="7"/>
      <c r="S286" s="7"/>
      <c r="T286" s="7"/>
    </row>
    <row r="287" spans="1:20" x14ac:dyDescent="0.2">
      <c r="A287" s="3">
        <v>43040</v>
      </c>
      <c r="B287" s="4">
        <v>45228</v>
      </c>
      <c r="C287" s="5">
        <v>40070.523544119103</v>
      </c>
      <c r="D287" s="4">
        <v>41060.862739212302</v>
      </c>
      <c r="E287" s="5">
        <f t="shared" si="500"/>
        <v>222.12054366198336</v>
      </c>
      <c r="F287" s="5">
        <f t="shared" si="501"/>
        <v>197.24472906846853</v>
      </c>
      <c r="G287" s="5">
        <f t="shared" si="501"/>
        <v>205.26415777364329</v>
      </c>
      <c r="H287" s="1" t="s">
        <v>8</v>
      </c>
      <c r="I287" s="2">
        <f t="shared" si="445"/>
        <v>-3.6923470039606388E-2</v>
      </c>
      <c r="J287" s="2">
        <f>+AVERAGE(B277:B287)/AVERAGE(B265:B275)-1</f>
        <v>1.7192486982567035E-2</v>
      </c>
      <c r="K287" s="2">
        <f t="shared" si="447"/>
        <v>-2.0788194629552947E-3</v>
      </c>
      <c r="L287" s="2">
        <f t="shared" ref="L287" si="531">+F287/F276-1</f>
        <v>-0.18720243651740842</v>
      </c>
      <c r="O287" s="7"/>
      <c r="R287" s="7"/>
      <c r="S287" s="7"/>
      <c r="T287" s="7"/>
    </row>
    <row r="288" spans="1:20" x14ac:dyDescent="0.2">
      <c r="A288" s="3">
        <v>43070</v>
      </c>
      <c r="B288" s="4">
        <v>33280</v>
      </c>
      <c r="C288" s="5">
        <v>43107.672629774497</v>
      </c>
      <c r="D288" s="4">
        <v>41609.076713076996</v>
      </c>
      <c r="E288" s="5">
        <f t="shared" si="500"/>
        <v>163.44237403977195</v>
      </c>
      <c r="F288" s="5">
        <f t="shared" si="501"/>
        <v>212.19491178522429</v>
      </c>
      <c r="G288" s="5">
        <f t="shared" si="501"/>
        <v>208.00469151108021</v>
      </c>
      <c r="H288" s="1" t="s">
        <v>9</v>
      </c>
      <c r="I288" s="2">
        <f t="shared" si="445"/>
        <v>-0.16980567266196023</v>
      </c>
      <c r="J288" s="2">
        <f>+AVERAGE(B277:B288)/AVERAGE(B265:B276)-1</f>
        <v>1.3367852852090856E-3</v>
      </c>
      <c r="K288" s="2">
        <f t="shared" si="447"/>
        <v>7.5795093675563807E-2</v>
      </c>
      <c r="L288" s="2">
        <f t="shared" ref="L288" si="532">+F288/F276-1</f>
        <v>-0.12559636905397542</v>
      </c>
      <c r="O288" s="7"/>
      <c r="R288" s="7"/>
      <c r="S288" s="7"/>
      <c r="T288" s="7"/>
    </row>
    <row r="289" spans="1:20" x14ac:dyDescent="0.2">
      <c r="A289" s="3">
        <v>43101</v>
      </c>
      <c r="B289" s="4">
        <v>21858</v>
      </c>
      <c r="C289" s="5">
        <v>40120.2864482597</v>
      </c>
      <c r="D289" s="4">
        <v>42216.387370685203</v>
      </c>
      <c r="E289" s="5">
        <f t="shared" si="500"/>
        <v>107.34745828609782</v>
      </c>
      <c r="F289" s="5">
        <f t="shared" si="501"/>
        <v>197.48968395492176</v>
      </c>
      <c r="G289" s="5">
        <f t="shared" si="501"/>
        <v>211.04065087298272</v>
      </c>
      <c r="H289" s="1" t="s">
        <v>32</v>
      </c>
      <c r="I289" s="2">
        <f t="shared" si="445"/>
        <v>-0.18324489948434342</v>
      </c>
      <c r="J289" s="2">
        <f>+AVERAGE(B289:B289)/AVERAGE(B277:B277)-1</f>
        <v>-0.18324489948434353</v>
      </c>
      <c r="K289" s="2">
        <f t="shared" si="447"/>
        <v>-6.9300567608268637E-2</v>
      </c>
      <c r="L289" s="2">
        <f>+F289/F288-1</f>
        <v>-6.9300567608268637E-2</v>
      </c>
      <c r="O289" s="7"/>
      <c r="R289" s="7"/>
      <c r="S289" s="7"/>
      <c r="T289" s="7"/>
    </row>
    <row r="290" spans="1:20" x14ac:dyDescent="0.2">
      <c r="A290" s="3">
        <v>43132</v>
      </c>
      <c r="B290" s="4">
        <v>39085</v>
      </c>
      <c r="C290" s="5">
        <v>40492.263143173397</v>
      </c>
      <c r="D290" s="4">
        <v>42783.6762800125</v>
      </c>
      <c r="E290" s="5">
        <f t="shared" si="500"/>
        <v>191.95147804520693</v>
      </c>
      <c r="F290" s="5">
        <f t="shared" si="501"/>
        <v>199.32071674208399</v>
      </c>
      <c r="G290" s="5">
        <f t="shared" si="501"/>
        <v>213.87654063318973</v>
      </c>
      <c r="H290" s="1" t="s">
        <v>2</v>
      </c>
      <c r="I290" s="2">
        <f t="shared" si="445"/>
        <v>0.5198117976435821</v>
      </c>
      <c r="J290" s="2">
        <f>+AVERAGE(B289:B290)/AVERAGE(B277:B278)-1</f>
        <v>0.16128356104346508</v>
      </c>
      <c r="K290" s="2">
        <f t="shared" si="447"/>
        <v>9.2715363683510965E-3</v>
      </c>
      <c r="L290" s="2">
        <f>+F290/F288-1</f>
        <v>-6.067155397284496E-2</v>
      </c>
      <c r="O290" s="7"/>
      <c r="R290" s="7"/>
      <c r="S290" s="7"/>
      <c r="T290" s="7"/>
    </row>
    <row r="291" spans="1:20" x14ac:dyDescent="0.2">
      <c r="A291" s="3">
        <v>43160</v>
      </c>
      <c r="B291" s="4">
        <v>49655</v>
      </c>
      <c r="C291" s="5">
        <v>45072.924012819203</v>
      </c>
      <c r="D291" s="4">
        <v>43228.498736395202</v>
      </c>
      <c r="E291" s="5">
        <f t="shared" si="500"/>
        <v>243.86211186733405</v>
      </c>
      <c r="F291" s="5">
        <f t="shared" si="501"/>
        <v>221.86874287887809</v>
      </c>
      <c r="G291" s="5">
        <f t="shared" si="501"/>
        <v>216.10021789608859</v>
      </c>
      <c r="H291" s="1" t="s">
        <v>3</v>
      </c>
      <c r="I291" s="2">
        <f t="shared" si="445"/>
        <v>0.25154379332073118</v>
      </c>
      <c r="J291" s="2">
        <f>+AVERAGE(B289:B291)/AVERAGE(B277:B279)-1</f>
        <v>0.20014323849208937</v>
      </c>
      <c r="K291" s="2">
        <f t="shared" si="447"/>
        <v>0.11312434806247795</v>
      </c>
      <c r="L291" s="2">
        <f>+F291/F288-1</f>
        <v>4.5589364100517615E-2</v>
      </c>
      <c r="O291" s="7"/>
      <c r="R291" s="7"/>
      <c r="S291" s="7"/>
      <c r="T291" s="7"/>
    </row>
    <row r="292" spans="1:20" x14ac:dyDescent="0.2">
      <c r="A292" s="3">
        <v>43191</v>
      </c>
      <c r="B292" s="4">
        <v>45802</v>
      </c>
      <c r="C292" s="5">
        <v>44474.568777107801</v>
      </c>
      <c r="D292" s="4">
        <v>43298.939858855199</v>
      </c>
      <c r="E292" s="5">
        <f t="shared" si="500"/>
        <v>224.93953172384721</v>
      </c>
      <c r="F292" s="5">
        <f t="shared" si="501"/>
        <v>218.92337541382244</v>
      </c>
      <c r="G292" s="5">
        <f t="shared" si="501"/>
        <v>216.45235461971799</v>
      </c>
      <c r="H292" s="1" t="s">
        <v>4</v>
      </c>
      <c r="I292" s="2">
        <f t="shared" si="445"/>
        <v>0.21390898730486851</v>
      </c>
      <c r="J292" s="2">
        <f>+AVERAGE(B289:B292)/AVERAGE(B277:B280)-1</f>
        <v>0.20414212572660428</v>
      </c>
      <c r="K292" s="2">
        <f t="shared" si="447"/>
        <v>-1.3275269994492134E-2</v>
      </c>
      <c r="L292" s="2">
        <f>+F292/F288-1</f>
        <v>3.1708882988713993E-2</v>
      </c>
      <c r="O292" s="7"/>
      <c r="R292" s="7"/>
      <c r="S292" s="7"/>
      <c r="T292" s="7"/>
    </row>
    <row r="293" spans="1:20" x14ac:dyDescent="0.2">
      <c r="A293" s="3">
        <v>43221</v>
      </c>
      <c r="B293" s="4">
        <v>46835</v>
      </c>
      <c r="C293" s="5">
        <v>43253.639566649697</v>
      </c>
      <c r="D293" s="4">
        <v>42784.718877892199</v>
      </c>
      <c r="E293" s="5">
        <f t="shared" si="500"/>
        <v>230.0127280093966</v>
      </c>
      <c r="F293" s="5">
        <f t="shared" si="501"/>
        <v>212.91342520532481</v>
      </c>
      <c r="G293" s="5">
        <f t="shared" si="501"/>
        <v>213.88175260296816</v>
      </c>
      <c r="H293" s="1" t="s">
        <v>3</v>
      </c>
      <c r="I293" s="2">
        <f t="shared" ref="I293:I300" si="533">+E293/E281-1</f>
        <v>3.4501800189958631E-2</v>
      </c>
      <c r="J293" s="2">
        <f>+AVERAGE(B289:B293)/AVERAGE(B277:B281)-1</f>
        <v>0.16029527626485796</v>
      </c>
      <c r="K293" s="2">
        <f t="shared" ref="K293:K300" si="534">+F293/F292-1</f>
        <v>-2.7452300135320185E-2</v>
      </c>
      <c r="L293" s="2">
        <f>+F293/F288-1</f>
        <v>3.3861010806317537E-3</v>
      </c>
      <c r="O293" s="7"/>
      <c r="R293" s="7"/>
      <c r="S293" s="7"/>
      <c r="T293" s="7"/>
    </row>
    <row r="294" spans="1:20" x14ac:dyDescent="0.2">
      <c r="A294" s="3">
        <v>43252</v>
      </c>
      <c r="B294" s="4">
        <v>39420</v>
      </c>
      <c r="C294" s="5">
        <v>38189.213565880898</v>
      </c>
      <c r="D294" s="4">
        <v>41697.032733400498</v>
      </c>
      <c r="E294" s="5">
        <f t="shared" si="500"/>
        <v>193.59670626946547</v>
      </c>
      <c r="F294" s="5">
        <f t="shared" si="501"/>
        <v>187.98409446401095</v>
      </c>
      <c r="G294" s="5">
        <f t="shared" si="501"/>
        <v>208.44438559514006</v>
      </c>
      <c r="H294" s="1" t="s">
        <v>5</v>
      </c>
      <c r="I294" s="2">
        <f t="shared" si="533"/>
        <v>-0.13355020221557923</v>
      </c>
      <c r="J294" s="2">
        <f>+AVERAGE(B289:B294)/AVERAGE(B277:B282)-1</f>
        <v>9.9708140346424834E-2</v>
      </c>
      <c r="K294" s="2">
        <f t="shared" si="534"/>
        <v>-0.11708670187083348</v>
      </c>
      <c r="L294" s="2">
        <f>+F294/F288-1</f>
        <v>-0.11409706819793408</v>
      </c>
      <c r="O294" s="7"/>
      <c r="R294" s="7"/>
      <c r="S294" s="7"/>
      <c r="T294" s="7"/>
    </row>
    <row r="295" spans="1:20" x14ac:dyDescent="0.2">
      <c r="A295" s="3">
        <v>43282</v>
      </c>
      <c r="B295" s="4">
        <v>41450</v>
      </c>
      <c r="C295" s="5">
        <v>42331.740908612002</v>
      </c>
      <c r="D295" s="4">
        <v>40028.534010949203</v>
      </c>
      <c r="E295" s="5">
        <f t="shared" si="500"/>
        <v>203.56629819556935</v>
      </c>
      <c r="F295" s="5">
        <f t="shared" si="501"/>
        <v>208.37543480864289</v>
      </c>
      <c r="G295" s="5">
        <f t="shared" si="501"/>
        <v>200.10352370956403</v>
      </c>
      <c r="H295" s="1" t="s">
        <v>5</v>
      </c>
      <c r="I295" s="2">
        <f t="shared" si="533"/>
        <v>8.5959810317273178E-2</v>
      </c>
      <c r="J295" s="2">
        <f>+AVERAGE(B289:B295)/AVERAGE(B277:B283)-1</f>
        <v>9.7680654346793183E-2</v>
      </c>
      <c r="K295" s="2">
        <f t="shared" si="534"/>
        <v>0.10847375360544564</v>
      </c>
      <c r="L295" s="2">
        <f>+F295/F288-1</f>
        <v>-1.7999851855294846E-2</v>
      </c>
      <c r="O295" s="7"/>
      <c r="R295" s="7"/>
      <c r="S295" s="7"/>
      <c r="T295" s="7"/>
    </row>
    <row r="296" spans="1:20" x14ac:dyDescent="0.2">
      <c r="A296" s="3">
        <v>43313</v>
      </c>
      <c r="B296" s="4">
        <v>49335</v>
      </c>
      <c r="C296" s="5">
        <v>42271.359310453998</v>
      </c>
      <c r="D296" s="4">
        <v>37984.653307711698</v>
      </c>
      <c r="E296" s="5">
        <f t="shared" si="500"/>
        <v>242.29055057849007</v>
      </c>
      <c r="F296" s="5">
        <f t="shared" si="501"/>
        <v>208.07821004300479</v>
      </c>
      <c r="G296" s="5">
        <f t="shared" si="501"/>
        <v>189.88611902899459</v>
      </c>
      <c r="H296" s="1" t="s">
        <v>4</v>
      </c>
      <c r="I296" s="2">
        <f t="shared" si="533"/>
        <v>8.9987185718704454E-2</v>
      </c>
      <c r="J296" s="2">
        <f>+AVERAGE(B289:B296)/AVERAGE(B277:B284)-1</f>
        <v>9.6535508163835715E-2</v>
      </c>
      <c r="K296" s="2">
        <f t="shared" si="534"/>
        <v>-1.4263906199454279E-3</v>
      </c>
      <c r="L296" s="2">
        <f>+F296/F288-1</f>
        <v>-1.9400567655393552E-2</v>
      </c>
      <c r="O296" s="7"/>
      <c r="R296" s="7"/>
      <c r="S296" s="7"/>
      <c r="T296" s="7"/>
    </row>
    <row r="297" spans="1:20" x14ac:dyDescent="0.2">
      <c r="A297" s="3">
        <v>43344</v>
      </c>
      <c r="B297" s="4">
        <v>37267</v>
      </c>
      <c r="C297" s="5">
        <v>34354.952037385898</v>
      </c>
      <c r="D297" s="4">
        <v>35965.394577340099</v>
      </c>
      <c r="E297" s="5">
        <f t="shared" si="500"/>
        <v>183.02304547296217</v>
      </c>
      <c r="F297" s="5">
        <f t="shared" si="501"/>
        <v>169.11017394902325</v>
      </c>
      <c r="G297" s="5">
        <f t="shared" si="501"/>
        <v>179.79180013342543</v>
      </c>
      <c r="H297" s="1" t="s">
        <v>6</v>
      </c>
      <c r="I297" s="2">
        <f t="shared" si="533"/>
        <v>-0.20642660931411183</v>
      </c>
      <c r="J297" s="2">
        <f>+AVERAGE(B289:B297)/AVERAGE(B277:B285)-1</f>
        <v>5.6006905077967017E-2</v>
      </c>
      <c r="K297" s="2">
        <f t="shared" si="534"/>
        <v>-0.18727590979337905</v>
      </c>
      <c r="L297" s="2">
        <f>+F297/F288-1</f>
        <v>-0.2030432184906007</v>
      </c>
      <c r="O297" s="7"/>
      <c r="R297" s="7"/>
      <c r="S297" s="7"/>
      <c r="T297" s="7"/>
    </row>
    <row r="298" spans="1:20" x14ac:dyDescent="0.2">
      <c r="A298" s="3">
        <v>43374</v>
      </c>
      <c r="B298" s="4">
        <v>38659</v>
      </c>
      <c r="C298" s="5">
        <v>33806.211249831598</v>
      </c>
      <c r="D298" s="4">
        <v>34129.736982759001</v>
      </c>
      <c r="E298" s="5">
        <f t="shared" si="500"/>
        <v>189.8593370794334</v>
      </c>
      <c r="F298" s="5">
        <f t="shared" si="501"/>
        <v>166.40903060481926</v>
      </c>
      <c r="G298" s="5">
        <f t="shared" si="501"/>
        <v>170.61530736205825</v>
      </c>
      <c r="H298" s="1" t="s">
        <v>7</v>
      </c>
      <c r="I298" s="2">
        <f t="shared" si="533"/>
        <v>-0.11846125781000605</v>
      </c>
      <c r="J298" s="2">
        <f>+AVERAGE(B289:B298)/AVERAGE(B277:B286)-1</f>
        <v>3.6632058749050289E-2</v>
      </c>
      <c r="K298" s="2">
        <f t="shared" si="534"/>
        <v>-1.5972683849395208E-2</v>
      </c>
      <c r="L298" s="2">
        <f>+F298/F288-1</f>
        <v>-0.21577275720328193</v>
      </c>
      <c r="O298" s="7"/>
      <c r="R298" s="7"/>
      <c r="S298" s="7"/>
      <c r="T298" s="7"/>
    </row>
    <row r="299" spans="1:20" x14ac:dyDescent="0.2">
      <c r="A299" s="3">
        <v>43405</v>
      </c>
      <c r="B299" s="4">
        <v>36808</v>
      </c>
      <c r="C299" s="5">
        <v>32087.091302744699</v>
      </c>
      <c r="D299" s="4">
        <v>32565.2442940254</v>
      </c>
      <c r="E299" s="5">
        <f t="shared" si="500"/>
        <v>180.7688372492766</v>
      </c>
      <c r="F299" s="5">
        <f t="shared" si="501"/>
        <v>157.94676662102057</v>
      </c>
      <c r="G299" s="5">
        <f t="shared" si="501"/>
        <v>162.79437393122586</v>
      </c>
      <c r="H299" s="1" t="s">
        <v>8</v>
      </c>
      <c r="I299" s="2">
        <f t="shared" si="533"/>
        <v>-0.18616786061731683</v>
      </c>
      <c r="J299" s="2">
        <f>+AVERAGE(B289:B299)/AVERAGE(B277:B287)-1</f>
        <v>1.3736912898066223E-2</v>
      </c>
      <c r="K299" s="2">
        <f t="shared" si="534"/>
        <v>-5.0852192053774448E-2</v>
      </c>
      <c r="L299" s="2">
        <f>+F299/F288-1</f>
        <v>-0.25565243156778261</v>
      </c>
      <c r="O299" s="7"/>
      <c r="R299" s="7"/>
      <c r="S299" s="7"/>
      <c r="T299" s="7"/>
    </row>
    <row r="300" spans="1:20" x14ac:dyDescent="0.2">
      <c r="A300" s="3">
        <v>43435</v>
      </c>
      <c r="B300" s="4">
        <v>20475</v>
      </c>
      <c r="C300" s="5">
        <v>29337.705828173101</v>
      </c>
      <c r="D300" s="4">
        <v>31336.276193907899</v>
      </c>
      <c r="E300" s="5">
        <f t="shared" si="500"/>
        <v>100.55536684087531</v>
      </c>
      <c r="F300" s="5">
        <f t="shared" si="501"/>
        <v>144.41308287866659</v>
      </c>
      <c r="G300" s="5">
        <f t="shared" si="501"/>
        <v>156.65073531351149</v>
      </c>
      <c r="H300" s="1" t="s">
        <v>9</v>
      </c>
      <c r="I300" s="2">
        <f t="shared" si="533"/>
        <v>-0.38476562500000011</v>
      </c>
      <c r="J300" s="2">
        <f>+AVERAGE(B289:B300)/AVERAGE(B277:B288)-1</f>
        <v>-1.4277325267000096E-2</v>
      </c>
      <c r="K300" s="2">
        <f t="shared" si="534"/>
        <v>-8.5685095250014665E-2</v>
      </c>
      <c r="L300" s="2">
        <f>+F300/F288-1</f>
        <v>-0.319431923868014</v>
      </c>
      <c r="O300" s="7"/>
      <c r="R300" s="7"/>
      <c r="S300" s="7"/>
      <c r="T300" s="7"/>
    </row>
    <row r="301" spans="1:20" x14ac:dyDescent="0.2">
      <c r="A301" s="3">
        <v>43466</v>
      </c>
      <c r="B301" s="4">
        <v>14803</v>
      </c>
      <c r="C301" s="5">
        <v>32774.588345043099</v>
      </c>
      <c r="D301" s="4">
        <v>30332.547573776101</v>
      </c>
      <c r="E301" s="5">
        <f t="shared" si="500"/>
        <v>72.699442996116119</v>
      </c>
      <c r="F301" s="5">
        <f t="shared" si="501"/>
        <v>161.33092923856699</v>
      </c>
      <c r="G301" s="5">
        <f t="shared" si="501"/>
        <v>151.63307382029839</v>
      </c>
      <c r="H301" s="1" t="s">
        <v>33</v>
      </c>
      <c r="I301" s="2">
        <f>+E301/E289-1</f>
        <v>-0.32276512032207882</v>
      </c>
      <c r="J301" s="2">
        <f>+AVERAGE(B$301:B301)/AVERAGE(B$289:B289)-1</f>
        <v>-0.32276512032207882</v>
      </c>
      <c r="K301" s="2">
        <f>+F301/F300-1</f>
        <v>0.11714898693849296</v>
      </c>
      <c r="L301" s="2">
        <f t="shared" ref="L301:L311" si="535">+F301/F$300-1</f>
        <v>0.11714898693849296</v>
      </c>
      <c r="O301" s="7"/>
      <c r="R301" s="7"/>
      <c r="S301" s="7"/>
      <c r="T301" s="7"/>
    </row>
    <row r="302" spans="1:20" x14ac:dyDescent="0.2">
      <c r="A302" s="3">
        <v>43497</v>
      </c>
      <c r="B302" s="4">
        <v>32662</v>
      </c>
      <c r="C302" s="5">
        <v>33850.969226474801</v>
      </c>
      <c r="D302" s="4">
        <v>29221.9207684127</v>
      </c>
      <c r="E302" s="5">
        <f t="shared" si="500"/>
        <v>160.40729630069205</v>
      </c>
      <c r="F302" s="5">
        <f t="shared" ref="F302" si="536">+C302/AVERAGE(C$121:C$132)*100</f>
        <v>166.62934903831618</v>
      </c>
      <c r="G302" s="5">
        <f t="shared" ref="G302" si="537">+D302/AVERAGE(D$121:D$132)*100</f>
        <v>146.08102594318348</v>
      </c>
      <c r="H302" s="1" t="s">
        <v>2</v>
      </c>
      <c r="I302" s="2">
        <f>+E302/E290-1</f>
        <v>-0.16433414353332476</v>
      </c>
      <c r="J302" s="2">
        <f>+AVERAGE(B$301:B302)/AVERAGE(B$289:B290)-1</f>
        <v>-0.22115747501763938</v>
      </c>
      <c r="K302" s="2">
        <f>+F302/F301-1</f>
        <v>3.2841934431024011E-2</v>
      </c>
      <c r="L302" s="2">
        <f t="shared" si="535"/>
        <v>0.15383832071721182</v>
      </c>
    </row>
    <row r="303" spans="1:20" x14ac:dyDescent="0.2">
      <c r="A303" s="3">
        <v>43525</v>
      </c>
      <c r="B303" s="4">
        <v>29227</v>
      </c>
      <c r="C303" s="5">
        <v>25548.491978698199</v>
      </c>
      <c r="D303" s="6">
        <v>27801.771214005501</v>
      </c>
      <c r="E303" s="5">
        <f t="shared" ref="E303:E307" si="538">+B303/AVERAGE(B$121:B$132)*100</f>
        <v>143.53756809075767</v>
      </c>
      <c r="F303" s="5">
        <f t="shared" ref="F303:F305" si="539">+C303/AVERAGE(C$121:C$132)*100</f>
        <v>125.76090683960766</v>
      </c>
      <c r="G303" s="5">
        <f t="shared" ref="G303:G305" si="540">+D303/AVERAGE(D$121:D$132)*100</f>
        <v>138.98166702202698</v>
      </c>
      <c r="H303" s="1" t="s">
        <v>3</v>
      </c>
      <c r="I303" s="2">
        <f t="shared" ref="I303:I305" si="541">+E303/E291-1</f>
        <v>-0.41139865068975934</v>
      </c>
      <c r="J303" s="2">
        <f>+AVERAGE(B$301:B303)/AVERAGE(B$289:B291)-1</f>
        <v>-0.30656973905495577</v>
      </c>
      <c r="K303" s="2">
        <f t="shared" ref="K303:K305" si="542">+F303/F302-1</f>
        <v>-0.24526556956848511</v>
      </c>
      <c r="L303" s="2">
        <f t="shared" si="535"/>
        <v>-0.12915849220343956</v>
      </c>
    </row>
    <row r="304" spans="1:20" x14ac:dyDescent="0.2">
      <c r="A304" s="3">
        <v>43556</v>
      </c>
      <c r="B304" s="4">
        <v>30294</v>
      </c>
      <c r="C304" s="5">
        <v>27927.395591348599</v>
      </c>
      <c r="D304" s="6">
        <v>26121.4949165172</v>
      </c>
      <c r="E304" s="5">
        <f t="shared" si="538"/>
        <v>148.77774276324672</v>
      </c>
      <c r="F304" s="5">
        <f t="shared" si="539"/>
        <v>137.47091601981199</v>
      </c>
      <c r="G304" s="5">
        <f t="shared" si="540"/>
        <v>130.58192877927499</v>
      </c>
      <c r="H304" s="1" t="s">
        <v>4</v>
      </c>
      <c r="I304" s="2">
        <f t="shared" si="541"/>
        <v>-0.33858783459237596</v>
      </c>
      <c r="J304" s="2">
        <f>+AVERAGE(B$301:B304)/AVERAGE(B$289:B292)-1</f>
        <v>-0.31594629156010234</v>
      </c>
      <c r="K304" s="2">
        <f t="shared" si="542"/>
        <v>9.3113269254164965E-2</v>
      </c>
      <c r="L304" s="2">
        <f t="shared" si="535"/>
        <v>-4.8071592410275477E-2</v>
      </c>
    </row>
    <row r="305" spans="1:12" x14ac:dyDescent="0.2">
      <c r="A305" s="3">
        <v>43586</v>
      </c>
      <c r="B305" s="4">
        <v>30280</v>
      </c>
      <c r="C305" s="5">
        <v>27089.717962017501</v>
      </c>
      <c r="D305" s="6">
        <v>24421.750964818599</v>
      </c>
      <c r="E305" s="5">
        <f t="shared" si="538"/>
        <v>148.7089869568598</v>
      </c>
      <c r="F305" s="5">
        <f t="shared" si="539"/>
        <v>133.34749854406559</v>
      </c>
      <c r="G305" s="5">
        <f t="shared" si="540"/>
        <v>122.08487130407811</v>
      </c>
      <c r="H305" s="1" t="s">
        <v>3</v>
      </c>
      <c r="I305" s="2">
        <f t="shared" si="541"/>
        <v>-0.3534749653037258</v>
      </c>
      <c r="J305" s="2">
        <f>+AVERAGE(B$301:B305)/AVERAGE(B$289:B293)-1</f>
        <v>-0.32459468103427069</v>
      </c>
      <c r="K305" s="2">
        <f t="shared" si="542"/>
        <v>-2.9994835235928385E-2</v>
      </c>
      <c r="L305" s="2">
        <f t="shared" si="535"/>
        <v>-7.6624528152328897E-2</v>
      </c>
    </row>
    <row r="306" spans="1:12" x14ac:dyDescent="0.2">
      <c r="A306" s="3">
        <v>43617</v>
      </c>
      <c r="B306" s="4">
        <v>23916</v>
      </c>
      <c r="C306" s="5">
        <v>24779.707543456399</v>
      </c>
      <c r="D306" s="6">
        <v>22898.534808550801</v>
      </c>
      <c r="E306" s="5">
        <f t="shared" si="538"/>
        <v>117.45456182497553</v>
      </c>
      <c r="F306" s="5">
        <f t="shared" ref="F306" si="543">+C306/AVERAGE(C$121:C$132)*100</f>
        <v>121.97661194577216</v>
      </c>
      <c r="G306" s="5">
        <f t="shared" ref="G306:G307" si="544">+D306/AVERAGE(D$121:D$132)*100</f>
        <v>114.47028016873575</v>
      </c>
      <c r="H306" s="1" t="s">
        <v>5</v>
      </c>
      <c r="I306" s="2">
        <f t="shared" ref="I306:I307" si="545">+E306/E294-1</f>
        <v>-0.39330289193302903</v>
      </c>
      <c r="J306" s="2">
        <f>+AVERAGE(B$301:B306)/AVERAGE(B$289:B294)-1</f>
        <v>-0.33575652675609402</v>
      </c>
      <c r="K306" s="2">
        <f t="shared" ref="K306" si="546">+F306/F305-1</f>
        <v>-8.5272590205626053E-2</v>
      </c>
      <c r="L306" s="2">
        <f t="shared" si="535"/>
        <v>-0.15536314636912196</v>
      </c>
    </row>
    <row r="307" spans="1:12" x14ac:dyDescent="0.2">
      <c r="A307" s="3">
        <v>43647</v>
      </c>
      <c r="B307" s="4">
        <v>21646</v>
      </c>
      <c r="C307" s="5">
        <v>21134.8996194182</v>
      </c>
      <c r="D307" s="6">
        <v>21737.192165123699</v>
      </c>
      <c r="E307" s="5">
        <f t="shared" si="538"/>
        <v>106.30629893223869</v>
      </c>
      <c r="F307" s="5">
        <f>+C307/AVERAGE(C$121:C$132)*100</f>
        <v>104.0352653424026</v>
      </c>
      <c r="G307" s="5">
        <f t="shared" si="544"/>
        <v>108.66470269941406</v>
      </c>
      <c r="H307" s="1" t="s">
        <v>5</v>
      </c>
      <c r="I307" s="2">
        <f t="shared" si="545"/>
        <v>-0.47778045838359473</v>
      </c>
      <c r="J307" s="2">
        <f>+AVERAGE(B$301:B307)/AVERAGE(B$289:B295)-1</f>
        <v>-0.35647735872300734</v>
      </c>
      <c r="K307" s="2">
        <f>+F307/F306-1</f>
        <v>-0.14708841569846076</v>
      </c>
      <c r="L307" s="2">
        <f t="shared" si="535"/>
        <v>-0.27959944301022055</v>
      </c>
    </row>
    <row r="308" spans="1:12" x14ac:dyDescent="0.2">
      <c r="A308" s="3">
        <v>43678</v>
      </c>
      <c r="B308" s="4">
        <v>30815</v>
      </c>
      <c r="C308" s="5">
        <v>25114.7700069733</v>
      </c>
      <c r="D308" s="6">
        <v>21738.192165123699</v>
      </c>
      <c r="E308" s="5">
        <f t="shared" ref="E308:E312" si="547">+B308/AVERAGE(B$121:B$132)*100</f>
        <v>151.33644098664581</v>
      </c>
      <c r="F308" s="5">
        <f t="shared" ref="F308:F312" si="548">+C308/AVERAGE(C$121:C$132)*100</f>
        <v>123.62593666109909</v>
      </c>
      <c r="G308" s="5">
        <f t="shared" ref="G308:G313" si="549">+D308/AVERAGE(D$121:D$132)*100</f>
        <v>108.66970172145307</v>
      </c>
      <c r="H308" s="1" t="s">
        <v>4</v>
      </c>
      <c r="I308" s="2">
        <f t="shared" ref="I308:I312" si="550">+E308/E296-1</f>
        <v>-0.37539272321881023</v>
      </c>
      <c r="J308" s="2">
        <f>+AVERAGE(B$301:B308)/AVERAGE(B$289:B296)-1</f>
        <v>-0.35927603166986566</v>
      </c>
      <c r="K308" s="2">
        <f t="shared" ref="K308:K313" si="551">+F308/F307-1</f>
        <v>0.18830798627964618</v>
      </c>
      <c r="L308" s="2">
        <f t="shared" si="535"/>
        <v>-0.14394226480873973</v>
      </c>
    </row>
    <row r="309" spans="1:12" x14ac:dyDescent="0.2">
      <c r="A309" s="3">
        <v>43709</v>
      </c>
      <c r="B309" s="4">
        <v>27687</v>
      </c>
      <c r="C309" s="5">
        <v>23415.840186911999</v>
      </c>
      <c r="D309" s="6">
        <v>21739.192165123699</v>
      </c>
      <c r="E309" s="5">
        <f t="shared" si="547"/>
        <v>135.97442938819609</v>
      </c>
      <c r="F309" s="5">
        <f t="shared" si="548"/>
        <v>115.26305735668045</v>
      </c>
      <c r="G309" s="5">
        <f t="shared" si="549"/>
        <v>108.67470074349205</v>
      </c>
      <c r="H309" s="1" t="s">
        <v>6</v>
      </c>
      <c r="I309" s="2">
        <f t="shared" si="550"/>
        <v>-0.25706389030509569</v>
      </c>
      <c r="J309" s="2">
        <f>+AVERAGE(B$301:B309)/AVERAGE(B$289:B297)-1</f>
        <v>-0.34900069326988692</v>
      </c>
      <c r="K309" s="2">
        <f t="shared" si="551"/>
        <v>-6.7646640585981133E-2</v>
      </c>
      <c r="L309" s="2">
        <f t="shared" si="535"/>
        <v>-0.20185169474207187</v>
      </c>
    </row>
    <row r="310" spans="1:12" x14ac:dyDescent="0.2">
      <c r="A310" s="3">
        <v>43739</v>
      </c>
      <c r="B310" s="4">
        <v>31834</v>
      </c>
      <c r="C310" s="5">
        <v>26752.4258883976</v>
      </c>
      <c r="D310" s="6">
        <v>21740.192165123699</v>
      </c>
      <c r="E310" s="5">
        <f t="shared" si="547"/>
        <v>156.34088146580828</v>
      </c>
      <c r="F310" s="5">
        <f t="shared" si="548"/>
        <v>131.68719870783187</v>
      </c>
      <c r="G310" s="5">
        <f t="shared" si="549"/>
        <v>108.67969976553107</v>
      </c>
      <c r="H310" s="1" t="s">
        <v>7</v>
      </c>
      <c r="I310" s="2">
        <f t="shared" si="550"/>
        <v>-0.1765436250291007</v>
      </c>
      <c r="J310" s="2">
        <f>+AVERAGE(B$301:B310)/AVERAGE(B$289:B298)-1</f>
        <v>-0.33271449021169319</v>
      </c>
      <c r="K310" s="2">
        <f t="shared" si="551"/>
        <v>0.14249267482405115</v>
      </c>
      <c r="L310" s="2">
        <f t="shared" si="535"/>
        <v>-8.8121407819586439E-2</v>
      </c>
    </row>
    <row r="311" spans="1:12" x14ac:dyDescent="0.2">
      <c r="A311" s="3">
        <v>43770</v>
      </c>
      <c r="B311" s="4">
        <v>27099</v>
      </c>
      <c r="C311" s="5">
        <v>23833.081771402001</v>
      </c>
      <c r="D311" s="6">
        <v>21741.192165123699</v>
      </c>
      <c r="E311" s="5">
        <f t="shared" si="547"/>
        <v>133.08668551994532</v>
      </c>
      <c r="F311" s="5">
        <f t="shared" si="548"/>
        <v>117.31690382559957</v>
      </c>
      <c r="G311" s="5">
        <f t="shared" si="549"/>
        <v>108.68469878757006</v>
      </c>
      <c r="H311" s="1" t="s">
        <v>8</v>
      </c>
      <c r="I311" s="2">
        <f t="shared" si="550"/>
        <v>-0.26377417952618987</v>
      </c>
      <c r="J311" s="2">
        <f>+AVERAGE(B$301:B311)/AVERAGE(B$289:B299)-1</f>
        <v>-0.3270271239471596</v>
      </c>
      <c r="K311" s="2">
        <f t="shared" si="551"/>
        <v>-0.10912446329817516</v>
      </c>
      <c r="L311" s="2">
        <f t="shared" si="535"/>
        <v>-0.18762966978436968</v>
      </c>
    </row>
    <row r="312" spans="1:12" x14ac:dyDescent="0.2">
      <c r="A312" s="3">
        <v>43800</v>
      </c>
      <c r="B312" s="4">
        <v>14524</v>
      </c>
      <c r="C312" s="5">
        <v>21330.0580755542</v>
      </c>
      <c r="D312" s="6">
        <v>21742.192165123699</v>
      </c>
      <c r="E312" s="5">
        <f t="shared" si="547"/>
        <v>71.329237997405286</v>
      </c>
      <c r="F312" s="5">
        <f t="shared" si="548"/>
        <v>104.99592104143738</v>
      </c>
      <c r="G312" s="5">
        <f t="shared" si="549"/>
        <v>108.68969780960907</v>
      </c>
      <c r="H312" s="1" t="s">
        <v>9</v>
      </c>
      <c r="I312" s="2">
        <f t="shared" si="550"/>
        <v>-0.29064713064713055</v>
      </c>
      <c r="J312" s="2">
        <f>+AVERAGE(B$301:B312)/AVERAGE(B$289:B300)-1</f>
        <v>-0.32543089131231395</v>
      </c>
      <c r="K312" s="2">
        <f t="shared" si="551"/>
        <v>-0.10502308177582198</v>
      </c>
      <c r="L312" s="2">
        <f>+F312/F$300-1</f>
        <v>-0.2729473054068573</v>
      </c>
    </row>
    <row r="313" spans="1:12" x14ac:dyDescent="0.2">
      <c r="A313" s="3">
        <v>43831</v>
      </c>
      <c r="B313" s="4">
        <v>20683</v>
      </c>
      <c r="C313" s="5">
        <v>38608.406493054797</v>
      </c>
      <c r="D313" s="6">
        <v>21743.192165123699</v>
      </c>
      <c r="E313" s="5">
        <f>+B313/AVERAGE(B$121:B$132)*100</f>
        <v>101.57688167862389</v>
      </c>
      <c r="F313" s="5">
        <f>+C313/AVERAGE(C$121:C$132)*100</f>
        <v>190.04754629929323</v>
      </c>
      <c r="G313" s="5">
        <f t="shared" si="549"/>
        <v>108.69469683164806</v>
      </c>
      <c r="H313" s="1" t="s">
        <v>36</v>
      </c>
      <c r="I313" s="2">
        <f>+E313/E301-1</f>
        <v>0.39721678038235475</v>
      </c>
      <c r="J313" s="2">
        <f>+AVERAGE(B$313:B313)/AVERAGE(B$301:B301)-1</f>
        <v>0.39721678038235497</v>
      </c>
      <c r="K313" s="2">
        <f t="shared" si="551"/>
        <v>0.8100469467217648</v>
      </c>
      <c r="L313" s="2">
        <f>+F313/F312-1</f>
        <v>0.8100469467217648</v>
      </c>
    </row>
    <row r="314" spans="1:12" x14ac:dyDescent="0.2">
      <c r="A314" s="3">
        <v>43862</v>
      </c>
      <c r="B314" s="4">
        <v>26133</v>
      </c>
      <c r="C314" s="5">
        <v>30310.956884001302</v>
      </c>
      <c r="E314" s="5">
        <f t="shared" ref="E314:E320" si="552">+B314/AVERAGE(B$121:B$132)*100</f>
        <v>128.34253487924761</v>
      </c>
      <c r="F314" s="5">
        <f t="shared" ref="F314:F320" si="553">+C314/AVERAGE(C$121:C$132)*100</f>
        <v>149.20385234817627</v>
      </c>
      <c r="H314" s="1" t="s">
        <v>2</v>
      </c>
      <c r="I314" s="2">
        <f t="shared" ref="I314:I320" si="554">+E314/E302-1</f>
        <v>-0.19989590349641784</v>
      </c>
      <c r="J314" s="2">
        <f>+AVERAGE(B$313:B314)/AVERAGE(B$301:B302)-1</f>
        <v>-1.3673232908458899E-2</v>
      </c>
      <c r="K314" s="2">
        <f t="shared" ref="K314:K320" si="555">+F314/F313-1</f>
        <v>-0.21491302964151371</v>
      </c>
      <c r="L314" s="2">
        <f t="shared" ref="L314:L320" si="556">+F314/F313-1</f>
        <v>-0.21491302964151371</v>
      </c>
    </row>
    <row r="315" spans="1:12" x14ac:dyDescent="0.2">
      <c r="A315" s="3">
        <v>43891</v>
      </c>
      <c r="B315" s="4">
        <v>19164</v>
      </c>
      <c r="C315" s="5">
        <v>13582.5984692403</v>
      </c>
      <c r="E315" s="5">
        <f t="shared" si="552"/>
        <v>94.116876685642708</v>
      </c>
      <c r="F315" s="5">
        <f t="shared" si="553"/>
        <v>66.859519620733593</v>
      </c>
      <c r="H315" s="1" t="s">
        <v>3</v>
      </c>
      <c r="I315" s="2">
        <f t="shared" si="554"/>
        <v>-0.34430492352961317</v>
      </c>
      <c r="J315" s="2">
        <f>+AVERAGE(B$313:B315)/AVERAGE(B$301:B303)-1</f>
        <v>-0.13967558545871805</v>
      </c>
      <c r="K315" s="2">
        <f t="shared" si="555"/>
        <v>-0.55189146547829848</v>
      </c>
      <c r="L315" s="2">
        <f t="shared" si="556"/>
        <v>-0.55189146547829848</v>
      </c>
    </row>
    <row r="316" spans="1:12" x14ac:dyDescent="0.2">
      <c r="A316" s="3">
        <v>43922</v>
      </c>
      <c r="B316" s="4">
        <v>0</v>
      </c>
      <c r="C316" s="5">
        <v>-1914.0001145096501</v>
      </c>
      <c r="E316" s="5">
        <f t="shared" si="552"/>
        <v>0</v>
      </c>
      <c r="F316" s="5">
        <f t="shared" si="553"/>
        <v>-9.4215498234706949</v>
      </c>
      <c r="H316" s="1" t="s">
        <v>4</v>
      </c>
      <c r="I316" s="2">
        <f t="shared" si="554"/>
        <v>-1</v>
      </c>
      <c r="J316" s="2">
        <f>+AVERAGE(B$313:B316)/AVERAGE(B$301:B304)-1</f>
        <v>-0.38328379414128955</v>
      </c>
      <c r="K316" s="2">
        <f>+F316/F315-1</f>
        <v>-1.140915607484398</v>
      </c>
      <c r="L316" s="2">
        <f t="shared" si="556"/>
        <v>-1.140915607484398</v>
      </c>
    </row>
    <row r="317" spans="1:12" x14ac:dyDescent="0.2">
      <c r="A317" s="3">
        <v>43952</v>
      </c>
      <c r="B317" s="4">
        <v>4802</v>
      </c>
      <c r="C317" s="5">
        <v>5091.2720936564001</v>
      </c>
      <c r="E317" s="5">
        <f t="shared" si="552"/>
        <v>23.583241590714689</v>
      </c>
      <c r="F317" s="5">
        <f t="shared" si="553"/>
        <v>25.061479010161204</v>
      </c>
      <c r="H317" s="1" t="s">
        <v>3</v>
      </c>
      <c r="I317" s="2">
        <f t="shared" si="554"/>
        <v>-0.84141347424042268</v>
      </c>
      <c r="J317" s="2">
        <f>+AVERAGE(B$313:B317)/AVERAGE(B$301:B305)-1</f>
        <v>-0.48434426587793045</v>
      </c>
      <c r="K317" s="22">
        <v>0</v>
      </c>
      <c r="L317" s="2">
        <v>0</v>
      </c>
    </row>
    <row r="318" spans="1:12" x14ac:dyDescent="0.2">
      <c r="A318" s="3">
        <v>43983</v>
      </c>
      <c r="B318" s="4">
        <v>15657</v>
      </c>
      <c r="C318" s="5">
        <v>13667.817055317901</v>
      </c>
      <c r="E318" s="5">
        <f t="shared" si="552"/>
        <v>76.893547185718433</v>
      </c>
      <c r="F318" s="5">
        <f t="shared" si="553"/>
        <v>67.279002957505242</v>
      </c>
      <c r="H318" s="1" t="s">
        <v>5</v>
      </c>
      <c r="I318" s="2">
        <f t="shared" si="554"/>
        <v>-0.34533366783743091</v>
      </c>
      <c r="J318" s="2">
        <f>+AVERAGE(B$313:B318)/AVERAGE(B$301:B306)-1</f>
        <v>-0.46371803303098358</v>
      </c>
      <c r="K318" s="2">
        <f t="shared" si="555"/>
        <v>1.6845583586757549</v>
      </c>
      <c r="L318" s="2">
        <f t="shared" si="556"/>
        <v>1.6845583586757549</v>
      </c>
    </row>
    <row r="319" spans="1:12" x14ac:dyDescent="0.2">
      <c r="A319" s="3">
        <v>44013</v>
      </c>
      <c r="B319" s="4">
        <v>21316</v>
      </c>
      <c r="C319" s="5">
        <v>21345.999378959201</v>
      </c>
      <c r="E319" s="5">
        <f t="shared" si="552"/>
        <v>104.68562635311835</v>
      </c>
      <c r="F319" s="5">
        <f t="shared" si="553"/>
        <v>105.07439114347277</v>
      </c>
      <c r="H319" s="1" t="s">
        <v>5</v>
      </c>
      <c r="I319" s="2">
        <f t="shared" si="554"/>
        <v>-1.5245310911946808E-2</v>
      </c>
      <c r="J319" s="2">
        <f>+AVERAGE(B$313:B319)/AVERAGE(B$301:B307)-1</f>
        <v>-0.41062091145776358</v>
      </c>
      <c r="K319" s="2">
        <f t="shared" si="555"/>
        <v>0.56177093185878291</v>
      </c>
      <c r="L319" s="2">
        <f t="shared" si="556"/>
        <v>0.56177093185878291</v>
      </c>
    </row>
    <row r="320" spans="1:12" x14ac:dyDescent="0.2">
      <c r="A320" s="3">
        <v>44044</v>
      </c>
      <c r="B320" s="4">
        <v>25835</v>
      </c>
      <c r="C320" s="5">
        <v>21477.507414945499</v>
      </c>
      <c r="E320" s="5">
        <f t="shared" si="552"/>
        <v>126.87901842901167</v>
      </c>
      <c r="F320" s="5">
        <f t="shared" si="553"/>
        <v>105.72173149828204</v>
      </c>
      <c r="H320" s="1" t="s">
        <v>4</v>
      </c>
      <c r="I320" s="2">
        <f t="shared" si="554"/>
        <v>-0.16160960571150418</v>
      </c>
      <c r="J320" s="2">
        <f>+AVERAGE(B$313:B320)/AVERAGE(B$301:B308)-1</f>
        <v>-0.3747045304550114</v>
      </c>
      <c r="K320" s="2">
        <f t="shared" si="555"/>
        <v>6.1607814022484053E-3</v>
      </c>
      <c r="L320" s="2">
        <f t="shared" si="556"/>
        <v>6.1607814022484053E-3</v>
      </c>
    </row>
    <row r="321" spans="1:12" x14ac:dyDescent="0.2">
      <c r="A321" s="3">
        <v>44075</v>
      </c>
      <c r="B321" s="4">
        <v>32149</v>
      </c>
      <c r="C321" s="5">
        <v>26096.396467118899</v>
      </c>
      <c r="E321" s="5">
        <f t="shared" ref="E321:E322" si="557">+B321/AVERAGE(B$121:B$132)*100</f>
        <v>157.88788710951408</v>
      </c>
      <c r="F321" s="5">
        <f t="shared" ref="F321:F322" si="558">+C321/AVERAGE(C$121:C$132)*100</f>
        <v>128.45793355189775</v>
      </c>
      <c r="H321" s="1" t="s">
        <v>6</v>
      </c>
      <c r="I321" s="2">
        <f t="shared" ref="I321" si="559">+E321/E309-1</f>
        <v>0.16115866652219468</v>
      </c>
      <c r="J321" s="2">
        <f>+AVERAGE(B$313:B321)/AVERAGE(B$301:B309)-1</f>
        <v>-0.31322670202627112</v>
      </c>
      <c r="K321" s="2">
        <f t="shared" ref="K321:K322" si="560">+F321/F320-1</f>
        <v>0.21505703445639446</v>
      </c>
      <c r="L321" s="2">
        <f t="shared" ref="L321:L322" si="561">+F321/F320-1</f>
        <v>0.21505703445639446</v>
      </c>
    </row>
    <row r="322" spans="1:12" x14ac:dyDescent="0.2">
      <c r="A322" s="3">
        <v>44105</v>
      </c>
      <c r="B322" s="4">
        <v>28706</v>
      </c>
      <c r="C322" s="5">
        <v>24749.429812734801</v>
      </c>
      <c r="E322" s="5">
        <f t="shared" si="557"/>
        <v>140.97886986735858</v>
      </c>
      <c r="F322" s="5">
        <f t="shared" si="558"/>
        <v>121.82757164719922</v>
      </c>
      <c r="H322" s="1" t="s">
        <v>7</v>
      </c>
      <c r="I322" s="2">
        <f>+E322/E310-1</f>
        <v>-9.8259722309480324E-2</v>
      </c>
      <c r="J322" s="2">
        <f>+AVERAGE(B$313:B322)/AVERAGE(B$301:B310)-1</f>
        <v>-0.28817486930927949</v>
      </c>
      <c r="K322" s="2">
        <f t="shared" si="560"/>
        <v>-5.1615044095504103E-2</v>
      </c>
      <c r="L322" s="2">
        <f t="shared" si="561"/>
        <v>-5.1615044095504103E-2</v>
      </c>
    </row>
    <row r="323" spans="1:12" x14ac:dyDescent="0.2">
      <c r="A323" s="3">
        <v>44136</v>
      </c>
      <c r="B323" s="4">
        <v>32570</v>
      </c>
      <c r="C323" s="5">
        <v>28831.749779906801</v>
      </c>
      <c r="E323" s="5">
        <f t="shared" ref="E323" si="562">+B323/AVERAGE(B$121:B$132)*100</f>
        <v>159.9554724301494</v>
      </c>
      <c r="F323" s="5">
        <f t="shared" ref="F323" si="563">+C323/AVERAGE(C$121:C$132)*100</f>
        <v>141.92254482640087</v>
      </c>
      <c r="H323" s="1" t="s">
        <v>8</v>
      </c>
      <c r="I323" s="2">
        <f>+E323/E311-1</f>
        <v>0.20188936861138784</v>
      </c>
      <c r="J323" s="2">
        <f>+AVERAGE(B$313:B323)/AVERAGE(B$301:B311)-1</f>
        <v>-0.24394614055011776</v>
      </c>
      <c r="K323" s="2">
        <f t="shared" ref="K323" si="564">+F323/F322-1</f>
        <v>0.16494602090070987</v>
      </c>
      <c r="L323" s="2">
        <f t="shared" ref="L323" si="565">+F323/F322-1</f>
        <v>0.16494602090070987</v>
      </c>
    </row>
    <row r="324" spans="1:12" x14ac:dyDescent="0.2">
      <c r="A324" s="3">
        <v>44166</v>
      </c>
      <c r="B324" s="4">
        <v>30172</v>
      </c>
      <c r="C324" s="5">
        <v>35223.133436700497</v>
      </c>
      <c r="E324" s="5">
        <f t="shared" ref="E324:E328" si="566">+B324/AVERAGE(B$121:B$132)*100</f>
        <v>148.17858502187497</v>
      </c>
      <c r="F324" s="5">
        <f t="shared" ref="F324:F328" si="567">+C324/AVERAGE(C$121:C$132)*100</f>
        <v>173.38374438794065</v>
      </c>
      <c r="H324" s="1" t="s">
        <v>9</v>
      </c>
      <c r="I324" s="2">
        <f t="shared" ref="I324:I326" si="568">+E324/E312-1</f>
        <v>1.0773891489947669</v>
      </c>
      <c r="J324" s="2">
        <f>+AVERAGE(B$313:B324)/AVERAGE(B$301:B312)-1</f>
        <v>-0.18298087278064212</v>
      </c>
      <c r="K324" s="2">
        <f t="shared" ref="K324:K326" si="569">+F324/F323-1</f>
        <v>0.22167866000446246</v>
      </c>
      <c r="L324" s="2">
        <f t="shared" ref="L324:L326" si="570">+F324/F323-1</f>
        <v>0.22167866000446246</v>
      </c>
    </row>
    <row r="325" spans="1:12" x14ac:dyDescent="0.2">
      <c r="A325" s="3">
        <v>44197</v>
      </c>
      <c r="B325" s="4">
        <v>24308</v>
      </c>
      <c r="C325" s="5">
        <v>45413.615105028402</v>
      </c>
      <c r="E325" s="5">
        <f t="shared" si="566"/>
        <v>119.37972440380939</v>
      </c>
      <c r="F325" s="5">
        <f t="shared" si="567"/>
        <v>223.54577417857789</v>
      </c>
      <c r="H325" s="1" t="s">
        <v>40</v>
      </c>
      <c r="I325" s="2">
        <f t="shared" si="568"/>
        <v>0.17526471014843104</v>
      </c>
      <c r="J325" s="2">
        <f>+AVERAGE(B$313:B325)/AVERAGE(B$301:B313)-1</f>
        <v>-0.16089367156526668</v>
      </c>
      <c r="K325" s="2">
        <f t="shared" si="569"/>
        <v>0.28931218418262605</v>
      </c>
      <c r="L325" s="2">
        <f t="shared" si="570"/>
        <v>0.28931218418262605</v>
      </c>
    </row>
    <row r="326" spans="1:12" x14ac:dyDescent="0.2">
      <c r="A326" s="3">
        <v>44228</v>
      </c>
      <c r="B326" s="4">
        <v>21809</v>
      </c>
      <c r="C326" s="5">
        <v>23478.666121369399</v>
      </c>
      <c r="E326" s="5">
        <f t="shared" si="566"/>
        <v>107.10681296374358</v>
      </c>
      <c r="F326" s="5">
        <f t="shared" si="567"/>
        <v>115.57231421994251</v>
      </c>
      <c r="H326" s="1" t="s">
        <v>2</v>
      </c>
      <c r="I326" s="2">
        <f t="shared" si="568"/>
        <v>-0.16546129414916011</v>
      </c>
      <c r="J326" s="2">
        <f>+AVERAGE(B$313:B326)/AVERAGE(B$301:B314)-1</f>
        <v>-0.16122377303285651</v>
      </c>
      <c r="K326" s="2">
        <f t="shared" si="569"/>
        <v>-0.4830038069625131</v>
      </c>
      <c r="L326" s="2">
        <f t="shared" si="570"/>
        <v>-0.4830038069625131</v>
      </c>
    </row>
    <row r="327" spans="1:12" x14ac:dyDescent="0.2">
      <c r="A327" s="3">
        <v>44256</v>
      </c>
      <c r="B327" s="4">
        <v>43160</v>
      </c>
      <c r="C327" s="5">
        <v>35673.916217009697</v>
      </c>
      <c r="E327" s="5">
        <f t="shared" si="566"/>
        <v>211.96432883282924</v>
      </c>
      <c r="F327" s="5">
        <f t="shared" si="567"/>
        <v>175.60269536503284</v>
      </c>
      <c r="H327" s="1" t="s">
        <v>3</v>
      </c>
      <c r="I327" s="2">
        <f t="shared" ref="I327:I330" si="571">+E327/E315-1</f>
        <v>1.2521394280943436</v>
      </c>
      <c r="J327" s="2">
        <f>+AVERAGE(B$313:B327)/AVERAGE(B$301:B315)-1</f>
        <v>-9.0089214664086037E-2</v>
      </c>
      <c r="K327" s="2">
        <f t="shared" ref="K327" si="572">+F327/F326-1</f>
        <v>0.5194183533510297</v>
      </c>
      <c r="L327" s="2">
        <f t="shared" ref="L327" si="573">+F327/F326-1</f>
        <v>0.5194183533510297</v>
      </c>
    </row>
    <row r="328" spans="1:12" x14ac:dyDescent="0.2">
      <c r="A328" s="3">
        <v>44287</v>
      </c>
      <c r="B328" s="4">
        <v>29315</v>
      </c>
      <c r="C328" s="5">
        <v>27442.235749490701</v>
      </c>
      <c r="E328" s="5">
        <f t="shared" si="566"/>
        <v>143.96974744518977</v>
      </c>
      <c r="F328" s="5">
        <f t="shared" si="567"/>
        <v>135.08274603603832</v>
      </c>
      <c r="H328" s="1" t="s">
        <v>4</v>
      </c>
      <c r="I328" s="2" t="e">
        <f t="shared" si="571"/>
        <v>#DIV/0!</v>
      </c>
      <c r="J328" s="2">
        <f>+AVERAGE(B$313:B328)/AVERAGE(B$301:B316)-1</f>
        <v>-1.309987472653884E-2</v>
      </c>
      <c r="K328" s="2">
        <f t="shared" ref="K328" si="574">+F328/F327-1</f>
        <v>-0.23074787801385377</v>
      </c>
      <c r="L328" s="2">
        <f t="shared" ref="L328" si="575">+F328/F327-1</f>
        <v>-0.23074787801385377</v>
      </c>
    </row>
    <row r="329" spans="1:12" x14ac:dyDescent="0.2">
      <c r="A329" s="3">
        <v>44317</v>
      </c>
      <c r="B329" s="4">
        <v>34953</v>
      </c>
      <c r="C329" s="5">
        <v>36152.087845109803</v>
      </c>
      <c r="E329" s="5">
        <f t="shared" ref="E329:E353" si="576">+B329/AVERAGE(B$121:B$132)*100</f>
        <v>171.65869290300927</v>
      </c>
      <c r="F329" s="5">
        <f t="shared" ref="F329:F353" si="577">+C329/AVERAGE(C$121:C$132)*100</f>
        <v>177.95646628916336</v>
      </c>
      <c r="H329" s="1" t="s">
        <v>3</v>
      </c>
      <c r="I329" s="2">
        <f t="shared" si="571"/>
        <v>6.2788421491045394</v>
      </c>
      <c r="J329" s="2">
        <f>+AVERAGE(B$313:B329)/AVERAGE(B$301:B317)-1</f>
        <v>6.5261989423423428E-2</v>
      </c>
      <c r="K329" s="2">
        <f t="shared" ref="K329" si="578">+F329/F328-1</f>
        <v>0.31738857486423089</v>
      </c>
      <c r="L329" s="2">
        <f t="shared" ref="L329" si="579">+F329/F328-1</f>
        <v>0.31738857486423089</v>
      </c>
    </row>
    <row r="330" spans="1:12" x14ac:dyDescent="0.2">
      <c r="A330" s="3">
        <v>44348</v>
      </c>
      <c r="B330" s="4">
        <v>40035</v>
      </c>
      <c r="C330" s="5">
        <v>38320.995885091703</v>
      </c>
      <c r="E330" s="5">
        <f t="shared" si="576"/>
        <v>196.61705062146245</v>
      </c>
      <c r="F330" s="5">
        <f t="shared" si="577"/>
        <v>188.63278496140688</v>
      </c>
      <c r="H330" s="1" t="s">
        <v>5</v>
      </c>
      <c r="I330" s="2">
        <f t="shared" si="571"/>
        <v>1.5570032573289905</v>
      </c>
      <c r="J330" s="2">
        <f>+AVERAGE(B$313:B330)/AVERAGE(B$301:B318)-1</f>
        <v>0.12347405203052642</v>
      </c>
      <c r="K330" s="2">
        <f>+F330/F329-1</f>
        <v>5.999399119836113E-2</v>
      </c>
      <c r="L330" s="2">
        <f t="shared" ref="L330" si="580">+F330/F329-1</f>
        <v>5.999399119836113E-2</v>
      </c>
    </row>
    <row r="331" spans="1:12" x14ac:dyDescent="0.2">
      <c r="A331" s="3">
        <v>44378</v>
      </c>
      <c r="B331" s="4">
        <v>31935</v>
      </c>
      <c r="C331" s="5">
        <v>33442.837167354897</v>
      </c>
      <c r="E331" s="5">
        <f t="shared" si="576"/>
        <v>156.83690549759967</v>
      </c>
      <c r="F331" s="5">
        <f t="shared" si="577"/>
        <v>164.62034365717543</v>
      </c>
      <c r="H331" s="1" t="s">
        <v>5</v>
      </c>
      <c r="I331" s="2">
        <f t="shared" ref="I331" si="581">+E331/E319-1</f>
        <v>0.49817038844060813</v>
      </c>
      <c r="J331" s="2">
        <f>+AVERAGE(B$313:B331)/AVERAGE(B$301:B319)-1</f>
        <v>0.14237637915284163</v>
      </c>
      <c r="K331" s="2">
        <f>+F331/F330-1</f>
        <v>-0.12729728455816558</v>
      </c>
      <c r="L331" s="2">
        <f t="shared" ref="L331" si="582">+F331/F330-1</f>
        <v>-0.12729728455816558</v>
      </c>
    </row>
    <row r="332" spans="1:12" x14ac:dyDescent="0.2">
      <c r="A332" s="3">
        <v>44409</v>
      </c>
      <c r="B332" s="4">
        <v>38362</v>
      </c>
      <c r="C332" s="5">
        <v>32182.563663560399</v>
      </c>
      <c r="E332" s="5">
        <f t="shared" si="576"/>
        <v>188.40073175822511</v>
      </c>
      <c r="F332" s="5">
        <f t="shared" si="577"/>
        <v>158.41672354389149</v>
      </c>
      <c r="H332" s="1" t="s">
        <v>4</v>
      </c>
      <c r="I332" s="2">
        <f t="shared" ref="I332" si="583">+E332/E320-1</f>
        <v>0.48488484613895877</v>
      </c>
      <c r="J332" s="2">
        <f>+AVERAGE(B$313:B332)/AVERAGE(B$301:B320)-1</f>
        <v>0.16211134826273432</v>
      </c>
      <c r="K332" s="2">
        <f>+F332/F331-1</f>
        <v>-3.7684407500710115E-2</v>
      </c>
      <c r="L332" s="2">
        <f t="shared" ref="L332" si="584">+F332/F331-1</f>
        <v>-3.7684407500710115E-2</v>
      </c>
    </row>
    <row r="333" spans="1:12" x14ac:dyDescent="0.2">
      <c r="A333" s="3">
        <v>44440</v>
      </c>
      <c r="B333" s="4">
        <v>43535</v>
      </c>
      <c r="C333" s="5">
        <v>37259.860517577101</v>
      </c>
      <c r="E333" s="5">
        <f t="shared" si="576"/>
        <v>213.80600221819327</v>
      </c>
      <c r="F333" s="5">
        <f t="shared" si="577"/>
        <v>183.40941028201351</v>
      </c>
      <c r="H333" s="1" t="s">
        <v>6</v>
      </c>
      <c r="I333" s="2">
        <f t="shared" ref="I333:I334" si="585">+E333/E321-1</f>
        <v>0.35416342654514921</v>
      </c>
      <c r="J333" s="2">
        <f>+AVERAGE(B$313:B333)/AVERAGE(B$301:B321)-1</f>
        <v>0.17496035594327886</v>
      </c>
      <c r="K333" s="2">
        <f>+F333/F332-1</f>
        <v>0.15776545669559594</v>
      </c>
      <c r="L333" s="2">
        <f t="shared" ref="L333:L334" si="586">+F333/F332-1</f>
        <v>0.15776545669559594</v>
      </c>
    </row>
    <row r="334" spans="1:12" x14ac:dyDescent="0.2">
      <c r="A334" s="3">
        <v>44470</v>
      </c>
      <c r="B334" s="4">
        <v>41002</v>
      </c>
      <c r="C334" s="5">
        <v>38246.507827763096</v>
      </c>
      <c r="E334" s="5">
        <f t="shared" si="576"/>
        <v>201.36611239118781</v>
      </c>
      <c r="F334" s="5">
        <f t="shared" si="577"/>
        <v>188.26612200352361</v>
      </c>
      <c r="H334" s="1" t="s">
        <v>7</v>
      </c>
      <c r="I334" s="2">
        <f t="shared" si="585"/>
        <v>0.42834250679300512</v>
      </c>
      <c r="J334" s="2">
        <f>+AVERAGE(B$313:B334)/AVERAGE(B$301:B322)-1</f>
        <v>0.18924380243189742</v>
      </c>
      <c r="K334" s="2">
        <f t="shared" ref="K334:K353" si="587">+F334/F333-1</f>
        <v>2.648016649768592E-2</v>
      </c>
      <c r="L334" s="2">
        <f t="shared" si="586"/>
        <v>2.648016649768592E-2</v>
      </c>
    </row>
    <row r="335" spans="1:12" x14ac:dyDescent="0.2">
      <c r="A335" s="3">
        <v>44501</v>
      </c>
      <c r="B335" s="4">
        <v>46490</v>
      </c>
      <c r="C335" s="5">
        <v>40383.651691895102</v>
      </c>
      <c r="E335" s="5">
        <f t="shared" si="576"/>
        <v>228.31838849486172</v>
      </c>
      <c r="F335" s="5">
        <f t="shared" si="577"/>
        <v>198.78608344093598</v>
      </c>
      <c r="H335" s="1" t="s">
        <v>8</v>
      </c>
      <c r="I335" s="2">
        <f t="shared" ref="I335:I353" si="588">+E335/E323-1</f>
        <v>0.42738716610377669</v>
      </c>
      <c r="J335" s="2">
        <f>+AVERAGE(B$313:B335)/AVERAGE(B$301:B323)-1</f>
        <v>0.20355960295458497</v>
      </c>
      <c r="K335" s="2">
        <f t="shared" si="587"/>
        <v>5.5878143796978419E-2</v>
      </c>
      <c r="L335" s="2">
        <f t="shared" ref="L335:L353" si="589">+F335/F334-1</f>
        <v>5.5878143796978419E-2</v>
      </c>
    </row>
    <row r="336" spans="1:12" x14ac:dyDescent="0.2">
      <c r="A336" s="3">
        <v>44531</v>
      </c>
      <c r="B336" s="4">
        <v>39849</v>
      </c>
      <c r="C336" s="5">
        <v>45038.961460518003</v>
      </c>
      <c r="E336" s="5">
        <f t="shared" si="576"/>
        <v>195.70358062232188</v>
      </c>
      <c r="F336" s="5">
        <f t="shared" si="577"/>
        <v>221.70156426890193</v>
      </c>
      <c r="H336" s="1" t="s">
        <v>9</v>
      </c>
      <c r="I336" s="2">
        <f t="shared" si="588"/>
        <v>0.32072782712448644</v>
      </c>
      <c r="J336" s="2">
        <f>+AVERAGE(B$313:B336)/AVERAGE(B$301:B324)-1</f>
        <v>0.20974030288090018</v>
      </c>
      <c r="K336" s="2">
        <f t="shared" si="587"/>
        <v>0.11527708796966496</v>
      </c>
      <c r="L336" s="2">
        <f t="shared" si="589"/>
        <v>0.11527708796966496</v>
      </c>
    </row>
    <row r="337" spans="1:12" x14ac:dyDescent="0.2">
      <c r="A337" s="3">
        <v>44562</v>
      </c>
      <c r="B337" s="4">
        <v>18651</v>
      </c>
      <c r="C337" s="5">
        <v>39921.622283552897</v>
      </c>
      <c r="E337" s="5">
        <f t="shared" si="576"/>
        <v>91.597467494464752</v>
      </c>
      <c r="F337" s="5">
        <f t="shared" si="577"/>
        <v>196.51177161743854</v>
      </c>
      <c r="H337" s="1" t="s">
        <v>42</v>
      </c>
      <c r="I337" s="2">
        <f t="shared" si="588"/>
        <v>-0.23272173769952276</v>
      </c>
      <c r="J337" s="2">
        <f>+AVERAGE(B$313:B337)/AVERAGE(B$301:B325)-1</f>
        <v>0.19170291908861925</v>
      </c>
      <c r="K337" s="2">
        <f t="shared" si="587"/>
        <v>-0.11362027478033798</v>
      </c>
      <c r="L337" s="2">
        <f t="shared" si="589"/>
        <v>-0.11362027478033798</v>
      </c>
    </row>
    <row r="338" spans="1:12" x14ac:dyDescent="0.2">
      <c r="A338" s="3">
        <v>44593</v>
      </c>
      <c r="B338" s="4">
        <v>37661</v>
      </c>
      <c r="C338" s="5">
        <v>39998.620077954598</v>
      </c>
      <c r="E338" s="5">
        <f t="shared" si="576"/>
        <v>184.9580303098513</v>
      </c>
      <c r="F338" s="5">
        <f t="shared" si="577"/>
        <v>196.8907886042995</v>
      </c>
      <c r="H338" s="1" t="s">
        <v>2</v>
      </c>
      <c r="I338" s="2">
        <f t="shared" si="588"/>
        <v>0.72685588518501532</v>
      </c>
      <c r="J338" s="2">
        <f>+AVERAGE(B$313:B338)/AVERAGE(B$301:B326)-1</f>
        <v>0.2105854963104139</v>
      </c>
      <c r="K338" s="2">
        <f t="shared" si="587"/>
        <v>1.9287240847780662E-3</v>
      </c>
      <c r="L338" s="2">
        <f t="shared" si="589"/>
        <v>1.9287240847780662E-3</v>
      </c>
    </row>
    <row r="339" spans="1:12" x14ac:dyDescent="0.2">
      <c r="A339" s="3">
        <v>44621</v>
      </c>
      <c r="B339" s="4">
        <v>48746</v>
      </c>
      <c r="C339" s="5">
        <v>41305.985370691298</v>
      </c>
      <c r="E339" s="5">
        <f t="shared" si="576"/>
        <v>239.39789558121163</v>
      </c>
      <c r="F339" s="5">
        <f t="shared" si="577"/>
        <v>203.32621520099582</v>
      </c>
      <c r="H339" s="1" t="s">
        <v>3</v>
      </c>
      <c r="I339" s="2">
        <f t="shared" si="588"/>
        <v>0.12942539388322527</v>
      </c>
      <c r="J339" s="2">
        <f>+AVERAGE(B$313:B339)/AVERAGE(B$301:B327)-1</f>
        <v>0.20528815835439196</v>
      </c>
      <c r="K339" s="2">
        <f t="shared" si="587"/>
        <v>3.2685259896184871E-2</v>
      </c>
      <c r="L339" s="2">
        <f t="shared" si="589"/>
        <v>3.2685259896184871E-2</v>
      </c>
    </row>
    <row r="340" spans="1:12" x14ac:dyDescent="0.2">
      <c r="A340" s="3">
        <v>44652</v>
      </c>
      <c r="B340" s="4">
        <v>43826</v>
      </c>
      <c r="C340" s="5">
        <v>43356.952031082401</v>
      </c>
      <c r="E340" s="5">
        <f t="shared" si="576"/>
        <v>215.23514076523577</v>
      </c>
      <c r="F340" s="5">
        <f t="shared" si="577"/>
        <v>213.42197456415684</v>
      </c>
      <c r="H340" s="1" t="s">
        <v>4</v>
      </c>
      <c r="I340" s="2">
        <f t="shared" si="588"/>
        <v>0.49500255841719243</v>
      </c>
      <c r="J340" s="2">
        <f>+AVERAGE(B$313:B340)/AVERAGE(B$301:B328)-1</f>
        <v>0.21758673320146094</v>
      </c>
      <c r="K340" s="2">
        <f t="shared" si="587"/>
        <v>4.9653013769921372E-2</v>
      </c>
      <c r="L340" s="2">
        <f t="shared" si="589"/>
        <v>4.9653013769921372E-2</v>
      </c>
    </row>
    <row r="341" spans="1:12" x14ac:dyDescent="0.2">
      <c r="A341" s="3">
        <v>44682</v>
      </c>
      <c r="B341" s="4">
        <v>46422</v>
      </c>
      <c r="C341" s="5">
        <v>46793.588320271403</v>
      </c>
      <c r="E341" s="5">
        <f t="shared" si="576"/>
        <v>227.9844317209824</v>
      </c>
      <c r="F341" s="5">
        <f t="shared" si="577"/>
        <v>230.33860888318699</v>
      </c>
      <c r="H341" s="1" t="s">
        <v>3</v>
      </c>
      <c r="I341" s="2">
        <f t="shared" si="588"/>
        <v>0.32812634108660221</v>
      </c>
      <c r="J341" s="2">
        <f>+AVERAGE(B$313:B341)/AVERAGE(B$301:B329)-1</f>
        <v>0.22291214978518825</v>
      </c>
      <c r="K341" s="2">
        <f t="shared" si="587"/>
        <v>7.926378880889251E-2</v>
      </c>
      <c r="L341" s="2">
        <f t="shared" si="589"/>
        <v>7.926378880889251E-2</v>
      </c>
    </row>
    <row r="342" spans="1:12" x14ac:dyDescent="0.2">
      <c r="A342" s="3">
        <v>44713</v>
      </c>
      <c r="B342" s="4">
        <v>48392</v>
      </c>
      <c r="C342" s="5">
        <v>46552.192449216498</v>
      </c>
      <c r="E342" s="5">
        <f t="shared" si="576"/>
        <v>237.65935590542799</v>
      </c>
      <c r="F342" s="5">
        <f t="shared" si="577"/>
        <v>229.15035230520525</v>
      </c>
      <c r="H342" s="1" t="s">
        <v>5</v>
      </c>
      <c r="I342" s="2">
        <f t="shared" si="588"/>
        <v>0.20874235044336187</v>
      </c>
      <c r="J342" s="2">
        <f>+AVERAGE(B$313:B342)/AVERAGE(B$301:B330)-1</f>
        <v>0.22217113358430618</v>
      </c>
      <c r="K342" s="2">
        <f t="shared" si="587"/>
        <v>-5.1587381887174821E-3</v>
      </c>
      <c r="L342" s="2">
        <f t="shared" si="589"/>
        <v>-5.1587381887174821E-3</v>
      </c>
    </row>
    <row r="343" spans="1:12" x14ac:dyDescent="0.2">
      <c r="A343" s="3">
        <v>44743</v>
      </c>
      <c r="B343" s="4">
        <v>44033</v>
      </c>
      <c r="C343" s="5">
        <v>47260.109040917901</v>
      </c>
      <c r="E343" s="5">
        <f t="shared" si="576"/>
        <v>216.25174447395668</v>
      </c>
      <c r="F343" s="5">
        <f t="shared" si="577"/>
        <v>232.63502891991124</v>
      </c>
      <c r="H343" s="1" t="s">
        <v>5</v>
      </c>
      <c r="I343" s="2">
        <f t="shared" si="588"/>
        <v>0.37883200250508842</v>
      </c>
      <c r="J343" s="2">
        <f>+AVERAGE(B$313:B343)/AVERAGE(B$301:B331)-1</f>
        <v>0.22844453026938294</v>
      </c>
      <c r="K343" s="2">
        <f t="shared" si="587"/>
        <v>1.5206944172901693E-2</v>
      </c>
      <c r="L343" s="2">
        <f t="shared" si="589"/>
        <v>1.5206944172901693E-2</v>
      </c>
    </row>
    <row r="344" spans="1:12" x14ac:dyDescent="0.2">
      <c r="A344" s="3">
        <v>44774</v>
      </c>
      <c r="B344" s="4">
        <v>54057</v>
      </c>
      <c r="C344" s="5">
        <v>46153.2820321771</v>
      </c>
      <c r="E344" s="5">
        <f t="shared" si="576"/>
        <v>265.48090184699379</v>
      </c>
      <c r="F344" s="5">
        <f t="shared" si="577"/>
        <v>227.18673989957017</v>
      </c>
      <c r="H344" s="1" t="s">
        <v>4</v>
      </c>
      <c r="I344" s="2">
        <f t="shared" si="588"/>
        <v>0.40912882540013573</v>
      </c>
      <c r="J344" s="2">
        <f>+AVERAGE(B$313:B344)/AVERAGE(B$301:B332)-1</f>
        <v>0.23673716966301406</v>
      </c>
      <c r="K344" s="2">
        <f t="shared" si="587"/>
        <v>-2.3419899598253302E-2</v>
      </c>
      <c r="L344" s="2">
        <f t="shared" si="589"/>
        <v>-2.3419899598253302E-2</v>
      </c>
    </row>
    <row r="345" spans="1:12" x14ac:dyDescent="0.2">
      <c r="A345" s="3">
        <v>44805</v>
      </c>
      <c r="B345" s="4">
        <v>52193</v>
      </c>
      <c r="C345" s="5">
        <v>45450.973769682401</v>
      </c>
      <c r="E345" s="5">
        <f t="shared" si="576"/>
        <v>256.32655733947769</v>
      </c>
      <c r="F345" s="5">
        <f t="shared" si="577"/>
        <v>223.72966994624673</v>
      </c>
      <c r="H345" s="1" t="s">
        <v>6</v>
      </c>
      <c r="I345" s="2">
        <f t="shared" si="588"/>
        <v>0.19887446881819226</v>
      </c>
      <c r="J345" s="2">
        <f>+AVERAGE(B$313:B345)/AVERAGE(B$301:B333)-1</f>
        <v>0.23486273377106293</v>
      </c>
      <c r="K345" s="2">
        <f t="shared" si="587"/>
        <v>-1.5216865010923009E-2</v>
      </c>
      <c r="L345" s="2">
        <f t="shared" si="589"/>
        <v>-1.5216865010923009E-2</v>
      </c>
    </row>
    <row r="346" spans="1:12" x14ac:dyDescent="0.2">
      <c r="A346" s="3">
        <v>44835</v>
      </c>
      <c r="B346" s="4">
        <v>52415</v>
      </c>
      <c r="C346" s="5">
        <v>49248.7894174596</v>
      </c>
      <c r="E346" s="5">
        <f t="shared" si="576"/>
        <v>257.41682798361319</v>
      </c>
      <c r="F346" s="5">
        <f t="shared" si="577"/>
        <v>242.42418781729521</v>
      </c>
      <c r="H346" s="1" t="s">
        <v>7</v>
      </c>
      <c r="I346" s="2">
        <f t="shared" si="588"/>
        <v>0.27835227549875596</v>
      </c>
      <c r="J346" s="2">
        <f>+AVERAGE(B$313:B346)/AVERAGE(B$301:B334)-1</f>
        <v>0.23680013211819362</v>
      </c>
      <c r="K346" s="2">
        <f t="shared" si="587"/>
        <v>8.3558510033738598E-2</v>
      </c>
      <c r="L346" s="2">
        <f t="shared" si="589"/>
        <v>8.3558510033738598E-2</v>
      </c>
    </row>
    <row r="347" spans="1:12" x14ac:dyDescent="0.2">
      <c r="A347" s="3">
        <v>44866</v>
      </c>
      <c r="B347" s="4">
        <v>53378</v>
      </c>
      <c r="C347" s="5">
        <v>46540.752380901497</v>
      </c>
      <c r="E347" s="5">
        <f t="shared" si="576"/>
        <v>262.14624523722796</v>
      </c>
      <c r="F347" s="5">
        <f t="shared" si="577"/>
        <v>229.09403926070925</v>
      </c>
      <c r="H347" s="1" t="s">
        <v>8</v>
      </c>
      <c r="I347" s="2">
        <f t="shared" si="588"/>
        <v>0.14816089481608929</v>
      </c>
      <c r="J347" s="2">
        <f>+AVERAGE(B$313:B347)/AVERAGE(B$301:B335)-1</f>
        <v>0.23253812787135519</v>
      </c>
      <c r="K347" s="2">
        <f t="shared" si="587"/>
        <v>-5.498687518191181E-2</v>
      </c>
      <c r="L347" s="2">
        <f t="shared" si="589"/>
        <v>-5.498687518191181E-2</v>
      </c>
    </row>
    <row r="348" spans="1:12" x14ac:dyDescent="0.2">
      <c r="A348" s="3">
        <v>44896</v>
      </c>
      <c r="B348" s="4">
        <v>37119</v>
      </c>
      <c r="C348" s="5">
        <v>44201.4524215282</v>
      </c>
      <c r="E348" s="5">
        <f t="shared" si="576"/>
        <v>182.29619837687184</v>
      </c>
      <c r="F348" s="5">
        <f t="shared" si="577"/>
        <v>217.5789766689158</v>
      </c>
      <c r="H348" s="1" t="s">
        <v>9</v>
      </c>
      <c r="I348" s="2">
        <f t="shared" si="588"/>
        <v>-6.850862004065339E-2</v>
      </c>
      <c r="J348" s="2">
        <f>+AVERAGE(B$313:B348)/AVERAGE(B$301:B336)-1</f>
        <v>0.22062187663587052</v>
      </c>
      <c r="K348" s="2">
        <f t="shared" si="587"/>
        <v>-5.0263475335075358E-2</v>
      </c>
      <c r="L348" s="2">
        <f t="shared" si="589"/>
        <v>-5.0263475335075358E-2</v>
      </c>
    </row>
    <row r="349" spans="1:12" x14ac:dyDescent="0.2">
      <c r="A349" s="3">
        <v>44927</v>
      </c>
      <c r="B349" s="4">
        <v>27184</v>
      </c>
      <c r="C349" s="5">
        <v>46878.651262367799</v>
      </c>
      <c r="E349" s="5">
        <f t="shared" si="576"/>
        <v>133.5041314872945</v>
      </c>
      <c r="F349" s="5">
        <f t="shared" si="577"/>
        <v>230.75732607187302</v>
      </c>
      <c r="H349" s="1" t="s">
        <v>43</v>
      </c>
      <c r="I349" s="2">
        <f t="shared" si="588"/>
        <v>0.45750898075170232</v>
      </c>
      <c r="J349" s="2">
        <f>+AVERAGE(B$349:B349)/AVERAGE(B$337:B337)-1</f>
        <v>0.45750898075170232</v>
      </c>
      <c r="K349" s="2">
        <f t="shared" si="587"/>
        <v>6.0568119239803098E-2</v>
      </c>
      <c r="L349" s="2">
        <f t="shared" si="589"/>
        <v>6.0568119239803098E-2</v>
      </c>
    </row>
    <row r="350" spans="1:12" x14ac:dyDescent="0.2">
      <c r="A350" s="3">
        <v>44958</v>
      </c>
      <c r="B350" s="4">
        <v>46286</v>
      </c>
      <c r="C350" s="5">
        <v>49537.612610959499</v>
      </c>
      <c r="E350" s="5">
        <f t="shared" si="576"/>
        <v>227.3165181732237</v>
      </c>
      <c r="F350" s="5">
        <f t="shared" si="577"/>
        <v>243.84590252206695</v>
      </c>
      <c r="H350" s="1" t="s">
        <v>2</v>
      </c>
      <c r="I350" s="2">
        <f t="shared" si="588"/>
        <v>0.22901675473301308</v>
      </c>
      <c r="J350" s="2">
        <f>+AVERAGE(B$349:B350)/AVERAGE(B$337:B338)-1</f>
        <v>0.30469526921437695</v>
      </c>
      <c r="K350" s="2">
        <f t="shared" si="587"/>
        <v>5.6720090638064047E-2</v>
      </c>
      <c r="L350" s="2">
        <f t="shared" si="589"/>
        <v>5.6720090638064047E-2</v>
      </c>
    </row>
    <row r="351" spans="1:12" x14ac:dyDescent="0.2">
      <c r="A351" s="3">
        <v>44986</v>
      </c>
      <c r="B351" s="4">
        <v>61104</v>
      </c>
      <c r="C351" s="5">
        <v>53867.271897913299</v>
      </c>
      <c r="E351" s="5">
        <f t="shared" si="576"/>
        <v>300.08962810475435</v>
      </c>
      <c r="F351" s="5">
        <f t="shared" si="577"/>
        <v>265.1583885462062</v>
      </c>
      <c r="H351" s="1" t="s">
        <v>3</v>
      </c>
      <c r="I351" s="2">
        <f t="shared" si="588"/>
        <v>0.25351823739383739</v>
      </c>
      <c r="J351" s="2">
        <f>+AVERAGE(B$349:B351)/AVERAGE(B$337:B339)-1</f>
        <v>0.28094957071332027</v>
      </c>
      <c r="K351" s="2">
        <f t="shared" si="587"/>
        <v>8.7401452325862161E-2</v>
      </c>
      <c r="L351" s="2">
        <f t="shared" si="589"/>
        <v>8.7401452325862161E-2</v>
      </c>
    </row>
    <row r="352" spans="1:12" x14ac:dyDescent="0.2">
      <c r="A352" s="3">
        <v>45017</v>
      </c>
      <c r="B352" s="4">
        <v>54399</v>
      </c>
      <c r="C352" s="5">
        <v>55311.888918935903</v>
      </c>
      <c r="E352" s="5">
        <f t="shared" si="576"/>
        <v>267.16050797444575</v>
      </c>
      <c r="F352" s="5">
        <f t="shared" si="577"/>
        <v>272.26942847573372</v>
      </c>
      <c r="H352" s="1" t="s">
        <v>4</v>
      </c>
      <c r="I352" s="2">
        <f t="shared" si="588"/>
        <v>0.24124948660612411</v>
      </c>
      <c r="J352" s="2">
        <f>+AVERAGE(B$349:B352)/AVERAGE(B$337:B340)-1</f>
        <v>0.26926331909405987</v>
      </c>
      <c r="K352" s="2">
        <f t="shared" si="587"/>
        <v>2.6818083970548745E-2</v>
      </c>
      <c r="L352" s="2">
        <f t="shared" si="589"/>
        <v>2.6818083970548745E-2</v>
      </c>
    </row>
    <row r="353" spans="1:23" x14ac:dyDescent="0.2">
      <c r="A353" s="3">
        <v>45047</v>
      </c>
      <c r="B353" s="4">
        <v>53282</v>
      </c>
      <c r="C353" s="5">
        <v>52544.6477722579</v>
      </c>
      <c r="E353" s="5">
        <f t="shared" si="576"/>
        <v>261.6747768505748</v>
      </c>
      <c r="F353" s="5">
        <f t="shared" si="577"/>
        <v>258.64785126717413</v>
      </c>
      <c r="H353" s="1" t="s">
        <v>3</v>
      </c>
      <c r="I353" s="2">
        <f t="shared" si="588"/>
        <v>0.14777476196630901</v>
      </c>
      <c r="J353" s="2">
        <f>+AVERAGE(B$349:B353)/AVERAGE(B$337:B341)-1</f>
        <v>0.24038688007536901</v>
      </c>
      <c r="K353" s="2">
        <f t="shared" si="587"/>
        <v>-5.0029771189583294E-2</v>
      </c>
      <c r="L353" s="2">
        <f t="shared" si="589"/>
        <v>-5.0029771189583294E-2</v>
      </c>
    </row>
    <row r="354" spans="1:23" x14ac:dyDescent="0.2">
      <c r="A354" s="3">
        <v>45078</v>
      </c>
      <c r="B354" s="4">
        <v>53522</v>
      </c>
      <c r="C354" s="5">
        <v>51800.233222315903</v>
      </c>
      <c r="E354" s="5">
        <f t="shared" ref="E354:E358" si="590">+B354/AVERAGE(B$121:B$132)*100</f>
        <v>262.85344781720778</v>
      </c>
      <c r="F354" s="5">
        <f t="shared" ref="F354:F358" si="591">+C354/AVERAGE(C$121:C$132)*100</f>
        <v>254.98351566007216</v>
      </c>
      <c r="H354" s="1" t="s">
        <v>5</v>
      </c>
      <c r="I354" s="2">
        <f t="shared" ref="I354:I357" si="592">+E354/E342-1</f>
        <v>0.1060092577285503</v>
      </c>
      <c r="J354" s="2">
        <f>+AVERAGE(B$349:B354)/AVERAGE(B$337:B342)-1</f>
        <v>0.21370302587628931</v>
      </c>
      <c r="K354" s="2">
        <f t="shared" ref="K354:K358" si="593">+F354/F353-1</f>
        <v>-1.416727643067428E-2</v>
      </c>
      <c r="L354" s="2">
        <f t="shared" ref="L354:L358" si="594">+F354/F353-1</f>
        <v>-1.416727643067428E-2</v>
      </c>
    </row>
    <row r="355" spans="1:23" x14ac:dyDescent="0.2">
      <c r="A355" s="3">
        <v>45108</v>
      </c>
      <c r="B355" s="4">
        <v>49254</v>
      </c>
      <c r="C355" s="5">
        <v>52297.394467467202</v>
      </c>
      <c r="E355" s="5">
        <f t="shared" si="590"/>
        <v>241.89274912725142</v>
      </c>
      <c r="F355" s="5">
        <f t="shared" si="591"/>
        <v>257.43076182582888</v>
      </c>
      <c r="H355" s="1" t="s">
        <v>5</v>
      </c>
      <c r="I355" s="2">
        <f t="shared" si="592"/>
        <v>0.11857016328662584</v>
      </c>
      <c r="J355" s="2">
        <f>+AVERAGE(B$349:B355)/AVERAGE(B$337:B343)-1</f>
        <v>0.19914433967838008</v>
      </c>
      <c r="K355" s="2">
        <f t="shared" si="593"/>
        <v>9.5976642232011855E-3</v>
      </c>
      <c r="L355" s="2">
        <f t="shared" si="594"/>
        <v>9.5976642232011855E-3</v>
      </c>
    </row>
    <row r="356" spans="1:23" x14ac:dyDescent="0.2">
      <c r="A356" s="3">
        <v>45139</v>
      </c>
      <c r="B356" s="4">
        <v>63455</v>
      </c>
      <c r="C356" s="5">
        <v>55120.931976665503</v>
      </c>
      <c r="E356" s="5">
        <f t="shared" si="590"/>
        <v>311.63569244872986</v>
      </c>
      <c r="F356" s="5">
        <f t="shared" si="591"/>
        <v>271.32945447463544</v>
      </c>
      <c r="H356" s="1" t="s">
        <v>4</v>
      </c>
      <c r="I356" s="2">
        <f t="shared" si="592"/>
        <v>0.17385352498288831</v>
      </c>
      <c r="J356" s="2">
        <f>+AVERAGE(B$349:B356)/AVERAGE(B$337:B344)-1</f>
        <v>0.19514435849122846</v>
      </c>
      <c r="K356" s="2">
        <f t="shared" si="593"/>
        <v>5.3990022599591514E-2</v>
      </c>
      <c r="L356" s="2">
        <f t="shared" si="594"/>
        <v>5.3990022599591514E-2</v>
      </c>
    </row>
    <row r="357" spans="1:23" x14ac:dyDescent="0.2">
      <c r="A357" s="3">
        <v>45170</v>
      </c>
      <c r="B357" s="4">
        <v>56750</v>
      </c>
      <c r="C357" s="5">
        <v>51251.255095316097</v>
      </c>
      <c r="E357" s="5">
        <f t="shared" si="590"/>
        <v>278.70657231842119</v>
      </c>
      <c r="F357" s="5">
        <f t="shared" si="591"/>
        <v>252.28120402679966</v>
      </c>
      <c r="H357" s="1" t="s">
        <v>6</v>
      </c>
      <c r="I357" s="2">
        <f t="shared" si="592"/>
        <v>8.7310558887206957E-2</v>
      </c>
      <c r="J357" s="2">
        <f>+AVERAGE(B$349:B357)/AVERAGE(B$337:B345)-1</f>
        <v>0.18085897543282559</v>
      </c>
      <c r="K357" s="2">
        <f t="shared" si="593"/>
        <v>-7.020340082398413E-2</v>
      </c>
      <c r="L357" s="2">
        <f t="shared" si="594"/>
        <v>-7.020340082398413E-2</v>
      </c>
    </row>
    <row r="358" spans="1:23" x14ac:dyDescent="0.2">
      <c r="A358" s="3">
        <v>45200</v>
      </c>
      <c r="B358" s="4">
        <v>51937</v>
      </c>
      <c r="C358" s="5">
        <v>46813.240575017197</v>
      </c>
      <c r="E358" s="5">
        <f t="shared" si="590"/>
        <v>255.06930830840253</v>
      </c>
      <c r="F358" s="5">
        <f t="shared" si="591"/>
        <v>230.43534591879498</v>
      </c>
      <c r="H358" s="1" t="s">
        <v>7</v>
      </c>
      <c r="I358" s="2">
        <f t="shared" ref="I358:I363" si="595">+E358/E346-1</f>
        <v>-9.1195268530001039E-3</v>
      </c>
      <c r="J358" s="2">
        <f>+AVERAGE(B$349:B358)/AVERAGE(B$337:B346)-1</f>
        <v>0.15855204795741917</v>
      </c>
      <c r="K358" s="2">
        <f t="shared" si="593"/>
        <v>-8.6593284633618595E-2</v>
      </c>
      <c r="L358" s="2">
        <f t="shared" si="594"/>
        <v>-8.6593284633618595E-2</v>
      </c>
      <c r="P358" s="8">
        <v>0.32747427461025502</v>
      </c>
      <c r="Q358" s="8">
        <v>6.0039628464136685E-2</v>
      </c>
      <c r="R358" s="8">
        <v>0.11802535515669055</v>
      </c>
      <c r="S358" s="8">
        <v>-4.1952566071872366E-2</v>
      </c>
      <c r="T358" s="8">
        <v>-3.6933200491206852E-2</v>
      </c>
      <c r="U358" s="8">
        <v>-0.17138241931490794</v>
      </c>
      <c r="V358" s="8">
        <v>5.8291059710522619E-2</v>
      </c>
      <c r="W358" s="8">
        <v>0.12973929352215796</v>
      </c>
    </row>
    <row r="359" spans="1:23" x14ac:dyDescent="0.2">
      <c r="A359" s="3">
        <v>45231</v>
      </c>
      <c r="B359" s="4">
        <v>56569</v>
      </c>
      <c r="C359" s="5">
        <v>49404.115124356496</v>
      </c>
      <c r="E359" s="5">
        <f t="shared" ref="E359:E364" si="596">+B359/AVERAGE(B$121:B$132)*100</f>
        <v>277.81765796441886</v>
      </c>
      <c r="F359" s="5">
        <f t="shared" ref="F359:F364" si="597">+C359/AVERAGE(C$121:C$132)*100</f>
        <v>243.18876921689969</v>
      </c>
      <c r="H359" s="1" t="s">
        <v>8</v>
      </c>
      <c r="I359" s="2">
        <f t="shared" si="595"/>
        <v>5.9781183259020709E-2</v>
      </c>
      <c r="J359" s="2">
        <f>+AVERAGE(B$349:B359)/AVERAGE(B$337:B347)-1</f>
        <v>0.14800289730958394</v>
      </c>
      <c r="K359" s="2">
        <f>+F359/F358-1</f>
        <v>5.5344909207630799E-2</v>
      </c>
      <c r="L359" s="2">
        <f t="shared" ref="L359" si="598">+F359/F358-1</f>
        <v>5.5344909207630799E-2</v>
      </c>
    </row>
    <row r="360" spans="1:23" x14ac:dyDescent="0.2">
      <c r="A360" s="3">
        <v>45261</v>
      </c>
      <c r="B360" s="4">
        <v>36973</v>
      </c>
      <c r="C360" s="5">
        <v>46325.766141936198</v>
      </c>
      <c r="E360" s="5">
        <f t="shared" si="596"/>
        <v>181.57917353883678</v>
      </c>
      <c r="F360" s="5">
        <f t="shared" si="597"/>
        <v>228.03578249968965</v>
      </c>
      <c r="H360" s="1" t="s">
        <v>9</v>
      </c>
      <c r="I360" s="2">
        <f t="shared" si="595"/>
        <v>-3.9332956168000033E-3</v>
      </c>
      <c r="J360" s="2">
        <f>+AVERAGE(B$349:B360)/AVERAGE(B$337:B348)-1</f>
        <v>0.13749853322729089</v>
      </c>
      <c r="K360" s="2">
        <f t="shared" ref="K360" si="599">+F360/F359-1</f>
        <v>-6.230956621066297E-2</v>
      </c>
      <c r="L360" s="2">
        <f t="shared" ref="L360" si="600">+F360/F359-1</f>
        <v>-6.230956621066297E-2</v>
      </c>
    </row>
    <row r="361" spans="1:23" x14ac:dyDescent="0.2">
      <c r="A361" s="3">
        <v>45292</v>
      </c>
      <c r="B361" s="4">
        <v>22643</v>
      </c>
      <c r="C361" s="5">
        <v>40352.068733406697</v>
      </c>
      <c r="E361" s="5">
        <f t="shared" si="596"/>
        <v>111.20269457279315</v>
      </c>
      <c r="F361" s="5">
        <f t="shared" si="597"/>
        <v>198.63061823760847</v>
      </c>
      <c r="H361" s="1" t="s">
        <v>45</v>
      </c>
      <c r="I361" s="2">
        <f t="shared" si="595"/>
        <v>-0.16704679223072405</v>
      </c>
      <c r="J361" s="2">
        <f>+AVERAGE(B$349:B361)/AVERAGE(B$337:B349)-1</f>
        <v>0.12282188424629981</v>
      </c>
      <c r="K361" s="2">
        <f t="shared" ref="K361" si="601">+F361/F360-1</f>
        <v>-0.12894978121304801</v>
      </c>
      <c r="L361" s="2">
        <f t="shared" ref="L361" si="602">+F361/F360-1</f>
        <v>-0.12894978121304801</v>
      </c>
    </row>
    <row r="362" spans="1:23" x14ac:dyDescent="0.2">
      <c r="A362" s="3">
        <v>45323</v>
      </c>
      <c r="B362" s="4">
        <v>37941</v>
      </c>
      <c r="C362" s="5">
        <v>43363.989911834004</v>
      </c>
      <c r="E362" s="5">
        <f t="shared" si="596"/>
        <v>186.33314643758979</v>
      </c>
      <c r="F362" s="5">
        <f t="shared" si="597"/>
        <v>213.45661810657367</v>
      </c>
      <c r="H362" s="1" t="s">
        <v>2</v>
      </c>
      <c r="I362" s="2">
        <f t="shared" si="595"/>
        <v>-0.18029209696236437</v>
      </c>
      <c r="J362" s="2">
        <f>+AVERAGE(B$349:B362)/AVERAGE(B$337:B350)-1</f>
        <v>9.9835671559383554E-2</v>
      </c>
      <c r="K362" s="2">
        <f t="shared" ref="K362:K367" si="603">+F362/F361-1</f>
        <v>7.4641059875420801E-2</v>
      </c>
      <c r="L362" s="2">
        <f t="shared" ref="L362" si="604">+F362/F361-1</f>
        <v>7.4641059875420801E-2</v>
      </c>
    </row>
    <row r="363" spans="1:23" x14ac:dyDescent="0.2">
      <c r="A363" s="3">
        <v>45352</v>
      </c>
      <c r="B363" s="4">
        <v>43159</v>
      </c>
      <c r="C363" s="5">
        <v>39250.383915926897</v>
      </c>
      <c r="E363" s="5">
        <f t="shared" si="596"/>
        <v>211.95941770380159</v>
      </c>
      <c r="F363" s="5">
        <f t="shared" si="597"/>
        <v>193.20764134279972</v>
      </c>
      <c r="H363" s="1" t="s">
        <v>3</v>
      </c>
      <c r="I363" s="2">
        <f t="shared" si="595"/>
        <v>-0.29367962817491489</v>
      </c>
      <c r="J363" s="2">
        <f>+AVERAGE(B$349:B363)/AVERAGE(B$337:B351)-1</f>
        <v>6.4025484498865914E-2</v>
      </c>
      <c r="K363" s="2">
        <f t="shared" si="603"/>
        <v>-9.4862257930387162E-2</v>
      </c>
      <c r="L363" s="2">
        <f t="shared" ref="L363" si="605">+F363/F362-1</f>
        <v>-9.4862257930387162E-2</v>
      </c>
    </row>
    <row r="364" spans="1:23" x14ac:dyDescent="0.2">
      <c r="A364" s="3">
        <v>45383</v>
      </c>
      <c r="B364" s="4">
        <v>42974</v>
      </c>
      <c r="C364" s="5">
        <v>40778.851435954799</v>
      </c>
      <c r="E364" s="5">
        <f t="shared" si="596"/>
        <v>211.05085883368869</v>
      </c>
      <c r="F364" s="5">
        <f t="shared" si="597"/>
        <v>200.73143028321411</v>
      </c>
      <c r="H364" s="1" t="s">
        <v>4</v>
      </c>
      <c r="I364" s="2">
        <f t="shared" ref="I364" si="606">+E364/E352-1</f>
        <v>-0.21002224305593853</v>
      </c>
      <c r="J364" s="2">
        <f>+AVERAGE(B$361:B364)/AVERAGE(B$349:B352)-1</f>
        <v>-0.22360866367152976</v>
      </c>
      <c r="K364" s="2">
        <f t="shared" si="603"/>
        <v>3.8941466745951558E-2</v>
      </c>
      <c r="L364" s="2">
        <f t="shared" ref="L364" si="607">+F364/F363-1</f>
        <v>3.8941466745951558E-2</v>
      </c>
    </row>
    <row r="365" spans="1:23" x14ac:dyDescent="0.2">
      <c r="A365" s="3">
        <v>45413</v>
      </c>
      <c r="B365" s="4">
        <v>38440</v>
      </c>
      <c r="C365" s="5">
        <v>37842.002628304697</v>
      </c>
      <c r="E365" s="5">
        <f t="shared" ref="E365:E376" si="608">+B365/AVERAGE(B$121:B$132)*100</f>
        <v>188.78379982238081</v>
      </c>
      <c r="F365" s="5">
        <f t="shared" ref="F365:F376" si="609">+C365/AVERAGE(C$121:C$132)*100</f>
        <v>186.27496961974927</v>
      </c>
      <c r="H365" s="1" t="s">
        <v>3</v>
      </c>
      <c r="I365" s="2">
        <f t="shared" ref="I365" si="610">+E365/E353-1</f>
        <v>-0.27855560977440796</v>
      </c>
      <c r="J365" s="2">
        <f>+AVERAGE(B$361:B365)/AVERAGE(B$349:B353)-1</f>
        <v>-0.23569379372974752</v>
      </c>
      <c r="K365" s="2">
        <f t="shared" si="603"/>
        <v>-7.2018919224897004E-2</v>
      </c>
      <c r="L365" s="2">
        <f t="shared" ref="L365" si="611">+F365/F364-1</f>
        <v>-7.2018919224897004E-2</v>
      </c>
    </row>
    <row r="366" spans="1:23" x14ac:dyDescent="0.2">
      <c r="A366" s="3">
        <v>45444</v>
      </c>
      <c r="B366" s="4">
        <v>32029</v>
      </c>
      <c r="C366" s="5">
        <v>33380.999493744603</v>
      </c>
      <c r="E366" s="5">
        <f t="shared" si="608"/>
        <v>157.29855162619759</v>
      </c>
      <c r="F366" s="5">
        <f t="shared" si="609"/>
        <v>164.3159514481728</v>
      </c>
      <c r="H366" s="1" t="s">
        <v>5</v>
      </c>
      <c r="I366" s="2">
        <f t="shared" ref="I366" si="612">+E366/E354-1</f>
        <v>-0.40157318485856286</v>
      </c>
      <c r="J366" s="2">
        <f>+AVERAGE(B$361:B366)/AVERAGE(B$349:B354)-1</f>
        <v>-0.26571031554177638</v>
      </c>
      <c r="K366" s="2">
        <f t="shared" si="603"/>
        <v>-0.11788496445014762</v>
      </c>
      <c r="L366" s="2">
        <f t="shared" ref="L366" si="613">+F366/F365-1</f>
        <v>-0.11788496445014762</v>
      </c>
    </row>
    <row r="367" spans="1:23" x14ac:dyDescent="0.2">
      <c r="A367" s="3">
        <v>45474</v>
      </c>
      <c r="B367" s="4">
        <v>44436</v>
      </c>
      <c r="C367" s="5">
        <v>44577.858142612597</v>
      </c>
      <c r="E367" s="5">
        <f t="shared" si="608"/>
        <v>218.23092947209454</v>
      </c>
      <c r="F367" s="5">
        <f t="shared" si="609"/>
        <v>219.43181106957863</v>
      </c>
      <c r="H367" s="1" t="s">
        <v>5</v>
      </c>
      <c r="I367" s="2">
        <f t="shared" ref="I367" si="614">+E367/E355-1</f>
        <v>-9.7819466439273972E-2</v>
      </c>
      <c r="J367" s="2">
        <f>+AVERAGE(B$361:B367)/AVERAGE(B$349:B355)-1</f>
        <v>-0.24174349551199747</v>
      </c>
      <c r="K367" s="2">
        <f t="shared" si="603"/>
        <v>0.33542610522989924</v>
      </c>
      <c r="L367" s="2">
        <f t="shared" ref="L367" si="615">+F367/F366-1</f>
        <v>0.33542610522989924</v>
      </c>
    </row>
    <row r="368" spans="1:23" x14ac:dyDescent="0.2">
      <c r="A368" s="3">
        <v>45505</v>
      </c>
      <c r="B368" s="4">
        <v>51650</v>
      </c>
      <c r="C368" s="5">
        <v>44325.831029690598</v>
      </c>
      <c r="E368" s="5">
        <f t="shared" si="608"/>
        <v>253.65981427747059</v>
      </c>
      <c r="F368" s="5">
        <f t="shared" si="609"/>
        <v>218.19122284638075</v>
      </c>
      <c r="H368" s="1" t="s">
        <v>4</v>
      </c>
      <c r="I368" s="2">
        <f t="shared" ref="I368" si="616">+E368/E356-1</f>
        <v>-0.18603734930265547</v>
      </c>
      <c r="J368" s="2">
        <f>+AVERAGE(B$361:B368)/AVERAGE(B$349:B356)-1</f>
        <v>-0.23308999574036804</v>
      </c>
      <c r="K368" s="2">
        <f t="shared" ref="K368" si="617">+F368/F367-1</f>
        <v>-5.6536389010821697E-3</v>
      </c>
      <c r="L368" s="2">
        <f t="shared" ref="L368" si="618">+F368/F367-1</f>
        <v>-5.6536389010821697E-3</v>
      </c>
    </row>
    <row r="369" spans="1:28" x14ac:dyDescent="0.2">
      <c r="A369" s="3">
        <v>45536</v>
      </c>
      <c r="B369" s="4">
        <v>49611</v>
      </c>
      <c r="C369" s="5">
        <v>43840.785857267998</v>
      </c>
      <c r="E369" s="5">
        <f t="shared" si="608"/>
        <v>243.646022190118</v>
      </c>
      <c r="F369" s="5">
        <f t="shared" si="609"/>
        <v>215.80361731596821</v>
      </c>
      <c r="H369" s="1" t="s">
        <v>6</v>
      </c>
      <c r="I369" s="2">
        <f t="shared" ref="I369:I374" si="619">+E369/E357-1</f>
        <v>-0.12579735682819371</v>
      </c>
      <c r="J369" s="2">
        <f>+AVERAGE(B$361:B369)/AVERAGE(B$349:B357)-1</f>
        <v>-0.220002321402471</v>
      </c>
      <c r="K369" s="2">
        <f t="shared" ref="K369" si="620">+F369/F368-1</f>
        <v>-1.0942720331576061E-2</v>
      </c>
      <c r="L369" s="2">
        <f t="shared" ref="L369" si="621">+F369/F368-1</f>
        <v>-1.0942720331576061E-2</v>
      </c>
    </row>
    <row r="370" spans="1:28" x14ac:dyDescent="0.2">
      <c r="A370" s="3">
        <v>45566</v>
      </c>
      <c r="B370" s="4">
        <v>52419</v>
      </c>
      <c r="C370" s="5">
        <v>45461.434063650202</v>
      </c>
      <c r="E370" s="5">
        <f t="shared" si="608"/>
        <v>257.43647249972372</v>
      </c>
      <c r="F370" s="5">
        <f t="shared" si="609"/>
        <v>223.78116011076585</v>
      </c>
      <c r="H370" s="1" t="s">
        <v>7</v>
      </c>
      <c r="I370" s="2">
        <f t="shared" si="619"/>
        <v>9.2804744209329382E-3</v>
      </c>
      <c r="J370" s="2">
        <f>+AVERAGE(B$361:B370)/AVERAGE(B$349:B358)-1</f>
        <v>-0.19697664031184936</v>
      </c>
      <c r="K370" s="2">
        <f t="shared" ref="K370:K374" si="622">+F370/F369-1</f>
        <v>3.6966677825040151E-2</v>
      </c>
      <c r="L370" s="2">
        <f t="shared" ref="L370" si="623">+F370/F369-1</f>
        <v>3.6966677825040151E-2</v>
      </c>
    </row>
    <row r="371" spans="1:28" x14ac:dyDescent="0.2">
      <c r="A371" s="3">
        <v>45597</v>
      </c>
      <c r="B371" s="4">
        <v>53701</v>
      </c>
      <c r="C371" s="5">
        <v>48044.604332723698</v>
      </c>
      <c r="E371" s="5">
        <f t="shared" si="608"/>
        <v>263.73253991315482</v>
      </c>
      <c r="F371" s="5">
        <f t="shared" si="609"/>
        <v>236.49665955514246</v>
      </c>
      <c r="H371" s="1" t="s">
        <v>8</v>
      </c>
      <c r="I371" s="2">
        <f t="shared" si="619"/>
        <v>-5.0699146175467225E-2</v>
      </c>
      <c r="J371" s="2">
        <f>+AVERAGE(B$361:B371)/AVERAGE(B$349:B359)-1</f>
        <v>-0.18255417940468022</v>
      </c>
      <c r="K371" s="2">
        <f t="shared" si="622"/>
        <v>5.6821134710727028E-2</v>
      </c>
      <c r="L371" s="2">
        <f t="shared" ref="L371" si="624">+F371/F370-1</f>
        <v>5.6821134710727028E-2</v>
      </c>
    </row>
    <row r="372" spans="1:28" x14ac:dyDescent="0.2">
      <c r="A372" s="3">
        <v>45627</v>
      </c>
      <c r="B372" s="4">
        <v>38018</v>
      </c>
      <c r="C372" s="5">
        <v>46510.342809666698</v>
      </c>
      <c r="E372" s="5">
        <f t="shared" si="608"/>
        <v>186.71130337271785</v>
      </c>
      <c r="F372" s="5">
        <f t="shared" si="609"/>
        <v>228.94434998518253</v>
      </c>
      <c r="H372" s="1" t="s">
        <v>9</v>
      </c>
      <c r="I372" s="2">
        <f t="shared" si="619"/>
        <v>2.8263868228166622E-2</v>
      </c>
      <c r="J372" s="2">
        <f>+AVERAGE(B$361:B372)/AVERAGE(B$349:B360)-1</f>
        <v>-0.16979114644310356</v>
      </c>
      <c r="K372" s="2">
        <f t="shared" si="622"/>
        <v>-3.1934106740306833E-2</v>
      </c>
      <c r="L372" s="2">
        <f t="shared" ref="L372" si="625">+F372/F371-1</f>
        <v>-3.1934106740306833E-2</v>
      </c>
      <c r="Q372" s="6">
        <v>2.8263868228166622E-2</v>
      </c>
      <c r="R372" s="6">
        <v>-3.5021496395638452E-2</v>
      </c>
      <c r="S372" s="6">
        <v>0.32747427461025502</v>
      </c>
      <c r="T372" s="6">
        <v>6.0773484309705195E-2</v>
      </c>
      <c r="U372" s="6">
        <v>0.11802535515669055</v>
      </c>
      <c r="V372" s="6">
        <v>-4.0247229723983091E-2</v>
      </c>
      <c r="W372" s="6">
        <v>-3.6933200491206852E-2</v>
      </c>
      <c r="X372" s="6">
        <v>-0.17063060022902432</v>
      </c>
      <c r="Y372" s="6">
        <v>5.8291059710522619E-2</v>
      </c>
      <c r="Z372" s="6">
        <v>0.13570654217743727</v>
      </c>
      <c r="AA372" s="6">
        <v>0.25153485952133181</v>
      </c>
      <c r="AB372" s="6">
        <v>0.10539484156936463</v>
      </c>
    </row>
    <row r="373" spans="1:28" x14ac:dyDescent="0.2">
      <c r="A373" s="3">
        <v>45658</v>
      </c>
      <c r="B373" s="4">
        <v>30058</v>
      </c>
      <c r="C373" s="5">
        <v>47056.233345127999</v>
      </c>
      <c r="E373" s="5">
        <f t="shared" si="608"/>
        <v>147.61871631272433</v>
      </c>
      <c r="F373" s="5">
        <f t="shared" si="609"/>
        <v>231.63146313581439</v>
      </c>
      <c r="H373" s="1" t="s">
        <v>80</v>
      </c>
      <c r="I373" s="2">
        <f t="shared" si="619"/>
        <v>0.32747427461025502</v>
      </c>
      <c r="J373" s="2">
        <f>+AVERAGE(B$361:B373)/AVERAGE(B$349:B361)-1</f>
        <v>-0.15201355315635068</v>
      </c>
      <c r="K373" s="2">
        <f t="shared" si="622"/>
        <v>1.1736970800134472E-2</v>
      </c>
      <c r="L373" s="2">
        <f t="shared" ref="L373" si="626">+F373/F372-1</f>
        <v>1.1736970800134472E-2</v>
      </c>
    </row>
    <row r="374" spans="1:28" x14ac:dyDescent="0.2">
      <c r="A374" s="3">
        <v>45689</v>
      </c>
      <c r="B374" s="4">
        <v>42419</v>
      </c>
      <c r="C374" s="5">
        <v>46750.418887440297</v>
      </c>
      <c r="E374" s="5">
        <f t="shared" si="608"/>
        <v>208.32518222334997</v>
      </c>
      <c r="F374" s="5">
        <f t="shared" si="609"/>
        <v>230.12610996054539</v>
      </c>
      <c r="H374" s="1" t="s">
        <v>2</v>
      </c>
      <c r="I374" s="2">
        <f t="shared" si="619"/>
        <v>0.11802535515669055</v>
      </c>
      <c r="J374" s="2">
        <f>+AVERAGE(B$361:B374)/AVERAGE(B$349:B362)-1</f>
        <v>-0.13675128370517464</v>
      </c>
      <c r="K374" s="2">
        <f t="shared" si="622"/>
        <v>-6.4989149353442688E-3</v>
      </c>
      <c r="L374" s="2">
        <f t="shared" ref="L374" si="627">+F374/F373-1</f>
        <v>-6.4989149353442688E-3</v>
      </c>
    </row>
    <row r="375" spans="1:28" x14ac:dyDescent="0.2">
      <c r="A375" s="3">
        <v>45717</v>
      </c>
      <c r="B375" s="4">
        <v>41565</v>
      </c>
      <c r="C375" s="5">
        <v>37992.202397283603</v>
      </c>
      <c r="E375" s="5">
        <f t="shared" si="608"/>
        <v>204.13107803374763</v>
      </c>
      <c r="F375" s="5">
        <f t="shared" si="609"/>
        <v>187.01431889991954</v>
      </c>
      <c r="H375" s="1" t="s">
        <v>3</v>
      </c>
      <c r="I375" s="2">
        <f>+E375/E363-1</f>
        <v>-3.6933200491206852E-2</v>
      </c>
      <c r="J375" s="2">
        <f>+AVERAGE(B$361:B375)/AVERAGE(B$349:B363)-1</f>
        <v>-0.13072146998144052</v>
      </c>
      <c r="K375" s="2">
        <f>+F375/F374-1</f>
        <v>-0.18733985060633607</v>
      </c>
      <c r="L375" s="2">
        <f t="shared" ref="L375" si="628">+F375/F374-1</f>
        <v>-0.18733985060633607</v>
      </c>
    </row>
    <row r="376" spans="1:28" x14ac:dyDescent="0.2">
      <c r="A376" s="3">
        <v>45748</v>
      </c>
      <c r="B376" s="4">
        <v>45479</v>
      </c>
      <c r="C376" s="5">
        <v>43375.247072162201</v>
      </c>
      <c r="E376" s="5">
        <f t="shared" si="608"/>
        <v>223.35323704792032</v>
      </c>
      <c r="F376" s="5">
        <f t="shared" si="609"/>
        <v>213.51203079756513</v>
      </c>
      <c r="H376" s="1" t="s">
        <v>4</v>
      </c>
      <c r="I376" s="2">
        <f>+E376/E364-1</f>
        <v>5.8291059710522619E-2</v>
      </c>
      <c r="J376" s="2">
        <f>+AVERAGE(B$361:B376)/AVERAGE(B$349:B364)-1</f>
        <v>-0.1199975707390234</v>
      </c>
      <c r="K376" s="2">
        <f>+F376/F375-1</f>
        <v>0.14168814480898551</v>
      </c>
      <c r="L376" s="2">
        <f t="shared" ref="L376" si="629">+F376/F375-1</f>
        <v>0.14168814480898551</v>
      </c>
    </row>
    <row r="377" spans="1:28" x14ac:dyDescent="0.2">
      <c r="A377" s="3">
        <v>45778</v>
      </c>
      <c r="B377" s="4">
        <v>48109</v>
      </c>
      <c r="C377" s="5">
        <v>49106.994792613797</v>
      </c>
      <c r="E377" s="5">
        <f t="shared" ref="E377:E378" si="630">+B377/AVERAGE(B$121:B$132)*100</f>
        <v>236.26950639060661</v>
      </c>
      <c r="F377" s="5">
        <f t="shared" ref="F377:F382" si="631">+C377/AVERAGE(C$121:C$132)*100</f>
        <v>241.72621235085833</v>
      </c>
      <c r="H377" s="1" t="s">
        <v>3</v>
      </c>
      <c r="I377" s="2">
        <f>+E377/E365-1</f>
        <v>0.25153485952133181</v>
      </c>
      <c r="J377" s="2">
        <f>+AVERAGE(B$361:B377)/AVERAGE(B$349:B365)-1</f>
        <v>-0.10205284266816783</v>
      </c>
      <c r="K377" s="2">
        <f>+F377/F376-1</f>
        <v>0.13214328695156108</v>
      </c>
      <c r="L377" s="2">
        <f t="shared" ref="L377" si="632">+F377/F376-1</f>
        <v>0.13214328695156108</v>
      </c>
    </row>
    <row r="378" spans="1:28" x14ac:dyDescent="0.2">
      <c r="A378" s="3">
        <v>45809</v>
      </c>
      <c r="B378" s="4">
        <v>42848</v>
      </c>
      <c r="C378" s="5">
        <v>42897.329152975399</v>
      </c>
      <c r="E378" s="5">
        <f t="shared" si="630"/>
        <v>210.43205657620638</v>
      </c>
      <c r="F378" s="5">
        <f t="shared" si="631"/>
        <v>211.15950874021848</v>
      </c>
      <c r="H378" s="1" t="s">
        <v>5</v>
      </c>
      <c r="I378" s="2">
        <f>+E378/E366-1</f>
        <v>0.33778762996034839</v>
      </c>
      <c r="J378" s="2">
        <f>+AVERAGE(B$361:B378)/AVERAGE(B$349:B366)-1</f>
        <v>-8.5036737484312619E-2</v>
      </c>
      <c r="K378" s="2">
        <f>+F378/F377-1</f>
        <v>-0.12645175429412348</v>
      </c>
      <c r="L378" s="2">
        <f>+F378/F377-1</f>
        <v>-0.12645175429412348</v>
      </c>
    </row>
    <row r="379" spans="1:28" x14ac:dyDescent="0.2">
      <c r="A379" s="3">
        <v>45839</v>
      </c>
      <c r="B379" s="4">
        <v>37112</v>
      </c>
      <c r="C379" s="5">
        <v>36983.991052674603</v>
      </c>
      <c r="E379" s="5">
        <f t="shared" ref="E379:E385" si="633">+B379/AVERAGE(B$121:B$132)*100</f>
        <v>182.26182047367837</v>
      </c>
      <c r="F379" s="5">
        <f t="shared" si="631"/>
        <v>182.05145952294629</v>
      </c>
      <c r="H379" s="1" t="s">
        <v>5</v>
      </c>
      <c r="I379" s="2">
        <f>+E379/E367-1</f>
        <v>-0.16482131605004957</v>
      </c>
      <c r="J379" s="2">
        <f>+AVERAGE(B$361:B379)/AVERAGE(B$349:B367)-1</f>
        <v>-8.9100886469334672E-2</v>
      </c>
      <c r="K379" s="2">
        <f>+F379/F378-1</f>
        <v>-0.13784863107009182</v>
      </c>
      <c r="L379" s="2">
        <f>+F379/F378-1</f>
        <v>-0.13784863107009182</v>
      </c>
    </row>
    <row r="380" spans="1:28" x14ac:dyDescent="0.2">
      <c r="A380" s="3">
        <v>45870</v>
      </c>
      <c r="B380" s="4">
        <v>44545</v>
      </c>
      <c r="C380" s="5">
        <v>38426.808349861698</v>
      </c>
      <c r="E380" s="5">
        <f t="shared" si="633"/>
        <v>218.76624253610703</v>
      </c>
      <c r="F380" s="5">
        <f t="shared" si="631"/>
        <v>189.15364042072338</v>
      </c>
      <c r="H380" s="1" t="s">
        <v>4</v>
      </c>
      <c r="I380" s="2">
        <f t="shared" ref="I380" si="634">+E380/E368-1</f>
        <v>-0.1375605033881897</v>
      </c>
      <c r="J380" s="2">
        <f>+AVERAGE(B$361:B380)/AVERAGE(B$349:B368)-1</f>
        <v>-9.180973325382269E-2</v>
      </c>
      <c r="K380" s="2">
        <f t="shared" ref="K380:K381" si="635">+F380/F379-1</f>
        <v>3.901194154876797E-2</v>
      </c>
      <c r="L380" s="2">
        <f t="shared" ref="L380:L381" si="636">+F380/F379-1</f>
        <v>3.901194154876797E-2</v>
      </c>
    </row>
    <row r="381" spans="1:28" x14ac:dyDescent="0.2">
      <c r="A381" s="3">
        <v>45901</v>
      </c>
      <c r="B381" s="4">
        <v>47108</v>
      </c>
      <c r="C381" s="5">
        <v>39667.366788627398</v>
      </c>
      <c r="E381" s="5">
        <f t="shared" si="633"/>
        <v>231.35346623394159</v>
      </c>
      <c r="F381" s="5">
        <f t="shared" si="631"/>
        <v>195.26021431857939</v>
      </c>
      <c r="H381" s="1" t="s">
        <v>6</v>
      </c>
      <c r="I381" s="2">
        <f t="shared" ref="I381:I386" si="637">+E381/E369-1</f>
        <v>-5.0452520610348772E-2</v>
      </c>
      <c r="J381" s="2">
        <f>+AVERAGE(B$361:B381)/AVERAGE(B$349:B369)-1</f>
        <v>-8.9702320670338342E-2</v>
      </c>
      <c r="K381" s="2">
        <f t="shared" si="635"/>
        <v>3.2283671010896242E-2</v>
      </c>
      <c r="L381" s="2">
        <f t="shared" si="636"/>
        <v>3.2283671010896242E-2</v>
      </c>
    </row>
    <row r="382" spans="1:28" x14ac:dyDescent="0.2">
      <c r="A382" s="3">
        <v>45931</v>
      </c>
      <c r="B382" s="4">
        <v>47204</v>
      </c>
      <c r="C382" s="5">
        <v>40153.568639117097</v>
      </c>
      <c r="E382" s="5">
        <f t="shared" si="633"/>
        <v>231.8249346205948</v>
      </c>
      <c r="F382" s="5">
        <f t="shared" si="631"/>
        <v>197.65351352683251</v>
      </c>
      <c r="H382" s="1" t="s">
        <v>7</v>
      </c>
      <c r="I382" s="2">
        <f t="shared" si="637"/>
        <v>-9.9486827295446223E-2</v>
      </c>
      <c r="J382" s="2">
        <f>+AVERAGE(B$361:B382)/AVERAGE(B$349:B370)-1</f>
        <v>-9.0202209125189836E-2</v>
      </c>
      <c r="K382" s="2">
        <f>+F382/F381-1</f>
        <v>1.2256973170931218E-2</v>
      </c>
      <c r="L382" s="2">
        <f t="shared" ref="L382" si="638">+F382/F381-1</f>
        <v>1.2256973170931218E-2</v>
      </c>
    </row>
    <row r="383" spans="1:28" x14ac:dyDescent="0.2">
      <c r="A383" s="3">
        <v>45962</v>
      </c>
      <c r="B383" s="4">
        <v>37961</v>
      </c>
      <c r="C383" s="5">
        <v>33970.318844048801</v>
      </c>
      <c r="E383" s="5">
        <f t="shared" si="633"/>
        <v>186.43136901814253</v>
      </c>
      <c r="F383" s="5">
        <f t="shared" ref="F383" si="639">+C383/AVERAGE(C$121:C$132)*100</f>
        <v>167.21684031371439</v>
      </c>
      <c r="H383" s="1" t="s">
        <v>8</v>
      </c>
      <c r="I383" s="2">
        <f t="shared" si="637"/>
        <v>-0.29310441146347355</v>
      </c>
      <c r="J383" s="2">
        <f>+AVERAGE(B$361:B383)/AVERAGE(B$349:B371)-1</f>
        <v>-0.10029378041303372</v>
      </c>
      <c r="K383" s="2">
        <f t="shared" ref="K383" si="640">+F383/F382-1</f>
        <v>-0.15399004383995529</v>
      </c>
      <c r="L383" s="2">
        <f t="shared" ref="L383" si="641">+F383/F382-1</f>
        <v>-0.15399004383995529</v>
      </c>
    </row>
    <row r="384" spans="1:28" x14ac:dyDescent="0.2">
      <c r="A384" s="3">
        <v>45992</v>
      </c>
      <c r="B384" s="4">
        <v>26468</v>
      </c>
      <c r="C384" s="5">
        <v>33683.521040143198</v>
      </c>
      <c r="E384" s="5">
        <f t="shared" si="633"/>
        <v>129.98776310350613</v>
      </c>
      <c r="F384" s="5">
        <f t="shared" ref="F384:F385" si="642">+C384/AVERAGE(C$121:C$132)*100</f>
        <v>165.80509546674458</v>
      </c>
      <c r="H384" s="1" t="s">
        <v>9</v>
      </c>
      <c r="I384" s="2">
        <f t="shared" si="637"/>
        <v>-0.30380346151822823</v>
      </c>
      <c r="J384" s="2">
        <f>+AVERAGE(B$373:B384)/AVERAGE(B$361:B372)-1</f>
        <v>-3.1842862524431914E-2</v>
      </c>
      <c r="K384" s="2">
        <f t="shared" ref="K384" si="643">+F384/F383-1</f>
        <v>-8.4425997065920022E-3</v>
      </c>
      <c r="L384" s="2">
        <f t="shared" ref="L384" si="644">+F384/F383-1</f>
        <v>-8.4425997065920022E-3</v>
      </c>
    </row>
    <row r="385" spans="1:19" x14ac:dyDescent="0.2">
      <c r="A385" s="3">
        <v>46023</v>
      </c>
      <c r="B385" s="4">
        <v>20988</v>
      </c>
      <c r="C385" s="5">
        <v>38873.237576069601</v>
      </c>
      <c r="E385" s="5">
        <f t="shared" si="633"/>
        <v>103.07477603205331</v>
      </c>
      <c r="F385" s="5">
        <f t="shared" si="642"/>
        <v>191.35116129101274</v>
      </c>
      <c r="H385" s="1" t="s">
        <v>82</v>
      </c>
      <c r="I385" s="2">
        <f t="shared" si="637"/>
        <v>-0.30174995009648009</v>
      </c>
      <c r="J385" s="2">
        <f>+AVERAGE(B$385:B385)/AVERAGE(B$373:B373)-1</f>
        <v>-0.30174995009648009</v>
      </c>
      <c r="K385" s="2">
        <f t="shared" ref="K385" si="645">+F385/F384-1</f>
        <v>0.15407286339635995</v>
      </c>
      <c r="L385" s="2">
        <f t="shared" ref="L385" si="646">+F385/F384-1</f>
        <v>0.15407286339635995</v>
      </c>
    </row>
    <row r="386" spans="1:19" x14ac:dyDescent="0.2">
      <c r="A386" s="3">
        <v>46054</v>
      </c>
      <c r="B386" s="4">
        <v>29632</v>
      </c>
      <c r="C386" s="5">
        <v>34234.939050494497</v>
      </c>
      <c r="E386" s="5">
        <f t="shared" ref="E386:E388" si="647">+B386/AVERAGE(B$121:B$132)*100</f>
        <v>145.52657534695078</v>
      </c>
      <c r="F386" s="5">
        <f t="shared" ref="F386:F388" si="648">+C386/AVERAGE(C$121:C$132)*100</f>
        <v>168.51941727827426</v>
      </c>
      <c r="H386" s="1" t="s">
        <v>2</v>
      </c>
      <c r="I386" s="2">
        <f t="shared" si="637"/>
        <v>-0.30144510714538308</v>
      </c>
      <c r="J386" s="2">
        <f>+AVERAGE(B$385:B386)/AVERAGE(B$373:B374)-1</f>
        <v>-0.30157153303806727</v>
      </c>
      <c r="K386" s="2">
        <f t="shared" ref="K386" si="649">+F386/F385-1</f>
        <v>-0.11931855473829744</v>
      </c>
      <c r="L386" s="2">
        <f t="shared" ref="L386" si="650">+F386/F385-1</f>
        <v>-0.11931855473829744</v>
      </c>
      <c r="M386" s="6">
        <v>-3.6933200491206852E-2</v>
      </c>
      <c r="N386" s="6">
        <v>-0.16520862772981959</v>
      </c>
    </row>
    <row r="387" spans="1:19" x14ac:dyDescent="0.2">
      <c r="A387" s="3">
        <v>46082</v>
      </c>
      <c r="B387" s="4">
        <v>41716</v>
      </c>
      <c r="C387" s="5">
        <v>36869.134555199802</v>
      </c>
      <c r="E387" s="5">
        <f t="shared" si="647"/>
        <v>204.87265851692089</v>
      </c>
      <c r="F387" s="5">
        <f t="shared" si="648"/>
        <v>181.48608535953599</v>
      </c>
      <c r="H387" s="1" t="s">
        <v>3</v>
      </c>
      <c r="I387" s="2">
        <f>+E387/E375-1</f>
        <v>3.6328641886202995E-3</v>
      </c>
      <c r="J387" s="2">
        <f>+AVERAGE(B$385:B387)/AVERAGE(B$373:B375)-1</f>
        <v>-0.19033338594552884</v>
      </c>
      <c r="K387" s="2">
        <f t="shared" ref="K387" si="651">+F387/F386-1</f>
        <v>7.6944652970464711E-2</v>
      </c>
      <c r="L387" s="2">
        <f t="shared" ref="L387" si="652">+F387/F386-1</f>
        <v>7.6944652970464711E-2</v>
      </c>
    </row>
    <row r="388" spans="1:19" x14ac:dyDescent="0.2">
      <c r="A388" s="3">
        <v>46113</v>
      </c>
      <c r="B388" s="4">
        <v>37521</v>
      </c>
      <c r="C388" s="5">
        <v>35614.849186243897</v>
      </c>
      <c r="E388" s="5">
        <f t="shared" si="647"/>
        <v>184.27047224598206</v>
      </c>
      <c r="F388" s="5">
        <f t="shared" si="648"/>
        <v>175.31194147789054</v>
      </c>
      <c r="H388" s="1" t="s">
        <v>4</v>
      </c>
      <c r="I388" s="2">
        <f>+E388/E376-1</f>
        <v>-0.17498185975944947</v>
      </c>
      <c r="J388" s="2">
        <f>+AVERAGE(B$385:B388)/AVERAGE(B$373:B376)-1</f>
        <v>-0.18595670789425844</v>
      </c>
      <c r="K388" s="2">
        <f t="shared" ref="K388" si="653">+F388/F387-1</f>
        <v>-3.4019929789184999E-2</v>
      </c>
      <c r="L388" s="2">
        <f t="shared" ref="L388" si="654">+F388/F387-1</f>
        <v>-3.4019929789184999E-2</v>
      </c>
    </row>
    <row r="389" spans="1:19" x14ac:dyDescent="0.2">
      <c r="C389" s="8">
        <f>+C388/C384-1</f>
        <v>5.7337477985124785E-2</v>
      </c>
    </row>
    <row r="390" spans="1:19" x14ac:dyDescent="0.2">
      <c r="C390" s="8"/>
    </row>
    <row r="391" spans="1:19" x14ac:dyDescent="0.2">
      <c r="C391" s="8"/>
    </row>
    <row r="392" spans="1:19" x14ac:dyDescent="0.2">
      <c r="C392" s="8"/>
    </row>
    <row r="393" spans="1:19" x14ac:dyDescent="0.2">
      <c r="C393" s="8"/>
    </row>
    <row r="394" spans="1:19" x14ac:dyDescent="0.2">
      <c r="C394" s="8"/>
    </row>
    <row r="395" spans="1:19" x14ac:dyDescent="0.2">
      <c r="C395" s="8"/>
    </row>
    <row r="396" spans="1:19" x14ac:dyDescent="0.2">
      <c r="C396" s="8"/>
    </row>
    <row r="398" spans="1:19" x14ac:dyDescent="0.2">
      <c r="A398" s="6" t="s">
        <v>46</v>
      </c>
      <c r="B398" s="23">
        <f>+AVERAGE(B1:B3)</f>
        <v>24573.666666666668</v>
      </c>
      <c r="C398" s="23">
        <f>+AVERAGE(C1:C3)</f>
        <v>31179.153864673401</v>
      </c>
      <c r="D398" s="8"/>
      <c r="E398" s="8"/>
      <c r="N398" s="6">
        <v>-5.0699146175467225E-2</v>
      </c>
      <c r="O398" s="6">
        <v>2.7852286777287683E-2</v>
      </c>
      <c r="P398" s="6">
        <v>2.8263868228166622E-2</v>
      </c>
      <c r="Q398" s="6">
        <v>-3.2484868691260438E-2</v>
      </c>
      <c r="R398" s="6">
        <v>0.32747427461025502</v>
      </c>
      <c r="S398" s="6">
        <v>6.2383797046889455E-2</v>
      </c>
    </row>
    <row r="399" spans="1:19" x14ac:dyDescent="0.2">
      <c r="A399" s="6" t="s">
        <v>47</v>
      </c>
      <c r="B399" s="23">
        <f>+AVERAGE(B4:B6)</f>
        <v>33284.333333333336</v>
      </c>
      <c r="C399" s="23">
        <f>+AVERAGE(C4:C6)</f>
        <v>31951.909627413163</v>
      </c>
      <c r="D399" s="8"/>
      <c r="E399" s="8"/>
    </row>
    <row r="400" spans="1:19" x14ac:dyDescent="0.2">
      <c r="A400" s="6" t="s">
        <v>48</v>
      </c>
      <c r="B400" s="23">
        <f>+AVERAGE(B7:B9)</f>
        <v>38463.666666666664</v>
      </c>
      <c r="C400" s="23">
        <f>+AVERAGE(C7:C9)</f>
        <v>34389.050834724534</v>
      </c>
      <c r="D400" s="8"/>
      <c r="E400" s="8"/>
    </row>
    <row r="401" spans="1:19" x14ac:dyDescent="0.2">
      <c r="A401" s="6" t="s">
        <v>49</v>
      </c>
      <c r="B401" s="23">
        <f>+AVERAGE(B10:B12)</f>
        <v>34747.666666666664</v>
      </c>
      <c r="C401" s="23">
        <f>+AVERAGE(C10:C12)</f>
        <v>33704.705979819933</v>
      </c>
      <c r="D401" s="8"/>
      <c r="E401" s="8"/>
    </row>
    <row r="402" spans="1:19" x14ac:dyDescent="0.2">
      <c r="A402" s="6" t="s">
        <v>50</v>
      </c>
      <c r="B402" s="23">
        <f>+AVERAGE(B13:B15)</f>
        <v>24814.666666666668</v>
      </c>
      <c r="C402" s="23">
        <f>+AVERAGE(C13:C15)</f>
        <v>31047.790631278567</v>
      </c>
      <c r="D402" s="8">
        <f t="shared" ref="D402:D461" si="655">+B402/B398-1</f>
        <v>9.8072462391991522E-3</v>
      </c>
      <c r="E402" s="8">
        <f t="shared" ref="E402:E461" si="656">+C402/C401-1</f>
        <v>-7.8829210085147872E-2</v>
      </c>
    </row>
    <row r="403" spans="1:19" x14ac:dyDescent="0.2">
      <c r="A403" s="6" t="s">
        <v>47</v>
      </c>
      <c r="B403" s="23">
        <f>+AVERAGE(B16:B18)</f>
        <v>24595</v>
      </c>
      <c r="C403" s="23">
        <f>+AVERAGE(C16:C18)</f>
        <v>23193.250915341501</v>
      </c>
      <c r="D403" s="8">
        <f t="shared" si="655"/>
        <v>-0.26106376373268714</v>
      </c>
      <c r="E403" s="8">
        <f t="shared" si="656"/>
        <v>-0.25298224305932238</v>
      </c>
    </row>
    <row r="404" spans="1:19" x14ac:dyDescent="0.2">
      <c r="A404" s="6" t="s">
        <v>48</v>
      </c>
      <c r="B404" s="23">
        <f>+AVERAGE(B19:B21)</f>
        <v>21475</v>
      </c>
      <c r="C404" s="23">
        <f>+AVERAGE(C19:C21)</f>
        <v>17835.468907286569</v>
      </c>
      <c r="D404" s="8">
        <f t="shared" si="655"/>
        <v>-0.44168089365721763</v>
      </c>
      <c r="E404" s="8">
        <f t="shared" si="656"/>
        <v>-0.23100608136442624</v>
      </c>
    </row>
    <row r="405" spans="1:19" x14ac:dyDescent="0.2">
      <c r="A405" s="6" t="s">
        <v>49</v>
      </c>
      <c r="B405" s="23">
        <f>+AVERAGE(B22:B24)</f>
        <v>20615</v>
      </c>
      <c r="C405" s="23">
        <f>+AVERAGE(C22:C24)</f>
        <v>19564.737637614133</v>
      </c>
      <c r="D405" s="8">
        <f t="shared" si="655"/>
        <v>-0.4067227535661867</v>
      </c>
      <c r="E405" s="8">
        <f t="shared" si="656"/>
        <v>9.6956729274501052E-2</v>
      </c>
      <c r="J405" s="6">
        <v>9.2804744209329382E-3</v>
      </c>
      <c r="K405" s="6">
        <v>4.4360223098591778E-2</v>
      </c>
      <c r="L405" s="6">
        <v>-5.0699146175467225E-2</v>
      </c>
      <c r="M405" s="6">
        <v>2.4723148055642685E-2</v>
      </c>
      <c r="N405" s="6">
        <v>2.8263868228166622E-2</v>
      </c>
      <c r="O405" s="6">
        <v>-2.5661560583296605E-2</v>
      </c>
      <c r="P405" s="6">
        <v>0.32747427461025502</v>
      </c>
      <c r="Q405" s="6">
        <v>6.315666400212594E-2</v>
      </c>
      <c r="R405" s="6">
        <v>0.11802535515669055</v>
      </c>
      <c r="S405" s="6">
        <v>-3.6892062106789414E-2</v>
      </c>
    </row>
    <row r="406" spans="1:19" x14ac:dyDescent="0.2">
      <c r="A406" s="6" t="s">
        <v>51</v>
      </c>
      <c r="B406" s="23">
        <f>+AVERAGE(B25:B27)</f>
        <v>15854.666666666666</v>
      </c>
      <c r="C406" s="23">
        <f>+AVERAGE(C25:C27)</f>
        <v>23300.374909222268</v>
      </c>
      <c r="D406" s="8">
        <f t="shared" si="655"/>
        <v>-0.36107678254795561</v>
      </c>
      <c r="E406" s="8">
        <f t="shared" si="656"/>
        <v>0.19093725358351832</v>
      </c>
    </row>
    <row r="407" spans="1:19" x14ac:dyDescent="0.2">
      <c r="A407" s="6" t="s">
        <v>47</v>
      </c>
      <c r="B407" s="23">
        <f>+AVERAGE(B28:B30)</f>
        <v>26442.666666666668</v>
      </c>
      <c r="C407" s="23">
        <f>+AVERAGE(C28:C30)</f>
        <v>24882.193668676733</v>
      </c>
      <c r="D407" s="8">
        <f t="shared" si="655"/>
        <v>7.5123670122653641E-2</v>
      </c>
      <c r="E407" s="8">
        <f t="shared" si="656"/>
        <v>6.7888124788429094E-2</v>
      </c>
    </row>
    <row r="408" spans="1:19" x14ac:dyDescent="0.2">
      <c r="A408" s="6" t="s">
        <v>48</v>
      </c>
      <c r="B408" s="23">
        <f>+AVERAGE(B31:B33)</f>
        <v>29471.666666666668</v>
      </c>
      <c r="C408" s="23">
        <f>+AVERAGE(C31:C33)</f>
        <v>25324.548597138335</v>
      </c>
      <c r="D408" s="8">
        <f t="shared" si="655"/>
        <v>0.37237097400077612</v>
      </c>
      <c r="E408" s="8">
        <f t="shared" si="656"/>
        <v>1.7777971442223262E-2</v>
      </c>
    </row>
    <row r="409" spans="1:19" x14ac:dyDescent="0.2">
      <c r="A409" s="6" t="s">
        <v>49</v>
      </c>
      <c r="B409" s="23">
        <f>+AVERAGE(B34:B36)</f>
        <v>29145</v>
      </c>
      <c r="C409" s="23">
        <f>+AVERAGE(C34:C36)</f>
        <v>27550.870089383869</v>
      </c>
      <c r="D409" s="8">
        <f t="shared" si="655"/>
        <v>0.41377637642493337</v>
      </c>
      <c r="E409" s="8">
        <f t="shared" si="656"/>
        <v>8.7911596280026316E-2</v>
      </c>
    </row>
    <row r="410" spans="1:19" x14ac:dyDescent="0.2">
      <c r="A410" s="6" t="s">
        <v>52</v>
      </c>
      <c r="B410" s="23">
        <f>+AVERAGE(B37:B39)</f>
        <v>23305.666666666668</v>
      </c>
      <c r="C410" s="23">
        <f>+AVERAGE(C37:C39)</f>
        <v>30455.531430048799</v>
      </c>
      <c r="D410" s="8">
        <f t="shared" si="655"/>
        <v>0.46995626944748148</v>
      </c>
      <c r="E410" s="8">
        <f t="shared" si="656"/>
        <v>0.10542902388350273</v>
      </c>
    </row>
    <row r="411" spans="1:19" x14ac:dyDescent="0.2">
      <c r="A411" s="6" t="s">
        <v>47</v>
      </c>
      <c r="B411" s="23">
        <f>+AVERAGE(B40:B42)</f>
        <v>36194</v>
      </c>
      <c r="C411" s="23">
        <f>+AVERAGE(C40:C42)</f>
        <v>34477.245736627701</v>
      </c>
      <c r="D411" s="8">
        <f t="shared" si="655"/>
        <v>0.36877269060104867</v>
      </c>
      <c r="E411" s="8">
        <f t="shared" si="656"/>
        <v>0.1320520154381839</v>
      </c>
    </row>
    <row r="412" spans="1:19" x14ac:dyDescent="0.2">
      <c r="A412" s="6" t="s">
        <v>48</v>
      </c>
      <c r="B412" s="23">
        <f>+AVERAGE(B43:B45)</f>
        <v>42034</v>
      </c>
      <c r="C412" s="23">
        <f>+AVERAGE(C43:C45)</f>
        <v>37900.718667741836</v>
      </c>
      <c r="D412" s="8">
        <f t="shared" si="655"/>
        <v>0.42625120171916531</v>
      </c>
      <c r="E412" s="8">
        <f t="shared" si="656"/>
        <v>9.9296589909359412E-2</v>
      </c>
      <c r="I412" s="6">
        <v>5.8291059710522619E-2</v>
      </c>
      <c r="J412" s="6">
        <v>0.13079845496781828</v>
      </c>
      <c r="K412" s="6">
        <v>0.25153485952133181</v>
      </c>
      <c r="L412" s="6">
        <v>0.14213845697935201</v>
      </c>
      <c r="M412" s="6">
        <v>0.33778762996034839</v>
      </c>
      <c r="N412" s="6">
        <v>-0.12927388387641658</v>
      </c>
      <c r="O412" s="6">
        <v>-0.16482131605004957</v>
      </c>
      <c r="P412" s="6">
        <v>-0.12667150158107898</v>
      </c>
    </row>
    <row r="413" spans="1:19" x14ac:dyDescent="0.2">
      <c r="A413" s="6" t="s">
        <v>49</v>
      </c>
      <c r="B413" s="23">
        <f>+AVERAGE(B46:B48)</f>
        <v>40207.666666666664</v>
      </c>
      <c r="C413" s="23">
        <f>+AVERAGE(C46:C48)</f>
        <v>38607.211461969833</v>
      </c>
      <c r="D413" s="8">
        <f t="shared" si="655"/>
        <v>0.37957339738091145</v>
      </c>
      <c r="E413" s="8">
        <f t="shared" si="656"/>
        <v>1.8640617356665334E-2</v>
      </c>
    </row>
    <row r="414" spans="1:19" x14ac:dyDescent="0.2">
      <c r="A414" s="6" t="s">
        <v>53</v>
      </c>
      <c r="B414" s="23">
        <f>+AVERAGE(B49:B51)</f>
        <v>29903.666666666668</v>
      </c>
      <c r="C414" s="23">
        <f>+AVERAGE(C49:C51)</f>
        <v>37178.675430580231</v>
      </c>
      <c r="D414" s="8">
        <f t="shared" si="655"/>
        <v>0.28310711271936717</v>
      </c>
      <c r="E414" s="8">
        <f t="shared" si="656"/>
        <v>-3.7001792600244832E-2</v>
      </c>
    </row>
    <row r="415" spans="1:19" x14ac:dyDescent="0.2">
      <c r="A415" s="6" t="s">
        <v>47</v>
      </c>
      <c r="B415" s="23">
        <f>+AVERAGE(B52:B54)</f>
        <v>42208.333333333336</v>
      </c>
      <c r="C415" s="23">
        <f>+AVERAGE(C52:C54)</f>
        <v>40291.093188456704</v>
      </c>
      <c r="D415" s="8">
        <f t="shared" si="655"/>
        <v>0.16616934666887695</v>
      </c>
      <c r="E415" s="8">
        <f t="shared" si="656"/>
        <v>8.3715132984981011E-2</v>
      </c>
    </row>
    <row r="416" spans="1:19" x14ac:dyDescent="0.2">
      <c r="A416" s="6" t="s">
        <v>48</v>
      </c>
      <c r="B416" s="23">
        <f>+AVERAGE(B55:B57)</f>
        <v>45102.666666666664</v>
      </c>
      <c r="C416" s="23">
        <f>+AVERAGE(C55:C57)</f>
        <v>41112.406424241199</v>
      </c>
      <c r="D416" s="8">
        <f t="shared" si="655"/>
        <v>7.3004393268941037E-2</v>
      </c>
      <c r="E416" s="8">
        <f t="shared" si="656"/>
        <v>2.0384486267049251E-2</v>
      </c>
    </row>
    <row r="417" spans="1:18" x14ac:dyDescent="0.2">
      <c r="A417" s="6" t="s">
        <v>49</v>
      </c>
      <c r="B417" s="23">
        <f>+AVERAGE(B58:B60)</f>
        <v>27786.333333333332</v>
      </c>
      <c r="C417" s="23">
        <f>+AVERAGE(C58:C60)</f>
        <v>26210.621018333637</v>
      </c>
      <c r="D417" s="8">
        <f t="shared" si="655"/>
        <v>-0.3089294744783333</v>
      </c>
      <c r="E417" s="8">
        <f t="shared" si="656"/>
        <v>-0.36246444083411744</v>
      </c>
    </row>
    <row r="418" spans="1:18" x14ac:dyDescent="0.2">
      <c r="A418" s="6" t="s">
        <v>54</v>
      </c>
      <c r="B418" s="23">
        <f>+AVERAGE(B61:B63)</f>
        <v>14958.666666666666</v>
      </c>
      <c r="C418" s="23">
        <f>+AVERAGE(C61:C63)</f>
        <v>22144.180961087597</v>
      </c>
      <c r="D418" s="8">
        <f t="shared" si="655"/>
        <v>-0.49977148844623298</v>
      </c>
      <c r="E418" s="8">
        <f t="shared" si="656"/>
        <v>-0.15514474282779001</v>
      </c>
    </row>
    <row r="419" spans="1:18" x14ac:dyDescent="0.2">
      <c r="A419" s="6" t="s">
        <v>47</v>
      </c>
      <c r="B419" s="23">
        <f>+AVERAGE(B64:B66)</f>
        <v>22771.333333333332</v>
      </c>
      <c r="C419" s="23">
        <f>+AVERAGE(C64:C66)</f>
        <v>20695.620196584201</v>
      </c>
      <c r="D419" s="8">
        <f t="shared" si="655"/>
        <v>-0.46050148075024688</v>
      </c>
      <c r="E419" s="8">
        <f t="shared" si="656"/>
        <v>-6.541496237990696E-2</v>
      </c>
    </row>
    <row r="420" spans="1:18" x14ac:dyDescent="0.2">
      <c r="A420" s="6" t="s">
        <v>48</v>
      </c>
      <c r="B420" s="23">
        <f>+AVERAGE(B67:B69)</f>
        <v>27774</v>
      </c>
      <c r="C420" s="23">
        <f>+AVERAGE(C67:C69)</f>
        <v>24035.612362661701</v>
      </c>
      <c r="D420" s="8">
        <f t="shared" si="655"/>
        <v>-0.38420492505986337</v>
      </c>
      <c r="E420" s="8">
        <f t="shared" si="656"/>
        <v>0.16138642545386306</v>
      </c>
    </row>
    <row r="421" spans="1:18" x14ac:dyDescent="0.2">
      <c r="A421" s="6" t="s">
        <v>49</v>
      </c>
      <c r="B421" s="23">
        <f>+AVERAGE(B70:B72)</f>
        <v>31588.333333333332</v>
      </c>
      <c r="C421" s="23">
        <f>+AVERAGE(C70:C72)</f>
        <v>30149.199976261501</v>
      </c>
      <c r="D421" s="8">
        <f t="shared" si="655"/>
        <v>0.1368298564042274</v>
      </c>
      <c r="E421" s="8">
        <f t="shared" si="656"/>
        <v>0.25435539238005855</v>
      </c>
    </row>
    <row r="422" spans="1:18" x14ac:dyDescent="0.2">
      <c r="A422" s="6" t="s">
        <v>55</v>
      </c>
      <c r="B422" s="23">
        <f>+AVERAGE(B73:B75)</f>
        <v>24532.666666666668</v>
      </c>
      <c r="C422" s="23">
        <f>+AVERAGE(C73:C75)</f>
        <v>31876.792292942435</v>
      </c>
      <c r="D422" s="8">
        <f t="shared" si="655"/>
        <v>0.64003030573134878</v>
      </c>
      <c r="E422" s="8">
        <f t="shared" si="656"/>
        <v>5.7301431482134957E-2</v>
      </c>
    </row>
    <row r="423" spans="1:18" x14ac:dyDescent="0.2">
      <c r="A423" s="6" t="s">
        <v>47</v>
      </c>
      <c r="B423" s="23">
        <f>+AVERAGE(B76:B78)</f>
        <v>28338.333333333332</v>
      </c>
      <c r="C423" s="23">
        <f>+AVERAGE(C76:C78)</f>
        <v>26136.761061794798</v>
      </c>
      <c r="D423" s="8">
        <f t="shared" si="655"/>
        <v>0.24447404631554304</v>
      </c>
      <c r="E423" s="8">
        <f t="shared" si="656"/>
        <v>-0.18006928609371053</v>
      </c>
    </row>
    <row r="424" spans="1:18" x14ac:dyDescent="0.2">
      <c r="A424" s="6" t="s">
        <v>48</v>
      </c>
      <c r="B424" s="23">
        <f>+AVERAGE(B79:B81)</f>
        <v>28636.333333333332</v>
      </c>
      <c r="C424" s="23">
        <f>+AVERAGE(C79:C81)</f>
        <v>25822.958935681436</v>
      </c>
      <c r="D424" s="8">
        <f t="shared" si="655"/>
        <v>3.104822255826778E-2</v>
      </c>
      <c r="E424" s="8">
        <f t="shared" si="656"/>
        <v>-1.2006159652737547E-2</v>
      </c>
      <c r="K424" s="6">
        <v>-3.6933200491206852E-2</v>
      </c>
      <c r="L424" s="6">
        <v>-0.17089675624429479</v>
      </c>
      <c r="M424" s="6">
        <v>5.8291059710522619E-2</v>
      </c>
      <c r="N424" s="6">
        <v>0.1331010517799458</v>
      </c>
      <c r="O424" s="6">
        <v>0.25153485952133181</v>
      </c>
      <c r="P424" s="6">
        <v>0.10597467877565836</v>
      </c>
      <c r="Q424" s="6">
        <v>0.33778762996034839</v>
      </c>
      <c r="R424" s="6">
        <v>-8.919142146745862E-2</v>
      </c>
    </row>
    <row r="425" spans="1:18" x14ac:dyDescent="0.2">
      <c r="A425" s="6" t="s">
        <v>49</v>
      </c>
      <c r="B425" s="23">
        <f>+AVERAGE(B82:B84)</f>
        <v>26709.666666666668</v>
      </c>
      <c r="C425" s="23">
        <f>+AVERAGE(C82:C84)</f>
        <v>25886.465168844032</v>
      </c>
      <c r="D425" s="8">
        <f t="shared" si="655"/>
        <v>-0.15444520656360461</v>
      </c>
      <c r="E425" s="8">
        <f t="shared" si="656"/>
        <v>2.459293426472664E-3</v>
      </c>
    </row>
    <row r="426" spans="1:18" x14ac:dyDescent="0.2">
      <c r="A426" s="6" t="s">
        <v>56</v>
      </c>
      <c r="B426" s="23">
        <f>+AVERAGE(B85:B87)</f>
        <v>16771.666666666668</v>
      </c>
      <c r="C426" s="23">
        <f>+AVERAGE(C85:C87)</f>
        <v>22539.304951028465</v>
      </c>
      <c r="D426" s="8">
        <f t="shared" si="655"/>
        <v>-0.31635370526372997</v>
      </c>
      <c r="E426" s="8">
        <f t="shared" si="656"/>
        <v>-0.12930155569652979</v>
      </c>
    </row>
    <row r="427" spans="1:18" x14ac:dyDescent="0.2">
      <c r="A427" s="6" t="s">
        <v>47</v>
      </c>
      <c r="B427" s="23">
        <f>+AVERAGE(B88:B90)</f>
        <v>25916.666666666668</v>
      </c>
      <c r="C427" s="23">
        <f>+AVERAGE(C88:C90)</f>
        <v>23767.541940452702</v>
      </c>
      <c r="D427" s="8">
        <f t="shared" si="655"/>
        <v>-8.5455507851555534E-2</v>
      </c>
      <c r="E427" s="8">
        <f t="shared" si="656"/>
        <v>5.4493117338482611E-2</v>
      </c>
    </row>
    <row r="428" spans="1:18" x14ac:dyDescent="0.2">
      <c r="A428" s="6" t="s">
        <v>48</v>
      </c>
      <c r="B428" s="23">
        <f>+AVERAGE(B91:B93)</f>
        <v>19019.666666666668</v>
      </c>
      <c r="C428" s="23">
        <f>+AVERAGE(C91:C93)</f>
        <v>16648.866244808032</v>
      </c>
      <c r="D428" s="8">
        <f t="shared" si="655"/>
        <v>-0.3358204611856731</v>
      </c>
      <c r="E428" s="8">
        <f t="shared" si="656"/>
        <v>-0.2995124911730388</v>
      </c>
    </row>
    <row r="429" spans="1:18" x14ac:dyDescent="0.2">
      <c r="A429" s="6" t="s">
        <v>49</v>
      </c>
      <c r="B429" s="23">
        <f>+AVERAGE(B94:B96)</f>
        <v>13988.333333333334</v>
      </c>
      <c r="C429" s="23">
        <f>+AVERAGE(C94:C96)</f>
        <v>12647.604818900601</v>
      </c>
      <c r="D429" s="8">
        <f t="shared" si="655"/>
        <v>-0.47628199528260684</v>
      </c>
      <c r="E429" s="8">
        <f t="shared" si="656"/>
        <v>-0.24033236660515722</v>
      </c>
    </row>
    <row r="430" spans="1:18" x14ac:dyDescent="0.2">
      <c r="A430" s="6" t="s">
        <v>57</v>
      </c>
      <c r="B430" s="23">
        <f>+AVERAGE(B97:B99)</f>
        <v>7509</v>
      </c>
      <c r="C430" s="23">
        <f>+AVERAGE(C97:C99)</f>
        <v>13321.383440030799</v>
      </c>
      <c r="D430" s="8">
        <f t="shared" si="655"/>
        <v>-0.55228063201828481</v>
      </c>
      <c r="E430" s="8">
        <f t="shared" si="656"/>
        <v>5.327321898319437E-2</v>
      </c>
    </row>
    <row r="431" spans="1:18" x14ac:dyDescent="0.2">
      <c r="A431" s="6" t="s">
        <v>47</v>
      </c>
      <c r="B431" s="23">
        <f>+AVERAGE(B100:B102)</f>
        <v>14544.666666666666</v>
      </c>
      <c r="C431" s="23">
        <f>+AVERAGE(C100:C102)</f>
        <v>12511.815077838568</v>
      </c>
      <c r="D431" s="8">
        <f t="shared" si="655"/>
        <v>-0.43879099678456601</v>
      </c>
      <c r="E431" s="8">
        <f t="shared" si="656"/>
        <v>-6.0772093667049276E-2</v>
      </c>
    </row>
    <row r="432" spans="1:18" x14ac:dyDescent="0.2">
      <c r="A432" s="6" t="s">
        <v>48</v>
      </c>
      <c r="B432" s="23">
        <f>+AVERAGE(B103:B105)</f>
        <v>14942.666666666666</v>
      </c>
      <c r="C432" s="23">
        <f>+AVERAGE(C103:C105)</f>
        <v>12452.963517014499</v>
      </c>
      <c r="D432" s="8">
        <f t="shared" si="655"/>
        <v>-0.21435706899875573</v>
      </c>
      <c r="E432" s="8">
        <f t="shared" si="656"/>
        <v>-4.7036789193207751E-3</v>
      </c>
    </row>
    <row r="433" spans="1:28" x14ac:dyDescent="0.2">
      <c r="A433" s="6" t="s">
        <v>49</v>
      </c>
      <c r="B433" s="23">
        <f>+AVERAGE(B106:B108)</f>
        <v>14028</v>
      </c>
      <c r="C433" s="23">
        <f>+AVERAGE(C106:C108)</f>
        <v>12522.084034887468</v>
      </c>
      <c r="D433" s="8">
        <f t="shared" si="655"/>
        <v>2.8356964136779794E-3</v>
      </c>
      <c r="E433" s="8">
        <f t="shared" si="656"/>
        <v>5.550527613650269E-3</v>
      </c>
    </row>
    <row r="434" spans="1:28" x14ac:dyDescent="0.2">
      <c r="A434" s="6" t="s">
        <v>58</v>
      </c>
      <c r="B434" s="23">
        <f>+AVERAGE(B109:B111)</f>
        <v>10301.666666666666</v>
      </c>
      <c r="C434" s="23">
        <f>+AVERAGE(C109:C111)</f>
        <v>15806.802190744535</v>
      </c>
      <c r="D434" s="8">
        <f t="shared" si="655"/>
        <v>0.37190926443822958</v>
      </c>
      <c r="E434" s="8">
        <f t="shared" si="656"/>
        <v>0.26231401631753903</v>
      </c>
    </row>
    <row r="435" spans="1:28" x14ac:dyDescent="0.2">
      <c r="A435" s="6" t="s">
        <v>47</v>
      </c>
      <c r="B435" s="23">
        <f>+AVERAGE(B112:B114)</f>
        <v>13613.666666666666</v>
      </c>
      <c r="C435" s="23">
        <f>+AVERAGE(C112:C114)</f>
        <v>11874.316505858034</v>
      </c>
      <c r="D435" s="8">
        <f t="shared" si="655"/>
        <v>-6.4009717193014626E-2</v>
      </c>
      <c r="E435" s="8">
        <f t="shared" si="656"/>
        <v>-0.24878439278433662</v>
      </c>
    </row>
    <row r="436" spans="1:28" x14ac:dyDescent="0.2">
      <c r="A436" s="6" t="s">
        <v>48</v>
      </c>
      <c r="B436" s="23">
        <f>+AVERAGE(B115:B117)</f>
        <v>13789.333333333334</v>
      </c>
      <c r="C436" s="23">
        <f>+AVERAGE(C115:C117)</f>
        <v>11376.638220134699</v>
      </c>
      <c r="D436" s="8">
        <f t="shared" si="655"/>
        <v>-7.718390291781918E-2</v>
      </c>
      <c r="E436" s="8">
        <f t="shared" si="656"/>
        <v>-4.1912162731877034E-2</v>
      </c>
    </row>
    <row r="437" spans="1:28" x14ac:dyDescent="0.2">
      <c r="A437" s="6" t="s">
        <v>49</v>
      </c>
      <c r="B437" s="23">
        <f>+AVERAGE(B118:B120)</f>
        <v>15683</v>
      </c>
      <c r="C437" s="23">
        <f>+AVERAGE(C118:C120)</f>
        <v>13843.390365785601</v>
      </c>
      <c r="D437" s="8">
        <f t="shared" si="655"/>
        <v>0.11797832905617334</v>
      </c>
      <c r="E437" s="8">
        <f t="shared" si="656"/>
        <v>0.21682610433064253</v>
      </c>
    </row>
    <row r="438" spans="1:28" x14ac:dyDescent="0.2">
      <c r="A438" s="6" t="s">
        <v>59</v>
      </c>
      <c r="B438" s="23">
        <f>+AVERAGE(B121:B123)</f>
        <v>15143.333333333334</v>
      </c>
      <c r="C438" s="23">
        <f>+AVERAGE(C121:C123)</f>
        <v>21217.108711477766</v>
      </c>
      <c r="D438" s="8">
        <f t="shared" si="655"/>
        <v>0.4699886749716875</v>
      </c>
      <c r="E438" s="8">
        <f t="shared" si="656"/>
        <v>0.53265263427928433</v>
      </c>
    </row>
    <row r="439" spans="1:28" x14ac:dyDescent="0.2">
      <c r="A439" s="6" t="s">
        <v>47</v>
      </c>
      <c r="B439" s="23">
        <f>+AVERAGE(B124:B126)</f>
        <v>20058</v>
      </c>
      <c r="C439" s="23">
        <f>+AVERAGE(C124:C126)</f>
        <v>18634.7215931746</v>
      </c>
      <c r="D439" s="8">
        <f t="shared" si="655"/>
        <v>0.47337234641659132</v>
      </c>
      <c r="E439" s="8">
        <f t="shared" si="656"/>
        <v>-0.12171248936035184</v>
      </c>
    </row>
    <row r="440" spans="1:28" x14ac:dyDescent="0.2">
      <c r="A440" s="6" t="s">
        <v>48</v>
      </c>
      <c r="B440" s="23">
        <f>+AVERAGE(B127:B129)</f>
        <v>21997</v>
      </c>
      <c r="C440" s="23">
        <f>+AVERAGE(C127:C129)</f>
        <v>19462.574373944368</v>
      </c>
      <c r="D440" s="8">
        <f t="shared" si="655"/>
        <v>0.59521852639721518</v>
      </c>
      <c r="E440" s="8">
        <f t="shared" si="656"/>
        <v>4.4425283019682293E-2</v>
      </c>
    </row>
    <row r="441" spans="1:28" x14ac:dyDescent="0.2">
      <c r="A441" s="6" t="s">
        <v>49</v>
      </c>
      <c r="B441" s="23">
        <f>+AVERAGE(B130:B132)</f>
        <v>24249.333333333332</v>
      </c>
      <c r="C441" s="23">
        <f>+AVERAGE(C130:C132)</f>
        <v>21946.116164441133</v>
      </c>
      <c r="D441" s="8">
        <f t="shared" si="655"/>
        <v>0.54621777296010543</v>
      </c>
      <c r="E441" s="8">
        <f t="shared" si="656"/>
        <v>0.12760602697152024</v>
      </c>
    </row>
    <row r="442" spans="1:28" x14ac:dyDescent="0.2">
      <c r="A442" s="6" t="s">
        <v>60</v>
      </c>
      <c r="B442" s="23">
        <f>+AVERAGE(B133:B135)</f>
        <v>19698.666666666668</v>
      </c>
      <c r="C442" s="23">
        <f>+AVERAGE(C133:C135)</f>
        <v>25644.492798646268</v>
      </c>
      <c r="D442" s="8">
        <f t="shared" si="655"/>
        <v>0.30081443979749056</v>
      </c>
      <c r="E442" s="8">
        <f t="shared" si="656"/>
        <v>0.16852078092056866</v>
      </c>
    </row>
    <row r="443" spans="1:28" x14ac:dyDescent="0.2">
      <c r="A443" s="6" t="s">
        <v>47</v>
      </c>
      <c r="B443" s="23">
        <f>+AVERAGE(B136:B138)</f>
        <v>25357.333333333332</v>
      </c>
      <c r="C443" s="23">
        <f>+AVERAGE(C136:C138)</f>
        <v>24367.510693665365</v>
      </c>
      <c r="D443" s="8">
        <f t="shared" si="655"/>
        <v>0.2642004852594142</v>
      </c>
      <c r="E443" s="8">
        <f t="shared" si="656"/>
        <v>-4.9795568779910204E-2</v>
      </c>
    </row>
    <row r="444" spans="1:28" x14ac:dyDescent="0.2">
      <c r="A444" s="6" t="s">
        <v>48</v>
      </c>
      <c r="B444" s="23">
        <f>+AVERAGE(B139:B141)</f>
        <v>27030.666666666668</v>
      </c>
      <c r="C444" s="23">
        <f>+AVERAGE(C139:C141)</f>
        <v>23950.070562370067</v>
      </c>
      <c r="D444" s="8">
        <f t="shared" si="655"/>
        <v>0.22883423497143562</v>
      </c>
      <c r="E444" s="8">
        <f t="shared" si="656"/>
        <v>-1.7131012541376056E-2</v>
      </c>
    </row>
    <row r="445" spans="1:28" x14ac:dyDescent="0.2">
      <c r="A445" s="6" t="s">
        <v>49</v>
      </c>
      <c r="B445" s="23">
        <f>+AVERAGE(B142:B144)</f>
        <v>27648.333333333332</v>
      </c>
      <c r="C445" s="23">
        <f>+AVERAGE(C142:C144)</f>
        <v>25372.92768891143</v>
      </c>
      <c r="D445" s="8">
        <f t="shared" si="655"/>
        <v>0.14016880189146086</v>
      </c>
      <c r="E445" s="8">
        <f t="shared" si="656"/>
        <v>5.9409308329008814E-2</v>
      </c>
    </row>
    <row r="446" spans="1:28" x14ac:dyDescent="0.2">
      <c r="A446" s="6" t="s">
        <v>61</v>
      </c>
      <c r="B446" s="23">
        <f>+AVERAGE(B145:B147)</f>
        <v>24026.666666666668</v>
      </c>
      <c r="C446" s="23">
        <f>+AVERAGE(C145:C147)</f>
        <v>30255.590338411235</v>
      </c>
      <c r="D446" s="8">
        <f t="shared" si="655"/>
        <v>0.21971030188168394</v>
      </c>
      <c r="E446" s="8">
        <f t="shared" si="656"/>
        <v>0.19243591868326826</v>
      </c>
    </row>
    <row r="447" spans="1:28" x14ac:dyDescent="0.2">
      <c r="A447" s="6" t="s">
        <v>47</v>
      </c>
      <c r="B447" s="23">
        <f>+AVERAGE(B148:B150)</f>
        <v>31612.666666666668</v>
      </c>
      <c r="C447" s="23">
        <f>+AVERAGE(C148:C150)</f>
        <v>30874.808262566599</v>
      </c>
      <c r="D447" s="8">
        <f t="shared" si="655"/>
        <v>0.24668734882742682</v>
      </c>
      <c r="E447" s="8">
        <f t="shared" si="656"/>
        <v>2.0466231768389243E-2</v>
      </c>
      <c r="K447" s="6">
        <v>0.32747427461025502</v>
      </c>
      <c r="L447" s="6">
        <v>5.9700761690254511E-2</v>
      </c>
      <c r="M447" s="6">
        <v>0.11802535515669055</v>
      </c>
      <c r="N447" s="6">
        <v>-4.2744388378264442E-2</v>
      </c>
      <c r="O447" s="6">
        <v>-3.6933200491206852E-2</v>
      </c>
      <c r="P447" s="6">
        <v>-0.17165929280480929</v>
      </c>
      <c r="Q447" s="6">
        <v>5.8291059710522619E-2</v>
      </c>
      <c r="R447" s="6">
        <v>0.13065875325586429</v>
      </c>
      <c r="S447" s="6">
        <v>0.25153485952133181</v>
      </c>
      <c r="T447" s="6">
        <v>0.13877090982789597</v>
      </c>
      <c r="U447" s="6">
        <v>0.33778762996034839</v>
      </c>
      <c r="V447" s="6">
        <v>-0.12902574397785427</v>
      </c>
      <c r="W447" s="6">
        <v>-0.16482131605004957</v>
      </c>
      <c r="X447" s="6">
        <v>-0.12955443645766751</v>
      </c>
      <c r="Y447" s="6">
        <v>-0.1375605033881897</v>
      </c>
      <c r="Z447" s="6">
        <v>4.0736153029367506E-2</v>
      </c>
      <c r="AA447" s="6">
        <v>-5.0452520610348772E-2</v>
      </c>
      <c r="AB447" s="6">
        <v>3.6026100392833937E-2</v>
      </c>
    </row>
    <row r="448" spans="1:28" x14ac:dyDescent="0.2">
      <c r="A448" s="6" t="s">
        <v>48</v>
      </c>
      <c r="B448" s="23">
        <f>+AVERAGE(B151:B153)</f>
        <v>39069</v>
      </c>
      <c r="C448" s="23">
        <f>+AVERAGE(C151:C153)</f>
        <v>35838.654427601534</v>
      </c>
      <c r="D448" s="8">
        <f t="shared" si="655"/>
        <v>0.4453583584077343</v>
      </c>
      <c r="E448" s="8">
        <f t="shared" si="656"/>
        <v>0.16077334384787823</v>
      </c>
    </row>
    <row r="449" spans="1:19" x14ac:dyDescent="0.2">
      <c r="A449" s="6" t="s">
        <v>49</v>
      </c>
      <c r="B449" s="23">
        <f>+AVERAGE(B154:B156)</f>
        <v>41583</v>
      </c>
      <c r="C449" s="23">
        <f>+AVERAGE(C154:C156)</f>
        <v>38898.387132718468</v>
      </c>
      <c r="D449" s="8">
        <f t="shared" si="655"/>
        <v>0.50399662426909408</v>
      </c>
      <c r="E449" s="8">
        <f t="shared" si="656"/>
        <v>8.5375211597242595E-2</v>
      </c>
    </row>
    <row r="450" spans="1:19" x14ac:dyDescent="0.2">
      <c r="A450" s="6" t="s">
        <v>62</v>
      </c>
      <c r="B450" s="23">
        <f>+AVERAGE(B157:B159)</f>
        <v>31045.333333333332</v>
      </c>
      <c r="C450" s="23">
        <f>+AVERAGE(C157:C159)</f>
        <v>38271.09307195554</v>
      </c>
      <c r="D450" s="8">
        <f t="shared" si="655"/>
        <v>0.2921198668146503</v>
      </c>
      <c r="E450" s="8">
        <f t="shared" si="656"/>
        <v>-1.6126479964905682E-2</v>
      </c>
    </row>
    <row r="451" spans="1:19" x14ac:dyDescent="0.2">
      <c r="A451" s="6" t="s">
        <v>47</v>
      </c>
      <c r="B451" s="23">
        <f>+AVERAGE(B160:B162)</f>
        <v>42298.333333333336</v>
      </c>
      <c r="C451" s="23">
        <f>+AVERAGE(C160:C162)</f>
        <v>41564.459552378437</v>
      </c>
      <c r="D451" s="8">
        <f t="shared" si="655"/>
        <v>0.33801851578481212</v>
      </c>
      <c r="E451" s="8">
        <f t="shared" si="656"/>
        <v>8.6053629935023412E-2</v>
      </c>
    </row>
    <row r="452" spans="1:19" x14ac:dyDescent="0.2">
      <c r="A452" s="6" t="s">
        <v>48</v>
      </c>
      <c r="B452" s="23">
        <f>+AVERAGE(B163:B165)</f>
        <v>46124.666666666664</v>
      </c>
      <c r="C452" s="23">
        <f>+AVERAGE(C163:C165)</f>
        <v>42118.070631335599</v>
      </c>
      <c r="D452" s="8">
        <f t="shared" si="655"/>
        <v>0.1805950156560614</v>
      </c>
      <c r="E452" s="8">
        <f t="shared" si="656"/>
        <v>1.3319337841010803E-2</v>
      </c>
    </row>
    <row r="453" spans="1:19" x14ac:dyDescent="0.2">
      <c r="A453" s="6" t="s">
        <v>49</v>
      </c>
      <c r="B453" s="23">
        <f>+AVERAGE(B166:B168)</f>
        <v>51609</v>
      </c>
      <c r="C453" s="23">
        <f>+AVERAGE(C166:C168)</f>
        <v>48256.975723830539</v>
      </c>
      <c r="D453" s="8">
        <f t="shared" si="655"/>
        <v>0.24110814515547219</v>
      </c>
      <c r="E453" s="8">
        <f t="shared" si="656"/>
        <v>0.14575466065930454</v>
      </c>
    </row>
    <row r="454" spans="1:19" x14ac:dyDescent="0.2">
      <c r="A454" s="6" t="s">
        <v>63</v>
      </c>
      <c r="B454" s="23">
        <f>+AVERAGE(B169:B171)</f>
        <v>38881</v>
      </c>
      <c r="C454" s="23">
        <f>+AVERAGE(C169:C171)</f>
        <v>48150.355675581108</v>
      </c>
      <c r="D454" s="8">
        <f t="shared" si="655"/>
        <v>0.25239434805016314</v>
      </c>
      <c r="E454" s="8">
        <f t="shared" si="656"/>
        <v>-2.2094225062839756E-3</v>
      </c>
    </row>
    <row r="455" spans="1:19" x14ac:dyDescent="0.2">
      <c r="A455" s="6" t="s">
        <v>47</v>
      </c>
      <c r="B455" s="23">
        <f>+AVERAGE(B172:B174)</f>
        <v>50102.666666666664</v>
      </c>
      <c r="C455" s="23">
        <f>+AVERAGE(C172:C174)</f>
        <v>49021.571286803104</v>
      </c>
      <c r="D455" s="8">
        <f t="shared" si="655"/>
        <v>0.18450687576342628</v>
      </c>
      <c r="E455" s="8">
        <f t="shared" si="656"/>
        <v>1.809364850992834E-2</v>
      </c>
    </row>
    <row r="456" spans="1:19" x14ac:dyDescent="0.2">
      <c r="A456" s="6" t="s">
        <v>48</v>
      </c>
      <c r="B456" s="23">
        <f>+AVERAGE(B175:B177)</f>
        <v>56860.666666666664</v>
      </c>
      <c r="C456" s="23">
        <f>+AVERAGE(C175:C177)</f>
        <v>51835.770433114994</v>
      </c>
      <c r="D456" s="8">
        <f t="shared" si="655"/>
        <v>0.23276048968736895</v>
      </c>
      <c r="E456" s="8">
        <f t="shared" si="656"/>
        <v>5.7407363175841164E-2</v>
      </c>
    </row>
    <row r="457" spans="1:19" x14ac:dyDescent="0.2">
      <c r="A457" s="6" t="s">
        <v>49</v>
      </c>
      <c r="B457" s="23">
        <f>+AVERAGE(B178:B180)</f>
        <v>39713</v>
      </c>
      <c r="C457" s="23">
        <f>+AVERAGE(C178:C180)</f>
        <v>36434.658205831634</v>
      </c>
      <c r="D457" s="8">
        <f t="shared" si="655"/>
        <v>-0.23050243174640084</v>
      </c>
      <c r="E457" s="8">
        <f t="shared" si="656"/>
        <v>-0.29711359739807097</v>
      </c>
    </row>
    <row r="458" spans="1:19" x14ac:dyDescent="0.2">
      <c r="A458" s="6" t="s">
        <v>64</v>
      </c>
      <c r="B458" s="23">
        <f>+AVERAGE(B181:B183)</f>
        <v>23194.666666666668</v>
      </c>
      <c r="C458" s="23">
        <f>+AVERAGE(C181:C183)</f>
        <v>32628.991932973469</v>
      </c>
      <c r="D458" s="8">
        <f t="shared" si="655"/>
        <v>-0.40344469878175282</v>
      </c>
      <c r="E458" s="8">
        <f t="shared" si="656"/>
        <v>-0.10445181758968825</v>
      </c>
    </row>
    <row r="459" spans="1:19" x14ac:dyDescent="0.2">
      <c r="A459" s="6" t="s">
        <v>47</v>
      </c>
      <c r="B459" s="23">
        <f>+AVERAGE(B184:B186)</f>
        <v>40581</v>
      </c>
      <c r="C459" s="23">
        <f>+AVERAGE(C184:C186)</f>
        <v>39229.855768259171</v>
      </c>
      <c r="D459" s="8">
        <f t="shared" si="655"/>
        <v>-0.19004311147776565</v>
      </c>
      <c r="E459" s="8">
        <f t="shared" si="656"/>
        <v>0.20230057517085442</v>
      </c>
    </row>
    <row r="460" spans="1:19" x14ac:dyDescent="0.2">
      <c r="A460" s="6" t="s">
        <v>48</v>
      </c>
      <c r="B460" s="23">
        <f>+AVERAGE(B187:B189)</f>
        <v>48630</v>
      </c>
      <c r="C460" s="23">
        <f>+AVERAGE(C187:C189)</f>
        <v>43174.637605221003</v>
      </c>
      <c r="D460" s="8">
        <f t="shared" si="655"/>
        <v>-0.14475149781336827</v>
      </c>
      <c r="E460" s="8">
        <f t="shared" si="656"/>
        <v>0.10055560388150986</v>
      </c>
    </row>
    <row r="461" spans="1:19" x14ac:dyDescent="0.2">
      <c r="A461" s="6" t="s">
        <v>49</v>
      </c>
      <c r="B461" s="23">
        <f>+AVERAGE(B190:B192)</f>
        <v>53791.666666666664</v>
      </c>
      <c r="C461" s="23">
        <f>+AVERAGE(C190:C192)</f>
        <v>50770.163059883365</v>
      </c>
      <c r="D461" s="8">
        <f t="shared" si="655"/>
        <v>0.35451027791067569</v>
      </c>
      <c r="E461" s="8">
        <f t="shared" si="656"/>
        <v>0.17592563310233444</v>
      </c>
    </row>
    <row r="462" spans="1:19" x14ac:dyDescent="0.2">
      <c r="A462" s="6" t="s">
        <v>65</v>
      </c>
      <c r="B462" s="23">
        <f>+AVERAGE(B193:B195)</f>
        <v>40224.333333333336</v>
      </c>
      <c r="C462" s="23">
        <f>+AVERAGE(C193:C195)</f>
        <v>49941.216384966065</v>
      </c>
      <c r="D462" s="8">
        <f t="shared" ref="D462:D520" si="657">+B462/B458-1</f>
        <v>0.73420613934237755</v>
      </c>
      <c r="E462" s="8">
        <f t="shared" ref="E462:E520" si="658">+C462/C461-1</f>
        <v>-1.6327437710600967E-2</v>
      </c>
      <c r="L462" s="6">
        <v>-0.1375605033881897</v>
      </c>
      <c r="M462" s="6">
        <v>3.8509935124972028E-2</v>
      </c>
      <c r="N462" s="6">
        <v>-5.0452520610348772E-2</v>
      </c>
      <c r="O462" s="6">
        <v>3.1300763424923161E-2</v>
      </c>
      <c r="P462" s="6">
        <v>-9.9486827295446223E-2</v>
      </c>
      <c r="Q462" s="6">
        <v>5.9857008786736721E-3</v>
      </c>
      <c r="R462" s="6">
        <v>-0.29310441146347355</v>
      </c>
      <c r="S462" s="6">
        <v>-0.15018914656199311</v>
      </c>
    </row>
    <row r="463" spans="1:19" x14ac:dyDescent="0.2">
      <c r="A463" s="6" t="s">
        <v>47</v>
      </c>
      <c r="B463" s="23">
        <f>+AVERAGE(B196:B198)</f>
        <v>58754.666666666664</v>
      </c>
      <c r="C463" s="23">
        <f>+AVERAGE(C196:C198)</f>
        <v>57098.877353687632</v>
      </c>
      <c r="D463" s="8">
        <f t="shared" si="657"/>
        <v>0.4478368366148362</v>
      </c>
      <c r="E463" s="8">
        <f t="shared" si="658"/>
        <v>0.14332171874925059</v>
      </c>
    </row>
    <row r="464" spans="1:19" x14ac:dyDescent="0.2">
      <c r="A464" s="6" t="s">
        <v>48</v>
      </c>
      <c r="B464" s="23">
        <f>+AVERAGE(B199:B201)</f>
        <v>65556.666666666672</v>
      </c>
      <c r="C464" s="23">
        <f>+AVERAGE(C199:C201)</f>
        <v>60085.500166114565</v>
      </c>
      <c r="D464" s="8">
        <f t="shared" si="657"/>
        <v>0.3480704640482557</v>
      </c>
      <c r="E464" s="8">
        <f t="shared" si="658"/>
        <v>5.2306156457803787E-2</v>
      </c>
    </row>
    <row r="465" spans="1:20" x14ac:dyDescent="0.2">
      <c r="A465" s="6" t="s">
        <v>49</v>
      </c>
      <c r="B465" s="23">
        <f>+AVERAGE(B202:B204)</f>
        <v>67339.666666666672</v>
      </c>
      <c r="C465" s="23">
        <f>+AVERAGE(C202:C204)</f>
        <v>64691.803902965534</v>
      </c>
      <c r="D465" s="8">
        <f t="shared" si="657"/>
        <v>0.25186057319907063</v>
      </c>
      <c r="E465" s="8">
        <f t="shared" si="658"/>
        <v>7.6662484694580479E-2</v>
      </c>
    </row>
    <row r="466" spans="1:20" x14ac:dyDescent="0.2">
      <c r="A466" s="6" t="s">
        <v>66</v>
      </c>
      <c r="B466" s="23">
        <f>+AVERAGE(B205:B207)</f>
        <v>51784.333333333336</v>
      </c>
      <c r="C466" s="23">
        <f>+AVERAGE(C205:C207)</f>
        <v>61240.888250016527</v>
      </c>
      <c r="D466" s="8">
        <f t="shared" si="657"/>
        <v>0.28738823100444999</v>
      </c>
      <c r="E466" s="8">
        <f t="shared" si="658"/>
        <v>-5.3343939181618838E-2</v>
      </c>
    </row>
    <row r="467" spans="1:20" x14ac:dyDescent="0.2">
      <c r="A467" s="6" t="s">
        <v>47</v>
      </c>
      <c r="B467" s="23">
        <f>+AVERAGE(B208:B210)</f>
        <v>75633.333333333328</v>
      </c>
      <c r="C467" s="23">
        <f>+AVERAGE(C208:C210)</f>
        <v>73789.639693289268</v>
      </c>
      <c r="D467" s="8">
        <f t="shared" si="657"/>
        <v>0.28727363500204239</v>
      </c>
      <c r="E467" s="8">
        <f t="shared" si="658"/>
        <v>0.20490805737569229</v>
      </c>
    </row>
    <row r="468" spans="1:20" x14ac:dyDescent="0.2">
      <c r="A468" s="6" t="s">
        <v>48</v>
      </c>
      <c r="B468" s="23">
        <f>+AVERAGE(B211:B213)</f>
        <v>75923</v>
      </c>
      <c r="C468" s="23">
        <f>+AVERAGE(C211:C213)</f>
        <v>70660.452058623676</v>
      </c>
      <c r="D468" s="8">
        <f t="shared" si="657"/>
        <v>0.15812782834189232</v>
      </c>
      <c r="E468" s="8">
        <f t="shared" si="658"/>
        <v>-4.2406869686208437E-2</v>
      </c>
    </row>
    <row r="469" spans="1:20" x14ac:dyDescent="0.2">
      <c r="A469" s="6" t="s">
        <v>49</v>
      </c>
      <c r="B469" s="23">
        <f>+AVERAGE(B214:B216)</f>
        <v>64797.666666666664</v>
      </c>
      <c r="C469" s="23">
        <f>+AVERAGE(C214:C216)</f>
        <v>63036.816377855263</v>
      </c>
      <c r="D469" s="8">
        <f t="shared" si="657"/>
        <v>-3.7748924606101464E-2</v>
      </c>
      <c r="E469" s="8">
        <f t="shared" si="658"/>
        <v>-0.10789112521447553</v>
      </c>
    </row>
    <row r="470" spans="1:20" x14ac:dyDescent="0.2">
      <c r="A470" s="6" t="s">
        <v>67</v>
      </c>
      <c r="B470" s="23">
        <f>+AVERAGE(B217:B219)</f>
        <v>53744.333333333336</v>
      </c>
      <c r="C470" s="23">
        <f>+AVERAGE(C217:C219)</f>
        <v>63144.337682543432</v>
      </c>
      <c r="D470" s="8">
        <f t="shared" si="657"/>
        <v>3.7849285176340342E-2</v>
      </c>
      <c r="E470" s="8">
        <f t="shared" si="658"/>
        <v>1.705690592679332E-3</v>
      </c>
    </row>
    <row r="471" spans="1:20" x14ac:dyDescent="0.2">
      <c r="A471" s="6" t="s">
        <v>47</v>
      </c>
      <c r="B471" s="23">
        <f>+AVERAGE(B220:B222)</f>
        <v>54277.666666666664</v>
      </c>
      <c r="C471" s="23">
        <f>+AVERAGE(C220:C222)</f>
        <v>52211.653337363598</v>
      </c>
      <c r="D471" s="8">
        <f t="shared" si="657"/>
        <v>-0.28235786690171882</v>
      </c>
      <c r="E471" s="8">
        <f t="shared" si="658"/>
        <v>-0.17313800011876967</v>
      </c>
    </row>
    <row r="472" spans="1:20" x14ac:dyDescent="0.2">
      <c r="A472" s="6" t="s">
        <v>48</v>
      </c>
      <c r="B472" s="23">
        <f>+AVERAGE(B223:B225)</f>
        <v>69121</v>
      </c>
      <c r="C472" s="23">
        <f>+AVERAGE(C223:C225)</f>
        <v>64797.881511684165</v>
      </c>
      <c r="D472" s="8">
        <f t="shared" si="657"/>
        <v>-8.9590769595511266E-2</v>
      </c>
      <c r="E472" s="8">
        <f t="shared" si="658"/>
        <v>0.2410616666933556</v>
      </c>
    </row>
    <row r="473" spans="1:20" x14ac:dyDescent="0.2">
      <c r="A473" s="6" t="s">
        <v>49</v>
      </c>
      <c r="B473" s="23">
        <f>+AVERAGE(B226:B228)</f>
        <v>70678</v>
      </c>
      <c r="C473" s="23">
        <f>+AVERAGE(C226:C228)</f>
        <v>68934.442574852248</v>
      </c>
      <c r="D473" s="8">
        <f t="shared" si="657"/>
        <v>9.0749152490058771E-2</v>
      </c>
      <c r="E473" s="8">
        <f t="shared" si="658"/>
        <v>6.3837905910892889E-2</v>
      </c>
    </row>
    <row r="474" spans="1:20" x14ac:dyDescent="0.2">
      <c r="A474" s="6" t="s">
        <v>68</v>
      </c>
      <c r="B474" s="23">
        <f>+AVERAGE(B229:B231)</f>
        <v>57091.666666666664</v>
      </c>
      <c r="C474" s="23">
        <f>+AVERAGE(C229:C231)</f>
        <v>65155.441563902867</v>
      </c>
      <c r="D474" s="8">
        <f t="shared" si="657"/>
        <v>6.2282535213014523E-2</v>
      </c>
      <c r="E474" s="8">
        <f t="shared" si="658"/>
        <v>-5.4820215697631292E-2</v>
      </c>
      <c r="M474" s="24">
        <v>-0.16482131605004957</v>
      </c>
      <c r="N474" s="24">
        <v>-0.13011826546558625</v>
      </c>
      <c r="O474" s="24">
        <v>-0.1375605033881897</v>
      </c>
      <c r="P474" s="24">
        <v>3.9723329347226999E-2</v>
      </c>
      <c r="Q474" s="24">
        <v>-5.0452520610348772E-2</v>
      </c>
      <c r="R474" s="24">
        <v>3.5874604211021177E-2</v>
      </c>
      <c r="S474" s="24">
        <v>-9.9486827295446223E-2</v>
      </c>
      <c r="T474" s="24">
        <v>9.5143242674273765E-3</v>
      </c>
    </row>
    <row r="475" spans="1:20" x14ac:dyDescent="0.2">
      <c r="A475" s="6" t="s">
        <v>47</v>
      </c>
      <c r="B475" s="23">
        <f>+AVERAGE(B232:B234)</f>
        <v>70434</v>
      </c>
      <c r="C475" s="23">
        <f>+AVERAGE(C232:C234)</f>
        <v>68339.601622136397</v>
      </c>
      <c r="D475" s="8">
        <f t="shared" si="657"/>
        <v>0.29766079357378428</v>
      </c>
      <c r="E475" s="8">
        <f t="shared" si="658"/>
        <v>4.8870209176782087E-2</v>
      </c>
    </row>
    <row r="476" spans="1:20" x14ac:dyDescent="0.2">
      <c r="A476" s="6" t="s">
        <v>48</v>
      </c>
      <c r="B476" s="23">
        <f>+AVERAGE(B235:B237)</f>
        <v>68702</v>
      </c>
      <c r="C476" s="23">
        <f>+AVERAGE(C235:C237)</f>
        <v>64285.972765243001</v>
      </c>
      <c r="D476" s="8">
        <f t="shared" si="657"/>
        <v>-6.0618335961574177E-3</v>
      </c>
      <c r="E476" s="8">
        <f t="shared" si="658"/>
        <v>-5.9315956790423452E-2</v>
      </c>
    </row>
    <row r="477" spans="1:20" x14ac:dyDescent="0.2">
      <c r="A477" s="6" t="s">
        <v>49</v>
      </c>
      <c r="B477" s="23">
        <f>+AVERAGE(B238:B240)</f>
        <v>58492.666666666664</v>
      </c>
      <c r="C477" s="23">
        <f>+AVERAGE(C238:C240)</f>
        <v>57113.451141913101</v>
      </c>
      <c r="D477" s="8">
        <f t="shared" si="657"/>
        <v>-0.17240631219521396</v>
      </c>
      <c r="E477" s="8">
        <f t="shared" si="658"/>
        <v>-0.11157210997680989</v>
      </c>
    </row>
    <row r="478" spans="1:20" x14ac:dyDescent="0.2">
      <c r="A478" s="6" t="s">
        <v>69</v>
      </c>
      <c r="B478" s="23">
        <f>+AVERAGE(B241:B243)</f>
        <v>47463.333333333336</v>
      </c>
      <c r="C478" s="23">
        <f>+AVERAGE(C241:C243)</f>
        <v>54898.350702978139</v>
      </c>
      <c r="D478" s="8">
        <f t="shared" si="657"/>
        <v>-0.16864691285943645</v>
      </c>
      <c r="E478" s="8">
        <f t="shared" si="658"/>
        <v>-3.8784216233597513E-2</v>
      </c>
    </row>
    <row r="479" spans="1:20" x14ac:dyDescent="0.2">
      <c r="A479" s="6" t="s">
        <v>47</v>
      </c>
      <c r="B479" s="23">
        <f>+AVERAGE(B244:B246)</f>
        <v>51709.333333333336</v>
      </c>
      <c r="C479" s="23">
        <f>+AVERAGE(C244:C246)</f>
        <v>49411.493701731066</v>
      </c>
      <c r="D479" s="8">
        <f t="shared" si="657"/>
        <v>-0.2658469867772193</v>
      </c>
      <c r="E479" s="8">
        <f t="shared" si="658"/>
        <v>-9.9945753032420703E-2</v>
      </c>
    </row>
    <row r="480" spans="1:20" x14ac:dyDescent="0.2">
      <c r="A480" s="6" t="s">
        <v>48</v>
      </c>
      <c r="B480" s="23">
        <f>+AVERAGE(B247:B249)</f>
        <v>49374</v>
      </c>
      <c r="C480" s="23">
        <f>+AVERAGE(C247:C249)</f>
        <v>45365.997062208131</v>
      </c>
      <c r="D480" s="8">
        <f t="shared" si="657"/>
        <v>-0.28133096561963267</v>
      </c>
      <c r="E480" s="8">
        <f t="shared" si="658"/>
        <v>-8.1873595320620884E-2</v>
      </c>
    </row>
    <row r="481" spans="1:19" x14ac:dyDescent="0.2">
      <c r="A481" s="6" t="s">
        <v>49</v>
      </c>
      <c r="B481" s="23">
        <f>+AVERAGE(B250:B252)</f>
        <v>50400.666666666664</v>
      </c>
      <c r="C481" s="23">
        <f>+AVERAGE(C250:C252)</f>
        <v>49400.552239760138</v>
      </c>
      <c r="D481" s="8">
        <f t="shared" si="657"/>
        <v>-0.13834212835797077</v>
      </c>
      <c r="E481" s="8">
        <f t="shared" si="658"/>
        <v>8.8933462038090383E-2</v>
      </c>
    </row>
    <row r="482" spans="1:19" x14ac:dyDescent="0.2">
      <c r="A482" s="6" t="s">
        <v>70</v>
      </c>
      <c r="B482" s="23">
        <f>+AVERAGE(B253:B255)</f>
        <v>39938.333333333336</v>
      </c>
      <c r="C482" s="23">
        <f>+AVERAGE(C253:C255)</f>
        <v>46888.507793124736</v>
      </c>
      <c r="D482" s="8">
        <f t="shared" si="657"/>
        <v>-0.15854343703911788</v>
      </c>
      <c r="E482" s="8">
        <f t="shared" si="658"/>
        <v>-5.0850533703418299E-2</v>
      </c>
    </row>
    <row r="483" spans="1:19" x14ac:dyDescent="0.2">
      <c r="A483" s="6" t="s">
        <v>47</v>
      </c>
      <c r="B483" s="23">
        <f>+AVERAGE(B256:B258)</f>
        <v>46865.333333333336</v>
      </c>
      <c r="C483" s="23">
        <f>+AVERAGE(C256:C258)</f>
        <v>44369.48308569513</v>
      </c>
      <c r="D483" s="8">
        <f t="shared" si="657"/>
        <v>-9.3677479242947781E-2</v>
      </c>
      <c r="E483" s="8">
        <f t="shared" si="658"/>
        <v>-5.372371239758178E-2</v>
      </c>
    </row>
    <row r="484" spans="1:19" x14ac:dyDescent="0.2">
      <c r="A484" s="6" t="s">
        <v>48</v>
      </c>
      <c r="B484" s="23">
        <f>+AVERAGE(B259:B261)</f>
        <v>48014.333333333336</v>
      </c>
      <c r="C484" s="23">
        <f>+AVERAGE(C259:C261)</f>
        <v>44290.048823135439</v>
      </c>
      <c r="D484" s="8">
        <f t="shared" si="657"/>
        <v>-2.7538110476499011E-2</v>
      </c>
      <c r="E484" s="8">
        <f t="shared" si="658"/>
        <v>-1.7902904662259189E-3</v>
      </c>
    </row>
    <row r="485" spans="1:19" x14ac:dyDescent="0.2">
      <c r="A485" s="6" t="s">
        <v>49</v>
      </c>
      <c r="B485" s="23">
        <f>+AVERAGE(B262:B264)</f>
        <v>40734.333333333336</v>
      </c>
      <c r="C485" s="23">
        <f>+AVERAGE(C262:C264)</f>
        <v>40016.999900486902</v>
      </c>
      <c r="D485" s="8">
        <f t="shared" si="657"/>
        <v>-0.19178979114032879</v>
      </c>
      <c r="E485" s="8">
        <f t="shared" si="658"/>
        <v>-9.6478758461346681E-2</v>
      </c>
    </row>
    <row r="486" spans="1:19" x14ac:dyDescent="0.2">
      <c r="A486" s="6" t="s">
        <v>71</v>
      </c>
      <c r="B486" s="23">
        <f>+AVERAGE(B265:B267)</f>
        <v>32722.666666666668</v>
      </c>
      <c r="C486" s="23">
        <f>+AVERAGE(C265:C267)</f>
        <v>39830.808452604506</v>
      </c>
      <c r="D486" s="8">
        <f t="shared" si="657"/>
        <v>-0.18067019989149946</v>
      </c>
      <c r="E486" s="8">
        <f t="shared" si="658"/>
        <v>-4.6528087649102545E-3</v>
      </c>
    </row>
    <row r="487" spans="1:19" x14ac:dyDescent="0.2">
      <c r="A487" s="6" t="s">
        <v>47</v>
      </c>
      <c r="B487" s="23">
        <f>+AVERAGE(B268:B270)</f>
        <v>41956.666666666664</v>
      </c>
      <c r="C487" s="23">
        <f>+AVERAGE(C268:C270)</f>
        <v>39271.571954775463</v>
      </c>
      <c r="D487" s="8">
        <f t="shared" si="657"/>
        <v>-0.10473982190104991</v>
      </c>
      <c r="E487" s="8">
        <f t="shared" si="658"/>
        <v>-1.4040299947576718E-2</v>
      </c>
    </row>
    <row r="488" spans="1:19" x14ac:dyDescent="0.2">
      <c r="A488" s="6" t="s">
        <v>48</v>
      </c>
      <c r="B488" s="23">
        <f>+AVERAGE(B271:B273)</f>
        <v>41285.666666666664</v>
      </c>
      <c r="C488" s="23">
        <f>+AVERAGE(C271:C273)</f>
        <v>37717.494186582735</v>
      </c>
      <c r="D488" s="8">
        <f t="shared" si="657"/>
        <v>-0.14013870858007693</v>
      </c>
      <c r="E488" s="8">
        <f t="shared" si="658"/>
        <v>-3.9572588792279095E-2</v>
      </c>
    </row>
    <row r="489" spans="1:19" x14ac:dyDescent="0.2">
      <c r="A489" s="6" t="s">
        <v>49</v>
      </c>
      <c r="B489" s="23">
        <f>+AVERAGE(B274:B276)</f>
        <v>41627</v>
      </c>
      <c r="C489" s="23">
        <f>+AVERAGE(C274:C276)</f>
        <v>41813.167843278199</v>
      </c>
      <c r="D489" s="8">
        <f t="shared" si="657"/>
        <v>2.1914355621384107E-2</v>
      </c>
      <c r="E489" s="8">
        <f t="shared" si="658"/>
        <v>0.10858816962852269</v>
      </c>
    </row>
    <row r="490" spans="1:19" x14ac:dyDescent="0.2">
      <c r="A490" s="6" t="s">
        <v>72</v>
      </c>
      <c r="B490" s="23">
        <f>+AVERAGE(B277:B279)</f>
        <v>30718</v>
      </c>
      <c r="C490" s="23">
        <f>+AVERAGE(C277:C279)</f>
        <v>36238.358435736263</v>
      </c>
      <c r="D490" s="8">
        <f t="shared" si="657"/>
        <v>-6.1262325808817519E-2</v>
      </c>
      <c r="E490" s="8">
        <f t="shared" si="658"/>
        <v>-0.13332664553035367</v>
      </c>
    </row>
    <row r="491" spans="1:19" x14ac:dyDescent="0.2">
      <c r="A491" s="6" t="s">
        <v>47</v>
      </c>
      <c r="B491" s="23">
        <f>+AVERAGE(B280:B282)</f>
        <v>42833.333333333336</v>
      </c>
      <c r="C491" s="23">
        <f>+AVERAGE(C280:C282)</f>
        <v>40447.242095799535</v>
      </c>
      <c r="D491" s="8">
        <f t="shared" si="657"/>
        <v>2.0894573766584656E-2</v>
      </c>
      <c r="E491" s="8">
        <f t="shared" si="658"/>
        <v>0.11614443484042325</v>
      </c>
    </row>
    <row r="492" spans="1:19" x14ac:dyDescent="0.2">
      <c r="A492" s="6" t="s">
        <v>48</v>
      </c>
      <c r="B492" s="23">
        <f>+AVERAGE(B283:B285)</f>
        <v>43464</v>
      </c>
      <c r="C492" s="23">
        <f>+AVERAGE(C283:C285)</f>
        <v>40365.107739399136</v>
      </c>
      <c r="D492" s="8">
        <f t="shared" si="657"/>
        <v>5.2762459933633155E-2</v>
      </c>
      <c r="E492" s="8">
        <f t="shared" si="658"/>
        <v>-2.0306540605626866E-3</v>
      </c>
    </row>
    <row r="493" spans="1:19" x14ac:dyDescent="0.2">
      <c r="A493" s="6" t="s">
        <v>49</v>
      </c>
      <c r="B493" s="23">
        <f>+AVERAGE(B286:B288)</f>
        <v>40787.333333333336</v>
      </c>
      <c r="C493" s="23">
        <f>+AVERAGE(C286:C288)</f>
        <v>41110.730875785201</v>
      </c>
      <c r="D493" s="8">
        <f t="shared" si="657"/>
        <v>-2.0171202985241887E-2</v>
      </c>
      <c r="E493" s="8">
        <f t="shared" si="658"/>
        <v>1.8471971911975915E-2</v>
      </c>
    </row>
    <row r="494" spans="1:19" x14ac:dyDescent="0.2">
      <c r="A494" s="6" t="s">
        <v>73</v>
      </c>
      <c r="B494" s="23">
        <f>+AVERAGE(B289:B291)</f>
        <v>36866</v>
      </c>
      <c r="C494" s="23">
        <f>+AVERAGE(C289:C291)</f>
        <v>41895.157868084098</v>
      </c>
      <c r="D494" s="8">
        <f t="shared" si="657"/>
        <v>0.20014323849208937</v>
      </c>
      <c r="E494" s="8">
        <f t="shared" si="658"/>
        <v>1.9080833047435242E-2</v>
      </c>
    </row>
    <row r="495" spans="1:19" x14ac:dyDescent="0.2">
      <c r="A495" s="6" t="s">
        <v>47</v>
      </c>
      <c r="B495" s="23">
        <f>+AVERAGE(B292:B294)</f>
        <v>44019</v>
      </c>
      <c r="C495" s="23">
        <f>+AVERAGE(C292:C294)</f>
        <v>41972.473969879466</v>
      </c>
      <c r="D495" s="8">
        <f t="shared" si="657"/>
        <v>2.7680933852139988E-2</v>
      </c>
      <c r="E495" s="8">
        <f t="shared" si="658"/>
        <v>1.8454662956233214E-3</v>
      </c>
      <c r="L495" s="6">
        <v>-0.29310441146347355</v>
      </c>
      <c r="M495" s="6">
        <v>-0.15375462962687658</v>
      </c>
      <c r="N495" s="6">
        <v>-0.30380346151822823</v>
      </c>
      <c r="O495" s="6">
        <v>-8.5974470011075388E-3</v>
      </c>
      <c r="P495" s="6">
        <v>-0.30174995009648009</v>
      </c>
      <c r="Q495" s="6">
        <v>0.18722049014793263</v>
      </c>
      <c r="R495" s="6">
        <v>-0.30144510714538308</v>
      </c>
      <c r="S495" s="6">
        <v>-0.14056637648839143</v>
      </c>
    </row>
    <row r="496" spans="1:19" x14ac:dyDescent="0.2">
      <c r="A496" s="6" t="s">
        <v>48</v>
      </c>
      <c r="B496" s="23">
        <f>+AVERAGE(B295:B297)</f>
        <v>42684</v>
      </c>
      <c r="C496" s="23">
        <f>+AVERAGE(C295:C297)</f>
        <v>39652.684085483961</v>
      </c>
      <c r="D496" s="8">
        <f t="shared" si="657"/>
        <v>-1.7945886250690268E-2</v>
      </c>
      <c r="E496" s="8">
        <f t="shared" si="658"/>
        <v>-5.5269314981533979E-2</v>
      </c>
    </row>
    <row r="497" spans="1:5" x14ac:dyDescent="0.2">
      <c r="A497" s="6" t="s">
        <v>49</v>
      </c>
      <c r="B497" s="23">
        <f>+AVERAGE(B298:B300)</f>
        <v>31980.666666666668</v>
      </c>
      <c r="C497" s="23">
        <f>+AVERAGE(C298:C300)</f>
        <v>31743.669460249799</v>
      </c>
      <c r="D497" s="8">
        <f t="shared" si="657"/>
        <v>-0.21591670616694725</v>
      </c>
      <c r="E497" s="8">
        <f t="shared" si="658"/>
        <v>-0.1994572324078685</v>
      </c>
    </row>
    <row r="498" spans="1:5" x14ac:dyDescent="0.2">
      <c r="A498" s="6" t="s">
        <v>74</v>
      </c>
      <c r="B498" s="23">
        <f>+AVERAGE(B301:B303)</f>
        <v>25564</v>
      </c>
      <c r="C498" s="23">
        <f>+AVERAGE(C301:C303)</f>
        <v>30724.683183405363</v>
      </c>
      <c r="D498" s="8">
        <f t="shared" si="657"/>
        <v>-0.30656973905495577</v>
      </c>
      <c r="E498" s="8">
        <f t="shared" si="658"/>
        <v>-3.2100456379828279E-2</v>
      </c>
    </row>
    <row r="499" spans="1:5" x14ac:dyDescent="0.2">
      <c r="A499" s="6" t="s">
        <v>47</v>
      </c>
      <c r="B499" s="23">
        <f>+AVERAGE(B304:B306)</f>
        <v>28163.333333333332</v>
      </c>
      <c r="C499" s="23">
        <f>+AVERAGE(C304:C306)</f>
        <v>26598.940365607501</v>
      </c>
      <c r="D499" s="8">
        <f t="shared" si="657"/>
        <v>-0.36020051947265197</v>
      </c>
      <c r="E499" s="8">
        <f t="shared" si="658"/>
        <v>-0.13428105322258321</v>
      </c>
    </row>
    <row r="500" spans="1:5" x14ac:dyDescent="0.2">
      <c r="A500" s="6" t="s">
        <v>48</v>
      </c>
      <c r="B500" s="23">
        <f>+AVERAGE(B307:B309)</f>
        <v>26716</v>
      </c>
      <c r="C500" s="23">
        <f>+AVERAGE(C307:C309)</f>
        <v>23221.836604434502</v>
      </c>
      <c r="D500" s="8">
        <f t="shared" si="657"/>
        <v>-0.37409802267828696</v>
      </c>
      <c r="E500" s="8">
        <f t="shared" si="658"/>
        <v>-0.12696384573047137</v>
      </c>
    </row>
    <row r="501" spans="1:5" x14ac:dyDescent="0.2">
      <c r="A501" s="6" t="s">
        <v>49</v>
      </c>
      <c r="B501" s="23">
        <f>+AVERAGE(B310:B312)</f>
        <v>24485.666666666668</v>
      </c>
      <c r="C501" s="23">
        <f>+AVERAGE(C310:C312)</f>
        <v>23971.855245117931</v>
      </c>
      <c r="D501" s="8">
        <f t="shared" si="657"/>
        <v>-0.23436034270705219</v>
      </c>
      <c r="E501" s="8">
        <f t="shared" si="658"/>
        <v>3.2297989752464451E-2</v>
      </c>
    </row>
    <row r="502" spans="1:5" x14ac:dyDescent="0.2">
      <c r="A502" s="6" t="s">
        <v>75</v>
      </c>
      <c r="B502" s="23">
        <f>+AVERAGE(B313:B315)</f>
        <v>21993.333333333332</v>
      </c>
      <c r="C502" s="23">
        <f>+AVERAGE(C313:C315)</f>
        <v>27500.653948765466</v>
      </c>
      <c r="D502" s="8">
        <f t="shared" si="657"/>
        <v>-0.13967558545871805</v>
      </c>
      <c r="E502" s="8">
        <f t="shared" si="658"/>
        <v>0.14720590740953199</v>
      </c>
    </row>
    <row r="503" spans="1:5" x14ac:dyDescent="0.2">
      <c r="A503" s="6" t="s">
        <v>47</v>
      </c>
      <c r="B503" s="23">
        <f>+AVERAGE(B316:B318)</f>
        <v>6819.666666666667</v>
      </c>
      <c r="C503" s="23">
        <f>+AVERAGE(C316:C318)</f>
        <v>5615.0296781548832</v>
      </c>
      <c r="D503" s="8">
        <f t="shared" si="657"/>
        <v>-0.75785300035507164</v>
      </c>
      <c r="E503" s="8">
        <f t="shared" si="658"/>
        <v>-0.79582195795722344</v>
      </c>
    </row>
    <row r="504" spans="1:5" x14ac:dyDescent="0.2">
      <c r="A504" s="6" t="s">
        <v>48</v>
      </c>
      <c r="B504" s="23">
        <f>+AVERAGE(B319:B321)</f>
        <v>26433.333333333332</v>
      </c>
      <c r="C504" s="23">
        <f>+AVERAGE(C319:C321)</f>
        <v>22973.301087007869</v>
      </c>
      <c r="D504" s="8">
        <f t="shared" si="657"/>
        <v>-1.0580426211508787E-2</v>
      </c>
      <c r="E504" s="8">
        <f t="shared" si="658"/>
        <v>3.0913944188727722</v>
      </c>
    </row>
    <row r="505" spans="1:5" x14ac:dyDescent="0.2">
      <c r="A505" s="6" t="s">
        <v>49</v>
      </c>
      <c r="B505" s="23">
        <f>+AVERAGE(B322:B324)</f>
        <v>30482.666666666668</v>
      </c>
      <c r="C505" s="23">
        <f>+AVERAGE(C322:C324)</f>
        <v>29601.437676447367</v>
      </c>
      <c r="D505" s="8">
        <f t="shared" si="657"/>
        <v>0.24491879603033073</v>
      </c>
      <c r="E505" s="8">
        <f t="shared" si="658"/>
        <v>0.28851476609027338</v>
      </c>
    </row>
    <row r="506" spans="1:5" x14ac:dyDescent="0.2">
      <c r="A506" s="6" t="s">
        <v>76</v>
      </c>
      <c r="B506" s="23">
        <f>+AVERAGE(B325:B327)</f>
        <v>29759</v>
      </c>
      <c r="C506" s="23">
        <f>+AVERAGE(C325:C327)</f>
        <v>34855.399147802498</v>
      </c>
      <c r="D506" s="8">
        <f t="shared" si="657"/>
        <v>0.35309184601394361</v>
      </c>
      <c r="E506" s="8">
        <f t="shared" si="658"/>
        <v>0.17749007763685376</v>
      </c>
    </row>
    <row r="507" spans="1:5" x14ac:dyDescent="0.2">
      <c r="A507" s="6" t="s">
        <v>47</v>
      </c>
      <c r="B507" s="23">
        <f>+AVERAGE(B328:B330)</f>
        <v>34767.666666666664</v>
      </c>
      <c r="C507" s="23">
        <f>+AVERAGE(C328:C330)</f>
        <v>33971.773159897399</v>
      </c>
      <c r="D507" s="8">
        <f t="shared" si="657"/>
        <v>4.0981475145412771</v>
      </c>
      <c r="E507" s="8">
        <f t="shared" si="658"/>
        <v>-2.53511940620198E-2</v>
      </c>
    </row>
    <row r="508" spans="1:5" x14ac:dyDescent="0.2">
      <c r="A508" s="6" t="s">
        <v>48</v>
      </c>
      <c r="B508" s="23">
        <f>+AVERAGE(B331:B333)</f>
        <v>37944</v>
      </c>
      <c r="C508" s="23">
        <f>+AVERAGE(C331:C333)</f>
        <v>34295.087116164133</v>
      </c>
      <c r="D508" s="8">
        <f t="shared" si="657"/>
        <v>0.43546027742749072</v>
      </c>
      <c r="E508" s="8">
        <f t="shared" si="658"/>
        <v>9.5171351446676766E-3</v>
      </c>
    </row>
    <row r="509" spans="1:5" x14ac:dyDescent="0.2">
      <c r="A509" s="6" t="s">
        <v>49</v>
      </c>
      <c r="B509" s="23">
        <f>+AVERAGE(B334:B336)</f>
        <v>42447</v>
      </c>
      <c r="C509" s="23">
        <f>+AVERAGE(C334:C336)</f>
        <v>41223.040326725401</v>
      </c>
      <c r="D509" s="8">
        <f t="shared" si="657"/>
        <v>0.39249628204006637</v>
      </c>
      <c r="E509" s="8">
        <f t="shared" si="658"/>
        <v>0.2020100776270064</v>
      </c>
    </row>
    <row r="510" spans="1:5" x14ac:dyDescent="0.2">
      <c r="A510" s="6" t="s">
        <v>77</v>
      </c>
      <c r="B510" s="23">
        <f>+AVERAGE(B337:B339)</f>
        <v>35019.333333333336</v>
      </c>
      <c r="C510" s="23">
        <f>+AVERAGE(C337:C339)</f>
        <v>40408.7425773996</v>
      </c>
      <c r="D510" s="8">
        <f t="shared" si="657"/>
        <v>0.17676445221053583</v>
      </c>
      <c r="E510" s="8">
        <f t="shared" si="658"/>
        <v>-1.9753461726060073E-2</v>
      </c>
    </row>
    <row r="511" spans="1:5" x14ac:dyDescent="0.2">
      <c r="A511" s="6" t="s">
        <v>47</v>
      </c>
      <c r="B511" s="23">
        <f>+AVERAGE(B340:B342)</f>
        <v>46213.333333333336</v>
      </c>
      <c r="C511" s="23">
        <f>+AVERAGE(C340:C342)</f>
        <v>45567.577600190103</v>
      </c>
      <c r="D511" s="8">
        <f t="shared" si="657"/>
        <v>0.32920433736325916</v>
      </c>
      <c r="E511" s="8">
        <f t="shared" si="658"/>
        <v>0.12766630916339894</v>
      </c>
    </row>
    <row r="512" spans="1:5" x14ac:dyDescent="0.2">
      <c r="A512" s="6" t="s">
        <v>48</v>
      </c>
      <c r="B512" s="23">
        <f>+AVERAGE(B343:B345)</f>
        <v>50094.333333333336</v>
      </c>
      <c r="C512" s="23">
        <f>+AVERAGE(C343:C345)</f>
        <v>46288.121614259137</v>
      </c>
      <c r="D512" s="8">
        <f t="shared" si="657"/>
        <v>0.32021751352870909</v>
      </c>
      <c r="E512" s="8">
        <f t="shared" si="658"/>
        <v>1.5812646886588677E-2</v>
      </c>
    </row>
    <row r="513" spans="1:29" x14ac:dyDescent="0.2">
      <c r="A513" s="6" t="s">
        <v>49</v>
      </c>
      <c r="B513" s="23">
        <f>+AVERAGE(B346:B348)</f>
        <v>47637.333333333336</v>
      </c>
      <c r="C513" s="23">
        <f>+AVERAGE(C346:C348)</f>
        <v>46663.664739963097</v>
      </c>
      <c r="D513" s="8">
        <f t="shared" si="657"/>
        <v>0.12227797802750096</v>
      </c>
      <c r="E513" s="8">
        <f t="shared" si="658"/>
        <v>8.1131640819980255E-3</v>
      </c>
    </row>
    <row r="514" spans="1:29" x14ac:dyDescent="0.2">
      <c r="A514" s="6" t="s">
        <v>78</v>
      </c>
      <c r="B514" s="23">
        <f>+AVERAGE(B349:B351)</f>
        <v>44858</v>
      </c>
      <c r="C514" s="23">
        <f>+AVERAGE(C349:C351)</f>
        <v>50094.511923746868</v>
      </c>
      <c r="D514" s="8">
        <f t="shared" si="657"/>
        <v>0.28094957071332027</v>
      </c>
      <c r="E514" s="8">
        <f t="shared" si="658"/>
        <v>7.3522883444805176E-2</v>
      </c>
    </row>
    <row r="515" spans="1:29" x14ac:dyDescent="0.2">
      <c r="A515" s="6" t="s">
        <v>47</v>
      </c>
      <c r="B515" s="23">
        <f>+AVERAGE(B352:B354)</f>
        <v>53734.333333333336</v>
      </c>
      <c r="C515" s="23">
        <f>+AVERAGE(C352:C354)</f>
        <v>53218.923304503238</v>
      </c>
      <c r="D515" s="8">
        <f t="shared" si="657"/>
        <v>0.16274523946912867</v>
      </c>
      <c r="E515" s="8">
        <f t="shared" si="658"/>
        <v>6.2370332812350826E-2</v>
      </c>
    </row>
    <row r="516" spans="1:29" x14ac:dyDescent="0.2">
      <c r="A516" s="6" t="s">
        <v>48</v>
      </c>
      <c r="B516" s="23">
        <f>+AVERAGE(B355:B357)</f>
        <v>56486.333333333336</v>
      </c>
      <c r="C516" s="23">
        <f>+AVERAGE(C355:C357)</f>
        <v>52889.860513149608</v>
      </c>
      <c r="D516" s="8">
        <f t="shared" si="657"/>
        <v>0.12759926272432676</v>
      </c>
      <c r="E516" s="8">
        <f t="shared" si="658"/>
        <v>-6.1831914462234794E-3</v>
      </c>
    </row>
    <row r="517" spans="1:29" x14ac:dyDescent="0.2">
      <c r="A517" s="6" t="s">
        <v>49</v>
      </c>
      <c r="B517" s="23">
        <f>+AVERAGE(B358:B360)</f>
        <v>48493</v>
      </c>
      <c r="C517" s="23">
        <f>+AVERAGE(C358:C360)</f>
        <v>47514.373947103297</v>
      </c>
      <c r="D517" s="8">
        <f t="shared" si="657"/>
        <v>1.7962102552619763E-2</v>
      </c>
      <c r="E517" s="8">
        <f t="shared" si="658"/>
        <v>-0.10163548388844479</v>
      </c>
      <c r="L517" s="6">
        <v>0.32747427461025502</v>
      </c>
      <c r="M517" s="6">
        <v>5.9700761690254511E-2</v>
      </c>
      <c r="N517" s="6">
        <v>0.11802535515669055</v>
      </c>
      <c r="O517" s="6">
        <v>-4.2744388378264442E-2</v>
      </c>
      <c r="P517" s="6">
        <v>-3.6933200491206852E-2</v>
      </c>
      <c r="Q517" s="6">
        <v>-0.17165929280480929</v>
      </c>
      <c r="R517" s="6">
        <v>5.8291059710522619E-2</v>
      </c>
      <c r="S517" s="6">
        <v>0.13065875325586429</v>
      </c>
      <c r="T517" s="6">
        <v>0.25153485952133181</v>
      </c>
      <c r="U517" s="6">
        <v>0.13877090982789597</v>
      </c>
      <c r="V517" s="6">
        <v>0.33778762996034839</v>
      </c>
      <c r="W517" s="6">
        <v>-0.12902574397785427</v>
      </c>
      <c r="X517" s="6">
        <v>-0.16482131605004957</v>
      </c>
      <c r="Y517" s="6">
        <v>-0.12955443645766751</v>
      </c>
      <c r="Z517" s="6">
        <v>-0.1375605033881897</v>
      </c>
      <c r="AA517" s="6">
        <v>4.0736153029367506E-2</v>
      </c>
      <c r="AB517" s="6">
        <v>-5.0452520610348772E-2</v>
      </c>
      <c r="AC517" s="6">
        <v>3.6026100392833937E-2</v>
      </c>
    </row>
    <row r="518" spans="1:29" x14ac:dyDescent="0.2">
      <c r="A518" s="6" t="s">
        <v>79</v>
      </c>
      <c r="B518" s="23">
        <f>+AVERAGE(B361:B363)</f>
        <v>34581</v>
      </c>
      <c r="C518" s="23">
        <f>+AVERAGE(C361:C363)</f>
        <v>40988.814187055868</v>
      </c>
      <c r="D518" s="8">
        <f t="shared" si="657"/>
        <v>-0.22910071782067853</v>
      </c>
      <c r="E518" s="8">
        <f t="shared" si="658"/>
        <v>-0.13733864550782449</v>
      </c>
    </row>
    <row r="519" spans="1:29" x14ac:dyDescent="0.2">
      <c r="A519" s="6" t="s">
        <v>47</v>
      </c>
      <c r="B519" s="23">
        <f>+AVERAGE(B364:B366)</f>
        <v>37814.333333333336</v>
      </c>
      <c r="C519" s="23">
        <f>+AVERAGE(C364:C366)</f>
        <v>37333.951186001366</v>
      </c>
      <c r="D519" s="8">
        <f t="shared" si="657"/>
        <v>-0.29627240187837689</v>
      </c>
      <c r="E519" s="8">
        <f t="shared" si="658"/>
        <v>-8.9167327075509673E-2</v>
      </c>
    </row>
    <row r="520" spans="1:29" x14ac:dyDescent="0.2">
      <c r="A520" s="6" t="s">
        <v>48</v>
      </c>
      <c r="B520" s="23">
        <f>+AVERAGE(B367:B369)</f>
        <v>48565.666666666664</v>
      </c>
      <c r="C520" s="23">
        <f>+AVERAGE(C367:C369)</f>
        <v>44248.158343190393</v>
      </c>
      <c r="D520" s="8">
        <f t="shared" si="657"/>
        <v>-0.14022270873780684</v>
      </c>
      <c r="E520" s="8">
        <f t="shared" si="658"/>
        <v>0.18519891245214781</v>
      </c>
    </row>
    <row r="521" spans="1:29" x14ac:dyDescent="0.2">
      <c r="A521" s="6" t="s">
        <v>49</v>
      </c>
      <c r="B521" s="23">
        <f>+AVERAGE(B370:B372)</f>
        <v>48046</v>
      </c>
      <c r="C521" s="23">
        <f>+AVERAGE(C370:C372)</f>
        <v>46672.127068680194</v>
      </c>
      <c r="D521" s="8">
        <f>+B521/B517-1</f>
        <v>-9.2178252531293081E-3</v>
      </c>
      <c r="E521" s="8">
        <f>+C521/C520-1</f>
        <v>5.4781234208425289E-2</v>
      </c>
    </row>
    <row r="522" spans="1:29" x14ac:dyDescent="0.2">
      <c r="A522" s="6" t="s">
        <v>83</v>
      </c>
      <c r="B522" s="23">
        <f>+AVERAGE(B373:B375)</f>
        <v>38014</v>
      </c>
      <c r="C522" s="23">
        <f>+AVERAGE(C373:C375)</f>
        <v>43932.951543283969</v>
      </c>
      <c r="D522" s="8">
        <f t="shared" ref="D522:D526" si="659">+B522/B518-1</f>
        <v>9.9274167895665233E-2</v>
      </c>
      <c r="E522" s="8">
        <f t="shared" ref="E522:E526" si="660">+C522/C521-1</f>
        <v>-5.8689751194870632E-2</v>
      </c>
    </row>
    <row r="523" spans="1:29" x14ac:dyDescent="0.2">
      <c r="A523" s="6" t="s">
        <v>47</v>
      </c>
      <c r="B523" s="23">
        <f>+AVERAGE(B376:B378)</f>
        <v>45478.666666666664</v>
      </c>
      <c r="C523" s="23">
        <f>+AVERAGE(C376:C378)</f>
        <v>45126.523672583804</v>
      </c>
      <c r="D523" s="8">
        <f t="shared" si="659"/>
        <v>0.202683285879252</v>
      </c>
      <c r="E523" s="8">
        <f t="shared" si="660"/>
        <v>2.7168038735660538E-2</v>
      </c>
    </row>
    <row r="524" spans="1:29" x14ac:dyDescent="0.2">
      <c r="A524" s="6" t="s">
        <v>48</v>
      </c>
      <c r="B524" s="23">
        <f>+AVERAGE(B379:B381)</f>
        <v>42921.666666666664</v>
      </c>
      <c r="C524" s="23">
        <f>+AVERAGE(C379:C381)</f>
        <v>38359.388730387902</v>
      </c>
      <c r="D524" s="8">
        <f t="shared" si="659"/>
        <v>-0.11621378614521916</v>
      </c>
      <c r="E524" s="8">
        <f t="shared" si="660"/>
        <v>-0.14995914578519176</v>
      </c>
    </row>
    <row r="525" spans="1:29" x14ac:dyDescent="0.2">
      <c r="A525" s="6" t="s">
        <v>49</v>
      </c>
      <c r="B525" s="23">
        <f>+AVERAGE(B382:B384)</f>
        <v>37211</v>
      </c>
      <c r="C525" s="23">
        <f>+AVERAGE(C382:C384)</f>
        <v>35935.802841103032</v>
      </c>
      <c r="D525" s="8">
        <f t="shared" si="659"/>
        <v>-0.22551304999375599</v>
      </c>
      <c r="E525" s="8">
        <f t="shared" si="660"/>
        <v>-6.3181035191129942E-2</v>
      </c>
    </row>
    <row r="526" spans="1:29" x14ac:dyDescent="0.2">
      <c r="A526" s="6" t="s">
        <v>84</v>
      </c>
      <c r="B526" s="23">
        <f>+AVERAGE(B385:B387)</f>
        <v>30778.666666666668</v>
      </c>
      <c r="C526" s="23">
        <f>+AVERAGE(C385:C387)</f>
        <v>36659.103727254631</v>
      </c>
      <c r="D526" s="8">
        <f t="shared" si="659"/>
        <v>-0.19033338594552884</v>
      </c>
      <c r="E526" s="8">
        <f t="shared" si="660"/>
        <v>2.0127583884790745E-2</v>
      </c>
    </row>
    <row r="543" spans="8:17" x14ac:dyDescent="0.2">
      <c r="H543" s="1">
        <v>-5.0452520610348772E-2</v>
      </c>
      <c r="I543" s="6">
        <v>3.3064111728543066E-2</v>
      </c>
      <c r="J543" s="1">
        <v>-9.9486827295446223E-2</v>
      </c>
      <c r="K543" s="6">
        <v>1.5778209757773443E-2</v>
      </c>
      <c r="L543" s="1">
        <v>-0.29310441146347355</v>
      </c>
      <c r="M543" s="6">
        <v>-0.15260088880324563</v>
      </c>
      <c r="N543" s="1">
        <v>-0.30380346151822823</v>
      </c>
      <c r="O543" s="6">
        <v>-4.2138330037987393E-3</v>
      </c>
      <c r="P543" s="1">
        <v>-0.30174995009648009</v>
      </c>
      <c r="Q543" s="6">
        <v>0.15963362592319474</v>
      </c>
    </row>
    <row r="561" spans="12:19" x14ac:dyDescent="0.2">
      <c r="L561" s="6">
        <v>-0.30174995009648009</v>
      </c>
      <c r="M561" s="6">
        <v>0.15407286339635995</v>
      </c>
      <c r="N561" s="6">
        <v>-0.30144510714538308</v>
      </c>
      <c r="O561" s="6">
        <v>-0.11931855473829744</v>
      </c>
      <c r="P561" s="6">
        <v>3.6328641886202995E-3</v>
      </c>
      <c r="Q561" s="6">
        <v>7.6944652970464711E-2</v>
      </c>
      <c r="R561" s="6">
        <v>-0.17498185975944947</v>
      </c>
      <c r="S561" s="6">
        <v>-3.4019929789184999E-2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8048-E0EE-4537-97F0-294997FBAC6B}">
  <dimension ref="A1:K389"/>
  <sheetViews>
    <sheetView workbookViewId="0">
      <selection activeCell="C2" sqref="C2:C389"/>
    </sheetView>
  </sheetViews>
  <sheetFormatPr baseColWidth="10" defaultRowHeight="15" x14ac:dyDescent="0.25"/>
  <sheetData>
    <row r="1" spans="1:11" ht="42.75" x14ac:dyDescent="0.25">
      <c r="A1" s="14" t="s">
        <v>38</v>
      </c>
      <c r="B1" s="14" t="s">
        <v>34</v>
      </c>
      <c r="C1" s="14" t="s">
        <v>35</v>
      </c>
      <c r="E1" s="14" t="s">
        <v>38</v>
      </c>
      <c r="F1" s="14" t="s">
        <v>34</v>
      </c>
      <c r="G1" s="14" t="s">
        <v>35</v>
      </c>
      <c r="I1" s="17" t="s">
        <v>38</v>
      </c>
      <c r="J1" s="17" t="s">
        <v>34</v>
      </c>
      <c r="K1" s="17" t="s">
        <v>35</v>
      </c>
    </row>
    <row r="2" spans="1:11" x14ac:dyDescent="0.25">
      <c r="A2" s="15">
        <v>1994</v>
      </c>
      <c r="B2" s="15">
        <v>1</v>
      </c>
      <c r="C2" s="15">
        <v>54184.919853681902</v>
      </c>
      <c r="E2" s="15">
        <v>1994</v>
      </c>
      <c r="F2" s="15">
        <v>1</v>
      </c>
      <c r="G2" s="15">
        <v>54194.101727756002</v>
      </c>
      <c r="I2" s="18">
        <v>1994</v>
      </c>
      <c r="J2" s="18">
        <v>1</v>
      </c>
      <c r="K2" s="18">
        <v>51349.739803300799</v>
      </c>
    </row>
    <row r="3" spans="1:11" x14ac:dyDescent="0.25">
      <c r="A3" s="15">
        <v>1994</v>
      </c>
      <c r="B3" s="15">
        <v>2</v>
      </c>
      <c r="C3" s="15">
        <v>11377.410415660001</v>
      </c>
      <c r="E3" s="15">
        <v>1994</v>
      </c>
      <c r="F3" s="15">
        <v>2</v>
      </c>
      <c r="G3" s="15">
        <v>11353.390606638801</v>
      </c>
      <c r="I3" s="18">
        <v>1994</v>
      </c>
      <c r="J3" s="18">
        <v>2</v>
      </c>
      <c r="K3" s="18">
        <v>11619.6588196063</v>
      </c>
    </row>
    <row r="4" spans="1:11" x14ac:dyDescent="0.25">
      <c r="A4" s="15">
        <v>1994</v>
      </c>
      <c r="B4" s="15">
        <v>3</v>
      </c>
      <c r="C4" s="15">
        <v>27975.131324678299</v>
      </c>
      <c r="E4" s="15">
        <v>1994</v>
      </c>
      <c r="F4" s="15">
        <v>3</v>
      </c>
      <c r="G4" s="15">
        <v>27974.7941354592</v>
      </c>
      <c r="I4" s="18">
        <v>1994</v>
      </c>
      <c r="J4" s="18">
        <v>3</v>
      </c>
      <c r="K4" s="18">
        <v>28829.306530622602</v>
      </c>
    </row>
    <row r="5" spans="1:11" x14ac:dyDescent="0.25">
      <c r="A5" s="15">
        <v>1994</v>
      </c>
      <c r="B5" s="15">
        <v>4</v>
      </c>
      <c r="C5" s="15">
        <v>34619.232720471198</v>
      </c>
      <c r="E5" s="15">
        <v>1994</v>
      </c>
      <c r="F5" s="15">
        <v>4</v>
      </c>
      <c r="G5" s="15">
        <v>34622.067984641202</v>
      </c>
      <c r="I5" s="18">
        <v>1994</v>
      </c>
      <c r="J5" s="18">
        <v>4</v>
      </c>
      <c r="K5" s="18">
        <v>34453.065864569799</v>
      </c>
    </row>
    <row r="6" spans="1:11" x14ac:dyDescent="0.25">
      <c r="A6" s="15">
        <v>1994</v>
      </c>
      <c r="B6" s="15">
        <v>5</v>
      </c>
      <c r="C6" s="15">
        <v>29650.927593224598</v>
      </c>
      <c r="E6" s="15">
        <v>1994</v>
      </c>
      <c r="F6" s="15">
        <v>5</v>
      </c>
      <c r="G6" s="15">
        <v>29652.4659560215</v>
      </c>
      <c r="I6" s="18">
        <v>1994</v>
      </c>
      <c r="J6" s="18">
        <v>5</v>
      </c>
      <c r="K6" s="18">
        <v>30564.847028733198</v>
      </c>
    </row>
    <row r="7" spans="1:11" x14ac:dyDescent="0.25">
      <c r="A7" s="15">
        <v>1994</v>
      </c>
      <c r="B7" s="15">
        <v>6</v>
      </c>
      <c r="C7" s="15">
        <v>31585.568568543698</v>
      </c>
      <c r="E7" s="15">
        <v>1994</v>
      </c>
      <c r="F7" s="15">
        <v>6</v>
      </c>
      <c r="G7" s="15">
        <v>31584.109630757801</v>
      </c>
      <c r="I7" s="18">
        <v>1994</v>
      </c>
      <c r="J7" s="18">
        <v>6</v>
      </c>
      <c r="K7" s="18">
        <v>32242.0163379804</v>
      </c>
    </row>
    <row r="8" spans="1:11" x14ac:dyDescent="0.25">
      <c r="A8" s="15">
        <v>1994</v>
      </c>
      <c r="B8" s="15">
        <v>7</v>
      </c>
      <c r="C8" s="15">
        <v>32738.744906158299</v>
      </c>
      <c r="E8" s="15">
        <v>1994</v>
      </c>
      <c r="F8" s="15">
        <v>7</v>
      </c>
      <c r="G8" s="15">
        <v>32739.864519701001</v>
      </c>
      <c r="I8" s="18">
        <v>1994</v>
      </c>
      <c r="J8" s="18">
        <v>7</v>
      </c>
      <c r="K8" s="18">
        <v>32943.521661099701</v>
      </c>
    </row>
    <row r="9" spans="1:11" x14ac:dyDescent="0.25">
      <c r="A9" s="15">
        <v>1994</v>
      </c>
      <c r="B9" s="15">
        <v>8</v>
      </c>
      <c r="C9" s="15">
        <v>34574.880033895803</v>
      </c>
      <c r="E9" s="15">
        <v>1994</v>
      </c>
      <c r="F9" s="15">
        <v>8</v>
      </c>
      <c r="G9" s="15">
        <v>34572.782858158898</v>
      </c>
      <c r="I9" s="18">
        <v>1994</v>
      </c>
      <c r="J9" s="18">
        <v>8</v>
      </c>
      <c r="K9" s="18">
        <v>35005.578361292799</v>
      </c>
    </row>
    <row r="10" spans="1:11" x14ac:dyDescent="0.25">
      <c r="A10" s="15">
        <v>1994</v>
      </c>
      <c r="B10" s="15">
        <v>9</v>
      </c>
      <c r="C10" s="15">
        <v>35853.527564119497</v>
      </c>
      <c r="E10" s="15">
        <v>1994</v>
      </c>
      <c r="F10" s="15">
        <v>9</v>
      </c>
      <c r="G10" s="15">
        <v>35851.359287643601</v>
      </c>
      <c r="I10" s="18">
        <v>1994</v>
      </c>
      <c r="J10" s="18">
        <v>9</v>
      </c>
      <c r="K10" s="18">
        <v>36270.021473733897</v>
      </c>
    </row>
    <row r="11" spans="1:11" x14ac:dyDescent="0.25">
      <c r="A11" s="15">
        <v>1994</v>
      </c>
      <c r="B11" s="15">
        <v>10</v>
      </c>
      <c r="C11" s="15">
        <v>34197.938022183698</v>
      </c>
      <c r="E11" s="15">
        <v>1994</v>
      </c>
      <c r="F11" s="15">
        <v>10</v>
      </c>
      <c r="G11" s="15">
        <v>34199.3308960496</v>
      </c>
      <c r="I11" s="18">
        <v>1994</v>
      </c>
      <c r="J11" s="18">
        <v>10</v>
      </c>
      <c r="K11" s="18">
        <v>34258.391808555098</v>
      </c>
    </row>
    <row r="12" spans="1:11" x14ac:dyDescent="0.25">
      <c r="A12" s="15">
        <v>1994</v>
      </c>
      <c r="B12" s="15">
        <v>11</v>
      </c>
      <c r="C12" s="15">
        <v>33917.7733169766</v>
      </c>
      <c r="E12" s="15">
        <v>1994</v>
      </c>
      <c r="F12" s="15">
        <v>11</v>
      </c>
      <c r="G12" s="15">
        <v>33920.120033078201</v>
      </c>
      <c r="I12" s="18">
        <v>1994</v>
      </c>
      <c r="J12" s="18">
        <v>11</v>
      </c>
      <c r="K12" s="18">
        <v>33707.106705140002</v>
      </c>
    </row>
    <row r="13" spans="1:11" x14ac:dyDescent="0.25">
      <c r="A13" s="15">
        <v>1994</v>
      </c>
      <c r="B13" s="15">
        <v>12</v>
      </c>
      <c r="C13" s="15">
        <v>32998.406600299502</v>
      </c>
      <c r="E13" s="15">
        <v>1994</v>
      </c>
      <c r="F13" s="15">
        <v>12</v>
      </c>
      <c r="G13" s="15">
        <v>32999.383917783802</v>
      </c>
      <c r="I13" s="18">
        <v>1994</v>
      </c>
      <c r="J13" s="18">
        <v>12</v>
      </c>
      <c r="K13" s="18">
        <v>33017.6889089053</v>
      </c>
    </row>
    <row r="14" spans="1:11" x14ac:dyDescent="0.25">
      <c r="A14" s="15">
        <v>1995</v>
      </c>
      <c r="B14" s="15">
        <v>1</v>
      </c>
      <c r="C14" s="15">
        <v>27377.563106936301</v>
      </c>
      <c r="E14" s="15">
        <v>1995</v>
      </c>
      <c r="F14" s="15">
        <v>1</v>
      </c>
      <c r="G14" s="15">
        <v>27384.345401708099</v>
      </c>
      <c r="I14" s="18">
        <v>1995</v>
      </c>
      <c r="J14" s="18">
        <v>1</v>
      </c>
      <c r="K14" s="18">
        <v>24731.2393762951</v>
      </c>
    </row>
    <row r="15" spans="1:11" x14ac:dyDescent="0.25">
      <c r="A15" s="15">
        <v>1995</v>
      </c>
      <c r="B15" s="15">
        <v>2</v>
      </c>
      <c r="C15" s="15">
        <v>35724.345782012802</v>
      </c>
      <c r="E15" s="15">
        <v>1995</v>
      </c>
      <c r="F15" s="15">
        <v>2</v>
      </c>
      <c r="G15" s="15">
        <v>35703.065049103599</v>
      </c>
      <c r="I15" s="18">
        <v>1995</v>
      </c>
      <c r="J15" s="18">
        <v>2</v>
      </c>
      <c r="K15" s="18">
        <v>36017.491429441499</v>
      </c>
    </row>
    <row r="16" spans="1:11" x14ac:dyDescent="0.25">
      <c r="A16" s="15">
        <v>1995</v>
      </c>
      <c r="B16" s="15">
        <v>3</v>
      </c>
      <c r="C16" s="15">
        <v>30041.463004886598</v>
      </c>
      <c r="E16" s="15">
        <v>1995</v>
      </c>
      <c r="F16" s="15">
        <v>3</v>
      </c>
      <c r="G16" s="15">
        <v>30040.8168924048</v>
      </c>
      <c r="I16" s="18">
        <v>1995</v>
      </c>
      <c r="J16" s="18">
        <v>3</v>
      </c>
      <c r="K16" s="18">
        <v>30883.448662114999</v>
      </c>
    </row>
    <row r="17" spans="1:11" x14ac:dyDescent="0.25">
      <c r="A17" s="15">
        <v>1995</v>
      </c>
      <c r="B17" s="15">
        <v>4</v>
      </c>
      <c r="C17" s="15">
        <v>25523.124279007199</v>
      </c>
      <c r="E17" s="15">
        <v>1995</v>
      </c>
      <c r="F17" s="15">
        <v>4</v>
      </c>
      <c r="G17" s="15">
        <v>25527.699214529101</v>
      </c>
      <c r="I17" s="18">
        <v>1995</v>
      </c>
      <c r="J17" s="18">
        <v>4</v>
      </c>
      <c r="K17" s="18">
        <v>25232.241400705901</v>
      </c>
    </row>
    <row r="18" spans="1:11" x14ac:dyDescent="0.25">
      <c r="A18" s="15">
        <v>1995</v>
      </c>
      <c r="B18" s="15">
        <v>5</v>
      </c>
      <c r="C18" s="15">
        <v>25067.731543215599</v>
      </c>
      <c r="E18" s="15">
        <v>1995</v>
      </c>
      <c r="F18" s="15">
        <v>5</v>
      </c>
      <c r="G18" s="15">
        <v>25066.910104246999</v>
      </c>
      <c r="I18" s="18">
        <v>1995</v>
      </c>
      <c r="J18" s="18">
        <v>5</v>
      </c>
      <c r="K18" s="18">
        <v>26080.479539149899</v>
      </c>
    </row>
    <row r="19" spans="1:11" x14ac:dyDescent="0.25">
      <c r="A19" s="15">
        <v>1995</v>
      </c>
      <c r="B19" s="15">
        <v>6</v>
      </c>
      <c r="C19" s="15">
        <v>18988.896923801702</v>
      </c>
      <c r="E19" s="15">
        <v>1995</v>
      </c>
      <c r="F19" s="15">
        <v>6</v>
      </c>
      <c r="G19" s="15">
        <v>18987.275705841701</v>
      </c>
      <c r="I19" s="18">
        <v>1995</v>
      </c>
      <c r="J19" s="18">
        <v>6</v>
      </c>
      <c r="K19" s="18">
        <v>19593.439923382899</v>
      </c>
    </row>
    <row r="20" spans="1:11" x14ac:dyDescent="0.25">
      <c r="A20" s="15">
        <v>1995</v>
      </c>
      <c r="B20" s="15">
        <v>7</v>
      </c>
      <c r="C20" s="15">
        <v>19800.092567661399</v>
      </c>
      <c r="E20" s="15">
        <v>1995</v>
      </c>
      <c r="F20" s="15">
        <v>7</v>
      </c>
      <c r="G20" s="15">
        <v>19801.193725754001</v>
      </c>
      <c r="I20" s="18">
        <v>1995</v>
      </c>
      <c r="J20" s="18">
        <v>7</v>
      </c>
      <c r="K20" s="18">
        <v>19939.3031461682</v>
      </c>
    </row>
    <row r="21" spans="1:11" x14ac:dyDescent="0.25">
      <c r="A21" s="15">
        <v>1995</v>
      </c>
      <c r="B21" s="15">
        <v>8</v>
      </c>
      <c r="C21" s="15">
        <v>16745.827759619799</v>
      </c>
      <c r="E21" s="15">
        <v>1995</v>
      </c>
      <c r="F21" s="15">
        <v>8</v>
      </c>
      <c r="G21" s="15">
        <v>16743.011218756899</v>
      </c>
      <c r="I21" s="18">
        <v>1995</v>
      </c>
      <c r="J21" s="18">
        <v>8</v>
      </c>
      <c r="K21" s="18">
        <v>17152.771825787699</v>
      </c>
    </row>
    <row r="22" spans="1:11" x14ac:dyDescent="0.25">
      <c r="A22" s="15">
        <v>1995</v>
      </c>
      <c r="B22" s="15">
        <v>9</v>
      </c>
      <c r="C22" s="15">
        <v>16960.4863945785</v>
      </c>
      <c r="E22" s="15">
        <v>1995</v>
      </c>
      <c r="F22" s="15">
        <v>9</v>
      </c>
      <c r="G22" s="15">
        <v>16959.651574609601</v>
      </c>
      <c r="I22" s="18">
        <v>1995</v>
      </c>
      <c r="J22" s="18">
        <v>9</v>
      </c>
      <c r="K22" s="18">
        <v>17281.0521930498</v>
      </c>
    </row>
    <row r="23" spans="1:11" x14ac:dyDescent="0.25">
      <c r="A23" s="15">
        <v>1995</v>
      </c>
      <c r="B23" s="15">
        <v>10</v>
      </c>
      <c r="C23" s="15">
        <v>18049.109994197301</v>
      </c>
      <c r="E23" s="15">
        <v>1995</v>
      </c>
      <c r="F23" s="15">
        <v>10</v>
      </c>
      <c r="G23" s="15">
        <v>18047.814898469798</v>
      </c>
      <c r="I23" s="18">
        <v>1995</v>
      </c>
      <c r="J23" s="18">
        <v>10</v>
      </c>
      <c r="K23" s="18">
        <v>18266.367063156398</v>
      </c>
    </row>
    <row r="24" spans="1:11" x14ac:dyDescent="0.25">
      <c r="A24" s="15">
        <v>1995</v>
      </c>
      <c r="B24" s="15">
        <v>11</v>
      </c>
      <c r="C24" s="15">
        <v>18684.519614650999</v>
      </c>
      <c r="E24" s="15">
        <v>1995</v>
      </c>
      <c r="F24" s="15">
        <v>11</v>
      </c>
      <c r="G24" s="15">
        <v>18686.506974189699</v>
      </c>
      <c r="I24" s="18">
        <v>1995</v>
      </c>
      <c r="J24" s="18">
        <v>11</v>
      </c>
      <c r="K24" s="18">
        <v>18431.499594406199</v>
      </c>
    </row>
    <row r="25" spans="1:11" x14ac:dyDescent="0.25">
      <c r="A25" s="15">
        <v>1995</v>
      </c>
      <c r="B25" s="15">
        <v>12</v>
      </c>
      <c r="C25" s="15">
        <v>21960.583303994099</v>
      </c>
      <c r="E25" s="15">
        <v>1995</v>
      </c>
      <c r="F25" s="15">
        <v>12</v>
      </c>
      <c r="G25" s="15">
        <v>21962.880511077601</v>
      </c>
      <c r="I25" s="18">
        <v>1995</v>
      </c>
      <c r="J25" s="18">
        <v>12</v>
      </c>
      <c r="K25" s="18">
        <v>21864.501679053101</v>
      </c>
    </row>
    <row r="26" spans="1:11" x14ac:dyDescent="0.25">
      <c r="A26" s="15">
        <v>1996</v>
      </c>
      <c r="B26" s="15">
        <v>1</v>
      </c>
      <c r="C26" s="15">
        <v>21608.389458003501</v>
      </c>
      <c r="E26" s="15">
        <v>1996</v>
      </c>
      <c r="F26" s="15">
        <v>1</v>
      </c>
      <c r="G26" s="15">
        <v>21614.318668506599</v>
      </c>
      <c r="I26" s="18">
        <v>1996</v>
      </c>
      <c r="J26" s="18">
        <v>1</v>
      </c>
      <c r="K26" s="18">
        <v>19327.334582875999</v>
      </c>
    </row>
    <row r="27" spans="1:11" x14ac:dyDescent="0.25">
      <c r="A27" s="15">
        <v>1996</v>
      </c>
      <c r="B27" s="15">
        <v>2</v>
      </c>
      <c r="C27" s="15">
        <v>25070.950698786401</v>
      </c>
      <c r="E27" s="15">
        <v>1996</v>
      </c>
      <c r="F27" s="15">
        <v>2</v>
      </c>
      <c r="G27" s="15">
        <v>25098.940544359</v>
      </c>
      <c r="I27" s="18">
        <v>1996</v>
      </c>
      <c r="J27" s="18">
        <v>2</v>
      </c>
      <c r="K27" s="18">
        <v>22656.263205421299</v>
      </c>
    </row>
    <row r="28" spans="1:11" x14ac:dyDescent="0.25">
      <c r="A28" s="15">
        <v>1996</v>
      </c>
      <c r="B28" s="15">
        <v>3</v>
      </c>
      <c r="C28" s="15">
        <v>23221.784570876898</v>
      </c>
      <c r="E28" s="15">
        <v>1996</v>
      </c>
      <c r="F28" s="15">
        <v>3</v>
      </c>
      <c r="G28" s="15">
        <v>23224.781005427201</v>
      </c>
      <c r="I28" s="18">
        <v>1996</v>
      </c>
      <c r="J28" s="18">
        <v>3</v>
      </c>
      <c r="K28" s="18">
        <v>23556.817816913099</v>
      </c>
    </row>
    <row r="29" spans="1:11" x14ac:dyDescent="0.25">
      <c r="A29" s="15">
        <v>1996</v>
      </c>
      <c r="B29" s="15">
        <v>4</v>
      </c>
      <c r="C29" s="15">
        <v>24418.130845783598</v>
      </c>
      <c r="E29" s="15">
        <v>1996</v>
      </c>
      <c r="F29" s="15">
        <v>4</v>
      </c>
      <c r="G29" s="15">
        <v>24418.479483332201</v>
      </c>
      <c r="I29" s="18">
        <v>1996</v>
      </c>
      <c r="J29" s="18">
        <v>4</v>
      </c>
      <c r="K29" s="18">
        <v>24551.0144080463</v>
      </c>
    </row>
    <row r="30" spans="1:11" x14ac:dyDescent="0.25">
      <c r="A30" s="15">
        <v>1996</v>
      </c>
      <c r="B30" s="15">
        <v>5</v>
      </c>
      <c r="C30" s="15">
        <v>24085.058829388101</v>
      </c>
      <c r="E30" s="15">
        <v>1996</v>
      </c>
      <c r="F30" s="15">
        <v>5</v>
      </c>
      <c r="G30" s="15">
        <v>24083.532141374599</v>
      </c>
      <c r="I30" s="18">
        <v>1996</v>
      </c>
      <c r="J30" s="18">
        <v>5</v>
      </c>
      <c r="K30" s="18">
        <v>24850.316827779901</v>
      </c>
    </row>
    <row r="31" spans="1:11" x14ac:dyDescent="0.25">
      <c r="A31" s="15">
        <v>1996</v>
      </c>
      <c r="B31" s="15">
        <v>6</v>
      </c>
      <c r="C31" s="15">
        <v>26143.3913308585</v>
      </c>
      <c r="E31" s="15">
        <v>1996</v>
      </c>
      <c r="F31" s="15">
        <v>6</v>
      </c>
      <c r="G31" s="15">
        <v>26145.2373521226</v>
      </c>
      <c r="I31" s="18">
        <v>1996</v>
      </c>
      <c r="J31" s="18">
        <v>6</v>
      </c>
      <c r="K31" s="18">
        <v>26300.3426816473</v>
      </c>
    </row>
    <row r="32" spans="1:11" x14ac:dyDescent="0.25">
      <c r="A32" s="15">
        <v>1996</v>
      </c>
      <c r="B32" s="15">
        <v>7</v>
      </c>
      <c r="C32" s="15">
        <v>25408.346574961499</v>
      </c>
      <c r="E32" s="15">
        <v>1996</v>
      </c>
      <c r="F32" s="15">
        <v>7</v>
      </c>
      <c r="G32" s="15">
        <v>25405.602376574701</v>
      </c>
      <c r="I32" s="18">
        <v>1996</v>
      </c>
      <c r="J32" s="18">
        <v>7</v>
      </c>
      <c r="K32" s="18">
        <v>25819.635782761699</v>
      </c>
    </row>
    <row r="33" spans="1:11" x14ac:dyDescent="0.25">
      <c r="A33" s="15">
        <v>1996</v>
      </c>
      <c r="B33" s="15">
        <v>8</v>
      </c>
      <c r="C33" s="15">
        <v>26721.123785518401</v>
      </c>
      <c r="E33" s="15">
        <v>1996</v>
      </c>
      <c r="F33" s="15">
        <v>8</v>
      </c>
      <c r="G33" s="15">
        <v>26719.1860216448</v>
      </c>
      <c r="I33" s="18">
        <v>1996</v>
      </c>
      <c r="J33" s="18">
        <v>8</v>
      </c>
      <c r="K33" s="18">
        <v>26995.230641744402</v>
      </c>
    </row>
    <row r="34" spans="1:11" x14ac:dyDescent="0.25">
      <c r="A34" s="15">
        <v>1996</v>
      </c>
      <c r="B34" s="15">
        <v>9</v>
      </c>
      <c r="C34" s="15">
        <v>23844.175430935102</v>
      </c>
      <c r="E34" s="15">
        <v>1996</v>
      </c>
      <c r="F34" s="15">
        <v>9</v>
      </c>
      <c r="G34" s="15">
        <v>23842.4669742445</v>
      </c>
      <c r="I34" s="18">
        <v>1996</v>
      </c>
      <c r="J34" s="18">
        <v>9</v>
      </c>
      <c r="K34" s="18">
        <v>24276.1300268823</v>
      </c>
    </row>
    <row r="35" spans="1:11" x14ac:dyDescent="0.25">
      <c r="A35" s="15">
        <v>1996</v>
      </c>
      <c r="B35" s="15">
        <v>10</v>
      </c>
      <c r="C35" s="15">
        <v>26318.523451090001</v>
      </c>
      <c r="E35" s="15">
        <v>1996</v>
      </c>
      <c r="F35" s="15">
        <v>10</v>
      </c>
      <c r="G35" s="15">
        <v>26314.131209553401</v>
      </c>
      <c r="I35" s="18">
        <v>1996</v>
      </c>
      <c r="J35" s="18">
        <v>10</v>
      </c>
      <c r="K35" s="18">
        <v>26730.437383910801</v>
      </c>
    </row>
    <row r="36" spans="1:11" x14ac:dyDescent="0.25">
      <c r="A36" s="15">
        <v>1996</v>
      </c>
      <c r="B36" s="15">
        <v>11</v>
      </c>
      <c r="C36" s="15">
        <v>28553.208084188602</v>
      </c>
      <c r="E36" s="15">
        <v>1996</v>
      </c>
      <c r="F36" s="15">
        <v>11</v>
      </c>
      <c r="G36" s="15">
        <v>28555.826067957802</v>
      </c>
      <c r="I36" s="18">
        <v>1996</v>
      </c>
      <c r="J36" s="18">
        <v>11</v>
      </c>
      <c r="K36" s="18">
        <v>28127.733734178801</v>
      </c>
    </row>
    <row r="37" spans="1:11" x14ac:dyDescent="0.25">
      <c r="A37" s="15">
        <v>1996</v>
      </c>
      <c r="B37" s="15">
        <v>12</v>
      </c>
      <c r="C37" s="15">
        <v>27780.878732873</v>
      </c>
      <c r="E37" s="15">
        <v>1996</v>
      </c>
      <c r="F37" s="15">
        <v>12</v>
      </c>
      <c r="G37" s="15">
        <v>27779.175507010001</v>
      </c>
      <c r="I37" s="18">
        <v>1996</v>
      </c>
      <c r="J37" s="18">
        <v>12</v>
      </c>
      <c r="K37" s="18">
        <v>27922.513315521501</v>
      </c>
    </row>
    <row r="38" spans="1:11" x14ac:dyDescent="0.25">
      <c r="A38" s="15">
        <v>1997</v>
      </c>
      <c r="B38" s="15">
        <v>1</v>
      </c>
      <c r="C38" s="15">
        <v>30316.584082667501</v>
      </c>
      <c r="E38" s="15">
        <v>1997</v>
      </c>
      <c r="F38" s="15">
        <v>1</v>
      </c>
      <c r="G38" s="15">
        <v>30322.3832633288</v>
      </c>
      <c r="I38" s="18">
        <v>1997</v>
      </c>
      <c r="J38" s="18">
        <v>1</v>
      </c>
      <c r="K38" s="18">
        <v>27984.785139740401</v>
      </c>
    </row>
    <row r="39" spans="1:11" x14ac:dyDescent="0.25">
      <c r="A39" s="15">
        <v>1997</v>
      </c>
      <c r="B39" s="15">
        <v>2</v>
      </c>
      <c r="C39" s="15">
        <v>29783.183503449902</v>
      </c>
      <c r="E39" s="15">
        <v>1997</v>
      </c>
      <c r="F39" s="15">
        <v>2</v>
      </c>
      <c r="G39" s="15">
        <v>29778.939581413899</v>
      </c>
      <c r="I39" s="18">
        <v>1997</v>
      </c>
      <c r="J39" s="18">
        <v>2</v>
      </c>
      <c r="K39" s="18">
        <v>30487.4361592512</v>
      </c>
    </row>
    <row r="40" spans="1:11" x14ac:dyDescent="0.25">
      <c r="A40" s="15">
        <v>1997</v>
      </c>
      <c r="B40" s="15">
        <v>3</v>
      </c>
      <c r="C40" s="15">
        <v>31266.826704029001</v>
      </c>
      <c r="E40" s="15">
        <v>1997</v>
      </c>
      <c r="F40" s="15">
        <v>3</v>
      </c>
      <c r="G40" s="15">
        <v>31267.611192931701</v>
      </c>
      <c r="I40" s="18">
        <v>1997</v>
      </c>
      <c r="J40" s="18">
        <v>3</v>
      </c>
      <c r="K40" s="18">
        <v>31481.680666797802</v>
      </c>
    </row>
    <row r="41" spans="1:11" x14ac:dyDescent="0.25">
      <c r="A41" s="15">
        <v>1997</v>
      </c>
      <c r="B41" s="15">
        <v>4</v>
      </c>
      <c r="C41" s="15">
        <v>33424.059481946402</v>
      </c>
      <c r="E41" s="15">
        <v>1997</v>
      </c>
      <c r="F41" s="15">
        <v>4</v>
      </c>
      <c r="G41" s="15">
        <v>33422.424107637999</v>
      </c>
      <c r="I41" s="18">
        <v>1997</v>
      </c>
      <c r="J41" s="18">
        <v>4</v>
      </c>
      <c r="K41" s="18">
        <v>33657.514409960102</v>
      </c>
    </row>
    <row r="42" spans="1:11" x14ac:dyDescent="0.25">
      <c r="A42" s="15">
        <v>1997</v>
      </c>
      <c r="B42" s="15">
        <v>5</v>
      </c>
      <c r="C42" s="15">
        <v>34511.587308119299</v>
      </c>
      <c r="E42" s="15">
        <v>1997</v>
      </c>
      <c r="F42" s="15">
        <v>5</v>
      </c>
      <c r="G42" s="15">
        <v>34510.448916908201</v>
      </c>
      <c r="I42" s="18">
        <v>1997</v>
      </c>
      <c r="J42" s="18">
        <v>5</v>
      </c>
      <c r="K42" s="18">
        <v>34914.839811225997</v>
      </c>
    </row>
    <row r="43" spans="1:11" x14ac:dyDescent="0.25">
      <c r="A43" s="15">
        <v>1997</v>
      </c>
      <c r="B43" s="15">
        <v>6</v>
      </c>
      <c r="C43" s="15">
        <v>35496.090419817403</v>
      </c>
      <c r="E43" s="15">
        <v>1997</v>
      </c>
      <c r="F43" s="15">
        <v>6</v>
      </c>
      <c r="G43" s="15">
        <v>35495.329014737399</v>
      </c>
      <c r="I43" s="18">
        <v>1997</v>
      </c>
      <c r="J43" s="18">
        <v>6</v>
      </c>
      <c r="K43" s="18">
        <v>35720.7610678091</v>
      </c>
    </row>
    <row r="44" spans="1:11" x14ac:dyDescent="0.25">
      <c r="A44" s="15">
        <v>1997</v>
      </c>
      <c r="B44" s="15">
        <v>7</v>
      </c>
      <c r="C44" s="15">
        <v>37058.324771455802</v>
      </c>
      <c r="E44" s="15">
        <v>1997</v>
      </c>
      <c r="F44" s="15">
        <v>7</v>
      </c>
      <c r="G44" s="15">
        <v>37055.197614075798</v>
      </c>
      <c r="I44" s="18">
        <v>1997</v>
      </c>
      <c r="J44" s="18">
        <v>7</v>
      </c>
      <c r="K44" s="18">
        <v>37409.528545847497</v>
      </c>
    </row>
    <row r="45" spans="1:11" x14ac:dyDescent="0.25">
      <c r="A45" s="15">
        <v>1997</v>
      </c>
      <c r="B45" s="15">
        <v>8</v>
      </c>
      <c r="C45" s="15">
        <v>37552.537486997899</v>
      </c>
      <c r="E45" s="15">
        <v>1997</v>
      </c>
      <c r="F45" s="15">
        <v>8</v>
      </c>
      <c r="G45" s="15">
        <v>37551.674027702</v>
      </c>
      <c r="I45" s="18">
        <v>1997</v>
      </c>
      <c r="J45" s="18">
        <v>8</v>
      </c>
      <c r="K45" s="18">
        <v>37652.4141393381</v>
      </c>
    </row>
    <row r="46" spans="1:11" x14ac:dyDescent="0.25">
      <c r="A46" s="15">
        <v>1997</v>
      </c>
      <c r="B46" s="15">
        <v>9</v>
      </c>
      <c r="C46" s="15">
        <v>39091.2937447718</v>
      </c>
      <c r="E46" s="15">
        <v>1997</v>
      </c>
      <c r="F46" s="15">
        <v>9</v>
      </c>
      <c r="G46" s="15">
        <v>39086.9410263475</v>
      </c>
      <c r="I46" s="18">
        <v>1997</v>
      </c>
      <c r="J46" s="18">
        <v>9</v>
      </c>
      <c r="K46" s="18">
        <v>39761.355105177099</v>
      </c>
    </row>
    <row r="47" spans="1:11" x14ac:dyDescent="0.25">
      <c r="A47" s="15">
        <v>1997</v>
      </c>
      <c r="B47" s="15">
        <v>10</v>
      </c>
      <c r="C47" s="15">
        <v>46856.699261907001</v>
      </c>
      <c r="E47" s="15">
        <v>1997</v>
      </c>
      <c r="F47" s="15">
        <v>10</v>
      </c>
      <c r="G47" s="15">
        <v>46851.2240982187</v>
      </c>
      <c r="I47" s="18">
        <v>1997</v>
      </c>
      <c r="J47" s="18">
        <v>10</v>
      </c>
      <c r="K47" s="18">
        <v>47227.379817165398</v>
      </c>
    </row>
    <row r="48" spans="1:11" x14ac:dyDescent="0.25">
      <c r="A48" s="15">
        <v>1997</v>
      </c>
      <c r="B48" s="15">
        <v>11</v>
      </c>
      <c r="C48" s="15">
        <v>42623.626518107798</v>
      </c>
      <c r="E48" s="15">
        <v>1997</v>
      </c>
      <c r="F48" s="15">
        <v>11</v>
      </c>
      <c r="G48" s="15">
        <v>42626.103859218398</v>
      </c>
      <c r="I48" s="18">
        <v>1997</v>
      </c>
      <c r="J48" s="18">
        <v>11</v>
      </c>
      <c r="K48" s="18">
        <v>42050.656580734503</v>
      </c>
    </row>
    <row r="49" spans="1:11" x14ac:dyDescent="0.25">
      <c r="A49" s="15">
        <v>1997</v>
      </c>
      <c r="B49" s="15">
        <v>12</v>
      </c>
      <c r="C49" s="15">
        <v>26341.308605894701</v>
      </c>
      <c r="E49" s="15">
        <v>1997</v>
      </c>
      <c r="F49" s="15">
        <v>12</v>
      </c>
      <c r="G49" s="15">
        <v>26335.841943063901</v>
      </c>
      <c r="I49" s="18">
        <v>1997</v>
      </c>
      <c r="J49" s="18">
        <v>12</v>
      </c>
      <c r="K49" s="18">
        <v>26857.887423837601</v>
      </c>
    </row>
    <row r="50" spans="1:11" x14ac:dyDescent="0.25">
      <c r="A50" s="15">
        <v>1998</v>
      </c>
      <c r="B50" s="15">
        <v>1</v>
      </c>
      <c r="C50" s="15">
        <v>34616.6059526479</v>
      </c>
      <c r="E50" s="15">
        <v>1998</v>
      </c>
      <c r="F50" s="15">
        <v>1</v>
      </c>
      <c r="G50" s="15">
        <v>34623.973982824296</v>
      </c>
      <c r="I50" s="18">
        <v>1998</v>
      </c>
      <c r="J50" s="18">
        <v>1</v>
      </c>
      <c r="K50" s="18">
        <v>32117.353731309799</v>
      </c>
    </row>
    <row r="51" spans="1:11" x14ac:dyDescent="0.25">
      <c r="A51" s="15">
        <v>1998</v>
      </c>
      <c r="B51" s="15">
        <v>2</v>
      </c>
      <c r="C51" s="15">
        <v>37689.402208084502</v>
      </c>
      <c r="E51" s="15">
        <v>1998</v>
      </c>
      <c r="F51" s="15">
        <v>2</v>
      </c>
      <c r="G51" s="15">
        <v>37699.580068189804</v>
      </c>
      <c r="I51" s="18">
        <v>1998</v>
      </c>
      <c r="J51" s="18">
        <v>2</v>
      </c>
      <c r="K51" s="18">
        <v>38505.1934912004</v>
      </c>
    </row>
    <row r="52" spans="1:11" x14ac:dyDescent="0.25">
      <c r="A52" s="15">
        <v>1998</v>
      </c>
      <c r="B52" s="15">
        <v>3</v>
      </c>
      <c r="C52" s="15">
        <v>39230.018131008299</v>
      </c>
      <c r="E52" s="15">
        <v>1998</v>
      </c>
      <c r="F52" s="15">
        <v>3</v>
      </c>
      <c r="G52" s="15">
        <v>39226.546302214301</v>
      </c>
      <c r="I52" s="18">
        <v>1998</v>
      </c>
      <c r="J52" s="18">
        <v>3</v>
      </c>
      <c r="K52" s="18">
        <v>39458.297006821398</v>
      </c>
    </row>
    <row r="53" spans="1:11" x14ac:dyDescent="0.25">
      <c r="A53" s="15">
        <v>1998</v>
      </c>
      <c r="B53" s="15">
        <v>4</v>
      </c>
      <c r="C53" s="15">
        <v>40105.368967091599</v>
      </c>
      <c r="E53" s="15">
        <v>1998</v>
      </c>
      <c r="F53" s="15">
        <v>4</v>
      </c>
      <c r="G53" s="15">
        <v>40101.360023033201</v>
      </c>
      <c r="I53" s="18">
        <v>1998</v>
      </c>
      <c r="J53" s="18">
        <v>4</v>
      </c>
      <c r="K53" s="18">
        <v>40424.693160301402</v>
      </c>
    </row>
    <row r="54" spans="1:11" x14ac:dyDescent="0.25">
      <c r="A54" s="15">
        <v>1998</v>
      </c>
      <c r="B54" s="15">
        <v>5</v>
      </c>
      <c r="C54" s="15">
        <v>39621.004503797798</v>
      </c>
      <c r="E54" s="15">
        <v>1998</v>
      </c>
      <c r="F54" s="15">
        <v>5</v>
      </c>
      <c r="G54" s="15">
        <v>39620.2445496082</v>
      </c>
      <c r="I54" s="18">
        <v>1998</v>
      </c>
      <c r="J54" s="18">
        <v>5</v>
      </c>
      <c r="K54" s="18">
        <v>39703.8202540087</v>
      </c>
    </row>
    <row r="55" spans="1:11" x14ac:dyDescent="0.25">
      <c r="A55" s="15">
        <v>1998</v>
      </c>
      <c r="B55" s="15">
        <v>6</v>
      </c>
      <c r="C55" s="15">
        <v>41146.906094480699</v>
      </c>
      <c r="E55" s="15">
        <v>1998</v>
      </c>
      <c r="F55" s="15">
        <v>6</v>
      </c>
      <c r="G55" s="15">
        <v>41143.489314446102</v>
      </c>
      <c r="I55" s="18">
        <v>1998</v>
      </c>
      <c r="J55" s="18">
        <v>6</v>
      </c>
      <c r="K55" s="18">
        <v>41485.174186492797</v>
      </c>
    </row>
    <row r="56" spans="1:11" x14ac:dyDescent="0.25">
      <c r="A56" s="15">
        <v>1998</v>
      </c>
      <c r="B56" s="15">
        <v>7</v>
      </c>
      <c r="C56" s="15">
        <v>39163.537041550997</v>
      </c>
      <c r="E56" s="15">
        <v>1998</v>
      </c>
      <c r="F56" s="15">
        <v>7</v>
      </c>
      <c r="G56" s="15">
        <v>39159.838450755597</v>
      </c>
      <c r="I56" s="18">
        <v>1998</v>
      </c>
      <c r="J56" s="18">
        <v>7</v>
      </c>
      <c r="K56" s="18">
        <v>39540.270253964401</v>
      </c>
    </row>
    <row r="57" spans="1:11" x14ac:dyDescent="0.25">
      <c r="A57" s="15">
        <v>1998</v>
      </c>
      <c r="B57" s="15">
        <v>8</v>
      </c>
      <c r="C57" s="15">
        <v>44666.293578942103</v>
      </c>
      <c r="E57" s="15">
        <v>1998</v>
      </c>
      <c r="F57" s="15">
        <v>8</v>
      </c>
      <c r="G57" s="15">
        <v>44664.130396795998</v>
      </c>
      <c r="I57" s="18">
        <v>1998</v>
      </c>
      <c r="J57" s="18">
        <v>8</v>
      </c>
      <c r="K57" s="18">
        <v>44663.156635790299</v>
      </c>
    </row>
    <row r="58" spans="1:11" x14ac:dyDescent="0.25">
      <c r="A58" s="15">
        <v>1998</v>
      </c>
      <c r="B58" s="15">
        <v>9</v>
      </c>
      <c r="C58" s="15">
        <v>39507.388652230497</v>
      </c>
      <c r="E58" s="15">
        <v>1998</v>
      </c>
      <c r="F58" s="15">
        <v>9</v>
      </c>
      <c r="G58" s="15">
        <v>39502.531592846302</v>
      </c>
      <c r="I58" s="18">
        <v>1998</v>
      </c>
      <c r="J58" s="18">
        <v>9</v>
      </c>
      <c r="K58" s="18">
        <v>40234.205095109202</v>
      </c>
    </row>
    <row r="59" spans="1:11" x14ac:dyDescent="0.25">
      <c r="A59" s="15">
        <v>1998</v>
      </c>
      <c r="B59" s="15">
        <v>10</v>
      </c>
      <c r="C59" s="15">
        <v>34305.091007386203</v>
      </c>
      <c r="E59" s="15">
        <v>1998</v>
      </c>
      <c r="F59" s="15">
        <v>10</v>
      </c>
      <c r="G59" s="15">
        <v>34300.8457335114</v>
      </c>
      <c r="I59" s="18">
        <v>1998</v>
      </c>
      <c r="J59" s="18">
        <v>10</v>
      </c>
      <c r="K59" s="18">
        <v>34548.855096560103</v>
      </c>
    </row>
    <row r="60" spans="1:11" x14ac:dyDescent="0.25">
      <c r="A60" s="15">
        <v>1998</v>
      </c>
      <c r="B60" s="15">
        <v>11</v>
      </c>
      <c r="C60" s="15">
        <v>28983.738455854102</v>
      </c>
      <c r="E60" s="15">
        <v>1998</v>
      </c>
      <c r="F60" s="15">
        <v>11</v>
      </c>
      <c r="G60" s="15">
        <v>28983.118895940901</v>
      </c>
      <c r="I60" s="18">
        <v>1998</v>
      </c>
      <c r="J60" s="18">
        <v>11</v>
      </c>
      <c r="K60" s="18">
        <v>28602.165429017099</v>
      </c>
    </row>
    <row r="61" spans="1:11" x14ac:dyDescent="0.25">
      <c r="A61" s="15">
        <v>1998</v>
      </c>
      <c r="B61" s="15">
        <v>12</v>
      </c>
      <c r="C61" s="15">
        <v>15343.033591760601</v>
      </c>
      <c r="E61" s="15">
        <v>1998</v>
      </c>
      <c r="F61" s="15">
        <v>12</v>
      </c>
      <c r="G61" s="15">
        <v>15335.7179335281</v>
      </c>
      <c r="I61" s="18">
        <v>1998</v>
      </c>
      <c r="J61" s="18">
        <v>12</v>
      </c>
      <c r="K61" s="18">
        <v>16136.366553603901</v>
      </c>
    </row>
    <row r="62" spans="1:11" x14ac:dyDescent="0.25">
      <c r="A62" s="15">
        <v>1999</v>
      </c>
      <c r="B62" s="15">
        <v>1</v>
      </c>
      <c r="C62" s="15">
        <v>27624.387690503401</v>
      </c>
      <c r="E62" s="15">
        <v>1999</v>
      </c>
      <c r="F62" s="15">
        <v>1</v>
      </c>
      <c r="G62" s="15">
        <v>27632.893220860198</v>
      </c>
      <c r="I62" s="18">
        <v>1999</v>
      </c>
      <c r="J62" s="18">
        <v>1</v>
      </c>
      <c r="K62" s="18">
        <v>24617.118801173001</v>
      </c>
    </row>
    <row r="63" spans="1:11" x14ac:dyDescent="0.25">
      <c r="A63" s="15">
        <v>1999</v>
      </c>
      <c r="B63" s="15">
        <v>2</v>
      </c>
      <c r="C63" s="15">
        <v>20762.024560814101</v>
      </c>
      <c r="E63" s="15">
        <v>1999</v>
      </c>
      <c r="F63" s="15">
        <v>2</v>
      </c>
      <c r="G63" s="15">
        <v>20785.226571040301</v>
      </c>
      <c r="I63" s="18">
        <v>1999</v>
      </c>
      <c r="J63" s="18">
        <v>2</v>
      </c>
      <c r="K63" s="18">
        <v>21602.280705675901</v>
      </c>
    </row>
    <row r="64" spans="1:11" x14ac:dyDescent="0.25">
      <c r="A64" s="15">
        <v>1999</v>
      </c>
      <c r="B64" s="15">
        <v>3</v>
      </c>
      <c r="C64" s="15">
        <v>18046.1306319453</v>
      </c>
      <c r="E64" s="15">
        <v>1999</v>
      </c>
      <c r="F64" s="15">
        <v>3</v>
      </c>
      <c r="G64" s="15">
        <v>18038.236262025199</v>
      </c>
      <c r="I64" s="18">
        <v>1999</v>
      </c>
      <c r="J64" s="18">
        <v>3</v>
      </c>
      <c r="K64" s="18">
        <v>18472.264348894201</v>
      </c>
    </row>
    <row r="65" spans="1:11" x14ac:dyDescent="0.25">
      <c r="A65" s="15">
        <v>1999</v>
      </c>
      <c r="B65" s="15">
        <v>4</v>
      </c>
      <c r="C65" s="15">
        <v>18642.089562739999</v>
      </c>
      <c r="E65" s="15">
        <v>1999</v>
      </c>
      <c r="F65" s="15">
        <v>4</v>
      </c>
      <c r="G65" s="15">
        <v>18635.862916583701</v>
      </c>
      <c r="I65" s="18">
        <v>1999</v>
      </c>
      <c r="J65" s="18">
        <v>4</v>
      </c>
      <c r="K65" s="18">
        <v>19014.7366256979</v>
      </c>
    </row>
    <row r="66" spans="1:11" x14ac:dyDescent="0.25">
      <c r="A66" s="15">
        <v>1999</v>
      </c>
      <c r="B66" s="15">
        <v>5</v>
      </c>
      <c r="C66" s="15">
        <v>21853.531798893298</v>
      </c>
      <c r="E66" s="15">
        <v>1999</v>
      </c>
      <c r="F66" s="15">
        <v>5</v>
      </c>
      <c r="G66" s="15">
        <v>21851.510527230199</v>
      </c>
      <c r="I66" s="18">
        <v>1999</v>
      </c>
      <c r="J66" s="18">
        <v>5</v>
      </c>
      <c r="K66" s="18">
        <v>21956.1302204163</v>
      </c>
    </row>
    <row r="67" spans="1:11" x14ac:dyDescent="0.25">
      <c r="A67" s="15">
        <v>1999</v>
      </c>
      <c r="B67" s="15">
        <v>6</v>
      </c>
      <c r="C67" s="15">
        <v>21591.239228119299</v>
      </c>
      <c r="E67" s="15">
        <v>1999</v>
      </c>
      <c r="F67" s="15">
        <v>6</v>
      </c>
      <c r="G67" s="15">
        <v>21587.016119764601</v>
      </c>
      <c r="I67" s="18">
        <v>1999</v>
      </c>
      <c r="J67" s="18">
        <v>6</v>
      </c>
      <c r="K67" s="18">
        <v>21945.840868212301</v>
      </c>
    </row>
    <row r="68" spans="1:11" x14ac:dyDescent="0.25">
      <c r="A68" s="15">
        <v>1999</v>
      </c>
      <c r="B68" s="15">
        <v>7</v>
      </c>
      <c r="C68" s="15">
        <v>22443.148876883999</v>
      </c>
      <c r="E68" s="15">
        <v>1999</v>
      </c>
      <c r="F68" s="15">
        <v>7</v>
      </c>
      <c r="G68" s="15">
        <v>22440.7135694014</v>
      </c>
      <c r="I68" s="18">
        <v>1999</v>
      </c>
      <c r="J68" s="18">
        <v>7</v>
      </c>
      <c r="K68" s="18">
        <v>22669.6112365587</v>
      </c>
    </row>
    <row r="69" spans="1:11" x14ac:dyDescent="0.25">
      <c r="A69" s="15">
        <v>1999</v>
      </c>
      <c r="B69" s="15">
        <v>8</v>
      </c>
      <c r="C69" s="15">
        <v>25381.910034239801</v>
      </c>
      <c r="E69" s="15">
        <v>1999</v>
      </c>
      <c r="F69" s="15">
        <v>8</v>
      </c>
      <c r="G69" s="15">
        <v>25377.129012093901</v>
      </c>
      <c r="I69" s="18">
        <v>1999</v>
      </c>
      <c r="J69" s="18">
        <v>8</v>
      </c>
      <c r="K69" s="18">
        <v>25359.7461338211</v>
      </c>
    </row>
    <row r="70" spans="1:11" x14ac:dyDescent="0.25">
      <c r="A70" s="15">
        <v>1999</v>
      </c>
      <c r="B70" s="15">
        <v>9</v>
      </c>
      <c r="C70" s="15">
        <v>24281.778176861299</v>
      </c>
      <c r="E70" s="15">
        <v>1999</v>
      </c>
      <c r="F70" s="15">
        <v>9</v>
      </c>
      <c r="G70" s="15">
        <v>24276.973927293599</v>
      </c>
      <c r="I70" s="18">
        <v>1999</v>
      </c>
      <c r="J70" s="18">
        <v>9</v>
      </c>
      <c r="K70" s="18">
        <v>25007.150065262002</v>
      </c>
    </row>
    <row r="71" spans="1:11" x14ac:dyDescent="0.25">
      <c r="A71" s="15">
        <v>1999</v>
      </c>
      <c r="B71" s="15">
        <v>10</v>
      </c>
      <c r="C71" s="15">
        <v>28724.3541712265</v>
      </c>
      <c r="E71" s="15">
        <v>1999</v>
      </c>
      <c r="F71" s="15">
        <v>10</v>
      </c>
      <c r="G71" s="15">
        <v>28722.2630485995</v>
      </c>
      <c r="I71" s="18">
        <v>1999</v>
      </c>
      <c r="J71" s="18">
        <v>10</v>
      </c>
      <c r="K71" s="18">
        <v>28768.370101007898</v>
      </c>
    </row>
    <row r="72" spans="1:11" x14ac:dyDescent="0.25">
      <c r="A72" s="15">
        <v>1999</v>
      </c>
      <c r="B72" s="15">
        <v>11</v>
      </c>
      <c r="C72" s="15">
        <v>29348.663139907901</v>
      </c>
      <c r="E72" s="15">
        <v>1999</v>
      </c>
      <c r="F72" s="15">
        <v>11</v>
      </c>
      <c r="G72" s="15">
        <v>29345.013926839401</v>
      </c>
      <c r="I72" s="18">
        <v>1999</v>
      </c>
      <c r="J72" s="18">
        <v>11</v>
      </c>
      <c r="K72" s="18">
        <v>29279.234957579902</v>
      </c>
    </row>
    <row r="73" spans="1:11" x14ac:dyDescent="0.25">
      <c r="A73" s="15">
        <v>1999</v>
      </c>
      <c r="B73" s="15">
        <v>12</v>
      </c>
      <c r="C73" s="15">
        <v>32374.5826176501</v>
      </c>
      <c r="E73" s="15">
        <v>1999</v>
      </c>
      <c r="F73" s="15">
        <v>12</v>
      </c>
      <c r="G73" s="15">
        <v>32367.209304435299</v>
      </c>
      <c r="I73" s="18">
        <v>1999</v>
      </c>
      <c r="J73" s="18">
        <v>12</v>
      </c>
      <c r="K73" s="18">
        <v>33430.471923623598</v>
      </c>
    </row>
    <row r="74" spans="1:11" x14ac:dyDescent="0.25">
      <c r="A74" s="15">
        <v>2000</v>
      </c>
      <c r="B74" s="15">
        <v>1</v>
      </c>
      <c r="C74" s="15">
        <v>38018.561463152502</v>
      </c>
      <c r="E74" s="15">
        <v>2000</v>
      </c>
      <c r="F74" s="15">
        <v>1</v>
      </c>
      <c r="G74" s="15">
        <v>38027.842959211397</v>
      </c>
      <c r="I74" s="18">
        <v>2000</v>
      </c>
      <c r="J74" s="18">
        <v>1</v>
      </c>
      <c r="K74" s="18">
        <v>34680.007683689102</v>
      </c>
    </row>
    <row r="75" spans="1:11" x14ac:dyDescent="0.25">
      <c r="A75" s="15">
        <v>2000</v>
      </c>
      <c r="B75" s="15">
        <v>2</v>
      </c>
      <c r="C75" s="15">
        <v>26947.517213094499</v>
      </c>
      <c r="E75" s="15">
        <v>2000</v>
      </c>
      <c r="F75" s="15">
        <v>2</v>
      </c>
      <c r="G75" s="15">
        <v>27018.680409286699</v>
      </c>
      <c r="I75" s="18">
        <v>2000</v>
      </c>
      <c r="J75" s="18">
        <v>2</v>
      </c>
      <c r="K75" s="18">
        <v>24893.763045615498</v>
      </c>
    </row>
    <row r="76" spans="1:11" x14ac:dyDescent="0.25">
      <c r="A76" s="15">
        <v>2000</v>
      </c>
      <c r="B76" s="15">
        <v>3</v>
      </c>
      <c r="C76" s="15">
        <v>30664.298202580299</v>
      </c>
      <c r="E76" s="15">
        <v>2000</v>
      </c>
      <c r="F76" s="15">
        <v>3</v>
      </c>
      <c r="G76" s="15">
        <v>30655.9334175761</v>
      </c>
      <c r="I76" s="18">
        <v>2000</v>
      </c>
      <c r="J76" s="18">
        <v>3</v>
      </c>
      <c r="K76" s="18">
        <v>31126.6212358136</v>
      </c>
    </row>
    <row r="77" spans="1:11" x14ac:dyDescent="0.25">
      <c r="A77" s="15">
        <v>2000</v>
      </c>
      <c r="B77" s="15">
        <v>4</v>
      </c>
      <c r="C77" s="15">
        <v>28588.474456038199</v>
      </c>
      <c r="E77" s="15">
        <v>2000</v>
      </c>
      <c r="F77" s="15">
        <v>4</v>
      </c>
      <c r="G77" s="15">
        <v>28585.4070061477</v>
      </c>
      <c r="I77" s="18">
        <v>2000</v>
      </c>
      <c r="J77" s="18">
        <v>4</v>
      </c>
      <c r="K77" s="18">
        <v>28685.710950140001</v>
      </c>
    </row>
    <row r="78" spans="1:11" x14ac:dyDescent="0.25">
      <c r="A78" s="15">
        <v>2000</v>
      </c>
      <c r="B78" s="15">
        <v>5</v>
      </c>
      <c r="C78" s="15">
        <v>25318.404791981498</v>
      </c>
      <c r="E78" s="15">
        <v>2000</v>
      </c>
      <c r="F78" s="15">
        <v>5</v>
      </c>
      <c r="G78" s="15">
        <v>25312.274341504999</v>
      </c>
      <c r="I78" s="18">
        <v>2000</v>
      </c>
      <c r="J78" s="18">
        <v>5</v>
      </c>
      <c r="K78" s="18">
        <v>25775.646963259402</v>
      </c>
    </row>
    <row r="79" spans="1:11" x14ac:dyDescent="0.25">
      <c r="A79" s="15">
        <v>2000</v>
      </c>
      <c r="B79" s="15">
        <v>6</v>
      </c>
      <c r="C79" s="15">
        <v>24503.403937364699</v>
      </c>
      <c r="E79" s="15">
        <v>2000</v>
      </c>
      <c r="F79" s="15">
        <v>6</v>
      </c>
      <c r="G79" s="15">
        <v>24498.5782690007</v>
      </c>
      <c r="I79" s="18">
        <v>2000</v>
      </c>
      <c r="J79" s="18">
        <v>6</v>
      </c>
      <c r="K79" s="18">
        <v>24914.454965179899</v>
      </c>
    </row>
    <row r="80" spans="1:11" x14ac:dyDescent="0.25">
      <c r="A80" s="15">
        <v>2000</v>
      </c>
      <c r="B80" s="15">
        <v>7</v>
      </c>
      <c r="C80" s="15">
        <v>26309.1755642186</v>
      </c>
      <c r="E80" s="15">
        <v>2000</v>
      </c>
      <c r="F80" s="15">
        <v>7</v>
      </c>
      <c r="G80" s="15">
        <v>26308.7486113058</v>
      </c>
      <c r="I80" s="18">
        <v>2000</v>
      </c>
      <c r="J80" s="18">
        <v>7</v>
      </c>
      <c r="K80" s="18">
        <v>26356.013873262102</v>
      </c>
    </row>
    <row r="81" spans="1:11" x14ac:dyDescent="0.25">
      <c r="A81" s="15">
        <v>2000</v>
      </c>
      <c r="B81" s="15">
        <v>8</v>
      </c>
      <c r="C81" s="15">
        <v>24617.533326077701</v>
      </c>
      <c r="E81" s="15">
        <v>2000</v>
      </c>
      <c r="F81" s="15">
        <v>8</v>
      </c>
      <c r="G81" s="15">
        <v>24610.360469806899</v>
      </c>
      <c r="I81" s="18">
        <v>2000</v>
      </c>
      <c r="J81" s="18">
        <v>8</v>
      </c>
      <c r="K81" s="18">
        <v>24626.536003602101</v>
      </c>
    </row>
    <row r="82" spans="1:11" x14ac:dyDescent="0.25">
      <c r="A82" s="15">
        <v>2000</v>
      </c>
      <c r="B82" s="15">
        <v>9</v>
      </c>
      <c r="C82" s="15">
        <v>26542.167916748</v>
      </c>
      <c r="E82" s="15">
        <v>2000</v>
      </c>
      <c r="F82" s="15">
        <v>9</v>
      </c>
      <c r="G82" s="15">
        <v>26539.808825880798</v>
      </c>
      <c r="I82" s="18">
        <v>2000</v>
      </c>
      <c r="J82" s="18">
        <v>9</v>
      </c>
      <c r="K82" s="18">
        <v>27032.784713311699</v>
      </c>
    </row>
    <row r="83" spans="1:11" x14ac:dyDescent="0.25">
      <c r="A83" s="15">
        <v>2000</v>
      </c>
      <c r="B83" s="15">
        <v>10</v>
      </c>
      <c r="C83" s="15">
        <v>25043.483939992399</v>
      </c>
      <c r="E83" s="15">
        <v>2000</v>
      </c>
      <c r="F83" s="15">
        <v>10</v>
      </c>
      <c r="G83" s="15">
        <v>25040.679675192801</v>
      </c>
      <c r="I83" s="18">
        <v>2000</v>
      </c>
      <c r="J83" s="18">
        <v>10</v>
      </c>
      <c r="K83" s="18">
        <v>25271.1601367195</v>
      </c>
    </row>
    <row r="84" spans="1:11" x14ac:dyDescent="0.25">
      <c r="A84" s="15">
        <v>2000</v>
      </c>
      <c r="B84" s="15">
        <v>11</v>
      </c>
      <c r="C84" s="15">
        <v>24995.5922893963</v>
      </c>
      <c r="E84" s="15">
        <v>2000</v>
      </c>
      <c r="F84" s="15">
        <v>11</v>
      </c>
      <c r="G84" s="15">
        <v>24991.839764079701</v>
      </c>
      <c r="I84" s="18">
        <v>2000</v>
      </c>
      <c r="J84" s="18">
        <v>11</v>
      </c>
      <c r="K84" s="18">
        <v>25147.390000387699</v>
      </c>
    </row>
    <row r="85" spans="1:11" x14ac:dyDescent="0.25">
      <c r="A85" s="15">
        <v>2000</v>
      </c>
      <c r="B85" s="15">
        <v>12</v>
      </c>
      <c r="C85" s="15">
        <v>27620.319277143401</v>
      </c>
      <c r="E85" s="15">
        <v>2000</v>
      </c>
      <c r="F85" s="15">
        <v>12</v>
      </c>
      <c r="G85" s="15">
        <v>27616.872269924399</v>
      </c>
      <c r="I85" s="18">
        <v>2000</v>
      </c>
      <c r="J85" s="18">
        <v>12</v>
      </c>
      <c r="K85" s="18">
        <v>28426.990040356999</v>
      </c>
    </row>
    <row r="86" spans="1:11" x14ac:dyDescent="0.25">
      <c r="A86" s="15">
        <v>2001</v>
      </c>
      <c r="B86" s="15">
        <v>1</v>
      </c>
      <c r="C86" s="15">
        <v>24612.0005935267</v>
      </c>
      <c r="E86" s="15">
        <v>2001</v>
      </c>
      <c r="F86" s="15">
        <v>1</v>
      </c>
      <c r="G86" s="15">
        <v>24616.814440853999</v>
      </c>
      <c r="I86" s="18">
        <v>2001</v>
      </c>
      <c r="J86" s="18">
        <v>1</v>
      </c>
      <c r="K86" s="18">
        <v>21124.107905757301</v>
      </c>
    </row>
    <row r="87" spans="1:11" x14ac:dyDescent="0.25">
      <c r="A87" s="15">
        <v>2001</v>
      </c>
      <c r="B87" s="15">
        <v>2</v>
      </c>
      <c r="C87" s="15">
        <v>19274.859027923801</v>
      </c>
      <c r="E87" s="15">
        <v>2001</v>
      </c>
      <c r="F87" s="15">
        <v>2</v>
      </c>
      <c r="G87" s="15">
        <v>19298.628572254202</v>
      </c>
      <c r="I87" s="18">
        <v>2001</v>
      </c>
      <c r="J87" s="18">
        <v>2</v>
      </c>
      <c r="K87" s="18">
        <v>20340.7961194255</v>
      </c>
    </row>
    <row r="88" spans="1:11" x14ac:dyDescent="0.25">
      <c r="A88" s="15">
        <v>2001</v>
      </c>
      <c r="B88" s="15">
        <v>3</v>
      </c>
      <c r="C88" s="15">
        <v>23731.055231634899</v>
      </c>
      <c r="E88" s="15">
        <v>2001</v>
      </c>
      <c r="F88" s="15">
        <v>3</v>
      </c>
      <c r="G88" s="15">
        <v>23725.0505502288</v>
      </c>
      <c r="I88" s="18">
        <v>2001</v>
      </c>
      <c r="J88" s="18">
        <v>3</v>
      </c>
      <c r="K88" s="18">
        <v>24073.067545189198</v>
      </c>
    </row>
    <row r="89" spans="1:11" x14ac:dyDescent="0.25">
      <c r="A89" s="15">
        <v>2001</v>
      </c>
      <c r="B89" s="15">
        <v>4</v>
      </c>
      <c r="C89" s="15">
        <v>24375.407581475902</v>
      </c>
      <c r="E89" s="15">
        <v>2001</v>
      </c>
      <c r="F89" s="15">
        <v>4</v>
      </c>
      <c r="G89" s="15">
        <v>24370.7409501535</v>
      </c>
      <c r="I89" s="18">
        <v>2001</v>
      </c>
      <c r="J89" s="18">
        <v>4</v>
      </c>
      <c r="K89" s="18">
        <v>24671.4787490493</v>
      </c>
    </row>
    <row r="90" spans="1:11" x14ac:dyDescent="0.25">
      <c r="A90" s="15">
        <v>2001</v>
      </c>
      <c r="B90" s="15">
        <v>5</v>
      </c>
      <c r="C90" s="15">
        <v>23883.207074048601</v>
      </c>
      <c r="E90" s="15">
        <v>2001</v>
      </c>
      <c r="F90" s="15">
        <v>5</v>
      </c>
      <c r="G90" s="15">
        <v>23877.420410805102</v>
      </c>
      <c r="I90" s="18">
        <v>2001</v>
      </c>
      <c r="J90" s="18">
        <v>5</v>
      </c>
      <c r="K90" s="18">
        <v>24347.641342584298</v>
      </c>
    </row>
    <row r="91" spans="1:11" x14ac:dyDescent="0.25">
      <c r="A91" s="15">
        <v>2001</v>
      </c>
      <c r="B91" s="15">
        <v>6</v>
      </c>
      <c r="C91" s="15">
        <v>23044.011165833599</v>
      </c>
      <c r="E91" s="15">
        <v>2001</v>
      </c>
      <c r="F91" s="15">
        <v>6</v>
      </c>
      <c r="G91" s="15">
        <v>23040.796032054899</v>
      </c>
      <c r="I91" s="18">
        <v>2001</v>
      </c>
      <c r="J91" s="18">
        <v>6</v>
      </c>
      <c r="K91" s="18">
        <v>23340.563825285299</v>
      </c>
    </row>
    <row r="92" spans="1:11" x14ac:dyDescent="0.25">
      <c r="A92" s="15">
        <v>2001</v>
      </c>
      <c r="B92" s="15">
        <v>7</v>
      </c>
      <c r="C92" s="15">
        <v>20871.218348611001</v>
      </c>
      <c r="E92" s="15">
        <v>2001</v>
      </c>
      <c r="F92" s="15">
        <v>7</v>
      </c>
      <c r="G92" s="15">
        <v>20869.304347385201</v>
      </c>
      <c r="I92" s="18">
        <v>2001</v>
      </c>
      <c r="J92" s="18">
        <v>7</v>
      </c>
      <c r="K92" s="18">
        <v>21035.3636638932</v>
      </c>
    </row>
    <row r="93" spans="1:11" x14ac:dyDescent="0.25">
      <c r="A93" s="15">
        <v>2001</v>
      </c>
      <c r="B93" s="15">
        <v>8</v>
      </c>
      <c r="C93" s="15">
        <v>14056.847280329301</v>
      </c>
      <c r="E93" s="15">
        <v>2001</v>
      </c>
      <c r="F93" s="15">
        <v>8</v>
      </c>
      <c r="G93" s="15">
        <v>14050.1023372533</v>
      </c>
      <c r="I93" s="18">
        <v>2001</v>
      </c>
      <c r="J93" s="18">
        <v>8</v>
      </c>
      <c r="K93" s="18">
        <v>14064.4679370505</v>
      </c>
    </row>
    <row r="94" spans="1:11" x14ac:dyDescent="0.25">
      <c r="A94" s="15">
        <v>2001</v>
      </c>
      <c r="B94" s="15">
        <v>9</v>
      </c>
      <c r="C94" s="15">
        <v>15018.533105483801</v>
      </c>
      <c r="E94" s="15">
        <v>2001</v>
      </c>
      <c r="F94" s="15">
        <v>9</v>
      </c>
      <c r="G94" s="15">
        <v>15018.897490927</v>
      </c>
      <c r="I94" s="18">
        <v>2001</v>
      </c>
      <c r="J94" s="18">
        <v>9</v>
      </c>
      <c r="K94" s="18">
        <v>15226.5177928843</v>
      </c>
    </row>
    <row r="95" spans="1:11" x14ac:dyDescent="0.25">
      <c r="A95" s="15">
        <v>2001</v>
      </c>
      <c r="B95" s="15">
        <v>10</v>
      </c>
      <c r="C95" s="15">
        <v>13946.766587329899</v>
      </c>
      <c r="E95" s="15">
        <v>2001</v>
      </c>
      <c r="F95" s="15">
        <v>10</v>
      </c>
      <c r="G95" s="15">
        <v>13943.558085835901</v>
      </c>
      <c r="I95" s="18">
        <v>2001</v>
      </c>
      <c r="J95" s="18">
        <v>10</v>
      </c>
      <c r="K95" s="18">
        <v>14316.010541231501</v>
      </c>
    </row>
    <row r="96" spans="1:11" x14ac:dyDescent="0.25">
      <c r="A96" s="15">
        <v>2001</v>
      </c>
      <c r="B96" s="15">
        <v>11</v>
      </c>
      <c r="C96" s="15">
        <v>12802.930420660001</v>
      </c>
      <c r="E96" s="15">
        <v>2001</v>
      </c>
      <c r="F96" s="15">
        <v>11</v>
      </c>
      <c r="G96" s="15">
        <v>12799.7694998557</v>
      </c>
      <c r="I96" s="18">
        <v>2001</v>
      </c>
      <c r="J96" s="18">
        <v>11</v>
      </c>
      <c r="K96" s="18">
        <v>13141.391500477201</v>
      </c>
    </row>
    <row r="97" spans="1:11" x14ac:dyDescent="0.25">
      <c r="A97" s="15">
        <v>2001</v>
      </c>
      <c r="B97" s="15">
        <v>12</v>
      </c>
      <c r="C97" s="15">
        <v>11193.117448711901</v>
      </c>
      <c r="E97" s="15">
        <v>2001</v>
      </c>
      <c r="F97" s="15">
        <v>12</v>
      </c>
      <c r="G97" s="15">
        <v>11191.3939467254</v>
      </c>
      <c r="I97" s="18">
        <v>2001</v>
      </c>
      <c r="J97" s="18">
        <v>12</v>
      </c>
      <c r="K97" s="18">
        <v>12028.114142025701</v>
      </c>
    </row>
    <row r="98" spans="1:11" x14ac:dyDescent="0.25">
      <c r="A98" s="15">
        <v>2002</v>
      </c>
      <c r="B98" s="15">
        <v>1</v>
      </c>
      <c r="C98" s="15">
        <v>16697.178628423499</v>
      </c>
      <c r="E98" s="15">
        <v>2002</v>
      </c>
      <c r="F98" s="15">
        <v>1</v>
      </c>
      <c r="G98" s="15">
        <v>16702.293017510699</v>
      </c>
      <c r="I98" s="18">
        <v>2002</v>
      </c>
      <c r="J98" s="18">
        <v>1</v>
      </c>
      <c r="K98" s="18">
        <v>12692.836941747601</v>
      </c>
    </row>
    <row r="99" spans="1:11" x14ac:dyDescent="0.25">
      <c r="A99" s="15">
        <v>2002</v>
      </c>
      <c r="B99" s="15">
        <v>2</v>
      </c>
      <c r="C99" s="15">
        <v>11637.0059091123</v>
      </c>
      <c r="E99" s="15">
        <v>2002</v>
      </c>
      <c r="F99" s="15">
        <v>2</v>
      </c>
      <c r="G99" s="15">
        <v>11648.841265409499</v>
      </c>
      <c r="I99" s="18">
        <v>2002</v>
      </c>
      <c r="J99" s="18">
        <v>2</v>
      </c>
      <c r="K99" s="18">
        <v>13094.3512998276</v>
      </c>
    </row>
    <row r="100" spans="1:11" x14ac:dyDescent="0.25">
      <c r="A100" s="15">
        <v>2002</v>
      </c>
      <c r="B100" s="15">
        <v>3</v>
      </c>
      <c r="C100" s="15">
        <v>11629.965782556599</v>
      </c>
      <c r="E100" s="15">
        <v>2002</v>
      </c>
      <c r="F100" s="15">
        <v>3</v>
      </c>
      <c r="G100" s="15">
        <v>11628.4378674944</v>
      </c>
      <c r="I100" s="18">
        <v>2002</v>
      </c>
      <c r="J100" s="18">
        <v>3</v>
      </c>
      <c r="K100" s="18">
        <v>11836.447392812501</v>
      </c>
    </row>
    <row r="101" spans="1:11" x14ac:dyDescent="0.25">
      <c r="A101" s="15">
        <v>2002</v>
      </c>
      <c r="B101" s="15">
        <v>4</v>
      </c>
      <c r="C101" s="15">
        <v>13109.3279377947</v>
      </c>
      <c r="E101" s="15">
        <v>2002</v>
      </c>
      <c r="F101" s="15">
        <v>4</v>
      </c>
      <c r="G101" s="15">
        <v>13104.824444329301</v>
      </c>
      <c r="I101" s="18">
        <v>2002</v>
      </c>
      <c r="J101" s="18">
        <v>4</v>
      </c>
      <c r="K101" s="18">
        <v>13582.393792385299</v>
      </c>
    </row>
    <row r="102" spans="1:11" x14ac:dyDescent="0.25">
      <c r="A102" s="15">
        <v>2002</v>
      </c>
      <c r="B102" s="15">
        <v>5</v>
      </c>
      <c r="C102" s="15">
        <v>11229.1688365022</v>
      </c>
      <c r="E102" s="15">
        <v>2002</v>
      </c>
      <c r="F102" s="15">
        <v>5</v>
      </c>
      <c r="G102" s="15">
        <v>11224.5282350703</v>
      </c>
      <c r="I102" s="18">
        <v>2002</v>
      </c>
      <c r="J102" s="18">
        <v>5</v>
      </c>
      <c r="K102" s="18">
        <v>11717.368720406699</v>
      </c>
    </row>
    <row r="103" spans="1:11" x14ac:dyDescent="0.25">
      <c r="A103" s="15">
        <v>2002</v>
      </c>
      <c r="B103" s="15">
        <v>6</v>
      </c>
      <c r="C103" s="15">
        <v>13196.9484592188</v>
      </c>
      <c r="E103" s="15">
        <v>2002</v>
      </c>
      <c r="F103" s="15">
        <v>6</v>
      </c>
      <c r="G103" s="15">
        <v>13196.092722899601</v>
      </c>
      <c r="I103" s="18">
        <v>2002</v>
      </c>
      <c r="J103" s="18">
        <v>6</v>
      </c>
      <c r="K103" s="18">
        <v>13372.3705366755</v>
      </c>
    </row>
    <row r="104" spans="1:11" x14ac:dyDescent="0.25">
      <c r="A104" s="15">
        <v>2002</v>
      </c>
      <c r="B104" s="15">
        <v>7</v>
      </c>
      <c r="C104" s="15">
        <v>12176.1961354264</v>
      </c>
      <c r="E104" s="15">
        <v>2002</v>
      </c>
      <c r="F104" s="15">
        <v>7</v>
      </c>
      <c r="G104" s="15">
        <v>12173.2751848429</v>
      </c>
      <c r="I104" s="18">
        <v>2002</v>
      </c>
      <c r="J104" s="18">
        <v>7</v>
      </c>
      <c r="K104" s="18">
        <v>12468.442708918001</v>
      </c>
    </row>
    <row r="105" spans="1:11" x14ac:dyDescent="0.25">
      <c r="A105" s="15">
        <v>2002</v>
      </c>
      <c r="B105" s="15">
        <v>8</v>
      </c>
      <c r="C105" s="15">
        <v>12317.288272924399</v>
      </c>
      <c r="E105" s="15">
        <v>2002</v>
      </c>
      <c r="F105" s="15">
        <v>8</v>
      </c>
      <c r="G105" s="15">
        <v>12312.8778317613</v>
      </c>
      <c r="I105" s="18">
        <v>2002</v>
      </c>
      <c r="J105" s="18">
        <v>8</v>
      </c>
      <c r="K105" s="18">
        <v>12183.310915812401</v>
      </c>
    </row>
    <row r="106" spans="1:11" x14ac:dyDescent="0.25">
      <c r="A106" s="15">
        <v>2002</v>
      </c>
      <c r="B106" s="15">
        <v>9</v>
      </c>
      <c r="C106" s="15">
        <v>12865.4061426927</v>
      </c>
      <c r="E106" s="15">
        <v>2002</v>
      </c>
      <c r="F106" s="15">
        <v>9</v>
      </c>
      <c r="G106" s="15">
        <v>12864.729380008301</v>
      </c>
      <c r="I106" s="18">
        <v>2002</v>
      </c>
      <c r="J106" s="18">
        <v>9</v>
      </c>
      <c r="K106" s="18">
        <v>13131.8825213687</v>
      </c>
    </row>
    <row r="107" spans="1:11" x14ac:dyDescent="0.25">
      <c r="A107" s="15">
        <v>2002</v>
      </c>
      <c r="B107" s="15">
        <v>10</v>
      </c>
      <c r="C107" s="15">
        <v>11661.005275199601</v>
      </c>
      <c r="E107" s="15">
        <v>2002</v>
      </c>
      <c r="F107" s="15">
        <v>10</v>
      </c>
      <c r="G107" s="15">
        <v>11658.8228571044</v>
      </c>
      <c r="I107" s="18">
        <v>2002</v>
      </c>
      <c r="J107" s="18">
        <v>10</v>
      </c>
      <c r="K107" s="18">
        <v>12065.845262475699</v>
      </c>
    </row>
    <row r="108" spans="1:11" x14ac:dyDescent="0.25">
      <c r="A108" s="15">
        <v>2002</v>
      </c>
      <c r="B108" s="15">
        <v>11</v>
      </c>
      <c r="C108" s="15">
        <v>12123.5078203261</v>
      </c>
      <c r="E108" s="15">
        <v>2002</v>
      </c>
      <c r="F108" s="15">
        <v>11</v>
      </c>
      <c r="G108" s="15">
        <v>12123.6738342961</v>
      </c>
      <c r="I108" s="18">
        <v>2002</v>
      </c>
      <c r="J108" s="18">
        <v>11</v>
      </c>
      <c r="K108" s="18">
        <v>12338.980218708501</v>
      </c>
    </row>
    <row r="109" spans="1:11" x14ac:dyDescent="0.25">
      <c r="A109" s="15">
        <v>2002</v>
      </c>
      <c r="B109" s="15">
        <v>12</v>
      </c>
      <c r="C109" s="15">
        <v>13781.7390091367</v>
      </c>
      <c r="E109" s="15">
        <v>2002</v>
      </c>
      <c r="F109" s="15">
        <v>12</v>
      </c>
      <c r="G109" s="15">
        <v>13779.762791214</v>
      </c>
      <c r="I109" s="18">
        <v>2002</v>
      </c>
      <c r="J109" s="18">
        <v>12</v>
      </c>
      <c r="K109" s="18">
        <v>14566.600122202301</v>
      </c>
    </row>
    <row r="110" spans="1:11" x14ac:dyDescent="0.25">
      <c r="A110" s="15">
        <v>2003</v>
      </c>
      <c r="B110" s="15">
        <v>1</v>
      </c>
      <c r="C110" s="15">
        <v>20918.3111980182</v>
      </c>
      <c r="E110" s="15">
        <v>2003</v>
      </c>
      <c r="F110" s="15">
        <v>1</v>
      </c>
      <c r="G110" s="15">
        <v>20923.0616862715</v>
      </c>
      <c r="I110" s="18">
        <v>2003</v>
      </c>
      <c r="J110" s="18">
        <v>1</v>
      </c>
      <c r="K110" s="18">
        <v>16449.606362733299</v>
      </c>
    </row>
    <row r="111" spans="1:11" x14ac:dyDescent="0.25">
      <c r="A111" s="15">
        <v>2003</v>
      </c>
      <c r="B111" s="15">
        <v>2</v>
      </c>
      <c r="C111" s="15">
        <v>13013.180399668699</v>
      </c>
      <c r="E111" s="15">
        <v>2003</v>
      </c>
      <c r="F111" s="15">
        <v>2</v>
      </c>
      <c r="G111" s="15">
        <v>13012.373414776201</v>
      </c>
      <c r="I111" s="18">
        <v>2003</v>
      </c>
      <c r="J111" s="18">
        <v>2</v>
      </c>
      <c r="K111" s="18">
        <v>15273.065505418899</v>
      </c>
    </row>
    <row r="112" spans="1:11" x14ac:dyDescent="0.25">
      <c r="A112" s="15">
        <v>2003</v>
      </c>
      <c r="B112" s="15">
        <v>3</v>
      </c>
      <c r="C112" s="15">
        <v>13488.9149745467</v>
      </c>
      <c r="E112" s="15">
        <v>2003</v>
      </c>
      <c r="F112" s="15">
        <v>3</v>
      </c>
      <c r="G112" s="15">
        <v>13489.915427595901</v>
      </c>
      <c r="I112" s="18">
        <v>2003</v>
      </c>
      <c r="J112" s="18">
        <v>3</v>
      </c>
      <c r="K112" s="18">
        <v>13627.861460874299</v>
      </c>
    </row>
    <row r="113" spans="1:11" x14ac:dyDescent="0.25">
      <c r="A113" s="15">
        <v>2003</v>
      </c>
      <c r="B113" s="15">
        <v>4</v>
      </c>
      <c r="C113" s="15">
        <v>11988.7286223226</v>
      </c>
      <c r="E113" s="15">
        <v>2003</v>
      </c>
      <c r="F113" s="15">
        <v>4</v>
      </c>
      <c r="G113" s="15">
        <v>11986.137499885401</v>
      </c>
      <c r="I113" s="18">
        <v>2003</v>
      </c>
      <c r="J113" s="18">
        <v>4</v>
      </c>
      <c r="K113" s="18">
        <v>12396.322697571</v>
      </c>
    </row>
    <row r="114" spans="1:11" x14ac:dyDescent="0.25">
      <c r="A114" s="15">
        <v>2003</v>
      </c>
      <c r="B114" s="15">
        <v>5</v>
      </c>
      <c r="C114" s="15">
        <v>11872.7840869878</v>
      </c>
      <c r="E114" s="15">
        <v>2003</v>
      </c>
      <c r="F114" s="15">
        <v>5</v>
      </c>
      <c r="G114" s="15">
        <v>11871.333932555001</v>
      </c>
      <c r="I114" s="18">
        <v>2003</v>
      </c>
      <c r="J114" s="18">
        <v>5</v>
      </c>
      <c r="K114" s="18">
        <v>12320.300263224601</v>
      </c>
    </row>
    <row r="115" spans="1:11" x14ac:dyDescent="0.25">
      <c r="A115" s="15">
        <v>2003</v>
      </c>
      <c r="B115" s="15">
        <v>6</v>
      </c>
      <c r="C115" s="15">
        <v>11761.436808263699</v>
      </c>
      <c r="E115" s="15">
        <v>2003</v>
      </c>
      <c r="F115" s="15">
        <v>6</v>
      </c>
      <c r="G115" s="15">
        <v>11759.7075404878</v>
      </c>
      <c r="I115" s="18">
        <v>2003</v>
      </c>
      <c r="J115" s="18">
        <v>6</v>
      </c>
      <c r="K115" s="18">
        <v>12024.6387985814</v>
      </c>
    </row>
    <row r="116" spans="1:11" x14ac:dyDescent="0.25">
      <c r="A116" s="15">
        <v>2003</v>
      </c>
      <c r="B116" s="15">
        <v>7</v>
      </c>
      <c r="C116" s="15">
        <v>8679.9450308908908</v>
      </c>
      <c r="E116" s="15">
        <v>2003</v>
      </c>
      <c r="F116" s="15">
        <v>7</v>
      </c>
      <c r="G116" s="15">
        <v>8677.5895740445794</v>
      </c>
      <c r="I116" s="18">
        <v>2003</v>
      </c>
      <c r="J116" s="18">
        <v>7</v>
      </c>
      <c r="K116" s="18">
        <v>8903.4095502847704</v>
      </c>
    </row>
    <row r="117" spans="1:11" x14ac:dyDescent="0.25">
      <c r="A117" s="15">
        <v>2003</v>
      </c>
      <c r="B117" s="15">
        <v>8</v>
      </c>
      <c r="C117" s="15">
        <v>13721.0718563505</v>
      </c>
      <c r="E117" s="15">
        <v>2003</v>
      </c>
      <c r="F117" s="15">
        <v>8</v>
      </c>
      <c r="G117" s="15">
        <v>13720.043895270201</v>
      </c>
      <c r="I117" s="18">
        <v>2003</v>
      </c>
      <c r="J117" s="18">
        <v>8</v>
      </c>
      <c r="K117" s="18">
        <v>13487.6358427549</v>
      </c>
    </row>
    <row r="118" spans="1:11" x14ac:dyDescent="0.25">
      <c r="A118" s="15">
        <v>2003</v>
      </c>
      <c r="B118" s="15">
        <v>9</v>
      </c>
      <c r="C118" s="15">
        <v>11728.8977731627</v>
      </c>
      <c r="E118" s="15">
        <v>2003</v>
      </c>
      <c r="F118" s="15">
        <v>9</v>
      </c>
      <c r="G118" s="15">
        <v>11727.052681408401</v>
      </c>
      <c r="I118" s="18">
        <v>2003</v>
      </c>
      <c r="J118" s="18">
        <v>9</v>
      </c>
      <c r="K118" s="18">
        <v>12064.491046146701</v>
      </c>
    </row>
    <row r="119" spans="1:11" x14ac:dyDescent="0.25">
      <c r="A119" s="15">
        <v>2003</v>
      </c>
      <c r="B119" s="15">
        <v>10</v>
      </c>
      <c r="C119" s="15">
        <v>11775.9687061809</v>
      </c>
      <c r="E119" s="15">
        <v>2003</v>
      </c>
      <c r="F119" s="15">
        <v>10</v>
      </c>
      <c r="G119" s="15">
        <v>11774.0733949102</v>
      </c>
      <c r="I119" s="18">
        <v>2003</v>
      </c>
      <c r="J119" s="18">
        <v>10</v>
      </c>
      <c r="K119" s="18">
        <v>12158.978814098</v>
      </c>
    </row>
    <row r="120" spans="1:11" x14ac:dyDescent="0.25">
      <c r="A120" s="15">
        <v>2003</v>
      </c>
      <c r="B120" s="15">
        <v>11</v>
      </c>
      <c r="C120" s="15">
        <v>15889.7751105641</v>
      </c>
      <c r="E120" s="15">
        <v>2003</v>
      </c>
      <c r="F120" s="15">
        <v>11</v>
      </c>
      <c r="G120" s="15">
        <v>15892.5714740762</v>
      </c>
      <c r="I120" s="18">
        <v>2003</v>
      </c>
      <c r="J120" s="18">
        <v>11</v>
      </c>
      <c r="K120" s="18">
        <v>15935.2008101799</v>
      </c>
    </row>
    <row r="121" spans="1:11" x14ac:dyDescent="0.25">
      <c r="A121" s="15">
        <v>2003</v>
      </c>
      <c r="B121" s="15">
        <v>12</v>
      </c>
      <c r="C121" s="15">
        <v>13864.427280611801</v>
      </c>
      <c r="E121" s="15">
        <v>2003</v>
      </c>
      <c r="F121" s="15">
        <v>12</v>
      </c>
      <c r="G121" s="15">
        <v>13862.031837439699</v>
      </c>
      <c r="I121" s="18">
        <v>2003</v>
      </c>
      <c r="J121" s="18">
        <v>12</v>
      </c>
      <c r="K121" s="18">
        <v>14604.3823108218</v>
      </c>
    </row>
    <row r="122" spans="1:11" x14ac:dyDescent="0.25">
      <c r="A122" s="15">
        <v>2004</v>
      </c>
      <c r="B122" s="15">
        <v>1</v>
      </c>
      <c r="C122" s="15">
        <v>26059.378509985301</v>
      </c>
      <c r="E122" s="15">
        <v>2004</v>
      </c>
      <c r="F122" s="15">
        <v>1</v>
      </c>
      <c r="G122" s="15">
        <v>26066.27809154</v>
      </c>
      <c r="I122" s="18">
        <v>2004</v>
      </c>
      <c r="J122" s="18">
        <v>1</v>
      </c>
      <c r="K122" s="18">
        <v>21088.656292283598</v>
      </c>
    </row>
    <row r="123" spans="1:11" x14ac:dyDescent="0.25">
      <c r="A123" s="15">
        <v>2004</v>
      </c>
      <c r="B123" s="15">
        <v>2</v>
      </c>
      <c r="C123" s="15">
        <v>19675.098733004801</v>
      </c>
      <c r="E123" s="15">
        <v>2004</v>
      </c>
      <c r="F123" s="15">
        <v>2</v>
      </c>
      <c r="G123" s="15">
        <v>19710.595477544201</v>
      </c>
      <c r="I123" s="18">
        <v>2004</v>
      </c>
      <c r="J123" s="18">
        <v>2</v>
      </c>
      <c r="K123" s="18">
        <v>19646.838512333201</v>
      </c>
    </row>
    <row r="124" spans="1:11" x14ac:dyDescent="0.25">
      <c r="A124" s="15">
        <v>2004</v>
      </c>
      <c r="B124" s="15">
        <v>3</v>
      </c>
      <c r="C124" s="15">
        <v>17916.848891443198</v>
      </c>
      <c r="E124" s="15">
        <v>2004</v>
      </c>
      <c r="F124" s="15">
        <v>3</v>
      </c>
      <c r="G124" s="15">
        <v>17915.761072741301</v>
      </c>
      <c r="I124" s="18">
        <v>2004</v>
      </c>
      <c r="J124" s="18">
        <v>3</v>
      </c>
      <c r="K124" s="18">
        <v>18360.398748276901</v>
      </c>
    </row>
    <row r="125" spans="1:11" x14ac:dyDescent="0.25">
      <c r="A125" s="15">
        <v>2004</v>
      </c>
      <c r="B125" s="15">
        <v>4</v>
      </c>
      <c r="C125" s="15">
        <v>16768.522190977201</v>
      </c>
      <c r="E125" s="15">
        <v>2004</v>
      </c>
      <c r="F125" s="15">
        <v>4</v>
      </c>
      <c r="G125" s="15">
        <v>16767.164388740199</v>
      </c>
      <c r="I125" s="18">
        <v>2004</v>
      </c>
      <c r="J125" s="18">
        <v>4</v>
      </c>
      <c r="K125" s="18">
        <v>17147.370282732001</v>
      </c>
    </row>
    <row r="126" spans="1:11" x14ac:dyDescent="0.25">
      <c r="A126" s="15">
        <v>2004</v>
      </c>
      <c r="B126" s="15">
        <v>5</v>
      </c>
      <c r="C126" s="15">
        <v>20458.413408075699</v>
      </c>
      <c r="E126" s="15">
        <v>2004</v>
      </c>
      <c r="F126" s="15">
        <v>5</v>
      </c>
      <c r="G126" s="15">
        <v>20459.935311901099</v>
      </c>
      <c r="I126" s="18">
        <v>2004</v>
      </c>
      <c r="J126" s="18">
        <v>5</v>
      </c>
      <c r="K126" s="18">
        <v>20863.0509918754</v>
      </c>
    </row>
    <row r="127" spans="1:11" x14ac:dyDescent="0.25">
      <c r="A127" s="15">
        <v>2004</v>
      </c>
      <c r="B127" s="15">
        <v>6</v>
      </c>
      <c r="C127" s="15">
        <v>18677.229180470898</v>
      </c>
      <c r="E127" s="15">
        <v>2004</v>
      </c>
      <c r="F127" s="15">
        <v>6</v>
      </c>
      <c r="G127" s="15">
        <v>18674.765877966202</v>
      </c>
      <c r="I127" s="18">
        <v>2004</v>
      </c>
      <c r="J127" s="18">
        <v>6</v>
      </c>
      <c r="K127" s="18">
        <v>18995.869853015101</v>
      </c>
    </row>
    <row r="128" spans="1:11" x14ac:dyDescent="0.25">
      <c r="A128" s="15">
        <v>2004</v>
      </c>
      <c r="B128" s="15">
        <v>7</v>
      </c>
      <c r="C128" s="15">
        <v>18691.2440998948</v>
      </c>
      <c r="E128" s="15">
        <v>2004</v>
      </c>
      <c r="F128" s="15">
        <v>7</v>
      </c>
      <c r="G128" s="15">
        <v>18691.4128280599</v>
      </c>
      <c r="I128" s="18">
        <v>2004</v>
      </c>
      <c r="J128" s="18">
        <v>7</v>
      </c>
      <c r="K128" s="18">
        <v>18659.892045103799</v>
      </c>
    </row>
    <row r="129" spans="1:11" x14ac:dyDescent="0.25">
      <c r="A129" s="15">
        <v>2004</v>
      </c>
      <c r="B129" s="15">
        <v>8</v>
      </c>
      <c r="C129" s="15">
        <v>19451.2318676219</v>
      </c>
      <c r="E129" s="15">
        <v>2004</v>
      </c>
      <c r="F129" s="15">
        <v>8</v>
      </c>
      <c r="G129" s="15">
        <v>19450.017689002099</v>
      </c>
      <c r="I129" s="18">
        <v>2004</v>
      </c>
      <c r="J129" s="18">
        <v>8</v>
      </c>
      <c r="K129" s="18">
        <v>19402.901900786801</v>
      </c>
    </row>
    <row r="130" spans="1:11" x14ac:dyDescent="0.25">
      <c r="A130" s="15">
        <v>2004</v>
      </c>
      <c r="B130" s="15">
        <v>9</v>
      </c>
      <c r="C130" s="15">
        <v>20245.247154316399</v>
      </c>
      <c r="E130" s="15">
        <v>2004</v>
      </c>
      <c r="F130" s="15">
        <v>9</v>
      </c>
      <c r="G130" s="15">
        <v>20243.959206518899</v>
      </c>
      <c r="I130" s="18">
        <v>2004</v>
      </c>
      <c r="J130" s="18">
        <v>9</v>
      </c>
      <c r="K130" s="18">
        <v>20458.980682137801</v>
      </c>
    </row>
    <row r="131" spans="1:11" x14ac:dyDescent="0.25">
      <c r="A131" s="15">
        <v>2004</v>
      </c>
      <c r="B131" s="15">
        <v>10</v>
      </c>
      <c r="C131" s="15">
        <v>22419.924651805199</v>
      </c>
      <c r="E131" s="15">
        <v>2004</v>
      </c>
      <c r="F131" s="15">
        <v>10</v>
      </c>
      <c r="G131" s="15">
        <v>22422.004578030701</v>
      </c>
      <c r="I131" s="18">
        <v>2004</v>
      </c>
      <c r="J131" s="18">
        <v>10</v>
      </c>
      <c r="K131" s="18">
        <v>22417.600860586001</v>
      </c>
    </row>
    <row r="132" spans="1:11" x14ac:dyDescent="0.25">
      <c r="A132" s="15">
        <v>2004</v>
      </c>
      <c r="B132" s="15">
        <v>11</v>
      </c>
      <c r="C132" s="15">
        <v>20802.394650128099</v>
      </c>
      <c r="E132" s="15">
        <v>2004</v>
      </c>
      <c r="F132" s="15">
        <v>11</v>
      </c>
      <c r="G132" s="15">
        <v>20801.716596625101</v>
      </c>
      <c r="I132" s="18">
        <v>2004</v>
      </c>
      <c r="J132" s="18">
        <v>11</v>
      </c>
      <c r="K132" s="18">
        <v>21132.964022646</v>
      </c>
    </row>
    <row r="133" spans="1:11" x14ac:dyDescent="0.25">
      <c r="A133" s="15">
        <v>2004</v>
      </c>
      <c r="B133" s="15">
        <v>12</v>
      </c>
      <c r="C133" s="15">
        <v>22616.029191390098</v>
      </c>
      <c r="E133" s="15">
        <v>2004</v>
      </c>
      <c r="F133" s="15">
        <v>12</v>
      </c>
      <c r="G133" s="15">
        <v>22613.907078131098</v>
      </c>
      <c r="I133" s="18">
        <v>2004</v>
      </c>
      <c r="J133" s="18">
        <v>12</v>
      </c>
      <c r="K133" s="18">
        <v>23110.393690633799</v>
      </c>
    </row>
    <row r="134" spans="1:11" x14ac:dyDescent="0.25">
      <c r="A134" s="15">
        <v>2005</v>
      </c>
      <c r="B134" s="15">
        <v>1</v>
      </c>
      <c r="C134" s="15">
        <v>37786.773146772597</v>
      </c>
      <c r="E134" s="15">
        <v>2005</v>
      </c>
      <c r="F134" s="15">
        <v>1</v>
      </c>
      <c r="G134" s="15">
        <v>37793.083967221297</v>
      </c>
      <c r="I134" s="18">
        <v>2005</v>
      </c>
      <c r="J134" s="18">
        <v>1</v>
      </c>
      <c r="K134" s="18">
        <v>32506.518925915199</v>
      </c>
    </row>
    <row r="135" spans="1:11" x14ac:dyDescent="0.25">
      <c r="A135" s="15">
        <v>2005</v>
      </c>
      <c r="B135" s="15">
        <v>2</v>
      </c>
      <c r="C135" s="15">
        <v>15480.416353570899</v>
      </c>
      <c r="E135" s="15">
        <v>2005</v>
      </c>
      <c r="F135" s="15">
        <v>2</v>
      </c>
      <c r="G135" s="15">
        <v>15466.4366028404</v>
      </c>
      <c r="I135" s="18">
        <v>2005</v>
      </c>
      <c r="J135" s="18">
        <v>2</v>
      </c>
      <c r="K135" s="18">
        <v>19435.315316574601</v>
      </c>
    </row>
    <row r="136" spans="1:11" x14ac:dyDescent="0.25">
      <c r="A136" s="15">
        <v>2005</v>
      </c>
      <c r="B136" s="15">
        <v>3</v>
      </c>
      <c r="C136" s="15">
        <v>23666.288895595299</v>
      </c>
      <c r="E136" s="15">
        <v>2005</v>
      </c>
      <c r="F136" s="15">
        <v>3</v>
      </c>
      <c r="G136" s="15">
        <v>23665.145368752699</v>
      </c>
      <c r="I136" s="18">
        <v>2005</v>
      </c>
      <c r="J136" s="18">
        <v>3</v>
      </c>
      <c r="K136" s="18">
        <v>23998.4275955425</v>
      </c>
    </row>
    <row r="137" spans="1:11" x14ac:dyDescent="0.25">
      <c r="A137" s="15">
        <v>2005</v>
      </c>
      <c r="B137" s="15">
        <v>4</v>
      </c>
      <c r="C137" s="15">
        <v>25570.910457669299</v>
      </c>
      <c r="E137" s="15">
        <v>2005</v>
      </c>
      <c r="F137" s="15">
        <v>4</v>
      </c>
      <c r="G137" s="15">
        <v>25571.235855859799</v>
      </c>
      <c r="I137" s="18">
        <v>2005</v>
      </c>
      <c r="J137" s="18">
        <v>4</v>
      </c>
      <c r="K137" s="18">
        <v>25681.540419337802</v>
      </c>
    </row>
    <row r="138" spans="1:11" x14ac:dyDescent="0.25">
      <c r="A138" s="15">
        <v>2005</v>
      </c>
      <c r="B138" s="15">
        <v>5</v>
      </c>
      <c r="C138" s="15">
        <v>24391.915198571201</v>
      </c>
      <c r="E138" s="15">
        <v>2005</v>
      </c>
      <c r="F138" s="15">
        <v>5</v>
      </c>
      <c r="G138" s="15">
        <v>24391.992790057699</v>
      </c>
      <c r="I138" s="18">
        <v>2005</v>
      </c>
      <c r="J138" s="18">
        <v>5</v>
      </c>
      <c r="K138" s="18">
        <v>24996.9157212682</v>
      </c>
    </row>
    <row r="139" spans="1:11" x14ac:dyDescent="0.25">
      <c r="A139" s="15">
        <v>2005</v>
      </c>
      <c r="B139" s="15">
        <v>6</v>
      </c>
      <c r="C139" s="15">
        <v>23139.706424755601</v>
      </c>
      <c r="E139" s="15">
        <v>2005</v>
      </c>
      <c r="F139" s="15">
        <v>6</v>
      </c>
      <c r="G139" s="15">
        <v>23138.629220918199</v>
      </c>
      <c r="I139" s="18">
        <v>2005</v>
      </c>
      <c r="J139" s="18">
        <v>6</v>
      </c>
      <c r="K139" s="18">
        <v>23444.8946558608</v>
      </c>
    </row>
    <row r="140" spans="1:11" x14ac:dyDescent="0.25">
      <c r="A140" s="15">
        <v>2005</v>
      </c>
      <c r="B140" s="15">
        <v>7</v>
      </c>
      <c r="C140" s="15">
        <v>26000.6527916913</v>
      </c>
      <c r="E140" s="15">
        <v>2005</v>
      </c>
      <c r="F140" s="15">
        <v>7</v>
      </c>
      <c r="G140" s="15">
        <v>26002.6169231735</v>
      </c>
      <c r="I140" s="18">
        <v>2005</v>
      </c>
      <c r="J140" s="18">
        <v>7</v>
      </c>
      <c r="K140" s="18">
        <v>25690.923402199602</v>
      </c>
    </row>
    <row r="141" spans="1:11" x14ac:dyDescent="0.25">
      <c r="A141" s="15">
        <v>2005</v>
      </c>
      <c r="B141" s="15">
        <v>8</v>
      </c>
      <c r="C141" s="15">
        <v>23274.602771414298</v>
      </c>
      <c r="E141" s="15">
        <v>2005</v>
      </c>
      <c r="F141" s="15">
        <v>8</v>
      </c>
      <c r="G141" s="15">
        <v>23273.1804678279</v>
      </c>
      <c r="I141" s="18">
        <v>2005</v>
      </c>
      <c r="J141" s="18">
        <v>8</v>
      </c>
      <c r="K141" s="18">
        <v>23348.522297469699</v>
      </c>
    </row>
    <row r="142" spans="1:11" x14ac:dyDescent="0.25">
      <c r="A142" s="15">
        <v>2005</v>
      </c>
      <c r="B142" s="15">
        <v>9</v>
      </c>
      <c r="C142" s="15">
        <v>22574.956124004599</v>
      </c>
      <c r="E142" s="15">
        <v>2005</v>
      </c>
      <c r="F142" s="15">
        <v>9</v>
      </c>
      <c r="G142" s="15">
        <v>22574.144514715401</v>
      </c>
      <c r="I142" s="18">
        <v>2005</v>
      </c>
      <c r="J142" s="18">
        <v>9</v>
      </c>
      <c r="K142" s="18">
        <v>22599.576496178699</v>
      </c>
    </row>
    <row r="143" spans="1:11" x14ac:dyDescent="0.25">
      <c r="A143" s="15">
        <v>2005</v>
      </c>
      <c r="B143" s="15">
        <v>10</v>
      </c>
      <c r="C143" s="15">
        <v>25984.4902371842</v>
      </c>
      <c r="E143" s="15">
        <v>2005</v>
      </c>
      <c r="F143" s="15">
        <v>10</v>
      </c>
      <c r="G143" s="15">
        <v>25986.773200884702</v>
      </c>
      <c r="I143" s="18">
        <v>2005</v>
      </c>
      <c r="J143" s="18">
        <v>10</v>
      </c>
      <c r="K143" s="18">
        <v>25795.845333413599</v>
      </c>
    </row>
    <row r="144" spans="1:11" x14ac:dyDescent="0.25">
      <c r="A144" s="15">
        <v>2005</v>
      </c>
      <c r="B144" s="15">
        <v>11</v>
      </c>
      <c r="C144" s="15">
        <v>26351.159770474998</v>
      </c>
      <c r="E144" s="15">
        <v>2005</v>
      </c>
      <c r="F144" s="15">
        <v>11</v>
      </c>
      <c r="G144" s="15">
        <v>26350.7487666579</v>
      </c>
      <c r="I144" s="18">
        <v>2005</v>
      </c>
      <c r="J144" s="18">
        <v>11</v>
      </c>
      <c r="K144" s="18">
        <v>26610.0266289303</v>
      </c>
    </row>
    <row r="145" spans="1:11" x14ac:dyDescent="0.25">
      <c r="A145" s="15">
        <v>2005</v>
      </c>
      <c r="B145" s="15">
        <v>12</v>
      </c>
      <c r="C145" s="15">
        <v>23783.133059075099</v>
      </c>
      <c r="E145" s="15">
        <v>2005</v>
      </c>
      <c r="F145" s="15">
        <v>12</v>
      </c>
      <c r="G145" s="15">
        <v>23783.2166562001</v>
      </c>
      <c r="I145" s="18">
        <v>2005</v>
      </c>
      <c r="J145" s="18">
        <v>12</v>
      </c>
      <c r="K145" s="18">
        <v>24055.2233968742</v>
      </c>
    </row>
    <row r="146" spans="1:11" x14ac:dyDescent="0.25">
      <c r="A146" s="15">
        <v>2006</v>
      </c>
      <c r="B146" s="15">
        <v>1</v>
      </c>
      <c r="C146" s="15">
        <v>27915.8810871032</v>
      </c>
      <c r="E146" s="15">
        <v>2006</v>
      </c>
      <c r="F146" s="15">
        <v>1</v>
      </c>
      <c r="G146" s="15">
        <v>27918.413419089498</v>
      </c>
      <c r="I146" s="18">
        <v>2006</v>
      </c>
      <c r="J146" s="18">
        <v>1</v>
      </c>
      <c r="K146" s="18">
        <v>22897.925608450802</v>
      </c>
    </row>
    <row r="147" spans="1:11" x14ac:dyDescent="0.25">
      <c r="A147" s="15">
        <v>2006</v>
      </c>
      <c r="B147" s="15">
        <v>2</v>
      </c>
      <c r="C147" s="15">
        <v>32139.051187794201</v>
      </c>
      <c r="E147" s="15">
        <v>2006</v>
      </c>
      <c r="F147" s="15">
        <v>2</v>
      </c>
      <c r="G147" s="15">
        <v>32122.998599288399</v>
      </c>
      <c r="I147" s="18">
        <v>2006</v>
      </c>
      <c r="J147" s="18">
        <v>2</v>
      </c>
      <c r="K147" s="18">
        <v>37123.301974163202</v>
      </c>
    </row>
    <row r="148" spans="1:11" x14ac:dyDescent="0.25">
      <c r="A148" s="15">
        <v>2006</v>
      </c>
      <c r="B148" s="15">
        <v>3</v>
      </c>
      <c r="C148" s="15">
        <v>30711.838740336301</v>
      </c>
      <c r="E148" s="15">
        <v>2006</v>
      </c>
      <c r="F148" s="15">
        <v>3</v>
      </c>
      <c r="G148" s="15">
        <v>30710.532475751999</v>
      </c>
      <c r="I148" s="18">
        <v>2006</v>
      </c>
      <c r="J148" s="18">
        <v>3</v>
      </c>
      <c r="K148" s="18">
        <v>30818.392353570802</v>
      </c>
    </row>
    <row r="149" spans="1:11" x14ac:dyDescent="0.25">
      <c r="A149" s="15">
        <v>2006</v>
      </c>
      <c r="B149" s="15">
        <v>4</v>
      </c>
      <c r="C149" s="15">
        <v>33189.707869465201</v>
      </c>
      <c r="E149" s="15">
        <v>2006</v>
      </c>
      <c r="F149" s="15">
        <v>4</v>
      </c>
      <c r="G149" s="15">
        <v>33191.900646926202</v>
      </c>
      <c r="I149" s="18">
        <v>2006</v>
      </c>
      <c r="J149" s="18">
        <v>4</v>
      </c>
      <c r="K149" s="18">
        <v>32957.933924017503</v>
      </c>
    </row>
    <row r="150" spans="1:11" x14ac:dyDescent="0.25">
      <c r="A150" s="15">
        <v>2006</v>
      </c>
      <c r="B150" s="15">
        <v>5</v>
      </c>
      <c r="C150" s="15">
        <v>27489.554126411502</v>
      </c>
      <c r="E150" s="15">
        <v>2006</v>
      </c>
      <c r="F150" s="15">
        <v>5</v>
      </c>
      <c r="G150" s="15">
        <v>27488.098326800198</v>
      </c>
      <c r="I150" s="18">
        <v>2006</v>
      </c>
      <c r="J150" s="18">
        <v>5</v>
      </c>
      <c r="K150" s="18">
        <v>28112.8204914667</v>
      </c>
    </row>
    <row r="151" spans="1:11" x14ac:dyDescent="0.25">
      <c r="A151" s="15">
        <v>2006</v>
      </c>
      <c r="B151" s="15">
        <v>6</v>
      </c>
      <c r="C151" s="15">
        <v>31945.162791823099</v>
      </c>
      <c r="E151" s="15">
        <v>2006</v>
      </c>
      <c r="F151" s="15">
        <v>6</v>
      </c>
      <c r="G151" s="15">
        <v>31945.2694760745</v>
      </c>
      <c r="I151" s="18">
        <v>2006</v>
      </c>
      <c r="J151" s="18">
        <v>6</v>
      </c>
      <c r="K151" s="18">
        <v>32290.0759208823</v>
      </c>
    </row>
    <row r="152" spans="1:11" x14ac:dyDescent="0.25">
      <c r="A152" s="15">
        <v>2006</v>
      </c>
      <c r="B152" s="15">
        <v>7</v>
      </c>
      <c r="C152" s="15">
        <v>35465.725548441202</v>
      </c>
      <c r="E152" s="15">
        <v>2006</v>
      </c>
      <c r="F152" s="15">
        <v>7</v>
      </c>
      <c r="G152" s="15">
        <v>35467.7783504545</v>
      </c>
      <c r="I152" s="18">
        <v>2006</v>
      </c>
      <c r="J152" s="18">
        <v>7</v>
      </c>
      <c r="K152" s="18">
        <v>35072.314913166199</v>
      </c>
    </row>
    <row r="153" spans="1:11" x14ac:dyDescent="0.25">
      <c r="A153" s="15">
        <v>2006</v>
      </c>
      <c r="B153" s="15">
        <v>8</v>
      </c>
      <c r="C153" s="15">
        <v>34274.995692589</v>
      </c>
      <c r="E153" s="15">
        <v>2006</v>
      </c>
      <c r="F153" s="15">
        <v>8</v>
      </c>
      <c r="G153" s="15">
        <v>34274.2205561519</v>
      </c>
      <c r="I153" s="18">
        <v>2006</v>
      </c>
      <c r="J153" s="18">
        <v>8</v>
      </c>
      <c r="K153" s="18">
        <v>34208.764733652803</v>
      </c>
    </row>
    <row r="154" spans="1:11" x14ac:dyDescent="0.25">
      <c r="A154" s="15">
        <v>2006</v>
      </c>
      <c r="B154" s="15">
        <v>9</v>
      </c>
      <c r="C154" s="15">
        <v>37775.2420417744</v>
      </c>
      <c r="E154" s="15">
        <v>2006</v>
      </c>
      <c r="F154" s="15">
        <v>9</v>
      </c>
      <c r="G154" s="15">
        <v>37776.7670990404</v>
      </c>
      <c r="I154" s="18">
        <v>2006</v>
      </c>
      <c r="J154" s="18">
        <v>9</v>
      </c>
      <c r="K154" s="18">
        <v>37494.178734613997</v>
      </c>
    </row>
    <row r="155" spans="1:11" x14ac:dyDescent="0.25">
      <c r="A155" s="15">
        <v>2006</v>
      </c>
      <c r="B155" s="15">
        <v>10</v>
      </c>
      <c r="C155" s="15">
        <v>35778.523380069797</v>
      </c>
      <c r="E155" s="15">
        <v>2006</v>
      </c>
      <c r="F155" s="15">
        <v>10</v>
      </c>
      <c r="G155" s="15">
        <v>35779.461822156904</v>
      </c>
      <c r="I155" s="18">
        <v>2006</v>
      </c>
      <c r="J155" s="18">
        <v>10</v>
      </c>
      <c r="K155" s="18">
        <v>35552.599637815401</v>
      </c>
    </row>
    <row r="156" spans="1:11" x14ac:dyDescent="0.25">
      <c r="A156" s="15">
        <v>2006</v>
      </c>
      <c r="B156" s="15">
        <v>11</v>
      </c>
      <c r="C156" s="15">
        <v>39261.673015845103</v>
      </c>
      <c r="E156" s="15">
        <v>2006</v>
      </c>
      <c r="F156" s="15">
        <v>11</v>
      </c>
      <c r="G156" s="15">
        <v>39261.598535891899</v>
      </c>
      <c r="I156" s="18">
        <v>2006</v>
      </c>
      <c r="J156" s="18">
        <v>11</v>
      </c>
      <c r="K156" s="18">
        <v>39426.144664824802</v>
      </c>
    </row>
    <row r="157" spans="1:11" x14ac:dyDescent="0.25">
      <c r="A157" s="15">
        <v>2006</v>
      </c>
      <c r="B157" s="15">
        <v>12</v>
      </c>
      <c r="C157" s="15">
        <v>41654.965002240497</v>
      </c>
      <c r="E157" s="15">
        <v>2006</v>
      </c>
      <c r="F157" s="15">
        <v>12</v>
      </c>
      <c r="G157" s="15">
        <v>41657.576365067798</v>
      </c>
      <c r="I157" s="18">
        <v>2006</v>
      </c>
      <c r="J157" s="18">
        <v>12</v>
      </c>
      <c r="K157" s="18">
        <v>41641.755163652997</v>
      </c>
    </row>
    <row r="158" spans="1:11" x14ac:dyDescent="0.25">
      <c r="A158" s="15">
        <v>2007</v>
      </c>
      <c r="B158" s="15">
        <v>1</v>
      </c>
      <c r="C158" s="15">
        <v>31733.618236988899</v>
      </c>
      <c r="E158" s="15">
        <v>2007</v>
      </c>
      <c r="F158" s="15">
        <v>1</v>
      </c>
      <c r="G158" s="15">
        <v>31732.5674211101</v>
      </c>
      <c r="I158" s="18">
        <v>2007</v>
      </c>
      <c r="J158" s="18">
        <v>1</v>
      </c>
      <c r="K158" s="18">
        <v>27588.047176271401</v>
      </c>
    </row>
    <row r="159" spans="1:11" x14ac:dyDescent="0.25">
      <c r="A159" s="15">
        <v>2007</v>
      </c>
      <c r="B159" s="15">
        <v>2</v>
      </c>
      <c r="C159" s="15">
        <v>40023.961094888298</v>
      </c>
      <c r="E159" s="15">
        <v>2007</v>
      </c>
      <c r="F159" s="15">
        <v>2</v>
      </c>
      <c r="G159" s="15">
        <v>40005.293260072001</v>
      </c>
      <c r="I159" s="18">
        <v>2007</v>
      </c>
      <c r="J159" s="18">
        <v>2</v>
      </c>
      <c r="K159" s="18">
        <v>45676.6781178374</v>
      </c>
    </row>
    <row r="160" spans="1:11" x14ac:dyDescent="0.25">
      <c r="A160" s="15">
        <v>2007</v>
      </c>
      <c r="B160" s="15">
        <v>3</v>
      </c>
      <c r="C160" s="15">
        <v>43055.6998839894</v>
      </c>
      <c r="E160" s="15">
        <v>2007</v>
      </c>
      <c r="F160" s="15">
        <v>3</v>
      </c>
      <c r="G160" s="15">
        <v>43056.340146329298</v>
      </c>
      <c r="I160" s="18">
        <v>2007</v>
      </c>
      <c r="J160" s="18">
        <v>3</v>
      </c>
      <c r="K160" s="18">
        <v>42726.417914999001</v>
      </c>
    </row>
    <row r="161" spans="1:11" x14ac:dyDescent="0.25">
      <c r="A161" s="15">
        <v>2007</v>
      </c>
      <c r="B161" s="15">
        <v>4</v>
      </c>
      <c r="C161" s="15">
        <v>39573.272201158499</v>
      </c>
      <c r="E161" s="15">
        <v>2007</v>
      </c>
      <c r="F161" s="15">
        <v>4</v>
      </c>
      <c r="G161" s="15">
        <v>39573.948049277198</v>
      </c>
      <c r="I161" s="18">
        <v>2007</v>
      </c>
      <c r="J161" s="18">
        <v>4</v>
      </c>
      <c r="K161" s="18">
        <v>39272.610293433499</v>
      </c>
    </row>
    <row r="162" spans="1:11" x14ac:dyDescent="0.25">
      <c r="A162" s="15">
        <v>2007</v>
      </c>
      <c r="B162" s="15">
        <v>5</v>
      </c>
      <c r="C162" s="15">
        <v>40544.565717479803</v>
      </c>
      <c r="E162" s="15">
        <v>2007</v>
      </c>
      <c r="F162" s="15">
        <v>5</v>
      </c>
      <c r="G162" s="15">
        <v>40543.3719759593</v>
      </c>
      <c r="I162" s="18">
        <v>2007</v>
      </c>
      <c r="J162" s="18">
        <v>5</v>
      </c>
      <c r="K162" s="18">
        <v>41003.571757809099</v>
      </c>
    </row>
    <row r="163" spans="1:11" x14ac:dyDescent="0.25">
      <c r="A163" s="15">
        <v>2007</v>
      </c>
      <c r="B163" s="15">
        <v>6</v>
      </c>
      <c r="C163" s="15">
        <v>44575.540738497002</v>
      </c>
      <c r="E163" s="15">
        <v>2007</v>
      </c>
      <c r="F163" s="15">
        <v>6</v>
      </c>
      <c r="G163" s="15">
        <v>44578.526292801798</v>
      </c>
      <c r="I163" s="18">
        <v>2007</v>
      </c>
      <c r="J163" s="18">
        <v>6</v>
      </c>
      <c r="K163" s="18">
        <v>44775.695569076903</v>
      </c>
    </row>
    <row r="164" spans="1:11" x14ac:dyDescent="0.25">
      <c r="A164" s="15">
        <v>2007</v>
      </c>
      <c r="B164" s="15">
        <v>7</v>
      </c>
      <c r="C164" s="15">
        <v>39298.085868881702</v>
      </c>
      <c r="E164" s="15">
        <v>2007</v>
      </c>
      <c r="F164" s="15">
        <v>7</v>
      </c>
      <c r="G164" s="15">
        <v>39298.448760060601</v>
      </c>
      <c r="I164" s="18">
        <v>2007</v>
      </c>
      <c r="J164" s="18">
        <v>7</v>
      </c>
      <c r="K164" s="18">
        <v>38947.201489830302</v>
      </c>
    </row>
    <row r="165" spans="1:11" x14ac:dyDescent="0.25">
      <c r="A165" s="15">
        <v>2007</v>
      </c>
      <c r="B165" s="15">
        <v>8</v>
      </c>
      <c r="C165" s="15">
        <v>44075.936516071502</v>
      </c>
      <c r="E165" s="15">
        <v>2007</v>
      </c>
      <c r="F165" s="15">
        <v>8</v>
      </c>
      <c r="G165" s="15">
        <v>44075.432488228602</v>
      </c>
      <c r="I165" s="18">
        <v>2007</v>
      </c>
      <c r="J165" s="18">
        <v>8</v>
      </c>
      <c r="K165" s="18">
        <v>43894.691555118901</v>
      </c>
    </row>
    <row r="166" spans="1:11" x14ac:dyDescent="0.25">
      <c r="A166" s="15">
        <v>2007</v>
      </c>
      <c r="B166" s="15">
        <v>9</v>
      </c>
      <c r="C166" s="15">
        <v>42980.189509053598</v>
      </c>
      <c r="E166" s="15">
        <v>2007</v>
      </c>
      <c r="F166" s="15">
        <v>9</v>
      </c>
      <c r="G166" s="15">
        <v>42984.118226050603</v>
      </c>
      <c r="I166" s="18">
        <v>2007</v>
      </c>
      <c r="J166" s="18">
        <v>9</v>
      </c>
      <c r="K166" s="18">
        <v>42400.785373725797</v>
      </c>
    </row>
    <row r="167" spans="1:11" x14ac:dyDescent="0.25">
      <c r="A167" s="15">
        <v>2007</v>
      </c>
      <c r="B167" s="15">
        <v>10</v>
      </c>
      <c r="C167" s="15">
        <v>45158.549201938898</v>
      </c>
      <c r="E167" s="15">
        <v>2007</v>
      </c>
      <c r="F167" s="15">
        <v>10</v>
      </c>
      <c r="G167" s="15">
        <v>45158.127660562699</v>
      </c>
      <c r="I167" s="18">
        <v>2007</v>
      </c>
      <c r="J167" s="18">
        <v>10</v>
      </c>
      <c r="K167" s="18">
        <v>44930.157843569301</v>
      </c>
    </row>
    <row r="168" spans="1:11" x14ac:dyDescent="0.25">
      <c r="A168" s="15">
        <v>2007</v>
      </c>
      <c r="B168" s="15">
        <v>11</v>
      </c>
      <c r="C168" s="15">
        <v>48998.345811177103</v>
      </c>
      <c r="E168" s="15">
        <v>2007</v>
      </c>
      <c r="F168" s="15">
        <v>11</v>
      </c>
      <c r="G168" s="15">
        <v>48998.531880745497</v>
      </c>
      <c r="I168" s="18">
        <v>2007</v>
      </c>
      <c r="J168" s="18">
        <v>11</v>
      </c>
      <c r="K168" s="18">
        <v>49153.343260888301</v>
      </c>
    </row>
    <row r="169" spans="1:11" x14ac:dyDescent="0.25">
      <c r="A169" s="15">
        <v>2007</v>
      </c>
      <c r="B169" s="15">
        <v>12</v>
      </c>
      <c r="C169" s="15">
        <v>50614.032158375601</v>
      </c>
      <c r="E169" s="15">
        <v>2007</v>
      </c>
      <c r="F169" s="15">
        <v>12</v>
      </c>
      <c r="G169" s="15">
        <v>50617.057351702599</v>
      </c>
      <c r="I169" s="18">
        <v>2007</v>
      </c>
      <c r="J169" s="18">
        <v>12</v>
      </c>
      <c r="K169" s="18">
        <v>50565.381850657803</v>
      </c>
    </row>
    <row r="170" spans="1:11" x14ac:dyDescent="0.25">
      <c r="A170" s="15">
        <v>2008</v>
      </c>
      <c r="B170" s="15">
        <v>1</v>
      </c>
      <c r="C170" s="15">
        <v>56189.9676900841</v>
      </c>
      <c r="E170" s="15">
        <v>2008</v>
      </c>
      <c r="F170" s="15">
        <v>1</v>
      </c>
      <c r="G170" s="15">
        <v>56188.405377638002</v>
      </c>
      <c r="I170" s="18">
        <v>2008</v>
      </c>
      <c r="J170" s="18">
        <v>1</v>
      </c>
      <c r="K170" s="18">
        <v>52935.869555871803</v>
      </c>
    </row>
    <row r="171" spans="1:11" x14ac:dyDescent="0.25">
      <c r="A171" s="15">
        <v>2008</v>
      </c>
      <c r="B171" s="15">
        <v>2</v>
      </c>
      <c r="C171" s="15">
        <v>39727.840023930199</v>
      </c>
      <c r="E171" s="15">
        <v>2008</v>
      </c>
      <c r="F171" s="15">
        <v>2</v>
      </c>
      <c r="G171" s="15">
        <v>39750.8338797545</v>
      </c>
      <c r="I171" s="18">
        <v>2008</v>
      </c>
      <c r="J171" s="18">
        <v>2</v>
      </c>
      <c r="K171" s="18">
        <v>42597.440491476103</v>
      </c>
    </row>
    <row r="172" spans="1:11" x14ac:dyDescent="0.25">
      <c r="A172" s="15">
        <v>2008</v>
      </c>
      <c r="B172" s="15">
        <v>3</v>
      </c>
      <c r="C172" s="15">
        <v>48533.259312729002</v>
      </c>
      <c r="E172" s="15">
        <v>2008</v>
      </c>
      <c r="F172" s="15">
        <v>3</v>
      </c>
      <c r="G172" s="15">
        <v>48535.842027187202</v>
      </c>
      <c r="I172" s="18">
        <v>2008</v>
      </c>
      <c r="J172" s="18">
        <v>3</v>
      </c>
      <c r="K172" s="18">
        <v>47937.763619145502</v>
      </c>
    </row>
    <row r="173" spans="1:11" x14ac:dyDescent="0.25">
      <c r="A173" s="15">
        <v>2008</v>
      </c>
      <c r="B173" s="15">
        <v>4</v>
      </c>
      <c r="C173" s="15">
        <v>50610.474400491898</v>
      </c>
      <c r="E173" s="15">
        <v>2008</v>
      </c>
      <c r="F173" s="15">
        <v>4</v>
      </c>
      <c r="G173" s="15">
        <v>50610.004849856501</v>
      </c>
      <c r="I173" s="18">
        <v>2008</v>
      </c>
      <c r="J173" s="18">
        <v>4</v>
      </c>
      <c r="K173" s="18">
        <v>50357.865698745598</v>
      </c>
    </row>
    <row r="174" spans="1:11" x14ac:dyDescent="0.25">
      <c r="A174" s="15">
        <v>2008</v>
      </c>
      <c r="B174" s="15">
        <v>5</v>
      </c>
      <c r="C174" s="15">
        <v>50511.838149394498</v>
      </c>
      <c r="E174" s="15">
        <v>2008</v>
      </c>
      <c r="F174" s="15">
        <v>5</v>
      </c>
      <c r="G174" s="15">
        <v>50512.745397052597</v>
      </c>
      <c r="I174" s="18">
        <v>2008</v>
      </c>
      <c r="J174" s="18">
        <v>5</v>
      </c>
      <c r="K174" s="18">
        <v>50571.6128001912</v>
      </c>
    </row>
    <row r="175" spans="1:11" x14ac:dyDescent="0.25">
      <c r="A175" s="15">
        <v>2008</v>
      </c>
      <c r="B175" s="15">
        <v>6</v>
      </c>
      <c r="C175" s="15">
        <v>45942.401310522902</v>
      </c>
      <c r="E175" s="15">
        <v>2008</v>
      </c>
      <c r="F175" s="15">
        <v>6</v>
      </c>
      <c r="G175" s="15">
        <v>45945.841172973298</v>
      </c>
      <c r="I175" s="18">
        <v>2008</v>
      </c>
      <c r="J175" s="18">
        <v>6</v>
      </c>
      <c r="K175" s="18">
        <v>46073.748865273599</v>
      </c>
    </row>
    <row r="176" spans="1:11" x14ac:dyDescent="0.25">
      <c r="A176" s="15">
        <v>2008</v>
      </c>
      <c r="B176" s="15">
        <v>7</v>
      </c>
      <c r="C176" s="15">
        <v>55154.2325168596</v>
      </c>
      <c r="E176" s="15">
        <v>2008</v>
      </c>
      <c r="F176" s="15">
        <v>7</v>
      </c>
      <c r="G176" s="15">
        <v>55153.305091105598</v>
      </c>
      <c r="I176" s="18">
        <v>2008</v>
      </c>
      <c r="J176" s="18">
        <v>7</v>
      </c>
      <c r="K176" s="18">
        <v>54869.390389170403</v>
      </c>
    </row>
    <row r="177" spans="1:11" x14ac:dyDescent="0.25">
      <c r="A177" s="15">
        <v>2008</v>
      </c>
      <c r="B177" s="15">
        <v>8</v>
      </c>
      <c r="C177" s="15">
        <v>49866.952214057303</v>
      </c>
      <c r="E177" s="15">
        <v>2008</v>
      </c>
      <c r="F177" s="15">
        <v>8</v>
      </c>
      <c r="G177" s="15">
        <v>49870.316408800099</v>
      </c>
      <c r="I177" s="18">
        <v>2008</v>
      </c>
      <c r="J177" s="18">
        <v>8</v>
      </c>
      <c r="K177" s="18">
        <v>49300.088006153499</v>
      </c>
    </row>
    <row r="178" spans="1:11" x14ac:dyDescent="0.25">
      <c r="A178" s="15">
        <v>2008</v>
      </c>
      <c r="B178" s="15">
        <v>9</v>
      </c>
      <c r="C178" s="15">
        <v>50486.126568428102</v>
      </c>
      <c r="E178" s="15">
        <v>2008</v>
      </c>
      <c r="F178" s="15">
        <v>9</v>
      </c>
      <c r="G178" s="15">
        <v>50486.738266191103</v>
      </c>
      <c r="I178" s="18">
        <v>2008</v>
      </c>
      <c r="J178" s="18">
        <v>9</v>
      </c>
      <c r="K178" s="18">
        <v>50164.192056178697</v>
      </c>
    </row>
    <row r="179" spans="1:11" x14ac:dyDescent="0.25">
      <c r="A179" s="15">
        <v>2008</v>
      </c>
      <c r="B179" s="15">
        <v>10</v>
      </c>
      <c r="C179" s="15">
        <v>46951.234543487502</v>
      </c>
      <c r="E179" s="15">
        <v>2008</v>
      </c>
      <c r="F179" s="15">
        <v>10</v>
      </c>
      <c r="G179" s="15">
        <v>46951.358298130297</v>
      </c>
      <c r="I179" s="18">
        <v>2008</v>
      </c>
      <c r="J179" s="18">
        <v>10</v>
      </c>
      <c r="K179" s="18">
        <v>46658.312053469599</v>
      </c>
    </row>
    <row r="180" spans="1:11" x14ac:dyDescent="0.25">
      <c r="A180" s="15">
        <v>2008</v>
      </c>
      <c r="B180" s="15">
        <v>11</v>
      </c>
      <c r="C180" s="15">
        <v>35503.155229219497</v>
      </c>
      <c r="E180" s="15">
        <v>2008</v>
      </c>
      <c r="F180" s="15">
        <v>11</v>
      </c>
      <c r="G180" s="15">
        <v>35507.931241757302</v>
      </c>
      <c r="I180" s="18">
        <v>2008</v>
      </c>
      <c r="J180" s="18">
        <v>11</v>
      </c>
      <c r="K180" s="18">
        <v>35288.066688701503</v>
      </c>
    </row>
    <row r="181" spans="1:11" x14ac:dyDescent="0.25">
      <c r="A181" s="15">
        <v>2008</v>
      </c>
      <c r="B181" s="15">
        <v>12</v>
      </c>
      <c r="C181" s="15">
        <v>26849.5848447879</v>
      </c>
      <c r="E181" s="15">
        <v>2008</v>
      </c>
      <c r="F181" s="15">
        <v>12</v>
      </c>
      <c r="G181" s="15">
        <v>26849.038994572598</v>
      </c>
      <c r="I181" s="18">
        <v>2008</v>
      </c>
      <c r="J181" s="18">
        <v>12</v>
      </c>
      <c r="K181" s="18">
        <v>27156.601821082299</v>
      </c>
    </row>
    <row r="182" spans="1:11" x14ac:dyDescent="0.25">
      <c r="A182" s="15">
        <v>2009</v>
      </c>
      <c r="B182" s="15">
        <v>1</v>
      </c>
      <c r="C182" s="15">
        <v>37125.112203779303</v>
      </c>
      <c r="E182" s="15">
        <v>2009</v>
      </c>
      <c r="F182" s="15">
        <v>1</v>
      </c>
      <c r="G182" s="15">
        <v>37125.462082585596</v>
      </c>
      <c r="I182" s="18">
        <v>2009</v>
      </c>
      <c r="J182" s="18">
        <v>1</v>
      </c>
      <c r="K182" s="18">
        <v>34683.320411342902</v>
      </c>
    </row>
    <row r="183" spans="1:11" x14ac:dyDescent="0.25">
      <c r="A183" s="15">
        <v>2009</v>
      </c>
      <c r="B183" s="15">
        <v>2</v>
      </c>
      <c r="C183" s="15">
        <v>22666.364942668799</v>
      </c>
      <c r="E183" s="15">
        <v>2009</v>
      </c>
      <c r="F183" s="15">
        <v>2</v>
      </c>
      <c r="G183" s="15">
        <v>22639.0438279716</v>
      </c>
      <c r="I183" s="18">
        <v>2009</v>
      </c>
      <c r="J183" s="18">
        <v>2</v>
      </c>
      <c r="K183" s="18">
        <v>28016.823471450502</v>
      </c>
    </row>
    <row r="184" spans="1:11" x14ac:dyDescent="0.25">
      <c r="A184" s="15">
        <v>2009</v>
      </c>
      <c r="B184" s="15">
        <v>3</v>
      </c>
      <c r="C184" s="15">
        <v>38095.498652472299</v>
      </c>
      <c r="E184" s="15">
        <v>2009</v>
      </c>
      <c r="F184" s="15">
        <v>3</v>
      </c>
      <c r="G184" s="15">
        <v>38096.617924762599</v>
      </c>
      <c r="I184" s="18">
        <v>2009</v>
      </c>
      <c r="J184" s="18">
        <v>3</v>
      </c>
      <c r="K184" s="18">
        <v>37603.3261060687</v>
      </c>
    </row>
    <row r="185" spans="1:11" x14ac:dyDescent="0.25">
      <c r="A185" s="15">
        <v>2009</v>
      </c>
      <c r="B185" s="15">
        <v>4</v>
      </c>
      <c r="C185" s="15">
        <v>36960.380828133297</v>
      </c>
      <c r="E185" s="15">
        <v>2009</v>
      </c>
      <c r="F185" s="15">
        <v>4</v>
      </c>
      <c r="G185" s="15">
        <v>36961.316825798203</v>
      </c>
      <c r="I185" s="18">
        <v>2009</v>
      </c>
      <c r="J185" s="18">
        <v>4</v>
      </c>
      <c r="K185" s="18">
        <v>36664.792890268604</v>
      </c>
    </row>
    <row r="186" spans="1:11" x14ac:dyDescent="0.25">
      <c r="A186" s="15">
        <v>2009</v>
      </c>
      <c r="B186" s="15">
        <v>5</v>
      </c>
      <c r="C186" s="15">
        <v>41045.180362297702</v>
      </c>
      <c r="E186" s="15">
        <v>2009</v>
      </c>
      <c r="F186" s="15">
        <v>5</v>
      </c>
      <c r="G186" s="15">
        <v>41048.464728916697</v>
      </c>
      <c r="I186" s="18">
        <v>2009</v>
      </c>
      <c r="J186" s="18">
        <v>5</v>
      </c>
      <c r="K186" s="18">
        <v>40739.1237054925</v>
      </c>
    </row>
    <row r="187" spans="1:11" x14ac:dyDescent="0.25">
      <c r="A187" s="15">
        <v>2009</v>
      </c>
      <c r="B187" s="15">
        <v>6</v>
      </c>
      <c r="C187" s="15">
        <v>39684.006114346499</v>
      </c>
      <c r="E187" s="15">
        <v>2009</v>
      </c>
      <c r="F187" s="15">
        <v>6</v>
      </c>
      <c r="G187" s="15">
        <v>39686.350062961399</v>
      </c>
      <c r="I187" s="18">
        <v>2009</v>
      </c>
      <c r="J187" s="18">
        <v>6</v>
      </c>
      <c r="K187" s="18">
        <v>40034.132800314997</v>
      </c>
    </row>
    <row r="188" spans="1:11" x14ac:dyDescent="0.25">
      <c r="A188" s="15">
        <v>2009</v>
      </c>
      <c r="B188" s="15">
        <v>7</v>
      </c>
      <c r="C188" s="15">
        <v>43450.119366890503</v>
      </c>
      <c r="E188" s="15">
        <v>2009</v>
      </c>
      <c r="F188" s="15">
        <v>7</v>
      </c>
      <c r="G188" s="15">
        <v>43449.666521191197</v>
      </c>
      <c r="I188" s="18">
        <v>2009</v>
      </c>
      <c r="J188" s="18">
        <v>7</v>
      </c>
      <c r="K188" s="18">
        <v>43116.093384161897</v>
      </c>
    </row>
    <row r="189" spans="1:11" x14ac:dyDescent="0.25">
      <c r="A189" s="15">
        <v>2009</v>
      </c>
      <c r="B189" s="15">
        <v>8</v>
      </c>
      <c r="C189" s="15">
        <v>41242.4833607029</v>
      </c>
      <c r="E189" s="15">
        <v>2009</v>
      </c>
      <c r="F189" s="15">
        <v>8</v>
      </c>
      <c r="G189" s="15">
        <v>41245.410936076099</v>
      </c>
      <c r="I189" s="18">
        <v>2009</v>
      </c>
      <c r="J189" s="18">
        <v>8</v>
      </c>
      <c r="K189" s="18">
        <v>40565.873051760798</v>
      </c>
    </row>
    <row r="190" spans="1:11" x14ac:dyDescent="0.25">
      <c r="A190" s="15">
        <v>2009</v>
      </c>
      <c r="B190" s="15">
        <v>9</v>
      </c>
      <c r="C190" s="15">
        <v>44831.3100880696</v>
      </c>
      <c r="E190" s="15">
        <v>2009</v>
      </c>
      <c r="F190" s="15">
        <v>9</v>
      </c>
      <c r="G190" s="15">
        <v>44832.235460509502</v>
      </c>
      <c r="I190" s="18">
        <v>2009</v>
      </c>
      <c r="J190" s="18">
        <v>9</v>
      </c>
      <c r="K190" s="18">
        <v>44486.787020920798</v>
      </c>
    </row>
    <row r="191" spans="1:11" x14ac:dyDescent="0.25">
      <c r="A191" s="15">
        <v>2009</v>
      </c>
      <c r="B191" s="15">
        <v>10</v>
      </c>
      <c r="C191" s="15">
        <v>49196.509532347198</v>
      </c>
      <c r="E191" s="15">
        <v>2009</v>
      </c>
      <c r="F191" s="15">
        <v>10</v>
      </c>
      <c r="G191" s="15">
        <v>49198.703863499199</v>
      </c>
      <c r="I191" s="18">
        <v>2009</v>
      </c>
      <c r="J191" s="18">
        <v>10</v>
      </c>
      <c r="K191" s="18">
        <v>48727.863737320302</v>
      </c>
    </row>
    <row r="192" spans="1:11" x14ac:dyDescent="0.25">
      <c r="A192" s="15">
        <v>2009</v>
      </c>
      <c r="B192" s="15">
        <v>11</v>
      </c>
      <c r="C192" s="15">
        <v>49481.486636896101</v>
      </c>
      <c r="E192" s="15">
        <v>2009</v>
      </c>
      <c r="F192" s="15">
        <v>11</v>
      </c>
      <c r="G192" s="15">
        <v>49484.862199798001</v>
      </c>
      <c r="I192" s="18">
        <v>2009</v>
      </c>
      <c r="J192" s="18">
        <v>11</v>
      </c>
      <c r="K192" s="18">
        <v>49389.282009798502</v>
      </c>
    </row>
    <row r="193" spans="1:11" x14ac:dyDescent="0.25">
      <c r="A193" s="15">
        <v>2009</v>
      </c>
      <c r="B193" s="15">
        <v>12</v>
      </c>
      <c r="C193" s="15">
        <v>53632.493010406797</v>
      </c>
      <c r="E193" s="15">
        <v>2009</v>
      </c>
      <c r="F193" s="15">
        <v>12</v>
      </c>
      <c r="G193" s="15">
        <v>53631.667322476802</v>
      </c>
      <c r="I193" s="18">
        <v>2009</v>
      </c>
      <c r="J193" s="18">
        <v>12</v>
      </c>
      <c r="K193" s="18">
        <v>53923.080252285697</v>
      </c>
    </row>
    <row r="194" spans="1:11" x14ac:dyDescent="0.25">
      <c r="A194" s="15">
        <v>2010</v>
      </c>
      <c r="B194" s="15">
        <v>1</v>
      </c>
      <c r="C194" s="15">
        <v>52177.008498281102</v>
      </c>
      <c r="E194" s="15">
        <v>2010</v>
      </c>
      <c r="F194" s="15">
        <v>1</v>
      </c>
      <c r="G194" s="15">
        <v>52180.692502044098</v>
      </c>
      <c r="I194" s="18">
        <v>2010</v>
      </c>
      <c r="J194" s="18">
        <v>1</v>
      </c>
      <c r="K194" s="18">
        <v>50376.403463782503</v>
      </c>
    </row>
    <row r="195" spans="1:11" x14ac:dyDescent="0.25">
      <c r="A195" s="15">
        <v>2010</v>
      </c>
      <c r="B195" s="15">
        <v>2</v>
      </c>
      <c r="C195" s="15">
        <v>47846.591119550001</v>
      </c>
      <c r="E195" s="15">
        <v>2010</v>
      </c>
      <c r="F195" s="15">
        <v>2</v>
      </c>
      <c r="G195" s="15">
        <v>47815.046213139001</v>
      </c>
      <c r="I195" s="18">
        <v>2010</v>
      </c>
      <c r="J195" s="18">
        <v>2</v>
      </c>
      <c r="K195" s="18">
        <v>52860.983304103902</v>
      </c>
    </row>
    <row r="196" spans="1:11" x14ac:dyDescent="0.25">
      <c r="A196" s="15">
        <v>2010</v>
      </c>
      <c r="B196" s="15">
        <v>3</v>
      </c>
      <c r="C196" s="15">
        <v>49800.049537067098</v>
      </c>
      <c r="E196" s="15">
        <v>2010</v>
      </c>
      <c r="F196" s="15">
        <v>3</v>
      </c>
      <c r="G196" s="15">
        <v>49799.274701808499</v>
      </c>
      <c r="I196" s="18">
        <v>2010</v>
      </c>
      <c r="J196" s="18">
        <v>3</v>
      </c>
      <c r="K196" s="18">
        <v>49353.174355726798</v>
      </c>
    </row>
    <row r="197" spans="1:11" x14ac:dyDescent="0.25">
      <c r="A197" s="15">
        <v>2010</v>
      </c>
      <c r="B197" s="15">
        <v>4</v>
      </c>
      <c r="C197" s="15">
        <v>55605.559642491498</v>
      </c>
      <c r="E197" s="15">
        <v>2010</v>
      </c>
      <c r="F197" s="15">
        <v>4</v>
      </c>
      <c r="G197" s="15">
        <v>55607.487936787998</v>
      </c>
      <c r="I197" s="18">
        <v>2010</v>
      </c>
      <c r="J197" s="18">
        <v>4</v>
      </c>
      <c r="K197" s="18">
        <v>55267.034582738102</v>
      </c>
    </row>
    <row r="198" spans="1:11" x14ac:dyDescent="0.25">
      <c r="A198" s="15">
        <v>2010</v>
      </c>
      <c r="B198" s="15">
        <v>5</v>
      </c>
      <c r="C198" s="15">
        <v>56864.860591375502</v>
      </c>
      <c r="E198" s="15">
        <v>2010</v>
      </c>
      <c r="F198" s="15">
        <v>5</v>
      </c>
      <c r="G198" s="15">
        <v>56868.697735224298</v>
      </c>
      <c r="I198" s="18">
        <v>2010</v>
      </c>
      <c r="J198" s="18">
        <v>5</v>
      </c>
      <c r="K198" s="18">
        <v>56375.720140601901</v>
      </c>
    </row>
    <row r="199" spans="1:11" x14ac:dyDescent="0.25">
      <c r="A199" s="15">
        <v>2010</v>
      </c>
      <c r="B199" s="15">
        <v>6</v>
      </c>
      <c r="C199" s="15">
        <v>58826.211827195897</v>
      </c>
      <c r="E199" s="15">
        <v>2010</v>
      </c>
      <c r="F199" s="15">
        <v>6</v>
      </c>
      <c r="G199" s="15">
        <v>58829.2422315328</v>
      </c>
      <c r="I199" s="18">
        <v>2010</v>
      </c>
      <c r="J199" s="18">
        <v>6</v>
      </c>
      <c r="K199" s="18">
        <v>59166.802854359899</v>
      </c>
    </row>
    <row r="200" spans="1:11" x14ac:dyDescent="0.25">
      <c r="A200" s="15">
        <v>2010</v>
      </c>
      <c r="B200" s="15">
        <v>7</v>
      </c>
      <c r="C200" s="15">
        <v>54883.807455357302</v>
      </c>
      <c r="E200" s="15">
        <v>2010</v>
      </c>
      <c r="F200" s="15">
        <v>7</v>
      </c>
      <c r="G200" s="15">
        <v>54885.656712161399</v>
      </c>
      <c r="I200" s="18">
        <v>2010</v>
      </c>
      <c r="J200" s="18">
        <v>7</v>
      </c>
      <c r="K200" s="18">
        <v>54453.613624099002</v>
      </c>
    </row>
    <row r="201" spans="1:11" x14ac:dyDescent="0.25">
      <c r="A201" s="15">
        <v>2010</v>
      </c>
      <c r="B201" s="15">
        <v>8</v>
      </c>
      <c r="C201" s="15">
        <v>62626.5571456873</v>
      </c>
      <c r="E201" s="15">
        <v>2010</v>
      </c>
      <c r="F201" s="15">
        <v>8</v>
      </c>
      <c r="G201" s="15">
        <v>62627.300387248702</v>
      </c>
      <c r="I201" s="18">
        <v>2010</v>
      </c>
      <c r="J201" s="18">
        <v>8</v>
      </c>
      <c r="K201" s="18">
        <v>62069.819702770299</v>
      </c>
    </row>
    <row r="202" spans="1:11" x14ac:dyDescent="0.25">
      <c r="A202" s="15">
        <v>2010</v>
      </c>
      <c r="B202" s="15">
        <v>9</v>
      </c>
      <c r="C202" s="15">
        <v>62746.1358972991</v>
      </c>
      <c r="E202" s="15">
        <v>2010</v>
      </c>
      <c r="F202" s="15">
        <v>9</v>
      </c>
      <c r="G202" s="15">
        <v>62747.014437118203</v>
      </c>
      <c r="I202" s="18">
        <v>2010</v>
      </c>
      <c r="J202" s="18">
        <v>9</v>
      </c>
      <c r="K202" s="18">
        <v>62486.601034000603</v>
      </c>
    </row>
    <row r="203" spans="1:11" x14ac:dyDescent="0.25">
      <c r="A203" s="15">
        <v>2010</v>
      </c>
      <c r="B203" s="15">
        <v>10</v>
      </c>
      <c r="C203" s="15">
        <v>59328.149172613899</v>
      </c>
      <c r="E203" s="15">
        <v>2010</v>
      </c>
      <c r="F203" s="15">
        <v>10</v>
      </c>
      <c r="G203" s="15">
        <v>59332.022535319004</v>
      </c>
      <c r="I203" s="18">
        <v>2010</v>
      </c>
      <c r="J203" s="18">
        <v>10</v>
      </c>
      <c r="K203" s="18">
        <v>58689.441388727297</v>
      </c>
    </row>
    <row r="204" spans="1:11" x14ac:dyDescent="0.25">
      <c r="A204" s="15">
        <v>2010</v>
      </c>
      <c r="B204" s="15">
        <v>11</v>
      </c>
      <c r="C204" s="15">
        <v>66681.299492051898</v>
      </c>
      <c r="E204" s="15">
        <v>2010</v>
      </c>
      <c r="F204" s="15">
        <v>11</v>
      </c>
      <c r="G204" s="15">
        <v>66682.751540862504</v>
      </c>
      <c r="I204" s="18">
        <v>2010</v>
      </c>
      <c r="J204" s="18">
        <v>11</v>
      </c>
      <c r="K204" s="18">
        <v>66664.709309014695</v>
      </c>
    </row>
    <row r="205" spans="1:11" x14ac:dyDescent="0.25">
      <c r="A205" s="15">
        <v>2010</v>
      </c>
      <c r="B205" s="15">
        <v>12</v>
      </c>
      <c r="C205" s="15">
        <v>68065.963044230797</v>
      </c>
      <c r="E205" s="15">
        <v>2010</v>
      </c>
      <c r="F205" s="15">
        <v>12</v>
      </c>
      <c r="G205" s="15">
        <v>68064.619538789804</v>
      </c>
      <c r="I205" s="18">
        <v>2010</v>
      </c>
      <c r="J205" s="18">
        <v>12</v>
      </c>
      <c r="K205" s="18">
        <v>68338.3638764957</v>
      </c>
    </row>
    <row r="206" spans="1:11" x14ac:dyDescent="0.25">
      <c r="A206" s="15">
        <v>2011</v>
      </c>
      <c r="B206" s="15">
        <v>1</v>
      </c>
      <c r="C206" s="15">
        <v>68522.225555524899</v>
      </c>
      <c r="E206" s="15">
        <v>2011</v>
      </c>
      <c r="F206" s="15">
        <v>1</v>
      </c>
      <c r="G206" s="15">
        <v>68526.3925831745</v>
      </c>
      <c r="I206" s="18">
        <v>2011</v>
      </c>
      <c r="J206" s="18">
        <v>1</v>
      </c>
      <c r="K206" s="18">
        <v>67586.643013685694</v>
      </c>
    </row>
    <row r="207" spans="1:11" x14ac:dyDescent="0.25">
      <c r="A207" s="15">
        <v>2011</v>
      </c>
      <c r="B207" s="15">
        <v>2</v>
      </c>
      <c r="C207" s="15">
        <v>48896.347904593502</v>
      </c>
      <c r="E207" s="15">
        <v>2011</v>
      </c>
      <c r="F207" s="15">
        <v>2</v>
      </c>
      <c r="G207" s="15">
        <v>48865.305667781897</v>
      </c>
      <c r="I207" s="18">
        <v>2011</v>
      </c>
      <c r="J207" s="18">
        <v>2</v>
      </c>
      <c r="K207" s="18">
        <v>53067.5498553324</v>
      </c>
    </row>
    <row r="208" spans="1:11" x14ac:dyDescent="0.25">
      <c r="A208" s="15">
        <v>2011</v>
      </c>
      <c r="B208" s="15">
        <v>3</v>
      </c>
      <c r="C208" s="15">
        <v>66304.091289931195</v>
      </c>
      <c r="E208" s="15">
        <v>2011</v>
      </c>
      <c r="F208" s="15">
        <v>3</v>
      </c>
      <c r="G208" s="15">
        <v>66302.347362383603</v>
      </c>
      <c r="I208" s="18">
        <v>2011</v>
      </c>
      <c r="J208" s="18">
        <v>3</v>
      </c>
      <c r="K208" s="18">
        <v>65841.557957174504</v>
      </c>
    </row>
    <row r="209" spans="1:11" x14ac:dyDescent="0.25">
      <c r="A209" s="15">
        <v>2011</v>
      </c>
      <c r="B209" s="15">
        <v>4</v>
      </c>
      <c r="C209" s="15">
        <v>72152.876938262605</v>
      </c>
      <c r="E209" s="15">
        <v>2011</v>
      </c>
      <c r="F209" s="15">
        <v>4</v>
      </c>
      <c r="G209" s="15">
        <v>72156.722093772798</v>
      </c>
      <c r="I209" s="18">
        <v>2011</v>
      </c>
      <c r="J209" s="18">
        <v>4</v>
      </c>
      <c r="K209" s="18">
        <v>71682.135800981094</v>
      </c>
    </row>
    <row r="210" spans="1:11" x14ac:dyDescent="0.25">
      <c r="A210" s="15">
        <v>2011</v>
      </c>
      <c r="B210" s="15">
        <v>5</v>
      </c>
      <c r="C210" s="15">
        <v>74778.828326602903</v>
      </c>
      <c r="E210" s="15">
        <v>2011</v>
      </c>
      <c r="F210" s="15">
        <v>5</v>
      </c>
      <c r="G210" s="15">
        <v>74781.108866481503</v>
      </c>
      <c r="I210" s="18">
        <v>2011</v>
      </c>
      <c r="J210" s="18">
        <v>5</v>
      </c>
      <c r="K210" s="18">
        <v>74450.279323795097</v>
      </c>
    </row>
    <row r="211" spans="1:11" x14ac:dyDescent="0.25">
      <c r="A211" s="15">
        <v>2011</v>
      </c>
      <c r="B211" s="15">
        <v>6</v>
      </c>
      <c r="C211" s="15">
        <v>74437.213815002295</v>
      </c>
      <c r="E211" s="15">
        <v>2011</v>
      </c>
      <c r="F211" s="15">
        <v>6</v>
      </c>
      <c r="G211" s="15">
        <v>74440.5755551537</v>
      </c>
      <c r="I211" s="18">
        <v>2011</v>
      </c>
      <c r="J211" s="18">
        <v>6</v>
      </c>
      <c r="K211" s="18">
        <v>74766.078747075706</v>
      </c>
    </row>
    <row r="212" spans="1:11" x14ac:dyDescent="0.25">
      <c r="A212" s="15">
        <v>2011</v>
      </c>
      <c r="B212" s="15">
        <v>7</v>
      </c>
      <c r="C212" s="15">
        <v>69418.473099511801</v>
      </c>
      <c r="E212" s="15">
        <v>2011</v>
      </c>
      <c r="F212" s="15">
        <v>7</v>
      </c>
      <c r="G212" s="15">
        <v>69422.514827240695</v>
      </c>
      <c r="I212" s="18">
        <v>2011</v>
      </c>
      <c r="J212" s="18">
        <v>7</v>
      </c>
      <c r="K212" s="18">
        <v>68883.0663975676</v>
      </c>
    </row>
    <row r="213" spans="1:11" x14ac:dyDescent="0.25">
      <c r="A213" s="15">
        <v>2011</v>
      </c>
      <c r="B213" s="15">
        <v>8</v>
      </c>
      <c r="C213" s="15">
        <v>73346.200616379094</v>
      </c>
      <c r="E213" s="15">
        <v>2011</v>
      </c>
      <c r="F213" s="15">
        <v>8</v>
      </c>
      <c r="G213" s="15">
        <v>73344.785581526099</v>
      </c>
      <c r="I213" s="18">
        <v>2011</v>
      </c>
      <c r="J213" s="18">
        <v>8</v>
      </c>
      <c r="K213" s="18">
        <v>72984.939548533002</v>
      </c>
    </row>
    <row r="214" spans="1:11" x14ac:dyDescent="0.25">
      <c r="A214" s="15">
        <v>2011</v>
      </c>
      <c r="B214" s="15">
        <v>9</v>
      </c>
      <c r="C214" s="15">
        <v>69216.682459980104</v>
      </c>
      <c r="E214" s="15">
        <v>2011</v>
      </c>
      <c r="F214" s="15">
        <v>9</v>
      </c>
      <c r="G214" s="15">
        <v>69217.287404992996</v>
      </c>
      <c r="I214" s="18">
        <v>2011</v>
      </c>
      <c r="J214" s="18">
        <v>9</v>
      </c>
      <c r="K214" s="18">
        <v>69053.716953570707</v>
      </c>
    </row>
    <row r="215" spans="1:11" x14ac:dyDescent="0.25">
      <c r="A215" s="15">
        <v>2011</v>
      </c>
      <c r="B215" s="15">
        <v>10</v>
      </c>
      <c r="C215" s="15">
        <v>65761.865254955206</v>
      </c>
      <c r="E215" s="15">
        <v>2011</v>
      </c>
      <c r="F215" s="15">
        <v>10</v>
      </c>
      <c r="G215" s="15">
        <v>65765.506820380499</v>
      </c>
      <c r="I215" s="18">
        <v>2011</v>
      </c>
      <c r="J215" s="18">
        <v>10</v>
      </c>
      <c r="K215" s="18">
        <v>65117.044730204398</v>
      </c>
    </row>
    <row r="216" spans="1:11" x14ac:dyDescent="0.25">
      <c r="A216" s="15">
        <v>2011</v>
      </c>
      <c r="B216" s="15">
        <v>11</v>
      </c>
      <c r="C216" s="15">
        <v>65671.560630246997</v>
      </c>
      <c r="E216" s="15">
        <v>2011</v>
      </c>
      <c r="F216" s="15">
        <v>11</v>
      </c>
      <c r="G216" s="15">
        <v>65672.347555757093</v>
      </c>
      <c r="I216" s="18">
        <v>2011</v>
      </c>
      <c r="J216" s="18">
        <v>11</v>
      </c>
      <c r="K216" s="18">
        <v>65616.569641448194</v>
      </c>
    </row>
    <row r="217" spans="1:11" x14ac:dyDescent="0.25">
      <c r="A217" s="15">
        <v>2011</v>
      </c>
      <c r="B217" s="15">
        <v>12</v>
      </c>
      <c r="C217" s="15">
        <v>57677.023248363599</v>
      </c>
      <c r="E217" s="15">
        <v>2011</v>
      </c>
      <c r="F217" s="15">
        <v>12</v>
      </c>
      <c r="G217" s="15">
        <v>57676.834811645997</v>
      </c>
      <c r="I217" s="18">
        <v>2011</v>
      </c>
      <c r="J217" s="18">
        <v>12</v>
      </c>
      <c r="K217" s="18">
        <v>57747.001115657498</v>
      </c>
    </row>
    <row r="218" spans="1:11" x14ac:dyDescent="0.25">
      <c r="A218" s="15">
        <v>2012</v>
      </c>
      <c r="B218" s="15">
        <v>1</v>
      </c>
      <c r="C218" s="15">
        <v>63078.104760717899</v>
      </c>
      <c r="E218" s="15">
        <v>2012</v>
      </c>
      <c r="F218" s="15">
        <v>1</v>
      </c>
      <c r="G218" s="15">
        <v>63080.231852967197</v>
      </c>
      <c r="I218" s="18">
        <v>2012</v>
      </c>
      <c r="J218" s="18">
        <v>1</v>
      </c>
      <c r="K218" s="18">
        <v>62875.329758747699</v>
      </c>
    </row>
    <row r="219" spans="1:11" x14ac:dyDescent="0.25">
      <c r="A219" s="15">
        <v>2012</v>
      </c>
      <c r="B219" s="15">
        <v>2</v>
      </c>
      <c r="C219" s="15">
        <v>62420.809958065998</v>
      </c>
      <c r="E219" s="15">
        <v>2012</v>
      </c>
      <c r="F219" s="15">
        <v>2</v>
      </c>
      <c r="G219" s="15">
        <v>62439.2894385072</v>
      </c>
      <c r="I219" s="18">
        <v>2012</v>
      </c>
      <c r="J219" s="18">
        <v>2</v>
      </c>
      <c r="K219" s="18">
        <v>62835.385554399298</v>
      </c>
    </row>
    <row r="220" spans="1:11" x14ac:dyDescent="0.25">
      <c r="A220" s="15">
        <v>2012</v>
      </c>
      <c r="B220" s="15">
        <v>3</v>
      </c>
      <c r="C220" s="15">
        <v>63934.098328846398</v>
      </c>
      <c r="E220" s="15">
        <v>2012</v>
      </c>
      <c r="F220" s="15">
        <v>3</v>
      </c>
      <c r="G220" s="15">
        <v>63932.869734848202</v>
      </c>
      <c r="I220" s="18">
        <v>2012</v>
      </c>
      <c r="J220" s="18">
        <v>3</v>
      </c>
      <c r="K220" s="18">
        <v>63431.110427380401</v>
      </c>
    </row>
    <row r="221" spans="1:11" x14ac:dyDescent="0.25">
      <c r="A221" s="15">
        <v>2012</v>
      </c>
      <c r="B221" s="15">
        <v>4</v>
      </c>
      <c r="C221" s="15">
        <v>54277.236216549201</v>
      </c>
      <c r="E221" s="15">
        <v>2012</v>
      </c>
      <c r="F221" s="15">
        <v>4</v>
      </c>
      <c r="G221" s="15">
        <v>54280.265737744099</v>
      </c>
      <c r="I221" s="18">
        <v>2012</v>
      </c>
      <c r="J221" s="18">
        <v>4</v>
      </c>
      <c r="K221" s="18">
        <v>53889.127686487103</v>
      </c>
    </row>
    <row r="222" spans="1:11" x14ac:dyDescent="0.25">
      <c r="A222" s="15">
        <v>2012</v>
      </c>
      <c r="B222" s="15">
        <v>5</v>
      </c>
      <c r="C222" s="15">
        <v>53952.307373920601</v>
      </c>
      <c r="E222" s="15">
        <v>2012</v>
      </c>
      <c r="F222" s="15">
        <v>5</v>
      </c>
      <c r="G222" s="15">
        <v>53952.456896415402</v>
      </c>
      <c r="I222" s="18">
        <v>2012</v>
      </c>
      <c r="J222" s="18">
        <v>5</v>
      </c>
      <c r="K222" s="18">
        <v>53828.414199674102</v>
      </c>
    </row>
    <row r="223" spans="1:11" x14ac:dyDescent="0.25">
      <c r="A223" s="15">
        <v>2012</v>
      </c>
      <c r="B223" s="15">
        <v>6</v>
      </c>
      <c r="C223" s="15">
        <v>48405.416421620997</v>
      </c>
      <c r="E223" s="15">
        <v>2012</v>
      </c>
      <c r="F223" s="15">
        <v>6</v>
      </c>
      <c r="G223" s="15">
        <v>48410.493481014797</v>
      </c>
      <c r="I223" s="18">
        <v>2012</v>
      </c>
      <c r="J223" s="18">
        <v>6</v>
      </c>
      <c r="K223" s="18">
        <v>48473.858122071302</v>
      </c>
    </row>
    <row r="224" spans="1:11" x14ac:dyDescent="0.25">
      <c r="A224" s="15">
        <v>2012</v>
      </c>
      <c r="B224" s="15">
        <v>7</v>
      </c>
      <c r="C224" s="15">
        <v>63522.836910316801</v>
      </c>
      <c r="E224" s="15">
        <v>2012</v>
      </c>
      <c r="F224" s="15">
        <v>7</v>
      </c>
      <c r="G224" s="15">
        <v>63525.019902222703</v>
      </c>
      <c r="I224" s="18">
        <v>2012</v>
      </c>
      <c r="J224" s="18">
        <v>7</v>
      </c>
      <c r="K224" s="18">
        <v>63222.7096973527</v>
      </c>
    </row>
    <row r="225" spans="1:11" x14ac:dyDescent="0.25">
      <c r="A225" s="15">
        <v>2012</v>
      </c>
      <c r="B225" s="15">
        <v>8</v>
      </c>
      <c r="C225" s="15">
        <v>69585.760496837</v>
      </c>
      <c r="E225" s="15">
        <v>2012</v>
      </c>
      <c r="F225" s="15">
        <v>8</v>
      </c>
      <c r="G225" s="15">
        <v>69584.244920011799</v>
      </c>
      <c r="I225" s="18">
        <v>2012</v>
      </c>
      <c r="J225" s="18">
        <v>8</v>
      </c>
      <c r="K225" s="18">
        <v>69366.908112976496</v>
      </c>
    </row>
    <row r="226" spans="1:11" x14ac:dyDescent="0.25">
      <c r="A226" s="15">
        <v>2012</v>
      </c>
      <c r="B226" s="15">
        <v>9</v>
      </c>
      <c r="C226" s="15">
        <v>61285.047127898702</v>
      </c>
      <c r="E226" s="15">
        <v>2012</v>
      </c>
      <c r="F226" s="15">
        <v>9</v>
      </c>
      <c r="G226" s="15">
        <v>61289.105445224101</v>
      </c>
      <c r="I226" s="18">
        <v>2012</v>
      </c>
      <c r="J226" s="18">
        <v>9</v>
      </c>
      <c r="K226" s="18">
        <v>60878.765192843901</v>
      </c>
    </row>
    <row r="227" spans="1:11" x14ac:dyDescent="0.25">
      <c r="A227" s="15">
        <v>2012</v>
      </c>
      <c r="B227" s="15">
        <v>10</v>
      </c>
      <c r="C227" s="15">
        <v>68186.528893732902</v>
      </c>
      <c r="E227" s="15">
        <v>2012</v>
      </c>
      <c r="F227" s="15">
        <v>10</v>
      </c>
      <c r="G227" s="15">
        <v>68186.265937346398</v>
      </c>
      <c r="I227" s="18">
        <v>2012</v>
      </c>
      <c r="J227" s="18">
        <v>10</v>
      </c>
      <c r="K227" s="18">
        <v>67865.266267700601</v>
      </c>
    </row>
    <row r="228" spans="1:11" x14ac:dyDescent="0.25">
      <c r="A228" s="15">
        <v>2012</v>
      </c>
      <c r="B228" s="15">
        <v>11</v>
      </c>
      <c r="C228" s="15">
        <v>68924.465717758299</v>
      </c>
      <c r="E228" s="15">
        <v>2012</v>
      </c>
      <c r="F228" s="15">
        <v>11</v>
      </c>
      <c r="G228" s="15">
        <v>68924.674461882198</v>
      </c>
      <c r="I228" s="18">
        <v>2012</v>
      </c>
      <c r="J228" s="18">
        <v>11</v>
      </c>
      <c r="K228" s="18">
        <v>68882.498416259696</v>
      </c>
    </row>
    <row r="229" spans="1:11" x14ac:dyDescent="0.25">
      <c r="A229" s="15">
        <v>2012</v>
      </c>
      <c r="B229" s="15">
        <v>12</v>
      </c>
      <c r="C229" s="15">
        <v>69692.333113065499</v>
      </c>
      <c r="E229" s="15">
        <v>2012</v>
      </c>
      <c r="F229" s="15">
        <v>12</v>
      </c>
      <c r="G229" s="15">
        <v>69693.718916572296</v>
      </c>
      <c r="I229" s="18">
        <v>2012</v>
      </c>
      <c r="J229" s="18">
        <v>12</v>
      </c>
      <c r="K229" s="18">
        <v>69632.254913827099</v>
      </c>
    </row>
    <row r="230" spans="1:11" x14ac:dyDescent="0.25">
      <c r="A230" s="15">
        <v>2013</v>
      </c>
      <c r="B230" s="15">
        <v>1</v>
      </c>
      <c r="C230" s="15">
        <v>64172.674516478502</v>
      </c>
      <c r="E230" s="15">
        <v>2013</v>
      </c>
      <c r="F230" s="15">
        <v>1</v>
      </c>
      <c r="G230" s="15">
        <v>64172.443032233197</v>
      </c>
      <c r="I230" s="18">
        <v>2013</v>
      </c>
      <c r="J230" s="18">
        <v>1</v>
      </c>
      <c r="K230" s="18">
        <v>64344.586972008903</v>
      </c>
    </row>
    <row r="231" spans="1:11" x14ac:dyDescent="0.25">
      <c r="A231" s="15">
        <v>2013</v>
      </c>
      <c r="B231" s="15">
        <v>2</v>
      </c>
      <c r="C231" s="15">
        <v>57168.754010554097</v>
      </c>
      <c r="E231" s="15">
        <v>2013</v>
      </c>
      <c r="F231" s="15">
        <v>2</v>
      </c>
      <c r="G231" s="15">
        <v>57146.355045707198</v>
      </c>
      <c r="I231" s="18">
        <v>2013</v>
      </c>
      <c r="J231" s="18">
        <v>2</v>
      </c>
      <c r="K231" s="18">
        <v>59611.825517611702</v>
      </c>
    </row>
    <row r="232" spans="1:11" x14ac:dyDescent="0.25">
      <c r="A232" s="15">
        <v>2013</v>
      </c>
      <c r="B232" s="15">
        <v>3</v>
      </c>
      <c r="C232" s="15">
        <v>74124.896164676</v>
      </c>
      <c r="E232" s="15">
        <v>2013</v>
      </c>
      <c r="F232" s="15">
        <v>3</v>
      </c>
      <c r="G232" s="15">
        <v>74124.832437514604</v>
      </c>
      <c r="I232" s="18">
        <v>2013</v>
      </c>
      <c r="J232" s="18">
        <v>3</v>
      </c>
      <c r="K232" s="18">
        <v>73643.847164681007</v>
      </c>
    </row>
    <row r="233" spans="1:11" x14ac:dyDescent="0.25">
      <c r="A233" s="15">
        <v>2013</v>
      </c>
      <c r="B233" s="15">
        <v>4</v>
      </c>
      <c r="C233" s="15">
        <v>71624.111919594405</v>
      </c>
      <c r="E233" s="15">
        <v>2013</v>
      </c>
      <c r="F233" s="15">
        <v>4</v>
      </c>
      <c r="G233" s="15">
        <v>71624.532517731495</v>
      </c>
      <c r="I233" s="18">
        <v>2013</v>
      </c>
      <c r="J233" s="18">
        <v>4</v>
      </c>
      <c r="K233" s="18">
        <v>71528.0533622027</v>
      </c>
    </row>
    <row r="234" spans="1:11" x14ac:dyDescent="0.25">
      <c r="A234" s="15">
        <v>2013</v>
      </c>
      <c r="B234" s="15">
        <v>5</v>
      </c>
      <c r="C234" s="15">
        <v>73695.472691965493</v>
      </c>
      <c r="E234" s="15">
        <v>2013</v>
      </c>
      <c r="F234" s="15">
        <v>5</v>
      </c>
      <c r="G234" s="15">
        <v>73695.1802317439</v>
      </c>
      <c r="I234" s="18">
        <v>2013</v>
      </c>
      <c r="J234" s="18">
        <v>5</v>
      </c>
      <c r="K234" s="18">
        <v>73632.354155938199</v>
      </c>
    </row>
    <row r="235" spans="1:11" x14ac:dyDescent="0.25">
      <c r="A235" s="15">
        <v>2013</v>
      </c>
      <c r="B235" s="15">
        <v>6</v>
      </c>
      <c r="C235" s="15">
        <v>59699.220254849301</v>
      </c>
      <c r="E235" s="15">
        <v>2013</v>
      </c>
      <c r="F235" s="15">
        <v>6</v>
      </c>
      <c r="G235" s="15">
        <v>59705.819327722602</v>
      </c>
      <c r="I235" s="18">
        <v>2013</v>
      </c>
      <c r="J235" s="18">
        <v>6</v>
      </c>
      <c r="K235" s="18">
        <v>59640.724189620501</v>
      </c>
    </row>
    <row r="236" spans="1:11" x14ac:dyDescent="0.25">
      <c r="A236" s="15">
        <v>2013</v>
      </c>
      <c r="B236" s="15">
        <v>7</v>
      </c>
      <c r="C236" s="15">
        <v>67938.895501803097</v>
      </c>
      <c r="E236" s="15">
        <v>2013</v>
      </c>
      <c r="F236" s="15">
        <v>7</v>
      </c>
      <c r="G236" s="15">
        <v>67938.873140242998</v>
      </c>
      <c r="I236" s="18">
        <v>2013</v>
      </c>
      <c r="J236" s="18">
        <v>7</v>
      </c>
      <c r="K236" s="18">
        <v>67842.621690471598</v>
      </c>
    </row>
    <row r="237" spans="1:11" x14ac:dyDescent="0.25">
      <c r="A237" s="15">
        <v>2013</v>
      </c>
      <c r="B237" s="15">
        <v>8</v>
      </c>
      <c r="C237" s="15">
        <v>61954.315246722501</v>
      </c>
      <c r="E237" s="15">
        <v>2013</v>
      </c>
      <c r="F237" s="15">
        <v>8</v>
      </c>
      <c r="G237" s="15">
        <v>61954.273444072001</v>
      </c>
      <c r="I237" s="18">
        <v>2013</v>
      </c>
      <c r="J237" s="18">
        <v>8</v>
      </c>
      <c r="K237" s="18">
        <v>61705.712412162196</v>
      </c>
    </row>
    <row r="238" spans="1:11" x14ac:dyDescent="0.25">
      <c r="A238" s="15">
        <v>2013</v>
      </c>
      <c r="B238" s="15">
        <v>9</v>
      </c>
      <c r="C238" s="15">
        <v>62964.707547203398</v>
      </c>
      <c r="E238" s="15">
        <v>2013</v>
      </c>
      <c r="F238" s="15">
        <v>9</v>
      </c>
      <c r="G238" s="15">
        <v>62966.469102958697</v>
      </c>
      <c r="I238" s="18">
        <v>2013</v>
      </c>
      <c r="J238" s="18">
        <v>9</v>
      </c>
      <c r="K238" s="18">
        <v>62758.626400240399</v>
      </c>
    </row>
    <row r="239" spans="1:11" x14ac:dyDescent="0.25">
      <c r="A239" s="15">
        <v>2013</v>
      </c>
      <c r="B239" s="15">
        <v>10</v>
      </c>
      <c r="C239" s="15">
        <v>64145.121291411597</v>
      </c>
      <c r="E239" s="15">
        <v>2013</v>
      </c>
      <c r="F239" s="15">
        <v>10</v>
      </c>
      <c r="G239" s="15">
        <v>64145.594752870304</v>
      </c>
      <c r="I239" s="18">
        <v>2013</v>
      </c>
      <c r="J239" s="18">
        <v>10</v>
      </c>
      <c r="K239" s="18">
        <v>63781.908106171402</v>
      </c>
    </row>
    <row r="240" spans="1:11" x14ac:dyDescent="0.25">
      <c r="A240" s="15">
        <v>2013</v>
      </c>
      <c r="B240" s="15">
        <v>11</v>
      </c>
      <c r="C240" s="15">
        <v>54606.939123789001</v>
      </c>
      <c r="E240" s="15">
        <v>2013</v>
      </c>
      <c r="F240" s="15">
        <v>11</v>
      </c>
      <c r="G240" s="15">
        <v>54608.265910754097</v>
      </c>
      <c r="I240" s="18">
        <v>2013</v>
      </c>
      <c r="J240" s="18">
        <v>11</v>
      </c>
      <c r="K240" s="18">
        <v>54436.353520770797</v>
      </c>
    </row>
    <row r="241" spans="1:11" x14ac:dyDescent="0.25">
      <c r="A241" s="15">
        <v>2013</v>
      </c>
      <c r="B241" s="15">
        <v>12</v>
      </c>
      <c r="C241" s="15">
        <v>52588.293010538699</v>
      </c>
      <c r="E241" s="15">
        <v>2013</v>
      </c>
      <c r="F241" s="15">
        <v>12</v>
      </c>
      <c r="G241" s="15">
        <v>52588.081251808697</v>
      </c>
      <c r="I241" s="18">
        <v>2013</v>
      </c>
      <c r="J241" s="18">
        <v>12</v>
      </c>
      <c r="K241" s="18">
        <v>52587.656562522599</v>
      </c>
    </row>
    <row r="242" spans="1:11" x14ac:dyDescent="0.25">
      <c r="A242" s="15">
        <v>2014</v>
      </c>
      <c r="B242" s="15">
        <v>1</v>
      </c>
      <c r="C242" s="15">
        <v>56249.516796244403</v>
      </c>
      <c r="E242" s="15">
        <v>2014</v>
      </c>
      <c r="F242" s="15">
        <v>1</v>
      </c>
      <c r="G242" s="15">
        <v>56249.083091687098</v>
      </c>
      <c r="I242" s="18">
        <v>2014</v>
      </c>
      <c r="J242" s="18">
        <v>1</v>
      </c>
      <c r="K242" s="18">
        <v>56357.820006925002</v>
      </c>
    </row>
    <row r="243" spans="1:11" x14ac:dyDescent="0.25">
      <c r="A243" s="15">
        <v>2014</v>
      </c>
      <c r="B243" s="15">
        <v>2</v>
      </c>
      <c r="C243" s="15">
        <v>55469.5812377486</v>
      </c>
      <c r="E243" s="15">
        <v>2014</v>
      </c>
      <c r="F243" s="15">
        <v>2</v>
      </c>
      <c r="G243" s="15">
        <v>55449.852511975303</v>
      </c>
      <c r="I243" s="18">
        <v>2014</v>
      </c>
      <c r="J243" s="18">
        <v>2</v>
      </c>
      <c r="K243" s="18">
        <v>57691.523093198099</v>
      </c>
    </row>
    <row r="244" spans="1:11" x14ac:dyDescent="0.25">
      <c r="A244" s="15">
        <v>2014</v>
      </c>
      <c r="B244" s="15">
        <v>3</v>
      </c>
      <c r="C244" s="15">
        <v>52975.954074941401</v>
      </c>
      <c r="E244" s="15">
        <v>2014</v>
      </c>
      <c r="F244" s="15">
        <v>3</v>
      </c>
      <c r="G244" s="15">
        <v>52975.702112995001</v>
      </c>
      <c r="I244" s="18">
        <v>2014</v>
      </c>
      <c r="J244" s="18">
        <v>3</v>
      </c>
      <c r="K244" s="18">
        <v>52611.530297754703</v>
      </c>
    </row>
    <row r="245" spans="1:11" x14ac:dyDescent="0.25">
      <c r="A245" s="15">
        <v>2014</v>
      </c>
      <c r="B245" s="15">
        <v>4</v>
      </c>
      <c r="C245" s="15">
        <v>54942.343159671997</v>
      </c>
      <c r="E245" s="15">
        <v>2014</v>
      </c>
      <c r="F245" s="15">
        <v>4</v>
      </c>
      <c r="G245" s="15">
        <v>54941.9938633001</v>
      </c>
      <c r="I245" s="18">
        <v>2014</v>
      </c>
      <c r="J245" s="18">
        <v>4</v>
      </c>
      <c r="K245" s="18">
        <v>54878.715844203602</v>
      </c>
    </row>
    <row r="246" spans="1:11" x14ac:dyDescent="0.25">
      <c r="A246" s="15">
        <v>2014</v>
      </c>
      <c r="B246" s="15">
        <v>5</v>
      </c>
      <c r="C246" s="15">
        <v>47341.610484953599</v>
      </c>
      <c r="E246" s="15">
        <v>2014</v>
      </c>
      <c r="F246" s="15">
        <v>5</v>
      </c>
      <c r="G246" s="15">
        <v>47342.666230340998</v>
      </c>
      <c r="I246" s="18">
        <v>2014</v>
      </c>
      <c r="J246" s="18">
        <v>5</v>
      </c>
      <c r="K246" s="18">
        <v>47166.369877999998</v>
      </c>
    </row>
    <row r="247" spans="1:11" x14ac:dyDescent="0.25">
      <c r="A247" s="15">
        <v>2014</v>
      </c>
      <c r="B247" s="15">
        <v>6</v>
      </c>
      <c r="C247" s="15">
        <v>45950.527460567602</v>
      </c>
      <c r="E247" s="15">
        <v>2014</v>
      </c>
      <c r="F247" s="15">
        <v>6</v>
      </c>
      <c r="G247" s="15">
        <v>45954.759840166698</v>
      </c>
      <c r="I247" s="18">
        <v>2014</v>
      </c>
      <c r="J247" s="18">
        <v>6</v>
      </c>
      <c r="K247" s="18">
        <v>46003.731685811203</v>
      </c>
    </row>
    <row r="248" spans="1:11" x14ac:dyDescent="0.25">
      <c r="A248" s="15">
        <v>2014</v>
      </c>
      <c r="B248" s="15">
        <v>7</v>
      </c>
      <c r="C248" s="15">
        <v>45779.437032580303</v>
      </c>
      <c r="E248" s="15">
        <v>2014</v>
      </c>
      <c r="F248" s="15">
        <v>7</v>
      </c>
      <c r="G248" s="15">
        <v>45779.003937211302</v>
      </c>
      <c r="I248" s="18">
        <v>2014</v>
      </c>
      <c r="J248" s="18">
        <v>7</v>
      </c>
      <c r="K248" s="18">
        <v>45750.293547550798</v>
      </c>
    </row>
    <row r="249" spans="1:11" x14ac:dyDescent="0.25">
      <c r="A249" s="15">
        <v>2014</v>
      </c>
      <c r="B249" s="15">
        <v>8</v>
      </c>
      <c r="C249" s="15">
        <v>41820.492136728099</v>
      </c>
      <c r="E249" s="15">
        <v>2014</v>
      </c>
      <c r="F249" s="15">
        <v>8</v>
      </c>
      <c r="G249" s="15">
        <v>41822.439661552402</v>
      </c>
      <c r="I249" s="18">
        <v>2014</v>
      </c>
      <c r="J249" s="18">
        <v>8</v>
      </c>
      <c r="K249" s="18">
        <v>41566.206199943503</v>
      </c>
    </row>
    <row r="250" spans="1:11" x14ac:dyDescent="0.25">
      <c r="A250" s="15">
        <v>2014</v>
      </c>
      <c r="B250" s="15">
        <v>9</v>
      </c>
      <c r="C250" s="15">
        <v>48498.062017315999</v>
      </c>
      <c r="E250" s="15">
        <v>2014</v>
      </c>
      <c r="F250" s="15">
        <v>9</v>
      </c>
      <c r="G250" s="15">
        <v>48497.826772219203</v>
      </c>
      <c r="I250" s="18">
        <v>2014</v>
      </c>
      <c r="J250" s="18">
        <v>9</v>
      </c>
      <c r="K250" s="18">
        <v>48469.595188616302</v>
      </c>
    </row>
    <row r="251" spans="1:11" x14ac:dyDescent="0.25">
      <c r="A251" s="15">
        <v>2014</v>
      </c>
      <c r="B251" s="15">
        <v>10</v>
      </c>
      <c r="C251" s="15">
        <v>50522.355539148601</v>
      </c>
      <c r="E251" s="15">
        <v>2014</v>
      </c>
      <c r="F251" s="15">
        <v>10</v>
      </c>
      <c r="G251" s="15">
        <v>50523.538251953702</v>
      </c>
      <c r="I251" s="18">
        <v>2014</v>
      </c>
      <c r="J251" s="18">
        <v>10</v>
      </c>
      <c r="K251" s="18">
        <v>50108.559956154699</v>
      </c>
    </row>
    <row r="252" spans="1:11" x14ac:dyDescent="0.25">
      <c r="A252" s="15">
        <v>2014</v>
      </c>
      <c r="B252" s="15">
        <v>11</v>
      </c>
      <c r="C252" s="15">
        <v>49569.448687346303</v>
      </c>
      <c r="E252" s="15">
        <v>2014</v>
      </c>
      <c r="F252" s="15">
        <v>11</v>
      </c>
      <c r="G252" s="15">
        <v>49572.210690839602</v>
      </c>
      <c r="I252" s="18">
        <v>2014</v>
      </c>
      <c r="J252" s="18">
        <v>11</v>
      </c>
      <c r="K252" s="18">
        <v>49248.867127181897</v>
      </c>
    </row>
    <row r="253" spans="1:11" x14ac:dyDescent="0.25">
      <c r="A253" s="15">
        <v>2014</v>
      </c>
      <c r="B253" s="15">
        <v>12</v>
      </c>
      <c r="C253" s="15">
        <v>48109.852492785503</v>
      </c>
      <c r="E253" s="15">
        <v>2014</v>
      </c>
      <c r="F253" s="15">
        <v>12</v>
      </c>
      <c r="G253" s="15">
        <v>48108.125452860397</v>
      </c>
      <c r="I253" s="18">
        <v>2014</v>
      </c>
      <c r="J253" s="18">
        <v>12</v>
      </c>
      <c r="K253" s="18">
        <v>48206.644834917497</v>
      </c>
    </row>
    <row r="254" spans="1:11" x14ac:dyDescent="0.25">
      <c r="A254" s="15">
        <v>2015</v>
      </c>
      <c r="B254" s="15">
        <v>1</v>
      </c>
      <c r="C254" s="15">
        <v>47063.637704828303</v>
      </c>
      <c r="E254" s="15">
        <v>2015</v>
      </c>
      <c r="F254" s="15">
        <v>1</v>
      </c>
      <c r="G254" s="15">
        <v>47064.6523162269</v>
      </c>
      <c r="I254" s="18">
        <v>2015</v>
      </c>
      <c r="J254" s="18">
        <v>1</v>
      </c>
      <c r="K254" s="18">
        <v>47002.970921095497</v>
      </c>
    </row>
    <row r="255" spans="1:11" x14ac:dyDescent="0.25">
      <c r="A255" s="15">
        <v>2015</v>
      </c>
      <c r="B255" s="15">
        <v>2</v>
      </c>
      <c r="C255" s="15">
        <v>48021.251063788302</v>
      </c>
      <c r="E255" s="15">
        <v>2015</v>
      </c>
      <c r="F255" s="15">
        <v>2</v>
      </c>
      <c r="G255" s="15">
        <v>48003.233296420702</v>
      </c>
      <c r="I255" s="18">
        <v>2015</v>
      </c>
      <c r="J255" s="18">
        <v>2</v>
      </c>
      <c r="K255" s="18">
        <v>49767.7249305398</v>
      </c>
    </row>
    <row r="256" spans="1:11" x14ac:dyDescent="0.25">
      <c r="A256" s="15">
        <v>2015</v>
      </c>
      <c r="B256" s="15">
        <v>3</v>
      </c>
      <c r="C256" s="15">
        <v>45580.634610757603</v>
      </c>
      <c r="E256" s="15">
        <v>2015</v>
      </c>
      <c r="F256" s="15">
        <v>3</v>
      </c>
      <c r="G256" s="15">
        <v>45578.429575431401</v>
      </c>
      <c r="I256" s="18">
        <v>2015</v>
      </c>
      <c r="J256" s="18">
        <v>3</v>
      </c>
      <c r="K256" s="18">
        <v>45614.753035000103</v>
      </c>
    </row>
    <row r="257" spans="1:11" x14ac:dyDescent="0.25">
      <c r="A257" s="15">
        <v>2015</v>
      </c>
      <c r="B257" s="15">
        <v>4</v>
      </c>
      <c r="C257" s="15">
        <v>41576.2947299718</v>
      </c>
      <c r="E257" s="15">
        <v>2015</v>
      </c>
      <c r="F257" s="15">
        <v>4</v>
      </c>
      <c r="G257" s="15">
        <v>41575.097380587104</v>
      </c>
      <c r="I257" s="18">
        <v>2015</v>
      </c>
      <c r="J257" s="18">
        <v>4</v>
      </c>
      <c r="K257" s="18">
        <v>41665.641076532098</v>
      </c>
    </row>
    <row r="258" spans="1:11" x14ac:dyDescent="0.25">
      <c r="A258" s="15">
        <v>2015</v>
      </c>
      <c r="B258" s="15">
        <v>5</v>
      </c>
      <c r="C258" s="15">
        <v>43793.297231736702</v>
      </c>
      <c r="E258" s="15">
        <v>2015</v>
      </c>
      <c r="F258" s="15">
        <v>5</v>
      </c>
      <c r="G258" s="15">
        <v>43795.952327268002</v>
      </c>
      <c r="I258" s="18">
        <v>2015</v>
      </c>
      <c r="J258" s="18">
        <v>5</v>
      </c>
      <c r="K258" s="18">
        <v>43570.028249901698</v>
      </c>
    </row>
    <row r="259" spans="1:11" x14ac:dyDescent="0.25">
      <c r="A259" s="15">
        <v>2015</v>
      </c>
      <c r="B259" s="15">
        <v>6</v>
      </c>
      <c r="C259" s="15">
        <v>47738.857295376903</v>
      </c>
      <c r="E259" s="15">
        <v>2015</v>
      </c>
      <c r="F259" s="15">
        <v>6</v>
      </c>
      <c r="G259" s="15">
        <v>47740.124312703898</v>
      </c>
      <c r="I259" s="18">
        <v>2015</v>
      </c>
      <c r="J259" s="18">
        <v>6</v>
      </c>
      <c r="K259" s="18">
        <v>47891.942521428697</v>
      </c>
    </row>
    <row r="260" spans="1:11" x14ac:dyDescent="0.25">
      <c r="A260" s="15">
        <v>2015</v>
      </c>
      <c r="B260" s="15">
        <v>7</v>
      </c>
      <c r="C260" s="15">
        <v>42074.174519223103</v>
      </c>
      <c r="E260" s="15">
        <v>2015</v>
      </c>
      <c r="F260" s="15">
        <v>7</v>
      </c>
      <c r="G260" s="15">
        <v>42073.514223449303</v>
      </c>
      <c r="I260" s="18">
        <v>2015</v>
      </c>
      <c r="J260" s="18">
        <v>7</v>
      </c>
      <c r="K260" s="18">
        <v>42124.5931232976</v>
      </c>
    </row>
    <row r="261" spans="1:11" x14ac:dyDescent="0.25">
      <c r="A261" s="15">
        <v>2015</v>
      </c>
      <c r="B261" s="15">
        <v>8</v>
      </c>
      <c r="C261" s="15">
        <v>45232.600555774399</v>
      </c>
      <c r="E261" s="15">
        <v>2015</v>
      </c>
      <c r="F261" s="15">
        <v>8</v>
      </c>
      <c r="G261" s="15">
        <v>45235.284193828396</v>
      </c>
      <c r="I261" s="18">
        <v>2015</v>
      </c>
      <c r="J261" s="18">
        <v>8</v>
      </c>
      <c r="K261" s="18">
        <v>45079.792171151603</v>
      </c>
    </row>
    <row r="262" spans="1:11" x14ac:dyDescent="0.25">
      <c r="A262" s="15">
        <v>2015</v>
      </c>
      <c r="B262" s="15">
        <v>9</v>
      </c>
      <c r="C262" s="15">
        <v>45563.371394408801</v>
      </c>
      <c r="E262" s="15">
        <v>2015</v>
      </c>
      <c r="F262" s="15">
        <v>9</v>
      </c>
      <c r="G262" s="15">
        <v>45563.265555731901</v>
      </c>
      <c r="I262" s="18">
        <v>2015</v>
      </c>
      <c r="J262" s="18">
        <v>9</v>
      </c>
      <c r="K262" s="18">
        <v>45485.959512597401</v>
      </c>
    </row>
    <row r="263" spans="1:11" x14ac:dyDescent="0.25">
      <c r="A263" s="15">
        <v>2015</v>
      </c>
      <c r="B263" s="15">
        <v>10</v>
      </c>
      <c r="C263" s="15">
        <v>39424.1490164715</v>
      </c>
      <c r="E263" s="15">
        <v>2015</v>
      </c>
      <c r="F263" s="15">
        <v>10</v>
      </c>
      <c r="G263" s="15">
        <v>39428.135156047203</v>
      </c>
      <c r="I263" s="18">
        <v>2015</v>
      </c>
      <c r="J263" s="18">
        <v>10</v>
      </c>
      <c r="K263" s="18">
        <v>38823.568946265797</v>
      </c>
    </row>
    <row r="264" spans="1:11" x14ac:dyDescent="0.25">
      <c r="A264" s="15">
        <v>2015</v>
      </c>
      <c r="B264" s="15">
        <v>11</v>
      </c>
      <c r="C264" s="15">
        <v>40919.253118666798</v>
      </c>
      <c r="E264" s="15">
        <v>2015</v>
      </c>
      <c r="F264" s="15">
        <v>11</v>
      </c>
      <c r="G264" s="15">
        <v>40920.194969449403</v>
      </c>
      <c r="I264" s="18">
        <v>2015</v>
      </c>
      <c r="J264" s="18">
        <v>11</v>
      </c>
      <c r="K264" s="18">
        <v>40679.018455597099</v>
      </c>
    </row>
    <row r="265" spans="1:11" x14ac:dyDescent="0.25">
      <c r="A265" s="15">
        <v>2015</v>
      </c>
      <c r="B265" s="15">
        <v>12</v>
      </c>
      <c r="C265" s="15">
        <v>39707.597566322402</v>
      </c>
      <c r="E265" s="15">
        <v>2015</v>
      </c>
      <c r="F265" s="15">
        <v>12</v>
      </c>
      <c r="G265" s="15">
        <v>39706.526669926898</v>
      </c>
      <c r="I265" s="18">
        <v>2015</v>
      </c>
      <c r="J265" s="18">
        <v>12</v>
      </c>
      <c r="K265" s="18">
        <v>39668.711260602096</v>
      </c>
    </row>
    <row r="266" spans="1:11" x14ac:dyDescent="0.25">
      <c r="A266" s="15">
        <v>2016</v>
      </c>
      <c r="B266" s="15">
        <v>1</v>
      </c>
      <c r="C266" s="15">
        <v>40460.781695048601</v>
      </c>
      <c r="E266" s="15">
        <v>2016</v>
      </c>
      <c r="F266" s="15">
        <v>1</v>
      </c>
      <c r="G266" s="15">
        <v>40463.7065538428</v>
      </c>
      <c r="I266" s="18">
        <v>2016</v>
      </c>
      <c r="J266" s="18">
        <v>1</v>
      </c>
      <c r="K266" s="18">
        <v>40163.643583273501</v>
      </c>
    </row>
    <row r="267" spans="1:11" x14ac:dyDescent="0.25">
      <c r="A267" s="15">
        <v>2016</v>
      </c>
      <c r="B267" s="15">
        <v>2</v>
      </c>
      <c r="C267" s="15">
        <v>38655.118842960699</v>
      </c>
      <c r="E267" s="15">
        <v>2016</v>
      </c>
      <c r="F267" s="15">
        <v>2</v>
      </c>
      <c r="G267" s="15">
        <v>38680.718735299597</v>
      </c>
      <c r="I267" s="18">
        <v>2016</v>
      </c>
      <c r="J267" s="18">
        <v>2</v>
      </c>
      <c r="K267" s="18">
        <v>37309.727699261399</v>
      </c>
    </row>
    <row r="268" spans="1:11" x14ac:dyDescent="0.25">
      <c r="A268" s="15">
        <v>2016</v>
      </c>
      <c r="B268" s="15">
        <v>3</v>
      </c>
      <c r="C268" s="15">
        <v>40376.524819804203</v>
      </c>
      <c r="E268" s="15">
        <v>2016</v>
      </c>
      <c r="F268" s="15">
        <v>3</v>
      </c>
      <c r="G268" s="15">
        <v>40372.518657977198</v>
      </c>
      <c r="I268" s="18">
        <v>2016</v>
      </c>
      <c r="J268" s="18">
        <v>3</v>
      </c>
      <c r="K268" s="18">
        <v>40801.2175407334</v>
      </c>
    </row>
    <row r="269" spans="1:11" x14ac:dyDescent="0.25">
      <c r="A269" s="15">
        <v>2016</v>
      </c>
      <c r="B269" s="15">
        <v>4</v>
      </c>
      <c r="C269" s="15">
        <v>42538.368185861204</v>
      </c>
      <c r="E269" s="15">
        <v>2016</v>
      </c>
      <c r="F269" s="15">
        <v>4</v>
      </c>
      <c r="G269" s="15">
        <v>42538.605329109902</v>
      </c>
      <c r="I269" s="18">
        <v>2016</v>
      </c>
      <c r="J269" s="18">
        <v>4</v>
      </c>
      <c r="K269" s="18">
        <v>42614.3122897789</v>
      </c>
    </row>
    <row r="270" spans="1:11" x14ac:dyDescent="0.25">
      <c r="A270" s="15">
        <v>2016</v>
      </c>
      <c r="B270" s="15">
        <v>5</v>
      </c>
      <c r="C270" s="15">
        <v>37613.9004032343</v>
      </c>
      <c r="E270" s="15">
        <v>2016</v>
      </c>
      <c r="F270" s="15">
        <v>5</v>
      </c>
      <c r="G270" s="15">
        <v>37614.791488562201</v>
      </c>
      <c r="I270" s="18">
        <v>2016</v>
      </c>
      <c r="J270" s="18">
        <v>5</v>
      </c>
      <c r="K270" s="18">
        <v>37687.178304282599</v>
      </c>
    </row>
    <row r="271" spans="1:11" x14ac:dyDescent="0.25">
      <c r="A271" s="15">
        <v>2016</v>
      </c>
      <c r="B271" s="15">
        <v>6</v>
      </c>
      <c r="C271" s="15">
        <v>37662.447275230901</v>
      </c>
      <c r="E271" s="15">
        <v>2016</v>
      </c>
      <c r="F271" s="15">
        <v>6</v>
      </c>
      <c r="G271" s="15">
        <v>37662.836965283299</v>
      </c>
      <c r="I271" s="18">
        <v>2016</v>
      </c>
      <c r="J271" s="18">
        <v>6</v>
      </c>
      <c r="K271" s="18">
        <v>37796.039948406396</v>
      </c>
    </row>
    <row r="272" spans="1:11" x14ac:dyDescent="0.25">
      <c r="A272" s="15">
        <v>2016</v>
      </c>
      <c r="B272" s="15">
        <v>7</v>
      </c>
      <c r="C272" s="15">
        <v>39775.644562766298</v>
      </c>
      <c r="E272" s="15">
        <v>2016</v>
      </c>
      <c r="F272" s="15">
        <v>7</v>
      </c>
      <c r="G272" s="15">
        <v>39778.8718479202</v>
      </c>
      <c r="I272" s="18">
        <v>2016</v>
      </c>
      <c r="J272" s="18">
        <v>7</v>
      </c>
      <c r="K272" s="18">
        <v>39608.675849087304</v>
      </c>
    </row>
    <row r="273" spans="1:11" x14ac:dyDescent="0.25">
      <c r="A273" s="15">
        <v>2016</v>
      </c>
      <c r="B273" s="15">
        <v>8</v>
      </c>
      <c r="C273" s="15">
        <v>37728.136504122303</v>
      </c>
      <c r="E273" s="15">
        <v>2016</v>
      </c>
      <c r="F273" s="15">
        <v>8</v>
      </c>
      <c r="G273" s="15">
        <v>37728.061294822597</v>
      </c>
      <c r="I273" s="18">
        <v>2016</v>
      </c>
      <c r="J273" s="18">
        <v>8</v>
      </c>
      <c r="K273" s="18">
        <v>37948.229441060997</v>
      </c>
    </row>
    <row r="274" spans="1:11" x14ac:dyDescent="0.25">
      <c r="A274" s="15">
        <v>2016</v>
      </c>
      <c r="B274" s="15">
        <v>9</v>
      </c>
      <c r="C274" s="15">
        <v>35648.701492859604</v>
      </c>
      <c r="E274" s="15">
        <v>2016</v>
      </c>
      <c r="F274" s="15">
        <v>9</v>
      </c>
      <c r="G274" s="15">
        <v>35648.898367684298</v>
      </c>
      <c r="I274" s="18">
        <v>2016</v>
      </c>
      <c r="J274" s="18">
        <v>9</v>
      </c>
      <c r="K274" s="18">
        <v>35530.267406506202</v>
      </c>
    </row>
    <row r="275" spans="1:11" x14ac:dyDescent="0.25">
      <c r="A275" s="15">
        <v>2016</v>
      </c>
      <c r="B275" s="15">
        <v>10</v>
      </c>
      <c r="C275" s="15">
        <v>34703.734362406001</v>
      </c>
      <c r="E275" s="15">
        <v>2016</v>
      </c>
      <c r="F275" s="15">
        <v>10</v>
      </c>
      <c r="G275" s="15">
        <v>34709.903257814804</v>
      </c>
      <c r="I275" s="18">
        <v>2016</v>
      </c>
      <c r="J275" s="18">
        <v>10</v>
      </c>
      <c r="K275" s="18">
        <v>33893.226228867999</v>
      </c>
    </row>
    <row r="276" spans="1:11" x14ac:dyDescent="0.25">
      <c r="A276" s="15">
        <v>2016</v>
      </c>
      <c r="B276" s="15">
        <v>11</v>
      </c>
      <c r="C276" s="15">
        <v>41436.256786474798</v>
      </c>
      <c r="E276" s="15">
        <v>2016</v>
      </c>
      <c r="F276" s="15">
        <v>11</v>
      </c>
      <c r="G276" s="15">
        <v>41435.985383665902</v>
      </c>
      <c r="I276" s="18">
        <v>2016</v>
      </c>
      <c r="J276" s="18">
        <v>11</v>
      </c>
      <c r="K276" s="18">
        <v>41068.731070620197</v>
      </c>
    </row>
    <row r="277" spans="1:11" x14ac:dyDescent="0.25">
      <c r="A277" s="15">
        <v>2016</v>
      </c>
      <c r="B277" s="15">
        <v>12</v>
      </c>
      <c r="C277" s="15">
        <v>49299.512380953798</v>
      </c>
      <c r="E277" s="15">
        <v>2016</v>
      </c>
      <c r="F277" s="15">
        <v>12</v>
      </c>
      <c r="G277" s="15">
        <v>49301.502118609998</v>
      </c>
      <c r="I277" s="18">
        <v>2016</v>
      </c>
      <c r="J277" s="18">
        <v>12</v>
      </c>
      <c r="K277" s="18">
        <v>48953.833090623601</v>
      </c>
    </row>
    <row r="278" spans="1:11" x14ac:dyDescent="0.25">
      <c r="A278" s="15">
        <v>2017</v>
      </c>
      <c r="B278" s="15">
        <v>1</v>
      </c>
      <c r="C278" s="15">
        <v>47083.855090298799</v>
      </c>
      <c r="E278" s="15">
        <v>2017</v>
      </c>
      <c r="F278" s="15">
        <v>1</v>
      </c>
      <c r="G278" s="15">
        <v>47086.895803605497</v>
      </c>
      <c r="I278" s="18">
        <v>2017</v>
      </c>
      <c r="J278" s="18">
        <v>1</v>
      </c>
      <c r="K278" s="18">
        <v>46786.569661248897</v>
      </c>
    </row>
    <row r="279" spans="1:11" x14ac:dyDescent="0.25">
      <c r="A279" s="15">
        <v>2017</v>
      </c>
      <c r="B279" s="15">
        <v>2</v>
      </c>
      <c r="C279" s="15">
        <v>27846.650832241699</v>
      </c>
      <c r="E279" s="15">
        <v>2017</v>
      </c>
      <c r="F279" s="15">
        <v>2</v>
      </c>
      <c r="G279" s="15">
        <v>27821.607536602802</v>
      </c>
      <c r="I279" s="18">
        <v>2017</v>
      </c>
      <c r="J279" s="18">
        <v>2</v>
      </c>
      <c r="K279" s="18">
        <v>29380.698768148999</v>
      </c>
    </row>
    <row r="280" spans="1:11" x14ac:dyDescent="0.25">
      <c r="A280" s="15">
        <v>2017</v>
      </c>
      <c r="B280" s="15">
        <v>3</v>
      </c>
      <c r="C280" s="15">
        <v>33784.569384668299</v>
      </c>
      <c r="E280" s="15">
        <v>2017</v>
      </c>
      <c r="F280" s="15">
        <v>3</v>
      </c>
      <c r="G280" s="15">
        <v>33779.245287748498</v>
      </c>
      <c r="I280" s="18">
        <v>2017</v>
      </c>
      <c r="J280" s="18">
        <v>3</v>
      </c>
      <c r="K280" s="18">
        <v>34564.446734400401</v>
      </c>
    </row>
    <row r="281" spans="1:11" x14ac:dyDescent="0.25">
      <c r="A281" s="15">
        <v>2017</v>
      </c>
      <c r="B281" s="15">
        <v>4</v>
      </c>
      <c r="C281" s="15">
        <v>37293.457117649603</v>
      </c>
      <c r="E281" s="15">
        <v>2017</v>
      </c>
      <c r="F281" s="15">
        <v>4</v>
      </c>
      <c r="G281" s="15">
        <v>37297.472544266697</v>
      </c>
      <c r="I281" s="18">
        <v>2017</v>
      </c>
      <c r="J281" s="18">
        <v>4</v>
      </c>
      <c r="K281" s="18">
        <v>37343.330357084698</v>
      </c>
    </row>
    <row r="282" spans="1:11" x14ac:dyDescent="0.25">
      <c r="A282" s="15">
        <v>2017</v>
      </c>
      <c r="B282" s="15">
        <v>5</v>
      </c>
      <c r="C282" s="15">
        <v>41725.087326745903</v>
      </c>
      <c r="E282" s="15">
        <v>2017</v>
      </c>
      <c r="F282" s="15">
        <v>5</v>
      </c>
      <c r="G282" s="15">
        <v>41722.989314619401</v>
      </c>
      <c r="I282" s="18">
        <v>2017</v>
      </c>
      <c r="J282" s="18">
        <v>5</v>
      </c>
      <c r="K282" s="18">
        <v>42000.339990669803</v>
      </c>
    </row>
    <row r="283" spans="1:11" x14ac:dyDescent="0.25">
      <c r="A283" s="15">
        <v>2017</v>
      </c>
      <c r="B283" s="15">
        <v>6</v>
      </c>
      <c r="C283" s="15">
        <v>42323.181843003098</v>
      </c>
      <c r="E283" s="15">
        <v>2017</v>
      </c>
      <c r="F283" s="15">
        <v>6</v>
      </c>
      <c r="G283" s="15">
        <v>42324.828546613899</v>
      </c>
      <c r="I283" s="18">
        <v>2017</v>
      </c>
      <c r="J283" s="18">
        <v>6</v>
      </c>
      <c r="K283" s="18">
        <v>42584.3585446754</v>
      </c>
    </row>
    <row r="284" spans="1:11" x14ac:dyDescent="0.25">
      <c r="A284" s="15">
        <v>2017</v>
      </c>
      <c r="B284" s="15">
        <v>7</v>
      </c>
      <c r="C284" s="15">
        <v>40235.427356639397</v>
      </c>
      <c r="E284" s="15">
        <v>2017</v>
      </c>
      <c r="F284" s="15">
        <v>7</v>
      </c>
      <c r="G284" s="15">
        <v>40239.456638454598</v>
      </c>
      <c r="I284" s="18">
        <v>2017</v>
      </c>
      <c r="J284" s="18">
        <v>7</v>
      </c>
      <c r="K284" s="18">
        <v>40180.953336600702</v>
      </c>
    </row>
    <row r="285" spans="1:11" x14ac:dyDescent="0.25">
      <c r="A285" s="15">
        <v>2017</v>
      </c>
      <c r="B285" s="15">
        <v>8</v>
      </c>
      <c r="C285" s="15">
        <v>38556.522531382601</v>
      </c>
      <c r="E285" s="15">
        <v>2017</v>
      </c>
      <c r="F285" s="15">
        <v>8</v>
      </c>
      <c r="G285" s="15">
        <v>38556.6220422896</v>
      </c>
      <c r="I285" s="18">
        <v>2017</v>
      </c>
      <c r="J285" s="18">
        <v>8</v>
      </c>
      <c r="K285" s="18">
        <v>38697.184349927702</v>
      </c>
    </row>
    <row r="286" spans="1:11" x14ac:dyDescent="0.25">
      <c r="A286" s="15">
        <v>2017</v>
      </c>
      <c r="B286" s="15">
        <v>9</v>
      </c>
      <c r="C286" s="15">
        <v>42303.373330175396</v>
      </c>
      <c r="E286" s="15">
        <v>2017</v>
      </c>
      <c r="F286" s="15">
        <v>9</v>
      </c>
      <c r="G286" s="15">
        <v>42304.701854420098</v>
      </c>
      <c r="I286" s="18">
        <v>2017</v>
      </c>
      <c r="J286" s="18">
        <v>9</v>
      </c>
      <c r="K286" s="18">
        <v>41976.294956921403</v>
      </c>
    </row>
    <row r="287" spans="1:11" x14ac:dyDescent="0.25">
      <c r="A287" s="15">
        <v>2017</v>
      </c>
      <c r="B287" s="15">
        <v>10</v>
      </c>
      <c r="C287" s="15">
        <v>40153.996453462001</v>
      </c>
      <c r="E287" s="15">
        <v>2017</v>
      </c>
      <c r="F287" s="15">
        <v>10</v>
      </c>
      <c r="G287" s="15">
        <v>40157.6538330283</v>
      </c>
      <c r="I287" s="18">
        <v>2017</v>
      </c>
      <c r="J287" s="18">
        <v>10</v>
      </c>
      <c r="K287" s="18">
        <v>39445.200555524098</v>
      </c>
    </row>
    <row r="288" spans="1:11" x14ac:dyDescent="0.25">
      <c r="A288" s="15">
        <v>2017</v>
      </c>
      <c r="B288" s="15">
        <v>11</v>
      </c>
      <c r="C288" s="15">
        <v>40070.523544119103</v>
      </c>
      <c r="E288" s="15">
        <v>2017</v>
      </c>
      <c r="F288" s="15">
        <v>11</v>
      </c>
      <c r="G288" s="15">
        <v>40070.093750303</v>
      </c>
      <c r="I288" s="18">
        <v>2017</v>
      </c>
      <c r="J288" s="18">
        <v>11</v>
      </c>
      <c r="K288" s="18">
        <v>39382.1144389443</v>
      </c>
    </row>
    <row r="289" spans="1:11" x14ac:dyDescent="0.25">
      <c r="A289" s="15">
        <v>2017</v>
      </c>
      <c r="B289" s="15">
        <v>12</v>
      </c>
      <c r="C289" s="15">
        <v>43107.672629774497</v>
      </c>
      <c r="E289" s="15">
        <v>2017</v>
      </c>
      <c r="F289" s="15">
        <v>12</v>
      </c>
      <c r="G289" s="15">
        <v>43112.108669981899</v>
      </c>
      <c r="I289" s="18">
        <v>2017</v>
      </c>
      <c r="J289" s="18">
        <v>12</v>
      </c>
      <c r="K289" s="18">
        <v>42407.421319972898</v>
      </c>
    </row>
    <row r="290" spans="1:11" x14ac:dyDescent="0.25">
      <c r="A290" s="15">
        <v>2018</v>
      </c>
      <c r="B290" s="15">
        <v>1</v>
      </c>
      <c r="C290" s="15">
        <v>40120.2864482597</v>
      </c>
      <c r="E290" s="15">
        <v>2018</v>
      </c>
      <c r="F290" s="15">
        <v>1</v>
      </c>
      <c r="G290" s="15">
        <v>40128.483390125497</v>
      </c>
      <c r="I290" s="18">
        <v>2018</v>
      </c>
      <c r="J290" s="18">
        <v>1</v>
      </c>
      <c r="K290" s="18">
        <v>39797.463593640801</v>
      </c>
    </row>
    <row r="291" spans="1:11" x14ac:dyDescent="0.25">
      <c r="A291" s="15">
        <v>2018</v>
      </c>
      <c r="B291" s="15">
        <v>2</v>
      </c>
      <c r="C291" s="15">
        <v>40492.263143173397</v>
      </c>
      <c r="E291" s="15">
        <v>2018</v>
      </c>
      <c r="F291" s="15">
        <v>2</v>
      </c>
      <c r="G291" s="15">
        <v>40461.359602436198</v>
      </c>
      <c r="I291" s="18">
        <v>2018</v>
      </c>
      <c r="J291" s="18">
        <v>2</v>
      </c>
      <c r="K291" s="18">
        <v>42229.866083126697</v>
      </c>
    </row>
    <row r="292" spans="1:11" x14ac:dyDescent="0.25">
      <c r="A292" s="15">
        <v>2018</v>
      </c>
      <c r="B292" s="15">
        <v>3</v>
      </c>
      <c r="C292" s="15">
        <v>45072.924012819203</v>
      </c>
      <c r="E292" s="15">
        <v>2018</v>
      </c>
      <c r="F292" s="15">
        <v>3</v>
      </c>
      <c r="G292" s="15">
        <v>45067.9055582043</v>
      </c>
      <c r="I292" s="18">
        <v>2018</v>
      </c>
      <c r="J292" s="18">
        <v>3</v>
      </c>
      <c r="K292" s="18">
        <v>45972.349375003803</v>
      </c>
    </row>
    <row r="293" spans="1:11" x14ac:dyDescent="0.25">
      <c r="A293" s="15">
        <v>2018</v>
      </c>
      <c r="B293" s="15">
        <v>4</v>
      </c>
      <c r="C293" s="15">
        <v>44474.568777107801</v>
      </c>
      <c r="E293" s="15">
        <v>2018</v>
      </c>
      <c r="F293" s="15">
        <v>4</v>
      </c>
      <c r="G293" s="15">
        <v>44478.422249501098</v>
      </c>
      <c r="I293" s="18">
        <v>2018</v>
      </c>
      <c r="J293" s="18">
        <v>4</v>
      </c>
      <c r="K293" s="18">
        <v>44845.1869236395</v>
      </c>
    </row>
    <row r="294" spans="1:11" x14ac:dyDescent="0.25">
      <c r="A294" s="15">
        <v>2018</v>
      </c>
      <c r="B294" s="15">
        <v>5</v>
      </c>
      <c r="C294" s="15">
        <v>43253.639566649697</v>
      </c>
      <c r="E294" s="15">
        <v>2018</v>
      </c>
      <c r="F294" s="15">
        <v>5</v>
      </c>
      <c r="G294" s="15">
        <v>43249.865107315498</v>
      </c>
      <c r="I294" s="18">
        <v>2018</v>
      </c>
      <c r="J294" s="18">
        <v>5</v>
      </c>
      <c r="K294" s="18">
        <v>43524.465295895599</v>
      </c>
    </row>
    <row r="295" spans="1:11" x14ac:dyDescent="0.25">
      <c r="A295" s="15">
        <v>2018</v>
      </c>
      <c r="B295" s="15">
        <v>6</v>
      </c>
      <c r="C295" s="15">
        <v>38189.213565880898</v>
      </c>
      <c r="E295" s="15">
        <v>2018</v>
      </c>
      <c r="F295" s="15">
        <v>6</v>
      </c>
      <c r="G295" s="15">
        <v>38194.141210028603</v>
      </c>
      <c r="I295" s="18">
        <v>2018</v>
      </c>
      <c r="J295" s="18">
        <v>6</v>
      </c>
      <c r="K295" s="18">
        <v>38422.438096545098</v>
      </c>
    </row>
    <row r="296" spans="1:11" x14ac:dyDescent="0.25">
      <c r="A296" s="15">
        <v>2018</v>
      </c>
      <c r="B296" s="15">
        <v>7</v>
      </c>
      <c r="C296" s="15">
        <v>42331.740908612002</v>
      </c>
      <c r="E296" s="15">
        <v>2018</v>
      </c>
      <c r="F296" s="15">
        <v>7</v>
      </c>
      <c r="G296" s="15">
        <v>42334.004261777998</v>
      </c>
      <c r="I296" s="18">
        <v>2018</v>
      </c>
      <c r="J296" s="18">
        <v>7</v>
      </c>
      <c r="K296" s="18">
        <v>42507.9113232116</v>
      </c>
    </row>
    <row r="297" spans="1:11" x14ac:dyDescent="0.25">
      <c r="A297" s="15">
        <v>2018</v>
      </c>
      <c r="B297" s="15">
        <v>8</v>
      </c>
      <c r="C297" s="15">
        <v>42271.359310453998</v>
      </c>
      <c r="E297" s="15">
        <v>2018</v>
      </c>
      <c r="F297" s="15">
        <v>8</v>
      </c>
      <c r="G297" s="15">
        <v>42270.291766482602</v>
      </c>
      <c r="I297" s="18">
        <v>2018</v>
      </c>
      <c r="J297" s="18">
        <v>8</v>
      </c>
      <c r="K297" s="18">
        <v>42341.0579089979</v>
      </c>
    </row>
    <row r="298" spans="1:11" x14ac:dyDescent="0.25">
      <c r="A298" s="15">
        <v>2018</v>
      </c>
      <c r="B298" s="15">
        <v>9</v>
      </c>
      <c r="C298" s="15">
        <v>34354.952037385898</v>
      </c>
      <c r="E298" s="15">
        <v>2018</v>
      </c>
      <c r="F298" s="15">
        <v>9</v>
      </c>
      <c r="G298" s="15">
        <v>34356.518874461603</v>
      </c>
      <c r="I298" s="18">
        <v>2018</v>
      </c>
      <c r="J298" s="18">
        <v>9</v>
      </c>
      <c r="K298" s="18">
        <v>33831.753705624396</v>
      </c>
    </row>
    <row r="299" spans="1:11" x14ac:dyDescent="0.25">
      <c r="A299" s="15">
        <v>2018</v>
      </c>
      <c r="B299" s="15">
        <v>10</v>
      </c>
      <c r="C299" s="15">
        <v>33806.211249831598</v>
      </c>
      <c r="E299" s="15">
        <v>2018</v>
      </c>
      <c r="F299" s="15">
        <v>10</v>
      </c>
      <c r="G299" s="15">
        <v>33806.074031843702</v>
      </c>
      <c r="I299" s="18">
        <v>2018</v>
      </c>
      <c r="J299" s="18">
        <v>10</v>
      </c>
      <c r="K299" s="18">
        <v>33202.7183403784</v>
      </c>
    </row>
    <row r="300" spans="1:11" x14ac:dyDescent="0.25">
      <c r="A300" s="15">
        <v>2018</v>
      </c>
      <c r="B300" s="15">
        <v>11</v>
      </c>
      <c r="C300" s="15">
        <v>32087.091302744699</v>
      </c>
      <c r="E300" s="15">
        <v>2018</v>
      </c>
      <c r="F300" s="15">
        <v>11</v>
      </c>
      <c r="G300" s="15">
        <v>32086.921954029502</v>
      </c>
      <c r="I300" s="18">
        <v>2018</v>
      </c>
      <c r="J300" s="18">
        <v>11</v>
      </c>
      <c r="K300" s="18">
        <v>31166.110993800899</v>
      </c>
    </row>
    <row r="301" spans="1:11" x14ac:dyDescent="0.25">
      <c r="A301" s="15">
        <v>2018</v>
      </c>
      <c r="B301" s="15">
        <v>12</v>
      </c>
      <c r="C301" s="15">
        <v>29337.705828173101</v>
      </c>
      <c r="E301" s="15">
        <v>2018</v>
      </c>
      <c r="F301" s="15">
        <v>12</v>
      </c>
      <c r="G301" s="15">
        <v>29341.979198350899</v>
      </c>
      <c r="I301" s="18">
        <v>2018</v>
      </c>
      <c r="J301" s="18">
        <v>12</v>
      </c>
      <c r="K301" s="18">
        <v>28425.6276111396</v>
      </c>
    </row>
    <row r="302" spans="1:11" x14ac:dyDescent="0.25">
      <c r="A302" s="15">
        <v>2019</v>
      </c>
      <c r="B302" s="15">
        <v>1</v>
      </c>
      <c r="C302" s="15">
        <v>32774.588345043099</v>
      </c>
      <c r="E302" s="15">
        <v>2019</v>
      </c>
      <c r="F302" s="15">
        <v>1</v>
      </c>
      <c r="G302" s="15">
        <v>32790.653685341902</v>
      </c>
      <c r="I302" s="18">
        <v>2019</v>
      </c>
      <c r="J302" s="18">
        <v>1</v>
      </c>
      <c r="K302" s="18">
        <v>32407.596445244501</v>
      </c>
    </row>
    <row r="303" spans="1:11" x14ac:dyDescent="0.25">
      <c r="A303" s="15">
        <v>2019</v>
      </c>
      <c r="B303" s="15">
        <v>2</v>
      </c>
      <c r="C303" s="15">
        <v>33850.969226474801</v>
      </c>
      <c r="E303" s="15">
        <v>2019</v>
      </c>
      <c r="F303" s="15">
        <v>2</v>
      </c>
      <c r="G303" s="15">
        <v>33820.584329564699</v>
      </c>
      <c r="I303" s="18">
        <v>2019</v>
      </c>
      <c r="J303" s="18">
        <v>2</v>
      </c>
      <c r="K303" s="18">
        <v>35580.210577108403</v>
      </c>
    </row>
    <row r="304" spans="1:11" x14ac:dyDescent="0.25">
      <c r="A304" s="15">
        <v>2019</v>
      </c>
      <c r="B304" s="15">
        <v>3</v>
      </c>
      <c r="C304" s="15">
        <v>25548.491978698199</v>
      </c>
      <c r="E304" s="15">
        <v>2019</v>
      </c>
      <c r="F304" s="15">
        <v>3</v>
      </c>
      <c r="G304" s="15">
        <v>25544.848242251599</v>
      </c>
      <c r="I304" s="18">
        <v>2019</v>
      </c>
      <c r="J304" s="18">
        <v>3</v>
      </c>
      <c r="K304" s="18">
        <v>26565.795587279299</v>
      </c>
    </row>
    <row r="305" spans="1:11" x14ac:dyDescent="0.25">
      <c r="A305" s="15">
        <v>2019</v>
      </c>
      <c r="B305" s="15">
        <v>4</v>
      </c>
      <c r="C305" s="15">
        <v>27927.395591348599</v>
      </c>
      <c r="E305" s="15">
        <v>2019</v>
      </c>
      <c r="F305" s="15">
        <v>4</v>
      </c>
      <c r="G305" s="15">
        <v>27931.293509856099</v>
      </c>
      <c r="I305" s="18">
        <v>2019</v>
      </c>
      <c r="J305" s="18">
        <v>4</v>
      </c>
      <c r="K305" s="18">
        <v>28629.788282511799</v>
      </c>
    </row>
    <row r="306" spans="1:11" x14ac:dyDescent="0.25">
      <c r="A306" s="15">
        <v>2019</v>
      </c>
      <c r="B306" s="15">
        <v>5</v>
      </c>
      <c r="C306" s="15">
        <v>27089.717962017501</v>
      </c>
      <c r="E306" s="15">
        <v>2019</v>
      </c>
      <c r="F306" s="15">
        <v>5</v>
      </c>
      <c r="G306" s="15">
        <v>27083.7091209395</v>
      </c>
      <c r="I306" s="18">
        <v>2019</v>
      </c>
      <c r="J306" s="18">
        <v>5</v>
      </c>
      <c r="K306" s="18">
        <v>27358.147853853301</v>
      </c>
    </row>
    <row r="307" spans="1:11" x14ac:dyDescent="0.25">
      <c r="A307" s="15">
        <v>2019</v>
      </c>
      <c r="B307" s="15">
        <v>6</v>
      </c>
      <c r="C307" s="15">
        <v>24779.707543456399</v>
      </c>
      <c r="E307" s="15">
        <v>2019</v>
      </c>
      <c r="F307" s="15">
        <v>6</v>
      </c>
      <c r="G307" s="15">
        <v>24787.278217332401</v>
      </c>
      <c r="I307" s="18">
        <v>2019</v>
      </c>
      <c r="J307" s="18">
        <v>6</v>
      </c>
      <c r="K307" s="18">
        <v>24920.001163925099</v>
      </c>
    </row>
    <row r="308" spans="1:11" x14ac:dyDescent="0.25">
      <c r="A308" s="15">
        <v>2019</v>
      </c>
      <c r="B308" s="15">
        <v>7</v>
      </c>
      <c r="C308" s="15">
        <v>21134.8996194182</v>
      </c>
      <c r="E308" s="15">
        <v>2019</v>
      </c>
      <c r="F308" s="15">
        <v>7</v>
      </c>
      <c r="G308" s="15">
        <v>21133.3536339028</v>
      </c>
      <c r="I308" s="18">
        <v>2019</v>
      </c>
      <c r="J308" s="18">
        <v>7</v>
      </c>
      <c r="K308" s="18">
        <v>21475.307184950099</v>
      </c>
    </row>
    <row r="309" spans="1:11" x14ac:dyDescent="0.25">
      <c r="A309" s="15">
        <v>2019</v>
      </c>
      <c r="B309" s="15">
        <v>8</v>
      </c>
      <c r="C309" s="15">
        <v>25114.7700069733</v>
      </c>
      <c r="E309" s="15">
        <v>2019</v>
      </c>
      <c r="F309" s="15">
        <v>8</v>
      </c>
      <c r="G309" s="15">
        <v>25111.1927141538</v>
      </c>
      <c r="I309" s="18">
        <v>2019</v>
      </c>
      <c r="J309" s="18">
        <v>8</v>
      </c>
      <c r="K309" s="18">
        <v>24977.1160227894</v>
      </c>
    </row>
    <row r="310" spans="1:11" x14ac:dyDescent="0.25">
      <c r="A310" s="15">
        <v>2019</v>
      </c>
      <c r="B310" s="15">
        <v>9</v>
      </c>
      <c r="C310" s="15">
        <v>23415.840186911999</v>
      </c>
      <c r="E310" s="15">
        <v>2019</v>
      </c>
      <c r="F310" s="15">
        <v>9</v>
      </c>
      <c r="G310" s="15">
        <v>23410.245227964799</v>
      </c>
      <c r="I310" s="18">
        <v>2019</v>
      </c>
      <c r="J310" s="18">
        <v>9</v>
      </c>
      <c r="K310" s="18">
        <v>22987.4321631044</v>
      </c>
    </row>
    <row r="311" spans="1:11" x14ac:dyDescent="0.25">
      <c r="A311" s="15">
        <v>2019</v>
      </c>
      <c r="B311" s="15">
        <v>10</v>
      </c>
      <c r="C311" s="15">
        <v>26752.4258883976</v>
      </c>
      <c r="E311" s="15">
        <v>2019</v>
      </c>
      <c r="F311" s="15">
        <v>10</v>
      </c>
      <c r="G311" s="15">
        <v>26747.368844114098</v>
      </c>
      <c r="I311" s="18">
        <v>2019</v>
      </c>
      <c r="J311" s="18">
        <v>10</v>
      </c>
      <c r="K311" s="18">
        <v>26163.0466591441</v>
      </c>
    </row>
    <row r="312" spans="1:11" x14ac:dyDescent="0.25">
      <c r="A312" s="15">
        <v>2019</v>
      </c>
      <c r="B312" s="15">
        <v>11</v>
      </c>
      <c r="C312" s="15">
        <v>23833.081771402001</v>
      </c>
      <c r="E312" s="15">
        <v>2019</v>
      </c>
      <c r="F312" s="15">
        <v>11</v>
      </c>
      <c r="G312" s="15">
        <v>23834.312369257299</v>
      </c>
      <c r="I312" s="18">
        <v>2019</v>
      </c>
      <c r="J312" s="18">
        <v>11</v>
      </c>
      <c r="K312" s="18">
        <v>22718.4811365309</v>
      </c>
    </row>
    <row r="313" spans="1:11" x14ac:dyDescent="0.25">
      <c r="A313" s="15">
        <v>2019</v>
      </c>
      <c r="B313" s="15">
        <v>12</v>
      </c>
      <c r="C313" s="15">
        <v>21330.0580755542</v>
      </c>
      <c r="E313" s="15">
        <v>2019</v>
      </c>
      <c r="F313" s="15">
        <v>12</v>
      </c>
      <c r="G313" s="15">
        <v>21333.782568032901</v>
      </c>
      <c r="I313" s="18">
        <v>2019</v>
      </c>
      <c r="J313" s="18">
        <v>12</v>
      </c>
      <c r="K313" s="18">
        <v>20468.386481588699</v>
      </c>
    </row>
    <row r="314" spans="1:11" x14ac:dyDescent="0.25">
      <c r="A314" s="15">
        <v>2020</v>
      </c>
      <c r="B314" s="15">
        <v>1</v>
      </c>
      <c r="C314" s="15">
        <v>38608.406493054797</v>
      </c>
      <c r="E314" s="15">
        <v>2020</v>
      </c>
      <c r="F314" s="15">
        <v>1</v>
      </c>
      <c r="G314" s="15">
        <v>38634.828081710803</v>
      </c>
      <c r="I314" s="18">
        <v>2020</v>
      </c>
      <c r="J314" s="18">
        <v>1</v>
      </c>
      <c r="K314" s="18">
        <v>38331.254477768503</v>
      </c>
    </row>
    <row r="315" spans="1:11" x14ac:dyDescent="0.25">
      <c r="A315" s="15">
        <v>2020</v>
      </c>
      <c r="B315" s="15">
        <v>2</v>
      </c>
      <c r="C315" s="15">
        <v>30310.956884001302</v>
      </c>
      <c r="E315" s="15">
        <v>2020</v>
      </c>
      <c r="F315" s="15">
        <v>2</v>
      </c>
      <c r="G315" s="15">
        <v>30336.168434881001</v>
      </c>
      <c r="I315" s="18">
        <v>2020</v>
      </c>
      <c r="J315" s="18">
        <v>2</v>
      </c>
      <c r="K315" s="18">
        <v>28837.475288122001</v>
      </c>
    </row>
    <row r="316" spans="1:11" x14ac:dyDescent="0.25">
      <c r="A316" s="15">
        <v>2020</v>
      </c>
      <c r="B316" s="15">
        <v>3</v>
      </c>
      <c r="C316" s="15">
        <v>13582.5984692403</v>
      </c>
      <c r="E316" s="15">
        <v>2020</v>
      </c>
      <c r="F316" s="15">
        <v>3</v>
      </c>
      <c r="G316" s="15">
        <v>13582.1833302413</v>
      </c>
      <c r="I316" s="18">
        <v>2020</v>
      </c>
      <c r="J316" s="18">
        <v>3</v>
      </c>
      <c r="K316" s="18">
        <v>14748.5946305784</v>
      </c>
    </row>
    <row r="317" spans="1:11" x14ac:dyDescent="0.25">
      <c r="A317" s="15">
        <v>2020</v>
      </c>
      <c r="B317" s="15">
        <v>4</v>
      </c>
      <c r="C317" s="15">
        <v>-1914.0001145096501</v>
      </c>
      <c r="E317" s="15">
        <v>2020</v>
      </c>
      <c r="F317" s="15">
        <v>4</v>
      </c>
      <c r="G317" s="15">
        <v>-1907.7389360955899</v>
      </c>
      <c r="I317" s="18">
        <v>2020</v>
      </c>
      <c r="J317" s="18">
        <v>4</v>
      </c>
      <c r="K317" s="18">
        <v>-1079.39718602122</v>
      </c>
    </row>
    <row r="318" spans="1:11" x14ac:dyDescent="0.25">
      <c r="A318" s="15">
        <v>2020</v>
      </c>
      <c r="B318" s="15">
        <v>5</v>
      </c>
      <c r="C318" s="15">
        <v>5091.2720936564001</v>
      </c>
      <c r="E318" s="15">
        <v>2020</v>
      </c>
      <c r="F318" s="15">
        <v>5</v>
      </c>
      <c r="G318" s="15">
        <v>5089.3182825179601</v>
      </c>
      <c r="I318" s="18">
        <v>2020</v>
      </c>
      <c r="J318" s="18">
        <v>5</v>
      </c>
      <c r="K318" s="18">
        <v>5065.3388401488801</v>
      </c>
    </row>
    <row r="319" spans="1:11" x14ac:dyDescent="0.25">
      <c r="A319" s="15">
        <v>2020</v>
      </c>
      <c r="B319" s="15">
        <v>6</v>
      </c>
      <c r="C319" s="15">
        <v>13667.817055317901</v>
      </c>
      <c r="E319" s="15">
        <v>2020</v>
      </c>
      <c r="F319" s="15">
        <v>6</v>
      </c>
      <c r="G319" s="15">
        <v>13671.4093510205</v>
      </c>
      <c r="I319" s="18">
        <v>2020</v>
      </c>
      <c r="J319" s="18">
        <v>6</v>
      </c>
      <c r="K319" s="18">
        <v>14136.910567684699</v>
      </c>
    </row>
    <row r="320" spans="1:11" x14ac:dyDescent="0.25">
      <c r="A320" s="15">
        <v>2020</v>
      </c>
      <c r="B320" s="15">
        <v>7</v>
      </c>
      <c r="C320" s="15">
        <v>21345.999378959201</v>
      </c>
      <c r="E320" s="15">
        <v>2020</v>
      </c>
      <c r="F320" s="15">
        <v>7</v>
      </c>
      <c r="G320" s="15">
        <v>21339.426506721698</v>
      </c>
      <c r="I320" s="18">
        <v>2020</v>
      </c>
      <c r="J320" s="18">
        <v>7</v>
      </c>
      <c r="K320" s="18">
        <v>21676.386826653601</v>
      </c>
    </row>
    <row r="321" spans="1:11" x14ac:dyDescent="0.25">
      <c r="A321" s="15">
        <v>2020</v>
      </c>
      <c r="B321" s="15">
        <v>8</v>
      </c>
      <c r="C321" s="15">
        <v>21477.507414945499</v>
      </c>
      <c r="E321" s="15">
        <v>2020</v>
      </c>
      <c r="F321" s="15">
        <v>8</v>
      </c>
      <c r="G321" s="15">
        <v>21466.011306336099</v>
      </c>
      <c r="I321" s="18">
        <v>2020</v>
      </c>
      <c r="J321" s="18">
        <v>8</v>
      </c>
      <c r="K321" s="18">
        <v>21169.529056085299</v>
      </c>
    </row>
    <row r="322" spans="1:11" x14ac:dyDescent="0.25">
      <c r="A322" s="15">
        <v>2020</v>
      </c>
      <c r="B322" s="15">
        <v>9</v>
      </c>
      <c r="C322" s="15">
        <v>26096.396467118899</v>
      </c>
      <c r="E322" s="15">
        <v>2020</v>
      </c>
      <c r="F322" s="15">
        <v>9</v>
      </c>
      <c r="G322" s="15">
        <v>26076.5692084334</v>
      </c>
      <c r="I322" s="18">
        <v>2020</v>
      </c>
      <c r="J322" s="18">
        <v>9</v>
      </c>
      <c r="K322" s="18">
        <v>25822.100960077401</v>
      </c>
    </row>
    <row r="323" spans="1:11" x14ac:dyDescent="0.25">
      <c r="A323" s="15">
        <v>2020</v>
      </c>
      <c r="B323" s="15">
        <v>10</v>
      </c>
      <c r="C323" s="15">
        <v>24749.429812734801</v>
      </c>
      <c r="E323" s="15">
        <v>2020</v>
      </c>
      <c r="F323" s="15">
        <v>10</v>
      </c>
      <c r="G323" s="15">
        <v>24730.3702793749</v>
      </c>
      <c r="I323" s="18">
        <v>2020</v>
      </c>
      <c r="J323" s="18">
        <v>10</v>
      </c>
      <c r="K323" s="18">
        <v>24096.743928664098</v>
      </c>
    </row>
    <row r="324" spans="1:11" x14ac:dyDescent="0.25">
      <c r="A324" s="15">
        <v>2020</v>
      </c>
      <c r="B324" s="15">
        <v>11</v>
      </c>
      <c r="C324" s="15">
        <v>28831.749779906801</v>
      </c>
      <c r="E324" s="15">
        <v>2020</v>
      </c>
      <c r="F324" s="15">
        <v>11</v>
      </c>
      <c r="G324" s="15">
        <v>28818.046834054399</v>
      </c>
      <c r="I324" s="18">
        <v>2020</v>
      </c>
      <c r="J324" s="18">
        <v>11</v>
      </c>
      <c r="K324" s="18">
        <v>27753.5090116842</v>
      </c>
    </row>
    <row r="325" spans="1:11" x14ac:dyDescent="0.25">
      <c r="A325" s="15">
        <v>2020</v>
      </c>
      <c r="B325" s="15">
        <v>12</v>
      </c>
      <c r="C325" s="15">
        <v>35223.133436700497</v>
      </c>
      <c r="E325" s="15">
        <v>2020</v>
      </c>
      <c r="F325" s="15">
        <v>12</v>
      </c>
      <c r="G325" s="15">
        <v>35210.641340406997</v>
      </c>
      <c r="I325" s="18">
        <v>2020</v>
      </c>
      <c r="J325" s="18">
        <v>12</v>
      </c>
      <c r="K325" s="18">
        <v>34433.213891261803</v>
      </c>
    </row>
    <row r="326" spans="1:11" x14ac:dyDescent="0.25">
      <c r="A326" s="15">
        <v>2021</v>
      </c>
      <c r="B326" s="15">
        <v>1</v>
      </c>
      <c r="C326" s="15">
        <v>45413.615105028402</v>
      </c>
      <c r="E326" s="15">
        <v>2021</v>
      </c>
      <c r="F326" s="15">
        <v>1</v>
      </c>
      <c r="G326" s="15">
        <v>45527.3318764785</v>
      </c>
      <c r="I326" s="18">
        <v>2021</v>
      </c>
      <c r="J326" s="18">
        <v>1</v>
      </c>
      <c r="K326" s="18">
        <v>45033.970937749596</v>
      </c>
    </row>
    <row r="327" spans="1:11" x14ac:dyDescent="0.25">
      <c r="A327" s="15">
        <v>2021</v>
      </c>
      <c r="B327" s="15">
        <v>2</v>
      </c>
      <c r="C327" s="15">
        <v>23478.666121369399</v>
      </c>
      <c r="E327" s="15">
        <v>2021</v>
      </c>
      <c r="F327" s="15">
        <v>2</v>
      </c>
      <c r="G327" s="15">
        <v>23455.2174082036</v>
      </c>
      <c r="I327" s="18">
        <v>2021</v>
      </c>
      <c r="J327" s="18">
        <v>2</v>
      </c>
      <c r="K327" s="18">
        <v>24911.0549858343</v>
      </c>
    </row>
    <row r="328" spans="1:11" x14ac:dyDescent="0.25">
      <c r="A328" s="15">
        <v>2021</v>
      </c>
      <c r="B328" s="15">
        <v>3</v>
      </c>
      <c r="C328" s="15">
        <v>35673.916217009697</v>
      </c>
      <c r="E328" s="15">
        <v>2021</v>
      </c>
      <c r="F328" s="15">
        <v>3</v>
      </c>
      <c r="G328" s="15">
        <v>35672.106651606497</v>
      </c>
      <c r="I328" s="18">
        <v>2021</v>
      </c>
      <c r="J328" s="18">
        <v>3</v>
      </c>
      <c r="K328" s="18">
        <v>36881.383003759001</v>
      </c>
    </row>
    <row r="329" spans="1:11" x14ac:dyDescent="0.25">
      <c r="A329" s="15">
        <v>2021</v>
      </c>
      <c r="B329" s="15">
        <v>4</v>
      </c>
      <c r="C329" s="15">
        <v>27442.235749490701</v>
      </c>
      <c r="E329" s="15">
        <v>2021</v>
      </c>
      <c r="F329" s="15">
        <v>4</v>
      </c>
      <c r="G329" s="15">
        <v>27450.5507443018</v>
      </c>
      <c r="I329" s="18">
        <v>2021</v>
      </c>
      <c r="J329" s="18">
        <v>4</v>
      </c>
      <c r="K329" s="18">
        <v>28208.584751447601</v>
      </c>
    </row>
    <row r="330" spans="1:11" x14ac:dyDescent="0.25">
      <c r="A330" s="15">
        <v>2021</v>
      </c>
      <c r="B330" s="15">
        <v>5</v>
      </c>
      <c r="C330" s="15">
        <v>36152.087845109803</v>
      </c>
      <c r="E330" s="15">
        <v>2021</v>
      </c>
      <c r="F330" s="15">
        <v>5</v>
      </c>
      <c r="G330" s="15">
        <v>36151.5433989093</v>
      </c>
      <c r="I330" s="18">
        <v>2021</v>
      </c>
      <c r="J330" s="18">
        <v>5</v>
      </c>
      <c r="K330" s="18">
        <v>36056.874134141501</v>
      </c>
    </row>
    <row r="331" spans="1:11" x14ac:dyDescent="0.25">
      <c r="A331" s="15">
        <v>2021</v>
      </c>
      <c r="B331" s="15">
        <v>6</v>
      </c>
      <c r="C331" s="15">
        <v>38320.995885091703</v>
      </c>
      <c r="E331" s="15">
        <v>2021</v>
      </c>
      <c r="F331" s="15">
        <v>6</v>
      </c>
      <c r="G331" s="15">
        <v>38319.087957251497</v>
      </c>
      <c r="I331" s="18">
        <v>2021</v>
      </c>
      <c r="J331" s="18">
        <v>6</v>
      </c>
      <c r="K331" s="18">
        <v>38696.719153734703</v>
      </c>
    </row>
    <row r="332" spans="1:11" x14ac:dyDescent="0.25">
      <c r="A332" s="15">
        <v>2021</v>
      </c>
      <c r="B332" s="15">
        <v>7</v>
      </c>
      <c r="C332" s="15">
        <v>33442.837167354897</v>
      </c>
      <c r="E332" s="15">
        <v>2021</v>
      </c>
      <c r="F332" s="15">
        <v>7</v>
      </c>
      <c r="G332" s="15">
        <v>33433.540158665099</v>
      </c>
      <c r="I332" s="18">
        <v>2021</v>
      </c>
      <c r="J332" s="18">
        <v>7</v>
      </c>
      <c r="K332" s="18">
        <v>33731.090584049402</v>
      </c>
    </row>
    <row r="333" spans="1:11" x14ac:dyDescent="0.25">
      <c r="A333" s="15">
        <v>2021</v>
      </c>
      <c r="B333" s="15">
        <v>8</v>
      </c>
      <c r="C333" s="15">
        <v>32182.563663560399</v>
      </c>
      <c r="E333" s="15">
        <v>2021</v>
      </c>
      <c r="F333" s="15">
        <v>8</v>
      </c>
      <c r="G333" s="15">
        <v>32152.353570589799</v>
      </c>
      <c r="I333" s="18">
        <v>2021</v>
      </c>
      <c r="J333" s="18">
        <v>8</v>
      </c>
      <c r="K333" s="18">
        <v>31990.693061859401</v>
      </c>
    </row>
    <row r="334" spans="1:11" x14ac:dyDescent="0.25">
      <c r="A334" s="15">
        <v>2021</v>
      </c>
      <c r="B334" s="15">
        <v>9</v>
      </c>
      <c r="C334" s="15">
        <v>37259.860517577101</v>
      </c>
      <c r="E334" s="15">
        <v>2021</v>
      </c>
      <c r="F334" s="15">
        <v>9</v>
      </c>
      <c r="G334" s="15">
        <v>37217.312083484801</v>
      </c>
      <c r="I334" s="18">
        <v>2021</v>
      </c>
      <c r="J334" s="18">
        <v>9</v>
      </c>
      <c r="K334" s="18">
        <v>36984.132306741201</v>
      </c>
    </row>
    <row r="335" spans="1:11" x14ac:dyDescent="0.25">
      <c r="A335" s="15">
        <v>2021</v>
      </c>
      <c r="B335" s="15">
        <v>10</v>
      </c>
      <c r="C335" s="15">
        <v>38246.507827763096</v>
      </c>
      <c r="E335" s="15">
        <v>2021</v>
      </c>
      <c r="F335" s="15">
        <v>10</v>
      </c>
      <c r="G335" s="15">
        <v>38204.970914604499</v>
      </c>
      <c r="I335" s="18">
        <v>2021</v>
      </c>
      <c r="J335" s="18">
        <v>10</v>
      </c>
      <c r="K335" s="18">
        <v>37560.765610581802</v>
      </c>
    </row>
    <row r="336" spans="1:11" x14ac:dyDescent="0.25">
      <c r="A336" s="15">
        <v>2021</v>
      </c>
      <c r="B336" s="15">
        <v>11</v>
      </c>
      <c r="C336" s="15">
        <v>40383.651691895102</v>
      </c>
      <c r="E336" s="15">
        <v>2021</v>
      </c>
      <c r="F336" s="15">
        <v>11</v>
      </c>
      <c r="G336" s="15">
        <v>40348.651679063099</v>
      </c>
      <c r="I336" s="18">
        <v>2021</v>
      </c>
      <c r="J336" s="18">
        <v>11</v>
      </c>
      <c r="K336" s="18">
        <v>39700.990019534103</v>
      </c>
    </row>
    <row r="337" spans="1:11" x14ac:dyDescent="0.25">
      <c r="A337" s="15">
        <v>2021</v>
      </c>
      <c r="B337" s="15">
        <v>12</v>
      </c>
      <c r="C337" s="15">
        <v>45038.961460518003</v>
      </c>
      <c r="E337" s="15">
        <v>2021</v>
      </c>
      <c r="F337" s="15">
        <v>12</v>
      </c>
      <c r="G337" s="15">
        <v>45015.798922523798</v>
      </c>
      <c r="I337" s="18">
        <v>2021</v>
      </c>
      <c r="J337" s="18">
        <v>12</v>
      </c>
      <c r="K337" s="18">
        <v>44361.661299806103</v>
      </c>
    </row>
    <row r="338" spans="1:11" x14ac:dyDescent="0.25">
      <c r="A338" s="15">
        <v>2022</v>
      </c>
      <c r="B338" s="15">
        <v>1</v>
      </c>
      <c r="C338" s="15">
        <v>39921.622283552897</v>
      </c>
      <c r="E338" s="15">
        <v>2022</v>
      </c>
      <c r="F338" s="15">
        <v>1</v>
      </c>
      <c r="G338" s="15">
        <v>40125.739626103597</v>
      </c>
      <c r="I338" s="18">
        <v>2022</v>
      </c>
      <c r="J338" s="18">
        <v>1</v>
      </c>
      <c r="K338" s="18">
        <v>39806.630190583499</v>
      </c>
    </row>
    <row r="339" spans="1:11" x14ac:dyDescent="0.25">
      <c r="A339" s="15">
        <v>2022</v>
      </c>
      <c r="B339" s="15">
        <v>2</v>
      </c>
      <c r="C339" s="15">
        <v>39998.620077954598</v>
      </c>
      <c r="E339" s="15">
        <v>2022</v>
      </c>
      <c r="F339" s="15">
        <v>2</v>
      </c>
      <c r="G339" s="15">
        <v>39984.876613817898</v>
      </c>
      <c r="I339" s="18">
        <v>2022</v>
      </c>
      <c r="J339" s="18">
        <v>2</v>
      </c>
      <c r="K339" s="18">
        <v>41211.9507159848</v>
      </c>
    </row>
    <row r="340" spans="1:11" x14ac:dyDescent="0.25">
      <c r="A340" s="15">
        <v>2022</v>
      </c>
      <c r="B340" s="15">
        <v>3</v>
      </c>
      <c r="C340" s="15">
        <v>41305.985370691298</v>
      </c>
      <c r="E340" s="15">
        <v>2022</v>
      </c>
      <c r="F340" s="15">
        <v>3</v>
      </c>
      <c r="G340" s="15">
        <v>41322.767362013503</v>
      </c>
      <c r="I340" s="18">
        <v>2022</v>
      </c>
      <c r="J340" s="18">
        <v>3</v>
      </c>
      <c r="K340" s="18">
        <v>42130.990200638502</v>
      </c>
    </row>
    <row r="341" spans="1:11" x14ac:dyDescent="0.25">
      <c r="A341" s="15">
        <v>2022</v>
      </c>
      <c r="B341" s="15">
        <v>4</v>
      </c>
      <c r="C341" s="15">
        <v>43356.952031082401</v>
      </c>
      <c r="E341" s="15">
        <v>2022</v>
      </c>
      <c r="F341" s="15">
        <v>4</v>
      </c>
      <c r="G341" s="15">
        <v>43369.405636565003</v>
      </c>
      <c r="I341" s="18">
        <v>2022</v>
      </c>
      <c r="J341" s="18">
        <v>4</v>
      </c>
      <c r="K341" s="18">
        <v>43824.484474676603</v>
      </c>
    </row>
    <row r="342" spans="1:11" x14ac:dyDescent="0.25">
      <c r="A342" s="15">
        <v>2022</v>
      </c>
      <c r="B342" s="15">
        <v>5</v>
      </c>
      <c r="C342" s="15">
        <v>46793.588320271403</v>
      </c>
      <c r="E342" s="15">
        <v>2022</v>
      </c>
      <c r="F342" s="15">
        <v>5</v>
      </c>
      <c r="G342" s="15">
        <v>46787.499652133702</v>
      </c>
      <c r="I342" s="18">
        <v>2022</v>
      </c>
      <c r="J342" s="18">
        <v>5</v>
      </c>
      <c r="K342" s="18">
        <v>46769.9091058247</v>
      </c>
    </row>
    <row r="343" spans="1:11" x14ac:dyDescent="0.25">
      <c r="A343" s="15">
        <v>2022</v>
      </c>
      <c r="B343" s="15">
        <v>6</v>
      </c>
      <c r="C343" s="15">
        <v>46552.192449216498</v>
      </c>
      <c r="E343" s="15">
        <v>2022</v>
      </c>
      <c r="F343" s="15">
        <v>6</v>
      </c>
      <c r="G343" s="15">
        <v>46537.071830545297</v>
      </c>
      <c r="I343" s="18">
        <v>2022</v>
      </c>
      <c r="J343" s="18">
        <v>6</v>
      </c>
      <c r="K343" s="18">
        <v>46764.591445899299</v>
      </c>
    </row>
    <row r="344" spans="1:11" x14ac:dyDescent="0.25">
      <c r="A344" s="15">
        <v>2022</v>
      </c>
      <c r="B344" s="15">
        <v>7</v>
      </c>
      <c r="C344" s="15">
        <v>47260.109040917901</v>
      </c>
      <c r="E344" s="15">
        <v>2022</v>
      </c>
      <c r="F344" s="15">
        <v>7</v>
      </c>
      <c r="G344" s="15">
        <v>47267.772391428298</v>
      </c>
      <c r="I344" s="18">
        <v>2022</v>
      </c>
      <c r="J344" s="18">
        <v>7</v>
      </c>
      <c r="K344" s="18">
        <v>47594.627752966502</v>
      </c>
    </row>
    <row r="345" spans="1:11" x14ac:dyDescent="0.25">
      <c r="A345" s="15">
        <v>2022</v>
      </c>
      <c r="B345" s="15">
        <v>8</v>
      </c>
      <c r="C345" s="15">
        <v>46153.2820321771</v>
      </c>
      <c r="E345" s="15">
        <v>2022</v>
      </c>
      <c r="F345" s="15">
        <v>8</v>
      </c>
      <c r="G345" s="15">
        <v>46095.8792137251</v>
      </c>
      <c r="I345" s="18">
        <v>2022</v>
      </c>
      <c r="J345" s="18">
        <v>8</v>
      </c>
      <c r="K345" s="18">
        <v>46090.985007232201</v>
      </c>
    </row>
    <row r="346" spans="1:11" x14ac:dyDescent="0.25">
      <c r="A346" s="15">
        <v>2022</v>
      </c>
      <c r="B346" s="15">
        <v>9</v>
      </c>
      <c r="C346" s="15">
        <v>45450.973769682401</v>
      </c>
      <c r="E346" s="15">
        <v>2022</v>
      </c>
      <c r="F346" s="15">
        <v>9</v>
      </c>
      <c r="G346" s="15">
        <v>45377.230831602101</v>
      </c>
      <c r="I346" s="18">
        <v>2022</v>
      </c>
      <c r="J346" s="18">
        <v>9</v>
      </c>
      <c r="K346" s="18">
        <v>45213.905739755501</v>
      </c>
    </row>
    <row r="347" spans="1:11" x14ac:dyDescent="0.25">
      <c r="A347" s="15">
        <v>2022</v>
      </c>
      <c r="B347" s="15">
        <v>10</v>
      </c>
      <c r="C347" s="15">
        <v>49248.7894174596</v>
      </c>
      <c r="E347" s="15">
        <v>2022</v>
      </c>
      <c r="F347" s="15">
        <v>10</v>
      </c>
      <c r="G347" s="15">
        <v>49158.273547584999</v>
      </c>
      <c r="I347" s="18">
        <v>2022</v>
      </c>
      <c r="J347" s="18">
        <v>10</v>
      </c>
      <c r="K347" s="18">
        <v>48696.782385975399</v>
      </c>
    </row>
    <row r="348" spans="1:11" x14ac:dyDescent="0.25">
      <c r="A348" s="15">
        <v>2022</v>
      </c>
      <c r="B348" s="15">
        <v>11</v>
      </c>
      <c r="C348" s="15">
        <v>46540.752380901497</v>
      </c>
      <c r="E348" s="15">
        <v>2022</v>
      </c>
      <c r="F348" s="15">
        <v>11</v>
      </c>
      <c r="G348" s="15">
        <v>46456.754671331997</v>
      </c>
      <c r="I348" s="18">
        <v>2022</v>
      </c>
      <c r="J348" s="18">
        <v>11</v>
      </c>
      <c r="K348" s="18">
        <v>46145.492727183999</v>
      </c>
    </row>
    <row r="349" spans="1:11" x14ac:dyDescent="0.25">
      <c r="A349" s="15">
        <v>2022</v>
      </c>
      <c r="B349" s="15">
        <v>12</v>
      </c>
      <c r="C349" s="15">
        <v>44201.4524215282</v>
      </c>
      <c r="E349" s="15">
        <v>2022</v>
      </c>
      <c r="F349" s="15">
        <v>12</v>
      </c>
      <c r="G349" s="15">
        <v>44120.703034523503</v>
      </c>
      <c r="I349" s="18">
        <v>2022</v>
      </c>
      <c r="J349" s="18">
        <v>12</v>
      </c>
      <c r="K349" s="18">
        <v>43538.352559105799</v>
      </c>
    </row>
    <row r="350" spans="1:11" x14ac:dyDescent="0.25">
      <c r="A350" s="15">
        <v>2023</v>
      </c>
      <c r="B350" s="15">
        <v>1</v>
      </c>
      <c r="C350" s="15">
        <v>46878.651262367799</v>
      </c>
      <c r="E350" s="15">
        <v>2023</v>
      </c>
      <c r="F350" s="15">
        <v>1</v>
      </c>
      <c r="G350" s="15">
        <v>47312.249900123898</v>
      </c>
      <c r="I350" s="18">
        <v>2023</v>
      </c>
      <c r="J350" s="18">
        <v>1</v>
      </c>
      <c r="K350" s="18">
        <v>47196.373277923798</v>
      </c>
    </row>
    <row r="351" spans="1:11" x14ac:dyDescent="0.25">
      <c r="A351" s="15">
        <v>2023</v>
      </c>
      <c r="B351" s="15">
        <v>2</v>
      </c>
      <c r="C351" s="15">
        <v>49537.612610959499</v>
      </c>
      <c r="E351" s="15">
        <v>2023</v>
      </c>
      <c r="F351" s="15">
        <v>2</v>
      </c>
      <c r="G351" s="15">
        <v>49459.096359328498</v>
      </c>
      <c r="I351" s="18">
        <v>2023</v>
      </c>
      <c r="J351" s="18">
        <v>2</v>
      </c>
      <c r="K351" s="18">
        <v>50509.205414995798</v>
      </c>
    </row>
    <row r="352" spans="1:11" x14ac:dyDescent="0.25">
      <c r="A352" s="15">
        <v>2023</v>
      </c>
      <c r="B352" s="15">
        <v>3</v>
      </c>
      <c r="C352" s="15">
        <v>53867.271897913299</v>
      </c>
      <c r="E352" s="15">
        <v>2023</v>
      </c>
      <c r="F352" s="15">
        <v>3</v>
      </c>
      <c r="G352" s="15">
        <v>54000.762791972396</v>
      </c>
      <c r="I352" s="18">
        <v>2023</v>
      </c>
      <c r="J352" s="18">
        <v>3</v>
      </c>
      <c r="K352" s="18">
        <v>54408.2521375262</v>
      </c>
    </row>
    <row r="353" spans="1:11" x14ac:dyDescent="0.25">
      <c r="A353" s="15">
        <v>2023</v>
      </c>
      <c r="B353" s="15">
        <v>4</v>
      </c>
      <c r="C353" s="15">
        <v>55311.888918935903</v>
      </c>
      <c r="E353" s="15">
        <v>2023</v>
      </c>
      <c r="F353" s="15">
        <v>4</v>
      </c>
      <c r="G353" s="15">
        <v>55285.515060141697</v>
      </c>
      <c r="I353" s="18">
        <v>2023</v>
      </c>
      <c r="J353" s="18">
        <v>4</v>
      </c>
      <c r="K353" s="18">
        <v>55302.530015672302</v>
      </c>
    </row>
    <row r="354" spans="1:11" x14ac:dyDescent="0.25">
      <c r="A354" s="15">
        <v>2023</v>
      </c>
      <c r="B354" s="15">
        <v>5</v>
      </c>
      <c r="C354" s="15">
        <v>52544.6477722579</v>
      </c>
      <c r="E354" s="15">
        <v>2023</v>
      </c>
      <c r="F354" s="15">
        <v>5</v>
      </c>
      <c r="G354" s="15">
        <v>52511.832859096598</v>
      </c>
      <c r="I354" s="18">
        <v>2023</v>
      </c>
      <c r="J354" s="18">
        <v>5</v>
      </c>
      <c r="K354" s="18">
        <v>52512.494796157502</v>
      </c>
    </row>
    <row r="355" spans="1:11" x14ac:dyDescent="0.25">
      <c r="A355" s="15">
        <v>2023</v>
      </c>
      <c r="B355" s="15">
        <v>6</v>
      </c>
      <c r="C355" s="15">
        <v>51800.233222315903</v>
      </c>
      <c r="E355" s="15">
        <v>2023</v>
      </c>
      <c r="F355" s="15">
        <v>6</v>
      </c>
      <c r="G355" s="15">
        <v>51758.367670406202</v>
      </c>
      <c r="I355" s="18">
        <v>2023</v>
      </c>
      <c r="J355" s="18">
        <v>6</v>
      </c>
      <c r="K355" s="18">
        <v>51853.282796449203</v>
      </c>
    </row>
    <row r="356" spans="1:11" x14ac:dyDescent="0.25">
      <c r="A356" s="15">
        <v>2023</v>
      </c>
      <c r="B356" s="15">
        <v>7</v>
      </c>
      <c r="C356" s="15">
        <v>52297.394467467202</v>
      </c>
      <c r="E356" s="15">
        <v>2023</v>
      </c>
      <c r="F356" s="15">
        <v>7</v>
      </c>
      <c r="G356" s="15">
        <v>52315.117280738399</v>
      </c>
      <c r="I356" s="18">
        <v>2023</v>
      </c>
      <c r="J356" s="18">
        <v>7</v>
      </c>
      <c r="K356" s="18">
        <v>52897.740003379899</v>
      </c>
    </row>
    <row r="357" spans="1:11" x14ac:dyDescent="0.25">
      <c r="A357" s="15">
        <v>2023</v>
      </c>
      <c r="B357" s="15">
        <v>8</v>
      </c>
      <c r="C357" s="15">
        <v>55120.931976665503</v>
      </c>
      <c r="E357" s="15">
        <v>2023</v>
      </c>
      <c r="F357" s="15">
        <v>8</v>
      </c>
      <c r="G357" s="15">
        <v>55036.750476554102</v>
      </c>
      <c r="I357" s="18">
        <v>2023</v>
      </c>
      <c r="J357" s="18">
        <v>8</v>
      </c>
      <c r="K357" s="18">
        <v>55060.523377526602</v>
      </c>
    </row>
    <row r="358" spans="1:11" x14ac:dyDescent="0.25">
      <c r="A358" s="15">
        <v>2023</v>
      </c>
      <c r="B358" s="15">
        <v>9</v>
      </c>
      <c r="C358" s="15">
        <v>51251.255095316097</v>
      </c>
      <c r="E358" s="15">
        <v>2023</v>
      </c>
      <c r="F358" s="15">
        <v>9</v>
      </c>
      <c r="G358" s="15">
        <v>51147.942484967301</v>
      </c>
      <c r="I358" s="18">
        <v>2023</v>
      </c>
      <c r="J358" s="18">
        <v>9</v>
      </c>
      <c r="K358" s="18">
        <v>50890.482889480401</v>
      </c>
    </row>
    <row r="359" spans="1:11" x14ac:dyDescent="0.25">
      <c r="A359" s="15">
        <v>2023</v>
      </c>
      <c r="B359" s="15">
        <v>10</v>
      </c>
      <c r="C359" s="15">
        <v>46813.240575017197</v>
      </c>
      <c r="E359" s="15">
        <v>2023</v>
      </c>
      <c r="F359" s="15">
        <v>10</v>
      </c>
      <c r="G359" s="15">
        <v>46681.657240546199</v>
      </c>
      <c r="I359" s="18">
        <v>2023</v>
      </c>
      <c r="J359" s="18">
        <v>10</v>
      </c>
      <c r="K359" s="18">
        <v>46487.493658916399</v>
      </c>
    </row>
    <row r="360" spans="1:11" x14ac:dyDescent="0.25">
      <c r="A360" s="15">
        <v>2023</v>
      </c>
      <c r="B360" s="15">
        <v>11</v>
      </c>
      <c r="C360" s="15">
        <v>49404.115124356496</v>
      </c>
      <c r="E360" s="15">
        <v>2023</v>
      </c>
      <c r="F360" s="15">
        <v>11</v>
      </c>
      <c r="G360" s="15">
        <v>49289.706471213402</v>
      </c>
      <c r="I360" s="18">
        <v>2023</v>
      </c>
      <c r="J360" s="18">
        <v>11</v>
      </c>
      <c r="K360" s="18">
        <v>49331.452939092698</v>
      </c>
    </row>
    <row r="361" spans="1:11" x14ac:dyDescent="0.25">
      <c r="A361" s="15">
        <v>2023</v>
      </c>
      <c r="B361" s="15">
        <v>12</v>
      </c>
      <c r="C361" s="15">
        <v>46325.766141936198</v>
      </c>
      <c r="E361" s="15">
        <v>2023</v>
      </c>
      <c r="F361" s="15">
        <v>12</v>
      </c>
      <c r="G361" s="15">
        <v>46216.8595315805</v>
      </c>
      <c r="I361" s="18">
        <v>2023</v>
      </c>
      <c r="J361" s="18">
        <v>12</v>
      </c>
      <c r="K361" s="18">
        <v>45833.219473520803</v>
      </c>
    </row>
    <row r="362" spans="1:11" x14ac:dyDescent="0.25">
      <c r="A362" s="15">
        <v>2024</v>
      </c>
      <c r="B362" s="15">
        <v>1</v>
      </c>
      <c r="C362" s="15">
        <v>40352.068733406697</v>
      </c>
      <c r="E362" s="15">
        <v>2024</v>
      </c>
      <c r="F362" s="15">
        <v>1</v>
      </c>
      <c r="G362" s="15">
        <v>40966.283877297799</v>
      </c>
      <c r="I362" s="18">
        <v>2024</v>
      </c>
      <c r="J362" s="18">
        <v>1</v>
      </c>
      <c r="K362" s="18">
        <v>40839.5098569455</v>
      </c>
    </row>
    <row r="363" spans="1:11" x14ac:dyDescent="0.25">
      <c r="A363" s="15">
        <v>2024</v>
      </c>
      <c r="B363" s="15">
        <v>2</v>
      </c>
      <c r="C363" s="15">
        <v>43363.989911834004</v>
      </c>
      <c r="E363" s="15">
        <v>2024</v>
      </c>
      <c r="F363" s="15">
        <v>2</v>
      </c>
      <c r="G363" s="15">
        <v>43336.270895879097</v>
      </c>
      <c r="I363" s="18">
        <v>2024</v>
      </c>
      <c r="J363" s="18">
        <v>2</v>
      </c>
      <c r="K363" s="18">
        <v>41327.501194386197</v>
      </c>
    </row>
    <row r="364" spans="1:11" x14ac:dyDescent="0.25">
      <c r="A364" s="15">
        <v>2024</v>
      </c>
      <c r="B364" s="15">
        <v>3</v>
      </c>
      <c r="C364" s="15">
        <v>39250.383915926897</v>
      </c>
      <c r="E364" s="15">
        <v>2024</v>
      </c>
      <c r="F364" s="15">
        <v>3</v>
      </c>
      <c r="G364" s="15">
        <v>39443.107026980797</v>
      </c>
      <c r="I364" s="18">
        <v>2024</v>
      </c>
      <c r="J364" s="18">
        <v>3</v>
      </c>
      <c r="K364" s="18">
        <v>39238.012285418503</v>
      </c>
    </row>
    <row r="365" spans="1:11" x14ac:dyDescent="0.25">
      <c r="A365" s="15">
        <v>2024</v>
      </c>
      <c r="B365" s="15">
        <v>4</v>
      </c>
      <c r="C365" s="15">
        <v>40778.851435954799</v>
      </c>
      <c r="E365" s="15">
        <v>2024</v>
      </c>
      <c r="F365" s="15">
        <v>4</v>
      </c>
      <c r="G365" s="15">
        <v>40677.975984230899</v>
      </c>
      <c r="I365" s="18">
        <v>2024</v>
      </c>
      <c r="J365" s="18">
        <v>4</v>
      </c>
      <c r="K365" s="18">
        <v>40764.029029273901</v>
      </c>
    </row>
    <row r="366" spans="1:11" x14ac:dyDescent="0.25">
      <c r="A366" s="15">
        <v>2024</v>
      </c>
      <c r="B366" s="15">
        <v>5</v>
      </c>
      <c r="C366" s="15">
        <v>37842.002628304697</v>
      </c>
      <c r="E366" s="15">
        <v>2024</v>
      </c>
      <c r="F366" s="15">
        <v>5</v>
      </c>
      <c r="G366" s="15">
        <v>37781.666815351397</v>
      </c>
      <c r="I366" s="18">
        <v>2024</v>
      </c>
      <c r="J366" s="18">
        <v>5</v>
      </c>
      <c r="K366" s="18">
        <v>37636.676703765901</v>
      </c>
    </row>
    <row r="367" spans="1:11" x14ac:dyDescent="0.25">
      <c r="A367" s="15">
        <v>2024</v>
      </c>
      <c r="B367" s="15">
        <v>6</v>
      </c>
      <c r="C367" s="15">
        <v>33380.999493744603</v>
      </c>
      <c r="E367" s="15">
        <v>2024</v>
      </c>
      <c r="F367" s="15">
        <v>6</v>
      </c>
      <c r="G367" s="15">
        <v>33322.102681475997</v>
      </c>
      <c r="I367" s="18">
        <v>2024</v>
      </c>
      <c r="J367" s="18">
        <v>6</v>
      </c>
      <c r="K367" s="18">
        <v>33005.512788179898</v>
      </c>
    </row>
    <row r="368" spans="1:11" x14ac:dyDescent="0.25">
      <c r="A368" s="15">
        <v>2024</v>
      </c>
      <c r="B368" s="15">
        <v>7</v>
      </c>
      <c r="C368" s="15">
        <v>44577.858142612597</v>
      </c>
      <c r="E368" s="15">
        <v>2024</v>
      </c>
      <c r="F368" s="15">
        <v>7</v>
      </c>
      <c r="G368" s="15">
        <v>44611.147808873597</v>
      </c>
      <c r="I368" s="18">
        <v>2024</v>
      </c>
      <c r="J368" s="18">
        <v>7</v>
      </c>
      <c r="K368" s="18">
        <v>45730.436348247502</v>
      </c>
    </row>
    <row r="369" spans="1:11" x14ac:dyDescent="0.25">
      <c r="A369" s="15">
        <v>2024</v>
      </c>
      <c r="B369" s="15">
        <v>8</v>
      </c>
      <c r="C369" s="15">
        <v>44325.831029690598</v>
      </c>
      <c r="E369" s="15">
        <v>2024</v>
      </c>
      <c r="F369" s="15">
        <v>8</v>
      </c>
      <c r="G369" s="15">
        <v>44226.235314883503</v>
      </c>
      <c r="I369" s="18">
        <v>2024</v>
      </c>
      <c r="J369" s="18">
        <v>8</v>
      </c>
      <c r="K369" s="18">
        <v>44175.274048202598</v>
      </c>
    </row>
    <row r="370" spans="1:11" x14ac:dyDescent="0.25">
      <c r="A370" s="15">
        <v>2024</v>
      </c>
      <c r="B370" s="15">
        <v>9</v>
      </c>
      <c r="C370" s="15">
        <v>43840.785857267998</v>
      </c>
      <c r="E370" s="15">
        <v>2024</v>
      </c>
      <c r="F370" s="15">
        <v>9</v>
      </c>
      <c r="G370" s="15">
        <v>43718.535439260799</v>
      </c>
      <c r="I370" s="18">
        <v>2024</v>
      </c>
      <c r="J370" s="18">
        <v>9</v>
      </c>
      <c r="K370" s="18">
        <v>43555.341809253201</v>
      </c>
    </row>
    <row r="371" spans="1:11" x14ac:dyDescent="0.25">
      <c r="A371" s="15">
        <v>2024</v>
      </c>
      <c r="B371" s="15">
        <v>10</v>
      </c>
      <c r="C371" s="15">
        <v>45461.434063650202</v>
      </c>
      <c r="E371" s="15">
        <v>2024</v>
      </c>
      <c r="F371" s="15">
        <v>10</v>
      </c>
      <c r="G371" s="15">
        <v>45294.322142751502</v>
      </c>
      <c r="I371" s="18">
        <v>2024</v>
      </c>
      <c r="J371" s="18">
        <v>10</v>
      </c>
      <c r="K371" s="18">
        <v>45285.420550439703</v>
      </c>
    </row>
    <row r="372" spans="1:11" x14ac:dyDescent="0.25">
      <c r="A372" s="15">
        <v>2024</v>
      </c>
      <c r="B372" s="15">
        <v>11</v>
      </c>
      <c r="C372" s="15">
        <v>48044.604332723698</v>
      </c>
      <c r="E372" s="15">
        <v>2024</v>
      </c>
      <c r="F372" s="15">
        <v>11</v>
      </c>
      <c r="G372" s="15">
        <v>47900.677724822803</v>
      </c>
      <c r="I372" s="18">
        <v>2024</v>
      </c>
      <c r="J372" s="18">
        <v>11</v>
      </c>
      <c r="K372" s="18">
        <v>47970.987421771199</v>
      </c>
    </row>
    <row r="373" spans="1:11" x14ac:dyDescent="0.25">
      <c r="A373" s="15">
        <v>2024</v>
      </c>
      <c r="B373" s="15">
        <v>12</v>
      </c>
      <c r="C373" s="15">
        <v>46510.342809666698</v>
      </c>
      <c r="E373" s="15">
        <v>2024</v>
      </c>
      <c r="F373" s="15">
        <v>12</v>
      </c>
      <c r="G373" s="15">
        <v>46358.694188462898</v>
      </c>
      <c r="I373" s="18">
        <v>2024</v>
      </c>
      <c r="J373" s="18">
        <v>12</v>
      </c>
      <c r="K373" s="18">
        <v>46420.043020776902</v>
      </c>
    </row>
    <row r="374" spans="1:11" x14ac:dyDescent="0.25">
      <c r="A374" s="15">
        <v>2025</v>
      </c>
      <c r="B374" s="15">
        <v>1</v>
      </c>
      <c r="C374" s="15">
        <v>47056.233345127999</v>
      </c>
      <c r="E374" s="15">
        <v>2025</v>
      </c>
      <c r="F374" s="15">
        <v>1</v>
      </c>
      <c r="G374" s="15">
        <v>47914.019049279603</v>
      </c>
      <c r="I374" s="18">
        <v>2025</v>
      </c>
      <c r="J374" s="18">
        <v>1</v>
      </c>
      <c r="K374" s="18">
        <v>47433.2771075567</v>
      </c>
    </row>
    <row r="375" spans="1:11" x14ac:dyDescent="0.25">
      <c r="A375" s="15">
        <v>2025</v>
      </c>
      <c r="B375" s="15">
        <v>2</v>
      </c>
      <c r="C375" s="15">
        <v>46750.418887440297</v>
      </c>
      <c r="E375" s="15">
        <v>2025</v>
      </c>
      <c r="F375" s="15">
        <v>2</v>
      </c>
      <c r="G375" s="15">
        <v>46667.639549267202</v>
      </c>
      <c r="I375" s="18">
        <v>2025</v>
      </c>
      <c r="J375" s="18">
        <v>2</v>
      </c>
      <c r="K375" s="18">
        <v>47664.637636835003</v>
      </c>
    </row>
    <row r="376" spans="1:11" x14ac:dyDescent="0.25">
      <c r="A376" s="15">
        <v>2025</v>
      </c>
      <c r="B376" s="15">
        <v>3</v>
      </c>
      <c r="C376" s="15">
        <v>37992.202397283603</v>
      </c>
      <c r="E376" s="15">
        <v>2025</v>
      </c>
      <c r="F376" s="15">
        <v>3</v>
      </c>
      <c r="G376" s="15">
        <v>38188.915585101102</v>
      </c>
      <c r="I376" s="18">
        <v>2025</v>
      </c>
      <c r="J376" s="18">
        <v>3</v>
      </c>
      <c r="K376" s="18">
        <v>38037.226007864701</v>
      </c>
    </row>
    <row r="377" spans="1:11" x14ac:dyDescent="0.25">
      <c r="A377" s="15">
        <v>2025</v>
      </c>
      <c r="B377" s="15">
        <v>4</v>
      </c>
      <c r="C377" s="15">
        <v>43375.247072162201</v>
      </c>
      <c r="E377" s="15">
        <v>2025</v>
      </c>
      <c r="F377" s="15">
        <v>4</v>
      </c>
      <c r="G377" s="15">
        <v>43160.313058426102</v>
      </c>
      <c r="I377" s="18">
        <v>2025</v>
      </c>
      <c r="J377" s="18">
        <v>4</v>
      </c>
      <c r="K377" s="18">
        <v>42957.709987589202</v>
      </c>
    </row>
    <row r="378" spans="1:11" x14ac:dyDescent="0.25">
      <c r="A378" s="15">
        <v>2025</v>
      </c>
      <c r="B378" s="15">
        <v>5</v>
      </c>
      <c r="C378" s="15">
        <v>49106.994792613797</v>
      </c>
      <c r="E378" s="15">
        <v>2025</v>
      </c>
      <c r="F378" s="15">
        <v>5</v>
      </c>
      <c r="G378" s="15">
        <v>49025.6569730181</v>
      </c>
      <c r="I378" s="18">
        <v>2025</v>
      </c>
      <c r="J378" s="18">
        <v>5</v>
      </c>
      <c r="K378" s="18">
        <v>48508.853220888101</v>
      </c>
    </row>
    <row r="379" spans="1:11" x14ac:dyDescent="0.25">
      <c r="A379" s="15">
        <v>2025</v>
      </c>
      <c r="B379" s="15">
        <v>6</v>
      </c>
      <c r="C379" s="15">
        <v>42897.329152975399</v>
      </c>
      <c r="E379" s="15">
        <v>2025</v>
      </c>
      <c r="F379" s="15">
        <v>6</v>
      </c>
      <c r="G379" s="15">
        <v>42824.1234040501</v>
      </c>
      <c r="I379" s="18">
        <v>2025</v>
      </c>
      <c r="J379" s="18">
        <v>6</v>
      </c>
      <c r="K379" s="18">
        <v>42639.205738451201</v>
      </c>
    </row>
    <row r="380" spans="1:11" x14ac:dyDescent="0.25">
      <c r="A380" s="15">
        <v>2025</v>
      </c>
      <c r="B380" s="15">
        <v>7</v>
      </c>
      <c r="C380" s="15">
        <v>36983.991052674603</v>
      </c>
      <c r="E380" s="15">
        <v>2025</v>
      </c>
      <c r="F380" s="15">
        <v>7</v>
      </c>
      <c r="G380" s="15">
        <v>37030.433177530802</v>
      </c>
      <c r="I380" s="18">
        <v>2025</v>
      </c>
      <c r="J380" s="18">
        <v>7</v>
      </c>
      <c r="K380" s="18">
        <v>38330.638681119803</v>
      </c>
    </row>
    <row r="381" spans="1:11" x14ac:dyDescent="0.25">
      <c r="A381" s="15">
        <v>2025</v>
      </c>
      <c r="B381" s="15">
        <v>8</v>
      </c>
      <c r="C381" s="15">
        <v>38426.808349861698</v>
      </c>
      <c r="E381" s="15">
        <v>2025</v>
      </c>
      <c r="F381" s="15">
        <v>8</v>
      </c>
      <c r="G381" s="15">
        <v>38328.422604704101</v>
      </c>
      <c r="I381" s="18">
        <v>2025</v>
      </c>
      <c r="J381" s="18">
        <v>8</v>
      </c>
      <c r="K381" s="18">
        <v>38180.562699018803</v>
      </c>
    </row>
    <row r="382" spans="1:11" x14ac:dyDescent="0.25">
      <c r="A382" s="15">
        <v>2025</v>
      </c>
      <c r="B382" s="15">
        <v>9</v>
      </c>
      <c r="C382" s="15">
        <v>39667.366788627398</v>
      </c>
      <c r="E382" s="15">
        <v>2025</v>
      </c>
      <c r="F382" s="15">
        <v>9</v>
      </c>
      <c r="G382" s="15">
        <v>39538.924358285301</v>
      </c>
      <c r="I382" s="18">
        <v>2025</v>
      </c>
      <c r="J382" s="18">
        <v>9</v>
      </c>
      <c r="K382" s="18">
        <v>39584.624514976</v>
      </c>
    </row>
    <row r="383" spans="1:11" x14ac:dyDescent="0.25">
      <c r="A383" s="15">
        <v>2025</v>
      </c>
      <c r="B383" s="15">
        <v>10</v>
      </c>
      <c r="C383" s="15">
        <v>40153.568639117097</v>
      </c>
      <c r="E383" s="15">
        <v>2025</v>
      </c>
      <c r="F383" s="15">
        <v>10</v>
      </c>
      <c r="G383" s="15">
        <v>39981.682294654798</v>
      </c>
      <c r="I383" s="18">
        <v>2025</v>
      </c>
      <c r="J383" s="18">
        <v>10</v>
      </c>
      <c r="K383" s="18">
        <v>39934.718342114502</v>
      </c>
    </row>
    <row r="384" spans="1:11" x14ac:dyDescent="0.25">
      <c r="A384" s="15">
        <v>2025</v>
      </c>
      <c r="B384" s="15">
        <v>11</v>
      </c>
      <c r="C384" s="15">
        <v>33970.318844048801</v>
      </c>
      <c r="E384" s="15">
        <v>2025</v>
      </c>
      <c r="F384" s="15">
        <v>11</v>
      </c>
      <c r="G384" s="15">
        <v>33834.313541580697</v>
      </c>
      <c r="I384" s="18">
        <v>2025</v>
      </c>
      <c r="J384" s="18">
        <v>11</v>
      </c>
      <c r="K384" s="18">
        <v>33880.991894424304</v>
      </c>
    </row>
    <row r="385" spans="1:11" x14ac:dyDescent="0.25">
      <c r="A385" s="15">
        <v>2025</v>
      </c>
      <c r="B385" s="15">
        <v>12</v>
      </c>
      <c r="C385" s="15">
        <v>33683.521040143198</v>
      </c>
      <c r="E385" s="15">
        <v>2025</v>
      </c>
      <c r="F385" s="15">
        <v>12</v>
      </c>
      <c r="G385" s="15">
        <v>33543.424824088099</v>
      </c>
      <c r="I385" s="18">
        <v>2025</v>
      </c>
      <c r="J385" s="18">
        <v>12</v>
      </c>
      <c r="K385" s="18">
        <v>33984.460327682602</v>
      </c>
    </row>
    <row r="386" spans="1:11" x14ac:dyDescent="0.25">
      <c r="A386" s="15">
        <v>2026</v>
      </c>
      <c r="B386" s="15">
        <v>1</v>
      </c>
      <c r="C386" s="15">
        <v>38873.237576069601</v>
      </c>
      <c r="E386" s="15">
        <v>2026</v>
      </c>
      <c r="F386" s="15">
        <v>1</v>
      </c>
      <c r="G386" s="15">
        <v>39823.4412608942</v>
      </c>
      <c r="I386" s="18">
        <v>2026</v>
      </c>
      <c r="J386" s="18">
        <v>1</v>
      </c>
      <c r="K386" s="18">
        <v>38878.2214082071</v>
      </c>
    </row>
    <row r="387" spans="1:11" x14ac:dyDescent="0.25">
      <c r="A387" s="15">
        <v>2026</v>
      </c>
      <c r="B387" s="15">
        <v>2</v>
      </c>
      <c r="C387" s="15">
        <v>34234.939050494497</v>
      </c>
      <c r="E387" s="15">
        <v>2026</v>
      </c>
      <c r="F387" s="15">
        <v>2</v>
      </c>
      <c r="G387" s="15">
        <v>34225.604423552002</v>
      </c>
      <c r="I387" s="18">
        <v>2026</v>
      </c>
      <c r="J387" s="18">
        <v>2</v>
      </c>
      <c r="K387" s="18">
        <v>35216.222466765503</v>
      </c>
    </row>
    <row r="388" spans="1:11" x14ac:dyDescent="0.25">
      <c r="A388" s="15">
        <v>2026</v>
      </c>
      <c r="B388" s="15">
        <v>3</v>
      </c>
      <c r="C388" s="15">
        <v>36869.134555199802</v>
      </c>
      <c r="I388" s="18">
        <v>2026</v>
      </c>
      <c r="J388" s="18">
        <v>3</v>
      </c>
      <c r="K388" s="18">
        <v>37148.002942703097</v>
      </c>
    </row>
    <row r="389" spans="1:11" x14ac:dyDescent="0.25">
      <c r="A389" s="15">
        <v>2026</v>
      </c>
      <c r="B389" s="15">
        <v>4</v>
      </c>
      <c r="C389" s="15">
        <v>35614.849186243897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BF4D-2E60-4586-B7C3-70FC7851138E}">
  <dimension ref="A1:C384"/>
  <sheetViews>
    <sheetView workbookViewId="0">
      <selection activeCell="C2" sqref="C2:C384"/>
    </sheetView>
  </sheetViews>
  <sheetFormatPr baseColWidth="10" defaultRowHeight="15" x14ac:dyDescent="0.25"/>
  <sheetData>
    <row r="1" spans="1:3" ht="42.75" x14ac:dyDescent="0.25">
      <c r="A1" s="14" t="s">
        <v>38</v>
      </c>
      <c r="B1" s="14" t="s">
        <v>34</v>
      </c>
      <c r="C1" s="14" t="s">
        <v>35</v>
      </c>
    </row>
    <row r="2" spans="1:3" x14ac:dyDescent="0.25">
      <c r="A2" s="15">
        <v>1994</v>
      </c>
      <c r="B2" s="15">
        <v>1</v>
      </c>
      <c r="C2" s="15">
        <v>54261.895075139801</v>
      </c>
    </row>
    <row r="3" spans="1:3" x14ac:dyDescent="0.25">
      <c r="A3" s="15">
        <v>1994</v>
      </c>
      <c r="B3" s="15">
        <v>2</v>
      </c>
      <c r="C3" s="15">
        <v>11312.5247494127</v>
      </c>
    </row>
    <row r="4" spans="1:3" x14ac:dyDescent="0.25">
      <c r="A4" s="15">
        <v>1994</v>
      </c>
      <c r="B4" s="15">
        <v>3</v>
      </c>
      <c r="C4" s="15">
        <v>27949.7143918814</v>
      </c>
    </row>
    <row r="5" spans="1:3" x14ac:dyDescent="0.25">
      <c r="A5" s="15">
        <v>1994</v>
      </c>
      <c r="B5" s="15">
        <v>4</v>
      </c>
      <c r="C5" s="15">
        <v>34629.002591958102</v>
      </c>
    </row>
    <row r="6" spans="1:3" x14ac:dyDescent="0.25">
      <c r="A6" s="15">
        <v>1994</v>
      </c>
      <c r="B6" s="15">
        <v>5</v>
      </c>
      <c r="C6" s="15">
        <v>29663.117945706701</v>
      </c>
    </row>
    <row r="7" spans="1:3" x14ac:dyDescent="0.25">
      <c r="A7" s="15">
        <v>1994</v>
      </c>
      <c r="B7" s="15">
        <v>6</v>
      </c>
      <c r="C7" s="15">
        <v>31560.103139996299</v>
      </c>
    </row>
    <row r="8" spans="1:3" x14ac:dyDescent="0.25">
      <c r="A8" s="15">
        <v>1994</v>
      </c>
      <c r="B8" s="15">
        <v>7</v>
      </c>
      <c r="C8" s="15">
        <v>32755.824117538101</v>
      </c>
    </row>
    <row r="9" spans="1:3" x14ac:dyDescent="0.25">
      <c r="A9" s="15">
        <v>1994</v>
      </c>
      <c r="B9" s="15">
        <v>8</v>
      </c>
      <c r="C9" s="15">
        <v>34549.654627845397</v>
      </c>
    </row>
    <row r="10" spans="1:3" x14ac:dyDescent="0.25">
      <c r="A10" s="15">
        <v>1994</v>
      </c>
      <c r="B10" s="15">
        <v>9</v>
      </c>
      <c r="C10" s="15">
        <v>35828.841484174802</v>
      </c>
    </row>
    <row r="11" spans="1:3" x14ac:dyDescent="0.25">
      <c r="A11" s="15">
        <v>1994</v>
      </c>
      <c r="B11" s="15">
        <v>10</v>
      </c>
      <c r="C11" s="15">
        <v>34221.416431672798</v>
      </c>
    </row>
    <row r="12" spans="1:3" x14ac:dyDescent="0.25">
      <c r="A12" s="15">
        <v>1994</v>
      </c>
      <c r="B12" s="15">
        <v>11</v>
      </c>
      <c r="C12" s="15">
        <v>33932.386219155</v>
      </c>
    </row>
    <row r="13" spans="1:3" x14ac:dyDescent="0.25">
      <c r="A13" s="15">
        <v>1994</v>
      </c>
      <c r="B13" s="15">
        <v>12</v>
      </c>
      <c r="C13" s="15">
        <v>32994.303629932903</v>
      </c>
    </row>
    <row r="14" spans="1:3" x14ac:dyDescent="0.25">
      <c r="A14" s="15">
        <v>1995</v>
      </c>
      <c r="B14" s="15">
        <v>1</v>
      </c>
      <c r="C14" s="15">
        <v>27426.7668281429</v>
      </c>
    </row>
    <row r="15" spans="1:3" x14ac:dyDescent="0.25">
      <c r="A15" s="15">
        <v>1995</v>
      </c>
      <c r="B15" s="15">
        <v>2</v>
      </c>
      <c r="C15" s="15">
        <v>35666.403652719797</v>
      </c>
    </row>
    <row r="16" spans="1:3" x14ac:dyDescent="0.25">
      <c r="A16" s="15">
        <v>1995</v>
      </c>
      <c r="B16" s="15">
        <v>3</v>
      </c>
      <c r="C16" s="15">
        <v>30014.276886926</v>
      </c>
    </row>
    <row r="17" spans="1:3" x14ac:dyDescent="0.25">
      <c r="A17" s="15">
        <v>1995</v>
      </c>
      <c r="B17" s="15">
        <v>4</v>
      </c>
      <c r="C17" s="15">
        <v>25562.973309088298</v>
      </c>
    </row>
    <row r="18" spans="1:3" x14ac:dyDescent="0.25">
      <c r="A18" s="15">
        <v>1995</v>
      </c>
      <c r="B18" s="15">
        <v>5</v>
      </c>
      <c r="C18" s="15">
        <v>25048.047528991101</v>
      </c>
    </row>
    <row r="19" spans="1:3" x14ac:dyDescent="0.25">
      <c r="A19" s="15">
        <v>1995</v>
      </c>
      <c r="B19" s="15">
        <v>6</v>
      </c>
      <c r="C19" s="15">
        <v>18964.089919592599</v>
      </c>
    </row>
    <row r="20" spans="1:3" x14ac:dyDescent="0.25">
      <c r="A20" s="15">
        <v>1995</v>
      </c>
      <c r="B20" s="15">
        <v>7</v>
      </c>
      <c r="C20" s="15">
        <v>19820.431328325401</v>
      </c>
    </row>
    <row r="21" spans="1:3" x14ac:dyDescent="0.25">
      <c r="A21" s="15">
        <v>1995</v>
      </c>
      <c r="B21" s="15">
        <v>8</v>
      </c>
      <c r="C21" s="15">
        <v>16716.1360002086</v>
      </c>
    </row>
    <row r="22" spans="1:3" x14ac:dyDescent="0.25">
      <c r="A22" s="15">
        <v>1995</v>
      </c>
      <c r="B22" s="15">
        <v>9</v>
      </c>
      <c r="C22" s="15">
        <v>16958.236431818801</v>
      </c>
    </row>
    <row r="23" spans="1:3" x14ac:dyDescent="0.25">
      <c r="A23" s="15">
        <v>1995</v>
      </c>
      <c r="B23" s="15">
        <v>10</v>
      </c>
      <c r="C23" s="15">
        <v>18041.777012809001</v>
      </c>
    </row>
    <row r="24" spans="1:3" x14ac:dyDescent="0.25">
      <c r="A24" s="15">
        <v>1995</v>
      </c>
      <c r="B24" s="15">
        <v>11</v>
      </c>
      <c r="C24" s="15">
        <v>18699.201068957798</v>
      </c>
    </row>
    <row r="25" spans="1:3" x14ac:dyDescent="0.25">
      <c r="A25" s="15">
        <v>1995</v>
      </c>
      <c r="B25" s="15">
        <v>12</v>
      </c>
      <c r="C25" s="15">
        <v>21981.107444363101</v>
      </c>
    </row>
    <row r="26" spans="1:3" x14ac:dyDescent="0.25">
      <c r="A26" s="15">
        <v>1996</v>
      </c>
      <c r="B26" s="15">
        <v>1</v>
      </c>
      <c r="C26" s="15">
        <v>21641.157176797999</v>
      </c>
    </row>
    <row r="27" spans="1:3" x14ac:dyDescent="0.25">
      <c r="A27" s="15">
        <v>1996</v>
      </c>
      <c r="B27" s="15">
        <v>2</v>
      </c>
      <c r="C27" s="15">
        <v>25146.560378871</v>
      </c>
    </row>
    <row r="28" spans="1:3" x14ac:dyDescent="0.25">
      <c r="A28" s="15">
        <v>1996</v>
      </c>
      <c r="B28" s="15">
        <v>3</v>
      </c>
      <c r="C28" s="15">
        <v>23248.678173821099</v>
      </c>
    </row>
    <row r="29" spans="1:3" x14ac:dyDescent="0.25">
      <c r="A29" s="15">
        <v>1996</v>
      </c>
      <c r="B29" s="15">
        <v>4</v>
      </c>
      <c r="C29" s="15">
        <v>24403.541806286899</v>
      </c>
    </row>
    <row r="30" spans="1:3" x14ac:dyDescent="0.25">
      <c r="A30" s="15">
        <v>1996</v>
      </c>
      <c r="B30" s="15">
        <v>5</v>
      </c>
      <c r="C30" s="15">
        <v>24059.083427148998</v>
      </c>
    </row>
    <row r="31" spans="1:3" x14ac:dyDescent="0.25">
      <c r="A31" s="15">
        <v>1996</v>
      </c>
      <c r="B31" s="15">
        <v>6</v>
      </c>
      <c r="C31" s="15">
        <v>26174.623950223398</v>
      </c>
    </row>
    <row r="32" spans="1:3" x14ac:dyDescent="0.25">
      <c r="A32" s="15">
        <v>1996</v>
      </c>
      <c r="B32" s="15">
        <v>7</v>
      </c>
      <c r="C32" s="15">
        <v>25377.416970007602</v>
      </c>
    </row>
    <row r="33" spans="1:3" x14ac:dyDescent="0.25">
      <c r="A33" s="15">
        <v>1996</v>
      </c>
      <c r="B33" s="15">
        <v>8</v>
      </c>
      <c r="C33" s="15">
        <v>26712.595789334198</v>
      </c>
    </row>
    <row r="34" spans="1:3" x14ac:dyDescent="0.25">
      <c r="A34" s="15">
        <v>1996</v>
      </c>
      <c r="B34" s="15">
        <v>9</v>
      </c>
      <c r="C34" s="15">
        <v>23835.171539208699</v>
      </c>
    </row>
    <row r="35" spans="1:3" x14ac:dyDescent="0.25">
      <c r="A35" s="15">
        <v>1996</v>
      </c>
      <c r="B35" s="15">
        <v>10</v>
      </c>
      <c r="C35" s="15">
        <v>26278.752767609501</v>
      </c>
    </row>
    <row r="36" spans="1:3" x14ac:dyDescent="0.25">
      <c r="A36" s="15">
        <v>1996</v>
      </c>
      <c r="B36" s="15">
        <v>11</v>
      </c>
      <c r="C36" s="15">
        <v>28592.6273493031</v>
      </c>
    </row>
    <row r="37" spans="1:3" x14ac:dyDescent="0.25">
      <c r="A37" s="15">
        <v>1996</v>
      </c>
      <c r="B37" s="15">
        <v>12</v>
      </c>
      <c r="C37" s="15">
        <v>27766.1130414166</v>
      </c>
    </row>
    <row r="38" spans="1:3" x14ac:dyDescent="0.25">
      <c r="A38" s="15">
        <v>1997</v>
      </c>
      <c r="B38" s="15">
        <v>1</v>
      </c>
      <c r="C38" s="15">
        <v>30357.075872980698</v>
      </c>
    </row>
    <row r="39" spans="1:3" x14ac:dyDescent="0.25">
      <c r="A39" s="15">
        <v>1997</v>
      </c>
      <c r="B39" s="15">
        <v>2</v>
      </c>
      <c r="C39" s="15">
        <v>29772.8779572001</v>
      </c>
    </row>
    <row r="40" spans="1:3" x14ac:dyDescent="0.25">
      <c r="A40" s="15">
        <v>1997</v>
      </c>
      <c r="B40" s="15">
        <v>3</v>
      </c>
      <c r="C40" s="15">
        <v>31285.618256220499</v>
      </c>
    </row>
    <row r="41" spans="1:3" x14ac:dyDescent="0.25">
      <c r="A41" s="15">
        <v>1997</v>
      </c>
      <c r="B41" s="15">
        <v>4</v>
      </c>
      <c r="C41" s="15">
        <v>33404.277974219898</v>
      </c>
    </row>
    <row r="42" spans="1:3" x14ac:dyDescent="0.25">
      <c r="A42" s="15">
        <v>1997</v>
      </c>
      <c r="B42" s="15">
        <v>5</v>
      </c>
      <c r="C42" s="15">
        <v>34504.997340220303</v>
      </c>
    </row>
    <row r="43" spans="1:3" x14ac:dyDescent="0.25">
      <c r="A43" s="15">
        <v>1997</v>
      </c>
      <c r="B43" s="15">
        <v>6</v>
      </c>
      <c r="C43" s="15">
        <v>35498.418561308099</v>
      </c>
    </row>
    <row r="44" spans="1:3" x14ac:dyDescent="0.25">
      <c r="A44" s="15">
        <v>1997</v>
      </c>
      <c r="B44" s="15">
        <v>7</v>
      </c>
      <c r="C44" s="15">
        <v>37029.789783063003</v>
      </c>
    </row>
    <row r="45" spans="1:3" x14ac:dyDescent="0.25">
      <c r="A45" s="15">
        <v>1997</v>
      </c>
      <c r="B45" s="15">
        <v>8</v>
      </c>
      <c r="C45" s="15">
        <v>37568.296662255001</v>
      </c>
    </row>
    <row r="46" spans="1:3" x14ac:dyDescent="0.25">
      <c r="A46" s="15">
        <v>1997</v>
      </c>
      <c r="B46" s="15">
        <v>9</v>
      </c>
      <c r="C46" s="15">
        <v>39048.2496453165</v>
      </c>
    </row>
    <row r="47" spans="1:3" x14ac:dyDescent="0.25">
      <c r="A47" s="15">
        <v>1997</v>
      </c>
      <c r="B47" s="15">
        <v>10</v>
      </c>
      <c r="C47" s="15">
        <v>46813.702053901397</v>
      </c>
    </row>
    <row r="48" spans="1:3" x14ac:dyDescent="0.25">
      <c r="A48" s="15">
        <v>1997</v>
      </c>
      <c r="B48" s="15">
        <v>11</v>
      </c>
      <c r="C48" s="15">
        <v>42681.011441111303</v>
      </c>
    </row>
    <row r="49" spans="1:3" x14ac:dyDescent="0.25">
      <c r="A49" s="15">
        <v>1997</v>
      </c>
      <c r="B49" s="15">
        <v>12</v>
      </c>
      <c r="C49" s="15">
        <v>26294.148971799801</v>
      </c>
    </row>
    <row r="50" spans="1:3" x14ac:dyDescent="0.25">
      <c r="A50" s="15">
        <v>1998</v>
      </c>
      <c r="B50" s="15">
        <v>1</v>
      </c>
      <c r="C50" s="15">
        <v>34690.0923987856</v>
      </c>
    </row>
    <row r="51" spans="1:3" x14ac:dyDescent="0.25">
      <c r="A51" s="15">
        <v>1998</v>
      </c>
      <c r="B51" s="15">
        <v>2</v>
      </c>
      <c r="C51" s="15">
        <v>37723.893387606899</v>
      </c>
    </row>
    <row r="52" spans="1:3" x14ac:dyDescent="0.25">
      <c r="A52" s="15">
        <v>1998</v>
      </c>
      <c r="B52" s="15">
        <v>3</v>
      </c>
      <c r="C52" s="15">
        <v>39213.678179710201</v>
      </c>
    </row>
    <row r="53" spans="1:3" x14ac:dyDescent="0.25">
      <c r="A53" s="15">
        <v>1998</v>
      </c>
      <c r="B53" s="15">
        <v>4</v>
      </c>
      <c r="C53" s="15">
        <v>40076.7377212504</v>
      </c>
    </row>
    <row r="54" spans="1:3" x14ac:dyDescent="0.25">
      <c r="A54" s="15">
        <v>1998</v>
      </c>
      <c r="B54" s="15">
        <v>5</v>
      </c>
      <c r="C54" s="15">
        <v>39635.830415587203</v>
      </c>
    </row>
    <row r="55" spans="1:3" x14ac:dyDescent="0.25">
      <c r="A55" s="15">
        <v>1998</v>
      </c>
      <c r="B55" s="15">
        <v>6</v>
      </c>
      <c r="C55" s="15">
        <v>41120.134764320297</v>
      </c>
    </row>
    <row r="56" spans="1:3" x14ac:dyDescent="0.25">
      <c r="A56" s="15">
        <v>1998</v>
      </c>
      <c r="B56" s="15">
        <v>7</v>
      </c>
      <c r="C56" s="15">
        <v>39133.334232267298</v>
      </c>
    </row>
    <row r="57" spans="1:3" x14ac:dyDescent="0.25">
      <c r="A57" s="15">
        <v>1998</v>
      </c>
      <c r="B57" s="15">
        <v>8</v>
      </c>
      <c r="C57" s="15">
        <v>44678.960170336097</v>
      </c>
    </row>
    <row r="58" spans="1:3" x14ac:dyDescent="0.25">
      <c r="A58" s="15">
        <v>1998</v>
      </c>
      <c r="B58" s="15">
        <v>9</v>
      </c>
      <c r="C58" s="15">
        <v>39461.074429187604</v>
      </c>
    </row>
    <row r="59" spans="1:3" x14ac:dyDescent="0.25">
      <c r="A59" s="15">
        <v>1998</v>
      </c>
      <c r="B59" s="15">
        <v>10</v>
      </c>
      <c r="C59" s="15">
        <v>34287.5915817883</v>
      </c>
    </row>
    <row r="60" spans="1:3" x14ac:dyDescent="0.25">
      <c r="A60" s="15">
        <v>1998</v>
      </c>
      <c r="B60" s="15">
        <v>11</v>
      </c>
      <c r="C60" s="15">
        <v>29010.369388429699</v>
      </c>
    </row>
    <row r="61" spans="1:3" x14ac:dyDescent="0.25">
      <c r="A61" s="15">
        <v>1998</v>
      </c>
      <c r="B61" s="15">
        <v>12</v>
      </c>
      <c r="C61" s="15">
        <v>15291.150947833399</v>
      </c>
    </row>
    <row r="62" spans="1:3" x14ac:dyDescent="0.25">
      <c r="A62" s="15">
        <v>1999</v>
      </c>
      <c r="B62" s="15">
        <v>1</v>
      </c>
      <c r="C62" s="15">
        <v>27718.5631218202</v>
      </c>
    </row>
    <row r="63" spans="1:3" x14ac:dyDescent="0.25">
      <c r="A63" s="15">
        <v>1999</v>
      </c>
      <c r="B63" s="15">
        <v>2</v>
      </c>
      <c r="C63" s="15">
        <v>20840.0386736291</v>
      </c>
    </row>
    <row r="64" spans="1:3" x14ac:dyDescent="0.25">
      <c r="A64" s="15">
        <v>1999</v>
      </c>
      <c r="B64" s="15">
        <v>3</v>
      </c>
      <c r="C64" s="15">
        <v>17995.308529532002</v>
      </c>
    </row>
    <row r="65" spans="1:3" x14ac:dyDescent="0.25">
      <c r="A65" s="15">
        <v>1999</v>
      </c>
      <c r="B65" s="15">
        <v>4</v>
      </c>
      <c r="C65" s="15">
        <v>18604.7544688749</v>
      </c>
    </row>
    <row r="66" spans="1:3" x14ac:dyDescent="0.25">
      <c r="A66" s="15">
        <v>1999</v>
      </c>
      <c r="B66" s="15">
        <v>5</v>
      </c>
      <c r="C66" s="15">
        <v>21865.5435556142</v>
      </c>
    </row>
    <row r="67" spans="1:3" x14ac:dyDescent="0.25">
      <c r="A67" s="15">
        <v>1999</v>
      </c>
      <c r="B67" s="15">
        <v>6</v>
      </c>
      <c r="C67" s="15">
        <v>21561.820161362299</v>
      </c>
    </row>
    <row r="68" spans="1:3" x14ac:dyDescent="0.25">
      <c r="A68" s="15">
        <v>1999</v>
      </c>
      <c r="B68" s="15">
        <v>7</v>
      </c>
      <c r="C68" s="15">
        <v>22437.709123948302</v>
      </c>
    </row>
    <row r="69" spans="1:3" x14ac:dyDescent="0.25">
      <c r="A69" s="15">
        <v>1999</v>
      </c>
      <c r="B69" s="15">
        <v>8</v>
      </c>
      <c r="C69" s="15">
        <v>25368.933444011102</v>
      </c>
    </row>
    <row r="70" spans="1:3" x14ac:dyDescent="0.25">
      <c r="A70" s="15">
        <v>1999</v>
      </c>
      <c r="B70" s="15">
        <v>9</v>
      </c>
      <c r="C70" s="15">
        <v>24234.089041590501</v>
      </c>
    </row>
    <row r="71" spans="1:3" x14ac:dyDescent="0.25">
      <c r="A71" s="15">
        <v>1999</v>
      </c>
      <c r="B71" s="15">
        <v>10</v>
      </c>
      <c r="C71" s="15">
        <v>28738.431647681999</v>
      </c>
    </row>
    <row r="72" spans="1:3" x14ac:dyDescent="0.25">
      <c r="A72" s="15">
        <v>1999</v>
      </c>
      <c r="B72" s="15">
        <v>11</v>
      </c>
      <c r="C72" s="15">
        <v>29338.9047002181</v>
      </c>
    </row>
    <row r="73" spans="1:3" x14ac:dyDescent="0.25">
      <c r="A73" s="15">
        <v>1999</v>
      </c>
      <c r="B73" s="15">
        <v>12</v>
      </c>
      <c r="C73" s="15">
        <v>32324.846239141501</v>
      </c>
    </row>
    <row r="74" spans="1:3" x14ac:dyDescent="0.25">
      <c r="A74" s="15">
        <v>2000</v>
      </c>
      <c r="B74" s="15">
        <v>1</v>
      </c>
      <c r="C74" s="15">
        <v>38108.172134770597</v>
      </c>
    </row>
    <row r="75" spans="1:3" x14ac:dyDescent="0.25">
      <c r="A75" s="15">
        <v>2000</v>
      </c>
      <c r="B75" s="15">
        <v>2</v>
      </c>
      <c r="C75" s="15">
        <v>27161.090840814399</v>
      </c>
    </row>
    <row r="76" spans="1:3" x14ac:dyDescent="0.25">
      <c r="A76" s="15">
        <v>2000</v>
      </c>
      <c r="B76" s="15">
        <v>3</v>
      </c>
      <c r="C76" s="15">
        <v>30613.3365179375</v>
      </c>
    </row>
    <row r="77" spans="1:3" x14ac:dyDescent="0.25">
      <c r="A77" s="15">
        <v>2000</v>
      </c>
      <c r="B77" s="15">
        <v>4</v>
      </c>
      <c r="C77" s="15">
        <v>28604.486157715699</v>
      </c>
    </row>
    <row r="78" spans="1:3" x14ac:dyDescent="0.25">
      <c r="A78" s="15">
        <v>2000</v>
      </c>
      <c r="B78" s="15">
        <v>5</v>
      </c>
      <c r="C78" s="15">
        <v>25276.9548065542</v>
      </c>
    </row>
    <row r="79" spans="1:3" x14ac:dyDescent="0.25">
      <c r="A79" s="15">
        <v>2000</v>
      </c>
      <c r="B79" s="15">
        <v>6</v>
      </c>
      <c r="C79" s="15">
        <v>24471.077852486</v>
      </c>
    </row>
    <row r="80" spans="1:3" x14ac:dyDescent="0.25">
      <c r="A80" s="15">
        <v>2000</v>
      </c>
      <c r="B80" s="15">
        <v>7</v>
      </c>
      <c r="C80" s="15">
        <v>26328.005755635601</v>
      </c>
    </row>
    <row r="81" spans="1:3" x14ac:dyDescent="0.25">
      <c r="A81" s="15">
        <v>2000</v>
      </c>
      <c r="B81" s="15">
        <v>8</v>
      </c>
      <c r="C81" s="15">
        <v>24578.408968237902</v>
      </c>
    </row>
    <row r="82" spans="1:3" x14ac:dyDescent="0.25">
      <c r="A82" s="15">
        <v>2000</v>
      </c>
      <c r="B82" s="15">
        <v>9</v>
      </c>
      <c r="C82" s="15">
        <v>26527.870984839501</v>
      </c>
    </row>
    <row r="83" spans="1:3" x14ac:dyDescent="0.25">
      <c r="A83" s="15">
        <v>2000</v>
      </c>
      <c r="B83" s="15">
        <v>10</v>
      </c>
      <c r="C83" s="15">
        <v>25037.914666376699</v>
      </c>
    </row>
    <row r="84" spans="1:3" x14ac:dyDescent="0.25">
      <c r="A84" s="15">
        <v>2000</v>
      </c>
      <c r="B84" s="15">
        <v>11</v>
      </c>
      <c r="C84" s="15">
        <v>24980.512724965101</v>
      </c>
    </row>
    <row r="85" spans="1:3" x14ac:dyDescent="0.25">
      <c r="A85" s="15">
        <v>2000</v>
      </c>
      <c r="B85" s="15">
        <v>12</v>
      </c>
      <c r="C85" s="15">
        <v>27628.112004066799</v>
      </c>
    </row>
    <row r="86" spans="1:3" x14ac:dyDescent="0.25">
      <c r="A86" s="15">
        <v>2001</v>
      </c>
      <c r="B86" s="15">
        <v>1</v>
      </c>
      <c r="C86" s="15">
        <v>24630.523717356002</v>
      </c>
    </row>
    <row r="87" spans="1:3" x14ac:dyDescent="0.25">
      <c r="A87" s="15">
        <v>2001</v>
      </c>
      <c r="B87" s="15">
        <v>2</v>
      </c>
      <c r="C87" s="15">
        <v>19360.927808055701</v>
      </c>
    </row>
    <row r="88" spans="1:3" x14ac:dyDescent="0.25">
      <c r="A88" s="15">
        <v>2001</v>
      </c>
      <c r="B88" s="15">
        <v>3</v>
      </c>
      <c r="C88" s="15">
        <v>23711.0826307639</v>
      </c>
    </row>
    <row r="89" spans="1:3" x14ac:dyDescent="0.25">
      <c r="A89" s="15">
        <v>2001</v>
      </c>
      <c r="B89" s="15">
        <v>4</v>
      </c>
      <c r="C89" s="15">
        <v>24366.133431727802</v>
      </c>
    </row>
    <row r="90" spans="1:3" x14ac:dyDescent="0.25">
      <c r="A90" s="15">
        <v>2001</v>
      </c>
      <c r="B90" s="15">
        <v>5</v>
      </c>
      <c r="C90" s="15">
        <v>23846.749327562098</v>
      </c>
    </row>
    <row r="91" spans="1:3" x14ac:dyDescent="0.25">
      <c r="A91" s="15">
        <v>2001</v>
      </c>
      <c r="B91" s="15">
        <v>6</v>
      </c>
      <c r="C91" s="15">
        <v>23036.580927311599</v>
      </c>
    </row>
    <row r="92" spans="1:3" x14ac:dyDescent="0.25">
      <c r="A92" s="15">
        <v>2001</v>
      </c>
      <c r="B92" s="15">
        <v>7</v>
      </c>
      <c r="C92" s="15">
        <v>20860.853274125999</v>
      </c>
    </row>
    <row r="93" spans="1:3" x14ac:dyDescent="0.25">
      <c r="A93" s="15">
        <v>2001</v>
      </c>
      <c r="B93" s="15">
        <v>8</v>
      </c>
      <c r="C93" s="15">
        <v>14020.2149052353</v>
      </c>
    </row>
    <row r="94" spans="1:3" x14ac:dyDescent="0.25">
      <c r="A94" s="15">
        <v>2001</v>
      </c>
      <c r="B94" s="15">
        <v>9</v>
      </c>
      <c r="C94" s="15">
        <v>15040.068501920699</v>
      </c>
    </row>
    <row r="95" spans="1:3" x14ac:dyDescent="0.25">
      <c r="A95" s="15">
        <v>2001</v>
      </c>
      <c r="B95" s="15">
        <v>10</v>
      </c>
      <c r="C95" s="15">
        <v>13922.157573393401</v>
      </c>
    </row>
    <row r="96" spans="1:3" x14ac:dyDescent="0.25">
      <c r="A96" s="15">
        <v>2001</v>
      </c>
      <c r="B96" s="15">
        <v>11</v>
      </c>
      <c r="C96" s="15">
        <v>12782.1628378318</v>
      </c>
    </row>
    <row r="97" spans="1:3" x14ac:dyDescent="0.25">
      <c r="A97" s="15">
        <v>2001</v>
      </c>
      <c r="B97" s="15">
        <v>12</v>
      </c>
      <c r="C97" s="15">
        <v>11207.040125772101</v>
      </c>
    </row>
    <row r="98" spans="1:3" x14ac:dyDescent="0.25">
      <c r="A98" s="15">
        <v>2002</v>
      </c>
      <c r="B98" s="15">
        <v>1</v>
      </c>
      <c r="C98" s="15">
        <v>16709.692478450201</v>
      </c>
    </row>
    <row r="99" spans="1:3" x14ac:dyDescent="0.25">
      <c r="A99" s="15">
        <v>2002</v>
      </c>
      <c r="B99" s="15">
        <v>2</v>
      </c>
      <c r="C99" s="15">
        <v>11688.241461400699</v>
      </c>
    </row>
    <row r="100" spans="1:3" x14ac:dyDescent="0.25">
      <c r="A100" s="15">
        <v>2002</v>
      </c>
      <c r="B100" s="15">
        <v>3</v>
      </c>
      <c r="C100" s="15">
        <v>11646.1376664543</v>
      </c>
    </row>
    <row r="101" spans="1:3" x14ac:dyDescent="0.25">
      <c r="A101" s="15">
        <v>2002</v>
      </c>
      <c r="B101" s="15">
        <v>4</v>
      </c>
      <c r="C101" s="15">
        <v>13081.252521989099</v>
      </c>
    </row>
    <row r="102" spans="1:3" x14ac:dyDescent="0.25">
      <c r="A102" s="15">
        <v>2002</v>
      </c>
      <c r="B102" s="15">
        <v>5</v>
      </c>
      <c r="C102" s="15">
        <v>11197.339328710599</v>
      </c>
    </row>
    <row r="103" spans="1:3" x14ac:dyDescent="0.25">
      <c r="A103" s="15">
        <v>2002</v>
      </c>
      <c r="B103" s="15">
        <v>6</v>
      </c>
      <c r="C103" s="15">
        <v>13218.275598234301</v>
      </c>
    </row>
    <row r="104" spans="1:3" x14ac:dyDescent="0.25">
      <c r="A104" s="15">
        <v>2002</v>
      </c>
      <c r="B104" s="15">
        <v>7</v>
      </c>
      <c r="C104" s="15">
        <v>12138.0841323653</v>
      </c>
    </row>
    <row r="105" spans="1:3" x14ac:dyDescent="0.25">
      <c r="A105" s="15">
        <v>2002</v>
      </c>
      <c r="B105" s="15">
        <v>8</v>
      </c>
      <c r="C105" s="15">
        <v>12309.134902539099</v>
      </c>
    </row>
    <row r="106" spans="1:3" x14ac:dyDescent="0.25">
      <c r="A106" s="15">
        <v>2002</v>
      </c>
      <c r="B106" s="15">
        <v>9</v>
      </c>
      <c r="C106" s="15">
        <v>12868.4857716236</v>
      </c>
    </row>
    <row r="107" spans="1:3" x14ac:dyDescent="0.25">
      <c r="A107" s="15">
        <v>2002</v>
      </c>
      <c r="B107" s="15">
        <v>10</v>
      </c>
      <c r="C107" s="15">
        <v>11639.5827364417</v>
      </c>
    </row>
    <row r="108" spans="1:3" x14ac:dyDescent="0.25">
      <c r="A108" s="15">
        <v>2002</v>
      </c>
      <c r="B108" s="15">
        <v>11</v>
      </c>
      <c r="C108" s="15">
        <v>12134.2311511637</v>
      </c>
    </row>
    <row r="109" spans="1:3" x14ac:dyDescent="0.25">
      <c r="A109" s="15">
        <v>2002</v>
      </c>
      <c r="B109" s="15">
        <v>12</v>
      </c>
      <c r="C109" s="15">
        <v>13772.377703083201</v>
      </c>
    </row>
    <row r="110" spans="1:3" x14ac:dyDescent="0.25">
      <c r="A110" s="15">
        <v>2003</v>
      </c>
      <c r="B110" s="15">
        <v>1</v>
      </c>
      <c r="C110" s="15">
        <v>20923.766880300998</v>
      </c>
    </row>
    <row r="111" spans="1:3" x14ac:dyDescent="0.25">
      <c r="A111" s="15">
        <v>2003</v>
      </c>
      <c r="B111" s="15">
        <v>2</v>
      </c>
      <c r="C111" s="15">
        <v>13025.423920162801</v>
      </c>
    </row>
    <row r="112" spans="1:3" x14ac:dyDescent="0.25">
      <c r="A112" s="15">
        <v>2003</v>
      </c>
      <c r="B112" s="15">
        <v>3</v>
      </c>
      <c r="C112" s="15">
        <v>13516.5130679703</v>
      </c>
    </row>
    <row r="113" spans="1:3" x14ac:dyDescent="0.25">
      <c r="A113" s="15">
        <v>2003</v>
      </c>
      <c r="B113" s="15">
        <v>4</v>
      </c>
      <c r="C113" s="15">
        <v>11968.8182200021</v>
      </c>
    </row>
    <row r="114" spans="1:3" x14ac:dyDescent="0.25">
      <c r="A114" s="15">
        <v>2003</v>
      </c>
      <c r="B114" s="15">
        <v>5</v>
      </c>
      <c r="C114" s="15">
        <v>11866.281299702699</v>
      </c>
    </row>
    <row r="115" spans="1:3" x14ac:dyDescent="0.25">
      <c r="A115" s="15">
        <v>2003</v>
      </c>
      <c r="B115" s="15">
        <v>6</v>
      </c>
      <c r="C115" s="15">
        <v>11761.3424680182</v>
      </c>
    </row>
    <row r="116" spans="1:3" x14ac:dyDescent="0.25">
      <c r="A116" s="15">
        <v>2003</v>
      </c>
      <c r="B116" s="15">
        <v>7</v>
      </c>
      <c r="C116" s="15">
        <v>8643.6074469558898</v>
      </c>
    </row>
    <row r="117" spans="1:3" x14ac:dyDescent="0.25">
      <c r="A117" s="15">
        <v>2003</v>
      </c>
      <c r="B117" s="15">
        <v>8</v>
      </c>
      <c r="C117" s="15">
        <v>13745.7411386727</v>
      </c>
    </row>
    <row r="118" spans="1:3" x14ac:dyDescent="0.25">
      <c r="A118" s="15">
        <v>2003</v>
      </c>
      <c r="B118" s="15">
        <v>9</v>
      </c>
      <c r="C118" s="15">
        <v>11709.882784207201</v>
      </c>
    </row>
    <row r="119" spans="1:3" x14ac:dyDescent="0.25">
      <c r="A119" s="15">
        <v>2003</v>
      </c>
      <c r="B119" s="15">
        <v>10</v>
      </c>
      <c r="C119" s="15">
        <v>11752.5324806229</v>
      </c>
    </row>
    <row r="120" spans="1:3" x14ac:dyDescent="0.25">
      <c r="A120" s="15">
        <v>2003</v>
      </c>
      <c r="B120" s="15">
        <v>11</v>
      </c>
      <c r="C120" s="15">
        <v>15929.9894847904</v>
      </c>
    </row>
    <row r="121" spans="1:3" x14ac:dyDescent="0.25">
      <c r="A121" s="15">
        <v>2003</v>
      </c>
      <c r="B121" s="15">
        <v>12</v>
      </c>
      <c r="C121" s="15">
        <v>13830.6571226134</v>
      </c>
    </row>
    <row r="122" spans="1:3" x14ac:dyDescent="0.25">
      <c r="A122" s="15">
        <v>2004</v>
      </c>
      <c r="B122" s="15">
        <v>1</v>
      </c>
      <c r="C122" s="15">
        <v>26097.6490950689</v>
      </c>
    </row>
    <row r="123" spans="1:3" x14ac:dyDescent="0.25">
      <c r="A123" s="15">
        <v>2004</v>
      </c>
      <c r="B123" s="15">
        <v>2</v>
      </c>
      <c r="C123" s="15">
        <v>19803.8257261092</v>
      </c>
    </row>
    <row r="124" spans="1:3" x14ac:dyDescent="0.25">
      <c r="A124" s="15">
        <v>2004</v>
      </c>
      <c r="B124" s="15">
        <v>3</v>
      </c>
      <c r="C124" s="15">
        <v>17896.406980402098</v>
      </c>
    </row>
    <row r="125" spans="1:3" x14ac:dyDescent="0.25">
      <c r="A125" s="15">
        <v>2004</v>
      </c>
      <c r="B125" s="15">
        <v>4</v>
      </c>
      <c r="C125" s="15">
        <v>16751.801228587799</v>
      </c>
    </row>
    <row r="126" spans="1:3" x14ac:dyDescent="0.25">
      <c r="A126" s="15">
        <v>2004</v>
      </c>
      <c r="B126" s="15">
        <v>5</v>
      </c>
      <c r="C126" s="15">
        <v>20475.9193423217</v>
      </c>
    </row>
    <row r="127" spans="1:3" x14ac:dyDescent="0.25">
      <c r="A127" s="15">
        <v>2004</v>
      </c>
      <c r="B127" s="15">
        <v>6</v>
      </c>
      <c r="C127" s="15">
        <v>18657.271308747801</v>
      </c>
    </row>
    <row r="128" spans="1:3" x14ac:dyDescent="0.25">
      <c r="A128" s="15">
        <v>2004</v>
      </c>
      <c r="B128" s="15">
        <v>7</v>
      </c>
      <c r="C128" s="15">
        <v>18683.370919837202</v>
      </c>
    </row>
    <row r="129" spans="1:3" x14ac:dyDescent="0.25">
      <c r="A129" s="15">
        <v>2004</v>
      </c>
      <c r="B129" s="15">
        <v>8</v>
      </c>
      <c r="C129" s="15">
        <v>19455.069695692899</v>
      </c>
    </row>
    <row r="130" spans="1:3" x14ac:dyDescent="0.25">
      <c r="A130" s="15">
        <v>2004</v>
      </c>
      <c r="B130" s="15">
        <v>9</v>
      </c>
      <c r="C130" s="15">
        <v>20230.280237678398</v>
      </c>
    </row>
    <row r="131" spans="1:3" x14ac:dyDescent="0.25">
      <c r="A131" s="15">
        <v>2004</v>
      </c>
      <c r="B131" s="15">
        <v>10</v>
      </c>
      <c r="C131" s="15">
        <v>22450.662808457098</v>
      </c>
    </row>
    <row r="132" spans="1:3" x14ac:dyDescent="0.25">
      <c r="A132" s="15">
        <v>2004</v>
      </c>
      <c r="B132" s="15">
        <v>11</v>
      </c>
      <c r="C132" s="15">
        <v>20789.406754018699</v>
      </c>
    </row>
    <row r="133" spans="1:3" x14ac:dyDescent="0.25">
      <c r="A133" s="15">
        <v>2004</v>
      </c>
      <c r="B133" s="15">
        <v>12</v>
      </c>
      <c r="C133" s="15">
        <v>22582.1506667209</v>
      </c>
    </row>
    <row r="134" spans="1:3" x14ac:dyDescent="0.25">
      <c r="A134" s="15">
        <v>2005</v>
      </c>
      <c r="B134" s="15">
        <v>1</v>
      </c>
      <c r="C134" s="15">
        <v>37846.106787938697</v>
      </c>
    </row>
    <row r="135" spans="1:3" x14ac:dyDescent="0.25">
      <c r="A135" s="15">
        <v>2005</v>
      </c>
      <c r="B135" s="15">
        <v>2</v>
      </c>
      <c r="C135" s="15">
        <v>15447.7927694267</v>
      </c>
    </row>
    <row r="136" spans="1:3" x14ac:dyDescent="0.25">
      <c r="A136" s="15">
        <v>2005</v>
      </c>
      <c r="B136" s="15">
        <v>3</v>
      </c>
      <c r="C136" s="15">
        <v>23648.9233273426</v>
      </c>
    </row>
    <row r="137" spans="1:3" x14ac:dyDescent="0.25">
      <c r="A137" s="15">
        <v>2005</v>
      </c>
      <c r="B137" s="15">
        <v>4</v>
      </c>
      <c r="C137" s="15">
        <v>25579.2418385823</v>
      </c>
    </row>
    <row r="138" spans="1:3" x14ac:dyDescent="0.25">
      <c r="A138" s="15">
        <v>2005</v>
      </c>
      <c r="B138" s="15">
        <v>5</v>
      </c>
      <c r="C138" s="15">
        <v>24376.335737037502</v>
      </c>
    </row>
    <row r="139" spans="1:3" x14ac:dyDescent="0.25">
      <c r="A139" s="15">
        <v>2005</v>
      </c>
      <c r="B139" s="15">
        <v>6</v>
      </c>
      <c r="C139" s="15">
        <v>23130.217171332999</v>
      </c>
    </row>
    <row r="140" spans="1:3" x14ac:dyDescent="0.25">
      <c r="A140" s="15">
        <v>2005</v>
      </c>
      <c r="B140" s="15">
        <v>7</v>
      </c>
      <c r="C140" s="15">
        <v>26019.2129075388</v>
      </c>
    </row>
    <row r="141" spans="1:3" x14ac:dyDescent="0.25">
      <c r="A141" s="15">
        <v>2005</v>
      </c>
      <c r="B141" s="15">
        <v>8</v>
      </c>
      <c r="C141" s="15">
        <v>23256.852865405901</v>
      </c>
    </row>
    <row r="142" spans="1:3" x14ac:dyDescent="0.25">
      <c r="A142" s="15">
        <v>2005</v>
      </c>
      <c r="B142" s="15">
        <v>9</v>
      </c>
      <c r="C142" s="15">
        <v>22561.680900325398</v>
      </c>
    </row>
    <row r="143" spans="1:3" x14ac:dyDescent="0.25">
      <c r="A143" s="15">
        <v>2005</v>
      </c>
      <c r="B143" s="15">
        <v>10</v>
      </c>
      <c r="C143" s="15">
        <v>26014.195380640202</v>
      </c>
    </row>
    <row r="144" spans="1:3" x14ac:dyDescent="0.25">
      <c r="A144" s="15">
        <v>2005</v>
      </c>
      <c r="B144" s="15">
        <v>11</v>
      </c>
      <c r="C144" s="15">
        <v>26342.317677768398</v>
      </c>
    </row>
    <row r="145" spans="1:3" x14ac:dyDescent="0.25">
      <c r="A145" s="15">
        <v>2005</v>
      </c>
      <c r="B145" s="15">
        <v>12</v>
      </c>
      <c r="C145" s="15">
        <v>23777.202436796098</v>
      </c>
    </row>
    <row r="146" spans="1:3" x14ac:dyDescent="0.25">
      <c r="A146" s="15">
        <v>2006</v>
      </c>
      <c r="B146" s="15">
        <v>1</v>
      </c>
      <c r="C146" s="15">
        <v>27941.045220977001</v>
      </c>
    </row>
    <row r="147" spans="1:3" x14ac:dyDescent="0.25">
      <c r="A147" s="15">
        <v>2006</v>
      </c>
      <c r="B147" s="15">
        <v>2</v>
      </c>
      <c r="C147" s="15">
        <v>32100.5216491949</v>
      </c>
    </row>
    <row r="148" spans="1:3" x14ac:dyDescent="0.25">
      <c r="A148" s="15">
        <v>2006</v>
      </c>
      <c r="B148" s="15">
        <v>3</v>
      </c>
      <c r="C148" s="15">
        <v>30692.6764217665</v>
      </c>
    </row>
    <row r="149" spans="1:3" x14ac:dyDescent="0.25">
      <c r="A149" s="15">
        <v>2006</v>
      </c>
      <c r="B149" s="15">
        <v>4</v>
      </c>
      <c r="C149" s="15">
        <v>33223.5114118114</v>
      </c>
    </row>
    <row r="150" spans="1:3" x14ac:dyDescent="0.25">
      <c r="A150" s="15">
        <v>2006</v>
      </c>
      <c r="B150" s="15">
        <v>5</v>
      </c>
      <c r="C150" s="15">
        <v>27446.366657862902</v>
      </c>
    </row>
    <row r="151" spans="1:3" x14ac:dyDescent="0.25">
      <c r="A151" s="15">
        <v>2006</v>
      </c>
      <c r="B151" s="15">
        <v>6</v>
      </c>
      <c r="C151" s="15">
        <v>31942.581007585399</v>
      </c>
    </row>
    <row r="152" spans="1:3" x14ac:dyDescent="0.25">
      <c r="A152" s="15">
        <v>2006</v>
      </c>
      <c r="B152" s="15">
        <v>7</v>
      </c>
      <c r="C152" s="15">
        <v>35485.045778257801</v>
      </c>
    </row>
    <row r="153" spans="1:3" x14ac:dyDescent="0.25">
      <c r="A153" s="15">
        <v>2006</v>
      </c>
      <c r="B153" s="15">
        <v>8</v>
      </c>
      <c r="C153" s="15">
        <v>34259.042566977601</v>
      </c>
    </row>
    <row r="154" spans="1:3" x14ac:dyDescent="0.25">
      <c r="A154" s="15">
        <v>2006</v>
      </c>
      <c r="B154" s="15">
        <v>9</v>
      </c>
      <c r="C154" s="15">
        <v>37789.795316531097</v>
      </c>
    </row>
    <row r="155" spans="1:3" x14ac:dyDescent="0.25">
      <c r="A155" s="15">
        <v>2006</v>
      </c>
      <c r="B155" s="15">
        <v>10</v>
      </c>
      <c r="C155" s="15">
        <v>35783.622175010503</v>
      </c>
    </row>
    <row r="156" spans="1:3" x14ac:dyDescent="0.25">
      <c r="A156" s="15">
        <v>2006</v>
      </c>
      <c r="B156" s="15">
        <v>11</v>
      </c>
      <c r="C156" s="15">
        <v>39257.280262733097</v>
      </c>
    </row>
    <row r="157" spans="1:3" x14ac:dyDescent="0.25">
      <c r="A157" s="15">
        <v>2006</v>
      </c>
      <c r="B157" s="15">
        <v>12</v>
      </c>
      <c r="C157" s="15">
        <v>41680.688127182599</v>
      </c>
    </row>
    <row r="158" spans="1:3" x14ac:dyDescent="0.25">
      <c r="A158" s="15">
        <v>2007</v>
      </c>
      <c r="B158" s="15">
        <v>1</v>
      </c>
      <c r="C158" s="15">
        <v>31717.092607770101</v>
      </c>
    </row>
    <row r="159" spans="1:3" x14ac:dyDescent="0.25">
      <c r="A159" s="15">
        <v>2007</v>
      </c>
      <c r="B159" s="15">
        <v>2</v>
      </c>
      <c r="C159" s="15">
        <v>39977.340561449397</v>
      </c>
    </row>
    <row r="160" spans="1:3" x14ac:dyDescent="0.25">
      <c r="A160" s="15">
        <v>2007</v>
      </c>
      <c r="B160" s="15">
        <v>3</v>
      </c>
      <c r="C160" s="15">
        <v>43064.388425822202</v>
      </c>
    </row>
    <row r="161" spans="1:3" x14ac:dyDescent="0.25">
      <c r="A161" s="15">
        <v>2007</v>
      </c>
      <c r="B161" s="15">
        <v>4</v>
      </c>
      <c r="C161" s="15">
        <v>39582.390690469198</v>
      </c>
    </row>
    <row r="162" spans="1:3" x14ac:dyDescent="0.25">
      <c r="A162" s="15">
        <v>2007</v>
      </c>
      <c r="B162" s="15">
        <v>5</v>
      </c>
      <c r="C162" s="15">
        <v>40500.915214020199</v>
      </c>
    </row>
    <row r="163" spans="1:3" x14ac:dyDescent="0.25">
      <c r="A163" s="15">
        <v>2007</v>
      </c>
      <c r="B163" s="15">
        <v>6</v>
      </c>
      <c r="C163" s="15">
        <v>44606.328941241904</v>
      </c>
    </row>
    <row r="164" spans="1:3" x14ac:dyDescent="0.25">
      <c r="A164" s="15">
        <v>2007</v>
      </c>
      <c r="B164" s="15">
        <v>7</v>
      </c>
      <c r="C164" s="15">
        <v>39293.653621413803</v>
      </c>
    </row>
    <row r="165" spans="1:3" x14ac:dyDescent="0.25">
      <c r="A165" s="15">
        <v>2007</v>
      </c>
      <c r="B165" s="15">
        <v>8</v>
      </c>
      <c r="C165" s="15">
        <v>44057.453965451801</v>
      </c>
    </row>
    <row r="166" spans="1:3" x14ac:dyDescent="0.25">
      <c r="A166" s="15">
        <v>2007</v>
      </c>
      <c r="B166" s="15">
        <v>9</v>
      </c>
      <c r="C166" s="15">
        <v>43023.869769318997</v>
      </c>
    </row>
    <row r="167" spans="1:3" x14ac:dyDescent="0.25">
      <c r="A167" s="15">
        <v>2007</v>
      </c>
      <c r="B167" s="15">
        <v>10</v>
      </c>
      <c r="C167" s="15">
        <v>45138.556596661998</v>
      </c>
    </row>
    <row r="168" spans="1:3" x14ac:dyDescent="0.25">
      <c r="A168" s="15">
        <v>2007</v>
      </c>
      <c r="B168" s="15">
        <v>11</v>
      </c>
      <c r="C168" s="15">
        <v>48995.990783215901</v>
      </c>
    </row>
    <row r="169" spans="1:3" x14ac:dyDescent="0.25">
      <c r="A169" s="15">
        <v>2007</v>
      </c>
      <c r="B169" s="15">
        <v>12</v>
      </c>
      <c r="C169" s="15">
        <v>50644.263631748901</v>
      </c>
    </row>
    <row r="170" spans="1:3" x14ac:dyDescent="0.25">
      <c r="A170" s="15">
        <v>2008</v>
      </c>
      <c r="B170" s="15">
        <v>1</v>
      </c>
      <c r="C170" s="15">
        <v>56163.189739288297</v>
      </c>
    </row>
    <row r="171" spans="1:3" x14ac:dyDescent="0.25">
      <c r="A171" s="15">
        <v>2008</v>
      </c>
      <c r="B171" s="15">
        <v>2</v>
      </c>
      <c r="C171" s="15">
        <v>39795.209976159502</v>
      </c>
    </row>
    <row r="172" spans="1:3" x14ac:dyDescent="0.25">
      <c r="A172" s="15">
        <v>2008</v>
      </c>
      <c r="B172" s="15">
        <v>3</v>
      </c>
      <c r="C172" s="15">
        <v>48566.619050704699</v>
      </c>
    </row>
    <row r="173" spans="1:3" x14ac:dyDescent="0.25">
      <c r="A173" s="15">
        <v>2008</v>
      </c>
      <c r="B173" s="15">
        <v>4</v>
      </c>
      <c r="C173" s="15">
        <v>50597.088667889198</v>
      </c>
    </row>
    <row r="174" spans="1:3" x14ac:dyDescent="0.25">
      <c r="A174" s="15">
        <v>2008</v>
      </c>
      <c r="B174" s="15">
        <v>5</v>
      </c>
      <c r="C174" s="15">
        <v>50501.094663037598</v>
      </c>
    </row>
    <row r="175" spans="1:3" x14ac:dyDescent="0.25">
      <c r="A175" s="15">
        <v>2008</v>
      </c>
      <c r="B175" s="15">
        <v>6</v>
      </c>
      <c r="C175" s="15">
        <v>45974.344438775799</v>
      </c>
    </row>
    <row r="176" spans="1:3" x14ac:dyDescent="0.25">
      <c r="A176" s="15">
        <v>2008</v>
      </c>
      <c r="B176" s="15">
        <v>7</v>
      </c>
      <c r="C176" s="15">
        <v>55126.261920074801</v>
      </c>
    </row>
    <row r="177" spans="1:3" x14ac:dyDescent="0.25">
      <c r="A177" s="15">
        <v>2008</v>
      </c>
      <c r="B177" s="15">
        <v>8</v>
      </c>
      <c r="C177" s="15">
        <v>49901.436561072303</v>
      </c>
    </row>
    <row r="178" spans="1:3" x14ac:dyDescent="0.25">
      <c r="A178" s="15">
        <v>2008</v>
      </c>
      <c r="B178" s="15">
        <v>9</v>
      </c>
      <c r="C178" s="15">
        <v>50476.694247812899</v>
      </c>
    </row>
    <row r="179" spans="1:3" x14ac:dyDescent="0.25">
      <c r="A179" s="15">
        <v>2008</v>
      </c>
      <c r="B179" s="15">
        <v>10</v>
      </c>
      <c r="C179" s="15">
        <v>46933.197843325601</v>
      </c>
    </row>
    <row r="180" spans="1:3" x14ac:dyDescent="0.25">
      <c r="A180" s="15">
        <v>2008</v>
      </c>
      <c r="B180" s="15">
        <v>11</v>
      </c>
      <c r="C180" s="15">
        <v>35558.517090353402</v>
      </c>
    </row>
    <row r="181" spans="1:3" x14ac:dyDescent="0.25">
      <c r="A181" s="15">
        <v>2008</v>
      </c>
      <c r="B181" s="15">
        <v>12</v>
      </c>
      <c r="C181" s="15">
        <v>26826.850379801901</v>
      </c>
    </row>
    <row r="182" spans="1:3" x14ac:dyDescent="0.25">
      <c r="A182" s="15">
        <v>2009</v>
      </c>
      <c r="B182" s="15">
        <v>1</v>
      </c>
      <c r="C182" s="15">
        <v>37118.5981789785</v>
      </c>
    </row>
    <row r="183" spans="1:3" x14ac:dyDescent="0.25">
      <c r="A183" s="15">
        <v>2009</v>
      </c>
      <c r="B183" s="15">
        <v>2</v>
      </c>
      <c r="C183" s="15">
        <v>22592.717223778702</v>
      </c>
    </row>
    <row r="184" spans="1:3" x14ac:dyDescent="0.25">
      <c r="A184" s="15">
        <v>2009</v>
      </c>
      <c r="B184" s="15">
        <v>3</v>
      </c>
      <c r="C184" s="15">
        <v>38101.768461843203</v>
      </c>
    </row>
    <row r="185" spans="1:3" x14ac:dyDescent="0.25">
      <c r="A185" s="15">
        <v>2009</v>
      </c>
      <c r="B185" s="15">
        <v>4</v>
      </c>
      <c r="C185" s="15">
        <v>36954.024300433499</v>
      </c>
    </row>
    <row r="186" spans="1:3" x14ac:dyDescent="0.25">
      <c r="A186" s="15">
        <v>2009</v>
      </c>
      <c r="B186" s="15">
        <v>5</v>
      </c>
      <c r="C186" s="15">
        <v>41068.0638797438</v>
      </c>
    </row>
    <row r="187" spans="1:3" x14ac:dyDescent="0.25">
      <c r="A187" s="15">
        <v>2009</v>
      </c>
      <c r="B187" s="15">
        <v>6</v>
      </c>
      <c r="C187" s="15">
        <v>39692.321743972403</v>
      </c>
    </row>
    <row r="188" spans="1:3" x14ac:dyDescent="0.25">
      <c r="A188" s="15">
        <v>2009</v>
      </c>
      <c r="B188" s="15">
        <v>7</v>
      </c>
      <c r="C188" s="15">
        <v>43425.5686196276</v>
      </c>
    </row>
    <row r="189" spans="1:3" x14ac:dyDescent="0.25">
      <c r="A189" s="15">
        <v>2009</v>
      </c>
      <c r="B189" s="15">
        <v>8</v>
      </c>
      <c r="C189" s="15">
        <v>41270.146365014501</v>
      </c>
    </row>
    <row r="190" spans="1:3" x14ac:dyDescent="0.25">
      <c r="A190" s="15">
        <v>2009</v>
      </c>
      <c r="B190" s="15">
        <v>9</v>
      </c>
      <c r="C190" s="15">
        <v>44824.705643089699</v>
      </c>
    </row>
    <row r="191" spans="1:3" x14ac:dyDescent="0.25">
      <c r="A191" s="15">
        <v>2009</v>
      </c>
      <c r="B191" s="15">
        <v>10</v>
      </c>
      <c r="C191" s="15">
        <v>49205.587064938401</v>
      </c>
    </row>
    <row r="192" spans="1:3" x14ac:dyDescent="0.25">
      <c r="A192" s="15">
        <v>2009</v>
      </c>
      <c r="B192" s="15">
        <v>11</v>
      </c>
      <c r="C192" s="15">
        <v>49509.8873411526</v>
      </c>
    </row>
    <row r="193" spans="1:3" x14ac:dyDescent="0.25">
      <c r="A193" s="15">
        <v>2009</v>
      </c>
      <c r="B193" s="15">
        <v>12</v>
      </c>
      <c r="C193" s="15">
        <v>53609.0701855031</v>
      </c>
    </row>
    <row r="194" spans="1:3" x14ac:dyDescent="0.25">
      <c r="A194" s="15">
        <v>2010</v>
      </c>
      <c r="B194" s="15">
        <v>1</v>
      </c>
      <c r="C194" s="15">
        <v>52200.055735416601</v>
      </c>
    </row>
    <row r="195" spans="1:3" x14ac:dyDescent="0.25">
      <c r="A195" s="15">
        <v>2010</v>
      </c>
      <c r="B195" s="15">
        <v>2</v>
      </c>
      <c r="C195" s="15">
        <v>47761.362284452298</v>
      </c>
    </row>
    <row r="196" spans="1:3" x14ac:dyDescent="0.25">
      <c r="A196" s="15">
        <v>2010</v>
      </c>
      <c r="B196" s="15">
        <v>3</v>
      </c>
      <c r="C196" s="15">
        <v>49775.8309073829</v>
      </c>
    </row>
    <row r="197" spans="1:3" x14ac:dyDescent="0.25">
      <c r="A197" s="15">
        <v>2010</v>
      </c>
      <c r="B197" s="15">
        <v>4</v>
      </c>
      <c r="C197" s="15">
        <v>55601.907373622802</v>
      </c>
    </row>
    <row r="198" spans="1:3" x14ac:dyDescent="0.25">
      <c r="A198" s="15">
        <v>2010</v>
      </c>
      <c r="B198" s="15">
        <v>5</v>
      </c>
      <c r="C198" s="15">
        <v>56895.311782367498</v>
      </c>
    </row>
    <row r="199" spans="1:3" x14ac:dyDescent="0.25">
      <c r="A199" s="15">
        <v>2010</v>
      </c>
      <c r="B199" s="15">
        <v>6</v>
      </c>
      <c r="C199" s="15">
        <v>58837.991554362903</v>
      </c>
    </row>
    <row r="200" spans="1:3" x14ac:dyDescent="0.25">
      <c r="A200" s="15">
        <v>2010</v>
      </c>
      <c r="B200" s="15">
        <v>7</v>
      </c>
      <c r="C200" s="15">
        <v>54890.183275421798</v>
      </c>
    </row>
    <row r="201" spans="1:3" x14ac:dyDescent="0.25">
      <c r="A201" s="15">
        <v>2010</v>
      </c>
      <c r="B201" s="15">
        <v>8</v>
      </c>
      <c r="C201" s="15">
        <v>62622.380057646304</v>
      </c>
    </row>
    <row r="202" spans="1:3" x14ac:dyDescent="0.25">
      <c r="A202" s="15">
        <v>2010</v>
      </c>
      <c r="B202" s="15">
        <v>9</v>
      </c>
      <c r="C202" s="15">
        <v>62739.847887031101</v>
      </c>
    </row>
    <row r="203" spans="1:3" x14ac:dyDescent="0.25">
      <c r="A203" s="15">
        <v>2010</v>
      </c>
      <c r="B203" s="15">
        <v>10</v>
      </c>
      <c r="C203" s="15">
        <v>59361.7162881892</v>
      </c>
    </row>
    <row r="204" spans="1:3" x14ac:dyDescent="0.25">
      <c r="A204" s="15">
        <v>2010</v>
      </c>
      <c r="B204" s="15">
        <v>11</v>
      </c>
      <c r="C204" s="15">
        <v>66680.477701563999</v>
      </c>
    </row>
    <row r="205" spans="1:3" x14ac:dyDescent="0.25">
      <c r="A205" s="15">
        <v>2010</v>
      </c>
      <c r="B205" s="15">
        <v>12</v>
      </c>
      <c r="C205" s="15">
        <v>68041.027018989305</v>
      </c>
    </row>
    <row r="206" spans="1:3" x14ac:dyDescent="0.25">
      <c r="A206" s="15">
        <v>2011</v>
      </c>
      <c r="B206" s="15">
        <v>1</v>
      </c>
      <c r="C206" s="15">
        <v>68547.801874733501</v>
      </c>
    </row>
    <row r="207" spans="1:3" x14ac:dyDescent="0.25">
      <c r="A207" s="15">
        <v>2011</v>
      </c>
      <c r="B207" s="15">
        <v>2</v>
      </c>
      <c r="C207" s="15">
        <v>48812.276808364099</v>
      </c>
    </row>
    <row r="208" spans="1:3" x14ac:dyDescent="0.25">
      <c r="A208" s="15">
        <v>2011</v>
      </c>
      <c r="B208" s="15">
        <v>3</v>
      </c>
      <c r="C208" s="15">
        <v>66276.571317112306</v>
      </c>
    </row>
    <row r="209" spans="1:3" x14ac:dyDescent="0.25">
      <c r="A209" s="15">
        <v>2011</v>
      </c>
      <c r="B209" s="15">
        <v>4</v>
      </c>
      <c r="C209" s="15">
        <v>72176.574250096703</v>
      </c>
    </row>
    <row r="210" spans="1:3" x14ac:dyDescent="0.25">
      <c r="A210" s="15">
        <v>2011</v>
      </c>
      <c r="B210" s="15">
        <v>5</v>
      </c>
      <c r="C210" s="15">
        <v>74784.738830325194</v>
      </c>
    </row>
    <row r="211" spans="1:3" x14ac:dyDescent="0.25">
      <c r="A211" s="15">
        <v>2011</v>
      </c>
      <c r="B211" s="15">
        <v>6</v>
      </c>
      <c r="C211" s="15">
        <v>74450.449897558603</v>
      </c>
    </row>
    <row r="212" spans="1:3" x14ac:dyDescent="0.25">
      <c r="A212" s="15">
        <v>2011</v>
      </c>
      <c r="B212" s="15">
        <v>7</v>
      </c>
      <c r="C212" s="15">
        <v>69455.543545792505</v>
      </c>
    </row>
    <row r="213" spans="1:3" x14ac:dyDescent="0.25">
      <c r="A213" s="15">
        <v>2011</v>
      </c>
      <c r="B213" s="15">
        <v>8</v>
      </c>
      <c r="C213" s="15">
        <v>73313.114111851493</v>
      </c>
    </row>
    <row r="214" spans="1:3" x14ac:dyDescent="0.25">
      <c r="A214" s="15">
        <v>2011</v>
      </c>
      <c r="B214" s="15">
        <v>9</v>
      </c>
      <c r="C214" s="15">
        <v>69207.992117652597</v>
      </c>
    </row>
    <row r="215" spans="1:3" x14ac:dyDescent="0.25">
      <c r="A215" s="15">
        <v>2011</v>
      </c>
      <c r="B215" s="15">
        <v>10</v>
      </c>
      <c r="C215" s="15">
        <v>65794.4714075089</v>
      </c>
    </row>
    <row r="216" spans="1:3" x14ac:dyDescent="0.25">
      <c r="A216" s="15">
        <v>2011</v>
      </c>
      <c r="B216" s="15">
        <v>11</v>
      </c>
      <c r="C216" s="15">
        <v>65665.927855611706</v>
      </c>
    </row>
    <row r="217" spans="1:3" x14ac:dyDescent="0.25">
      <c r="A217" s="15">
        <v>2011</v>
      </c>
      <c r="B217" s="15">
        <v>12</v>
      </c>
      <c r="C217" s="15">
        <v>57677.860496208297</v>
      </c>
    </row>
    <row r="218" spans="1:3" x14ac:dyDescent="0.25">
      <c r="A218" s="15">
        <v>2012</v>
      </c>
      <c r="B218" s="15">
        <v>1</v>
      </c>
      <c r="C218" s="15">
        <v>63078.985417420998</v>
      </c>
    </row>
    <row r="219" spans="1:3" x14ac:dyDescent="0.25">
      <c r="A219" s="15">
        <v>2012</v>
      </c>
      <c r="B219" s="15">
        <v>2</v>
      </c>
      <c r="C219" s="15">
        <v>62474.145681690599</v>
      </c>
    </row>
    <row r="220" spans="1:3" x14ac:dyDescent="0.25">
      <c r="A220" s="15">
        <v>2012</v>
      </c>
      <c r="B220" s="15">
        <v>3</v>
      </c>
      <c r="C220" s="15">
        <v>63927.373157888498</v>
      </c>
    </row>
    <row r="221" spans="1:3" x14ac:dyDescent="0.25">
      <c r="A221" s="15">
        <v>2012</v>
      </c>
      <c r="B221" s="15">
        <v>4</v>
      </c>
      <c r="C221" s="15">
        <v>54298.166999834197</v>
      </c>
    </row>
    <row r="222" spans="1:3" x14ac:dyDescent="0.25">
      <c r="A222" s="15">
        <v>2012</v>
      </c>
      <c r="B222" s="15">
        <v>5</v>
      </c>
      <c r="C222" s="15">
        <v>53931.769642113199</v>
      </c>
    </row>
    <row r="223" spans="1:3" x14ac:dyDescent="0.25">
      <c r="A223" s="15">
        <v>2012</v>
      </c>
      <c r="B223" s="15">
        <v>6</v>
      </c>
      <c r="C223" s="15">
        <v>48443.670857339799</v>
      </c>
    </row>
    <row r="224" spans="1:3" x14ac:dyDescent="0.25">
      <c r="A224" s="15">
        <v>2012</v>
      </c>
      <c r="B224" s="15">
        <v>7</v>
      </c>
      <c r="C224" s="15">
        <v>63534.424161073002</v>
      </c>
    </row>
    <row r="225" spans="1:3" x14ac:dyDescent="0.25">
      <c r="A225" s="15">
        <v>2012</v>
      </c>
      <c r="B225" s="15">
        <v>8</v>
      </c>
      <c r="C225" s="15">
        <v>69554.627489240505</v>
      </c>
    </row>
    <row r="226" spans="1:3" x14ac:dyDescent="0.25">
      <c r="A226" s="15">
        <v>2012</v>
      </c>
      <c r="B226" s="15">
        <v>9</v>
      </c>
      <c r="C226" s="15">
        <v>61329.380084047101</v>
      </c>
    </row>
    <row r="227" spans="1:3" x14ac:dyDescent="0.25">
      <c r="A227" s="15">
        <v>2012</v>
      </c>
      <c r="B227" s="15">
        <v>10</v>
      </c>
      <c r="C227" s="15">
        <v>68164.130669030201</v>
      </c>
    </row>
    <row r="228" spans="1:3" x14ac:dyDescent="0.25">
      <c r="A228" s="15">
        <v>2012</v>
      </c>
      <c r="B228" s="15">
        <v>11</v>
      </c>
      <c r="C228" s="15">
        <v>68913.330994426695</v>
      </c>
    </row>
    <row r="229" spans="1:3" x14ac:dyDescent="0.25">
      <c r="A229" s="15">
        <v>2012</v>
      </c>
      <c r="B229" s="15">
        <v>12</v>
      </c>
      <c r="C229" s="15">
        <v>69720.763651983798</v>
      </c>
    </row>
    <row r="230" spans="1:3" x14ac:dyDescent="0.25">
      <c r="A230" s="15">
        <v>2013</v>
      </c>
      <c r="B230" s="15">
        <v>1</v>
      </c>
      <c r="C230" s="15">
        <v>64147.5744995368</v>
      </c>
    </row>
    <row r="231" spans="1:3" x14ac:dyDescent="0.25">
      <c r="A231" s="15">
        <v>2013</v>
      </c>
      <c r="B231" s="15">
        <v>2</v>
      </c>
      <c r="C231" s="15">
        <v>57109.175244489401</v>
      </c>
    </row>
    <row r="232" spans="1:3" x14ac:dyDescent="0.25">
      <c r="A232" s="15">
        <v>2013</v>
      </c>
      <c r="B232" s="15">
        <v>3</v>
      </c>
      <c r="C232" s="15">
        <v>74143.369556701597</v>
      </c>
    </row>
    <row r="233" spans="1:3" x14ac:dyDescent="0.25">
      <c r="A233" s="15">
        <v>2013</v>
      </c>
      <c r="B233" s="15">
        <v>4</v>
      </c>
      <c r="C233" s="15">
        <v>71614.438455572497</v>
      </c>
    </row>
    <row r="234" spans="1:3" x14ac:dyDescent="0.25">
      <c r="A234" s="15">
        <v>2013</v>
      </c>
      <c r="B234" s="15">
        <v>5</v>
      </c>
      <c r="C234" s="15">
        <v>73674.399336988601</v>
      </c>
    </row>
    <row r="235" spans="1:3" x14ac:dyDescent="0.25">
      <c r="A235" s="15">
        <v>2013</v>
      </c>
      <c r="B235" s="15">
        <v>6</v>
      </c>
      <c r="C235" s="15">
        <v>59761.725218890402</v>
      </c>
    </row>
    <row r="236" spans="1:3" x14ac:dyDescent="0.25">
      <c r="A236" s="15">
        <v>2013</v>
      </c>
      <c r="B236" s="15">
        <v>7</v>
      </c>
      <c r="C236" s="15">
        <v>67922.013838322397</v>
      </c>
    </row>
    <row r="237" spans="1:3" x14ac:dyDescent="0.25">
      <c r="A237" s="15">
        <v>2013</v>
      </c>
      <c r="B237" s="15">
        <v>8</v>
      </c>
      <c r="C237" s="15">
        <v>61950.062580268801</v>
      </c>
    </row>
    <row r="238" spans="1:3" x14ac:dyDescent="0.25">
      <c r="A238" s="15">
        <v>2013</v>
      </c>
      <c r="B238" s="15">
        <v>9</v>
      </c>
      <c r="C238" s="15">
        <v>62977.832328928598</v>
      </c>
    </row>
    <row r="239" spans="1:3" x14ac:dyDescent="0.25">
      <c r="A239" s="15">
        <v>2013</v>
      </c>
      <c r="B239" s="15">
        <v>10</v>
      </c>
      <c r="C239" s="15">
        <v>64133.4410254584</v>
      </c>
    </row>
    <row r="240" spans="1:3" x14ac:dyDescent="0.25">
      <c r="A240" s="15">
        <v>2013</v>
      </c>
      <c r="B240" s="15">
        <v>11</v>
      </c>
      <c r="C240" s="15">
        <v>54616.530469643803</v>
      </c>
    </row>
    <row r="241" spans="1:3" x14ac:dyDescent="0.25">
      <c r="A241" s="15">
        <v>2013</v>
      </c>
      <c r="B241" s="15">
        <v>12</v>
      </c>
      <c r="C241" s="15">
        <v>52589.058137328502</v>
      </c>
    </row>
    <row r="242" spans="1:3" x14ac:dyDescent="0.25">
      <c r="A242" s="15">
        <v>2014</v>
      </c>
      <c r="B242" s="15">
        <v>1</v>
      </c>
      <c r="C242" s="15">
        <v>56228.117605490603</v>
      </c>
    </row>
    <row r="243" spans="1:3" x14ac:dyDescent="0.25">
      <c r="A243" s="15">
        <v>2014</v>
      </c>
      <c r="B243" s="15">
        <v>2</v>
      </c>
      <c r="C243" s="15">
        <v>55417.176806069001</v>
      </c>
    </row>
    <row r="244" spans="1:3" x14ac:dyDescent="0.25">
      <c r="A244" s="15">
        <v>2014</v>
      </c>
      <c r="B244" s="15">
        <v>3</v>
      </c>
      <c r="C244" s="15">
        <v>52991.920202265399</v>
      </c>
    </row>
    <row r="245" spans="1:3" x14ac:dyDescent="0.25">
      <c r="A245" s="15">
        <v>2014</v>
      </c>
      <c r="B245" s="15">
        <v>4</v>
      </c>
      <c r="C245" s="15">
        <v>54928.890896580902</v>
      </c>
    </row>
    <row r="246" spans="1:3" x14ac:dyDescent="0.25">
      <c r="A246" s="15">
        <v>2014</v>
      </c>
      <c r="B246" s="15">
        <v>5</v>
      </c>
      <c r="C246" s="15">
        <v>47346.605584127501</v>
      </c>
    </row>
    <row r="247" spans="1:3" x14ac:dyDescent="0.25">
      <c r="A247" s="15">
        <v>2014</v>
      </c>
      <c r="B247" s="15">
        <v>6</v>
      </c>
      <c r="C247" s="15">
        <v>45982.211164936401</v>
      </c>
    </row>
    <row r="248" spans="1:3" x14ac:dyDescent="0.25">
      <c r="A248" s="15">
        <v>2014</v>
      </c>
      <c r="B248" s="15">
        <v>7</v>
      </c>
      <c r="C248" s="15">
        <v>45759.935136008397</v>
      </c>
    </row>
    <row r="249" spans="1:3" x14ac:dyDescent="0.25">
      <c r="A249" s="15">
        <v>2014</v>
      </c>
      <c r="B249" s="15">
        <v>8</v>
      </c>
      <c r="C249" s="15">
        <v>41845.686012097001</v>
      </c>
    </row>
    <row r="250" spans="1:3" x14ac:dyDescent="0.25">
      <c r="A250" s="15">
        <v>2014</v>
      </c>
      <c r="B250" s="15">
        <v>9</v>
      </c>
      <c r="C250" s="15">
        <v>48482.209904555297</v>
      </c>
    </row>
    <row r="251" spans="1:3" x14ac:dyDescent="0.25">
      <c r="A251" s="15">
        <v>2014</v>
      </c>
      <c r="B251" s="15">
        <v>10</v>
      </c>
      <c r="C251" s="15">
        <v>50518.484279896496</v>
      </c>
    </row>
    <row r="252" spans="1:3" x14ac:dyDescent="0.25">
      <c r="A252" s="15">
        <v>2014</v>
      </c>
      <c r="B252" s="15">
        <v>11</v>
      </c>
      <c r="C252" s="15">
        <v>49602.671405853602</v>
      </c>
    </row>
    <row r="253" spans="1:3" x14ac:dyDescent="0.25">
      <c r="A253" s="15">
        <v>2014</v>
      </c>
      <c r="B253" s="15">
        <v>12</v>
      </c>
      <c r="C253" s="15">
        <v>48083.780036435797</v>
      </c>
    </row>
    <row r="254" spans="1:3" x14ac:dyDescent="0.25">
      <c r="A254" s="15">
        <v>2015</v>
      </c>
      <c r="B254" s="15">
        <v>1</v>
      </c>
      <c r="C254" s="15">
        <v>47074.018215187098</v>
      </c>
    </row>
    <row r="255" spans="1:3" x14ac:dyDescent="0.25">
      <c r="A255" s="15">
        <v>2015</v>
      </c>
      <c r="B255" s="15">
        <v>2</v>
      </c>
      <c r="C255" s="15">
        <v>47972.1530394082</v>
      </c>
    </row>
    <row r="256" spans="1:3" x14ac:dyDescent="0.25">
      <c r="A256" s="15">
        <v>2015</v>
      </c>
      <c r="B256" s="15">
        <v>3</v>
      </c>
      <c r="C256" s="15">
        <v>45569.4778546054</v>
      </c>
    </row>
    <row r="257" spans="1:3" x14ac:dyDescent="0.25">
      <c r="A257" s="15">
        <v>2015</v>
      </c>
      <c r="B257" s="15">
        <v>4</v>
      </c>
      <c r="C257" s="15">
        <v>41557.162059667004</v>
      </c>
    </row>
    <row r="258" spans="1:3" x14ac:dyDescent="0.25">
      <c r="A258" s="15">
        <v>2015</v>
      </c>
      <c r="B258" s="15">
        <v>5</v>
      </c>
      <c r="C258" s="15">
        <v>43824.685665030702</v>
      </c>
    </row>
    <row r="259" spans="1:3" x14ac:dyDescent="0.25">
      <c r="A259" s="15">
        <v>2015</v>
      </c>
      <c r="B259" s="15">
        <v>6</v>
      </c>
      <c r="C259" s="15">
        <v>47738.2495724412</v>
      </c>
    </row>
    <row r="260" spans="1:3" x14ac:dyDescent="0.25">
      <c r="A260" s="15">
        <v>2015</v>
      </c>
      <c r="B260" s="15">
        <v>7</v>
      </c>
      <c r="C260" s="15">
        <v>42049.059069366798</v>
      </c>
    </row>
    <row r="261" spans="1:3" x14ac:dyDescent="0.25">
      <c r="A261" s="15">
        <v>2015</v>
      </c>
      <c r="B261" s="15">
        <v>8</v>
      </c>
      <c r="C261" s="15">
        <v>45263.345793827597</v>
      </c>
    </row>
    <row r="262" spans="1:3" x14ac:dyDescent="0.25">
      <c r="A262" s="15">
        <v>2015</v>
      </c>
      <c r="B262" s="15">
        <v>9</v>
      </c>
      <c r="C262" s="15">
        <v>45544.835769632802</v>
      </c>
    </row>
    <row r="263" spans="1:3" x14ac:dyDescent="0.25">
      <c r="A263" s="15">
        <v>2015</v>
      </c>
      <c r="B263" s="15">
        <v>10</v>
      </c>
      <c r="C263" s="15">
        <v>39456.329985121898</v>
      </c>
    </row>
    <row r="264" spans="1:3" x14ac:dyDescent="0.25">
      <c r="A264" s="15">
        <v>2015</v>
      </c>
      <c r="B264" s="15">
        <v>11</v>
      </c>
      <c r="C264" s="15">
        <v>40924.744988094601</v>
      </c>
    </row>
    <row r="265" spans="1:3" x14ac:dyDescent="0.25">
      <c r="A265" s="15">
        <v>2015</v>
      </c>
      <c r="B265" s="15">
        <v>12</v>
      </c>
      <c r="C265" s="15">
        <v>39683.140541882</v>
      </c>
    </row>
    <row r="266" spans="1:3" x14ac:dyDescent="0.25">
      <c r="A266" s="15">
        <v>2016</v>
      </c>
      <c r="B266" s="15">
        <v>1</v>
      </c>
      <c r="C266" s="15">
        <v>40506.322293009704</v>
      </c>
    </row>
    <row r="267" spans="1:3" x14ac:dyDescent="0.25">
      <c r="A267" s="15">
        <v>2016</v>
      </c>
      <c r="B267" s="15">
        <v>2</v>
      </c>
      <c r="C267" s="15">
        <v>38722.618538674302</v>
      </c>
    </row>
    <row r="268" spans="1:3" x14ac:dyDescent="0.25">
      <c r="A268" s="15">
        <v>2016</v>
      </c>
      <c r="B268" s="15">
        <v>3</v>
      </c>
      <c r="C268" s="15">
        <v>40337.994262494001</v>
      </c>
    </row>
    <row r="269" spans="1:3" x14ac:dyDescent="0.25">
      <c r="A269" s="15">
        <v>2016</v>
      </c>
      <c r="B269" s="15">
        <v>4</v>
      </c>
      <c r="C269" s="15">
        <v>42543.648675390097</v>
      </c>
    </row>
    <row r="270" spans="1:3" x14ac:dyDescent="0.25">
      <c r="A270" s="15">
        <v>2016</v>
      </c>
      <c r="B270" s="15">
        <v>5</v>
      </c>
      <c r="C270" s="15">
        <v>37618.616198442003</v>
      </c>
    </row>
    <row r="271" spans="1:3" x14ac:dyDescent="0.25">
      <c r="A271" s="15">
        <v>2016</v>
      </c>
      <c r="B271" s="15">
        <v>6</v>
      </c>
      <c r="C271" s="15">
        <v>37656.712167037098</v>
      </c>
    </row>
    <row r="272" spans="1:3" x14ac:dyDescent="0.25">
      <c r="A272" s="15">
        <v>2016</v>
      </c>
      <c r="B272" s="15">
        <v>7</v>
      </c>
      <c r="C272" s="15">
        <v>39802.481990451997</v>
      </c>
    </row>
    <row r="273" spans="1:3" x14ac:dyDescent="0.25">
      <c r="A273" s="15">
        <v>2016</v>
      </c>
      <c r="B273" s="15">
        <v>8</v>
      </c>
      <c r="C273" s="15">
        <v>37708.870031071601</v>
      </c>
    </row>
    <row r="274" spans="1:3" x14ac:dyDescent="0.25">
      <c r="A274" s="15">
        <v>2016</v>
      </c>
      <c r="B274" s="15">
        <v>9</v>
      </c>
      <c r="C274" s="15">
        <v>35628.558124348703</v>
      </c>
    </row>
    <row r="275" spans="1:3" x14ac:dyDescent="0.25">
      <c r="A275" s="15">
        <v>2016</v>
      </c>
      <c r="B275" s="15">
        <v>10</v>
      </c>
      <c r="C275" s="15">
        <v>34764.874076034997</v>
      </c>
    </row>
    <row r="276" spans="1:3" x14ac:dyDescent="0.25">
      <c r="A276" s="15">
        <v>2016</v>
      </c>
      <c r="B276" s="15">
        <v>11</v>
      </c>
      <c r="C276" s="15">
        <v>41419.755140961403</v>
      </c>
    </row>
    <row r="277" spans="1:3" x14ac:dyDescent="0.25">
      <c r="A277" s="15">
        <v>2016</v>
      </c>
      <c r="B277" s="15">
        <v>12</v>
      </c>
      <c r="C277" s="15">
        <v>49292.090485957997</v>
      </c>
    </row>
    <row r="278" spans="1:3" x14ac:dyDescent="0.25">
      <c r="A278" s="15">
        <v>2017</v>
      </c>
      <c r="B278" s="15">
        <v>1</v>
      </c>
      <c r="C278" s="15">
        <v>47128.884575973403</v>
      </c>
    </row>
    <row r="279" spans="1:3" x14ac:dyDescent="0.25">
      <c r="A279" s="15">
        <v>2017</v>
      </c>
      <c r="B279" s="15">
        <v>2</v>
      </c>
      <c r="C279" s="15">
        <v>27771.723929917502</v>
      </c>
    </row>
    <row r="280" spans="1:3" x14ac:dyDescent="0.25">
      <c r="A280" s="15">
        <v>2017</v>
      </c>
      <c r="B280" s="15">
        <v>3</v>
      </c>
      <c r="C280" s="15">
        <v>33749.190577125497</v>
      </c>
    </row>
    <row r="281" spans="1:3" x14ac:dyDescent="0.25">
      <c r="A281" s="15">
        <v>2017</v>
      </c>
      <c r="B281" s="15">
        <v>4</v>
      </c>
      <c r="C281" s="15">
        <v>37322.263608256297</v>
      </c>
    </row>
    <row r="282" spans="1:3" x14ac:dyDescent="0.25">
      <c r="A282" s="15">
        <v>2017</v>
      </c>
      <c r="B282" s="15">
        <v>5</v>
      </c>
      <c r="C282" s="15">
        <v>41699.114183670499</v>
      </c>
    </row>
    <row r="283" spans="1:3" x14ac:dyDescent="0.25">
      <c r="A283" s="15">
        <v>2017</v>
      </c>
      <c r="B283" s="15">
        <v>6</v>
      </c>
      <c r="C283" s="15">
        <v>42319.288059822102</v>
      </c>
    </row>
    <row r="284" spans="1:3" x14ac:dyDescent="0.25">
      <c r="A284" s="15">
        <v>2017</v>
      </c>
      <c r="B284" s="15">
        <v>7</v>
      </c>
      <c r="C284" s="15">
        <v>40260.733846319301</v>
      </c>
    </row>
    <row r="285" spans="1:3" x14ac:dyDescent="0.25">
      <c r="A285" s="15">
        <v>2017</v>
      </c>
      <c r="B285" s="15">
        <v>8</v>
      </c>
      <c r="C285" s="15">
        <v>38538.652551673396</v>
      </c>
    </row>
    <row r="286" spans="1:3" x14ac:dyDescent="0.25">
      <c r="A286" s="15">
        <v>2017</v>
      </c>
      <c r="B286" s="15">
        <v>9</v>
      </c>
      <c r="C286" s="15">
        <v>42306.492124776101</v>
      </c>
    </row>
    <row r="287" spans="1:3" x14ac:dyDescent="0.25">
      <c r="A287" s="15">
        <v>2017</v>
      </c>
      <c r="B287" s="15">
        <v>10</v>
      </c>
      <c r="C287" s="15">
        <v>40185.862865726602</v>
      </c>
    </row>
    <row r="288" spans="1:3" x14ac:dyDescent="0.25">
      <c r="A288" s="15">
        <v>2017</v>
      </c>
      <c r="B288" s="15">
        <v>11</v>
      </c>
      <c r="C288" s="15">
        <v>40053.420294471602</v>
      </c>
    </row>
    <row r="289" spans="1:3" x14ac:dyDescent="0.25">
      <c r="A289" s="15">
        <v>2017</v>
      </c>
      <c r="B289" s="15">
        <v>12</v>
      </c>
      <c r="C289" s="15">
        <v>43109.673742289197</v>
      </c>
    </row>
    <row r="290" spans="1:3" x14ac:dyDescent="0.25">
      <c r="A290" s="15">
        <v>2018</v>
      </c>
      <c r="B290" s="15">
        <v>1</v>
      </c>
      <c r="C290" s="15">
        <v>40194.618094323101</v>
      </c>
    </row>
    <row r="291" spans="1:3" x14ac:dyDescent="0.25">
      <c r="A291" s="15">
        <v>2018</v>
      </c>
      <c r="B291" s="15">
        <v>2</v>
      </c>
      <c r="C291" s="15">
        <v>40398.396535806503</v>
      </c>
    </row>
    <row r="292" spans="1:3" x14ac:dyDescent="0.25">
      <c r="A292" s="15">
        <v>2018</v>
      </c>
      <c r="B292" s="15">
        <v>3</v>
      </c>
      <c r="C292" s="15">
        <v>45065.198887719896</v>
      </c>
    </row>
    <row r="293" spans="1:3" x14ac:dyDescent="0.25">
      <c r="A293" s="15">
        <v>2018</v>
      </c>
      <c r="B293" s="15">
        <v>4</v>
      </c>
      <c r="C293" s="15">
        <v>44466.178877251397</v>
      </c>
    </row>
    <row r="294" spans="1:3" x14ac:dyDescent="0.25">
      <c r="A294" s="15">
        <v>2018</v>
      </c>
      <c r="B294" s="15">
        <v>5</v>
      </c>
      <c r="C294" s="15">
        <v>43222.349123946296</v>
      </c>
    </row>
    <row r="295" spans="1:3" x14ac:dyDescent="0.25">
      <c r="A295" s="15">
        <v>2018</v>
      </c>
      <c r="B295" s="15">
        <v>6</v>
      </c>
      <c r="C295" s="15">
        <v>38215.220327027499</v>
      </c>
    </row>
    <row r="296" spans="1:3" x14ac:dyDescent="0.25">
      <c r="A296" s="15">
        <v>2018</v>
      </c>
      <c r="B296" s="15">
        <v>7</v>
      </c>
      <c r="C296" s="15">
        <v>42329.369611465198</v>
      </c>
    </row>
    <row r="297" spans="1:3" x14ac:dyDescent="0.25">
      <c r="A297" s="15">
        <v>2018</v>
      </c>
      <c r="B297" s="15">
        <v>8</v>
      </c>
      <c r="C297" s="15">
        <v>42250.349182774698</v>
      </c>
    </row>
    <row r="298" spans="1:3" x14ac:dyDescent="0.25">
      <c r="A298" s="15">
        <v>2018</v>
      </c>
      <c r="B298" s="15">
        <v>9</v>
      </c>
      <c r="C298" s="15">
        <v>34385.050999535197</v>
      </c>
    </row>
    <row r="299" spans="1:3" x14ac:dyDescent="0.25">
      <c r="A299" s="15">
        <v>2018</v>
      </c>
      <c r="B299" s="15">
        <v>10</v>
      </c>
      <c r="C299" s="15">
        <v>33802.739579558402</v>
      </c>
    </row>
    <row r="300" spans="1:3" x14ac:dyDescent="0.25">
      <c r="A300" s="15">
        <v>2018</v>
      </c>
      <c r="B300" s="15">
        <v>11</v>
      </c>
      <c r="C300" s="15">
        <v>32077.576498180399</v>
      </c>
    </row>
    <row r="301" spans="1:3" x14ac:dyDescent="0.25">
      <c r="A301" s="15">
        <v>2018</v>
      </c>
      <c r="B301" s="15">
        <v>12</v>
      </c>
      <c r="C301" s="15">
        <v>29298.8223722972</v>
      </c>
    </row>
    <row r="302" spans="1:3" x14ac:dyDescent="0.25">
      <c r="A302" s="15">
        <v>2019</v>
      </c>
      <c r="B302" s="15">
        <v>1</v>
      </c>
      <c r="C302" s="15">
        <v>32908.897214611803</v>
      </c>
    </row>
    <row r="303" spans="1:3" x14ac:dyDescent="0.25">
      <c r="A303" s="15">
        <v>2019</v>
      </c>
      <c r="B303" s="15">
        <v>2</v>
      </c>
      <c r="C303" s="15">
        <v>33763.064764593102</v>
      </c>
    </row>
    <row r="304" spans="1:3" x14ac:dyDescent="0.25">
      <c r="A304" s="15">
        <v>2019</v>
      </c>
      <c r="B304" s="15">
        <v>3</v>
      </c>
      <c r="C304" s="15">
        <v>25573.288455350801</v>
      </c>
    </row>
    <row r="305" spans="1:3" x14ac:dyDescent="0.25">
      <c r="A305" s="15">
        <v>2019</v>
      </c>
      <c r="B305" s="15">
        <v>4</v>
      </c>
      <c r="C305" s="15">
        <v>27881.108844390099</v>
      </c>
    </row>
    <row r="306" spans="1:3" x14ac:dyDescent="0.25">
      <c r="A306" s="15">
        <v>2019</v>
      </c>
      <c r="B306" s="15">
        <v>5</v>
      </c>
      <c r="C306" s="15">
        <v>27045.757297321899</v>
      </c>
    </row>
    <row r="307" spans="1:3" x14ac:dyDescent="0.25">
      <c r="A307" s="15">
        <v>2019</v>
      </c>
      <c r="B307" s="15">
        <v>6</v>
      </c>
      <c r="C307" s="15">
        <v>24833.6597268365</v>
      </c>
    </row>
    <row r="308" spans="1:3" x14ac:dyDescent="0.25">
      <c r="A308" s="15">
        <v>2019</v>
      </c>
      <c r="B308" s="15">
        <v>7</v>
      </c>
      <c r="C308" s="15">
        <v>21100.868500414199</v>
      </c>
    </row>
    <row r="309" spans="1:3" x14ac:dyDescent="0.25">
      <c r="A309" s="15">
        <v>2019</v>
      </c>
      <c r="B309" s="15">
        <v>8</v>
      </c>
      <c r="C309" s="15">
        <v>25117.115082307901</v>
      </c>
    </row>
    <row r="310" spans="1:3" x14ac:dyDescent="0.25">
      <c r="A310" s="15">
        <v>2019</v>
      </c>
      <c r="B310" s="15">
        <v>9</v>
      </c>
      <c r="C310" s="15">
        <v>23417.310637321702</v>
      </c>
    </row>
    <row r="311" spans="1:3" x14ac:dyDescent="0.25">
      <c r="A311" s="15">
        <v>2019</v>
      </c>
      <c r="B311" s="15">
        <v>10</v>
      </c>
      <c r="C311" s="15">
        <v>26737.0782699509</v>
      </c>
    </row>
    <row r="312" spans="1:3" x14ac:dyDescent="0.25">
      <c r="A312" s="15">
        <v>2019</v>
      </c>
      <c r="B312" s="15">
        <v>11</v>
      </c>
      <c r="C312" s="15">
        <v>23855.894647169898</v>
      </c>
    </row>
    <row r="313" spans="1:3" x14ac:dyDescent="0.25">
      <c r="A313" s="15">
        <v>2019</v>
      </c>
      <c r="B313" s="15">
        <v>12</v>
      </c>
      <c r="C313" s="15">
        <v>21237.407693042402</v>
      </c>
    </row>
    <row r="314" spans="1:3" x14ac:dyDescent="0.25">
      <c r="A314" s="15">
        <v>2020</v>
      </c>
      <c r="B314" s="15">
        <v>1</v>
      </c>
      <c r="C314" s="15">
        <v>38781.253836933298</v>
      </c>
    </row>
    <row r="315" spans="1:3" x14ac:dyDescent="0.25">
      <c r="A315" s="15">
        <v>2020</v>
      </c>
      <c r="B315" s="15">
        <v>2</v>
      </c>
      <c r="C315" s="15">
        <v>30393.213732542201</v>
      </c>
    </row>
    <row r="316" spans="1:3" x14ac:dyDescent="0.25">
      <c r="A316" s="15">
        <v>2020</v>
      </c>
      <c r="B316" s="15">
        <v>3</v>
      </c>
      <c r="C316" s="15">
        <v>13589.5685669794</v>
      </c>
    </row>
    <row r="317" spans="1:3" x14ac:dyDescent="0.25">
      <c r="A317" s="15">
        <v>2020</v>
      </c>
      <c r="B317" s="15">
        <v>4</v>
      </c>
      <c r="C317" s="15">
        <v>-1966.53935506216</v>
      </c>
    </row>
    <row r="318" spans="1:3" x14ac:dyDescent="0.25">
      <c r="A318" s="15">
        <v>2020</v>
      </c>
      <c r="B318" s="15">
        <v>5</v>
      </c>
      <c r="C318" s="15">
        <v>5096.7542470820499</v>
      </c>
    </row>
    <row r="319" spans="1:3" x14ac:dyDescent="0.25">
      <c r="A319" s="15">
        <v>2020</v>
      </c>
      <c r="B319" s="15">
        <v>6</v>
      </c>
      <c r="C319" s="15">
        <v>13663.473458398799</v>
      </c>
    </row>
    <row r="320" spans="1:3" x14ac:dyDescent="0.25">
      <c r="A320" s="15">
        <v>2020</v>
      </c>
      <c r="B320" s="15">
        <v>7</v>
      </c>
      <c r="C320" s="15">
        <v>21309.464509756799</v>
      </c>
    </row>
    <row r="321" spans="1:3" x14ac:dyDescent="0.25">
      <c r="A321" s="15">
        <v>2020</v>
      </c>
      <c r="B321" s="15">
        <v>8</v>
      </c>
      <c r="C321" s="15">
        <v>21502.644456415899</v>
      </c>
    </row>
    <row r="322" spans="1:3" x14ac:dyDescent="0.25">
      <c r="A322" s="15">
        <v>2020</v>
      </c>
      <c r="B322" s="15">
        <v>9</v>
      </c>
      <c r="C322" s="15">
        <v>26069.143277151801</v>
      </c>
    </row>
    <row r="323" spans="1:3" x14ac:dyDescent="0.25">
      <c r="A323" s="15">
        <v>2020</v>
      </c>
      <c r="B323" s="15">
        <v>10</v>
      </c>
      <c r="C323" s="15">
        <v>24737.222853070201</v>
      </c>
    </row>
    <row r="324" spans="1:3" x14ac:dyDescent="0.25">
      <c r="A324" s="15">
        <v>2020</v>
      </c>
      <c r="B324" s="15">
        <v>11</v>
      </c>
      <c r="C324" s="15">
        <v>28834.444557452101</v>
      </c>
    </row>
    <row r="325" spans="1:3" x14ac:dyDescent="0.25">
      <c r="A325" s="15">
        <v>2020</v>
      </c>
      <c r="B325" s="15">
        <v>12</v>
      </c>
      <c r="C325" s="15">
        <v>35041.322011812699</v>
      </c>
    </row>
    <row r="326" spans="1:3" x14ac:dyDescent="0.25">
      <c r="A326" s="15">
        <v>2021</v>
      </c>
      <c r="B326" s="15">
        <v>1</v>
      </c>
      <c r="C326" s="15">
        <v>45779.509590075402</v>
      </c>
    </row>
    <row r="327" spans="1:3" x14ac:dyDescent="0.25">
      <c r="A327" s="15">
        <v>2021</v>
      </c>
      <c r="B327" s="15">
        <v>2</v>
      </c>
      <c r="C327" s="15">
        <v>23397.106982577701</v>
      </c>
    </row>
    <row r="328" spans="1:3" x14ac:dyDescent="0.25">
      <c r="A328" s="15">
        <v>2021</v>
      </c>
      <c r="B328" s="15">
        <v>3</v>
      </c>
      <c r="C328" s="15">
        <v>35647.048483687999</v>
      </c>
    </row>
    <row r="329" spans="1:3" x14ac:dyDescent="0.25">
      <c r="A329" s="15">
        <v>2021</v>
      </c>
      <c r="B329" s="15">
        <v>4</v>
      </c>
      <c r="C329" s="15">
        <v>27395.7538298125</v>
      </c>
    </row>
    <row r="330" spans="1:3" x14ac:dyDescent="0.25">
      <c r="A330" s="15">
        <v>2021</v>
      </c>
      <c r="B330" s="15">
        <v>5</v>
      </c>
      <c r="C330" s="15">
        <v>36179.302712362201</v>
      </c>
    </row>
    <row r="331" spans="1:3" x14ac:dyDescent="0.25">
      <c r="A331" s="15">
        <v>2021</v>
      </c>
      <c r="B331" s="15">
        <v>6</v>
      </c>
      <c r="C331" s="15">
        <v>38318.148320308697</v>
      </c>
    </row>
    <row r="332" spans="1:3" x14ac:dyDescent="0.25">
      <c r="A332" s="15">
        <v>2021</v>
      </c>
      <c r="B332" s="15">
        <v>7</v>
      </c>
      <c r="C332" s="15">
        <v>33357.983101080703</v>
      </c>
    </row>
    <row r="333" spans="1:3" x14ac:dyDescent="0.25">
      <c r="A333" s="15">
        <v>2021</v>
      </c>
      <c r="B333" s="15">
        <v>8</v>
      </c>
      <c r="C333" s="15">
        <v>32208.633106629099</v>
      </c>
    </row>
    <row r="334" spans="1:3" x14ac:dyDescent="0.25">
      <c r="A334" s="15">
        <v>2021</v>
      </c>
      <c r="B334" s="15">
        <v>9</v>
      </c>
      <c r="C334" s="15">
        <v>37243.993861369199</v>
      </c>
    </row>
    <row r="335" spans="1:3" x14ac:dyDescent="0.25">
      <c r="A335" s="15">
        <v>2021</v>
      </c>
      <c r="B335" s="15">
        <v>10</v>
      </c>
      <c r="C335" s="15">
        <v>38240.360536759297</v>
      </c>
    </row>
    <row r="336" spans="1:3" x14ac:dyDescent="0.25">
      <c r="A336" s="15">
        <v>2021</v>
      </c>
      <c r="B336" s="15">
        <v>11</v>
      </c>
      <c r="C336" s="15">
        <v>40318.990822532804</v>
      </c>
    </row>
    <row r="337" spans="1:3" x14ac:dyDescent="0.25">
      <c r="A337" s="15">
        <v>2021</v>
      </c>
      <c r="B337" s="15">
        <v>12</v>
      </c>
      <c r="C337" s="15">
        <v>44823.680637116697</v>
      </c>
    </row>
    <row r="338" spans="1:3" x14ac:dyDescent="0.25">
      <c r="A338" s="15">
        <v>2022</v>
      </c>
      <c r="B338" s="15">
        <v>1</v>
      </c>
      <c r="C338" s="15">
        <v>40396.911864763802</v>
      </c>
    </row>
    <row r="339" spans="1:3" x14ac:dyDescent="0.25">
      <c r="A339" s="15">
        <v>2022</v>
      </c>
      <c r="B339" s="15">
        <v>2</v>
      </c>
      <c r="C339" s="15">
        <v>39903.730498461497</v>
      </c>
    </row>
    <row r="340" spans="1:3" x14ac:dyDescent="0.25">
      <c r="A340" s="15">
        <v>2022</v>
      </c>
      <c r="B340" s="15">
        <v>3</v>
      </c>
      <c r="C340" s="15">
        <v>41278.072372971001</v>
      </c>
    </row>
    <row r="341" spans="1:3" x14ac:dyDescent="0.25">
      <c r="A341" s="15">
        <v>2022</v>
      </c>
      <c r="B341" s="15">
        <v>4</v>
      </c>
      <c r="C341" s="15">
        <v>43342.808522040999</v>
      </c>
    </row>
    <row r="342" spans="1:3" x14ac:dyDescent="0.25">
      <c r="A342" s="15">
        <v>2022</v>
      </c>
      <c r="B342" s="15">
        <v>5</v>
      </c>
      <c r="C342" s="15">
        <v>46808.658274670299</v>
      </c>
    </row>
    <row r="343" spans="1:3" x14ac:dyDescent="0.25">
      <c r="A343" s="15">
        <v>2022</v>
      </c>
      <c r="B343" s="15">
        <v>6</v>
      </c>
      <c r="C343" s="15">
        <v>46512.827965271397</v>
      </c>
    </row>
    <row r="344" spans="1:3" x14ac:dyDescent="0.25">
      <c r="A344" s="15">
        <v>2022</v>
      </c>
      <c r="B344" s="15">
        <v>7</v>
      </c>
      <c r="C344" s="15">
        <v>47226.003234461903</v>
      </c>
    </row>
    <row r="345" spans="1:3" x14ac:dyDescent="0.25">
      <c r="A345" s="15">
        <v>2022</v>
      </c>
      <c r="B345" s="15">
        <v>8</v>
      </c>
      <c r="C345" s="15">
        <v>46156.7023253355</v>
      </c>
    </row>
    <row r="346" spans="1:3" x14ac:dyDescent="0.25">
      <c r="A346" s="15">
        <v>2022</v>
      </c>
      <c r="B346" s="15">
        <v>9</v>
      </c>
      <c r="C346" s="15">
        <v>45453.322414605602</v>
      </c>
    </row>
    <row r="347" spans="1:3" x14ac:dyDescent="0.25">
      <c r="A347" s="15">
        <v>2022</v>
      </c>
      <c r="B347" s="15">
        <v>10</v>
      </c>
      <c r="C347" s="15">
        <v>49213.171926008799</v>
      </c>
    </row>
    <row r="348" spans="1:3" x14ac:dyDescent="0.25">
      <c r="A348" s="15">
        <v>2022</v>
      </c>
      <c r="B348" s="15">
        <v>11</v>
      </c>
      <c r="C348" s="15">
        <v>46520.584629569501</v>
      </c>
    </row>
    <row r="349" spans="1:3" x14ac:dyDescent="0.25">
      <c r="A349" s="15">
        <v>2022</v>
      </c>
      <c r="B349" s="15">
        <v>12</v>
      </c>
      <c r="C349" s="15">
        <v>43742.317023096803</v>
      </c>
    </row>
    <row r="350" spans="1:3" x14ac:dyDescent="0.25">
      <c r="A350" s="15">
        <v>2023</v>
      </c>
      <c r="B350" s="15">
        <v>1</v>
      </c>
      <c r="C350" s="15">
        <v>47532.885192162998</v>
      </c>
    </row>
    <row r="351" spans="1:3" x14ac:dyDescent="0.25">
      <c r="A351" s="15">
        <v>2023</v>
      </c>
      <c r="B351" s="15">
        <v>2</v>
      </c>
      <c r="C351" s="15">
        <v>49373.737497856797</v>
      </c>
    </row>
    <row r="352" spans="1:3" x14ac:dyDescent="0.25">
      <c r="A352" s="15">
        <v>2023</v>
      </c>
      <c r="B352" s="15">
        <v>3</v>
      </c>
      <c r="C352" s="15">
        <v>53967.714047084097</v>
      </c>
    </row>
    <row r="353" spans="1:3" x14ac:dyDescent="0.25">
      <c r="A353" s="15">
        <v>2023</v>
      </c>
      <c r="B353" s="15">
        <v>4</v>
      </c>
      <c r="C353" s="15">
        <v>55318.825694406703</v>
      </c>
    </row>
    <row r="354" spans="1:3" x14ac:dyDescent="0.25">
      <c r="A354" s="15">
        <v>2023</v>
      </c>
      <c r="B354" s="15">
        <v>5</v>
      </c>
      <c r="C354" s="15">
        <v>52545.531589262202</v>
      </c>
    </row>
    <row r="355" spans="1:3" x14ac:dyDescent="0.25">
      <c r="A355" s="15">
        <v>2023</v>
      </c>
      <c r="B355" s="15">
        <v>6</v>
      </c>
      <c r="C355" s="15">
        <v>51719.329043299003</v>
      </c>
    </row>
    <row r="356" spans="1:3" x14ac:dyDescent="0.25">
      <c r="A356" s="15">
        <v>2023</v>
      </c>
      <c r="B356" s="15">
        <v>7</v>
      </c>
      <c r="C356" s="15">
        <v>52279.642286163798</v>
      </c>
    </row>
    <row r="357" spans="1:3" x14ac:dyDescent="0.25">
      <c r="A357" s="15">
        <v>2023</v>
      </c>
      <c r="B357" s="15">
        <v>8</v>
      </c>
      <c r="C357" s="15">
        <v>55124.266009733503</v>
      </c>
    </row>
    <row r="358" spans="1:3" x14ac:dyDescent="0.25">
      <c r="A358" s="15">
        <v>2023</v>
      </c>
      <c r="B358" s="15">
        <v>9</v>
      </c>
      <c r="C358" s="15">
        <v>51287.791385762001</v>
      </c>
    </row>
    <row r="359" spans="1:3" x14ac:dyDescent="0.25">
      <c r="A359" s="15">
        <v>2023</v>
      </c>
      <c r="B359" s="15">
        <v>10</v>
      </c>
      <c r="C359" s="15">
        <v>46701.224466689797</v>
      </c>
    </row>
    <row r="360" spans="1:3" x14ac:dyDescent="0.25">
      <c r="A360" s="15">
        <v>2023</v>
      </c>
      <c r="B360" s="15">
        <v>11</v>
      </c>
      <c r="C360" s="15">
        <v>49374.074762144097</v>
      </c>
    </row>
    <row r="361" spans="1:3" x14ac:dyDescent="0.25">
      <c r="A361" s="15">
        <v>2023</v>
      </c>
      <c r="B361" s="15">
        <v>12</v>
      </c>
      <c r="C361" s="15">
        <v>45775.903236764301</v>
      </c>
    </row>
    <row r="362" spans="1:3" x14ac:dyDescent="0.25">
      <c r="A362" s="15">
        <v>2024</v>
      </c>
      <c r="B362" s="15">
        <v>1</v>
      </c>
      <c r="C362" s="15">
        <v>41217.250539424298</v>
      </c>
    </row>
    <row r="363" spans="1:3" x14ac:dyDescent="0.25">
      <c r="A363" s="15">
        <v>2024</v>
      </c>
      <c r="B363" s="15">
        <v>2</v>
      </c>
      <c r="C363" s="15">
        <v>43175.436668668102</v>
      </c>
    </row>
    <row r="364" spans="1:3" x14ac:dyDescent="0.25">
      <c r="A364" s="15">
        <v>2024</v>
      </c>
      <c r="B364" s="15">
        <v>3</v>
      </c>
      <c r="C364" s="15">
        <v>39491.501880080803</v>
      </c>
    </row>
    <row r="365" spans="1:3" x14ac:dyDescent="0.25">
      <c r="A365" s="15">
        <v>2024</v>
      </c>
      <c r="B365" s="15">
        <v>4</v>
      </c>
      <c r="C365" s="15">
        <v>40696.984476719299</v>
      </c>
    </row>
    <row r="366" spans="1:3" x14ac:dyDescent="0.25">
      <c r="A366" s="15">
        <v>2024</v>
      </c>
      <c r="B366" s="15">
        <v>5</v>
      </c>
      <c r="C366" s="15">
        <v>37837.602559702202</v>
      </c>
    </row>
    <row r="367" spans="1:3" x14ac:dyDescent="0.25">
      <c r="A367" s="15">
        <v>2024</v>
      </c>
      <c r="B367" s="15">
        <v>6</v>
      </c>
      <c r="C367" s="15">
        <v>33308.599434734198</v>
      </c>
    </row>
    <row r="368" spans="1:3" x14ac:dyDescent="0.25">
      <c r="A368" s="15">
        <v>2024</v>
      </c>
      <c r="B368" s="15">
        <v>7</v>
      </c>
      <c r="C368" s="15">
        <v>44613.893298065799</v>
      </c>
    </row>
    <row r="369" spans="1:3" x14ac:dyDescent="0.25">
      <c r="A369" s="15">
        <v>2024</v>
      </c>
      <c r="B369" s="15">
        <v>8</v>
      </c>
      <c r="C369" s="15">
        <v>44335.121716046</v>
      </c>
    </row>
    <row r="370" spans="1:3" x14ac:dyDescent="0.25">
      <c r="A370" s="15">
        <v>2024</v>
      </c>
      <c r="B370" s="15">
        <v>9</v>
      </c>
      <c r="C370" s="15">
        <v>43874.782458587899</v>
      </c>
    </row>
    <row r="371" spans="1:3" x14ac:dyDescent="0.25">
      <c r="A371" s="15">
        <v>2024</v>
      </c>
      <c r="B371" s="15">
        <v>10</v>
      </c>
      <c r="C371" s="15">
        <v>45263.636888029301</v>
      </c>
    </row>
    <row r="372" spans="1:3" x14ac:dyDescent="0.25">
      <c r="A372" s="15">
        <v>2024</v>
      </c>
      <c r="B372" s="15">
        <v>11</v>
      </c>
      <c r="C372" s="15">
        <v>48033.145725108501</v>
      </c>
    </row>
    <row r="373" spans="1:3" x14ac:dyDescent="0.25">
      <c r="A373" s="15">
        <v>2024</v>
      </c>
      <c r="B373" s="15">
        <v>12</v>
      </c>
      <c r="C373" s="15">
        <v>45785.487910578602</v>
      </c>
    </row>
    <row r="374" spans="1:3" x14ac:dyDescent="0.25">
      <c r="A374" s="15">
        <v>2025</v>
      </c>
      <c r="B374" s="15">
        <v>1</v>
      </c>
      <c r="C374" s="15">
        <v>48313.182604688103</v>
      </c>
    </row>
    <row r="375" spans="1:3" x14ac:dyDescent="0.25">
      <c r="A375" s="15">
        <v>2025</v>
      </c>
      <c r="B375" s="15">
        <v>2</v>
      </c>
      <c r="C375" s="15">
        <v>46227.546998545004</v>
      </c>
    </row>
    <row r="376" spans="1:3" x14ac:dyDescent="0.25">
      <c r="A376" s="15">
        <v>2025</v>
      </c>
      <c r="B376" s="15">
        <v>3</v>
      </c>
      <c r="C376" s="15">
        <v>38274.347987784997</v>
      </c>
    </row>
    <row r="377" spans="1:3" x14ac:dyDescent="0.25">
      <c r="A377" s="15">
        <v>2025</v>
      </c>
      <c r="B377" s="15">
        <v>4</v>
      </c>
      <c r="C377" s="15">
        <v>43225.0131451536</v>
      </c>
    </row>
    <row r="378" spans="1:3" x14ac:dyDescent="0.25">
      <c r="A378" s="15">
        <v>2025</v>
      </c>
      <c r="B378" s="15">
        <v>5</v>
      </c>
      <c r="C378" s="15">
        <v>49139.076781387797</v>
      </c>
    </row>
    <row r="379" spans="1:3" x14ac:dyDescent="0.25">
      <c r="A379" s="15">
        <v>2025</v>
      </c>
      <c r="B379" s="15">
        <v>6</v>
      </c>
      <c r="C379" s="15">
        <v>42784.813878321198</v>
      </c>
    </row>
    <row r="380" spans="1:3" x14ac:dyDescent="0.25">
      <c r="A380" s="15">
        <v>2025</v>
      </c>
      <c r="B380" s="15">
        <v>7</v>
      </c>
      <c r="C380" s="15">
        <v>37044.574808242804</v>
      </c>
    </row>
    <row r="381" spans="1:3" x14ac:dyDescent="0.25">
      <c r="A381" s="15">
        <v>2025</v>
      </c>
      <c r="B381" s="15">
        <v>8</v>
      </c>
      <c r="C381" s="15">
        <v>38471.158980840402</v>
      </c>
    </row>
    <row r="382" spans="1:3" x14ac:dyDescent="0.25">
      <c r="A382" s="15">
        <v>2025</v>
      </c>
      <c r="B382" s="15">
        <v>9</v>
      </c>
      <c r="C382" s="15">
        <v>39675.335626782296</v>
      </c>
    </row>
    <row r="383" spans="1:3" x14ac:dyDescent="0.25">
      <c r="A383" s="15">
        <v>2025</v>
      </c>
      <c r="B383" s="15">
        <v>10</v>
      </c>
      <c r="C383" s="15">
        <v>39912.820318105201</v>
      </c>
    </row>
    <row r="384" spans="1:3" x14ac:dyDescent="0.25">
      <c r="A384" s="15">
        <v>2025</v>
      </c>
      <c r="B384" s="15">
        <v>11</v>
      </c>
      <c r="C384" s="15">
        <v>33918.347897646803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6E38-0A61-47B9-9823-5211A9D56C0F}">
  <dimension ref="A1:C383"/>
  <sheetViews>
    <sheetView workbookViewId="0">
      <selection activeCell="C2" sqref="C2:C383"/>
    </sheetView>
  </sheetViews>
  <sheetFormatPr baseColWidth="10" defaultRowHeight="15" x14ac:dyDescent="0.25"/>
  <sheetData>
    <row r="1" spans="1:3" ht="42.75" x14ac:dyDescent="0.25">
      <c r="A1" s="14" t="s">
        <v>38</v>
      </c>
      <c r="B1" s="14" t="s">
        <v>34</v>
      </c>
      <c r="C1" s="14" t="s">
        <v>35</v>
      </c>
    </row>
    <row r="2" spans="1:3" x14ac:dyDescent="0.25">
      <c r="A2" s="15">
        <v>1994</v>
      </c>
      <c r="B2" s="15">
        <v>1</v>
      </c>
      <c r="C2" s="15">
        <v>54216.597693536904</v>
      </c>
    </row>
    <row r="3" spans="1:3" x14ac:dyDescent="0.25">
      <c r="A3" s="15">
        <v>1994</v>
      </c>
      <c r="B3" s="15">
        <v>2</v>
      </c>
      <c r="C3" s="15">
        <v>11306.9980402566</v>
      </c>
    </row>
    <row r="4" spans="1:3" x14ac:dyDescent="0.25">
      <c r="A4" s="15">
        <v>1994</v>
      </c>
      <c r="B4" s="15">
        <v>3</v>
      </c>
      <c r="C4" s="15">
        <v>27973.102015773002</v>
      </c>
    </row>
    <row r="5" spans="1:3" x14ac:dyDescent="0.25">
      <c r="A5" s="15">
        <v>1994</v>
      </c>
      <c r="B5" s="15">
        <v>4</v>
      </c>
      <c r="C5" s="15">
        <v>34626.030348576802</v>
      </c>
    </row>
    <row r="6" spans="1:3" x14ac:dyDescent="0.25">
      <c r="A6" s="15">
        <v>1994</v>
      </c>
      <c r="B6" s="15">
        <v>5</v>
      </c>
      <c r="C6" s="15">
        <v>29653.333541583201</v>
      </c>
    </row>
    <row r="7" spans="1:3" x14ac:dyDescent="0.25">
      <c r="A7" s="15">
        <v>1994</v>
      </c>
      <c r="B7" s="15">
        <v>6</v>
      </c>
      <c r="C7" s="15">
        <v>31583.654176371601</v>
      </c>
    </row>
    <row r="8" spans="1:3" x14ac:dyDescent="0.25">
      <c r="A8" s="15">
        <v>1994</v>
      </c>
      <c r="B8" s="15">
        <v>7</v>
      </c>
      <c r="C8" s="15">
        <v>32739.479985646802</v>
      </c>
    </row>
    <row r="9" spans="1:3" x14ac:dyDescent="0.25">
      <c r="A9" s="15">
        <v>1994</v>
      </c>
      <c r="B9" s="15">
        <v>8</v>
      </c>
      <c r="C9" s="15">
        <v>34570.3960104867</v>
      </c>
    </row>
    <row r="10" spans="1:3" x14ac:dyDescent="0.25">
      <c r="A10" s="15">
        <v>1994</v>
      </c>
      <c r="B10" s="15">
        <v>9</v>
      </c>
      <c r="C10" s="15">
        <v>35848.740645968399</v>
      </c>
    </row>
    <row r="11" spans="1:3" x14ac:dyDescent="0.25">
      <c r="A11" s="15">
        <v>1994</v>
      </c>
      <c r="B11" s="15">
        <v>10</v>
      </c>
      <c r="C11" s="15">
        <v>34198.627993741502</v>
      </c>
    </row>
    <row r="12" spans="1:3" x14ac:dyDescent="0.25">
      <c r="A12" s="15">
        <v>1994</v>
      </c>
      <c r="B12" s="15">
        <v>11</v>
      </c>
      <c r="C12" s="15">
        <v>33923.512031904102</v>
      </c>
    </row>
    <row r="13" spans="1:3" x14ac:dyDescent="0.25">
      <c r="A13" s="15">
        <v>1994</v>
      </c>
      <c r="B13" s="15">
        <v>12</v>
      </c>
      <c r="C13" s="15">
        <v>33001.652560674702</v>
      </c>
    </row>
    <row r="14" spans="1:3" x14ac:dyDescent="0.25">
      <c r="A14" s="15">
        <v>1995</v>
      </c>
      <c r="B14" s="15">
        <v>1</v>
      </c>
      <c r="C14" s="15">
        <v>27404.2437005795</v>
      </c>
    </row>
    <row r="15" spans="1:3" x14ac:dyDescent="0.25">
      <c r="A15" s="15">
        <v>1995</v>
      </c>
      <c r="B15" s="15">
        <v>2</v>
      </c>
      <c r="C15" s="15">
        <v>35661.997276358903</v>
      </c>
    </row>
    <row r="16" spans="1:3" x14ac:dyDescent="0.25">
      <c r="A16" s="15">
        <v>1995</v>
      </c>
      <c r="B16" s="15">
        <v>3</v>
      </c>
      <c r="C16" s="15">
        <v>30039.1133317608</v>
      </c>
    </row>
    <row r="17" spans="1:3" x14ac:dyDescent="0.25">
      <c r="A17" s="15">
        <v>1995</v>
      </c>
      <c r="B17" s="15">
        <v>4</v>
      </c>
      <c r="C17" s="15">
        <v>25531.706312184298</v>
      </c>
    </row>
    <row r="18" spans="1:3" x14ac:dyDescent="0.25">
      <c r="A18" s="15">
        <v>1995</v>
      </c>
      <c r="B18" s="15">
        <v>5</v>
      </c>
      <c r="C18" s="15">
        <v>25066.669597841999</v>
      </c>
    </row>
    <row r="19" spans="1:3" x14ac:dyDescent="0.25">
      <c r="A19" s="15">
        <v>1995</v>
      </c>
      <c r="B19" s="15">
        <v>6</v>
      </c>
      <c r="C19" s="15">
        <v>18986.3660256394</v>
      </c>
    </row>
    <row r="20" spans="1:3" x14ac:dyDescent="0.25">
      <c r="A20" s="15">
        <v>1995</v>
      </c>
      <c r="B20" s="15">
        <v>7</v>
      </c>
      <c r="C20" s="15">
        <v>19800.463722112701</v>
      </c>
    </row>
    <row r="21" spans="1:3" x14ac:dyDescent="0.25">
      <c r="A21" s="15">
        <v>1995</v>
      </c>
      <c r="B21" s="15">
        <v>8</v>
      </c>
      <c r="C21" s="15">
        <v>16739.723862850398</v>
      </c>
    </row>
    <row r="22" spans="1:3" x14ac:dyDescent="0.25">
      <c r="A22" s="15">
        <v>1995</v>
      </c>
      <c r="B22" s="15">
        <v>9</v>
      </c>
      <c r="C22" s="15">
        <v>16956.974083593199</v>
      </c>
    </row>
    <row r="23" spans="1:3" x14ac:dyDescent="0.25">
      <c r="A23" s="15">
        <v>1995</v>
      </c>
      <c r="B23" s="15">
        <v>10</v>
      </c>
      <c r="C23" s="15">
        <v>18045.064228216801</v>
      </c>
    </row>
    <row r="24" spans="1:3" x14ac:dyDescent="0.25">
      <c r="A24" s="15">
        <v>1995</v>
      </c>
      <c r="B24" s="15">
        <v>11</v>
      </c>
      <c r="C24" s="15">
        <v>18689.017553394799</v>
      </c>
    </row>
    <row r="25" spans="1:3" x14ac:dyDescent="0.25">
      <c r="A25" s="15">
        <v>1995</v>
      </c>
      <c r="B25" s="15">
        <v>12</v>
      </c>
      <c r="C25" s="15">
        <v>21964.700330047599</v>
      </c>
    </row>
    <row r="26" spans="1:3" x14ac:dyDescent="0.25">
      <c r="A26" s="15">
        <v>1996</v>
      </c>
      <c r="B26" s="15">
        <v>1</v>
      </c>
      <c r="C26" s="15">
        <v>21633.2308560403</v>
      </c>
    </row>
    <row r="27" spans="1:3" x14ac:dyDescent="0.25">
      <c r="A27" s="15">
        <v>1996</v>
      </c>
      <c r="B27" s="15">
        <v>2</v>
      </c>
      <c r="C27" s="15">
        <v>25151.450835192802</v>
      </c>
    </row>
    <row r="28" spans="1:3" x14ac:dyDescent="0.25">
      <c r="A28" s="15">
        <v>1996</v>
      </c>
      <c r="B28" s="15">
        <v>3</v>
      </c>
      <c r="C28" s="15">
        <v>23225.424699536801</v>
      </c>
    </row>
    <row r="29" spans="1:3" x14ac:dyDescent="0.25">
      <c r="A29" s="15">
        <v>1996</v>
      </c>
      <c r="B29" s="15">
        <v>4</v>
      </c>
      <c r="C29" s="15">
        <v>24420.266195226599</v>
      </c>
    </row>
    <row r="30" spans="1:3" x14ac:dyDescent="0.25">
      <c r="A30" s="15">
        <v>1996</v>
      </c>
      <c r="B30" s="15">
        <v>5</v>
      </c>
      <c r="C30" s="15">
        <v>24082.678128353498</v>
      </c>
    </row>
    <row r="31" spans="1:3" x14ac:dyDescent="0.25">
      <c r="A31" s="15">
        <v>1996</v>
      </c>
      <c r="B31" s="15">
        <v>6</v>
      </c>
      <c r="C31" s="15">
        <v>26144.777547559301</v>
      </c>
    </row>
    <row r="32" spans="1:3" x14ac:dyDescent="0.25">
      <c r="A32" s="15">
        <v>1996</v>
      </c>
      <c r="B32" s="15">
        <v>7</v>
      </c>
      <c r="C32" s="15">
        <v>25402.905648255099</v>
      </c>
    </row>
    <row r="33" spans="1:3" x14ac:dyDescent="0.25">
      <c r="A33" s="15">
        <v>1996</v>
      </c>
      <c r="B33" s="15">
        <v>8</v>
      </c>
      <c r="C33" s="15">
        <v>26715.086611594201</v>
      </c>
    </row>
    <row r="34" spans="1:3" x14ac:dyDescent="0.25">
      <c r="A34" s="15">
        <v>1996</v>
      </c>
      <c r="B34" s="15">
        <v>9</v>
      </c>
      <c r="C34" s="15">
        <v>23838.4821178315</v>
      </c>
    </row>
    <row r="35" spans="1:3" x14ac:dyDescent="0.25">
      <c r="A35" s="15">
        <v>1996</v>
      </c>
      <c r="B35" s="15">
        <v>10</v>
      </c>
      <c r="C35" s="15">
        <v>26308.609187869599</v>
      </c>
    </row>
    <row r="36" spans="1:3" x14ac:dyDescent="0.25">
      <c r="A36" s="15">
        <v>1996</v>
      </c>
      <c r="B36" s="15">
        <v>11</v>
      </c>
      <c r="C36" s="15">
        <v>28556.522069745301</v>
      </c>
    </row>
    <row r="37" spans="1:3" x14ac:dyDescent="0.25">
      <c r="A37" s="15">
        <v>1996</v>
      </c>
      <c r="B37" s="15">
        <v>12</v>
      </c>
      <c r="C37" s="15">
        <v>27776.5421733605</v>
      </c>
    </row>
    <row r="38" spans="1:3" x14ac:dyDescent="0.25">
      <c r="A38" s="15">
        <v>1997</v>
      </c>
      <c r="B38" s="15">
        <v>1</v>
      </c>
      <c r="C38" s="15">
        <v>30339.284153648401</v>
      </c>
    </row>
    <row r="39" spans="1:3" x14ac:dyDescent="0.25">
      <c r="A39" s="15">
        <v>1997</v>
      </c>
      <c r="B39" s="15">
        <v>2</v>
      </c>
      <c r="C39" s="15">
        <v>29769.828123450501</v>
      </c>
    </row>
    <row r="40" spans="1:3" x14ac:dyDescent="0.25">
      <c r="A40" s="15">
        <v>1997</v>
      </c>
      <c r="B40" s="15">
        <v>3</v>
      </c>
      <c r="C40" s="15">
        <v>31265.362897994601</v>
      </c>
    </row>
    <row r="41" spans="1:3" x14ac:dyDescent="0.25">
      <c r="A41" s="15">
        <v>1997</v>
      </c>
      <c r="B41" s="15">
        <v>4</v>
      </c>
      <c r="C41" s="15">
        <v>33420.545221339999</v>
      </c>
    </row>
    <row r="42" spans="1:3" x14ac:dyDescent="0.25">
      <c r="A42" s="15">
        <v>1997</v>
      </c>
      <c r="B42" s="15">
        <v>5</v>
      </c>
      <c r="C42" s="15">
        <v>34508.013711473701</v>
      </c>
    </row>
    <row r="43" spans="1:3" x14ac:dyDescent="0.25">
      <c r="A43" s="15">
        <v>1997</v>
      </c>
      <c r="B43" s="15">
        <v>6</v>
      </c>
      <c r="C43" s="15">
        <v>35492.724202801401</v>
      </c>
    </row>
    <row r="44" spans="1:3" x14ac:dyDescent="0.25">
      <c r="A44" s="15">
        <v>1997</v>
      </c>
      <c r="B44" s="15">
        <v>7</v>
      </c>
      <c r="C44" s="15">
        <v>37051.298466457803</v>
      </c>
    </row>
    <row r="45" spans="1:3" x14ac:dyDescent="0.25">
      <c r="A45" s="15">
        <v>1997</v>
      </c>
      <c r="B45" s="15">
        <v>8</v>
      </c>
      <c r="C45" s="15">
        <v>37546.790428329601</v>
      </c>
    </row>
    <row r="46" spans="1:3" x14ac:dyDescent="0.25">
      <c r="A46" s="15">
        <v>1997</v>
      </c>
      <c r="B46" s="15">
        <v>9</v>
      </c>
      <c r="C46" s="15">
        <v>39081.2669652685</v>
      </c>
    </row>
    <row r="47" spans="1:3" x14ac:dyDescent="0.25">
      <c r="A47" s="15">
        <v>1997</v>
      </c>
      <c r="B47" s="15">
        <v>10</v>
      </c>
      <c r="C47" s="15">
        <v>46843.757447926</v>
      </c>
    </row>
    <row r="48" spans="1:3" x14ac:dyDescent="0.25">
      <c r="A48" s="15">
        <v>1997</v>
      </c>
      <c r="B48" s="15">
        <v>11</v>
      </c>
      <c r="C48" s="15">
        <v>42624.146166403203</v>
      </c>
    </row>
    <row r="49" spans="1:3" x14ac:dyDescent="0.25">
      <c r="A49" s="15">
        <v>1997</v>
      </c>
      <c r="B49" s="15">
        <v>12</v>
      </c>
      <c r="C49" s="15">
        <v>26328.552122074801</v>
      </c>
    </row>
    <row r="50" spans="1:3" x14ac:dyDescent="0.25">
      <c r="A50" s="15">
        <v>1998</v>
      </c>
      <c r="B50" s="15">
        <v>1</v>
      </c>
      <c r="C50" s="15">
        <v>34639.7495076169</v>
      </c>
    </row>
    <row r="51" spans="1:3" x14ac:dyDescent="0.25">
      <c r="A51" s="15">
        <v>1998</v>
      </c>
      <c r="B51" s="15">
        <v>2</v>
      </c>
      <c r="C51" s="15">
        <v>37717.084622521499</v>
      </c>
    </row>
    <row r="52" spans="1:3" x14ac:dyDescent="0.25">
      <c r="A52" s="15">
        <v>1998</v>
      </c>
      <c r="B52" s="15">
        <v>3</v>
      </c>
      <c r="C52" s="15">
        <v>39220.193828532298</v>
      </c>
    </row>
    <row r="53" spans="1:3" x14ac:dyDescent="0.25">
      <c r="A53" s="15">
        <v>1998</v>
      </c>
      <c r="B53" s="15">
        <v>4</v>
      </c>
      <c r="C53" s="15">
        <v>40095.380967758698</v>
      </c>
    </row>
    <row r="54" spans="1:3" x14ac:dyDescent="0.25">
      <c r="A54" s="15">
        <v>1998</v>
      </c>
      <c r="B54" s="15">
        <v>5</v>
      </c>
      <c r="C54" s="15">
        <v>39615.859110262798</v>
      </c>
    </row>
    <row r="55" spans="1:3" x14ac:dyDescent="0.25">
      <c r="A55" s="15">
        <v>1998</v>
      </c>
      <c r="B55" s="15">
        <v>6</v>
      </c>
      <c r="C55" s="15">
        <v>41138.560571970098</v>
      </c>
    </row>
    <row r="56" spans="1:3" x14ac:dyDescent="0.25">
      <c r="A56" s="15">
        <v>1998</v>
      </c>
      <c r="B56" s="15">
        <v>7</v>
      </c>
      <c r="C56" s="15">
        <v>39154.631235277098</v>
      </c>
    </row>
    <row r="57" spans="1:3" x14ac:dyDescent="0.25">
      <c r="A57" s="15">
        <v>1998</v>
      </c>
      <c r="B57" s="15">
        <v>8</v>
      </c>
      <c r="C57" s="15">
        <v>44656.956507240902</v>
      </c>
    </row>
    <row r="58" spans="1:3" x14ac:dyDescent="0.25">
      <c r="A58" s="15">
        <v>1998</v>
      </c>
      <c r="B58" s="15">
        <v>9</v>
      </c>
      <c r="C58" s="15">
        <v>39495.9289956309</v>
      </c>
    </row>
    <row r="59" spans="1:3" x14ac:dyDescent="0.25">
      <c r="A59" s="15">
        <v>1998</v>
      </c>
      <c r="B59" s="15">
        <v>10</v>
      </c>
      <c r="C59" s="15">
        <v>34292.6310141711</v>
      </c>
    </row>
    <row r="60" spans="1:3" x14ac:dyDescent="0.25">
      <c r="A60" s="15">
        <v>1998</v>
      </c>
      <c r="B60" s="15">
        <v>11</v>
      </c>
      <c r="C60" s="15">
        <v>28978.049208062199</v>
      </c>
    </row>
    <row r="61" spans="1:3" x14ac:dyDescent="0.25">
      <c r="A61" s="15">
        <v>1998</v>
      </c>
      <c r="B61" s="15">
        <v>12</v>
      </c>
      <c r="C61" s="15">
        <v>15324.082146176401</v>
      </c>
    </row>
    <row r="62" spans="1:3" x14ac:dyDescent="0.25">
      <c r="A62" s="15">
        <v>1999</v>
      </c>
      <c r="B62" s="15">
        <v>1</v>
      </c>
      <c r="C62" s="15">
        <v>27650.554139384501</v>
      </c>
    </row>
    <row r="63" spans="1:3" x14ac:dyDescent="0.25">
      <c r="A63" s="15">
        <v>1999</v>
      </c>
      <c r="B63" s="15">
        <v>2</v>
      </c>
      <c r="C63" s="15">
        <v>20826.017748844301</v>
      </c>
    </row>
    <row r="64" spans="1:3" x14ac:dyDescent="0.25">
      <c r="A64" s="15">
        <v>1999</v>
      </c>
      <c r="B64" s="15">
        <v>3</v>
      </c>
      <c r="C64" s="15">
        <v>18026.287210255701</v>
      </c>
    </row>
    <row r="65" spans="1:3" x14ac:dyDescent="0.25">
      <c r="A65" s="15">
        <v>1999</v>
      </c>
      <c r="B65" s="15">
        <v>4</v>
      </c>
      <c r="C65" s="15">
        <v>18625.886552804499</v>
      </c>
    </row>
    <row r="66" spans="1:3" x14ac:dyDescent="0.25">
      <c r="A66" s="15">
        <v>1999</v>
      </c>
      <c r="B66" s="15">
        <v>5</v>
      </c>
      <c r="C66" s="15">
        <v>21844.530354976301</v>
      </c>
    </row>
    <row r="67" spans="1:3" x14ac:dyDescent="0.25">
      <c r="A67" s="15">
        <v>1999</v>
      </c>
      <c r="B67" s="15">
        <v>6</v>
      </c>
      <c r="C67" s="15">
        <v>21580.5140223788</v>
      </c>
    </row>
    <row r="68" spans="1:3" x14ac:dyDescent="0.25">
      <c r="A68" s="15">
        <v>1999</v>
      </c>
      <c r="B68" s="15">
        <v>7</v>
      </c>
      <c r="C68" s="15">
        <v>22435.003249952599</v>
      </c>
    </row>
    <row r="69" spans="1:3" x14ac:dyDescent="0.25">
      <c r="A69" s="15">
        <v>1999</v>
      </c>
      <c r="B69" s="15">
        <v>8</v>
      </c>
      <c r="C69" s="15">
        <v>25367.783785021002</v>
      </c>
    </row>
    <row r="70" spans="1:3" x14ac:dyDescent="0.25">
      <c r="A70" s="15">
        <v>1999</v>
      </c>
      <c r="B70" s="15">
        <v>9</v>
      </c>
      <c r="C70" s="15">
        <v>24270.502660942599</v>
      </c>
    </row>
    <row r="71" spans="1:3" x14ac:dyDescent="0.25">
      <c r="A71" s="15">
        <v>1999</v>
      </c>
      <c r="B71" s="15">
        <v>10</v>
      </c>
      <c r="C71" s="15">
        <v>28714.551475122102</v>
      </c>
    </row>
    <row r="72" spans="1:3" x14ac:dyDescent="0.25">
      <c r="A72" s="15">
        <v>1999</v>
      </c>
      <c r="B72" s="15">
        <v>11</v>
      </c>
      <c r="C72" s="15">
        <v>29337.3793964779</v>
      </c>
    </row>
    <row r="73" spans="1:3" x14ac:dyDescent="0.25">
      <c r="A73" s="15">
        <v>1999</v>
      </c>
      <c r="B73" s="15">
        <v>12</v>
      </c>
      <c r="C73" s="15">
        <v>32354.290721526599</v>
      </c>
    </row>
    <row r="74" spans="1:3" x14ac:dyDescent="0.25">
      <c r="A74" s="15">
        <v>2000</v>
      </c>
      <c r="B74" s="15">
        <v>1</v>
      </c>
      <c r="C74" s="15">
        <v>38050.332126253001</v>
      </c>
    </row>
    <row r="75" spans="1:3" x14ac:dyDescent="0.25">
      <c r="A75" s="15">
        <v>2000</v>
      </c>
      <c r="B75" s="15">
        <v>2</v>
      </c>
      <c r="C75" s="15">
        <v>27149.5888156949</v>
      </c>
    </row>
    <row r="76" spans="1:3" x14ac:dyDescent="0.25">
      <c r="A76" s="15">
        <v>2000</v>
      </c>
      <c r="B76" s="15">
        <v>3</v>
      </c>
      <c r="C76" s="15">
        <v>30642.712672121201</v>
      </c>
    </row>
    <row r="77" spans="1:3" x14ac:dyDescent="0.25">
      <c r="A77" s="15">
        <v>2000</v>
      </c>
      <c r="B77" s="15">
        <v>4</v>
      </c>
      <c r="C77" s="15">
        <v>28575.366940226701</v>
      </c>
    </row>
    <row r="78" spans="1:3" x14ac:dyDescent="0.25">
      <c r="A78" s="15">
        <v>2000</v>
      </c>
      <c r="B78" s="15">
        <v>5</v>
      </c>
      <c r="C78" s="15">
        <v>25302.837699614502</v>
      </c>
    </row>
    <row r="79" spans="1:3" x14ac:dyDescent="0.25">
      <c r="A79" s="15">
        <v>2000</v>
      </c>
      <c r="B79" s="15">
        <v>6</v>
      </c>
      <c r="C79" s="15">
        <v>24490.8561110353</v>
      </c>
    </row>
    <row r="80" spans="1:3" x14ac:dyDescent="0.25">
      <c r="A80" s="15">
        <v>2000</v>
      </c>
      <c r="B80" s="15">
        <v>7</v>
      </c>
      <c r="C80" s="15">
        <v>26304.411294920701</v>
      </c>
    </row>
    <row r="81" spans="1:3" x14ac:dyDescent="0.25">
      <c r="A81" s="15">
        <v>2000</v>
      </c>
      <c r="B81" s="15">
        <v>8</v>
      </c>
      <c r="C81" s="15">
        <v>24599.321516787299</v>
      </c>
    </row>
    <row r="82" spans="1:3" x14ac:dyDescent="0.25">
      <c r="A82" s="15">
        <v>2000</v>
      </c>
      <c r="B82" s="15">
        <v>9</v>
      </c>
      <c r="C82" s="15">
        <v>26534.425149191498</v>
      </c>
    </row>
    <row r="83" spans="1:3" x14ac:dyDescent="0.25">
      <c r="A83" s="15">
        <v>2000</v>
      </c>
      <c r="B83" s="15">
        <v>10</v>
      </c>
      <c r="C83" s="15">
        <v>25033.684362279499</v>
      </c>
    </row>
    <row r="84" spans="1:3" x14ac:dyDescent="0.25">
      <c r="A84" s="15">
        <v>2000</v>
      </c>
      <c r="B84" s="15">
        <v>11</v>
      </c>
      <c r="C84" s="15">
        <v>24984.285537337299</v>
      </c>
    </row>
    <row r="85" spans="1:3" x14ac:dyDescent="0.25">
      <c r="A85" s="15">
        <v>2000</v>
      </c>
      <c r="B85" s="15">
        <v>12</v>
      </c>
      <c r="C85" s="15">
        <v>27604.494017500499</v>
      </c>
    </row>
    <row r="86" spans="1:3" x14ac:dyDescent="0.25">
      <c r="A86" s="15">
        <v>2001</v>
      </c>
      <c r="B86" s="15">
        <v>1</v>
      </c>
      <c r="C86" s="15">
        <v>24640.356095050502</v>
      </c>
    </row>
    <row r="87" spans="1:3" x14ac:dyDescent="0.25">
      <c r="A87" s="15">
        <v>2001</v>
      </c>
      <c r="B87" s="15">
        <v>2</v>
      </c>
      <c r="C87" s="15">
        <v>19339.4272644046</v>
      </c>
    </row>
    <row r="88" spans="1:3" x14ac:dyDescent="0.25">
      <c r="A88" s="15">
        <v>2001</v>
      </c>
      <c r="B88" s="15">
        <v>3</v>
      </c>
      <c r="C88" s="15">
        <v>23713.075561641901</v>
      </c>
    </row>
    <row r="89" spans="1:3" x14ac:dyDescent="0.25">
      <c r="A89" s="15">
        <v>2001</v>
      </c>
      <c r="B89" s="15">
        <v>4</v>
      </c>
      <c r="C89" s="15">
        <v>24360.309132439499</v>
      </c>
    </row>
    <row r="90" spans="1:3" x14ac:dyDescent="0.25">
      <c r="A90" s="15">
        <v>2001</v>
      </c>
      <c r="B90" s="15">
        <v>5</v>
      </c>
      <c r="C90" s="15">
        <v>23867.932754933499</v>
      </c>
    </row>
    <row r="91" spans="1:3" x14ac:dyDescent="0.25">
      <c r="A91" s="15">
        <v>2001</v>
      </c>
      <c r="B91" s="15">
        <v>6</v>
      </c>
      <c r="C91" s="15">
        <v>23033.239045094699</v>
      </c>
    </row>
    <row r="92" spans="1:3" x14ac:dyDescent="0.25">
      <c r="A92" s="15">
        <v>2001</v>
      </c>
      <c r="B92" s="15">
        <v>7</v>
      </c>
      <c r="C92" s="15">
        <v>20865.548921094702</v>
      </c>
    </row>
    <row r="93" spans="1:3" x14ac:dyDescent="0.25">
      <c r="A93" s="15">
        <v>2001</v>
      </c>
      <c r="B93" s="15">
        <v>8</v>
      </c>
      <c r="C93" s="15">
        <v>14039.566884846001</v>
      </c>
    </row>
    <row r="94" spans="1:3" x14ac:dyDescent="0.25">
      <c r="A94" s="15">
        <v>2001</v>
      </c>
      <c r="B94" s="15">
        <v>9</v>
      </c>
      <c r="C94" s="15">
        <v>15014.997514655</v>
      </c>
    </row>
    <row r="95" spans="1:3" x14ac:dyDescent="0.25">
      <c r="A95" s="15">
        <v>2001</v>
      </c>
      <c r="B95" s="15">
        <v>10</v>
      </c>
      <c r="C95" s="15">
        <v>13937.913128473499</v>
      </c>
    </row>
    <row r="96" spans="1:3" x14ac:dyDescent="0.25">
      <c r="A96" s="15">
        <v>2001</v>
      </c>
      <c r="B96" s="15">
        <v>11</v>
      </c>
      <c r="C96" s="15">
        <v>12793.7575620438</v>
      </c>
    </row>
    <row r="97" spans="1:3" x14ac:dyDescent="0.25">
      <c r="A97" s="15">
        <v>2001</v>
      </c>
      <c r="B97" s="15">
        <v>12</v>
      </c>
      <c r="C97" s="15">
        <v>11180.979957757299</v>
      </c>
    </row>
    <row r="98" spans="1:3" x14ac:dyDescent="0.25">
      <c r="A98" s="15">
        <v>2002</v>
      </c>
      <c r="B98" s="15">
        <v>1</v>
      </c>
      <c r="C98" s="15">
        <v>16729.179341670901</v>
      </c>
    </row>
    <row r="99" spans="1:3" x14ac:dyDescent="0.25">
      <c r="A99" s="15">
        <v>2002</v>
      </c>
      <c r="B99" s="15">
        <v>2</v>
      </c>
      <c r="C99" s="15">
        <v>11668.528160883099</v>
      </c>
    </row>
    <row r="100" spans="1:3" x14ac:dyDescent="0.25">
      <c r="A100" s="15">
        <v>2002</v>
      </c>
      <c r="B100" s="15">
        <v>3</v>
      </c>
      <c r="C100" s="15">
        <v>11621.3999087514</v>
      </c>
    </row>
    <row r="101" spans="1:3" x14ac:dyDescent="0.25">
      <c r="A101" s="15">
        <v>2002</v>
      </c>
      <c r="B101" s="15">
        <v>4</v>
      </c>
      <c r="C101" s="15">
        <v>13096.878372072801</v>
      </c>
    </row>
    <row r="102" spans="1:3" x14ac:dyDescent="0.25">
      <c r="A102" s="15">
        <v>2002</v>
      </c>
      <c r="B102" s="15">
        <v>5</v>
      </c>
      <c r="C102" s="15">
        <v>11216.73702504</v>
      </c>
    </row>
    <row r="103" spans="1:3" x14ac:dyDescent="0.25">
      <c r="A103" s="15">
        <v>2002</v>
      </c>
      <c r="B103" s="15">
        <v>6</v>
      </c>
      <c r="C103" s="15">
        <v>13189.8378665445</v>
      </c>
    </row>
    <row r="104" spans="1:3" x14ac:dyDescent="0.25">
      <c r="A104" s="15">
        <v>2002</v>
      </c>
      <c r="B104" s="15">
        <v>7</v>
      </c>
      <c r="C104" s="15">
        <v>12170.972486750999</v>
      </c>
    </row>
    <row r="105" spans="1:3" x14ac:dyDescent="0.25">
      <c r="A105" s="15">
        <v>2002</v>
      </c>
      <c r="B105" s="15">
        <v>8</v>
      </c>
      <c r="C105" s="15">
        <v>12303.743951341799</v>
      </c>
    </row>
    <row r="106" spans="1:3" x14ac:dyDescent="0.25">
      <c r="A106" s="15">
        <v>2002</v>
      </c>
      <c r="B106" s="15">
        <v>9</v>
      </c>
      <c r="C106" s="15">
        <v>12860.95720329</v>
      </c>
    </row>
    <row r="107" spans="1:3" x14ac:dyDescent="0.25">
      <c r="A107" s="15">
        <v>2002</v>
      </c>
      <c r="B107" s="15">
        <v>10</v>
      </c>
      <c r="C107" s="15">
        <v>11654.8519481248</v>
      </c>
    </row>
    <row r="108" spans="1:3" x14ac:dyDescent="0.25">
      <c r="A108" s="15">
        <v>2002</v>
      </c>
      <c r="B108" s="15">
        <v>11</v>
      </c>
      <c r="C108" s="15">
        <v>12120.768882014399</v>
      </c>
    </row>
    <row r="109" spans="1:3" x14ac:dyDescent="0.25">
      <c r="A109" s="15">
        <v>2002</v>
      </c>
      <c r="B109" s="15">
        <v>12</v>
      </c>
      <c r="C109" s="15">
        <v>13770.520253386299</v>
      </c>
    </row>
    <row r="110" spans="1:3" x14ac:dyDescent="0.25">
      <c r="A110" s="15">
        <v>2003</v>
      </c>
      <c r="B110" s="15">
        <v>1</v>
      </c>
      <c r="C110" s="15">
        <v>20951.6929883925</v>
      </c>
    </row>
    <row r="111" spans="1:3" x14ac:dyDescent="0.25">
      <c r="A111" s="15">
        <v>2003</v>
      </c>
      <c r="B111" s="15">
        <v>2</v>
      </c>
      <c r="C111" s="15">
        <v>13009.973194672701</v>
      </c>
    </row>
    <row r="112" spans="1:3" x14ac:dyDescent="0.25">
      <c r="A112" s="15">
        <v>2003</v>
      </c>
      <c r="B112" s="15">
        <v>3</v>
      </c>
      <c r="C112" s="15">
        <v>13486.7737318949</v>
      </c>
    </row>
    <row r="113" spans="1:3" x14ac:dyDescent="0.25">
      <c r="A113" s="15">
        <v>2003</v>
      </c>
      <c r="B113" s="15">
        <v>4</v>
      </c>
      <c r="C113" s="15">
        <v>11981.2087613075</v>
      </c>
    </row>
    <row r="114" spans="1:3" x14ac:dyDescent="0.25">
      <c r="A114" s="15">
        <v>2003</v>
      </c>
      <c r="B114" s="15">
        <v>5</v>
      </c>
      <c r="C114" s="15">
        <v>11867.066219877401</v>
      </c>
    </row>
    <row r="115" spans="1:3" x14ac:dyDescent="0.25">
      <c r="A115" s="15">
        <v>2003</v>
      </c>
      <c r="B115" s="15">
        <v>6</v>
      </c>
      <c r="C115" s="15">
        <v>11754.2266804302</v>
      </c>
    </row>
    <row r="116" spans="1:3" x14ac:dyDescent="0.25">
      <c r="A116" s="15">
        <v>2003</v>
      </c>
      <c r="B116" s="15">
        <v>7</v>
      </c>
      <c r="C116" s="15">
        <v>8676.3441702233795</v>
      </c>
    </row>
    <row r="117" spans="1:3" x14ac:dyDescent="0.25">
      <c r="A117" s="15">
        <v>2003</v>
      </c>
      <c r="B117" s="15">
        <v>8</v>
      </c>
      <c r="C117" s="15">
        <v>13713.7878473492</v>
      </c>
    </row>
    <row r="118" spans="1:3" x14ac:dyDescent="0.25">
      <c r="A118" s="15">
        <v>2003</v>
      </c>
      <c r="B118" s="15">
        <v>9</v>
      </c>
      <c r="C118" s="15">
        <v>11723.5515827125</v>
      </c>
    </row>
    <row r="119" spans="1:3" x14ac:dyDescent="0.25">
      <c r="A119" s="15">
        <v>2003</v>
      </c>
      <c r="B119" s="15">
        <v>10</v>
      </c>
      <c r="C119" s="15">
        <v>11770.9138241041</v>
      </c>
    </row>
    <row r="120" spans="1:3" x14ac:dyDescent="0.25">
      <c r="A120" s="15">
        <v>2003</v>
      </c>
      <c r="B120" s="15">
        <v>11</v>
      </c>
      <c r="C120" s="15">
        <v>15891.496870417701</v>
      </c>
    </row>
    <row r="121" spans="1:3" x14ac:dyDescent="0.25">
      <c r="A121" s="15">
        <v>2003</v>
      </c>
      <c r="B121" s="15">
        <v>12</v>
      </c>
      <c r="C121" s="15">
        <v>13854.5263929746</v>
      </c>
    </row>
    <row r="122" spans="1:3" x14ac:dyDescent="0.25">
      <c r="A122" s="15">
        <v>2004</v>
      </c>
      <c r="B122" s="15">
        <v>1</v>
      </c>
      <c r="C122" s="15">
        <v>26096.150604681901</v>
      </c>
    </row>
    <row r="123" spans="1:3" x14ac:dyDescent="0.25">
      <c r="A123" s="15">
        <v>2004</v>
      </c>
      <c r="B123" s="15">
        <v>2</v>
      </c>
      <c r="C123" s="15">
        <v>19776.126321686101</v>
      </c>
    </row>
    <row r="124" spans="1:3" x14ac:dyDescent="0.25">
      <c r="A124" s="15">
        <v>2004</v>
      </c>
      <c r="B124" s="15">
        <v>3</v>
      </c>
      <c r="C124" s="15">
        <v>17913.977276301801</v>
      </c>
    </row>
    <row r="125" spans="1:3" x14ac:dyDescent="0.25">
      <c r="A125" s="15">
        <v>2004</v>
      </c>
      <c r="B125" s="15">
        <v>4</v>
      </c>
      <c r="C125" s="15">
        <v>16764.455455196199</v>
      </c>
    </row>
    <row r="126" spans="1:3" x14ac:dyDescent="0.25">
      <c r="A126" s="15">
        <v>2004</v>
      </c>
      <c r="B126" s="15">
        <v>5</v>
      </c>
      <c r="C126" s="15">
        <v>20458.898338172101</v>
      </c>
    </row>
    <row r="127" spans="1:3" x14ac:dyDescent="0.25">
      <c r="A127" s="15">
        <v>2004</v>
      </c>
      <c r="B127" s="15">
        <v>6</v>
      </c>
      <c r="C127" s="15">
        <v>18670.120910973401</v>
      </c>
    </row>
    <row r="128" spans="1:3" x14ac:dyDescent="0.25">
      <c r="A128" s="15">
        <v>2004</v>
      </c>
      <c r="B128" s="15">
        <v>7</v>
      </c>
      <c r="C128" s="15">
        <v>18692.076599560802</v>
      </c>
    </row>
    <row r="129" spans="1:3" x14ac:dyDescent="0.25">
      <c r="A129" s="15">
        <v>2004</v>
      </c>
      <c r="B129" s="15">
        <v>8</v>
      </c>
      <c r="C129" s="15">
        <v>19445.5857780396</v>
      </c>
    </row>
    <row r="130" spans="1:3" x14ac:dyDescent="0.25">
      <c r="A130" s="15">
        <v>2004</v>
      </c>
      <c r="B130" s="15">
        <v>9</v>
      </c>
      <c r="C130" s="15">
        <v>20241.223364769899</v>
      </c>
    </row>
    <row r="131" spans="1:3" x14ac:dyDescent="0.25">
      <c r="A131" s="15">
        <v>2004</v>
      </c>
      <c r="B131" s="15">
        <v>10</v>
      </c>
      <c r="C131" s="15">
        <v>22420.826442887199</v>
      </c>
    </row>
    <row r="132" spans="1:3" x14ac:dyDescent="0.25">
      <c r="A132" s="15">
        <v>2004</v>
      </c>
      <c r="B132" s="15">
        <v>11</v>
      </c>
      <c r="C132" s="15">
        <v>20800.039257267199</v>
      </c>
    </row>
    <row r="133" spans="1:3" x14ac:dyDescent="0.25">
      <c r="A133" s="15">
        <v>2004</v>
      </c>
      <c r="B133" s="15">
        <v>12</v>
      </c>
      <c r="C133" s="15">
        <v>22607.266607478101</v>
      </c>
    </row>
    <row r="134" spans="1:3" x14ac:dyDescent="0.25">
      <c r="A134" s="15">
        <v>2005</v>
      </c>
      <c r="B134" s="15">
        <v>1</v>
      </c>
      <c r="C134" s="15">
        <v>37817.1537417207</v>
      </c>
    </row>
    <row r="135" spans="1:3" x14ac:dyDescent="0.25">
      <c r="A135" s="15">
        <v>2005</v>
      </c>
      <c r="B135" s="15">
        <v>2</v>
      </c>
      <c r="C135" s="15">
        <v>15443.0684569653</v>
      </c>
    </row>
    <row r="136" spans="1:3" x14ac:dyDescent="0.25">
      <c r="A136" s="15">
        <v>2005</v>
      </c>
      <c r="B136" s="15">
        <v>3</v>
      </c>
      <c r="C136" s="15">
        <v>23663.228576584999</v>
      </c>
    </row>
    <row r="137" spans="1:3" x14ac:dyDescent="0.25">
      <c r="A137" s="15">
        <v>2005</v>
      </c>
      <c r="B137" s="15">
        <v>4</v>
      </c>
      <c r="C137" s="15">
        <v>25569.2883766464</v>
      </c>
    </row>
    <row r="138" spans="1:3" x14ac:dyDescent="0.25">
      <c r="A138" s="15">
        <v>2005</v>
      </c>
      <c r="B138" s="15">
        <v>5</v>
      </c>
      <c r="C138" s="15">
        <v>24391.936732726299</v>
      </c>
    </row>
    <row r="139" spans="1:3" x14ac:dyDescent="0.25">
      <c r="A139" s="15">
        <v>2005</v>
      </c>
      <c r="B139" s="15">
        <v>6</v>
      </c>
      <c r="C139" s="15">
        <v>23135.4376335009</v>
      </c>
    </row>
    <row r="140" spans="1:3" x14ac:dyDescent="0.25">
      <c r="A140" s="15">
        <v>2005</v>
      </c>
      <c r="B140" s="15">
        <v>7</v>
      </c>
      <c r="C140" s="15">
        <v>26003.693156888199</v>
      </c>
    </row>
    <row r="141" spans="1:3" x14ac:dyDescent="0.25">
      <c r="A141" s="15">
        <v>2005</v>
      </c>
      <c r="B141" s="15">
        <v>8</v>
      </c>
      <c r="C141" s="15">
        <v>23270.696894425899</v>
      </c>
    </row>
    <row r="142" spans="1:3" x14ac:dyDescent="0.25">
      <c r="A142" s="15">
        <v>2005</v>
      </c>
      <c r="B142" s="15">
        <v>9</v>
      </c>
      <c r="C142" s="15">
        <v>22572.282859430601</v>
      </c>
    </row>
    <row r="143" spans="1:3" x14ac:dyDescent="0.25">
      <c r="A143" s="15">
        <v>2005</v>
      </c>
      <c r="B143" s="15">
        <v>10</v>
      </c>
      <c r="C143" s="15">
        <v>25986.176089265002</v>
      </c>
    </row>
    <row r="144" spans="1:3" x14ac:dyDescent="0.25">
      <c r="A144" s="15">
        <v>2005</v>
      </c>
      <c r="B144" s="15">
        <v>11</v>
      </c>
      <c r="C144" s="15">
        <v>26349.3620809516</v>
      </c>
    </row>
    <row r="145" spans="1:3" x14ac:dyDescent="0.25">
      <c r="A145" s="15">
        <v>2005</v>
      </c>
      <c r="B145" s="15">
        <v>12</v>
      </c>
      <c r="C145" s="15">
        <v>23778.609194184799</v>
      </c>
    </row>
    <row r="146" spans="1:3" x14ac:dyDescent="0.25">
      <c r="A146" s="15">
        <v>2006</v>
      </c>
      <c r="B146" s="15">
        <v>1</v>
      </c>
      <c r="C146" s="15">
        <v>27935.168865726399</v>
      </c>
    </row>
    <row r="147" spans="1:3" x14ac:dyDescent="0.25">
      <c r="A147" s="15">
        <v>2006</v>
      </c>
      <c r="B147" s="15">
        <v>2</v>
      </c>
      <c r="C147" s="15">
        <v>32099.0750847735</v>
      </c>
    </row>
    <row r="148" spans="1:3" x14ac:dyDescent="0.25">
      <c r="A148" s="15">
        <v>2006</v>
      </c>
      <c r="B148" s="15">
        <v>3</v>
      </c>
      <c r="C148" s="15">
        <v>30708.3667392436</v>
      </c>
    </row>
    <row r="149" spans="1:3" x14ac:dyDescent="0.25">
      <c r="A149" s="15">
        <v>2006</v>
      </c>
      <c r="B149" s="15">
        <v>4</v>
      </c>
      <c r="C149" s="15">
        <v>33190.756386011897</v>
      </c>
    </row>
    <row r="150" spans="1:3" x14ac:dyDescent="0.25">
      <c r="A150" s="15">
        <v>2006</v>
      </c>
      <c r="B150" s="15">
        <v>5</v>
      </c>
      <c r="C150" s="15">
        <v>27488.166238536502</v>
      </c>
    </row>
    <row r="151" spans="1:3" x14ac:dyDescent="0.25">
      <c r="A151" s="15">
        <v>2006</v>
      </c>
      <c r="B151" s="15">
        <v>6</v>
      </c>
      <c r="C151" s="15">
        <v>31943.456944728699</v>
      </c>
    </row>
    <row r="152" spans="1:3" x14ac:dyDescent="0.25">
      <c r="A152" s="15">
        <v>2006</v>
      </c>
      <c r="B152" s="15">
        <v>7</v>
      </c>
      <c r="C152" s="15">
        <v>35468.679593514003</v>
      </c>
    </row>
    <row r="153" spans="1:3" x14ac:dyDescent="0.25">
      <c r="A153" s="15">
        <v>2006</v>
      </c>
      <c r="B153" s="15">
        <v>8</v>
      </c>
      <c r="C153" s="15">
        <v>34272.962221114103</v>
      </c>
    </row>
    <row r="154" spans="1:3" x14ac:dyDescent="0.25">
      <c r="A154" s="15">
        <v>2006</v>
      </c>
      <c r="B154" s="15">
        <v>9</v>
      </c>
      <c r="C154" s="15">
        <v>37776.5035724064</v>
      </c>
    </row>
    <row r="155" spans="1:3" x14ac:dyDescent="0.25">
      <c r="A155" s="15">
        <v>2006</v>
      </c>
      <c r="B155" s="15">
        <v>10</v>
      </c>
      <c r="C155" s="15">
        <v>35779.077044762496</v>
      </c>
    </row>
    <row r="156" spans="1:3" x14ac:dyDescent="0.25">
      <c r="A156" s="15">
        <v>2006</v>
      </c>
      <c r="B156" s="15">
        <v>11</v>
      </c>
      <c r="C156" s="15">
        <v>39260.795402702803</v>
      </c>
    </row>
    <row r="157" spans="1:3" x14ac:dyDescent="0.25">
      <c r="A157" s="15">
        <v>2006</v>
      </c>
      <c r="B157" s="15">
        <v>12</v>
      </c>
      <c r="C157" s="15">
        <v>41655.555289012198</v>
      </c>
    </row>
    <row r="158" spans="1:3" x14ac:dyDescent="0.25">
      <c r="A158" s="15">
        <v>2007</v>
      </c>
      <c r="B158" s="15">
        <v>1</v>
      </c>
      <c r="C158" s="15">
        <v>31742.1748486293</v>
      </c>
    </row>
    <row r="159" spans="1:3" x14ac:dyDescent="0.25">
      <c r="A159" s="15">
        <v>2007</v>
      </c>
      <c r="B159" s="15">
        <v>2</v>
      </c>
      <c r="C159" s="15">
        <v>39980.055541915201</v>
      </c>
    </row>
    <row r="160" spans="1:3" x14ac:dyDescent="0.25">
      <c r="A160" s="15">
        <v>2007</v>
      </c>
      <c r="B160" s="15">
        <v>3</v>
      </c>
      <c r="C160" s="15">
        <v>43055.056295495502</v>
      </c>
    </row>
    <row r="161" spans="1:3" x14ac:dyDescent="0.25">
      <c r="A161" s="15">
        <v>2007</v>
      </c>
      <c r="B161" s="15">
        <v>4</v>
      </c>
      <c r="C161" s="15">
        <v>39572.6914144283</v>
      </c>
    </row>
    <row r="162" spans="1:3" x14ac:dyDescent="0.25">
      <c r="A162" s="15">
        <v>2007</v>
      </c>
      <c r="B162" s="15">
        <v>5</v>
      </c>
      <c r="C162" s="15">
        <v>40544.128334713998</v>
      </c>
    </row>
    <row r="163" spans="1:3" x14ac:dyDescent="0.25">
      <c r="A163" s="15">
        <v>2007</v>
      </c>
      <c r="B163" s="15">
        <v>6</v>
      </c>
      <c r="C163" s="15">
        <v>44578.520700138797</v>
      </c>
    </row>
    <row r="164" spans="1:3" x14ac:dyDescent="0.25">
      <c r="A164" s="15">
        <v>2007</v>
      </c>
      <c r="B164" s="15">
        <v>7</v>
      </c>
      <c r="C164" s="15">
        <v>39298.448406923097</v>
      </c>
    </row>
    <row r="165" spans="1:3" x14ac:dyDescent="0.25">
      <c r="A165" s="15">
        <v>2007</v>
      </c>
      <c r="B165" s="15">
        <v>8</v>
      </c>
      <c r="C165" s="15">
        <v>44075.1663812517</v>
      </c>
    </row>
    <row r="166" spans="1:3" x14ac:dyDescent="0.25">
      <c r="A166" s="15">
        <v>2007</v>
      </c>
      <c r="B166" s="15">
        <v>9</v>
      </c>
      <c r="C166" s="15">
        <v>42985.428721474796</v>
      </c>
    </row>
    <row r="167" spans="1:3" x14ac:dyDescent="0.25">
      <c r="A167" s="15">
        <v>2007</v>
      </c>
      <c r="B167" s="15">
        <v>10</v>
      </c>
      <c r="C167" s="15">
        <v>45157.861523153399</v>
      </c>
    </row>
    <row r="168" spans="1:3" x14ac:dyDescent="0.25">
      <c r="A168" s="15">
        <v>2007</v>
      </c>
      <c r="B168" s="15">
        <v>11</v>
      </c>
      <c r="C168" s="15">
        <v>48998.107560700402</v>
      </c>
    </row>
    <row r="169" spans="1:3" x14ac:dyDescent="0.25">
      <c r="A169" s="15">
        <v>2007</v>
      </c>
      <c r="B169" s="15">
        <v>12</v>
      </c>
      <c r="C169" s="15">
        <v>50616.625357900099</v>
      </c>
    </row>
    <row r="170" spans="1:3" x14ac:dyDescent="0.25">
      <c r="A170" s="15">
        <v>2008</v>
      </c>
      <c r="B170" s="15">
        <v>1</v>
      </c>
      <c r="C170" s="15">
        <v>56193.150359987201</v>
      </c>
    </row>
    <row r="171" spans="1:3" x14ac:dyDescent="0.25">
      <c r="A171" s="15">
        <v>2008</v>
      </c>
      <c r="B171" s="15">
        <v>2</v>
      </c>
      <c r="C171" s="15">
        <v>39809.243328710501</v>
      </c>
    </row>
    <row r="172" spans="1:3" x14ac:dyDescent="0.25">
      <c r="A172" s="15">
        <v>2008</v>
      </c>
      <c r="B172" s="15">
        <v>3</v>
      </c>
      <c r="C172" s="15">
        <v>48535.569557739698</v>
      </c>
    </row>
    <row r="173" spans="1:3" x14ac:dyDescent="0.25">
      <c r="A173" s="15">
        <v>2008</v>
      </c>
      <c r="B173" s="15">
        <v>4</v>
      </c>
      <c r="C173" s="15">
        <v>50608.652578907298</v>
      </c>
    </row>
    <row r="174" spans="1:3" x14ac:dyDescent="0.25">
      <c r="A174" s="15">
        <v>2008</v>
      </c>
      <c r="B174" s="15">
        <v>5</v>
      </c>
      <c r="C174" s="15">
        <v>50513.846853125797</v>
      </c>
    </row>
    <row r="175" spans="1:3" x14ac:dyDescent="0.25">
      <c r="A175" s="15">
        <v>2008</v>
      </c>
      <c r="B175" s="15">
        <v>6</v>
      </c>
      <c r="C175" s="15">
        <v>45946.579461687397</v>
      </c>
    </row>
    <row r="176" spans="1:3" x14ac:dyDescent="0.25">
      <c r="A176" s="15">
        <v>2008</v>
      </c>
      <c r="B176" s="15">
        <v>7</v>
      </c>
      <c r="C176" s="15">
        <v>55153.420380021998</v>
      </c>
    </row>
    <row r="177" spans="1:3" x14ac:dyDescent="0.25">
      <c r="A177" s="15">
        <v>2008</v>
      </c>
      <c r="B177" s="15">
        <v>8</v>
      </c>
      <c r="C177" s="15">
        <v>49871.853417699698</v>
      </c>
    </row>
    <row r="178" spans="1:3" x14ac:dyDescent="0.25">
      <c r="A178" s="15">
        <v>2008</v>
      </c>
      <c r="B178" s="15">
        <v>9</v>
      </c>
      <c r="C178" s="15">
        <v>50487.665951979601</v>
      </c>
    </row>
    <row r="179" spans="1:3" x14ac:dyDescent="0.25">
      <c r="A179" s="15">
        <v>2008</v>
      </c>
      <c r="B179" s="15">
        <v>10</v>
      </c>
      <c r="C179" s="15">
        <v>46952.279126494002</v>
      </c>
    </row>
    <row r="180" spans="1:3" x14ac:dyDescent="0.25">
      <c r="A180" s="15">
        <v>2008</v>
      </c>
      <c r="B180" s="15">
        <v>11</v>
      </c>
      <c r="C180" s="15">
        <v>35510.559898011998</v>
      </c>
    </row>
    <row r="181" spans="1:3" x14ac:dyDescent="0.25">
      <c r="A181" s="15">
        <v>2008</v>
      </c>
      <c r="B181" s="15">
        <v>12</v>
      </c>
      <c r="C181" s="15">
        <v>26847.8640689932</v>
      </c>
    </row>
    <row r="182" spans="1:3" x14ac:dyDescent="0.25">
      <c r="A182" s="15">
        <v>2009</v>
      </c>
      <c r="B182" s="15">
        <v>1</v>
      </c>
      <c r="C182" s="15">
        <v>37128.0010781729</v>
      </c>
    </row>
    <row r="183" spans="1:3" x14ac:dyDescent="0.25">
      <c r="A183" s="15">
        <v>2009</v>
      </c>
      <c r="B183" s="15">
        <v>2</v>
      </c>
      <c r="C183" s="15">
        <v>22605.4601283175</v>
      </c>
    </row>
    <row r="184" spans="1:3" x14ac:dyDescent="0.25">
      <c r="A184" s="15">
        <v>2009</v>
      </c>
      <c r="B184" s="15">
        <v>3</v>
      </c>
      <c r="C184" s="15">
        <v>38096.470336527003</v>
      </c>
    </row>
    <row r="185" spans="1:3" x14ac:dyDescent="0.25">
      <c r="A185" s="15">
        <v>2009</v>
      </c>
      <c r="B185" s="15">
        <v>4</v>
      </c>
      <c r="C185" s="15">
        <v>36962.140962193502</v>
      </c>
    </row>
    <row r="186" spans="1:3" x14ac:dyDescent="0.25">
      <c r="A186" s="15">
        <v>2009</v>
      </c>
      <c r="B186" s="15">
        <v>5</v>
      </c>
      <c r="C186" s="15">
        <v>41050.665032677898</v>
      </c>
    </row>
    <row r="187" spans="1:3" x14ac:dyDescent="0.25">
      <c r="A187" s="15">
        <v>2009</v>
      </c>
      <c r="B187" s="15">
        <v>6</v>
      </c>
      <c r="C187" s="15">
        <v>39687.731932208597</v>
      </c>
    </row>
    <row r="188" spans="1:3" x14ac:dyDescent="0.25">
      <c r="A188" s="15">
        <v>2009</v>
      </c>
      <c r="B188" s="15">
        <v>7</v>
      </c>
      <c r="C188" s="15">
        <v>43450.401907381602</v>
      </c>
    </row>
    <row r="189" spans="1:3" x14ac:dyDescent="0.25">
      <c r="A189" s="15">
        <v>2009</v>
      </c>
      <c r="B189" s="15">
        <v>8</v>
      </c>
      <c r="C189" s="15">
        <v>41247.171644109098</v>
      </c>
    </row>
    <row r="190" spans="1:3" x14ac:dyDescent="0.25">
      <c r="A190" s="15">
        <v>2009</v>
      </c>
      <c r="B190" s="15">
        <v>9</v>
      </c>
      <c r="C190" s="15">
        <v>44833.630684397598</v>
      </c>
    </row>
    <row r="191" spans="1:3" x14ac:dyDescent="0.25">
      <c r="A191" s="15">
        <v>2009</v>
      </c>
      <c r="B191" s="15">
        <v>10</v>
      </c>
      <c r="C191" s="15">
        <v>49200.806582018697</v>
      </c>
    </row>
    <row r="192" spans="1:3" x14ac:dyDescent="0.25">
      <c r="A192" s="15">
        <v>2009</v>
      </c>
      <c r="B192" s="15">
        <v>11</v>
      </c>
      <c r="C192" s="15">
        <v>49487.737410141403</v>
      </c>
    </row>
    <row r="193" spans="1:3" x14ac:dyDescent="0.25">
      <c r="A193" s="15">
        <v>2009</v>
      </c>
      <c r="B193" s="15">
        <v>12</v>
      </c>
      <c r="C193" s="15">
        <v>53629.658367325203</v>
      </c>
    </row>
    <row r="194" spans="1:3" x14ac:dyDescent="0.25">
      <c r="A194" s="15">
        <v>2010</v>
      </c>
      <c r="B194" s="15">
        <v>1</v>
      </c>
      <c r="C194" s="15">
        <v>52185.234655927597</v>
      </c>
    </row>
    <row r="195" spans="1:3" x14ac:dyDescent="0.25">
      <c r="A195" s="15">
        <v>2010</v>
      </c>
      <c r="B195" s="15">
        <v>2</v>
      </c>
      <c r="C195" s="15">
        <v>47775.309471900102</v>
      </c>
    </row>
    <row r="196" spans="1:3" x14ac:dyDescent="0.25">
      <c r="A196" s="15">
        <v>2010</v>
      </c>
      <c r="B196" s="15">
        <v>3</v>
      </c>
      <c r="C196" s="15">
        <v>49798.181804312102</v>
      </c>
    </row>
    <row r="197" spans="1:3" x14ac:dyDescent="0.25">
      <c r="A197" s="15">
        <v>2010</v>
      </c>
      <c r="B197" s="15">
        <v>4</v>
      </c>
      <c r="C197" s="15">
        <v>55609.857893097404</v>
      </c>
    </row>
    <row r="198" spans="1:3" x14ac:dyDescent="0.25">
      <c r="A198" s="15">
        <v>2010</v>
      </c>
      <c r="B198" s="15">
        <v>5</v>
      </c>
      <c r="C198" s="15">
        <v>56871.249263742</v>
      </c>
    </row>
    <row r="199" spans="1:3" x14ac:dyDescent="0.25">
      <c r="A199" s="15">
        <v>2010</v>
      </c>
      <c r="B199" s="15">
        <v>6</v>
      </c>
      <c r="C199" s="15">
        <v>58832.1549696402</v>
      </c>
    </row>
    <row r="200" spans="1:3" x14ac:dyDescent="0.25">
      <c r="A200" s="15">
        <v>2010</v>
      </c>
      <c r="B200" s="15">
        <v>7</v>
      </c>
      <c r="C200" s="15">
        <v>54887.520202136999</v>
      </c>
    </row>
    <row r="201" spans="1:3" x14ac:dyDescent="0.25">
      <c r="A201" s="15">
        <v>2010</v>
      </c>
      <c r="B201" s="15">
        <v>8</v>
      </c>
      <c r="C201" s="15">
        <v>62628.731815937099</v>
      </c>
    </row>
    <row r="202" spans="1:3" x14ac:dyDescent="0.25">
      <c r="A202" s="15">
        <v>2010</v>
      </c>
      <c r="B202" s="15">
        <v>9</v>
      </c>
      <c r="C202" s="15">
        <v>62748.619100261203</v>
      </c>
    </row>
    <row r="203" spans="1:3" x14ac:dyDescent="0.25">
      <c r="A203" s="15">
        <v>2010</v>
      </c>
      <c r="B203" s="15">
        <v>10</v>
      </c>
      <c r="C203" s="15">
        <v>59334.783627533601</v>
      </c>
    </row>
    <row r="204" spans="1:3" x14ac:dyDescent="0.25">
      <c r="A204" s="15">
        <v>2010</v>
      </c>
      <c r="B204" s="15">
        <v>11</v>
      </c>
      <c r="C204" s="15">
        <v>66685.396129642497</v>
      </c>
    </row>
    <row r="205" spans="1:3" x14ac:dyDescent="0.25">
      <c r="A205" s="15">
        <v>2010</v>
      </c>
      <c r="B205" s="15">
        <v>12</v>
      </c>
      <c r="C205" s="15">
        <v>68061.448952525403</v>
      </c>
    </row>
    <row r="206" spans="1:3" x14ac:dyDescent="0.25">
      <c r="A206" s="15">
        <v>2011</v>
      </c>
      <c r="B206" s="15">
        <v>1</v>
      </c>
      <c r="C206" s="15">
        <v>68531.457195532101</v>
      </c>
    </row>
    <row r="207" spans="1:3" x14ac:dyDescent="0.25">
      <c r="A207" s="15">
        <v>2011</v>
      </c>
      <c r="B207" s="15">
        <v>2</v>
      </c>
      <c r="C207" s="15">
        <v>48824.3730490089</v>
      </c>
    </row>
    <row r="208" spans="1:3" x14ac:dyDescent="0.25">
      <c r="A208" s="15">
        <v>2011</v>
      </c>
      <c r="B208" s="15">
        <v>3</v>
      </c>
      <c r="C208" s="15">
        <v>66299.613064956895</v>
      </c>
    </row>
    <row r="209" spans="1:3" x14ac:dyDescent="0.25">
      <c r="A209" s="15">
        <v>2011</v>
      </c>
      <c r="B209" s="15">
        <v>4</v>
      </c>
      <c r="C209" s="15">
        <v>72160.355509691304</v>
      </c>
    </row>
    <row r="210" spans="1:3" x14ac:dyDescent="0.25">
      <c r="A210" s="15">
        <v>2011</v>
      </c>
      <c r="B210" s="15">
        <v>5</v>
      </c>
      <c r="C210" s="15">
        <v>74783.701084564294</v>
      </c>
    </row>
    <row r="211" spans="1:3" x14ac:dyDescent="0.25">
      <c r="A211" s="15">
        <v>2011</v>
      </c>
      <c r="B211" s="15">
        <v>6</v>
      </c>
      <c r="C211" s="15">
        <v>74444.635057569103</v>
      </c>
    </row>
    <row r="212" spans="1:3" x14ac:dyDescent="0.25">
      <c r="A212" s="15">
        <v>2011</v>
      </c>
      <c r="B212" s="15">
        <v>7</v>
      </c>
      <c r="C212" s="15">
        <v>69425.297719863403</v>
      </c>
    </row>
    <row r="213" spans="1:3" x14ac:dyDescent="0.25">
      <c r="A213" s="15">
        <v>2011</v>
      </c>
      <c r="B213" s="15">
        <v>8</v>
      </c>
      <c r="C213" s="15">
        <v>73345.8102368994</v>
      </c>
    </row>
    <row r="214" spans="1:3" x14ac:dyDescent="0.25">
      <c r="A214" s="15">
        <v>2011</v>
      </c>
      <c r="B214" s="15">
        <v>9</v>
      </c>
      <c r="C214" s="15">
        <v>69218.761209018296</v>
      </c>
    </row>
    <row r="215" spans="1:3" x14ac:dyDescent="0.25">
      <c r="A215" s="15">
        <v>2011</v>
      </c>
      <c r="B215" s="15">
        <v>10</v>
      </c>
      <c r="C215" s="15">
        <v>65767.7773248921</v>
      </c>
    </row>
    <row r="216" spans="1:3" x14ac:dyDescent="0.25">
      <c r="A216" s="15">
        <v>2011</v>
      </c>
      <c r="B216" s="15">
        <v>11</v>
      </c>
      <c r="C216" s="15">
        <v>65674.238270807502</v>
      </c>
    </row>
    <row r="217" spans="1:3" x14ac:dyDescent="0.25">
      <c r="A217" s="15">
        <v>2011</v>
      </c>
      <c r="B217" s="15">
        <v>12</v>
      </c>
      <c r="C217" s="15">
        <v>57673.272826225402</v>
      </c>
    </row>
    <row r="218" spans="1:3" x14ac:dyDescent="0.25">
      <c r="A218" s="15">
        <v>2012</v>
      </c>
      <c r="B218" s="15">
        <v>1</v>
      </c>
      <c r="C218" s="15">
        <v>63084.053488030797</v>
      </c>
    </row>
    <row r="219" spans="1:3" x14ac:dyDescent="0.25">
      <c r="A219" s="15">
        <v>2012</v>
      </c>
      <c r="B219" s="15">
        <v>2</v>
      </c>
      <c r="C219" s="15">
        <v>62488.361428121199</v>
      </c>
    </row>
    <row r="220" spans="1:3" x14ac:dyDescent="0.25">
      <c r="A220" s="15">
        <v>2012</v>
      </c>
      <c r="B220" s="15">
        <v>3</v>
      </c>
      <c r="C220" s="15">
        <v>63929.226532550601</v>
      </c>
    </row>
    <row r="221" spans="1:3" x14ac:dyDescent="0.25">
      <c r="A221" s="15">
        <v>2012</v>
      </c>
      <c r="B221" s="15">
        <v>4</v>
      </c>
      <c r="C221" s="15">
        <v>54282.999060171402</v>
      </c>
    </row>
    <row r="222" spans="1:3" x14ac:dyDescent="0.25">
      <c r="A222" s="15">
        <v>2012</v>
      </c>
      <c r="B222" s="15">
        <v>5</v>
      </c>
      <c r="C222" s="15">
        <v>53954.176666183899</v>
      </c>
    </row>
    <row r="223" spans="1:3" x14ac:dyDescent="0.25">
      <c r="A223" s="15">
        <v>2012</v>
      </c>
      <c r="B223" s="15">
        <v>6</v>
      </c>
      <c r="C223" s="15">
        <v>48415.660774495802</v>
      </c>
    </row>
    <row r="224" spans="1:3" x14ac:dyDescent="0.25">
      <c r="A224" s="15">
        <v>2012</v>
      </c>
      <c r="B224" s="15">
        <v>7</v>
      </c>
      <c r="C224" s="15">
        <v>63527.112120878301</v>
      </c>
    </row>
    <row r="225" spans="1:3" x14ac:dyDescent="0.25">
      <c r="A225" s="15">
        <v>2012</v>
      </c>
      <c r="B225" s="15">
        <v>8</v>
      </c>
      <c r="C225" s="15">
        <v>69585.263175608896</v>
      </c>
    </row>
    <row r="226" spans="1:3" x14ac:dyDescent="0.25">
      <c r="A226" s="15">
        <v>2012</v>
      </c>
      <c r="B226" s="15">
        <v>9</v>
      </c>
      <c r="C226" s="15">
        <v>61291.581807095303</v>
      </c>
    </row>
    <row r="227" spans="1:3" x14ac:dyDescent="0.25">
      <c r="A227" s="15">
        <v>2012</v>
      </c>
      <c r="B227" s="15">
        <v>10</v>
      </c>
      <c r="C227" s="15">
        <v>68186.826198609095</v>
      </c>
    </row>
    <row r="228" spans="1:3" x14ac:dyDescent="0.25">
      <c r="A228" s="15">
        <v>2012</v>
      </c>
      <c r="B228" s="15">
        <v>11</v>
      </c>
      <c r="C228" s="15">
        <v>68926.175812771806</v>
      </c>
    </row>
    <row r="229" spans="1:3" x14ac:dyDescent="0.25">
      <c r="A229" s="15">
        <v>2012</v>
      </c>
      <c r="B229" s="15">
        <v>12</v>
      </c>
      <c r="C229" s="15">
        <v>69690.738541401297</v>
      </c>
    </row>
    <row r="230" spans="1:3" x14ac:dyDescent="0.25">
      <c r="A230" s="15">
        <v>2013</v>
      </c>
      <c r="B230" s="15">
        <v>1</v>
      </c>
      <c r="C230" s="15">
        <v>64175.4706824729</v>
      </c>
    </row>
    <row r="231" spans="1:3" x14ac:dyDescent="0.25">
      <c r="A231" s="15">
        <v>2013</v>
      </c>
      <c r="B231" s="15">
        <v>2</v>
      </c>
      <c r="C231" s="15">
        <v>57112.501718301901</v>
      </c>
    </row>
    <row r="232" spans="1:3" x14ac:dyDescent="0.25">
      <c r="A232" s="15">
        <v>2013</v>
      </c>
      <c r="B232" s="15">
        <v>3</v>
      </c>
      <c r="C232" s="15">
        <v>74121.245978785504</v>
      </c>
    </row>
    <row r="233" spans="1:3" x14ac:dyDescent="0.25">
      <c r="A233" s="15">
        <v>2013</v>
      </c>
      <c r="B233" s="15">
        <v>4</v>
      </c>
      <c r="C233" s="15">
        <v>71626.424059546698</v>
      </c>
    </row>
    <row r="234" spans="1:3" x14ac:dyDescent="0.25">
      <c r="A234" s="15">
        <v>2013</v>
      </c>
      <c r="B234" s="15">
        <v>5</v>
      </c>
      <c r="C234" s="15">
        <v>73696.783199865604</v>
      </c>
    </row>
    <row r="235" spans="1:3" x14ac:dyDescent="0.25">
      <c r="A235" s="15">
        <v>2013</v>
      </c>
      <c r="B235" s="15">
        <v>6</v>
      </c>
      <c r="C235" s="15">
        <v>59711.631532881001</v>
      </c>
    </row>
    <row r="236" spans="1:3" x14ac:dyDescent="0.25">
      <c r="A236" s="15">
        <v>2013</v>
      </c>
      <c r="B236" s="15">
        <v>7</v>
      </c>
      <c r="C236" s="15">
        <v>67940.191397109302</v>
      </c>
    </row>
    <row r="237" spans="1:3" x14ac:dyDescent="0.25">
      <c r="A237" s="15">
        <v>2013</v>
      </c>
      <c r="B237" s="15">
        <v>8</v>
      </c>
      <c r="C237" s="15">
        <v>61955.769036925703</v>
      </c>
    </row>
    <row r="238" spans="1:3" x14ac:dyDescent="0.25">
      <c r="A238" s="15">
        <v>2013</v>
      </c>
      <c r="B238" s="15">
        <v>9</v>
      </c>
      <c r="C238" s="15">
        <v>62968.152474561197</v>
      </c>
    </row>
    <row r="239" spans="1:3" x14ac:dyDescent="0.25">
      <c r="A239" s="15">
        <v>2013</v>
      </c>
      <c r="B239" s="15">
        <v>10</v>
      </c>
      <c r="C239" s="15">
        <v>64144.378250080001</v>
      </c>
    </row>
    <row r="240" spans="1:3" x14ac:dyDescent="0.25">
      <c r="A240" s="15">
        <v>2013</v>
      </c>
      <c r="B240" s="15">
        <v>11</v>
      </c>
      <c r="C240" s="15">
        <v>54609.842755126301</v>
      </c>
    </row>
    <row r="241" spans="1:3" x14ac:dyDescent="0.25">
      <c r="A241" s="15">
        <v>2013</v>
      </c>
      <c r="B241" s="15">
        <v>12</v>
      </c>
      <c r="C241" s="15">
        <v>52585.1036315737</v>
      </c>
    </row>
    <row r="242" spans="1:3" x14ac:dyDescent="0.25">
      <c r="A242" s="15">
        <v>2014</v>
      </c>
      <c r="B242" s="15">
        <v>1</v>
      </c>
      <c r="C242" s="15">
        <v>56254.558081798699</v>
      </c>
    </row>
    <row r="243" spans="1:3" x14ac:dyDescent="0.25">
      <c r="A243" s="15">
        <v>2014</v>
      </c>
      <c r="B243" s="15">
        <v>2</v>
      </c>
      <c r="C243" s="15">
        <v>55416.810481421497</v>
      </c>
    </row>
    <row r="244" spans="1:3" x14ac:dyDescent="0.25">
      <c r="A244" s="15">
        <v>2014</v>
      </c>
      <c r="B244" s="15">
        <v>3</v>
      </c>
      <c r="C244" s="15">
        <v>52972.537928794402</v>
      </c>
    </row>
    <row r="245" spans="1:3" x14ac:dyDescent="0.25">
      <c r="A245" s="15">
        <v>2014</v>
      </c>
      <c r="B245" s="15">
        <v>4</v>
      </c>
      <c r="C245" s="15">
        <v>54942.9150742774</v>
      </c>
    </row>
    <row r="246" spans="1:3" x14ac:dyDescent="0.25">
      <c r="A246" s="15">
        <v>2014</v>
      </c>
      <c r="B246" s="15">
        <v>5</v>
      </c>
      <c r="C246" s="15">
        <v>47344.2198207443</v>
      </c>
    </row>
    <row r="247" spans="1:3" x14ac:dyDescent="0.25">
      <c r="A247" s="15">
        <v>2014</v>
      </c>
      <c r="B247" s="15">
        <v>6</v>
      </c>
      <c r="C247" s="15">
        <v>45959.358563922397</v>
      </c>
    </row>
    <row r="248" spans="1:3" x14ac:dyDescent="0.25">
      <c r="A248" s="15">
        <v>2014</v>
      </c>
      <c r="B248" s="15">
        <v>7</v>
      </c>
      <c r="C248" s="15">
        <v>45779.975184204399</v>
      </c>
    </row>
    <row r="249" spans="1:3" x14ac:dyDescent="0.25">
      <c r="A249" s="15">
        <v>2014</v>
      </c>
      <c r="B249" s="15">
        <v>8</v>
      </c>
      <c r="C249" s="15">
        <v>41824.399217536004</v>
      </c>
    </row>
    <row r="250" spans="1:3" x14ac:dyDescent="0.25">
      <c r="A250" s="15">
        <v>2014</v>
      </c>
      <c r="B250" s="15">
        <v>9</v>
      </c>
      <c r="C250" s="15">
        <v>48498.892408512103</v>
      </c>
    </row>
    <row r="251" spans="1:3" x14ac:dyDescent="0.25">
      <c r="A251" s="15">
        <v>2014</v>
      </c>
      <c r="B251" s="15">
        <v>10</v>
      </c>
      <c r="C251" s="15">
        <v>50520.908240995901</v>
      </c>
    </row>
    <row r="252" spans="1:3" x14ac:dyDescent="0.25">
      <c r="A252" s="15">
        <v>2014</v>
      </c>
      <c r="B252" s="15">
        <v>11</v>
      </c>
      <c r="C252" s="15">
        <v>49574.649265902</v>
      </c>
    </row>
    <row r="253" spans="1:3" x14ac:dyDescent="0.25">
      <c r="A253" s="15">
        <v>2014</v>
      </c>
      <c r="B253" s="15">
        <v>12</v>
      </c>
      <c r="C253" s="15">
        <v>48105.973747596501</v>
      </c>
    </row>
    <row r="254" spans="1:3" x14ac:dyDescent="0.25">
      <c r="A254" s="15">
        <v>2015</v>
      </c>
      <c r="B254" s="15">
        <v>1</v>
      </c>
      <c r="C254" s="15">
        <v>47073.3061383534</v>
      </c>
    </row>
    <row r="255" spans="1:3" x14ac:dyDescent="0.25">
      <c r="A255" s="15">
        <v>2015</v>
      </c>
      <c r="B255" s="15">
        <v>2</v>
      </c>
      <c r="C255" s="15">
        <v>47970.667537396701</v>
      </c>
    </row>
    <row r="256" spans="1:3" x14ac:dyDescent="0.25">
      <c r="A256" s="15">
        <v>2015</v>
      </c>
      <c r="B256" s="15">
        <v>3</v>
      </c>
      <c r="C256" s="15">
        <v>45574.772506955502</v>
      </c>
    </row>
    <row r="257" spans="1:3" x14ac:dyDescent="0.25">
      <c r="A257" s="15">
        <v>2015</v>
      </c>
      <c r="B257" s="15">
        <v>4</v>
      </c>
      <c r="C257" s="15">
        <v>41574.194212750801</v>
      </c>
    </row>
    <row r="258" spans="1:3" x14ac:dyDescent="0.25">
      <c r="A258" s="15">
        <v>2015</v>
      </c>
      <c r="B258" s="15">
        <v>5</v>
      </c>
      <c r="C258" s="15">
        <v>43796.454425498203</v>
      </c>
    </row>
    <row r="259" spans="1:3" x14ac:dyDescent="0.25">
      <c r="A259" s="15">
        <v>2015</v>
      </c>
      <c r="B259" s="15">
        <v>6</v>
      </c>
      <c r="C259" s="15">
        <v>47744.157540592998</v>
      </c>
    </row>
    <row r="260" spans="1:3" x14ac:dyDescent="0.25">
      <c r="A260" s="15">
        <v>2015</v>
      </c>
      <c r="B260" s="15">
        <v>7</v>
      </c>
      <c r="C260" s="15">
        <v>42073.458972491302</v>
      </c>
    </row>
    <row r="261" spans="1:3" x14ac:dyDescent="0.25">
      <c r="A261" s="15">
        <v>2015</v>
      </c>
      <c r="B261" s="15">
        <v>8</v>
      </c>
      <c r="C261" s="15">
        <v>45236.930870884098</v>
      </c>
    </row>
    <row r="262" spans="1:3" x14ac:dyDescent="0.25">
      <c r="A262" s="15">
        <v>2015</v>
      </c>
      <c r="B262" s="15">
        <v>9</v>
      </c>
      <c r="C262" s="15">
        <v>45564.438766577601</v>
      </c>
    </row>
    <row r="263" spans="1:3" x14ac:dyDescent="0.25">
      <c r="A263" s="15">
        <v>2015</v>
      </c>
      <c r="B263" s="15">
        <v>10</v>
      </c>
      <c r="C263" s="15">
        <v>39425.422317767603</v>
      </c>
    </row>
    <row r="264" spans="1:3" x14ac:dyDescent="0.25">
      <c r="A264" s="15">
        <v>2015</v>
      </c>
      <c r="B264" s="15">
        <v>11</v>
      </c>
      <c r="C264" s="15">
        <v>40923.514724343397</v>
      </c>
    </row>
    <row r="265" spans="1:3" x14ac:dyDescent="0.25">
      <c r="A265" s="15">
        <v>2015</v>
      </c>
      <c r="B265" s="15">
        <v>12</v>
      </c>
      <c r="C265" s="15">
        <v>39707.677405915099</v>
      </c>
    </row>
    <row r="266" spans="1:3" x14ac:dyDescent="0.25">
      <c r="A266" s="15">
        <v>2016</v>
      </c>
      <c r="B266" s="15">
        <v>1</v>
      </c>
      <c r="C266" s="15">
        <v>40477.768335903304</v>
      </c>
    </row>
    <row r="267" spans="1:3" x14ac:dyDescent="0.25">
      <c r="A267" s="15">
        <v>2016</v>
      </c>
      <c r="B267" s="15">
        <v>2</v>
      </c>
      <c r="C267" s="15">
        <v>38727.318854241399</v>
      </c>
    </row>
    <row r="268" spans="1:3" x14ac:dyDescent="0.25">
      <c r="A268" s="15">
        <v>2016</v>
      </c>
      <c r="B268" s="15">
        <v>3</v>
      </c>
      <c r="C268" s="15">
        <v>40369.828092214397</v>
      </c>
    </row>
    <row r="269" spans="1:3" x14ac:dyDescent="0.25">
      <c r="A269" s="15">
        <v>2016</v>
      </c>
      <c r="B269" s="15">
        <v>4</v>
      </c>
      <c r="C269" s="15">
        <v>42536.789405089701</v>
      </c>
    </row>
    <row r="270" spans="1:3" x14ac:dyDescent="0.25">
      <c r="A270" s="15">
        <v>2016</v>
      </c>
      <c r="B270" s="15">
        <v>5</v>
      </c>
      <c r="C270" s="15">
        <v>37612.627073201402</v>
      </c>
    </row>
    <row r="271" spans="1:3" x14ac:dyDescent="0.25">
      <c r="A271" s="15">
        <v>2016</v>
      </c>
      <c r="B271" s="15">
        <v>6</v>
      </c>
      <c r="C271" s="15">
        <v>37666.679931003899</v>
      </c>
    </row>
    <row r="272" spans="1:3" x14ac:dyDescent="0.25">
      <c r="A272" s="15">
        <v>2016</v>
      </c>
      <c r="B272" s="15">
        <v>7</v>
      </c>
      <c r="C272" s="15">
        <v>39779.0372986125</v>
      </c>
    </row>
    <row r="273" spans="1:3" x14ac:dyDescent="0.25">
      <c r="A273" s="15">
        <v>2016</v>
      </c>
      <c r="B273" s="15">
        <v>8</v>
      </c>
      <c r="C273" s="15">
        <v>37727.927884344703</v>
      </c>
    </row>
    <row r="274" spans="1:3" x14ac:dyDescent="0.25">
      <c r="A274" s="15">
        <v>2016</v>
      </c>
      <c r="B274" s="15">
        <v>9</v>
      </c>
      <c r="C274" s="15">
        <v>35650.113272139199</v>
      </c>
    </row>
    <row r="275" spans="1:3" x14ac:dyDescent="0.25">
      <c r="A275" s="15">
        <v>2016</v>
      </c>
      <c r="B275" s="15">
        <v>10</v>
      </c>
      <c r="C275" s="15">
        <v>34708.703657489801</v>
      </c>
    </row>
    <row r="276" spans="1:3" x14ac:dyDescent="0.25">
      <c r="A276" s="15">
        <v>2016</v>
      </c>
      <c r="B276" s="15">
        <v>11</v>
      </c>
      <c r="C276" s="15">
        <v>41440.5365355537</v>
      </c>
    </row>
    <row r="277" spans="1:3" x14ac:dyDescent="0.25">
      <c r="A277" s="15">
        <v>2016</v>
      </c>
      <c r="B277" s="15">
        <v>12</v>
      </c>
      <c r="C277" s="15">
        <v>49297.4856238211</v>
      </c>
    </row>
    <row r="278" spans="1:3" x14ac:dyDescent="0.25">
      <c r="A278" s="15">
        <v>2017</v>
      </c>
      <c r="B278" s="15">
        <v>1</v>
      </c>
      <c r="C278" s="15">
        <v>47122.700613945701</v>
      </c>
    </row>
    <row r="279" spans="1:3" x14ac:dyDescent="0.25">
      <c r="A279" s="15">
        <v>2017</v>
      </c>
      <c r="B279" s="15">
        <v>2</v>
      </c>
      <c r="C279" s="15">
        <v>27771.9659365193</v>
      </c>
    </row>
    <row r="280" spans="1:3" x14ac:dyDescent="0.25">
      <c r="A280" s="15">
        <v>2017</v>
      </c>
      <c r="B280" s="15">
        <v>3</v>
      </c>
      <c r="C280" s="15">
        <v>33774.881266180601</v>
      </c>
    </row>
    <row r="281" spans="1:3" x14ac:dyDescent="0.25">
      <c r="A281" s="15">
        <v>2017</v>
      </c>
      <c r="B281" s="15">
        <v>4</v>
      </c>
      <c r="C281" s="15">
        <v>37293.556586052502</v>
      </c>
    </row>
    <row r="282" spans="1:3" x14ac:dyDescent="0.25">
      <c r="A282" s="15">
        <v>2017</v>
      </c>
      <c r="B282" s="15">
        <v>5</v>
      </c>
      <c r="C282" s="15">
        <v>41711.303528399301</v>
      </c>
    </row>
    <row r="283" spans="1:3" x14ac:dyDescent="0.25">
      <c r="A283" s="15">
        <v>2017</v>
      </c>
      <c r="B283" s="15">
        <v>6</v>
      </c>
      <c r="C283" s="15">
        <v>42334.487737391399</v>
      </c>
    </row>
    <row r="284" spans="1:3" x14ac:dyDescent="0.25">
      <c r="A284" s="15">
        <v>2017</v>
      </c>
      <c r="B284" s="15">
        <v>7</v>
      </c>
      <c r="C284" s="15">
        <v>40239.093441229699</v>
      </c>
    </row>
    <row r="285" spans="1:3" x14ac:dyDescent="0.25">
      <c r="A285" s="15">
        <v>2017</v>
      </c>
      <c r="B285" s="15">
        <v>8</v>
      </c>
      <c r="C285" s="15">
        <v>38557.546067782299</v>
      </c>
    </row>
    <row r="286" spans="1:3" x14ac:dyDescent="0.25">
      <c r="A286" s="15">
        <v>2017</v>
      </c>
      <c r="B286" s="15">
        <v>9</v>
      </c>
      <c r="C286" s="15">
        <v>42305.976802835903</v>
      </c>
    </row>
    <row r="287" spans="1:3" x14ac:dyDescent="0.25">
      <c r="A287" s="15">
        <v>2017</v>
      </c>
      <c r="B287" s="15">
        <v>10</v>
      </c>
      <c r="C287" s="15">
        <v>40153.966131140398</v>
      </c>
    </row>
    <row r="288" spans="1:3" x14ac:dyDescent="0.25">
      <c r="A288" s="15">
        <v>2017</v>
      </c>
      <c r="B288" s="15">
        <v>11</v>
      </c>
      <c r="C288" s="15">
        <v>40071.684309471202</v>
      </c>
    </row>
    <row r="289" spans="1:3" x14ac:dyDescent="0.25">
      <c r="A289" s="15">
        <v>2017</v>
      </c>
      <c r="B289" s="15">
        <v>12</v>
      </c>
      <c r="C289" s="15">
        <v>43097.252882823901</v>
      </c>
    </row>
    <row r="290" spans="1:3" x14ac:dyDescent="0.25">
      <c r="A290" s="15">
        <v>2018</v>
      </c>
      <c r="B290" s="15">
        <v>1</v>
      </c>
      <c r="C290" s="15">
        <v>40208.550795212803</v>
      </c>
    </row>
    <row r="291" spans="1:3" x14ac:dyDescent="0.25">
      <c r="A291" s="15">
        <v>2018</v>
      </c>
      <c r="B291" s="15">
        <v>2</v>
      </c>
      <c r="C291" s="15">
        <v>40398.306699095003</v>
      </c>
    </row>
    <row r="292" spans="1:3" x14ac:dyDescent="0.25">
      <c r="A292" s="15">
        <v>2018</v>
      </c>
      <c r="B292" s="15">
        <v>3</v>
      </c>
      <c r="C292" s="15">
        <v>45062.051040427403</v>
      </c>
    </row>
    <row r="293" spans="1:3" x14ac:dyDescent="0.25">
      <c r="A293" s="15">
        <v>2018</v>
      </c>
      <c r="B293" s="15">
        <v>4</v>
      </c>
      <c r="C293" s="15">
        <v>44464.265153447697</v>
      </c>
    </row>
    <row r="294" spans="1:3" x14ac:dyDescent="0.25">
      <c r="A294" s="15">
        <v>2018</v>
      </c>
      <c r="B294" s="15">
        <v>5</v>
      </c>
      <c r="C294" s="15">
        <v>43229.450772770899</v>
      </c>
    </row>
    <row r="295" spans="1:3" x14ac:dyDescent="0.25">
      <c r="A295" s="15">
        <v>2018</v>
      </c>
      <c r="B295" s="15">
        <v>6</v>
      </c>
      <c r="C295" s="15">
        <v>38207.863526254099</v>
      </c>
    </row>
    <row r="296" spans="1:3" x14ac:dyDescent="0.25">
      <c r="A296" s="15">
        <v>2018</v>
      </c>
      <c r="B296" s="15">
        <v>7</v>
      </c>
      <c r="C296" s="15">
        <v>42331.801014456803</v>
      </c>
    </row>
    <row r="297" spans="1:3" x14ac:dyDescent="0.25">
      <c r="A297" s="15">
        <v>2018</v>
      </c>
      <c r="B297" s="15">
        <v>8</v>
      </c>
      <c r="C297" s="15">
        <v>42271.676000583997</v>
      </c>
    </row>
    <row r="298" spans="1:3" x14ac:dyDescent="0.25">
      <c r="A298" s="15">
        <v>2018</v>
      </c>
      <c r="B298" s="15">
        <v>9</v>
      </c>
      <c r="C298" s="15">
        <v>34359.191338386103</v>
      </c>
    </row>
    <row r="299" spans="1:3" x14ac:dyDescent="0.25">
      <c r="A299" s="15">
        <v>2018</v>
      </c>
      <c r="B299" s="15">
        <v>10</v>
      </c>
      <c r="C299" s="15">
        <v>33805.912459348401</v>
      </c>
    </row>
    <row r="300" spans="1:3" x14ac:dyDescent="0.25">
      <c r="A300" s="15">
        <v>2018</v>
      </c>
      <c r="B300" s="15">
        <v>11</v>
      </c>
      <c r="C300" s="15">
        <v>32092.820779743</v>
      </c>
    </row>
    <row r="301" spans="1:3" x14ac:dyDescent="0.25">
      <c r="A301" s="15">
        <v>2018</v>
      </c>
      <c r="B301" s="15">
        <v>12</v>
      </c>
      <c r="C301" s="15">
        <v>29289.2063911716</v>
      </c>
    </row>
    <row r="302" spans="1:3" x14ac:dyDescent="0.25">
      <c r="A302" s="15">
        <v>2019</v>
      </c>
      <c r="B302" s="15">
        <v>1</v>
      </c>
      <c r="C302" s="15">
        <v>32918.128677267399</v>
      </c>
    </row>
    <row r="303" spans="1:3" x14ac:dyDescent="0.25">
      <c r="A303" s="15">
        <v>2019</v>
      </c>
      <c r="B303" s="15">
        <v>2</v>
      </c>
      <c r="C303" s="15">
        <v>33761.232665581701</v>
      </c>
    </row>
    <row r="304" spans="1:3" x14ac:dyDescent="0.25">
      <c r="A304" s="15">
        <v>2019</v>
      </c>
      <c r="B304" s="15">
        <v>3</v>
      </c>
      <c r="C304" s="15">
        <v>25536.2586071925</v>
      </c>
    </row>
    <row r="305" spans="1:3" x14ac:dyDescent="0.25">
      <c r="A305" s="15">
        <v>2019</v>
      </c>
      <c r="B305" s="15">
        <v>4</v>
      </c>
      <c r="C305" s="15">
        <v>27902.951476384798</v>
      </c>
    </row>
    <row r="306" spans="1:3" x14ac:dyDescent="0.25">
      <c r="A306" s="15">
        <v>2019</v>
      </c>
      <c r="B306" s="15">
        <v>5</v>
      </c>
      <c r="C306" s="15">
        <v>27051.653101520798</v>
      </c>
    </row>
    <row r="307" spans="1:3" x14ac:dyDescent="0.25">
      <c r="A307" s="15">
        <v>2019</v>
      </c>
      <c r="B307" s="15">
        <v>6</v>
      </c>
      <c r="C307" s="15">
        <v>24805.165366315399</v>
      </c>
    </row>
    <row r="308" spans="1:3" x14ac:dyDescent="0.25">
      <c r="A308" s="15">
        <v>2019</v>
      </c>
      <c r="B308" s="15">
        <v>7</v>
      </c>
      <c r="C308" s="15">
        <v>21132.892091618101</v>
      </c>
    </row>
    <row r="309" spans="1:3" x14ac:dyDescent="0.25">
      <c r="A309" s="15">
        <v>2019</v>
      </c>
      <c r="B309" s="15">
        <v>8</v>
      </c>
      <c r="C309" s="15">
        <v>25120.125140437802</v>
      </c>
    </row>
    <row r="310" spans="1:3" x14ac:dyDescent="0.25">
      <c r="A310" s="15">
        <v>2019</v>
      </c>
      <c r="B310" s="15">
        <v>9</v>
      </c>
      <c r="C310" s="15">
        <v>23418.5957992158</v>
      </c>
    </row>
    <row r="311" spans="1:3" x14ac:dyDescent="0.25">
      <c r="A311" s="15">
        <v>2019</v>
      </c>
      <c r="B311" s="15">
        <v>10</v>
      </c>
      <c r="C311" s="15">
        <v>26753.1594206587</v>
      </c>
    </row>
    <row r="312" spans="1:3" x14ac:dyDescent="0.25">
      <c r="A312" s="15">
        <v>2019</v>
      </c>
      <c r="B312" s="15">
        <v>11</v>
      </c>
      <c r="C312" s="15">
        <v>23841.807998970198</v>
      </c>
    </row>
    <row r="313" spans="1:3" x14ac:dyDescent="0.25">
      <c r="A313" s="15">
        <v>2019</v>
      </c>
      <c r="B313" s="15">
        <v>12</v>
      </c>
      <c r="C313" s="15">
        <v>21243.603311985</v>
      </c>
    </row>
    <row r="314" spans="1:3" x14ac:dyDescent="0.25">
      <c r="A314" s="15">
        <v>2020</v>
      </c>
      <c r="B314" s="15">
        <v>1</v>
      </c>
      <c r="C314" s="15">
        <v>38780.832000346898</v>
      </c>
    </row>
    <row r="315" spans="1:3" x14ac:dyDescent="0.25">
      <c r="A315" s="15">
        <v>2020</v>
      </c>
      <c r="B315" s="15">
        <v>2</v>
      </c>
      <c r="C315" s="15">
        <v>30361.967768772301</v>
      </c>
    </row>
    <row r="316" spans="1:3" x14ac:dyDescent="0.25">
      <c r="A316" s="15">
        <v>2020</v>
      </c>
      <c r="B316" s="15">
        <v>3</v>
      </c>
      <c r="C316" s="15">
        <v>13567.7497814161</v>
      </c>
    </row>
    <row r="317" spans="1:3" x14ac:dyDescent="0.25">
      <c r="A317" s="15">
        <v>2020</v>
      </c>
      <c r="B317" s="15">
        <v>4</v>
      </c>
      <c r="C317" s="15">
        <v>-1947.99769300047</v>
      </c>
    </row>
    <row r="318" spans="1:3" x14ac:dyDescent="0.25">
      <c r="A318" s="15">
        <v>2020</v>
      </c>
      <c r="B318" s="15">
        <v>5</v>
      </c>
      <c r="C318" s="15">
        <v>5059.3969011665304</v>
      </c>
    </row>
    <row r="319" spans="1:3" x14ac:dyDescent="0.25">
      <c r="A319" s="15">
        <v>2020</v>
      </c>
      <c r="B319" s="15">
        <v>6</v>
      </c>
      <c r="C319" s="15">
        <v>13696.502104024399</v>
      </c>
    </row>
    <row r="320" spans="1:3" x14ac:dyDescent="0.25">
      <c r="A320" s="15">
        <v>2020</v>
      </c>
      <c r="B320" s="15">
        <v>7</v>
      </c>
      <c r="C320" s="15">
        <v>21358.287400689998</v>
      </c>
    </row>
    <row r="321" spans="1:3" x14ac:dyDescent="0.25">
      <c r="A321" s="15">
        <v>2020</v>
      </c>
      <c r="B321" s="15">
        <v>8</v>
      </c>
      <c r="C321" s="15">
        <v>21498.1848355863</v>
      </c>
    </row>
    <row r="322" spans="1:3" x14ac:dyDescent="0.25">
      <c r="A322" s="15">
        <v>2020</v>
      </c>
      <c r="B322" s="15">
        <v>9</v>
      </c>
      <c r="C322" s="15">
        <v>26102.015219113098</v>
      </c>
    </row>
    <row r="323" spans="1:3" x14ac:dyDescent="0.25">
      <c r="A323" s="15">
        <v>2020</v>
      </c>
      <c r="B323" s="15">
        <v>10</v>
      </c>
      <c r="C323" s="15">
        <v>24740.638291329498</v>
      </c>
    </row>
    <row r="324" spans="1:3" x14ac:dyDescent="0.25">
      <c r="A324" s="15">
        <v>2020</v>
      </c>
      <c r="B324" s="15">
        <v>11</v>
      </c>
      <c r="C324" s="15">
        <v>28805.927740512801</v>
      </c>
    </row>
    <row r="325" spans="1:3" x14ac:dyDescent="0.25">
      <c r="A325" s="15">
        <v>2020</v>
      </c>
      <c r="B325" s="15">
        <v>12</v>
      </c>
      <c r="C325" s="15">
        <v>35046.734835084397</v>
      </c>
    </row>
    <row r="326" spans="1:3" x14ac:dyDescent="0.25">
      <c r="A326" s="15">
        <v>2021</v>
      </c>
      <c r="B326" s="15">
        <v>1</v>
      </c>
      <c r="C326" s="15">
        <v>45706.308535623299</v>
      </c>
    </row>
    <row r="327" spans="1:3" x14ac:dyDescent="0.25">
      <c r="A327" s="15">
        <v>2021</v>
      </c>
      <c r="B327" s="15">
        <v>2</v>
      </c>
      <c r="C327" s="15">
        <v>23363.425434410401</v>
      </c>
    </row>
    <row r="328" spans="1:3" x14ac:dyDescent="0.25">
      <c r="A328" s="15">
        <v>2021</v>
      </c>
      <c r="B328" s="15">
        <v>3</v>
      </c>
      <c r="C328" s="15">
        <v>35634.242912406597</v>
      </c>
    </row>
    <row r="329" spans="1:3" x14ac:dyDescent="0.25">
      <c r="A329" s="15">
        <v>2021</v>
      </c>
      <c r="B329" s="15">
        <v>4</v>
      </c>
      <c r="C329" s="15">
        <v>27415.363235025099</v>
      </c>
    </row>
    <row r="330" spans="1:3" x14ac:dyDescent="0.25">
      <c r="A330" s="15">
        <v>2021</v>
      </c>
      <c r="B330" s="15">
        <v>5</v>
      </c>
      <c r="C330" s="15">
        <v>36160.566688295803</v>
      </c>
    </row>
    <row r="331" spans="1:3" x14ac:dyDescent="0.25">
      <c r="A331" s="15">
        <v>2021</v>
      </c>
      <c r="B331" s="15">
        <v>6</v>
      </c>
      <c r="C331" s="15">
        <v>38367.022712454702</v>
      </c>
    </row>
    <row r="332" spans="1:3" x14ac:dyDescent="0.25">
      <c r="A332" s="15">
        <v>2021</v>
      </c>
      <c r="B332" s="15">
        <v>7</v>
      </c>
      <c r="C332" s="15">
        <v>33423.987422905499</v>
      </c>
    </row>
    <row r="333" spans="1:3" x14ac:dyDescent="0.25">
      <c r="A333" s="15">
        <v>2021</v>
      </c>
      <c r="B333" s="15">
        <v>8</v>
      </c>
      <c r="C333" s="15">
        <v>32267.779639127999</v>
      </c>
    </row>
    <row r="334" spans="1:3" x14ac:dyDescent="0.25">
      <c r="A334" s="15">
        <v>2021</v>
      </c>
      <c r="B334" s="15">
        <v>9</v>
      </c>
      <c r="C334" s="15">
        <v>37295.607216688797</v>
      </c>
    </row>
    <row r="335" spans="1:3" x14ac:dyDescent="0.25">
      <c r="A335" s="15">
        <v>2021</v>
      </c>
      <c r="B335" s="15">
        <v>10</v>
      </c>
      <c r="C335" s="15">
        <v>38219.996792440601</v>
      </c>
    </row>
    <row r="336" spans="1:3" x14ac:dyDescent="0.25">
      <c r="A336" s="15">
        <v>2021</v>
      </c>
      <c r="B336" s="15">
        <v>11</v>
      </c>
      <c r="C336" s="15">
        <v>40289.727653212001</v>
      </c>
    </row>
    <row r="337" spans="1:3" x14ac:dyDescent="0.25">
      <c r="A337" s="15">
        <v>2021</v>
      </c>
      <c r="B337" s="15">
        <v>12</v>
      </c>
      <c r="C337" s="15">
        <v>44781.5214619533</v>
      </c>
    </row>
    <row r="338" spans="1:3" x14ac:dyDescent="0.25">
      <c r="A338" s="15">
        <v>2022</v>
      </c>
      <c r="B338" s="15">
        <v>1</v>
      </c>
      <c r="C338" s="15">
        <v>40278.603132770899</v>
      </c>
    </row>
    <row r="339" spans="1:3" x14ac:dyDescent="0.25">
      <c r="A339" s="15">
        <v>2022</v>
      </c>
      <c r="B339" s="15">
        <v>2</v>
      </c>
      <c r="C339" s="15">
        <v>39831.742695911802</v>
      </c>
    </row>
    <row r="340" spans="1:3" x14ac:dyDescent="0.25">
      <c r="A340" s="15">
        <v>2022</v>
      </c>
      <c r="B340" s="15">
        <v>3</v>
      </c>
      <c r="C340" s="15">
        <v>41256.087526483097</v>
      </c>
    </row>
    <row r="341" spans="1:3" x14ac:dyDescent="0.25">
      <c r="A341" s="15">
        <v>2022</v>
      </c>
      <c r="B341" s="15">
        <v>4</v>
      </c>
      <c r="C341" s="15">
        <v>43328.452431974198</v>
      </c>
    </row>
    <row r="342" spans="1:3" x14ac:dyDescent="0.25">
      <c r="A342" s="15">
        <v>2022</v>
      </c>
      <c r="B342" s="15">
        <v>5</v>
      </c>
      <c r="C342" s="15">
        <v>46840.938917713902</v>
      </c>
    </row>
    <row r="343" spans="1:3" x14ac:dyDescent="0.25">
      <c r="A343" s="15">
        <v>2022</v>
      </c>
      <c r="B343" s="15">
        <v>6</v>
      </c>
      <c r="C343" s="15">
        <v>46578.174996261798</v>
      </c>
    </row>
    <row r="344" spans="1:3" x14ac:dyDescent="0.25">
      <c r="A344" s="15">
        <v>2022</v>
      </c>
      <c r="B344" s="15">
        <v>7</v>
      </c>
      <c r="C344" s="15">
        <v>47316.054790396804</v>
      </c>
    </row>
    <row r="345" spans="1:3" x14ac:dyDescent="0.25">
      <c r="A345" s="15">
        <v>2022</v>
      </c>
      <c r="B345" s="15">
        <v>8</v>
      </c>
      <c r="C345" s="15">
        <v>46310.453160809797</v>
      </c>
    </row>
    <row r="346" spans="1:3" x14ac:dyDescent="0.25">
      <c r="A346" s="15">
        <v>2022</v>
      </c>
      <c r="B346" s="15">
        <v>9</v>
      </c>
      <c r="C346" s="15">
        <v>45601.231838588603</v>
      </c>
    </row>
    <row r="347" spans="1:3" x14ac:dyDescent="0.25">
      <c r="A347" s="15">
        <v>2022</v>
      </c>
      <c r="B347" s="15">
        <v>10</v>
      </c>
      <c r="C347" s="15">
        <v>49325.601008519901</v>
      </c>
    </row>
    <row r="348" spans="1:3" x14ac:dyDescent="0.25">
      <c r="A348" s="15">
        <v>2022</v>
      </c>
      <c r="B348" s="15">
        <v>11</v>
      </c>
      <c r="C348" s="15">
        <v>46238.761326651897</v>
      </c>
    </row>
    <row r="349" spans="1:3" x14ac:dyDescent="0.25">
      <c r="A349" s="15">
        <v>2022</v>
      </c>
      <c r="B349" s="15">
        <v>12</v>
      </c>
      <c r="C349" s="15">
        <v>43576.2840149322</v>
      </c>
    </row>
    <row r="350" spans="1:3" x14ac:dyDescent="0.25">
      <c r="A350" s="15">
        <v>2023</v>
      </c>
      <c r="B350" s="15">
        <v>1</v>
      </c>
      <c r="C350" s="15">
        <v>47401.116208053099</v>
      </c>
    </row>
    <row r="351" spans="1:3" x14ac:dyDescent="0.25">
      <c r="A351" s="15">
        <v>2023</v>
      </c>
      <c r="B351" s="15">
        <v>2</v>
      </c>
      <c r="C351" s="15">
        <v>49281.239109137903</v>
      </c>
    </row>
    <row r="352" spans="1:3" x14ac:dyDescent="0.25">
      <c r="A352" s="15">
        <v>2023</v>
      </c>
      <c r="B352" s="15">
        <v>3</v>
      </c>
      <c r="C352" s="15">
        <v>53951.1905786352</v>
      </c>
    </row>
    <row r="353" spans="1:3" x14ac:dyDescent="0.25">
      <c r="A353" s="15">
        <v>2023</v>
      </c>
      <c r="B353" s="15">
        <v>4</v>
      </c>
      <c r="C353" s="15">
        <v>55280.755227193004</v>
      </c>
    </row>
    <row r="354" spans="1:3" x14ac:dyDescent="0.25">
      <c r="A354" s="15">
        <v>2023</v>
      </c>
      <c r="B354" s="15">
        <v>5</v>
      </c>
      <c r="C354" s="15">
        <v>52630.052868840503</v>
      </c>
    </row>
    <row r="355" spans="1:3" x14ac:dyDescent="0.25">
      <c r="A355" s="15">
        <v>2023</v>
      </c>
      <c r="B355" s="15">
        <v>6</v>
      </c>
      <c r="C355" s="15">
        <v>51800.350307715402</v>
      </c>
    </row>
    <row r="356" spans="1:3" x14ac:dyDescent="0.25">
      <c r="A356" s="15">
        <v>2023</v>
      </c>
      <c r="B356" s="15">
        <v>7</v>
      </c>
      <c r="C356" s="15">
        <v>52418.059955414203</v>
      </c>
    </row>
    <row r="357" spans="1:3" x14ac:dyDescent="0.25">
      <c r="A357" s="15">
        <v>2023</v>
      </c>
      <c r="B357" s="15">
        <v>8</v>
      </c>
      <c r="C357" s="15">
        <v>55353.494344934203</v>
      </c>
    </row>
    <row r="358" spans="1:3" x14ac:dyDescent="0.25">
      <c r="A358" s="15">
        <v>2023</v>
      </c>
      <c r="B358" s="15">
        <v>9</v>
      </c>
      <c r="C358" s="15">
        <v>51529.7708028255</v>
      </c>
    </row>
    <row r="359" spans="1:3" x14ac:dyDescent="0.25">
      <c r="A359" s="15">
        <v>2023</v>
      </c>
      <c r="B359" s="15">
        <v>10</v>
      </c>
      <c r="C359" s="15">
        <v>46999.351346699499</v>
      </c>
    </row>
    <row r="360" spans="1:3" x14ac:dyDescent="0.25">
      <c r="A360" s="15">
        <v>2023</v>
      </c>
      <c r="B360" s="15">
        <v>11</v>
      </c>
      <c r="C360" s="15">
        <v>48809.909565189497</v>
      </c>
    </row>
    <row r="361" spans="1:3" x14ac:dyDescent="0.25">
      <c r="A361" s="15">
        <v>2023</v>
      </c>
      <c r="B361" s="15">
        <v>12</v>
      </c>
      <c r="C361" s="15">
        <v>45473.110737241499</v>
      </c>
    </row>
    <row r="362" spans="1:3" x14ac:dyDescent="0.25">
      <c r="A362" s="15">
        <v>2024</v>
      </c>
      <c r="B362" s="15">
        <v>1</v>
      </c>
      <c r="C362" s="15">
        <v>41070.578917738698</v>
      </c>
    </row>
    <row r="363" spans="1:3" x14ac:dyDescent="0.25">
      <c r="A363" s="15">
        <v>2024</v>
      </c>
      <c r="B363" s="15">
        <v>2</v>
      </c>
      <c r="C363" s="15">
        <v>43072.958782052701</v>
      </c>
    </row>
    <row r="364" spans="1:3" x14ac:dyDescent="0.25">
      <c r="A364" s="15">
        <v>2024</v>
      </c>
      <c r="B364" s="15">
        <v>3</v>
      </c>
      <c r="C364" s="15">
        <v>39434.955208257299</v>
      </c>
    </row>
    <row r="365" spans="1:3" x14ac:dyDescent="0.25">
      <c r="A365" s="15">
        <v>2024</v>
      </c>
      <c r="B365" s="15">
        <v>4</v>
      </c>
      <c r="C365" s="15">
        <v>40708.1193743353</v>
      </c>
    </row>
    <row r="366" spans="1:3" x14ac:dyDescent="0.25">
      <c r="A366" s="15">
        <v>2024</v>
      </c>
      <c r="B366" s="15">
        <v>5</v>
      </c>
      <c r="C366" s="15">
        <v>37941.346900167198</v>
      </c>
    </row>
    <row r="367" spans="1:3" x14ac:dyDescent="0.25">
      <c r="A367" s="15">
        <v>2024</v>
      </c>
      <c r="B367" s="15">
        <v>6</v>
      </c>
      <c r="C367" s="15">
        <v>33352.778365012498</v>
      </c>
    </row>
    <row r="368" spans="1:3" x14ac:dyDescent="0.25">
      <c r="A368" s="15">
        <v>2024</v>
      </c>
      <c r="B368" s="15">
        <v>7</v>
      </c>
      <c r="C368" s="15">
        <v>44834.781792684298</v>
      </c>
    </row>
    <row r="369" spans="1:3" x14ac:dyDescent="0.25">
      <c r="A369" s="15">
        <v>2024</v>
      </c>
      <c r="B369" s="15">
        <v>8</v>
      </c>
      <c r="C369" s="15">
        <v>44610.073814674099</v>
      </c>
    </row>
    <row r="370" spans="1:3" x14ac:dyDescent="0.25">
      <c r="A370" s="15">
        <v>2024</v>
      </c>
      <c r="B370" s="15">
        <v>9</v>
      </c>
      <c r="C370" s="15">
        <v>44252.162690171499</v>
      </c>
    </row>
    <row r="371" spans="1:3" x14ac:dyDescent="0.25">
      <c r="A371" s="15">
        <v>2024</v>
      </c>
      <c r="B371" s="15">
        <v>10</v>
      </c>
      <c r="C371" s="15">
        <v>45785.258989761802</v>
      </c>
    </row>
    <row r="372" spans="1:3" x14ac:dyDescent="0.25">
      <c r="A372" s="15">
        <v>2024</v>
      </c>
      <c r="B372" s="15">
        <v>11</v>
      </c>
      <c r="C372" s="15">
        <v>47118.440591628198</v>
      </c>
    </row>
    <row r="373" spans="1:3" x14ac:dyDescent="0.25">
      <c r="A373" s="15">
        <v>2024</v>
      </c>
      <c r="B373" s="15">
        <v>12</v>
      </c>
      <c r="C373" s="15">
        <v>45400.021713871203</v>
      </c>
    </row>
    <row r="374" spans="1:3" x14ac:dyDescent="0.25">
      <c r="A374" s="15">
        <v>2025</v>
      </c>
      <c r="B374" s="15">
        <v>1</v>
      </c>
      <c r="C374" s="15">
        <v>48141.284938861601</v>
      </c>
    </row>
    <row r="375" spans="1:3" x14ac:dyDescent="0.25">
      <c r="A375" s="15">
        <v>2025</v>
      </c>
      <c r="B375" s="15">
        <v>2</v>
      </c>
      <c r="C375" s="15">
        <v>46118.971201611101</v>
      </c>
    </row>
    <row r="376" spans="1:3" x14ac:dyDescent="0.25">
      <c r="A376" s="15">
        <v>2025</v>
      </c>
      <c r="B376" s="15">
        <v>3</v>
      </c>
      <c r="C376" s="15">
        <v>38230.2172656041</v>
      </c>
    </row>
    <row r="377" spans="1:3" x14ac:dyDescent="0.25">
      <c r="A377" s="15">
        <v>2025</v>
      </c>
      <c r="B377" s="15">
        <v>4</v>
      </c>
      <c r="C377" s="15">
        <v>43245.432366522298</v>
      </c>
    </row>
    <row r="378" spans="1:3" x14ac:dyDescent="0.25">
      <c r="A378" s="15">
        <v>2025</v>
      </c>
      <c r="B378" s="15">
        <v>5</v>
      </c>
      <c r="C378" s="15">
        <v>49234.266852699897</v>
      </c>
    </row>
    <row r="379" spans="1:3" x14ac:dyDescent="0.25">
      <c r="A379" s="15">
        <v>2025</v>
      </c>
      <c r="B379" s="15">
        <v>6</v>
      </c>
      <c r="C379" s="15">
        <v>42868.654248098399</v>
      </c>
    </row>
    <row r="380" spans="1:3" x14ac:dyDescent="0.25">
      <c r="A380" s="15">
        <v>2025</v>
      </c>
      <c r="B380" s="15">
        <v>7</v>
      </c>
      <c r="C380" s="15">
        <v>37290.659314491902</v>
      </c>
    </row>
    <row r="381" spans="1:3" x14ac:dyDescent="0.25">
      <c r="A381" s="15">
        <v>2025</v>
      </c>
      <c r="B381" s="15">
        <v>8</v>
      </c>
      <c r="C381" s="15">
        <v>38771.968456016701</v>
      </c>
    </row>
    <row r="382" spans="1:3" x14ac:dyDescent="0.25">
      <c r="A382" s="15">
        <v>2025</v>
      </c>
      <c r="B382" s="15">
        <v>9</v>
      </c>
      <c r="C382" s="15">
        <v>40162.897478858496</v>
      </c>
    </row>
    <row r="383" spans="1:3" x14ac:dyDescent="0.25">
      <c r="A383" s="15">
        <v>2025</v>
      </c>
      <c r="B383" s="15">
        <v>10</v>
      </c>
      <c r="C383" s="15">
        <v>40545.0203089918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33FE-AAD5-4BD2-9DDB-F74061845C58}">
  <dimension ref="A1:C383"/>
  <sheetViews>
    <sheetView workbookViewId="0">
      <selection activeCell="C2" sqref="C2:C383"/>
    </sheetView>
  </sheetViews>
  <sheetFormatPr baseColWidth="10" defaultRowHeight="15" x14ac:dyDescent="0.25"/>
  <sheetData>
    <row r="1" spans="1:3" ht="42.75" x14ac:dyDescent="0.25">
      <c r="A1" s="14" t="s">
        <v>38</v>
      </c>
      <c r="B1" s="14" t="s">
        <v>34</v>
      </c>
      <c r="C1" s="14" t="s">
        <v>81</v>
      </c>
    </row>
    <row r="2" spans="1:3" x14ac:dyDescent="0.25">
      <c r="A2" s="15">
        <v>1994</v>
      </c>
      <c r="B2" s="15">
        <v>1</v>
      </c>
      <c r="C2" s="15">
        <v>505.04841895848199</v>
      </c>
    </row>
    <row r="3" spans="1:3" x14ac:dyDescent="0.25">
      <c r="A3" s="15">
        <v>1994</v>
      </c>
      <c r="B3" s="15">
        <v>2</v>
      </c>
      <c r="C3" s="15">
        <v>502.09126527135101</v>
      </c>
    </row>
    <row r="4" spans="1:3" x14ac:dyDescent="0.25">
      <c r="A4" s="15">
        <v>1994</v>
      </c>
      <c r="B4" s="15">
        <v>3</v>
      </c>
      <c r="C4" s="15">
        <v>500.01494930821298</v>
      </c>
    </row>
    <row r="5" spans="1:3" x14ac:dyDescent="0.25">
      <c r="A5" s="15">
        <v>1994</v>
      </c>
      <c r="B5" s="15">
        <v>4</v>
      </c>
      <c r="C5" s="15">
        <v>515.05148637617901</v>
      </c>
    </row>
    <row r="6" spans="1:3" x14ac:dyDescent="0.25">
      <c r="A6" s="15">
        <v>1994</v>
      </c>
      <c r="B6" s="15">
        <v>5</v>
      </c>
      <c r="C6" s="15">
        <v>511.87844561868002</v>
      </c>
    </row>
    <row r="7" spans="1:3" x14ac:dyDescent="0.25">
      <c r="A7" s="15">
        <v>1994</v>
      </c>
      <c r="B7" s="15">
        <v>6</v>
      </c>
      <c r="C7" s="15">
        <v>524.530389278955</v>
      </c>
    </row>
    <row r="8" spans="1:3" x14ac:dyDescent="0.25">
      <c r="A8" s="15">
        <v>1994</v>
      </c>
      <c r="B8" s="15">
        <v>7</v>
      </c>
      <c r="C8" s="15">
        <v>524.70092125124302</v>
      </c>
    </row>
    <row r="9" spans="1:3" x14ac:dyDescent="0.25">
      <c r="A9" s="15">
        <v>1994</v>
      </c>
      <c r="B9" s="15">
        <v>8</v>
      </c>
      <c r="C9" s="15">
        <v>523.52139864933304</v>
      </c>
    </row>
    <row r="10" spans="1:3" x14ac:dyDescent="0.25">
      <c r="A10" s="15">
        <v>1994</v>
      </c>
      <c r="B10" s="15">
        <v>9</v>
      </c>
      <c r="C10" s="15">
        <v>517.123047394168</v>
      </c>
    </row>
    <row r="11" spans="1:3" x14ac:dyDescent="0.25">
      <c r="A11" s="15">
        <v>1994</v>
      </c>
      <c r="B11" s="15">
        <v>10</v>
      </c>
      <c r="C11" s="15">
        <v>512.72019118868798</v>
      </c>
    </row>
    <row r="12" spans="1:3" x14ac:dyDescent="0.25">
      <c r="A12" s="15">
        <v>1994</v>
      </c>
      <c r="B12" s="15">
        <v>11</v>
      </c>
      <c r="C12" s="15">
        <v>541.07526135072396</v>
      </c>
    </row>
    <row r="13" spans="1:3" x14ac:dyDescent="0.25">
      <c r="A13" s="15">
        <v>1994</v>
      </c>
      <c r="B13" s="15">
        <v>12</v>
      </c>
      <c r="C13" s="15">
        <v>548.51804138950104</v>
      </c>
    </row>
    <row r="14" spans="1:3" x14ac:dyDescent="0.25">
      <c r="A14" s="15">
        <v>1995</v>
      </c>
      <c r="B14" s="15">
        <v>1</v>
      </c>
      <c r="C14" s="15">
        <v>534.95973732663299</v>
      </c>
    </row>
    <row r="15" spans="1:3" x14ac:dyDescent="0.25">
      <c r="A15" s="15">
        <v>1995</v>
      </c>
      <c r="B15" s="15">
        <v>2</v>
      </c>
      <c r="C15" s="15">
        <v>538.22963992866596</v>
      </c>
    </row>
    <row r="16" spans="1:3" x14ac:dyDescent="0.25">
      <c r="A16" s="15">
        <v>1995</v>
      </c>
      <c r="B16" s="15">
        <v>3</v>
      </c>
      <c r="C16" s="15">
        <v>496.837675591861</v>
      </c>
    </row>
    <row r="17" spans="1:3" x14ac:dyDescent="0.25">
      <c r="A17" s="15">
        <v>1995</v>
      </c>
      <c r="B17" s="15">
        <v>4</v>
      </c>
      <c r="C17" s="15">
        <v>477.90225330117897</v>
      </c>
    </row>
    <row r="18" spans="1:3" x14ac:dyDescent="0.25">
      <c r="A18" s="15">
        <v>1995</v>
      </c>
      <c r="B18" s="15">
        <v>5</v>
      </c>
      <c r="C18" s="15">
        <v>477.04159981439898</v>
      </c>
    </row>
    <row r="19" spans="1:3" x14ac:dyDescent="0.25">
      <c r="A19" s="15">
        <v>1995</v>
      </c>
      <c r="B19" s="15">
        <v>6</v>
      </c>
      <c r="C19" s="15">
        <v>451.05002798303298</v>
      </c>
    </row>
    <row r="20" spans="1:3" x14ac:dyDescent="0.25">
      <c r="A20" s="15">
        <v>1995</v>
      </c>
      <c r="B20" s="15">
        <v>7</v>
      </c>
      <c r="C20" s="15">
        <v>439.68606329091102</v>
      </c>
    </row>
    <row r="21" spans="1:3" x14ac:dyDescent="0.25">
      <c r="A21" s="15">
        <v>1995</v>
      </c>
      <c r="B21" s="15">
        <v>8</v>
      </c>
      <c r="C21" s="15">
        <v>387.51735014190001</v>
      </c>
    </row>
    <row r="22" spans="1:3" x14ac:dyDescent="0.25">
      <c r="A22" s="15">
        <v>1995</v>
      </c>
      <c r="B22" s="15">
        <v>9</v>
      </c>
      <c r="C22" s="15">
        <v>412.87899565054198</v>
      </c>
    </row>
    <row r="23" spans="1:3" x14ac:dyDescent="0.25">
      <c r="A23" s="15">
        <v>1995</v>
      </c>
      <c r="B23" s="15">
        <v>10</v>
      </c>
      <c r="C23" s="15">
        <v>378.28869579727302</v>
      </c>
    </row>
    <row r="24" spans="1:3" x14ac:dyDescent="0.25">
      <c r="A24" s="15">
        <v>1995</v>
      </c>
      <c r="B24" s="15">
        <v>11</v>
      </c>
      <c r="C24" s="15">
        <v>381.756879626412</v>
      </c>
    </row>
    <row r="25" spans="1:3" x14ac:dyDescent="0.25">
      <c r="A25" s="15">
        <v>1995</v>
      </c>
      <c r="B25" s="15">
        <v>12</v>
      </c>
      <c r="C25" s="15">
        <v>383.46876697635201</v>
      </c>
    </row>
    <row r="26" spans="1:3" x14ac:dyDescent="0.25">
      <c r="A26" s="15">
        <v>1996</v>
      </c>
      <c r="B26" s="15">
        <v>1</v>
      </c>
      <c r="C26" s="15">
        <v>380.18152571853398</v>
      </c>
    </row>
    <row r="27" spans="1:3" x14ac:dyDescent="0.25">
      <c r="A27" s="15">
        <v>1996</v>
      </c>
      <c r="B27" s="15">
        <v>2</v>
      </c>
      <c r="C27" s="15">
        <v>372.84603844535098</v>
      </c>
    </row>
    <row r="28" spans="1:3" x14ac:dyDescent="0.25">
      <c r="A28" s="15">
        <v>1996</v>
      </c>
      <c r="B28" s="15">
        <v>3</v>
      </c>
      <c r="C28" s="15">
        <v>392.62653720005102</v>
      </c>
    </row>
    <row r="29" spans="1:3" x14ac:dyDescent="0.25">
      <c r="A29" s="15">
        <v>1996</v>
      </c>
      <c r="B29" s="15">
        <v>4</v>
      </c>
      <c r="C29" s="15">
        <v>395.01893674605202</v>
      </c>
    </row>
    <row r="30" spans="1:3" x14ac:dyDescent="0.25">
      <c r="A30" s="15">
        <v>1996</v>
      </c>
      <c r="B30" s="15">
        <v>5</v>
      </c>
      <c r="C30" s="15">
        <v>405.97136132106999</v>
      </c>
    </row>
    <row r="31" spans="1:3" x14ac:dyDescent="0.25">
      <c r="A31" s="15">
        <v>1996</v>
      </c>
      <c r="B31" s="15">
        <v>6</v>
      </c>
      <c r="C31" s="15">
        <v>392.78146157448498</v>
      </c>
    </row>
    <row r="32" spans="1:3" x14ac:dyDescent="0.25">
      <c r="A32" s="15">
        <v>1996</v>
      </c>
      <c r="B32" s="15">
        <v>7</v>
      </c>
      <c r="C32" s="15">
        <v>404.70962388471901</v>
      </c>
    </row>
    <row r="33" spans="1:3" x14ac:dyDescent="0.25">
      <c r="A33" s="15">
        <v>1996</v>
      </c>
      <c r="B33" s="15">
        <v>8</v>
      </c>
      <c r="C33" s="15">
        <v>418.365719872086</v>
      </c>
    </row>
    <row r="34" spans="1:3" x14ac:dyDescent="0.25">
      <c r="A34" s="15">
        <v>1996</v>
      </c>
      <c r="B34" s="15">
        <v>9</v>
      </c>
      <c r="C34" s="15">
        <v>435.95242929402502</v>
      </c>
    </row>
    <row r="35" spans="1:3" x14ac:dyDescent="0.25">
      <c r="A35" s="15">
        <v>1996</v>
      </c>
      <c r="B35" s="15">
        <v>10</v>
      </c>
      <c r="C35" s="15">
        <v>455.34156216043903</v>
      </c>
    </row>
    <row r="36" spans="1:3" x14ac:dyDescent="0.25">
      <c r="A36" s="15">
        <v>1996</v>
      </c>
      <c r="B36" s="15">
        <v>11</v>
      </c>
      <c r="C36" s="15">
        <v>460.98688477015497</v>
      </c>
    </row>
    <row r="37" spans="1:3" x14ac:dyDescent="0.25">
      <c r="A37" s="15">
        <v>1996</v>
      </c>
      <c r="B37" s="15">
        <v>12</v>
      </c>
      <c r="C37" s="15">
        <v>477.60238590966998</v>
      </c>
    </row>
    <row r="38" spans="1:3" x14ac:dyDescent="0.25">
      <c r="A38" s="15">
        <v>1997</v>
      </c>
      <c r="B38" s="15">
        <v>1</v>
      </c>
      <c r="C38" s="15">
        <v>477.16831681229098</v>
      </c>
    </row>
    <row r="39" spans="1:3" x14ac:dyDescent="0.25">
      <c r="A39" s="15">
        <v>1997</v>
      </c>
      <c r="B39" s="15">
        <v>2</v>
      </c>
      <c r="C39" s="15">
        <v>506.78783957494898</v>
      </c>
    </row>
    <row r="40" spans="1:3" x14ac:dyDescent="0.25">
      <c r="A40" s="15">
        <v>1997</v>
      </c>
      <c r="B40" s="15">
        <v>3</v>
      </c>
      <c r="C40" s="15">
        <v>514.51399292350402</v>
      </c>
    </row>
    <row r="41" spans="1:3" x14ac:dyDescent="0.25">
      <c r="A41" s="15">
        <v>1997</v>
      </c>
      <c r="B41" s="15">
        <v>4</v>
      </c>
      <c r="C41" s="15">
        <v>570.39771975848498</v>
      </c>
    </row>
    <row r="42" spans="1:3" x14ac:dyDescent="0.25">
      <c r="A42" s="15">
        <v>1997</v>
      </c>
      <c r="B42" s="15">
        <v>5</v>
      </c>
      <c r="C42" s="15">
        <v>547.72953792273097</v>
      </c>
    </row>
    <row r="43" spans="1:3" x14ac:dyDescent="0.25">
      <c r="A43" s="15">
        <v>1997</v>
      </c>
      <c r="B43" s="15">
        <v>6</v>
      </c>
      <c r="C43" s="15">
        <v>499.15233973584799</v>
      </c>
    </row>
    <row r="44" spans="1:3" x14ac:dyDescent="0.25">
      <c r="A44" s="15">
        <v>1997</v>
      </c>
      <c r="B44" s="15">
        <v>7</v>
      </c>
      <c r="C44" s="15">
        <v>575.88312120185901</v>
      </c>
    </row>
    <row r="45" spans="1:3" x14ac:dyDescent="0.25">
      <c r="A45" s="15">
        <v>1997</v>
      </c>
      <c r="B45" s="15">
        <v>8</v>
      </c>
      <c r="C45" s="15">
        <v>575.43838495719501</v>
      </c>
    </row>
    <row r="46" spans="1:3" x14ac:dyDescent="0.25">
      <c r="A46" s="15">
        <v>1997</v>
      </c>
      <c r="B46" s="15">
        <v>9</v>
      </c>
      <c r="C46" s="15">
        <v>589.83877542610401</v>
      </c>
    </row>
    <row r="47" spans="1:3" x14ac:dyDescent="0.25">
      <c r="A47" s="15">
        <v>1997</v>
      </c>
      <c r="B47" s="15">
        <v>10</v>
      </c>
      <c r="C47" s="15">
        <v>618.45101266166296</v>
      </c>
    </row>
    <row r="48" spans="1:3" x14ac:dyDescent="0.25">
      <c r="A48" s="15">
        <v>1997</v>
      </c>
      <c r="B48" s="15">
        <v>11</v>
      </c>
      <c r="C48" s="15">
        <v>593.86634581513295</v>
      </c>
    </row>
    <row r="49" spans="1:3" x14ac:dyDescent="0.25">
      <c r="A49" s="15">
        <v>1997</v>
      </c>
      <c r="B49" s="15">
        <v>12</v>
      </c>
      <c r="C49" s="15">
        <v>581.97053178390399</v>
      </c>
    </row>
    <row r="50" spans="1:3" x14ac:dyDescent="0.25">
      <c r="A50" s="15">
        <v>1998</v>
      </c>
      <c r="B50" s="15">
        <v>1</v>
      </c>
      <c r="C50" s="15">
        <v>599.87336705461803</v>
      </c>
    </row>
    <row r="51" spans="1:3" x14ac:dyDescent="0.25">
      <c r="A51" s="15">
        <v>1998</v>
      </c>
      <c r="B51" s="15">
        <v>2</v>
      </c>
      <c r="C51" s="15">
        <v>587.72051605860702</v>
      </c>
    </row>
    <row r="52" spans="1:3" x14ac:dyDescent="0.25">
      <c r="A52" s="15">
        <v>1998</v>
      </c>
      <c r="B52" s="15">
        <v>3</v>
      </c>
      <c r="C52" s="15">
        <v>606.64766008024105</v>
      </c>
    </row>
    <row r="53" spans="1:3" x14ac:dyDescent="0.25">
      <c r="A53" s="15">
        <v>1998</v>
      </c>
      <c r="B53" s="15">
        <v>4</v>
      </c>
      <c r="C53" s="15">
        <v>582.46539559519397</v>
      </c>
    </row>
    <row r="54" spans="1:3" x14ac:dyDescent="0.25">
      <c r="A54" s="15">
        <v>1998</v>
      </c>
      <c r="B54" s="15">
        <v>5</v>
      </c>
      <c r="C54" s="15">
        <v>572.15797983279901</v>
      </c>
    </row>
    <row r="55" spans="1:3" x14ac:dyDescent="0.25">
      <c r="A55" s="15">
        <v>1998</v>
      </c>
      <c r="B55" s="15">
        <v>6</v>
      </c>
      <c r="C55" s="15">
        <v>595.81279689187397</v>
      </c>
    </row>
    <row r="56" spans="1:3" x14ac:dyDescent="0.25">
      <c r="A56" s="15">
        <v>1998</v>
      </c>
      <c r="B56" s="15">
        <v>7</v>
      </c>
      <c r="C56" s="15">
        <v>577.08595606421795</v>
      </c>
    </row>
    <row r="57" spans="1:3" x14ac:dyDescent="0.25">
      <c r="A57" s="15">
        <v>1998</v>
      </c>
      <c r="B57" s="15">
        <v>8</v>
      </c>
      <c r="C57" s="15">
        <v>615.08959266000204</v>
      </c>
    </row>
    <row r="58" spans="1:3" x14ac:dyDescent="0.25">
      <c r="A58" s="15">
        <v>1998</v>
      </c>
      <c r="B58" s="15">
        <v>9</v>
      </c>
      <c r="C58" s="15">
        <v>581.46573527134694</v>
      </c>
    </row>
    <row r="59" spans="1:3" x14ac:dyDescent="0.25">
      <c r="A59" s="15">
        <v>1998</v>
      </c>
      <c r="B59" s="15">
        <v>10</v>
      </c>
      <c r="C59" s="15">
        <v>592.46647006101102</v>
      </c>
    </row>
    <row r="60" spans="1:3" x14ac:dyDescent="0.25">
      <c r="A60" s="15">
        <v>1998</v>
      </c>
      <c r="B60" s="15">
        <v>11</v>
      </c>
      <c r="C60" s="15">
        <v>595.04451536479803</v>
      </c>
    </row>
    <row r="61" spans="1:3" x14ac:dyDescent="0.25">
      <c r="A61" s="15">
        <v>1998</v>
      </c>
      <c r="B61" s="15">
        <v>12</v>
      </c>
      <c r="C61" s="15">
        <v>593.68206149297396</v>
      </c>
    </row>
    <row r="62" spans="1:3" x14ac:dyDescent="0.25">
      <c r="A62" s="15">
        <v>1999</v>
      </c>
      <c r="B62" s="15">
        <v>1</v>
      </c>
      <c r="C62" s="15">
        <v>604.55339954873796</v>
      </c>
    </row>
    <row r="63" spans="1:3" x14ac:dyDescent="0.25">
      <c r="A63" s="15">
        <v>1999</v>
      </c>
      <c r="B63" s="15">
        <v>2</v>
      </c>
      <c r="C63" s="15">
        <v>617.95942438660802</v>
      </c>
    </row>
    <row r="64" spans="1:3" x14ac:dyDescent="0.25">
      <c r="A64" s="15">
        <v>1999</v>
      </c>
      <c r="B64" s="15">
        <v>3</v>
      </c>
      <c r="C64" s="15">
        <v>598.20017594314504</v>
      </c>
    </row>
    <row r="65" spans="1:3" x14ac:dyDescent="0.25">
      <c r="A65" s="15">
        <v>1999</v>
      </c>
      <c r="B65" s="15">
        <v>4</v>
      </c>
      <c r="C65" s="15">
        <v>608.15495445326201</v>
      </c>
    </row>
    <row r="66" spans="1:3" x14ac:dyDescent="0.25">
      <c r="A66" s="15">
        <v>1999</v>
      </c>
      <c r="B66" s="15">
        <v>5</v>
      </c>
      <c r="C66" s="15">
        <v>661.897756422111</v>
      </c>
    </row>
    <row r="67" spans="1:3" x14ac:dyDescent="0.25">
      <c r="A67" s="15">
        <v>1999</v>
      </c>
      <c r="B67" s="15">
        <v>6</v>
      </c>
      <c r="C67" s="15">
        <v>620.94695891003505</v>
      </c>
    </row>
    <row r="68" spans="1:3" x14ac:dyDescent="0.25">
      <c r="A68" s="15">
        <v>1999</v>
      </c>
      <c r="B68" s="15">
        <v>7</v>
      </c>
      <c r="C68" s="15">
        <v>536.67808301231503</v>
      </c>
    </row>
    <row r="69" spans="1:3" x14ac:dyDescent="0.25">
      <c r="A69" s="15">
        <v>1999</v>
      </c>
      <c r="B69" s="15">
        <v>8</v>
      </c>
      <c r="C69" s="15">
        <v>569.77076659709201</v>
      </c>
    </row>
    <row r="70" spans="1:3" x14ac:dyDescent="0.25">
      <c r="A70" s="15">
        <v>1999</v>
      </c>
      <c r="B70" s="15">
        <v>9</v>
      </c>
      <c r="C70" s="15">
        <v>560.08525751539901</v>
      </c>
    </row>
    <row r="71" spans="1:3" x14ac:dyDescent="0.25">
      <c r="A71" s="15">
        <v>1999</v>
      </c>
      <c r="B71" s="15">
        <v>10</v>
      </c>
      <c r="C71" s="15">
        <v>583.92697269607504</v>
      </c>
    </row>
    <row r="72" spans="1:3" x14ac:dyDescent="0.25">
      <c r="A72" s="15">
        <v>1999</v>
      </c>
      <c r="B72" s="15">
        <v>11</v>
      </c>
      <c r="C72" s="15">
        <v>574.57731433817696</v>
      </c>
    </row>
    <row r="73" spans="1:3" x14ac:dyDescent="0.25">
      <c r="A73" s="15">
        <v>1999</v>
      </c>
      <c r="B73" s="15">
        <v>12</v>
      </c>
      <c r="C73" s="15">
        <v>534.14191241798801</v>
      </c>
    </row>
    <row r="74" spans="1:3" x14ac:dyDescent="0.25">
      <c r="A74" s="15">
        <v>2000</v>
      </c>
      <c r="B74" s="15">
        <v>1</v>
      </c>
      <c r="C74" s="15">
        <v>542.97653749440997</v>
      </c>
    </row>
    <row r="75" spans="1:3" x14ac:dyDescent="0.25">
      <c r="A75" s="15">
        <v>2000</v>
      </c>
      <c r="B75" s="15">
        <v>2</v>
      </c>
      <c r="C75" s="15">
        <v>516.92363624659401</v>
      </c>
    </row>
    <row r="76" spans="1:3" x14ac:dyDescent="0.25">
      <c r="A76" s="15">
        <v>2000</v>
      </c>
      <c r="B76" s="15">
        <v>3</v>
      </c>
      <c r="C76" s="15">
        <v>511.54203953695998</v>
      </c>
    </row>
    <row r="77" spans="1:3" x14ac:dyDescent="0.25">
      <c r="A77" s="15">
        <v>2000</v>
      </c>
      <c r="B77" s="15">
        <v>4</v>
      </c>
      <c r="C77" s="15">
        <v>511.79073371714901</v>
      </c>
    </row>
    <row r="78" spans="1:3" x14ac:dyDescent="0.25">
      <c r="A78" s="15">
        <v>2000</v>
      </c>
      <c r="B78" s="15">
        <v>5</v>
      </c>
      <c r="C78" s="15">
        <v>486.68604198664298</v>
      </c>
    </row>
    <row r="79" spans="1:3" x14ac:dyDescent="0.25">
      <c r="A79" s="15">
        <v>2000</v>
      </c>
      <c r="B79" s="15">
        <v>6</v>
      </c>
      <c r="C79" s="15">
        <v>456.32723032496801</v>
      </c>
    </row>
    <row r="80" spans="1:3" x14ac:dyDescent="0.25">
      <c r="A80" s="15">
        <v>2000</v>
      </c>
      <c r="B80" s="15">
        <v>7</v>
      </c>
      <c r="C80" s="15">
        <v>491.40801683306199</v>
      </c>
    </row>
    <row r="81" spans="1:3" x14ac:dyDescent="0.25">
      <c r="A81" s="15">
        <v>2000</v>
      </c>
      <c r="B81" s="15">
        <v>8</v>
      </c>
      <c r="C81" s="15">
        <v>501.037140201677</v>
      </c>
    </row>
    <row r="82" spans="1:3" x14ac:dyDescent="0.25">
      <c r="A82" s="15">
        <v>2000</v>
      </c>
      <c r="B82" s="15">
        <v>9</v>
      </c>
      <c r="C82" s="15">
        <v>506.12018209480902</v>
      </c>
    </row>
    <row r="83" spans="1:3" x14ac:dyDescent="0.25">
      <c r="A83" s="15">
        <v>2000</v>
      </c>
      <c r="B83" s="15">
        <v>10</v>
      </c>
      <c r="C83" s="15">
        <v>476.38741945233897</v>
      </c>
    </row>
    <row r="84" spans="1:3" x14ac:dyDescent="0.25">
      <c r="A84" s="15">
        <v>2000</v>
      </c>
      <c r="B84" s="15">
        <v>11</v>
      </c>
      <c r="C84" s="15">
        <v>494.59511792697998</v>
      </c>
    </row>
    <row r="85" spans="1:3" x14ac:dyDescent="0.25">
      <c r="A85" s="15">
        <v>2000</v>
      </c>
      <c r="B85" s="15">
        <v>12</v>
      </c>
      <c r="C85" s="15">
        <v>517.96287893588203</v>
      </c>
    </row>
    <row r="86" spans="1:3" x14ac:dyDescent="0.25">
      <c r="A86" s="15">
        <v>2001</v>
      </c>
      <c r="B86" s="15">
        <v>1</v>
      </c>
      <c r="C86" s="15">
        <v>492.01074348688002</v>
      </c>
    </row>
    <row r="87" spans="1:3" x14ac:dyDescent="0.25">
      <c r="A87" s="15">
        <v>2001</v>
      </c>
      <c r="B87" s="15">
        <v>2</v>
      </c>
      <c r="C87" s="15">
        <v>517.58540571160097</v>
      </c>
    </row>
    <row r="88" spans="1:3" x14ac:dyDescent="0.25">
      <c r="A88" s="15">
        <v>2001</v>
      </c>
      <c r="B88" s="15">
        <v>3</v>
      </c>
      <c r="C88" s="15">
        <v>452.87442198280502</v>
      </c>
    </row>
    <row r="89" spans="1:3" x14ac:dyDescent="0.25">
      <c r="A89" s="15">
        <v>2001</v>
      </c>
      <c r="B89" s="15">
        <v>4</v>
      </c>
      <c r="C89" s="15">
        <v>509.696165209443</v>
      </c>
    </row>
    <row r="90" spans="1:3" x14ac:dyDescent="0.25">
      <c r="A90" s="15">
        <v>2001</v>
      </c>
      <c r="B90" s="15">
        <v>5</v>
      </c>
      <c r="C90" s="15">
        <v>471.39272927124398</v>
      </c>
    </row>
    <row r="91" spans="1:3" x14ac:dyDescent="0.25">
      <c r="A91" s="15">
        <v>2001</v>
      </c>
      <c r="B91" s="15">
        <v>6</v>
      </c>
      <c r="C91" s="15">
        <v>456.20695532009</v>
      </c>
    </row>
    <row r="92" spans="1:3" x14ac:dyDescent="0.25">
      <c r="A92" s="15">
        <v>2001</v>
      </c>
      <c r="B92" s="15">
        <v>7</v>
      </c>
      <c r="C92" s="15">
        <v>461.54069125530901</v>
      </c>
    </row>
    <row r="93" spans="1:3" x14ac:dyDescent="0.25">
      <c r="A93" s="15">
        <v>2001</v>
      </c>
      <c r="B93" s="15">
        <v>8</v>
      </c>
      <c r="C93" s="15">
        <v>417.51161123154901</v>
      </c>
    </row>
    <row r="94" spans="1:3" x14ac:dyDescent="0.25">
      <c r="A94" s="15">
        <v>2001</v>
      </c>
      <c r="B94" s="15">
        <v>9</v>
      </c>
      <c r="C94" s="15">
        <v>407.05954723210601</v>
      </c>
    </row>
    <row r="95" spans="1:3" x14ac:dyDescent="0.25">
      <c r="A95" s="15">
        <v>2001</v>
      </c>
      <c r="B95" s="15">
        <v>10</v>
      </c>
      <c r="C95" s="15">
        <v>370.76101962872298</v>
      </c>
    </row>
    <row r="96" spans="1:3" x14ac:dyDescent="0.25">
      <c r="A96" s="15">
        <v>2001</v>
      </c>
      <c r="B96" s="15">
        <v>11</v>
      </c>
      <c r="C96" s="15">
        <v>403.70288225085801</v>
      </c>
    </row>
    <row r="97" spans="1:3" x14ac:dyDescent="0.25">
      <c r="A97" s="15">
        <v>2001</v>
      </c>
      <c r="B97" s="15">
        <v>12</v>
      </c>
      <c r="C97" s="15">
        <v>347.09680049046898</v>
      </c>
    </row>
    <row r="98" spans="1:3" x14ac:dyDescent="0.25">
      <c r="A98" s="15">
        <v>2002</v>
      </c>
      <c r="B98" s="15">
        <v>1</v>
      </c>
      <c r="C98" s="15">
        <v>299.665566369923</v>
      </c>
    </row>
    <row r="99" spans="1:3" x14ac:dyDescent="0.25">
      <c r="A99" s="15">
        <v>2002</v>
      </c>
      <c r="B99" s="15">
        <v>2</v>
      </c>
      <c r="C99" s="15">
        <v>302.24523150461698</v>
      </c>
    </row>
    <row r="100" spans="1:3" x14ac:dyDescent="0.25">
      <c r="A100" s="15">
        <v>2002</v>
      </c>
      <c r="B100" s="15">
        <v>3</v>
      </c>
      <c r="C100" s="15">
        <v>317.78451661317803</v>
      </c>
    </row>
    <row r="101" spans="1:3" x14ac:dyDescent="0.25">
      <c r="A101" s="15">
        <v>2002</v>
      </c>
      <c r="B101" s="15">
        <v>4</v>
      </c>
      <c r="C101" s="15">
        <v>297.69258232788002</v>
      </c>
    </row>
    <row r="102" spans="1:3" x14ac:dyDescent="0.25">
      <c r="A102" s="15">
        <v>2002</v>
      </c>
      <c r="B102" s="15">
        <v>5</v>
      </c>
      <c r="C102" s="15">
        <v>317.060341257282</v>
      </c>
    </row>
    <row r="103" spans="1:3" x14ac:dyDescent="0.25">
      <c r="A103" s="15">
        <v>2002</v>
      </c>
      <c r="B103" s="15">
        <v>6</v>
      </c>
      <c r="C103" s="15">
        <v>330.14923673151202</v>
      </c>
    </row>
    <row r="104" spans="1:3" x14ac:dyDescent="0.25">
      <c r="A104" s="15">
        <v>2002</v>
      </c>
      <c r="B104" s="15">
        <v>7</v>
      </c>
      <c r="C104" s="15">
        <v>310.43590686933601</v>
      </c>
    </row>
    <row r="105" spans="1:3" x14ac:dyDescent="0.25">
      <c r="A105" s="15">
        <v>2002</v>
      </c>
      <c r="B105" s="15">
        <v>8</v>
      </c>
      <c r="C105" s="15">
        <v>334.04941284346899</v>
      </c>
    </row>
    <row r="106" spans="1:3" x14ac:dyDescent="0.25">
      <c r="A106" s="15">
        <v>2002</v>
      </c>
      <c r="B106" s="15">
        <v>9</v>
      </c>
      <c r="C106" s="15">
        <v>326.19850909942102</v>
      </c>
    </row>
    <row r="107" spans="1:3" x14ac:dyDescent="0.25">
      <c r="A107" s="15">
        <v>2002</v>
      </c>
      <c r="B107" s="15">
        <v>10</v>
      </c>
      <c r="C107" s="15">
        <v>325.631365511512</v>
      </c>
    </row>
    <row r="108" spans="1:3" x14ac:dyDescent="0.25">
      <c r="A108" s="15">
        <v>2002</v>
      </c>
      <c r="B108" s="15">
        <v>11</v>
      </c>
      <c r="C108" s="15">
        <v>321.029093710957</v>
      </c>
    </row>
    <row r="109" spans="1:3" x14ac:dyDescent="0.25">
      <c r="A109" s="15">
        <v>2002</v>
      </c>
      <c r="B109" s="15">
        <v>12</v>
      </c>
      <c r="C109" s="15">
        <v>347.79823060790301</v>
      </c>
    </row>
    <row r="110" spans="1:3" x14ac:dyDescent="0.25">
      <c r="A110" s="15">
        <v>2003</v>
      </c>
      <c r="B110" s="15">
        <v>1</v>
      </c>
      <c r="C110" s="15">
        <v>373.463863592819</v>
      </c>
    </row>
    <row r="111" spans="1:3" x14ac:dyDescent="0.25">
      <c r="A111" s="15">
        <v>2003</v>
      </c>
      <c r="B111" s="15">
        <v>2</v>
      </c>
      <c r="C111" s="15">
        <v>374.61030812787999</v>
      </c>
    </row>
    <row r="112" spans="1:3" x14ac:dyDescent="0.25">
      <c r="A112" s="15">
        <v>2003</v>
      </c>
      <c r="B112" s="15">
        <v>3</v>
      </c>
      <c r="C112" s="15">
        <v>390.19346473061199</v>
      </c>
    </row>
    <row r="113" spans="1:3" x14ac:dyDescent="0.25">
      <c r="A113" s="15">
        <v>2003</v>
      </c>
      <c r="B113" s="15">
        <v>4</v>
      </c>
      <c r="C113" s="15">
        <v>378.75477763272897</v>
      </c>
    </row>
    <row r="114" spans="1:3" x14ac:dyDescent="0.25">
      <c r="A114" s="15">
        <v>2003</v>
      </c>
      <c r="B114" s="15">
        <v>5</v>
      </c>
      <c r="C114" s="15">
        <v>380.92686021629902</v>
      </c>
    </row>
    <row r="115" spans="1:3" x14ac:dyDescent="0.25">
      <c r="A115" s="15">
        <v>2003</v>
      </c>
      <c r="B115" s="15">
        <v>6</v>
      </c>
      <c r="C115" s="15">
        <v>400.675092050366</v>
      </c>
    </row>
    <row r="116" spans="1:3" x14ac:dyDescent="0.25">
      <c r="A116" s="15">
        <v>2003</v>
      </c>
      <c r="B116" s="15">
        <v>7</v>
      </c>
      <c r="C116" s="15">
        <v>411.86516132828598</v>
      </c>
    </row>
    <row r="117" spans="1:3" x14ac:dyDescent="0.25">
      <c r="A117" s="15">
        <v>2003</v>
      </c>
      <c r="B117" s="15">
        <v>8</v>
      </c>
      <c r="C117" s="15">
        <v>415.38763274181298</v>
      </c>
    </row>
    <row r="118" spans="1:3" x14ac:dyDescent="0.25">
      <c r="A118" s="15">
        <v>2003</v>
      </c>
      <c r="B118" s="15">
        <v>9</v>
      </c>
      <c r="C118" s="15">
        <v>432.37760877002398</v>
      </c>
    </row>
    <row r="119" spans="1:3" x14ac:dyDescent="0.25">
      <c r="A119" s="15">
        <v>2003</v>
      </c>
      <c r="B119" s="15">
        <v>10</v>
      </c>
      <c r="C119" s="15">
        <v>460.65380851252098</v>
      </c>
    </row>
    <row r="120" spans="1:3" x14ac:dyDescent="0.25">
      <c r="A120" s="15">
        <v>2003</v>
      </c>
      <c r="B120" s="15">
        <v>11</v>
      </c>
      <c r="C120" s="15">
        <v>458.16663525344302</v>
      </c>
    </row>
    <row r="121" spans="1:3" x14ac:dyDescent="0.25">
      <c r="A121" s="15">
        <v>2003</v>
      </c>
      <c r="B121" s="15">
        <v>12</v>
      </c>
      <c r="C121" s="15">
        <v>447.37842552904999</v>
      </c>
    </row>
    <row r="122" spans="1:3" x14ac:dyDescent="0.25">
      <c r="A122" s="15">
        <v>2004</v>
      </c>
      <c r="B122" s="15">
        <v>1</v>
      </c>
      <c r="C122" s="15">
        <v>466.63295868132002</v>
      </c>
    </row>
    <row r="123" spans="1:3" x14ac:dyDescent="0.25">
      <c r="A123" s="15">
        <v>2004</v>
      </c>
      <c r="B123" s="15">
        <v>2</v>
      </c>
      <c r="C123" s="15">
        <v>483.189313468835</v>
      </c>
    </row>
    <row r="124" spans="1:3" x14ac:dyDescent="0.25">
      <c r="A124" s="15">
        <v>2004</v>
      </c>
      <c r="B124" s="15">
        <v>3</v>
      </c>
      <c r="C124" s="15">
        <v>513.58828152335104</v>
      </c>
    </row>
    <row r="125" spans="1:3" x14ac:dyDescent="0.25">
      <c r="A125" s="15">
        <v>2004</v>
      </c>
      <c r="B125" s="15">
        <v>4</v>
      </c>
      <c r="C125" s="15">
        <v>426.29511573487201</v>
      </c>
    </row>
    <row r="126" spans="1:3" x14ac:dyDescent="0.25">
      <c r="A126" s="15">
        <v>2004</v>
      </c>
      <c r="B126" s="15">
        <v>5</v>
      </c>
      <c r="C126" s="15">
        <v>486.924782476806</v>
      </c>
    </row>
    <row r="127" spans="1:3" x14ac:dyDescent="0.25">
      <c r="A127" s="15">
        <v>2004</v>
      </c>
      <c r="B127" s="15">
        <v>6</v>
      </c>
      <c r="C127" s="15">
        <v>499.19594330164301</v>
      </c>
    </row>
    <row r="128" spans="1:3" x14ac:dyDescent="0.25">
      <c r="A128" s="15">
        <v>2004</v>
      </c>
      <c r="B128" s="15">
        <v>7</v>
      </c>
      <c r="C128" s="15">
        <v>496.50268625828301</v>
      </c>
    </row>
    <row r="129" spans="1:3" x14ac:dyDescent="0.25">
      <c r="A129" s="15">
        <v>2004</v>
      </c>
      <c r="B129" s="15">
        <v>8</v>
      </c>
      <c r="C129" s="15">
        <v>489.58748219025102</v>
      </c>
    </row>
    <row r="130" spans="1:3" x14ac:dyDescent="0.25">
      <c r="A130" s="15">
        <v>2004</v>
      </c>
      <c r="B130" s="15">
        <v>9</v>
      </c>
      <c r="C130" s="15">
        <v>522.13339309453397</v>
      </c>
    </row>
    <row r="131" spans="1:3" x14ac:dyDescent="0.25">
      <c r="A131" s="15">
        <v>2004</v>
      </c>
      <c r="B131" s="15">
        <v>10</v>
      </c>
      <c r="C131" s="15">
        <v>520.618452463979</v>
      </c>
    </row>
    <row r="132" spans="1:3" x14ac:dyDescent="0.25">
      <c r="A132" s="15">
        <v>2004</v>
      </c>
      <c r="B132" s="15">
        <v>11</v>
      </c>
      <c r="C132" s="15">
        <v>524.24198828389694</v>
      </c>
    </row>
    <row r="133" spans="1:3" x14ac:dyDescent="0.25">
      <c r="A133" s="15">
        <v>2004</v>
      </c>
      <c r="B133" s="15">
        <v>12</v>
      </c>
      <c r="C133" s="15">
        <v>545.21799067097299</v>
      </c>
    </row>
    <row r="134" spans="1:3" x14ac:dyDescent="0.25">
      <c r="A134" s="15">
        <v>2005</v>
      </c>
      <c r="B134" s="15">
        <v>1</v>
      </c>
      <c r="C134" s="15">
        <v>570.75544431095705</v>
      </c>
    </row>
    <row r="135" spans="1:3" x14ac:dyDescent="0.25">
      <c r="A135" s="15">
        <v>2005</v>
      </c>
      <c r="B135" s="15">
        <v>2</v>
      </c>
      <c r="C135" s="15">
        <v>555.68656773237899</v>
      </c>
    </row>
    <row r="136" spans="1:3" x14ac:dyDescent="0.25">
      <c r="A136" s="15">
        <v>2005</v>
      </c>
      <c r="B136" s="15">
        <v>3</v>
      </c>
      <c r="C136" s="15">
        <v>557.42012090440801</v>
      </c>
    </row>
    <row r="137" spans="1:3" x14ac:dyDescent="0.25">
      <c r="A137" s="15">
        <v>2005</v>
      </c>
      <c r="B137" s="15">
        <v>4</v>
      </c>
      <c r="C137" s="15">
        <v>595.34153328554601</v>
      </c>
    </row>
    <row r="138" spans="1:3" x14ac:dyDescent="0.25">
      <c r="A138" s="15">
        <v>2005</v>
      </c>
      <c r="B138" s="15">
        <v>5</v>
      </c>
      <c r="C138" s="15">
        <v>596.02050563857802</v>
      </c>
    </row>
    <row r="139" spans="1:3" x14ac:dyDescent="0.25">
      <c r="A139" s="15">
        <v>2005</v>
      </c>
      <c r="B139" s="15">
        <v>6</v>
      </c>
      <c r="C139" s="15">
        <v>555.54180353242998</v>
      </c>
    </row>
    <row r="140" spans="1:3" x14ac:dyDescent="0.25">
      <c r="A140" s="15">
        <v>2005</v>
      </c>
      <c r="B140" s="15">
        <v>7</v>
      </c>
      <c r="C140" s="15">
        <v>606.89622897980598</v>
      </c>
    </row>
    <row r="141" spans="1:3" x14ac:dyDescent="0.25">
      <c r="A141" s="15">
        <v>2005</v>
      </c>
      <c r="B141" s="15">
        <v>8</v>
      </c>
      <c r="C141" s="15">
        <v>628.43360104169801</v>
      </c>
    </row>
    <row r="142" spans="1:3" x14ac:dyDescent="0.25">
      <c r="A142" s="15">
        <v>2005</v>
      </c>
      <c r="B142" s="15">
        <v>9</v>
      </c>
      <c r="C142" s="15">
        <v>641.99970830668303</v>
      </c>
    </row>
    <row r="143" spans="1:3" x14ac:dyDescent="0.25">
      <c r="A143" s="15">
        <v>2005</v>
      </c>
      <c r="B143" s="15">
        <v>10</v>
      </c>
      <c r="C143" s="15">
        <v>681.93898755427006</v>
      </c>
    </row>
    <row r="144" spans="1:3" x14ac:dyDescent="0.25">
      <c r="A144" s="15">
        <v>2005</v>
      </c>
      <c r="B144" s="15">
        <v>11</v>
      </c>
      <c r="C144" s="15">
        <v>664.77119379878002</v>
      </c>
    </row>
    <row r="145" spans="1:3" x14ac:dyDescent="0.25">
      <c r="A145" s="15">
        <v>2005</v>
      </c>
      <c r="B145" s="15">
        <v>12</v>
      </c>
      <c r="C145" s="15">
        <v>703.93650098269404</v>
      </c>
    </row>
    <row r="146" spans="1:3" x14ac:dyDescent="0.25">
      <c r="A146" s="15">
        <v>2006</v>
      </c>
      <c r="B146" s="15">
        <v>1</v>
      </c>
      <c r="C146" s="15">
        <v>673.339609907061</v>
      </c>
    </row>
    <row r="147" spans="1:3" x14ac:dyDescent="0.25">
      <c r="A147" s="15">
        <v>2006</v>
      </c>
      <c r="B147" s="15">
        <v>2</v>
      </c>
      <c r="C147" s="15">
        <v>711.18270592691795</v>
      </c>
    </row>
    <row r="148" spans="1:3" x14ac:dyDescent="0.25">
      <c r="A148" s="15">
        <v>2006</v>
      </c>
      <c r="B148" s="15">
        <v>3</v>
      </c>
      <c r="C148" s="15">
        <v>726.16181056507003</v>
      </c>
    </row>
    <row r="149" spans="1:3" x14ac:dyDescent="0.25">
      <c r="A149" s="15">
        <v>2006</v>
      </c>
      <c r="B149" s="15">
        <v>4</v>
      </c>
      <c r="C149" s="15">
        <v>749.28863675596597</v>
      </c>
    </row>
    <row r="150" spans="1:3" x14ac:dyDescent="0.25">
      <c r="A150" s="15">
        <v>2006</v>
      </c>
      <c r="B150" s="15">
        <v>5</v>
      </c>
      <c r="C150" s="15">
        <v>733.30368096959603</v>
      </c>
    </row>
    <row r="151" spans="1:3" x14ac:dyDescent="0.25">
      <c r="A151" s="15">
        <v>2006</v>
      </c>
      <c r="B151" s="15">
        <v>6</v>
      </c>
      <c r="C151" s="15">
        <v>706.47766904155299</v>
      </c>
    </row>
    <row r="152" spans="1:3" x14ac:dyDescent="0.25">
      <c r="A152" s="15">
        <v>2006</v>
      </c>
      <c r="B152" s="15">
        <v>7</v>
      </c>
      <c r="C152" s="15">
        <v>748.50377505210099</v>
      </c>
    </row>
    <row r="153" spans="1:3" x14ac:dyDescent="0.25">
      <c r="A153" s="15">
        <v>2006</v>
      </c>
      <c r="B153" s="15">
        <v>8</v>
      </c>
      <c r="C153" s="15">
        <v>761.16473202213001</v>
      </c>
    </row>
    <row r="154" spans="1:3" x14ac:dyDescent="0.25">
      <c r="A154" s="15">
        <v>2006</v>
      </c>
      <c r="B154" s="15">
        <v>9</v>
      </c>
      <c r="C154" s="15">
        <v>749.22293348211099</v>
      </c>
    </row>
    <row r="155" spans="1:3" x14ac:dyDescent="0.25">
      <c r="A155" s="15">
        <v>2006</v>
      </c>
      <c r="B155" s="15">
        <v>10</v>
      </c>
      <c r="C155" s="15">
        <v>715.70340373500903</v>
      </c>
    </row>
    <row r="156" spans="1:3" x14ac:dyDescent="0.25">
      <c r="A156" s="15">
        <v>2006</v>
      </c>
      <c r="B156" s="15">
        <v>11</v>
      </c>
      <c r="C156" s="15">
        <v>766.07068153869898</v>
      </c>
    </row>
    <row r="157" spans="1:3" x14ac:dyDescent="0.25">
      <c r="A157" s="15">
        <v>2006</v>
      </c>
      <c r="B157" s="15">
        <v>12</v>
      </c>
      <c r="C157" s="15">
        <v>741.87537185081305</v>
      </c>
    </row>
    <row r="158" spans="1:3" x14ac:dyDescent="0.25">
      <c r="A158" s="15">
        <v>2007</v>
      </c>
      <c r="B158" s="15">
        <v>1</v>
      </c>
      <c r="C158" s="15">
        <v>738.69594388736505</v>
      </c>
    </row>
    <row r="159" spans="1:3" x14ac:dyDescent="0.25">
      <c r="A159" s="15">
        <v>2007</v>
      </c>
      <c r="B159" s="15">
        <v>2</v>
      </c>
      <c r="C159" s="15">
        <v>810.56525165697099</v>
      </c>
    </row>
    <row r="160" spans="1:3" x14ac:dyDescent="0.25">
      <c r="A160" s="15">
        <v>2007</v>
      </c>
      <c r="B160" s="15">
        <v>3</v>
      </c>
      <c r="C160" s="15">
        <v>735.510620933989</v>
      </c>
    </row>
    <row r="161" spans="1:3" x14ac:dyDescent="0.25">
      <c r="A161" s="15">
        <v>2007</v>
      </c>
      <c r="B161" s="15">
        <v>4</v>
      </c>
      <c r="C161" s="15">
        <v>744.70516552056404</v>
      </c>
    </row>
    <row r="162" spans="1:3" x14ac:dyDescent="0.25">
      <c r="A162" s="15">
        <v>2007</v>
      </c>
      <c r="B162" s="15">
        <v>5</v>
      </c>
      <c r="C162" s="15">
        <v>826.33321986234898</v>
      </c>
    </row>
    <row r="163" spans="1:3" x14ac:dyDescent="0.25">
      <c r="A163" s="15">
        <v>2007</v>
      </c>
      <c r="B163" s="15">
        <v>6</v>
      </c>
      <c r="C163" s="15">
        <v>825.949310572125</v>
      </c>
    </row>
    <row r="164" spans="1:3" x14ac:dyDescent="0.25">
      <c r="A164" s="15">
        <v>2007</v>
      </c>
      <c r="B164" s="15">
        <v>7</v>
      </c>
      <c r="C164" s="15">
        <v>801.62914672279305</v>
      </c>
    </row>
    <row r="165" spans="1:3" x14ac:dyDescent="0.25">
      <c r="A165" s="15">
        <v>2007</v>
      </c>
      <c r="B165" s="15">
        <v>8</v>
      </c>
      <c r="C165" s="15">
        <v>788.22155593866</v>
      </c>
    </row>
    <row r="166" spans="1:3" x14ac:dyDescent="0.25">
      <c r="A166" s="15">
        <v>2007</v>
      </c>
      <c r="B166" s="15">
        <v>9</v>
      </c>
      <c r="C166" s="15">
        <v>749.97562598749005</v>
      </c>
    </row>
    <row r="167" spans="1:3" x14ac:dyDescent="0.25">
      <c r="A167" s="15">
        <v>2007</v>
      </c>
      <c r="B167" s="15">
        <v>10</v>
      </c>
      <c r="C167" s="15">
        <v>792.78583635122504</v>
      </c>
    </row>
    <row r="168" spans="1:3" x14ac:dyDescent="0.25">
      <c r="A168" s="15">
        <v>2007</v>
      </c>
      <c r="B168" s="15">
        <v>11</v>
      </c>
      <c r="C168" s="15">
        <v>836.48057555392097</v>
      </c>
    </row>
    <row r="169" spans="1:3" x14ac:dyDescent="0.25">
      <c r="A169" s="15">
        <v>2007</v>
      </c>
      <c r="B169" s="15">
        <v>12</v>
      </c>
      <c r="C169" s="15">
        <v>835.76392490248497</v>
      </c>
    </row>
    <row r="170" spans="1:3" x14ac:dyDescent="0.25">
      <c r="A170" s="15">
        <v>2008</v>
      </c>
      <c r="B170" s="15">
        <v>1</v>
      </c>
      <c r="C170" s="15">
        <v>817.46836621361297</v>
      </c>
    </row>
    <row r="171" spans="1:3" x14ac:dyDescent="0.25">
      <c r="A171" s="15">
        <v>2008</v>
      </c>
      <c r="B171" s="15">
        <v>2</v>
      </c>
      <c r="C171" s="15">
        <v>807.24348459439796</v>
      </c>
    </row>
    <row r="172" spans="1:3" x14ac:dyDescent="0.25">
      <c r="A172" s="15">
        <v>2008</v>
      </c>
      <c r="B172" s="15">
        <v>3</v>
      </c>
      <c r="C172" s="15">
        <v>774.82007980766605</v>
      </c>
    </row>
    <row r="173" spans="1:3" x14ac:dyDescent="0.25">
      <c r="A173" s="15">
        <v>2008</v>
      </c>
      <c r="B173" s="15">
        <v>4</v>
      </c>
      <c r="C173" s="15">
        <v>899.56130401146197</v>
      </c>
    </row>
    <row r="174" spans="1:3" x14ac:dyDescent="0.25">
      <c r="A174" s="15">
        <v>2008</v>
      </c>
      <c r="B174" s="15">
        <v>5</v>
      </c>
      <c r="C174" s="15">
        <v>821.80404068116502</v>
      </c>
    </row>
    <row r="175" spans="1:3" x14ac:dyDescent="0.25">
      <c r="A175" s="15">
        <v>2008</v>
      </c>
      <c r="B175" s="15">
        <v>6</v>
      </c>
      <c r="C175" s="15">
        <v>759.09122275968798</v>
      </c>
    </row>
    <row r="176" spans="1:3" x14ac:dyDescent="0.25">
      <c r="A176" s="15">
        <v>2008</v>
      </c>
      <c r="B176" s="15">
        <v>7</v>
      </c>
      <c r="C176" s="15">
        <v>841.99998067479305</v>
      </c>
    </row>
    <row r="177" spans="1:3" x14ac:dyDescent="0.25">
      <c r="A177" s="15">
        <v>2008</v>
      </c>
      <c r="B177" s="15">
        <v>8</v>
      </c>
      <c r="C177" s="15">
        <v>793.95008609578804</v>
      </c>
    </row>
    <row r="178" spans="1:3" x14ac:dyDescent="0.25">
      <c r="A178" s="15">
        <v>2008</v>
      </c>
      <c r="B178" s="15">
        <v>9</v>
      </c>
      <c r="C178" s="15">
        <v>829.28487160287</v>
      </c>
    </row>
    <row r="179" spans="1:3" x14ac:dyDescent="0.25">
      <c r="A179" s="15">
        <v>2008</v>
      </c>
      <c r="B179" s="15">
        <v>10</v>
      </c>
      <c r="C179" s="15">
        <v>778.31233044666897</v>
      </c>
    </row>
    <row r="180" spans="1:3" x14ac:dyDescent="0.25">
      <c r="A180" s="15">
        <v>2008</v>
      </c>
      <c r="B180" s="15">
        <v>11</v>
      </c>
      <c r="C180" s="15">
        <v>770.46488104299397</v>
      </c>
    </row>
    <row r="181" spans="1:3" x14ac:dyDescent="0.25">
      <c r="A181" s="15">
        <v>2008</v>
      </c>
      <c r="B181" s="15">
        <v>12</v>
      </c>
      <c r="C181" s="15">
        <v>705.40849352821704</v>
      </c>
    </row>
    <row r="182" spans="1:3" x14ac:dyDescent="0.25">
      <c r="A182" s="15">
        <v>2009</v>
      </c>
      <c r="B182" s="15">
        <v>1</v>
      </c>
      <c r="C182" s="15">
        <v>756.22006664924197</v>
      </c>
    </row>
    <row r="183" spans="1:3" x14ac:dyDescent="0.25">
      <c r="A183" s="15">
        <v>2009</v>
      </c>
      <c r="B183" s="15">
        <v>2</v>
      </c>
      <c r="C183" s="15">
        <v>768.43388028895595</v>
      </c>
    </row>
    <row r="184" spans="1:3" x14ac:dyDescent="0.25">
      <c r="A184" s="15">
        <v>2009</v>
      </c>
      <c r="B184" s="15">
        <v>3</v>
      </c>
      <c r="C184" s="15">
        <v>799.96657146428299</v>
      </c>
    </row>
    <row r="185" spans="1:3" x14ac:dyDescent="0.25">
      <c r="A185" s="15">
        <v>2009</v>
      </c>
      <c r="B185" s="15">
        <v>4</v>
      </c>
      <c r="C185" s="15">
        <v>779.82528170701403</v>
      </c>
    </row>
    <row r="186" spans="1:3" x14ac:dyDescent="0.25">
      <c r="A186" s="15">
        <v>2009</v>
      </c>
      <c r="B186" s="15">
        <v>5</v>
      </c>
      <c r="C186" s="15">
        <v>745.64533601698395</v>
      </c>
    </row>
    <row r="187" spans="1:3" x14ac:dyDescent="0.25">
      <c r="A187" s="15">
        <v>2009</v>
      </c>
      <c r="B187" s="15">
        <v>6</v>
      </c>
      <c r="C187" s="15">
        <v>810.54143906397906</v>
      </c>
    </row>
    <row r="188" spans="1:3" x14ac:dyDescent="0.25">
      <c r="A188" s="15">
        <v>2009</v>
      </c>
      <c r="B188" s="15">
        <v>7</v>
      </c>
      <c r="C188" s="15">
        <v>769.55487502744597</v>
      </c>
    </row>
    <row r="189" spans="1:3" x14ac:dyDescent="0.25">
      <c r="A189" s="15">
        <v>2009</v>
      </c>
      <c r="B189" s="15">
        <v>8</v>
      </c>
      <c r="C189" s="15">
        <v>798.57073242902504</v>
      </c>
    </row>
    <row r="190" spans="1:3" x14ac:dyDescent="0.25">
      <c r="A190" s="15">
        <v>2009</v>
      </c>
      <c r="B190" s="15">
        <v>9</v>
      </c>
      <c r="C190" s="15">
        <v>724.50217837828995</v>
      </c>
    </row>
    <row r="191" spans="1:3" x14ac:dyDescent="0.25">
      <c r="A191" s="15">
        <v>2009</v>
      </c>
      <c r="B191" s="15">
        <v>10</v>
      </c>
      <c r="C191" s="15">
        <v>790.23023130805097</v>
      </c>
    </row>
    <row r="192" spans="1:3" x14ac:dyDescent="0.25">
      <c r="A192" s="15">
        <v>2009</v>
      </c>
      <c r="B192" s="15">
        <v>11</v>
      </c>
      <c r="C192" s="15">
        <v>733.09037428403803</v>
      </c>
    </row>
    <row r="193" spans="1:3" x14ac:dyDescent="0.25">
      <c r="A193" s="15">
        <v>2009</v>
      </c>
      <c r="B193" s="15">
        <v>12</v>
      </c>
      <c r="C193" s="15">
        <v>751.08700162709204</v>
      </c>
    </row>
    <row r="194" spans="1:3" x14ac:dyDescent="0.25">
      <c r="A194" s="15">
        <v>2010</v>
      </c>
      <c r="B194" s="15">
        <v>1</v>
      </c>
      <c r="C194" s="15">
        <v>792.355474149732</v>
      </c>
    </row>
    <row r="195" spans="1:3" x14ac:dyDescent="0.25">
      <c r="A195" s="15">
        <v>2010</v>
      </c>
      <c r="B195" s="15">
        <v>2</v>
      </c>
      <c r="C195" s="15">
        <v>784.28847184147105</v>
      </c>
    </row>
    <row r="196" spans="1:3" x14ac:dyDescent="0.25">
      <c r="A196" s="15">
        <v>2010</v>
      </c>
      <c r="B196" s="15">
        <v>3</v>
      </c>
      <c r="C196" s="15">
        <v>884.99528730536201</v>
      </c>
    </row>
    <row r="197" spans="1:3" x14ac:dyDescent="0.25">
      <c r="A197" s="15">
        <v>2010</v>
      </c>
      <c r="B197" s="15">
        <v>4</v>
      </c>
      <c r="C197" s="15">
        <v>819.18400049230695</v>
      </c>
    </row>
    <row r="198" spans="1:3" x14ac:dyDescent="0.25">
      <c r="A198" s="15">
        <v>2010</v>
      </c>
      <c r="B198" s="15">
        <v>5</v>
      </c>
      <c r="C198" s="15">
        <v>817.11956904584804</v>
      </c>
    </row>
    <row r="199" spans="1:3" x14ac:dyDescent="0.25">
      <c r="A199" s="15">
        <v>2010</v>
      </c>
      <c r="B199" s="15">
        <v>6</v>
      </c>
      <c r="C199" s="15">
        <v>809.37074200998404</v>
      </c>
    </row>
    <row r="200" spans="1:3" x14ac:dyDescent="0.25">
      <c r="A200" s="15">
        <v>2010</v>
      </c>
      <c r="B200" s="15">
        <v>7</v>
      </c>
      <c r="C200" s="15">
        <v>820.08246204816805</v>
      </c>
    </row>
    <row r="201" spans="1:3" x14ac:dyDescent="0.25">
      <c r="A201" s="15">
        <v>2010</v>
      </c>
      <c r="B201" s="15">
        <v>8</v>
      </c>
      <c r="C201" s="15">
        <v>848.94906297194598</v>
      </c>
    </row>
    <row r="202" spans="1:3" x14ac:dyDescent="0.25">
      <c r="A202" s="15">
        <v>2010</v>
      </c>
      <c r="B202" s="15">
        <v>9</v>
      </c>
      <c r="C202" s="15">
        <v>846.92055266888303</v>
      </c>
    </row>
    <row r="203" spans="1:3" x14ac:dyDescent="0.25">
      <c r="A203" s="15">
        <v>2010</v>
      </c>
      <c r="B203" s="15">
        <v>10</v>
      </c>
      <c r="C203" s="15">
        <v>869.532823398392</v>
      </c>
    </row>
    <row r="204" spans="1:3" x14ac:dyDescent="0.25">
      <c r="A204" s="15">
        <v>2010</v>
      </c>
      <c r="B204" s="15">
        <v>11</v>
      </c>
      <c r="C204" s="15">
        <v>914.09066577380304</v>
      </c>
    </row>
    <row r="205" spans="1:3" x14ac:dyDescent="0.25">
      <c r="A205" s="15">
        <v>2010</v>
      </c>
      <c r="B205" s="15">
        <v>12</v>
      </c>
      <c r="C205" s="15">
        <v>923.14568525458401</v>
      </c>
    </row>
    <row r="206" spans="1:3" x14ac:dyDescent="0.25">
      <c r="A206" s="15">
        <v>2011</v>
      </c>
      <c r="B206" s="15">
        <v>1</v>
      </c>
      <c r="C206" s="15">
        <v>932.04861467559499</v>
      </c>
    </row>
    <row r="207" spans="1:3" x14ac:dyDescent="0.25">
      <c r="A207" s="15">
        <v>2011</v>
      </c>
      <c r="B207" s="15">
        <v>2</v>
      </c>
      <c r="C207" s="15">
        <v>938.61374979393304</v>
      </c>
    </row>
    <row r="208" spans="1:3" x14ac:dyDescent="0.25">
      <c r="A208" s="15">
        <v>2011</v>
      </c>
      <c r="B208" s="15">
        <v>3</v>
      </c>
      <c r="C208" s="15">
        <v>914.00175906054596</v>
      </c>
    </row>
    <row r="209" spans="1:3" x14ac:dyDescent="0.25">
      <c r="A209" s="15">
        <v>2011</v>
      </c>
      <c r="B209" s="15">
        <v>4</v>
      </c>
      <c r="C209" s="15">
        <v>958.13472393559096</v>
      </c>
    </row>
    <row r="210" spans="1:3" x14ac:dyDescent="0.25">
      <c r="A210" s="15">
        <v>2011</v>
      </c>
      <c r="B210" s="15">
        <v>5</v>
      </c>
      <c r="C210" s="15">
        <v>1014.95505067435</v>
      </c>
    </row>
    <row r="211" spans="1:3" x14ac:dyDescent="0.25">
      <c r="A211" s="15">
        <v>2011</v>
      </c>
      <c r="B211" s="15">
        <v>6</v>
      </c>
      <c r="C211" s="15">
        <v>913.20299737205301</v>
      </c>
    </row>
    <row r="212" spans="1:3" x14ac:dyDescent="0.25">
      <c r="A212" s="15">
        <v>2011</v>
      </c>
      <c r="B212" s="15">
        <v>7</v>
      </c>
      <c r="C212" s="15">
        <v>927.27649410640504</v>
      </c>
    </row>
    <row r="213" spans="1:3" x14ac:dyDescent="0.25">
      <c r="A213" s="15">
        <v>2011</v>
      </c>
      <c r="B213" s="15">
        <v>8</v>
      </c>
      <c r="C213" s="15">
        <v>921.85474337980099</v>
      </c>
    </row>
    <row r="214" spans="1:3" x14ac:dyDescent="0.25">
      <c r="A214" s="15">
        <v>2011</v>
      </c>
      <c r="B214" s="15">
        <v>9</v>
      </c>
      <c r="C214" s="15">
        <v>986.70183315209499</v>
      </c>
    </row>
    <row r="215" spans="1:3" x14ac:dyDescent="0.25">
      <c r="A215" s="15">
        <v>2011</v>
      </c>
      <c r="B215" s="15">
        <v>10</v>
      </c>
      <c r="C215" s="15">
        <v>952.65842644475697</v>
      </c>
    </row>
    <row r="216" spans="1:3" x14ac:dyDescent="0.25">
      <c r="A216" s="15">
        <v>2011</v>
      </c>
      <c r="B216" s="15">
        <v>11</v>
      </c>
      <c r="C216" s="15">
        <v>954.68104214098298</v>
      </c>
    </row>
    <row r="217" spans="1:3" x14ac:dyDescent="0.25">
      <c r="A217" s="15">
        <v>2011</v>
      </c>
      <c r="B217" s="15">
        <v>12</v>
      </c>
      <c r="C217" s="15">
        <v>962.93068154456898</v>
      </c>
    </row>
    <row r="218" spans="1:3" x14ac:dyDescent="0.25">
      <c r="A218" s="15">
        <v>2012</v>
      </c>
      <c r="B218" s="15">
        <v>1</v>
      </c>
      <c r="C218" s="15">
        <v>912.96033022831296</v>
      </c>
    </row>
    <row r="219" spans="1:3" x14ac:dyDescent="0.25">
      <c r="A219" s="15">
        <v>2012</v>
      </c>
      <c r="B219" s="15">
        <v>2</v>
      </c>
      <c r="C219" s="15">
        <v>849.06738303032</v>
      </c>
    </row>
    <row r="220" spans="1:3" x14ac:dyDescent="0.25">
      <c r="A220" s="15">
        <v>2012</v>
      </c>
      <c r="B220" s="15">
        <v>3</v>
      </c>
      <c r="C220" s="15">
        <v>964.329959581038</v>
      </c>
    </row>
    <row r="221" spans="1:3" x14ac:dyDescent="0.25">
      <c r="A221" s="15">
        <v>2012</v>
      </c>
      <c r="B221" s="15">
        <v>4</v>
      </c>
      <c r="C221" s="15">
        <v>835.522491360544</v>
      </c>
    </row>
    <row r="222" spans="1:3" x14ac:dyDescent="0.25">
      <c r="A222" s="15">
        <v>2012</v>
      </c>
      <c r="B222" s="15">
        <v>5</v>
      </c>
      <c r="C222" s="15">
        <v>869.46193330439598</v>
      </c>
    </row>
    <row r="223" spans="1:3" x14ac:dyDescent="0.25">
      <c r="A223" s="15">
        <v>2012</v>
      </c>
      <c r="B223" s="15">
        <v>6</v>
      </c>
      <c r="C223" s="15">
        <v>904.52755870393798</v>
      </c>
    </row>
    <row r="224" spans="1:3" x14ac:dyDescent="0.25">
      <c r="A224" s="15">
        <v>2012</v>
      </c>
      <c r="B224" s="15">
        <v>7</v>
      </c>
      <c r="C224" s="15">
        <v>918.11396247956998</v>
      </c>
    </row>
    <row r="225" spans="1:3" x14ac:dyDescent="0.25">
      <c r="A225" s="15">
        <v>2012</v>
      </c>
      <c r="B225" s="15">
        <v>8</v>
      </c>
      <c r="C225" s="15">
        <v>764.03039264357801</v>
      </c>
    </row>
    <row r="226" spans="1:3" x14ac:dyDescent="0.25">
      <c r="A226" s="15">
        <v>2012</v>
      </c>
      <c r="B226" s="15">
        <v>9</v>
      </c>
      <c r="C226" s="15">
        <v>858.260403105607</v>
      </c>
    </row>
    <row r="227" spans="1:3" x14ac:dyDescent="0.25">
      <c r="A227" s="15">
        <v>2012</v>
      </c>
      <c r="B227" s="15">
        <v>10</v>
      </c>
      <c r="C227" s="15">
        <v>844.32225477223403</v>
      </c>
    </row>
    <row r="228" spans="1:3" x14ac:dyDescent="0.25">
      <c r="A228" s="15">
        <v>2012</v>
      </c>
      <c r="B228" s="15">
        <v>11</v>
      </c>
      <c r="C228" s="15">
        <v>869.66185281640298</v>
      </c>
    </row>
    <row r="229" spans="1:3" x14ac:dyDescent="0.25">
      <c r="A229" s="15">
        <v>2012</v>
      </c>
      <c r="B229" s="15">
        <v>12</v>
      </c>
      <c r="C229" s="15">
        <v>866.50206890199502</v>
      </c>
    </row>
    <row r="230" spans="1:3" x14ac:dyDescent="0.25">
      <c r="A230" s="15">
        <v>2013</v>
      </c>
      <c r="B230" s="15">
        <v>1</v>
      </c>
      <c r="C230" s="15">
        <v>918.29416057237199</v>
      </c>
    </row>
    <row r="231" spans="1:3" x14ac:dyDescent="0.25">
      <c r="A231" s="15">
        <v>2013</v>
      </c>
      <c r="B231" s="15">
        <v>2</v>
      </c>
      <c r="C231" s="15">
        <v>938.97781990924796</v>
      </c>
    </row>
    <row r="232" spans="1:3" x14ac:dyDescent="0.25">
      <c r="A232" s="15">
        <v>2013</v>
      </c>
      <c r="B232" s="15">
        <v>3</v>
      </c>
      <c r="C232" s="15">
        <v>950.16838818502799</v>
      </c>
    </row>
    <row r="233" spans="1:3" x14ac:dyDescent="0.25">
      <c r="A233" s="15">
        <v>2013</v>
      </c>
      <c r="B233" s="15">
        <v>4</v>
      </c>
      <c r="C233" s="15">
        <v>973.52252920344802</v>
      </c>
    </row>
    <row r="234" spans="1:3" x14ac:dyDescent="0.25">
      <c r="A234" s="15">
        <v>2013</v>
      </c>
      <c r="B234" s="15">
        <v>5</v>
      </c>
      <c r="C234" s="15">
        <v>988.02745728302796</v>
      </c>
    </row>
    <row r="235" spans="1:3" x14ac:dyDescent="0.25">
      <c r="A235" s="15">
        <v>2013</v>
      </c>
      <c r="B235" s="15">
        <v>6</v>
      </c>
      <c r="C235" s="15">
        <v>978.234645997391</v>
      </c>
    </row>
    <row r="236" spans="1:3" x14ac:dyDescent="0.25">
      <c r="A236" s="15">
        <v>2013</v>
      </c>
      <c r="B236" s="15">
        <v>7</v>
      </c>
      <c r="C236" s="15">
        <v>990.73850859688298</v>
      </c>
    </row>
    <row r="237" spans="1:3" x14ac:dyDescent="0.25">
      <c r="A237" s="15">
        <v>2013</v>
      </c>
      <c r="B237" s="15">
        <v>8</v>
      </c>
      <c r="C237" s="15">
        <v>987.80134069589405</v>
      </c>
    </row>
    <row r="238" spans="1:3" x14ac:dyDescent="0.25">
      <c r="A238" s="15">
        <v>2013</v>
      </c>
      <c r="B238" s="15">
        <v>9</v>
      </c>
      <c r="C238" s="15">
        <v>985.17640295920705</v>
      </c>
    </row>
    <row r="239" spans="1:3" x14ac:dyDescent="0.25">
      <c r="A239" s="15">
        <v>2013</v>
      </c>
      <c r="B239" s="15">
        <v>10</v>
      </c>
      <c r="C239" s="15">
        <v>1002.60025479542</v>
      </c>
    </row>
    <row r="240" spans="1:3" x14ac:dyDescent="0.25">
      <c r="A240" s="15">
        <v>2013</v>
      </c>
      <c r="B240" s="15">
        <v>11</v>
      </c>
      <c r="C240" s="15">
        <v>966.40328388014404</v>
      </c>
    </row>
    <row r="241" spans="1:3" x14ac:dyDescent="0.25">
      <c r="A241" s="15">
        <v>2013</v>
      </c>
      <c r="B241" s="15">
        <v>12</v>
      </c>
      <c r="C241" s="15">
        <v>970.87628103524401</v>
      </c>
    </row>
    <row r="242" spans="1:3" x14ac:dyDescent="0.25">
      <c r="A242" s="15">
        <v>2014</v>
      </c>
      <c r="B242" s="15">
        <v>1</v>
      </c>
      <c r="C242" s="15">
        <v>940.108003061923</v>
      </c>
    </row>
    <row r="243" spans="1:3" x14ac:dyDescent="0.25">
      <c r="A243" s="15">
        <v>2014</v>
      </c>
      <c r="B243" s="15">
        <v>2</v>
      </c>
      <c r="C243" s="15">
        <v>913.01271355397103</v>
      </c>
    </row>
    <row r="244" spans="1:3" x14ac:dyDescent="0.25">
      <c r="A244" s="15">
        <v>2014</v>
      </c>
      <c r="B244" s="15">
        <v>3</v>
      </c>
      <c r="C244" s="15">
        <v>954.07219979220702</v>
      </c>
    </row>
    <row r="245" spans="1:3" x14ac:dyDescent="0.25">
      <c r="A245" s="15">
        <v>2014</v>
      </c>
      <c r="B245" s="15">
        <v>4</v>
      </c>
      <c r="C245" s="15">
        <v>927.48902345007002</v>
      </c>
    </row>
    <row r="246" spans="1:3" x14ac:dyDescent="0.25">
      <c r="A246" s="15">
        <v>2014</v>
      </c>
      <c r="B246" s="15">
        <v>5</v>
      </c>
      <c r="C246" s="15">
        <v>930.827074070962</v>
      </c>
    </row>
    <row r="247" spans="1:3" x14ac:dyDescent="0.25">
      <c r="A247" s="15">
        <v>2014</v>
      </c>
      <c r="B247" s="15">
        <v>6</v>
      </c>
      <c r="C247" s="15">
        <v>930.19674545972703</v>
      </c>
    </row>
    <row r="248" spans="1:3" x14ac:dyDescent="0.25">
      <c r="A248" s="15">
        <v>2014</v>
      </c>
      <c r="B248" s="15">
        <v>7</v>
      </c>
      <c r="C248" s="15">
        <v>931.39154056911002</v>
      </c>
    </row>
    <row r="249" spans="1:3" x14ac:dyDescent="0.25">
      <c r="A249" s="15">
        <v>2014</v>
      </c>
      <c r="B249" s="15">
        <v>8</v>
      </c>
      <c r="C249" s="15">
        <v>936.88415851753996</v>
      </c>
    </row>
    <row r="250" spans="1:3" x14ac:dyDescent="0.25">
      <c r="A250" s="15">
        <v>2014</v>
      </c>
      <c r="B250" s="15">
        <v>9</v>
      </c>
      <c r="C250" s="15">
        <v>943.94623948269498</v>
      </c>
    </row>
    <row r="251" spans="1:3" x14ac:dyDescent="0.25">
      <c r="A251" s="15">
        <v>2014</v>
      </c>
      <c r="B251" s="15">
        <v>10</v>
      </c>
      <c r="C251" s="15">
        <v>963.96310937144904</v>
      </c>
    </row>
    <row r="252" spans="1:3" x14ac:dyDescent="0.25">
      <c r="A252" s="15">
        <v>2014</v>
      </c>
      <c r="B252" s="15">
        <v>11</v>
      </c>
      <c r="C252" s="15">
        <v>972.51412314585605</v>
      </c>
    </row>
    <row r="253" spans="1:3" x14ac:dyDescent="0.25">
      <c r="A253" s="15">
        <v>2014</v>
      </c>
      <c r="B253" s="15">
        <v>12</v>
      </c>
      <c r="C253" s="15">
        <v>918.22381087209101</v>
      </c>
    </row>
    <row r="254" spans="1:3" x14ac:dyDescent="0.25">
      <c r="A254" s="15">
        <v>2015</v>
      </c>
      <c r="B254" s="15">
        <v>1</v>
      </c>
      <c r="C254" s="15">
        <v>980.58034563485103</v>
      </c>
    </row>
    <row r="255" spans="1:3" x14ac:dyDescent="0.25">
      <c r="A255" s="15">
        <v>2015</v>
      </c>
      <c r="B255" s="15">
        <v>2</v>
      </c>
      <c r="C255" s="15">
        <v>1035.7891803064199</v>
      </c>
    </row>
    <row r="256" spans="1:3" x14ac:dyDescent="0.25">
      <c r="A256" s="15">
        <v>2015</v>
      </c>
      <c r="B256" s="15">
        <v>3</v>
      </c>
      <c r="C256" s="15">
        <v>983.75987038086203</v>
      </c>
    </row>
    <row r="257" spans="1:3" x14ac:dyDescent="0.25">
      <c r="A257" s="15">
        <v>2015</v>
      </c>
      <c r="B257" s="15">
        <v>4</v>
      </c>
      <c r="C257" s="15">
        <v>1112.25695224685</v>
      </c>
    </row>
    <row r="258" spans="1:3" x14ac:dyDescent="0.25">
      <c r="A258" s="15">
        <v>2015</v>
      </c>
      <c r="B258" s="15">
        <v>5</v>
      </c>
      <c r="C258" s="15">
        <v>1040.8998204729501</v>
      </c>
    </row>
    <row r="259" spans="1:3" x14ac:dyDescent="0.25">
      <c r="A259" s="15">
        <v>2015</v>
      </c>
      <c r="B259" s="15">
        <v>6</v>
      </c>
      <c r="C259" s="15">
        <v>1056.5634146798</v>
      </c>
    </row>
    <row r="260" spans="1:3" x14ac:dyDescent="0.25">
      <c r="A260" s="15">
        <v>2015</v>
      </c>
      <c r="B260" s="15">
        <v>7</v>
      </c>
      <c r="C260" s="15">
        <v>1038.69682388205</v>
      </c>
    </row>
    <row r="261" spans="1:3" x14ac:dyDescent="0.25">
      <c r="A261" s="15">
        <v>2015</v>
      </c>
      <c r="B261" s="15">
        <v>8</v>
      </c>
      <c r="C261" s="15">
        <v>937.54342713449603</v>
      </c>
    </row>
    <row r="262" spans="1:3" x14ac:dyDescent="0.25">
      <c r="A262" s="15">
        <v>2015</v>
      </c>
      <c r="B262" s="15">
        <v>9</v>
      </c>
      <c r="C262" s="15">
        <v>1011.08046187323</v>
      </c>
    </row>
    <row r="263" spans="1:3" x14ac:dyDescent="0.25">
      <c r="A263" s="15">
        <v>2015</v>
      </c>
      <c r="B263" s="15">
        <v>10</v>
      </c>
      <c r="C263" s="15">
        <v>1009.36887023729</v>
      </c>
    </row>
    <row r="264" spans="1:3" x14ac:dyDescent="0.25">
      <c r="A264" s="15">
        <v>2015</v>
      </c>
      <c r="B264" s="15">
        <v>11</v>
      </c>
      <c r="C264" s="15">
        <v>953.42641499937099</v>
      </c>
    </row>
    <row r="265" spans="1:3" x14ac:dyDescent="0.25">
      <c r="A265" s="15">
        <v>2015</v>
      </c>
      <c r="B265" s="15">
        <v>12</v>
      </c>
      <c r="C265" s="15">
        <v>960.15614822933799</v>
      </c>
    </row>
    <row r="266" spans="1:3" x14ac:dyDescent="0.25">
      <c r="A266" s="15">
        <v>2016</v>
      </c>
      <c r="B266" s="15">
        <v>1</v>
      </c>
      <c r="C266" s="15">
        <v>935.97609844177896</v>
      </c>
    </row>
    <row r="267" spans="1:3" x14ac:dyDescent="0.25">
      <c r="A267" s="15">
        <v>2016</v>
      </c>
      <c r="B267" s="15">
        <v>2</v>
      </c>
      <c r="C267" s="15">
        <v>908.22320535085305</v>
      </c>
    </row>
    <row r="268" spans="1:3" x14ac:dyDescent="0.25">
      <c r="A268" s="15">
        <v>2016</v>
      </c>
      <c r="B268" s="15">
        <v>3</v>
      </c>
      <c r="C268" s="15">
        <v>867.73119653904803</v>
      </c>
    </row>
    <row r="269" spans="1:3" x14ac:dyDescent="0.25">
      <c r="A269" s="15">
        <v>2016</v>
      </c>
      <c r="B269" s="15">
        <v>4</v>
      </c>
      <c r="C269" s="15">
        <v>805.11110022103003</v>
      </c>
    </row>
    <row r="270" spans="1:3" x14ac:dyDescent="0.25">
      <c r="A270" s="15">
        <v>2016</v>
      </c>
      <c r="B270" s="15">
        <v>5</v>
      </c>
      <c r="C270" s="15">
        <v>917.04194565550597</v>
      </c>
    </row>
    <row r="271" spans="1:3" x14ac:dyDescent="0.25">
      <c r="A271" s="15">
        <v>2016</v>
      </c>
      <c r="B271" s="15">
        <v>6</v>
      </c>
      <c r="C271" s="15">
        <v>875.41342778733497</v>
      </c>
    </row>
    <row r="272" spans="1:3" x14ac:dyDescent="0.25">
      <c r="A272" s="15">
        <v>2016</v>
      </c>
      <c r="B272" s="15">
        <v>7</v>
      </c>
      <c r="C272" s="15">
        <v>857.70531838950103</v>
      </c>
    </row>
    <row r="273" spans="1:3" x14ac:dyDescent="0.25">
      <c r="A273" s="15">
        <v>2016</v>
      </c>
      <c r="B273" s="15">
        <v>8</v>
      </c>
      <c r="C273" s="15">
        <v>929.10643075970404</v>
      </c>
    </row>
    <row r="274" spans="1:3" x14ac:dyDescent="0.25">
      <c r="A274" s="15">
        <v>2016</v>
      </c>
      <c r="B274" s="15">
        <v>9</v>
      </c>
      <c r="C274" s="15">
        <v>889.63685209989399</v>
      </c>
    </row>
    <row r="275" spans="1:3" x14ac:dyDescent="0.25">
      <c r="A275" s="15">
        <v>2016</v>
      </c>
      <c r="B275" s="15">
        <v>10</v>
      </c>
      <c r="C275" s="15">
        <v>877.29577337518697</v>
      </c>
    </row>
    <row r="276" spans="1:3" x14ac:dyDescent="0.25">
      <c r="A276" s="15">
        <v>2016</v>
      </c>
      <c r="B276" s="15">
        <v>11</v>
      </c>
      <c r="C276" s="15">
        <v>923.88115892555004</v>
      </c>
    </row>
    <row r="277" spans="1:3" x14ac:dyDescent="0.25">
      <c r="A277" s="15">
        <v>2016</v>
      </c>
      <c r="B277" s="15">
        <v>12</v>
      </c>
      <c r="C277" s="15">
        <v>976.29410710697505</v>
      </c>
    </row>
    <row r="278" spans="1:3" x14ac:dyDescent="0.25">
      <c r="A278" s="15">
        <v>2017</v>
      </c>
      <c r="B278" s="15">
        <v>1</v>
      </c>
      <c r="C278" s="15">
        <v>939.09122994085203</v>
      </c>
    </row>
    <row r="279" spans="1:3" x14ac:dyDescent="0.25">
      <c r="A279" s="15">
        <v>2017</v>
      </c>
      <c r="B279" s="15">
        <v>2</v>
      </c>
      <c r="C279" s="15">
        <v>929.37285457833002</v>
      </c>
    </row>
    <row r="280" spans="1:3" x14ac:dyDescent="0.25">
      <c r="A280" s="15">
        <v>2017</v>
      </c>
      <c r="B280" s="15">
        <v>3</v>
      </c>
      <c r="C280" s="15">
        <v>998.10496833073205</v>
      </c>
    </row>
    <row r="281" spans="1:3" x14ac:dyDescent="0.25">
      <c r="A281" s="15">
        <v>2017</v>
      </c>
      <c r="B281" s="15">
        <v>4</v>
      </c>
      <c r="C281" s="15">
        <v>948.28893357484799</v>
      </c>
    </row>
    <row r="282" spans="1:3" x14ac:dyDescent="0.25">
      <c r="A282" s="15">
        <v>2017</v>
      </c>
      <c r="B282" s="15">
        <v>5</v>
      </c>
      <c r="C282" s="15">
        <v>976.16949363378205</v>
      </c>
    </row>
    <row r="283" spans="1:3" x14ac:dyDescent="0.25">
      <c r="A283" s="15">
        <v>2017</v>
      </c>
      <c r="B283" s="15">
        <v>6</v>
      </c>
      <c r="C283" s="15">
        <v>998.71781336320396</v>
      </c>
    </row>
    <row r="284" spans="1:3" x14ac:dyDescent="0.25">
      <c r="A284" s="15">
        <v>2017</v>
      </c>
      <c r="B284" s="15">
        <v>7</v>
      </c>
      <c r="C284" s="15">
        <v>1043.8352962665499</v>
      </c>
    </row>
    <row r="285" spans="1:3" x14ac:dyDescent="0.25">
      <c r="A285" s="15">
        <v>2017</v>
      </c>
      <c r="B285" s="15">
        <v>8</v>
      </c>
      <c r="C285" s="15">
        <v>981.26652049829204</v>
      </c>
    </row>
    <row r="286" spans="1:3" x14ac:dyDescent="0.25">
      <c r="A286" s="15">
        <v>2017</v>
      </c>
      <c r="B286" s="15">
        <v>9</v>
      </c>
      <c r="C286" s="15">
        <v>1013.98776688677</v>
      </c>
    </row>
    <row r="287" spans="1:3" x14ac:dyDescent="0.25">
      <c r="A287" s="15">
        <v>2017</v>
      </c>
      <c r="B287" s="15">
        <v>10</v>
      </c>
      <c r="C287" s="15">
        <v>1046.22802780749</v>
      </c>
    </row>
    <row r="288" spans="1:3" x14ac:dyDescent="0.25">
      <c r="A288" s="15">
        <v>2017</v>
      </c>
      <c r="B288" s="15">
        <v>11</v>
      </c>
      <c r="C288" s="15">
        <v>1088.4017248254199</v>
      </c>
    </row>
    <row r="289" spans="1:3" x14ac:dyDescent="0.25">
      <c r="A289" s="15">
        <v>2017</v>
      </c>
      <c r="B289" s="15">
        <v>12</v>
      </c>
      <c r="C289" s="15">
        <v>1064.87709542485</v>
      </c>
    </row>
    <row r="290" spans="1:3" x14ac:dyDescent="0.25">
      <c r="A290" s="15">
        <v>2018</v>
      </c>
      <c r="B290" s="15">
        <v>1</v>
      </c>
      <c r="C290" s="15">
        <v>1074.79952257387</v>
      </c>
    </row>
    <row r="291" spans="1:3" x14ac:dyDescent="0.25">
      <c r="A291" s="15">
        <v>2018</v>
      </c>
      <c r="B291" s="15">
        <v>2</v>
      </c>
      <c r="C291" s="15">
        <v>1058.15439051471</v>
      </c>
    </row>
    <row r="292" spans="1:3" x14ac:dyDescent="0.25">
      <c r="A292" s="15">
        <v>2018</v>
      </c>
      <c r="B292" s="15">
        <v>3</v>
      </c>
      <c r="C292" s="15">
        <v>1067.53470902345</v>
      </c>
    </row>
    <row r="293" spans="1:3" x14ac:dyDescent="0.25">
      <c r="A293" s="15">
        <v>2018</v>
      </c>
      <c r="B293" s="15">
        <v>4</v>
      </c>
      <c r="C293" s="15">
        <v>1060.39757154938</v>
      </c>
    </row>
    <row r="294" spans="1:3" x14ac:dyDescent="0.25">
      <c r="A294" s="15">
        <v>2018</v>
      </c>
      <c r="B294" s="15">
        <v>5</v>
      </c>
      <c r="C294" s="15">
        <v>942.04817217222501</v>
      </c>
    </row>
    <row r="295" spans="1:3" x14ac:dyDescent="0.25">
      <c r="A295" s="15">
        <v>2018</v>
      </c>
      <c r="B295" s="15">
        <v>6</v>
      </c>
      <c r="C295" s="15">
        <v>990.613178671019</v>
      </c>
    </row>
    <row r="296" spans="1:3" x14ac:dyDescent="0.25">
      <c r="A296" s="15">
        <v>2018</v>
      </c>
      <c r="B296" s="15">
        <v>7</v>
      </c>
      <c r="C296" s="15">
        <v>940.52886038595398</v>
      </c>
    </row>
    <row r="297" spans="1:3" x14ac:dyDescent="0.25">
      <c r="A297" s="15">
        <v>2018</v>
      </c>
      <c r="B297" s="15">
        <v>8</v>
      </c>
      <c r="C297" s="15">
        <v>971.98487136616302</v>
      </c>
    </row>
    <row r="298" spans="1:3" x14ac:dyDescent="0.25">
      <c r="A298" s="15">
        <v>2018</v>
      </c>
      <c r="B298" s="15">
        <v>9</v>
      </c>
      <c r="C298" s="15">
        <v>959.74345078806095</v>
      </c>
    </row>
    <row r="299" spans="1:3" x14ac:dyDescent="0.25">
      <c r="A299" s="15">
        <v>2018</v>
      </c>
      <c r="B299" s="15">
        <v>10</v>
      </c>
      <c r="C299" s="15">
        <v>923.68252125056404</v>
      </c>
    </row>
    <row r="300" spans="1:3" x14ac:dyDescent="0.25">
      <c r="A300" s="15">
        <v>2018</v>
      </c>
      <c r="B300" s="15">
        <v>11</v>
      </c>
      <c r="C300" s="15">
        <v>885.49291124717604</v>
      </c>
    </row>
    <row r="301" spans="1:3" x14ac:dyDescent="0.25">
      <c r="A301" s="15">
        <v>2018</v>
      </c>
      <c r="B301" s="15">
        <v>12</v>
      </c>
      <c r="C301" s="15">
        <v>894.53163120837905</v>
      </c>
    </row>
    <row r="302" spans="1:3" x14ac:dyDescent="0.25">
      <c r="A302" s="15">
        <v>2019</v>
      </c>
      <c r="B302" s="15">
        <v>1</v>
      </c>
      <c r="C302" s="15">
        <v>921.63104384214705</v>
      </c>
    </row>
    <row r="303" spans="1:3" x14ac:dyDescent="0.25">
      <c r="A303" s="15">
        <v>2019</v>
      </c>
      <c r="B303" s="15">
        <v>2</v>
      </c>
      <c r="C303" s="15">
        <v>1069.53236499685</v>
      </c>
    </row>
    <row r="304" spans="1:3" x14ac:dyDescent="0.25">
      <c r="A304" s="15">
        <v>2019</v>
      </c>
      <c r="B304" s="15">
        <v>3</v>
      </c>
      <c r="C304" s="15">
        <v>970.40275487066401</v>
      </c>
    </row>
    <row r="305" spans="1:3" x14ac:dyDescent="0.25">
      <c r="A305" s="15">
        <v>2019</v>
      </c>
      <c r="B305" s="15">
        <v>4</v>
      </c>
      <c r="C305" s="15">
        <v>956.74640813456404</v>
      </c>
    </row>
    <row r="306" spans="1:3" x14ac:dyDescent="0.25">
      <c r="A306" s="15">
        <v>2019</v>
      </c>
      <c r="B306" s="15">
        <v>5</v>
      </c>
      <c r="C306" s="15">
        <v>980.73309578469696</v>
      </c>
    </row>
    <row r="307" spans="1:3" x14ac:dyDescent="0.25">
      <c r="A307" s="15">
        <v>2019</v>
      </c>
      <c r="B307" s="15">
        <v>6</v>
      </c>
      <c r="C307" s="15">
        <v>929.728626642167</v>
      </c>
    </row>
    <row r="308" spans="1:3" x14ac:dyDescent="0.25">
      <c r="A308" s="15">
        <v>2019</v>
      </c>
      <c r="B308" s="15">
        <v>7</v>
      </c>
      <c r="C308" s="15">
        <v>956.27132428074003</v>
      </c>
    </row>
    <row r="309" spans="1:3" x14ac:dyDescent="0.25">
      <c r="A309" s="15">
        <v>2019</v>
      </c>
      <c r="B309" s="15">
        <v>8</v>
      </c>
      <c r="C309" s="15">
        <v>931.46293511602801</v>
      </c>
    </row>
    <row r="310" spans="1:3" x14ac:dyDescent="0.25">
      <c r="A310" s="15">
        <v>2019</v>
      </c>
      <c r="B310" s="15">
        <v>9</v>
      </c>
      <c r="C310" s="15">
        <v>873.55137799219597</v>
      </c>
    </row>
    <row r="311" spans="1:3" x14ac:dyDescent="0.25">
      <c r="A311" s="15">
        <v>2019</v>
      </c>
      <c r="B311" s="15">
        <v>10</v>
      </c>
      <c r="C311" s="15">
        <v>836.44862900385203</v>
      </c>
    </row>
    <row r="312" spans="1:3" x14ac:dyDescent="0.25">
      <c r="A312" s="15">
        <v>2019</v>
      </c>
      <c r="B312" s="15">
        <v>11</v>
      </c>
      <c r="C312" s="15">
        <v>809.45801905283497</v>
      </c>
    </row>
    <row r="313" spans="1:3" x14ac:dyDescent="0.25">
      <c r="A313" s="15">
        <v>2019</v>
      </c>
      <c r="B313" s="15">
        <v>12</v>
      </c>
      <c r="C313" s="15">
        <v>785.27163792629005</v>
      </c>
    </row>
    <row r="314" spans="1:3" x14ac:dyDescent="0.25">
      <c r="A314" s="15">
        <v>2020</v>
      </c>
      <c r="B314" s="15">
        <v>1</v>
      </c>
      <c r="C314" s="15">
        <v>786.25754508518105</v>
      </c>
    </row>
    <row r="315" spans="1:3" x14ac:dyDescent="0.25">
      <c r="A315" s="15">
        <v>2020</v>
      </c>
      <c r="B315" s="15">
        <v>2</v>
      </c>
      <c r="C315" s="15">
        <v>783.06178673623003</v>
      </c>
    </row>
    <row r="316" spans="1:3" x14ac:dyDescent="0.25">
      <c r="A316" s="15">
        <v>2020</v>
      </c>
      <c r="B316" s="15">
        <v>3</v>
      </c>
      <c r="C316" s="15">
        <v>519.529121123614</v>
      </c>
    </row>
    <row r="317" spans="1:3" x14ac:dyDescent="0.25">
      <c r="A317" s="15">
        <v>2020</v>
      </c>
      <c r="B317" s="15">
        <v>4</v>
      </c>
      <c r="C317" s="15">
        <v>433.82357789439698</v>
      </c>
    </row>
    <row r="318" spans="1:3" x14ac:dyDescent="0.25">
      <c r="A318" s="15">
        <v>2020</v>
      </c>
      <c r="B318" s="15">
        <v>5</v>
      </c>
      <c r="C318" s="15">
        <v>692.761143251558</v>
      </c>
    </row>
    <row r="319" spans="1:3" x14ac:dyDescent="0.25">
      <c r="A319" s="15">
        <v>2020</v>
      </c>
      <c r="B319" s="15">
        <v>6</v>
      </c>
      <c r="C319" s="15">
        <v>810.03641960914399</v>
      </c>
    </row>
    <row r="320" spans="1:3" x14ac:dyDescent="0.25">
      <c r="A320" s="15">
        <v>2020</v>
      </c>
      <c r="B320" s="15">
        <v>7</v>
      </c>
      <c r="C320" s="15">
        <v>811.05911227609204</v>
      </c>
    </row>
    <row r="321" spans="1:3" x14ac:dyDescent="0.25">
      <c r="A321" s="15">
        <v>2020</v>
      </c>
      <c r="B321" s="15">
        <v>8</v>
      </c>
      <c r="C321" s="15">
        <v>860.76544728700105</v>
      </c>
    </row>
    <row r="322" spans="1:3" x14ac:dyDescent="0.25">
      <c r="A322" s="15">
        <v>2020</v>
      </c>
      <c r="B322" s="15">
        <v>9</v>
      </c>
      <c r="C322" s="15">
        <v>917.57668406099299</v>
      </c>
    </row>
    <row r="323" spans="1:3" x14ac:dyDescent="0.25">
      <c r="A323" s="15">
        <v>2020</v>
      </c>
      <c r="B323" s="15">
        <v>10</v>
      </c>
      <c r="C323" s="15">
        <v>946.67786672479804</v>
      </c>
    </row>
    <row r="324" spans="1:3" x14ac:dyDescent="0.25">
      <c r="A324" s="15">
        <v>2020</v>
      </c>
      <c r="B324" s="15">
        <v>11</v>
      </c>
      <c r="C324" s="15">
        <v>1049.39579030955</v>
      </c>
    </row>
    <row r="325" spans="1:3" x14ac:dyDescent="0.25">
      <c r="A325" s="15">
        <v>2020</v>
      </c>
      <c r="B325" s="15">
        <v>12</v>
      </c>
      <c r="C325" s="15">
        <v>1018.72391224715</v>
      </c>
    </row>
    <row r="326" spans="1:3" x14ac:dyDescent="0.25">
      <c r="A326" s="15">
        <v>2021</v>
      </c>
      <c r="B326" s="15">
        <v>1</v>
      </c>
      <c r="C326" s="15">
        <v>995.84559751681797</v>
      </c>
    </row>
    <row r="327" spans="1:3" x14ac:dyDescent="0.25">
      <c r="A327" s="15">
        <v>2021</v>
      </c>
      <c r="B327" s="15">
        <v>2</v>
      </c>
      <c r="C327" s="15">
        <v>944.54217936724399</v>
      </c>
    </row>
    <row r="328" spans="1:3" x14ac:dyDescent="0.25">
      <c r="A328" s="15">
        <v>2021</v>
      </c>
      <c r="B328" s="15">
        <v>3</v>
      </c>
      <c r="C328" s="15">
        <v>994.41276209343903</v>
      </c>
    </row>
    <row r="329" spans="1:3" x14ac:dyDescent="0.25">
      <c r="A329" s="15">
        <v>2021</v>
      </c>
      <c r="B329" s="15">
        <v>4</v>
      </c>
      <c r="C329" s="15">
        <v>990.61201364271597</v>
      </c>
    </row>
    <row r="330" spans="1:3" x14ac:dyDescent="0.25">
      <c r="A330" s="15">
        <v>2021</v>
      </c>
      <c r="B330" s="15">
        <v>5</v>
      </c>
      <c r="C330" s="15">
        <v>958.72767511059499</v>
      </c>
    </row>
    <row r="331" spans="1:3" x14ac:dyDescent="0.25">
      <c r="A331" s="15">
        <v>2021</v>
      </c>
      <c r="B331" s="15">
        <v>6</v>
      </c>
      <c r="C331" s="15">
        <v>969.45419338220199</v>
      </c>
    </row>
    <row r="332" spans="1:3" x14ac:dyDescent="0.25">
      <c r="A332" s="15">
        <v>2021</v>
      </c>
      <c r="B332" s="15">
        <v>7</v>
      </c>
      <c r="C332" s="15">
        <v>994.77753475046495</v>
      </c>
    </row>
    <row r="333" spans="1:3" x14ac:dyDescent="0.25">
      <c r="A333" s="15">
        <v>2021</v>
      </c>
      <c r="B333" s="15">
        <v>8</v>
      </c>
      <c r="C333" s="15">
        <v>980.64486341694396</v>
      </c>
    </row>
    <row r="334" spans="1:3" x14ac:dyDescent="0.25">
      <c r="A334" s="15">
        <v>2021</v>
      </c>
      <c r="B334" s="15">
        <v>9</v>
      </c>
      <c r="C334" s="15">
        <v>998.30742575427701</v>
      </c>
    </row>
    <row r="335" spans="1:3" x14ac:dyDescent="0.25">
      <c r="A335" s="15">
        <v>2021</v>
      </c>
      <c r="B335" s="15">
        <v>10</v>
      </c>
      <c r="C335" s="15">
        <v>1030.30647743434</v>
      </c>
    </row>
    <row r="336" spans="1:3" x14ac:dyDescent="0.25">
      <c r="A336" s="15">
        <v>2021</v>
      </c>
      <c r="B336" s="15">
        <v>11</v>
      </c>
      <c r="C336" s="15">
        <v>1046.5281530207999</v>
      </c>
    </row>
    <row r="337" spans="1:3" x14ac:dyDescent="0.25">
      <c r="A337" s="15">
        <v>2021</v>
      </c>
      <c r="B337" s="15">
        <v>12</v>
      </c>
      <c r="C337" s="15">
        <v>1065.09807150648</v>
      </c>
    </row>
    <row r="338" spans="1:3" x14ac:dyDescent="0.25">
      <c r="A338" s="15">
        <v>2022</v>
      </c>
      <c r="B338" s="15">
        <v>1</v>
      </c>
      <c r="C338" s="15">
        <v>1006.1384700912801</v>
      </c>
    </row>
    <row r="339" spans="1:3" x14ac:dyDescent="0.25">
      <c r="A339" s="15">
        <v>2022</v>
      </c>
      <c r="B339" s="15">
        <v>2</v>
      </c>
      <c r="C339" s="15">
        <v>1099.39419217759</v>
      </c>
    </row>
    <row r="340" spans="1:3" x14ac:dyDescent="0.25">
      <c r="A340" s="15">
        <v>2022</v>
      </c>
      <c r="B340" s="15">
        <v>3</v>
      </c>
      <c r="C340" s="15">
        <v>1081.49719024602</v>
      </c>
    </row>
    <row r="341" spans="1:3" x14ac:dyDescent="0.25">
      <c r="A341" s="15">
        <v>2022</v>
      </c>
      <c r="B341" s="15">
        <v>4</v>
      </c>
      <c r="C341" s="15">
        <v>1098.75438424103</v>
      </c>
    </row>
    <row r="342" spans="1:3" x14ac:dyDescent="0.25">
      <c r="A342" s="15">
        <v>2022</v>
      </c>
      <c r="B342" s="15">
        <v>5</v>
      </c>
      <c r="C342" s="15">
        <v>1150.6899445204799</v>
      </c>
    </row>
    <row r="343" spans="1:3" x14ac:dyDescent="0.25">
      <c r="A343" s="15">
        <v>2022</v>
      </c>
      <c r="B343" s="15">
        <v>6</v>
      </c>
      <c r="C343" s="15">
        <v>1128.9731822415799</v>
      </c>
    </row>
    <row r="344" spans="1:3" x14ac:dyDescent="0.25">
      <c r="A344" s="15">
        <v>2022</v>
      </c>
      <c r="B344" s="15">
        <v>7</v>
      </c>
      <c r="C344" s="15">
        <v>1116.83973371658</v>
      </c>
    </row>
    <row r="345" spans="1:3" x14ac:dyDescent="0.25">
      <c r="A345" s="15">
        <v>2022</v>
      </c>
      <c r="B345" s="15">
        <v>8</v>
      </c>
      <c r="C345" s="15">
        <v>1079.97902611825</v>
      </c>
    </row>
    <row r="346" spans="1:3" x14ac:dyDescent="0.25">
      <c r="A346" s="15">
        <v>2022</v>
      </c>
      <c r="B346" s="15">
        <v>9</v>
      </c>
      <c r="C346" s="15">
        <v>1066.17649028696</v>
      </c>
    </row>
    <row r="347" spans="1:3" x14ac:dyDescent="0.25">
      <c r="A347" s="15">
        <v>2022</v>
      </c>
      <c r="B347" s="15">
        <v>10</v>
      </c>
      <c r="C347" s="15">
        <v>1042.1277447176601</v>
      </c>
    </row>
    <row r="348" spans="1:3" x14ac:dyDescent="0.25">
      <c r="A348" s="15">
        <v>2022</v>
      </c>
      <c r="B348" s="15">
        <v>11</v>
      </c>
      <c r="C348" s="15">
        <v>1043.6275338626699</v>
      </c>
    </row>
    <row r="349" spans="1:3" x14ac:dyDescent="0.25">
      <c r="A349" s="15">
        <v>2022</v>
      </c>
      <c r="B349" s="15">
        <v>12</v>
      </c>
      <c r="C349" s="15">
        <v>990.85361310588905</v>
      </c>
    </row>
    <row r="350" spans="1:3" x14ac:dyDescent="0.25">
      <c r="A350" s="15">
        <v>2023</v>
      </c>
      <c r="B350" s="15">
        <v>1</v>
      </c>
      <c r="C350" s="15">
        <v>1061.5788376999601</v>
      </c>
    </row>
    <row r="351" spans="1:3" x14ac:dyDescent="0.25">
      <c r="A351" s="15">
        <v>2023</v>
      </c>
      <c r="B351" s="15">
        <v>2</v>
      </c>
      <c r="C351" s="15">
        <v>1056.5923647137299</v>
      </c>
    </row>
    <row r="352" spans="1:3" x14ac:dyDescent="0.25">
      <c r="A352" s="15">
        <v>2023</v>
      </c>
      <c r="B352" s="15">
        <v>3</v>
      </c>
      <c r="C352" s="15">
        <v>1156.23906285505</v>
      </c>
    </row>
    <row r="353" spans="1:3" x14ac:dyDescent="0.25">
      <c r="A353" s="15">
        <v>2023</v>
      </c>
      <c r="B353" s="15">
        <v>4</v>
      </c>
      <c r="C353" s="15">
        <v>1143.51909933559</v>
      </c>
    </row>
    <row r="354" spans="1:3" x14ac:dyDescent="0.25">
      <c r="A354" s="15">
        <v>2023</v>
      </c>
      <c r="B354" s="15">
        <v>5</v>
      </c>
      <c r="C354" s="15">
        <v>1098.83556765669</v>
      </c>
    </row>
    <row r="355" spans="1:3" x14ac:dyDescent="0.25">
      <c r="A355" s="15">
        <v>2023</v>
      </c>
      <c r="B355" s="15">
        <v>6</v>
      </c>
      <c r="C355" s="15">
        <v>1072.56177890819</v>
      </c>
    </row>
    <row r="356" spans="1:3" x14ac:dyDescent="0.25">
      <c r="A356" s="15">
        <v>2023</v>
      </c>
      <c r="B356" s="15">
        <v>7</v>
      </c>
      <c r="C356" s="15">
        <v>1064.0417689870801</v>
      </c>
    </row>
    <row r="357" spans="1:3" x14ac:dyDescent="0.25">
      <c r="A357" s="15">
        <v>2023</v>
      </c>
      <c r="B357" s="15">
        <v>8</v>
      </c>
      <c r="C357" s="15">
        <v>1063.6841317481501</v>
      </c>
    </row>
    <row r="358" spans="1:3" x14ac:dyDescent="0.25">
      <c r="A358" s="15">
        <v>2023</v>
      </c>
      <c r="B358" s="15">
        <v>9</v>
      </c>
      <c r="C358" s="15">
        <v>997.840045414717</v>
      </c>
    </row>
    <row r="359" spans="1:3" x14ac:dyDescent="0.25">
      <c r="A359" s="15">
        <v>2023</v>
      </c>
      <c r="B359" s="15">
        <v>10</v>
      </c>
      <c r="C359" s="15">
        <v>995.495486639094</v>
      </c>
    </row>
    <row r="360" spans="1:3" x14ac:dyDescent="0.25">
      <c r="A360" s="15">
        <v>2023</v>
      </c>
      <c r="B360" s="15">
        <v>11</v>
      </c>
      <c r="C360" s="15">
        <v>948.82986603284405</v>
      </c>
    </row>
    <row r="361" spans="1:3" x14ac:dyDescent="0.25">
      <c r="A361" s="15">
        <v>2023</v>
      </c>
      <c r="B361" s="15">
        <v>12</v>
      </c>
      <c r="C361" s="15">
        <v>888.21284782128396</v>
      </c>
    </row>
    <row r="362" spans="1:3" x14ac:dyDescent="0.25">
      <c r="A362" s="15">
        <v>2024</v>
      </c>
      <c r="B362" s="15">
        <v>1</v>
      </c>
      <c r="C362" s="15">
        <v>823.75616975811704</v>
      </c>
    </row>
    <row r="363" spans="1:3" x14ac:dyDescent="0.25">
      <c r="A363" s="15">
        <v>2024</v>
      </c>
      <c r="B363" s="15">
        <v>2</v>
      </c>
      <c r="C363" s="15">
        <v>782.61423199635306</v>
      </c>
    </row>
    <row r="364" spans="1:3" x14ac:dyDescent="0.25">
      <c r="A364" s="15">
        <v>2024</v>
      </c>
      <c r="B364" s="15">
        <v>3</v>
      </c>
      <c r="C364" s="15">
        <v>694.04186233783901</v>
      </c>
    </row>
    <row r="365" spans="1:3" x14ac:dyDescent="0.25">
      <c r="A365" s="15">
        <v>2024</v>
      </c>
      <c r="B365" s="15">
        <v>4</v>
      </c>
      <c r="C365" s="15">
        <v>681.56861555160901</v>
      </c>
    </row>
    <row r="366" spans="1:3" x14ac:dyDescent="0.25">
      <c r="A366" s="15">
        <v>2024</v>
      </c>
      <c r="B366" s="15">
        <v>5</v>
      </c>
      <c r="C366" s="15">
        <v>792.35475921681802</v>
      </c>
    </row>
    <row r="367" spans="1:3" x14ac:dyDescent="0.25">
      <c r="A367" s="15">
        <v>2024</v>
      </c>
      <c r="B367" s="15">
        <v>6</v>
      </c>
      <c r="C367" s="15">
        <v>772.01582059701195</v>
      </c>
    </row>
    <row r="368" spans="1:3" x14ac:dyDescent="0.25">
      <c r="A368" s="15">
        <v>2024</v>
      </c>
      <c r="B368" s="15">
        <v>7</v>
      </c>
      <c r="C368" s="15">
        <v>849.98439588493898</v>
      </c>
    </row>
    <row r="369" spans="1:3" x14ac:dyDescent="0.25">
      <c r="A369" s="15">
        <v>2024</v>
      </c>
      <c r="B369" s="15">
        <v>8</v>
      </c>
      <c r="C369" s="15">
        <v>791.65027272117197</v>
      </c>
    </row>
    <row r="370" spans="1:3" x14ac:dyDescent="0.25">
      <c r="A370" s="15">
        <v>2024</v>
      </c>
      <c r="B370" s="15">
        <v>9</v>
      </c>
      <c r="C370" s="15">
        <v>844.71236746940599</v>
      </c>
    </row>
    <row r="371" spans="1:3" x14ac:dyDescent="0.25">
      <c r="A371" s="15">
        <v>2024</v>
      </c>
      <c r="B371" s="15">
        <v>10</v>
      </c>
      <c r="C371" s="15">
        <v>771.12869724295103</v>
      </c>
    </row>
    <row r="372" spans="1:3" x14ac:dyDescent="0.25">
      <c r="A372" s="15">
        <v>2024</v>
      </c>
      <c r="B372" s="15">
        <v>11</v>
      </c>
      <c r="C372" s="15">
        <v>806.21546032684705</v>
      </c>
    </row>
    <row r="373" spans="1:3" x14ac:dyDescent="0.25">
      <c r="A373" s="15">
        <v>2024</v>
      </c>
      <c r="B373" s="15">
        <v>12</v>
      </c>
      <c r="C373" s="15">
        <v>833.87447524660104</v>
      </c>
    </row>
    <row r="374" spans="1:3" x14ac:dyDescent="0.25">
      <c r="A374" s="15">
        <v>2025</v>
      </c>
      <c r="B374" s="15">
        <v>1</v>
      </c>
      <c r="C374" s="15">
        <v>884.56732474334899</v>
      </c>
    </row>
    <row r="375" spans="1:3" x14ac:dyDescent="0.25">
      <c r="A375" s="15">
        <v>2025</v>
      </c>
      <c r="B375" s="15">
        <v>2</v>
      </c>
      <c r="C375" s="15">
        <v>872.85790060020497</v>
      </c>
    </row>
    <row r="376" spans="1:3" x14ac:dyDescent="0.25">
      <c r="A376" s="15">
        <v>2025</v>
      </c>
      <c r="B376" s="15">
        <v>3</v>
      </c>
      <c r="C376" s="15">
        <v>834.74123534729802</v>
      </c>
    </row>
    <row r="377" spans="1:3" x14ac:dyDescent="0.25">
      <c r="A377" s="15">
        <v>2025</v>
      </c>
      <c r="B377" s="15">
        <v>4</v>
      </c>
      <c r="C377" s="15">
        <v>868.65029647723895</v>
      </c>
    </row>
    <row r="378" spans="1:3" x14ac:dyDescent="0.25">
      <c r="A378" s="15">
        <v>2025</v>
      </c>
      <c r="B378" s="15">
        <v>5</v>
      </c>
      <c r="C378" s="15">
        <v>845.45077034279598</v>
      </c>
    </row>
    <row r="379" spans="1:3" x14ac:dyDescent="0.25">
      <c r="A379" s="15">
        <v>2025</v>
      </c>
      <c r="B379" s="15">
        <v>6</v>
      </c>
      <c r="C379" s="15">
        <v>845.516019012995</v>
      </c>
    </row>
    <row r="380" spans="1:3" x14ac:dyDescent="0.25">
      <c r="A380" s="15">
        <v>2025</v>
      </c>
      <c r="B380" s="15">
        <v>7</v>
      </c>
      <c r="C380" s="15">
        <v>824.61440579698501</v>
      </c>
    </row>
    <row r="381" spans="1:3" x14ac:dyDescent="0.25">
      <c r="A381" s="15">
        <v>2025</v>
      </c>
      <c r="B381" s="15">
        <v>8</v>
      </c>
      <c r="C381" s="15">
        <v>812.20559372791502</v>
      </c>
    </row>
    <row r="382" spans="1:3" x14ac:dyDescent="0.25">
      <c r="A382" s="15">
        <v>2025</v>
      </c>
      <c r="B382" s="15">
        <v>9</v>
      </c>
      <c r="C382" s="15">
        <v>808.11891094671205</v>
      </c>
    </row>
    <row r="383" spans="1:3" x14ac:dyDescent="0.25">
      <c r="A383" s="15">
        <v>2025</v>
      </c>
      <c r="B383" s="15">
        <v>10</v>
      </c>
      <c r="C383" s="15">
        <v>823.43165251939502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3F26-74C6-4954-B8DC-94253F96B57C}">
  <dimension ref="A1:G385"/>
  <sheetViews>
    <sheetView workbookViewId="0">
      <selection activeCell="G2" sqref="G2:G385"/>
    </sheetView>
  </sheetViews>
  <sheetFormatPr baseColWidth="10" defaultRowHeight="15" x14ac:dyDescent="0.25"/>
  <sheetData>
    <row r="1" spans="1:7" ht="42.75" x14ac:dyDescent="0.25">
      <c r="A1" s="14" t="s">
        <v>38</v>
      </c>
      <c r="B1" s="14" t="s">
        <v>34</v>
      </c>
      <c r="C1" s="14" t="s">
        <v>35</v>
      </c>
      <c r="E1" s="14" t="s">
        <v>38</v>
      </c>
      <c r="F1" s="14" t="s">
        <v>34</v>
      </c>
      <c r="G1" s="14" t="s">
        <v>35</v>
      </c>
    </row>
    <row r="2" spans="1:7" x14ac:dyDescent="0.25">
      <c r="A2" s="15">
        <v>1994</v>
      </c>
      <c r="B2" s="15">
        <v>1</v>
      </c>
      <c r="C2" s="15">
        <v>54216.403414295499</v>
      </c>
      <c r="E2" s="15">
        <v>1994</v>
      </c>
      <c r="F2" s="15">
        <v>1</v>
      </c>
      <c r="G2" s="15">
        <v>54243.468524689299</v>
      </c>
    </row>
    <row r="3" spans="1:7" x14ac:dyDescent="0.25">
      <c r="A3" s="15">
        <v>1994</v>
      </c>
      <c r="B3" s="15">
        <v>2</v>
      </c>
      <c r="C3" s="15">
        <v>11307.0613567198</v>
      </c>
      <c r="E3" s="15">
        <v>1994</v>
      </c>
      <c r="F3" s="15">
        <v>2</v>
      </c>
      <c r="G3" s="15">
        <v>11303.299846612101</v>
      </c>
    </row>
    <row r="4" spans="1:7" x14ac:dyDescent="0.25">
      <c r="A4" s="15">
        <v>1994</v>
      </c>
      <c r="B4" s="15">
        <v>3</v>
      </c>
      <c r="C4" s="15">
        <v>27973.168545500401</v>
      </c>
      <c r="E4" s="15">
        <v>1994</v>
      </c>
      <c r="F4" s="15">
        <v>3</v>
      </c>
      <c r="G4" s="15">
        <v>27960.9986234756</v>
      </c>
    </row>
    <row r="5" spans="1:7" x14ac:dyDescent="0.25">
      <c r="A5" s="15">
        <v>1994</v>
      </c>
      <c r="B5" s="15">
        <v>4</v>
      </c>
      <c r="C5" s="15">
        <v>34625.968186233396</v>
      </c>
      <c r="E5" s="15">
        <v>1994</v>
      </c>
      <c r="F5" s="15">
        <v>4</v>
      </c>
      <c r="G5" s="15">
        <v>34625.849160691803</v>
      </c>
    </row>
    <row r="6" spans="1:7" x14ac:dyDescent="0.25">
      <c r="A6" s="15">
        <v>1994</v>
      </c>
      <c r="B6" s="15">
        <v>5</v>
      </c>
      <c r="C6" s="15">
        <v>29653.247144906501</v>
      </c>
      <c r="E6" s="15">
        <v>1994</v>
      </c>
      <c r="F6" s="15">
        <v>5</v>
      </c>
      <c r="G6" s="15">
        <v>29655.355877633301</v>
      </c>
    </row>
    <row r="7" spans="1:7" x14ac:dyDescent="0.25">
      <c r="A7" s="15">
        <v>1994</v>
      </c>
      <c r="B7" s="15">
        <v>6</v>
      </c>
      <c r="C7" s="15">
        <v>31583.808465257502</v>
      </c>
      <c r="E7" s="15">
        <v>1994</v>
      </c>
      <c r="F7" s="15">
        <v>6</v>
      </c>
      <c r="G7" s="15">
        <v>31576.051393578698</v>
      </c>
    </row>
    <row r="8" spans="1:7" x14ac:dyDescent="0.25">
      <c r="A8" s="15">
        <v>1994</v>
      </c>
      <c r="B8" s="15">
        <v>7</v>
      </c>
      <c r="C8" s="15">
        <v>32739.375426147799</v>
      </c>
      <c r="E8" s="15">
        <v>1994</v>
      </c>
      <c r="F8" s="15">
        <v>7</v>
      </c>
      <c r="G8" s="15">
        <v>32744.149113848998</v>
      </c>
    </row>
    <row r="9" spans="1:7" x14ac:dyDescent="0.25">
      <c r="A9" s="15">
        <v>1994</v>
      </c>
      <c r="B9" s="15">
        <v>8</v>
      </c>
      <c r="C9" s="15">
        <v>34570.544040480097</v>
      </c>
      <c r="E9" s="15">
        <v>1994</v>
      </c>
      <c r="F9" s="15">
        <v>8</v>
      </c>
      <c r="G9" s="15">
        <v>34563.398689116802</v>
      </c>
    </row>
    <row r="10" spans="1:7" x14ac:dyDescent="0.25">
      <c r="A10" s="15">
        <v>1994</v>
      </c>
      <c r="B10" s="15">
        <v>9</v>
      </c>
      <c r="C10" s="15">
        <v>35848.884118141403</v>
      </c>
      <c r="E10" s="15">
        <v>1994</v>
      </c>
      <c r="F10" s="15">
        <v>9</v>
      </c>
      <c r="G10" s="15">
        <v>35841.9815683259</v>
      </c>
    </row>
    <row r="11" spans="1:7" x14ac:dyDescent="0.25">
      <c r="A11" s="15">
        <v>1994</v>
      </c>
      <c r="B11" s="15">
        <v>10</v>
      </c>
      <c r="C11" s="15">
        <v>34198.483284164598</v>
      </c>
      <c r="E11" s="15">
        <v>1994</v>
      </c>
      <c r="F11" s="15">
        <v>10</v>
      </c>
      <c r="G11" s="15">
        <v>34205.216044230699</v>
      </c>
    </row>
    <row r="12" spans="1:7" x14ac:dyDescent="0.25">
      <c r="A12" s="15">
        <v>1994</v>
      </c>
      <c r="B12" s="15">
        <v>11</v>
      </c>
      <c r="C12" s="15">
        <v>33923.487026197603</v>
      </c>
      <c r="E12" s="15">
        <v>1994</v>
      </c>
      <c r="F12" s="15">
        <v>11</v>
      </c>
      <c r="G12" s="15">
        <v>33927.693156556801</v>
      </c>
    </row>
    <row r="13" spans="1:7" x14ac:dyDescent="0.25">
      <c r="A13" s="15">
        <v>1994</v>
      </c>
      <c r="B13" s="15">
        <v>12</v>
      </c>
      <c r="C13" s="15">
        <v>33001.681549020097</v>
      </c>
      <c r="E13" s="15">
        <v>1994</v>
      </c>
      <c r="F13" s="15">
        <v>12</v>
      </c>
      <c r="G13" s="15">
        <v>32998.99730237</v>
      </c>
    </row>
    <row r="14" spans="1:7" x14ac:dyDescent="0.25">
      <c r="A14" s="15">
        <v>1995</v>
      </c>
      <c r="B14" s="15">
        <v>1</v>
      </c>
      <c r="C14" s="15">
        <v>27404.166902526002</v>
      </c>
      <c r="E14" s="15">
        <v>1995</v>
      </c>
      <c r="F14" s="15">
        <v>1</v>
      </c>
      <c r="G14" s="15">
        <v>27422.386010571001</v>
      </c>
    </row>
    <row r="15" spans="1:7" x14ac:dyDescent="0.25">
      <c r="A15" s="15">
        <v>1995</v>
      </c>
      <c r="B15" s="15">
        <v>2</v>
      </c>
      <c r="C15" s="15">
        <v>35662.052158726401</v>
      </c>
      <c r="E15" s="15">
        <v>1995</v>
      </c>
      <c r="F15" s="15">
        <v>2</v>
      </c>
      <c r="G15" s="15">
        <v>35658.451138521297</v>
      </c>
    </row>
    <row r="16" spans="1:7" x14ac:dyDescent="0.25">
      <c r="A16" s="15">
        <v>1995</v>
      </c>
      <c r="B16" s="15">
        <v>3</v>
      </c>
      <c r="C16" s="15">
        <v>30039.198004955899</v>
      </c>
      <c r="E16" s="15">
        <v>1995</v>
      </c>
      <c r="F16" s="15">
        <v>3</v>
      </c>
      <c r="G16" s="15">
        <v>30027.046476715801</v>
      </c>
    </row>
    <row r="17" spans="1:7" x14ac:dyDescent="0.25">
      <c r="A17" s="15">
        <v>1995</v>
      </c>
      <c r="B17" s="15">
        <v>4</v>
      </c>
      <c r="C17" s="15">
        <v>25531.459906268301</v>
      </c>
      <c r="E17" s="15">
        <v>1995</v>
      </c>
      <c r="F17" s="15">
        <v>4</v>
      </c>
      <c r="G17" s="15">
        <v>25540.318222951599</v>
      </c>
    </row>
    <row r="18" spans="1:7" x14ac:dyDescent="0.25">
      <c r="A18" s="15">
        <v>1995</v>
      </c>
      <c r="B18" s="15">
        <v>5</v>
      </c>
      <c r="C18" s="15">
        <v>25066.776018861499</v>
      </c>
      <c r="E18" s="15">
        <v>1995</v>
      </c>
      <c r="F18" s="15">
        <v>5</v>
      </c>
      <c r="G18" s="15">
        <v>25059.958824681598</v>
      </c>
    </row>
    <row r="19" spans="1:7" x14ac:dyDescent="0.25">
      <c r="A19" s="15">
        <v>1995</v>
      </c>
      <c r="B19" s="15">
        <v>6</v>
      </c>
      <c r="C19" s="15">
        <v>18986.512044643499</v>
      </c>
      <c r="E19" s="15">
        <v>1995</v>
      </c>
      <c r="F19" s="15">
        <v>6</v>
      </c>
      <c r="G19" s="15">
        <v>18979.0787274176</v>
      </c>
    </row>
    <row r="20" spans="1:7" x14ac:dyDescent="0.25">
      <c r="A20" s="15">
        <v>1995</v>
      </c>
      <c r="B20" s="15">
        <v>7</v>
      </c>
      <c r="C20" s="15">
        <v>19800.338241580801</v>
      </c>
      <c r="E20" s="15">
        <v>1995</v>
      </c>
      <c r="F20" s="15">
        <v>7</v>
      </c>
      <c r="G20" s="15">
        <v>19806.327623424299</v>
      </c>
    </row>
    <row r="21" spans="1:7" x14ac:dyDescent="0.25">
      <c r="A21" s="15">
        <v>1995</v>
      </c>
      <c r="B21" s="15">
        <v>8</v>
      </c>
      <c r="C21" s="15">
        <v>16739.899676757501</v>
      </c>
      <c r="E21" s="15">
        <v>1995</v>
      </c>
      <c r="F21" s="15">
        <v>8</v>
      </c>
      <c r="G21" s="15">
        <v>16732.0118621</v>
      </c>
    </row>
    <row r="22" spans="1:7" x14ac:dyDescent="0.25">
      <c r="A22" s="15">
        <v>1995</v>
      </c>
      <c r="B22" s="15">
        <v>9</v>
      </c>
      <c r="C22" s="15">
        <v>16956.989293220198</v>
      </c>
      <c r="E22" s="15">
        <v>1995</v>
      </c>
      <c r="F22" s="15">
        <v>9</v>
      </c>
      <c r="G22" s="15">
        <v>16956.910159417599</v>
      </c>
    </row>
    <row r="23" spans="1:7" x14ac:dyDescent="0.25">
      <c r="A23" s="15">
        <v>1995</v>
      </c>
      <c r="B23" s="15">
        <v>10</v>
      </c>
      <c r="C23" s="15">
        <v>18045.104265024002</v>
      </c>
      <c r="E23" s="15">
        <v>1995</v>
      </c>
      <c r="F23" s="15">
        <v>10</v>
      </c>
      <c r="G23" s="15">
        <v>18043.634444473399</v>
      </c>
    </row>
    <row r="24" spans="1:7" x14ac:dyDescent="0.25">
      <c r="A24" s="15">
        <v>1995</v>
      </c>
      <c r="B24" s="15">
        <v>11</v>
      </c>
      <c r="C24" s="15">
        <v>18689.008381825999</v>
      </c>
      <c r="E24" s="15">
        <v>1995</v>
      </c>
      <c r="F24" s="15">
        <v>11</v>
      </c>
      <c r="G24" s="15">
        <v>18694.0785060696</v>
      </c>
    </row>
    <row r="25" spans="1:7" x14ac:dyDescent="0.25">
      <c r="A25" s="15">
        <v>1995</v>
      </c>
      <c r="B25" s="15">
        <v>12</v>
      </c>
      <c r="C25" s="15">
        <v>21964.584500257501</v>
      </c>
      <c r="E25" s="15">
        <v>1995</v>
      </c>
      <c r="F25" s="15">
        <v>12</v>
      </c>
      <c r="G25" s="15">
        <v>21969.4763497856</v>
      </c>
    </row>
    <row r="26" spans="1:7" x14ac:dyDescent="0.25">
      <c r="A26" s="15">
        <v>1996</v>
      </c>
      <c r="B26" s="15">
        <v>1</v>
      </c>
      <c r="C26" s="15">
        <v>21633.124683365</v>
      </c>
      <c r="E26" s="15">
        <v>1996</v>
      </c>
      <c r="F26" s="15">
        <v>1</v>
      </c>
      <c r="G26" s="15">
        <v>21642.707823832799</v>
      </c>
    </row>
    <row r="27" spans="1:7" x14ac:dyDescent="0.25">
      <c r="A27" s="15">
        <v>1996</v>
      </c>
      <c r="B27" s="15">
        <v>2</v>
      </c>
      <c r="C27" s="15">
        <v>25151.2763509578</v>
      </c>
      <c r="E27" s="15">
        <v>1996</v>
      </c>
      <c r="F27" s="15">
        <v>2</v>
      </c>
      <c r="G27" s="15">
        <v>25152.788924673801</v>
      </c>
    </row>
    <row r="28" spans="1:7" x14ac:dyDescent="0.25">
      <c r="A28" s="15">
        <v>1996</v>
      </c>
      <c r="B28" s="15">
        <v>3</v>
      </c>
      <c r="C28" s="15">
        <v>23225.218881496199</v>
      </c>
      <c r="E28" s="15">
        <v>1996</v>
      </c>
      <c r="F28" s="15">
        <v>3</v>
      </c>
      <c r="G28" s="15">
        <v>23229.9019571387</v>
      </c>
    </row>
    <row r="29" spans="1:7" x14ac:dyDescent="0.25">
      <c r="A29" s="15">
        <v>1996</v>
      </c>
      <c r="B29" s="15">
        <v>4</v>
      </c>
      <c r="C29" s="15">
        <v>24420.354870878899</v>
      </c>
      <c r="E29" s="15">
        <v>1996</v>
      </c>
      <c r="F29" s="15">
        <v>4</v>
      </c>
      <c r="G29" s="15">
        <v>24414.386359081702</v>
      </c>
    </row>
    <row r="30" spans="1:7" x14ac:dyDescent="0.25">
      <c r="A30" s="15">
        <v>1996</v>
      </c>
      <c r="B30" s="15">
        <v>5</v>
      </c>
      <c r="C30" s="15">
        <v>24082.826528325499</v>
      </c>
      <c r="E30" s="15">
        <v>1996</v>
      </c>
      <c r="F30" s="15">
        <v>5</v>
      </c>
      <c r="G30" s="15">
        <v>24074.668021294601</v>
      </c>
    </row>
    <row r="31" spans="1:7" x14ac:dyDescent="0.25">
      <c r="A31" s="15">
        <v>1996</v>
      </c>
      <c r="B31" s="15">
        <v>6</v>
      </c>
      <c r="C31" s="15">
        <v>26144.579663097102</v>
      </c>
      <c r="E31" s="15">
        <v>1996</v>
      </c>
      <c r="F31" s="15">
        <v>6</v>
      </c>
      <c r="G31" s="15">
        <v>26153.534489449201</v>
      </c>
    </row>
    <row r="32" spans="1:7" x14ac:dyDescent="0.25">
      <c r="A32" s="15">
        <v>1996</v>
      </c>
      <c r="B32" s="15">
        <v>7</v>
      </c>
      <c r="C32" s="15">
        <v>25403.087774633601</v>
      </c>
      <c r="E32" s="15">
        <v>1996</v>
      </c>
      <c r="F32" s="15">
        <v>7</v>
      </c>
      <c r="G32" s="15">
        <v>25394.6879843723</v>
      </c>
    </row>
    <row r="33" spans="1:7" x14ac:dyDescent="0.25">
      <c r="A33" s="15">
        <v>1996</v>
      </c>
      <c r="B33" s="15">
        <v>8</v>
      </c>
      <c r="C33" s="15">
        <v>26715.131336535698</v>
      </c>
      <c r="E33" s="15">
        <v>1996</v>
      </c>
      <c r="F33" s="15">
        <v>8</v>
      </c>
      <c r="G33" s="15">
        <v>26713.9065998765</v>
      </c>
    </row>
    <row r="34" spans="1:7" x14ac:dyDescent="0.25">
      <c r="A34" s="15">
        <v>1996</v>
      </c>
      <c r="B34" s="15">
        <v>9</v>
      </c>
      <c r="C34" s="15">
        <v>23838.544960528601</v>
      </c>
      <c r="E34" s="15">
        <v>1996</v>
      </c>
      <c r="F34" s="15">
        <v>9</v>
      </c>
      <c r="G34" s="15">
        <v>23837.113490392399</v>
      </c>
    </row>
    <row r="35" spans="1:7" x14ac:dyDescent="0.25">
      <c r="A35" s="15">
        <v>1996</v>
      </c>
      <c r="B35" s="15">
        <v>10</v>
      </c>
      <c r="C35" s="15">
        <v>26308.843056176898</v>
      </c>
      <c r="E35" s="15">
        <v>1996</v>
      </c>
      <c r="F35" s="15">
        <v>10</v>
      </c>
      <c r="G35" s="15">
        <v>26299.0281832486</v>
      </c>
    </row>
    <row r="36" spans="1:7" x14ac:dyDescent="0.25">
      <c r="A36" s="15">
        <v>1996</v>
      </c>
      <c r="B36" s="15">
        <v>11</v>
      </c>
      <c r="C36" s="15">
        <v>28556.374101031899</v>
      </c>
      <c r="E36" s="15">
        <v>1996</v>
      </c>
      <c r="F36" s="15">
        <v>11</v>
      </c>
      <c r="G36" s="15">
        <v>28570.077118657799</v>
      </c>
    </row>
    <row r="37" spans="1:7" x14ac:dyDescent="0.25">
      <c r="A37" s="15">
        <v>1996</v>
      </c>
      <c r="B37" s="15">
        <v>12</v>
      </c>
      <c r="C37" s="15">
        <v>27776.634659527601</v>
      </c>
      <c r="E37" s="15">
        <v>1996</v>
      </c>
      <c r="F37" s="15">
        <v>12</v>
      </c>
      <c r="G37" s="15">
        <v>27773.109017182702</v>
      </c>
    </row>
    <row r="38" spans="1:7" x14ac:dyDescent="0.25">
      <c r="A38" s="15">
        <v>1997</v>
      </c>
      <c r="B38" s="15">
        <v>1</v>
      </c>
      <c r="C38" s="15">
        <v>30338.975048384498</v>
      </c>
      <c r="E38" s="15">
        <v>1997</v>
      </c>
      <c r="F38" s="15">
        <v>1</v>
      </c>
      <c r="G38" s="15">
        <v>30347.322062515101</v>
      </c>
    </row>
    <row r="39" spans="1:7" x14ac:dyDescent="0.25">
      <c r="A39" s="15">
        <v>1997</v>
      </c>
      <c r="B39" s="15">
        <v>2</v>
      </c>
      <c r="C39" s="15">
        <v>29769.808422150101</v>
      </c>
      <c r="E39" s="15">
        <v>1997</v>
      </c>
      <c r="F39" s="15">
        <v>2</v>
      </c>
      <c r="G39" s="15">
        <v>29769.157889116101</v>
      </c>
    </row>
    <row r="40" spans="1:7" x14ac:dyDescent="0.25">
      <c r="A40" s="15">
        <v>1997</v>
      </c>
      <c r="B40" s="15">
        <v>3</v>
      </c>
      <c r="C40" s="15">
        <v>31265.224248714301</v>
      </c>
      <c r="E40" s="15">
        <v>1997</v>
      </c>
      <c r="F40" s="15">
        <v>3</v>
      </c>
      <c r="G40" s="15">
        <v>31270.220038263</v>
      </c>
    </row>
    <row r="41" spans="1:7" x14ac:dyDescent="0.25">
      <c r="A41" s="15">
        <v>1997</v>
      </c>
      <c r="B41" s="15">
        <v>4</v>
      </c>
      <c r="C41" s="15">
        <v>33420.659122129502</v>
      </c>
      <c r="E41" s="15">
        <v>1997</v>
      </c>
      <c r="F41" s="15">
        <v>4</v>
      </c>
      <c r="G41" s="15">
        <v>33414.982962120601</v>
      </c>
    </row>
    <row r="42" spans="1:7" x14ac:dyDescent="0.25">
      <c r="A42" s="15">
        <v>1997</v>
      </c>
      <c r="B42" s="15">
        <v>5</v>
      </c>
      <c r="C42" s="15">
        <v>34508.0429217766</v>
      </c>
      <c r="E42" s="15">
        <v>1997</v>
      </c>
      <c r="F42" s="15">
        <v>5</v>
      </c>
      <c r="G42" s="15">
        <v>34506.516989070296</v>
      </c>
    </row>
    <row r="43" spans="1:7" x14ac:dyDescent="0.25">
      <c r="A43" s="15">
        <v>1997</v>
      </c>
      <c r="B43" s="15">
        <v>6</v>
      </c>
      <c r="C43" s="15">
        <v>35492.698623300297</v>
      </c>
      <c r="E43" s="15">
        <v>1997</v>
      </c>
      <c r="F43" s="15">
        <v>6</v>
      </c>
      <c r="G43" s="15">
        <v>35494.015724954399</v>
      </c>
    </row>
    <row r="44" spans="1:7" x14ac:dyDescent="0.25">
      <c r="A44" s="15">
        <v>1997</v>
      </c>
      <c r="B44" s="15">
        <v>7</v>
      </c>
      <c r="C44" s="15">
        <v>37051.462585888497</v>
      </c>
      <c r="E44" s="15">
        <v>1997</v>
      </c>
      <c r="F44" s="15">
        <v>7</v>
      </c>
      <c r="G44" s="15">
        <v>37044.292713569703</v>
      </c>
    </row>
    <row r="45" spans="1:7" x14ac:dyDescent="0.25">
      <c r="A45" s="15">
        <v>1997</v>
      </c>
      <c r="B45" s="15">
        <v>8</v>
      </c>
      <c r="C45" s="15">
        <v>37546.687144482799</v>
      </c>
      <c r="E45" s="15">
        <v>1997</v>
      </c>
      <c r="F45" s="15">
        <v>8</v>
      </c>
      <c r="G45" s="15">
        <v>37553.090102339702</v>
      </c>
    </row>
    <row r="46" spans="1:7" x14ac:dyDescent="0.25">
      <c r="A46" s="15">
        <v>1997</v>
      </c>
      <c r="B46" s="15">
        <v>9</v>
      </c>
      <c r="C46" s="15">
        <v>39081.546630802899</v>
      </c>
      <c r="E46" s="15">
        <v>1997</v>
      </c>
      <c r="F46" s="15">
        <v>9</v>
      </c>
      <c r="G46" s="15">
        <v>39070.928274765902</v>
      </c>
    </row>
    <row r="47" spans="1:7" x14ac:dyDescent="0.25">
      <c r="A47" s="15">
        <v>1997</v>
      </c>
      <c r="B47" s="15">
        <v>10</v>
      </c>
      <c r="C47" s="15">
        <v>46844.006584791801</v>
      </c>
      <c r="E47" s="15">
        <v>1997</v>
      </c>
      <c r="F47" s="15">
        <v>10</v>
      </c>
      <c r="G47" s="15">
        <v>46834.189916482203</v>
      </c>
    </row>
    <row r="48" spans="1:7" x14ac:dyDescent="0.25">
      <c r="A48" s="15">
        <v>1997</v>
      </c>
      <c r="B48" s="15">
        <v>11</v>
      </c>
      <c r="C48" s="15">
        <v>42623.873318340899</v>
      </c>
      <c r="E48" s="15">
        <v>1997</v>
      </c>
      <c r="F48" s="15">
        <v>11</v>
      </c>
      <c r="G48" s="15">
        <v>42643.943702402001</v>
      </c>
    </row>
    <row r="49" spans="1:7" x14ac:dyDescent="0.25">
      <c r="A49" s="15">
        <v>1997</v>
      </c>
      <c r="B49" s="15">
        <v>12</v>
      </c>
      <c r="C49" s="15">
        <v>26328.848249675499</v>
      </c>
      <c r="E49" s="15">
        <v>1997</v>
      </c>
      <c r="F49" s="15">
        <v>12</v>
      </c>
      <c r="G49" s="15">
        <v>26317.956372541401</v>
      </c>
    </row>
    <row r="50" spans="1:7" x14ac:dyDescent="0.25">
      <c r="A50" s="15">
        <v>1998</v>
      </c>
      <c r="B50" s="15">
        <v>1</v>
      </c>
      <c r="C50" s="15">
        <v>34639.101891802202</v>
      </c>
      <c r="E50" s="15">
        <v>1998</v>
      </c>
      <c r="F50" s="15">
        <v>1</v>
      </c>
      <c r="G50" s="15">
        <v>34654.035803656698</v>
      </c>
    </row>
    <row r="51" spans="1:7" x14ac:dyDescent="0.25">
      <c r="A51" s="15">
        <v>1998</v>
      </c>
      <c r="B51" s="15">
        <v>2</v>
      </c>
      <c r="C51" s="15">
        <v>37716.944021366602</v>
      </c>
      <c r="E51" s="15">
        <v>1998</v>
      </c>
      <c r="F51" s="15">
        <v>2</v>
      </c>
      <c r="G51" s="15">
        <v>37719.715461776002</v>
      </c>
    </row>
    <row r="52" spans="1:7" x14ac:dyDescent="0.25">
      <c r="A52" s="15">
        <v>1998</v>
      </c>
      <c r="B52" s="15">
        <v>3</v>
      </c>
      <c r="C52" s="15">
        <v>39220.274331833403</v>
      </c>
      <c r="E52" s="15">
        <v>1998</v>
      </c>
      <c r="F52" s="15">
        <v>3</v>
      </c>
      <c r="G52" s="15">
        <v>39217.736760699801</v>
      </c>
    </row>
    <row r="53" spans="1:7" x14ac:dyDescent="0.25">
      <c r="A53" s="15">
        <v>1998</v>
      </c>
      <c r="B53" s="15">
        <v>4</v>
      </c>
      <c r="C53" s="15">
        <v>40095.539219638602</v>
      </c>
      <c r="E53" s="15">
        <v>1998</v>
      </c>
      <c r="F53" s="15">
        <v>4</v>
      </c>
      <c r="G53" s="15">
        <v>40089.188014813401</v>
      </c>
    </row>
    <row r="54" spans="1:7" x14ac:dyDescent="0.25">
      <c r="A54" s="15">
        <v>1998</v>
      </c>
      <c r="B54" s="15">
        <v>5</v>
      </c>
      <c r="C54" s="15">
        <v>39615.757082392098</v>
      </c>
      <c r="E54" s="15">
        <v>1998</v>
      </c>
      <c r="F54" s="15">
        <v>5</v>
      </c>
      <c r="G54" s="15">
        <v>39621.608729955202</v>
      </c>
    </row>
    <row r="55" spans="1:7" x14ac:dyDescent="0.25">
      <c r="A55" s="15">
        <v>1998</v>
      </c>
      <c r="B55" s="15">
        <v>6</v>
      </c>
      <c r="C55" s="15">
        <v>41138.713183142499</v>
      </c>
      <c r="E55" s="15">
        <v>1998</v>
      </c>
      <c r="F55" s="15">
        <v>6</v>
      </c>
      <c r="G55" s="15">
        <v>41132.474085635396</v>
      </c>
    </row>
    <row r="56" spans="1:7" x14ac:dyDescent="0.25">
      <c r="A56" s="15">
        <v>1998</v>
      </c>
      <c r="B56" s="15">
        <v>7</v>
      </c>
      <c r="C56" s="15">
        <v>39154.809001937101</v>
      </c>
      <c r="E56" s="15">
        <v>1998</v>
      </c>
      <c r="F56" s="15">
        <v>7</v>
      </c>
      <c r="G56" s="15">
        <v>39147.727321120197</v>
      </c>
    </row>
    <row r="57" spans="1:7" x14ac:dyDescent="0.25">
      <c r="A57" s="15">
        <v>1998</v>
      </c>
      <c r="B57" s="15">
        <v>8</v>
      </c>
      <c r="C57" s="15">
        <v>44656.850247235699</v>
      </c>
      <c r="E57" s="15">
        <v>1998</v>
      </c>
      <c r="F57" s="15">
        <v>8</v>
      </c>
      <c r="G57" s="15">
        <v>44663.121502177302</v>
      </c>
    </row>
    <row r="58" spans="1:7" x14ac:dyDescent="0.25">
      <c r="A58" s="15">
        <v>1998</v>
      </c>
      <c r="B58" s="15">
        <v>9</v>
      </c>
      <c r="C58" s="15">
        <v>39496.234240454898</v>
      </c>
      <c r="E58" s="15">
        <v>1998</v>
      </c>
      <c r="F58" s="15">
        <v>9</v>
      </c>
      <c r="G58" s="15">
        <v>39485.098698769099</v>
      </c>
    </row>
    <row r="59" spans="1:7" x14ac:dyDescent="0.25">
      <c r="A59" s="15">
        <v>1998</v>
      </c>
      <c r="B59" s="15">
        <v>10</v>
      </c>
      <c r="C59" s="15">
        <v>34292.727834015401</v>
      </c>
      <c r="E59" s="15">
        <v>1998</v>
      </c>
      <c r="F59" s="15">
        <v>10</v>
      </c>
      <c r="G59" s="15">
        <v>34290.837243051399</v>
      </c>
    </row>
    <row r="60" spans="1:7" x14ac:dyDescent="0.25">
      <c r="A60" s="15">
        <v>1998</v>
      </c>
      <c r="B60" s="15">
        <v>11</v>
      </c>
      <c r="C60" s="15">
        <v>28977.959706576599</v>
      </c>
      <c r="E60" s="15">
        <v>1998</v>
      </c>
      <c r="F60" s="15">
        <v>11</v>
      </c>
      <c r="G60" s="15">
        <v>28990.251443621401</v>
      </c>
    </row>
    <row r="61" spans="1:7" x14ac:dyDescent="0.25">
      <c r="A61" s="15">
        <v>1998</v>
      </c>
      <c r="B61" s="15">
        <v>12</v>
      </c>
      <c r="C61" s="15">
        <v>15324.420819143899</v>
      </c>
      <c r="E61" s="15">
        <v>1998</v>
      </c>
      <c r="F61" s="15">
        <v>12</v>
      </c>
      <c r="G61" s="15">
        <v>15314.131990042601</v>
      </c>
    </row>
    <row r="62" spans="1:7" x14ac:dyDescent="0.25">
      <c r="A62" s="15">
        <v>1999</v>
      </c>
      <c r="B62" s="15">
        <v>1</v>
      </c>
      <c r="C62" s="15">
        <v>27649.661270592402</v>
      </c>
      <c r="E62" s="15">
        <v>1999</v>
      </c>
      <c r="F62" s="15">
        <v>1</v>
      </c>
      <c r="G62" s="15">
        <v>27668.3069802797</v>
      </c>
    </row>
    <row r="63" spans="1:7" x14ac:dyDescent="0.25">
      <c r="A63" s="15">
        <v>1999</v>
      </c>
      <c r="B63" s="15">
        <v>2</v>
      </c>
      <c r="C63" s="15">
        <v>20825.744323405099</v>
      </c>
      <c r="E63" s="15">
        <v>1999</v>
      </c>
      <c r="F63" s="15">
        <v>2</v>
      </c>
      <c r="G63" s="15">
        <v>20832.519551006801</v>
      </c>
    </row>
    <row r="64" spans="1:7" x14ac:dyDescent="0.25">
      <c r="A64" s="15">
        <v>1999</v>
      </c>
      <c r="B64" s="15">
        <v>3</v>
      </c>
      <c r="C64" s="15">
        <v>18026.563833243301</v>
      </c>
      <c r="E64" s="15">
        <v>1999</v>
      </c>
      <c r="F64" s="15">
        <v>3</v>
      </c>
      <c r="G64" s="15">
        <v>18016.173840330299</v>
      </c>
    </row>
    <row r="65" spans="1:7" x14ac:dyDescent="0.25">
      <c r="A65" s="15">
        <v>1999</v>
      </c>
      <c r="B65" s="15">
        <v>4</v>
      </c>
      <c r="C65" s="15">
        <v>18626.088982224999</v>
      </c>
      <c r="E65" s="15">
        <v>1999</v>
      </c>
      <c r="F65" s="15">
        <v>4</v>
      </c>
      <c r="G65" s="15">
        <v>18618.8767067925</v>
      </c>
    </row>
    <row r="66" spans="1:7" x14ac:dyDescent="0.25">
      <c r="A66" s="15">
        <v>1999</v>
      </c>
      <c r="B66" s="15">
        <v>5</v>
      </c>
      <c r="C66" s="15">
        <v>21844.443217345899</v>
      </c>
      <c r="E66" s="15">
        <v>1999</v>
      </c>
      <c r="F66" s="15">
        <v>5</v>
      </c>
      <c r="G66" s="15">
        <v>21850.6475585642</v>
      </c>
    </row>
    <row r="67" spans="1:7" x14ac:dyDescent="0.25">
      <c r="A67" s="15">
        <v>1999</v>
      </c>
      <c r="B67" s="15">
        <v>6</v>
      </c>
      <c r="C67" s="15">
        <v>21580.686421525701</v>
      </c>
      <c r="E67" s="15">
        <v>1999</v>
      </c>
      <c r="F67" s="15">
        <v>6</v>
      </c>
      <c r="G67" s="15">
        <v>21574.485145228398</v>
      </c>
    </row>
    <row r="68" spans="1:7" x14ac:dyDescent="0.25">
      <c r="A68" s="15">
        <v>1999</v>
      </c>
      <c r="B68" s="15">
        <v>7</v>
      </c>
      <c r="C68" s="15">
        <v>22435.036811439299</v>
      </c>
      <c r="E68" s="15">
        <v>1999</v>
      </c>
      <c r="F68" s="15">
        <v>7</v>
      </c>
      <c r="G68" s="15">
        <v>22435.6775297272</v>
      </c>
    </row>
    <row r="69" spans="1:7" x14ac:dyDescent="0.25">
      <c r="A69" s="15">
        <v>1999</v>
      </c>
      <c r="B69" s="15">
        <v>8</v>
      </c>
      <c r="C69" s="15">
        <v>25367.817004300199</v>
      </c>
      <c r="E69" s="15">
        <v>1999</v>
      </c>
      <c r="F69" s="15">
        <v>8</v>
      </c>
      <c r="G69" s="15">
        <v>25367.403729222999</v>
      </c>
    </row>
    <row r="70" spans="1:7" x14ac:dyDescent="0.25">
      <c r="A70" s="15">
        <v>1999</v>
      </c>
      <c r="B70" s="15">
        <v>9</v>
      </c>
      <c r="C70" s="15">
        <v>24270.831155939501</v>
      </c>
      <c r="E70" s="15">
        <v>1999</v>
      </c>
      <c r="F70" s="15">
        <v>9</v>
      </c>
      <c r="G70" s="15">
        <v>24259.468865944698</v>
      </c>
    </row>
    <row r="71" spans="1:7" x14ac:dyDescent="0.25">
      <c r="A71" s="15">
        <v>1999</v>
      </c>
      <c r="B71" s="15">
        <v>10</v>
      </c>
      <c r="C71" s="15">
        <v>28714.467983356099</v>
      </c>
      <c r="E71" s="15">
        <v>1999</v>
      </c>
      <c r="F71" s="15">
        <v>10</v>
      </c>
      <c r="G71" s="15">
        <v>28721.873052647701</v>
      </c>
    </row>
    <row r="72" spans="1:7" x14ac:dyDescent="0.25">
      <c r="A72" s="15">
        <v>1999</v>
      </c>
      <c r="B72" s="15">
        <v>11</v>
      </c>
      <c r="C72" s="15">
        <v>29337.491038711501</v>
      </c>
      <c r="E72" s="15">
        <v>1999</v>
      </c>
      <c r="F72" s="15">
        <v>11</v>
      </c>
      <c r="G72" s="15">
        <v>29339.3770018795</v>
      </c>
    </row>
    <row r="73" spans="1:7" x14ac:dyDescent="0.25">
      <c r="A73" s="15">
        <v>1999</v>
      </c>
      <c r="B73" s="15">
        <v>12</v>
      </c>
      <c r="C73" s="15">
        <v>32354.644739535299</v>
      </c>
      <c r="E73" s="15">
        <v>1999</v>
      </c>
      <c r="F73" s="15">
        <v>12</v>
      </c>
      <c r="G73" s="15">
        <v>32345.751580779499</v>
      </c>
    </row>
    <row r="74" spans="1:7" x14ac:dyDescent="0.25">
      <c r="A74" s="15">
        <v>2000</v>
      </c>
      <c r="B74" s="15">
        <v>1</v>
      </c>
      <c r="C74" s="15">
        <v>38049.377508462603</v>
      </c>
      <c r="E74" s="15">
        <v>2000</v>
      </c>
      <c r="F74" s="15">
        <v>1</v>
      </c>
      <c r="G74" s="15">
        <v>38063.828864751202</v>
      </c>
    </row>
    <row r="75" spans="1:7" x14ac:dyDescent="0.25">
      <c r="A75" s="15">
        <v>2000</v>
      </c>
      <c r="B75" s="15">
        <v>2</v>
      </c>
      <c r="C75" s="15">
        <v>27149.044472667199</v>
      </c>
      <c r="E75" s="15">
        <v>2000</v>
      </c>
      <c r="F75" s="15">
        <v>2</v>
      </c>
      <c r="G75" s="15">
        <v>27162.3811693442</v>
      </c>
    </row>
    <row r="76" spans="1:7" x14ac:dyDescent="0.25">
      <c r="A76" s="15">
        <v>2000</v>
      </c>
      <c r="B76" s="15">
        <v>3</v>
      </c>
      <c r="C76" s="15">
        <v>30642.994166271401</v>
      </c>
      <c r="E76" s="15">
        <v>2000</v>
      </c>
      <c r="F76" s="15">
        <v>3</v>
      </c>
      <c r="G76" s="15">
        <v>30633.1503689729</v>
      </c>
    </row>
    <row r="77" spans="1:7" x14ac:dyDescent="0.25">
      <c r="A77" s="15">
        <v>2000</v>
      </c>
      <c r="B77" s="15">
        <v>4</v>
      </c>
      <c r="C77" s="15">
        <v>28575.249725529698</v>
      </c>
      <c r="E77" s="15">
        <v>2000</v>
      </c>
      <c r="F77" s="15">
        <v>4</v>
      </c>
      <c r="G77" s="15">
        <v>28583.951043332101</v>
      </c>
    </row>
    <row r="78" spans="1:7" x14ac:dyDescent="0.25">
      <c r="A78" s="15">
        <v>2000</v>
      </c>
      <c r="B78" s="15">
        <v>5</v>
      </c>
      <c r="C78" s="15">
        <v>25303.081559501399</v>
      </c>
      <c r="E78" s="15">
        <v>2000</v>
      </c>
      <c r="F78" s="15">
        <v>5</v>
      </c>
      <c r="G78" s="15">
        <v>25294.606087173801</v>
      </c>
    </row>
    <row r="79" spans="1:7" x14ac:dyDescent="0.25">
      <c r="A79" s="15">
        <v>2000</v>
      </c>
      <c r="B79" s="15">
        <v>6</v>
      </c>
      <c r="C79" s="15">
        <v>24491.055562067701</v>
      </c>
      <c r="E79" s="15">
        <v>2000</v>
      </c>
      <c r="F79" s="15">
        <v>6</v>
      </c>
      <c r="G79" s="15">
        <v>24484.6676305693</v>
      </c>
    </row>
    <row r="80" spans="1:7" x14ac:dyDescent="0.25">
      <c r="A80" s="15">
        <v>2000</v>
      </c>
      <c r="B80" s="15">
        <v>7</v>
      </c>
      <c r="C80" s="15">
        <v>26304.303770849001</v>
      </c>
      <c r="E80" s="15">
        <v>2000</v>
      </c>
      <c r="F80" s="15">
        <v>7</v>
      </c>
      <c r="G80" s="15">
        <v>26311.6790898625</v>
      </c>
    </row>
    <row r="81" spans="1:7" x14ac:dyDescent="0.25">
      <c r="A81" s="15">
        <v>2000</v>
      </c>
      <c r="B81" s="15">
        <v>8</v>
      </c>
      <c r="C81" s="15">
        <v>24599.503250854701</v>
      </c>
      <c r="E81" s="15">
        <v>2000</v>
      </c>
      <c r="F81" s="15">
        <v>8</v>
      </c>
      <c r="G81" s="15">
        <v>24592.0754521655</v>
      </c>
    </row>
    <row r="82" spans="1:7" x14ac:dyDescent="0.25">
      <c r="A82" s="15">
        <v>2000</v>
      </c>
      <c r="B82" s="15">
        <v>9</v>
      </c>
      <c r="C82" s="15">
        <v>26534.561960468702</v>
      </c>
      <c r="E82" s="15">
        <v>2000</v>
      </c>
      <c r="F82" s="15">
        <v>9</v>
      </c>
      <c r="G82" s="15">
        <v>26532.8515675169</v>
      </c>
    </row>
    <row r="83" spans="1:7" x14ac:dyDescent="0.25">
      <c r="A83" s="15">
        <v>2000</v>
      </c>
      <c r="B83" s="15">
        <v>10</v>
      </c>
      <c r="C83" s="15">
        <v>25033.741659495099</v>
      </c>
      <c r="E83" s="15">
        <v>2000</v>
      </c>
      <c r="F83" s="15">
        <v>10</v>
      </c>
      <c r="G83" s="15">
        <v>25035.239543212701</v>
      </c>
    </row>
    <row r="84" spans="1:7" x14ac:dyDescent="0.25">
      <c r="A84" s="15">
        <v>2000</v>
      </c>
      <c r="B84" s="15">
        <v>11</v>
      </c>
      <c r="C84" s="15">
        <v>24984.4199052527</v>
      </c>
      <c r="E84" s="15">
        <v>2000</v>
      </c>
      <c r="F84" s="15">
        <v>11</v>
      </c>
      <c r="G84" s="15">
        <v>24984.092067809801</v>
      </c>
    </row>
    <row r="85" spans="1:7" x14ac:dyDescent="0.25">
      <c r="A85" s="15">
        <v>2000</v>
      </c>
      <c r="B85" s="15">
        <v>12</v>
      </c>
      <c r="C85" s="15">
        <v>27604.521640450501</v>
      </c>
      <c r="E85" s="15">
        <v>2000</v>
      </c>
      <c r="F85" s="15">
        <v>12</v>
      </c>
      <c r="G85" s="15">
        <v>27612.602716675701</v>
      </c>
    </row>
    <row r="86" spans="1:7" x14ac:dyDescent="0.25">
      <c r="A86" s="15">
        <v>2001</v>
      </c>
      <c r="B86" s="15">
        <v>1</v>
      </c>
      <c r="C86" s="15">
        <v>24639.7571152362</v>
      </c>
      <c r="E86" s="15">
        <v>2001</v>
      </c>
      <c r="F86" s="15">
        <v>1</v>
      </c>
      <c r="G86" s="15">
        <v>24632.021803106501</v>
      </c>
    </row>
    <row r="87" spans="1:7" x14ac:dyDescent="0.25">
      <c r="A87" s="15">
        <v>2001</v>
      </c>
      <c r="B87" s="15">
        <v>2</v>
      </c>
      <c r="C87" s="15">
        <v>19339.1250813849</v>
      </c>
      <c r="E87" s="15">
        <v>2001</v>
      </c>
      <c r="F87" s="15">
        <v>2</v>
      </c>
      <c r="G87" s="15">
        <v>19348.545130184801</v>
      </c>
    </row>
    <row r="88" spans="1:7" x14ac:dyDescent="0.25">
      <c r="A88" s="15">
        <v>2001</v>
      </c>
      <c r="B88" s="15">
        <v>3</v>
      </c>
      <c r="C88" s="15">
        <v>23713.180866643499</v>
      </c>
      <c r="E88" s="15">
        <v>2001</v>
      </c>
      <c r="F88" s="15">
        <v>3</v>
      </c>
      <c r="G88" s="15">
        <v>23712.1623512798</v>
      </c>
    </row>
    <row r="89" spans="1:7" x14ac:dyDescent="0.25">
      <c r="A89" s="15">
        <v>2001</v>
      </c>
      <c r="B89" s="15">
        <v>4</v>
      </c>
      <c r="C89" s="15">
        <v>24360.3568498165</v>
      </c>
      <c r="E89" s="15">
        <v>2001</v>
      </c>
      <c r="F89" s="15">
        <v>4</v>
      </c>
      <c r="G89" s="15">
        <v>24361.884250065799</v>
      </c>
    </row>
    <row r="90" spans="1:7" x14ac:dyDescent="0.25">
      <c r="A90" s="15">
        <v>2001</v>
      </c>
      <c r="B90" s="15">
        <v>5</v>
      </c>
      <c r="C90" s="15">
        <v>23868.156701225402</v>
      </c>
      <c r="E90" s="15">
        <v>2001</v>
      </c>
      <c r="F90" s="15">
        <v>5</v>
      </c>
      <c r="G90" s="15">
        <v>23861.314717083798</v>
      </c>
    </row>
    <row r="91" spans="1:7" x14ac:dyDescent="0.25">
      <c r="A91" s="15">
        <v>2001</v>
      </c>
      <c r="B91" s="15">
        <v>6</v>
      </c>
      <c r="C91" s="15">
        <v>23033.2968165399</v>
      </c>
      <c r="E91" s="15">
        <v>2001</v>
      </c>
      <c r="F91" s="15">
        <v>6</v>
      </c>
      <c r="G91" s="15">
        <v>23034.3353256027</v>
      </c>
    </row>
    <row r="92" spans="1:7" x14ac:dyDescent="0.25">
      <c r="A92" s="15">
        <v>2001</v>
      </c>
      <c r="B92" s="15">
        <v>7</v>
      </c>
      <c r="C92" s="15">
        <v>20865.621846186001</v>
      </c>
      <c r="E92" s="15">
        <v>2001</v>
      </c>
      <c r="F92" s="15">
        <v>7</v>
      </c>
      <c r="G92" s="15">
        <v>20864.162332302902</v>
      </c>
    </row>
    <row r="93" spans="1:7" x14ac:dyDescent="0.25">
      <c r="A93" s="15">
        <v>2001</v>
      </c>
      <c r="B93" s="15">
        <v>8</v>
      </c>
      <c r="C93" s="15">
        <v>14039.7461323928</v>
      </c>
      <c r="E93" s="15">
        <v>2001</v>
      </c>
      <c r="F93" s="15">
        <v>8</v>
      </c>
      <c r="G93" s="15">
        <v>14033.0051499566</v>
      </c>
    </row>
    <row r="94" spans="1:7" x14ac:dyDescent="0.25">
      <c r="A94" s="15">
        <v>2001</v>
      </c>
      <c r="B94" s="15">
        <v>9</v>
      </c>
      <c r="C94" s="15">
        <v>15014.9246048675</v>
      </c>
      <c r="E94" s="15">
        <v>2001</v>
      </c>
      <c r="F94" s="15">
        <v>9</v>
      </c>
      <c r="G94" s="15">
        <v>15023.377682001001</v>
      </c>
    </row>
    <row r="95" spans="1:7" x14ac:dyDescent="0.25">
      <c r="A95" s="15">
        <v>2001</v>
      </c>
      <c r="B95" s="15">
        <v>10</v>
      </c>
      <c r="C95" s="15">
        <v>13938.109147654701</v>
      </c>
      <c r="E95" s="15">
        <v>2001</v>
      </c>
      <c r="F95" s="15">
        <v>10</v>
      </c>
      <c r="G95" s="15">
        <v>13933.617517008101</v>
      </c>
    </row>
    <row r="96" spans="1:7" x14ac:dyDescent="0.25">
      <c r="A96" s="15">
        <v>2001</v>
      </c>
      <c r="B96" s="15">
        <v>11</v>
      </c>
      <c r="C96" s="15">
        <v>12793.928233251499</v>
      </c>
      <c r="E96" s="15">
        <v>2001</v>
      </c>
      <c r="F96" s="15">
        <v>11</v>
      </c>
      <c r="G96" s="15">
        <v>12790.733287683501</v>
      </c>
    </row>
    <row r="97" spans="1:7" x14ac:dyDescent="0.25">
      <c r="A97" s="15">
        <v>2001</v>
      </c>
      <c r="B97" s="15">
        <v>12</v>
      </c>
      <c r="C97" s="15">
        <v>11181.0155654227</v>
      </c>
      <c r="E97" s="15">
        <v>2001</v>
      </c>
      <c r="F97" s="15">
        <v>12</v>
      </c>
      <c r="G97" s="15">
        <v>11190.374368974301</v>
      </c>
    </row>
    <row r="98" spans="1:7" x14ac:dyDescent="0.25">
      <c r="A98" s="15">
        <v>2002</v>
      </c>
      <c r="B98" s="15">
        <v>1</v>
      </c>
      <c r="C98" s="15">
        <v>16728.538495405999</v>
      </c>
      <c r="E98" s="15">
        <v>2002</v>
      </c>
      <c r="F98" s="15">
        <v>1</v>
      </c>
      <c r="G98" s="15">
        <v>16716.909404722501</v>
      </c>
    </row>
    <row r="99" spans="1:7" x14ac:dyDescent="0.25">
      <c r="A99" s="15">
        <v>2002</v>
      </c>
      <c r="B99" s="15">
        <v>2</v>
      </c>
      <c r="C99" s="15">
        <v>11668.3220989083</v>
      </c>
      <c r="E99" s="15">
        <v>2002</v>
      </c>
      <c r="F99" s="15">
        <v>2</v>
      </c>
      <c r="G99" s="15">
        <v>11675.8677219978</v>
      </c>
    </row>
    <row r="100" spans="1:7" x14ac:dyDescent="0.25">
      <c r="A100" s="15">
        <v>2002</v>
      </c>
      <c r="B100" s="15">
        <v>3</v>
      </c>
      <c r="C100" s="15">
        <v>11621.3245483676</v>
      </c>
      <c r="E100" s="15">
        <v>2002</v>
      </c>
      <c r="F100" s="15">
        <v>3</v>
      </c>
      <c r="G100" s="15">
        <v>11629.2326671918</v>
      </c>
    </row>
    <row r="101" spans="1:7" x14ac:dyDescent="0.25">
      <c r="A101" s="15">
        <v>2002</v>
      </c>
      <c r="B101" s="15">
        <v>4</v>
      </c>
      <c r="C101" s="15">
        <v>13097.0703726588</v>
      </c>
      <c r="E101" s="15">
        <v>2002</v>
      </c>
      <c r="F101" s="15">
        <v>4</v>
      </c>
      <c r="G101" s="15">
        <v>13092.222709456801</v>
      </c>
    </row>
    <row r="102" spans="1:7" x14ac:dyDescent="0.25">
      <c r="A102" s="15">
        <v>2002</v>
      </c>
      <c r="B102" s="15">
        <v>5</v>
      </c>
      <c r="C102" s="15">
        <v>11216.953678362001</v>
      </c>
      <c r="E102" s="15">
        <v>2002</v>
      </c>
      <c r="F102" s="15">
        <v>5</v>
      </c>
      <c r="G102" s="15">
        <v>11210.9424193876</v>
      </c>
    </row>
    <row r="103" spans="1:7" x14ac:dyDescent="0.25">
      <c r="A103" s="15">
        <v>2002</v>
      </c>
      <c r="B103" s="15">
        <v>6</v>
      </c>
      <c r="C103" s="15">
        <v>13189.7357151375</v>
      </c>
      <c r="E103" s="15">
        <v>2002</v>
      </c>
      <c r="F103" s="15">
        <v>6</v>
      </c>
      <c r="G103" s="15">
        <v>13198.8722766051</v>
      </c>
    </row>
    <row r="104" spans="1:7" x14ac:dyDescent="0.25">
      <c r="A104" s="15">
        <v>2002</v>
      </c>
      <c r="B104" s="15">
        <v>7</v>
      </c>
      <c r="C104" s="15">
        <v>12171.2198017315</v>
      </c>
      <c r="E104" s="15">
        <v>2002</v>
      </c>
      <c r="F104" s="15">
        <v>7</v>
      </c>
      <c r="G104" s="15">
        <v>12160.969854975599</v>
      </c>
    </row>
    <row r="105" spans="1:7" x14ac:dyDescent="0.25">
      <c r="A105" s="15">
        <v>2002</v>
      </c>
      <c r="B105" s="15">
        <v>8</v>
      </c>
      <c r="C105" s="15">
        <v>12303.7597664246</v>
      </c>
      <c r="E105" s="15">
        <v>2002</v>
      </c>
      <c r="F105" s="15">
        <v>8</v>
      </c>
      <c r="G105" s="15">
        <v>12304.934799885301</v>
      </c>
    </row>
    <row r="106" spans="1:7" x14ac:dyDescent="0.25">
      <c r="A106" s="15">
        <v>2002</v>
      </c>
      <c r="B106" s="15">
        <v>9</v>
      </c>
      <c r="C106" s="15">
        <v>12860.9959154629</v>
      </c>
      <c r="E106" s="15">
        <v>2002</v>
      </c>
      <c r="F106" s="15">
        <v>9</v>
      </c>
      <c r="G106" s="15">
        <v>12863.9278823807</v>
      </c>
    </row>
    <row r="107" spans="1:7" x14ac:dyDescent="0.25">
      <c r="A107" s="15">
        <v>2002</v>
      </c>
      <c r="B107" s="15">
        <v>10</v>
      </c>
      <c r="C107" s="15">
        <v>11655.0429130835</v>
      </c>
      <c r="E107" s="15">
        <v>2002</v>
      </c>
      <c r="F107" s="15">
        <v>10</v>
      </c>
      <c r="G107" s="15">
        <v>11650.8349735887</v>
      </c>
    </row>
    <row r="108" spans="1:7" x14ac:dyDescent="0.25">
      <c r="A108" s="15">
        <v>2002</v>
      </c>
      <c r="B108" s="15">
        <v>11</v>
      </c>
      <c r="C108" s="15">
        <v>12120.7690361514</v>
      </c>
      <c r="E108" s="15">
        <v>2002</v>
      </c>
      <c r="F108" s="15">
        <v>11</v>
      </c>
      <c r="G108" s="15">
        <v>12125.679588445801</v>
      </c>
    </row>
    <row r="109" spans="1:7" x14ac:dyDescent="0.25">
      <c r="A109" s="15">
        <v>2002</v>
      </c>
      <c r="B109" s="15">
        <v>12</v>
      </c>
      <c r="C109" s="15">
        <v>13770.739618387601</v>
      </c>
      <c r="E109" s="15">
        <v>2002</v>
      </c>
      <c r="F109" s="15">
        <v>12</v>
      </c>
      <c r="G109" s="15">
        <v>13772.8127648505</v>
      </c>
    </row>
    <row r="110" spans="1:7" x14ac:dyDescent="0.25">
      <c r="A110" s="15">
        <v>2003</v>
      </c>
      <c r="B110" s="15">
        <v>1</v>
      </c>
      <c r="C110" s="15">
        <v>20951.026666633199</v>
      </c>
      <c r="E110" s="15">
        <v>2003</v>
      </c>
      <c r="F110" s="15">
        <v>1</v>
      </c>
      <c r="G110" s="15">
        <v>20936.0251755758</v>
      </c>
    </row>
    <row r="111" spans="1:7" x14ac:dyDescent="0.25">
      <c r="A111" s="15">
        <v>2003</v>
      </c>
      <c r="B111" s="15">
        <v>2</v>
      </c>
      <c r="C111" s="15">
        <v>13009.882013136999</v>
      </c>
      <c r="E111" s="15">
        <v>2003</v>
      </c>
      <c r="F111" s="15">
        <v>2</v>
      </c>
      <c r="G111" s="15">
        <v>13014.6530793239</v>
      </c>
    </row>
    <row r="112" spans="1:7" x14ac:dyDescent="0.25">
      <c r="A112" s="15">
        <v>2003</v>
      </c>
      <c r="B112" s="15">
        <v>3</v>
      </c>
      <c r="C112" s="15">
        <v>13486.6658667424</v>
      </c>
      <c r="E112" s="15">
        <v>2003</v>
      </c>
      <c r="F112" s="15">
        <v>3</v>
      </c>
      <c r="G112" s="15">
        <v>13496.6155532841</v>
      </c>
    </row>
    <row r="113" spans="1:7" x14ac:dyDescent="0.25">
      <c r="A113" s="15">
        <v>2003</v>
      </c>
      <c r="B113" s="15">
        <v>4</v>
      </c>
      <c r="C113" s="15">
        <v>11981.381052639101</v>
      </c>
      <c r="E113" s="15">
        <v>2003</v>
      </c>
      <c r="F113" s="15">
        <v>4</v>
      </c>
      <c r="G113" s="15">
        <v>11977.941380051299</v>
      </c>
    </row>
    <row r="114" spans="1:7" x14ac:dyDescent="0.25">
      <c r="A114" s="15">
        <v>2003</v>
      </c>
      <c r="B114" s="15">
        <v>5</v>
      </c>
      <c r="C114" s="15">
        <v>11867.141971298</v>
      </c>
      <c r="E114" s="15">
        <v>2003</v>
      </c>
      <c r="F114" s="15">
        <v>5</v>
      </c>
      <c r="G114" s="15">
        <v>11867.149839309201</v>
      </c>
    </row>
    <row r="115" spans="1:7" x14ac:dyDescent="0.25">
      <c r="A115" s="15">
        <v>2003</v>
      </c>
      <c r="B115" s="15">
        <v>6</v>
      </c>
      <c r="C115" s="15">
        <v>11754.2660671823</v>
      </c>
      <c r="E115" s="15">
        <v>2003</v>
      </c>
      <c r="F115" s="15">
        <v>6</v>
      </c>
      <c r="G115" s="15">
        <v>11756.832715951101</v>
      </c>
    </row>
    <row r="116" spans="1:7" x14ac:dyDescent="0.25">
      <c r="A116" s="15">
        <v>2003</v>
      </c>
      <c r="B116" s="15">
        <v>7</v>
      </c>
      <c r="C116" s="15">
        <v>8676.5847944871402</v>
      </c>
      <c r="E116" s="15">
        <v>2003</v>
      </c>
      <c r="F116" s="15">
        <v>7</v>
      </c>
      <c r="G116" s="15">
        <v>8666.4427269533207</v>
      </c>
    </row>
    <row r="117" spans="1:7" x14ac:dyDescent="0.25">
      <c r="A117" s="15">
        <v>2003</v>
      </c>
      <c r="B117" s="15">
        <v>8</v>
      </c>
      <c r="C117" s="15">
        <v>13713.629386226299</v>
      </c>
      <c r="E117" s="15">
        <v>2003</v>
      </c>
      <c r="F117" s="15">
        <v>8</v>
      </c>
      <c r="G117" s="15">
        <v>13723.474176371499</v>
      </c>
    </row>
    <row r="118" spans="1:7" x14ac:dyDescent="0.25">
      <c r="A118" s="15">
        <v>2003</v>
      </c>
      <c r="B118" s="15">
        <v>9</v>
      </c>
      <c r="C118" s="15">
        <v>11723.7210819677</v>
      </c>
      <c r="E118" s="15">
        <v>2003</v>
      </c>
      <c r="F118" s="15">
        <v>9</v>
      </c>
      <c r="G118" s="15">
        <v>11719.911522902699</v>
      </c>
    </row>
    <row r="119" spans="1:7" x14ac:dyDescent="0.25">
      <c r="A119" s="15">
        <v>2003</v>
      </c>
      <c r="B119" s="15">
        <v>10</v>
      </c>
      <c r="C119" s="15">
        <v>11771.118747628499</v>
      </c>
      <c r="E119" s="15">
        <v>2003</v>
      </c>
      <c r="F119" s="15">
        <v>10</v>
      </c>
      <c r="G119" s="15">
        <v>11765.9225685908</v>
      </c>
    </row>
    <row r="120" spans="1:7" x14ac:dyDescent="0.25">
      <c r="A120" s="15">
        <v>2003</v>
      </c>
      <c r="B120" s="15">
        <v>11</v>
      </c>
      <c r="C120" s="15">
        <v>15891.330090404301</v>
      </c>
      <c r="E120" s="15">
        <v>2003</v>
      </c>
      <c r="F120" s="15">
        <v>11</v>
      </c>
      <c r="G120" s="15">
        <v>15904.249637049101</v>
      </c>
    </row>
    <row r="121" spans="1:7" x14ac:dyDescent="0.25">
      <c r="A121" s="15">
        <v>2003</v>
      </c>
      <c r="B121" s="15">
        <v>12</v>
      </c>
      <c r="C121" s="15">
        <v>13854.9229837905</v>
      </c>
      <c r="E121" s="15">
        <v>2003</v>
      </c>
      <c r="F121" s="15">
        <v>12</v>
      </c>
      <c r="G121" s="15">
        <v>13849.1654105705</v>
      </c>
    </row>
    <row r="122" spans="1:7" x14ac:dyDescent="0.25">
      <c r="A122" s="15">
        <v>2004</v>
      </c>
      <c r="B122" s="15">
        <v>1</v>
      </c>
      <c r="C122" s="15">
        <v>26095.243386920301</v>
      </c>
      <c r="E122" s="15">
        <v>2004</v>
      </c>
      <c r="F122" s="15">
        <v>1</v>
      </c>
      <c r="G122" s="15">
        <v>26089.0460968896</v>
      </c>
    </row>
    <row r="123" spans="1:7" x14ac:dyDescent="0.25">
      <c r="A123" s="15">
        <v>2004</v>
      </c>
      <c r="B123" s="15">
        <v>2</v>
      </c>
      <c r="C123" s="15">
        <v>19775.748739155901</v>
      </c>
      <c r="E123" s="15">
        <v>2004</v>
      </c>
      <c r="F123" s="15">
        <v>2</v>
      </c>
      <c r="G123" s="15">
        <v>19790.217387679499</v>
      </c>
    </row>
    <row r="124" spans="1:7" x14ac:dyDescent="0.25">
      <c r="A124" s="15">
        <v>2004</v>
      </c>
      <c r="B124" s="15">
        <v>3</v>
      </c>
      <c r="C124" s="15">
        <v>17914.193992478798</v>
      </c>
      <c r="E124" s="15">
        <v>2004</v>
      </c>
      <c r="F124" s="15">
        <v>3</v>
      </c>
      <c r="G124" s="15">
        <v>17909.6423587102</v>
      </c>
    </row>
    <row r="125" spans="1:7" x14ac:dyDescent="0.25">
      <c r="A125" s="15">
        <v>2004</v>
      </c>
      <c r="B125" s="15">
        <v>4</v>
      </c>
      <c r="C125" s="15">
        <v>16764.6331260728</v>
      </c>
      <c r="E125" s="15">
        <v>2004</v>
      </c>
      <c r="F125" s="15">
        <v>4</v>
      </c>
      <c r="G125" s="15">
        <v>16761.432319838601</v>
      </c>
    </row>
    <row r="126" spans="1:7" x14ac:dyDescent="0.25">
      <c r="A126" s="15">
        <v>2004</v>
      </c>
      <c r="B126" s="15">
        <v>5</v>
      </c>
      <c r="C126" s="15">
        <v>20458.836188513</v>
      </c>
      <c r="E126" s="15">
        <v>2004</v>
      </c>
      <c r="F126" s="15">
        <v>5</v>
      </c>
      <c r="G126" s="15">
        <v>20464.5356779494</v>
      </c>
    </row>
    <row r="127" spans="1:7" x14ac:dyDescent="0.25">
      <c r="A127" s="15">
        <v>2004</v>
      </c>
      <c r="B127" s="15">
        <v>6</v>
      </c>
      <c r="C127" s="15">
        <v>18670.288546121199</v>
      </c>
      <c r="E127" s="15">
        <v>2004</v>
      </c>
      <c r="F127" s="15">
        <v>6</v>
      </c>
      <c r="G127" s="15">
        <v>18666.646776397902</v>
      </c>
    </row>
    <row r="128" spans="1:7" x14ac:dyDescent="0.25">
      <c r="A128" s="15">
        <v>2004</v>
      </c>
      <c r="B128" s="15">
        <v>7</v>
      </c>
      <c r="C128" s="15">
        <v>18692.145021563301</v>
      </c>
      <c r="E128" s="15">
        <v>2004</v>
      </c>
      <c r="F128" s="15">
        <v>7</v>
      </c>
      <c r="G128" s="15">
        <v>18689.579509431798</v>
      </c>
    </row>
    <row r="129" spans="1:7" x14ac:dyDescent="0.25">
      <c r="A129" s="15">
        <v>2004</v>
      </c>
      <c r="B129" s="15">
        <v>8</v>
      </c>
      <c r="C129" s="15">
        <v>19445.5730917691</v>
      </c>
      <c r="E129" s="15">
        <v>2004</v>
      </c>
      <c r="F129" s="15">
        <v>8</v>
      </c>
      <c r="G129" s="15">
        <v>19448.537000058201</v>
      </c>
    </row>
    <row r="130" spans="1:7" x14ac:dyDescent="0.25">
      <c r="A130" s="15">
        <v>2004</v>
      </c>
      <c r="B130" s="15">
        <v>9</v>
      </c>
      <c r="C130" s="15">
        <v>20241.355652070499</v>
      </c>
      <c r="E130" s="15">
        <v>2004</v>
      </c>
      <c r="F130" s="15">
        <v>9</v>
      </c>
      <c r="G130" s="15">
        <v>20238.226922878701</v>
      </c>
    </row>
    <row r="131" spans="1:7" x14ac:dyDescent="0.25">
      <c r="A131" s="15">
        <v>2004</v>
      </c>
      <c r="B131" s="15">
        <v>10</v>
      </c>
      <c r="C131" s="15">
        <v>22420.691220667999</v>
      </c>
      <c r="E131" s="15">
        <v>2004</v>
      </c>
      <c r="F131" s="15">
        <v>10</v>
      </c>
      <c r="G131" s="15">
        <v>22430.551006580499</v>
      </c>
    </row>
    <row r="132" spans="1:7" x14ac:dyDescent="0.25">
      <c r="A132" s="15">
        <v>2004</v>
      </c>
      <c r="B132" s="15">
        <v>11</v>
      </c>
      <c r="C132" s="15">
        <v>20800.1880928764</v>
      </c>
      <c r="E132" s="15">
        <v>2004</v>
      </c>
      <c r="F132" s="15">
        <v>11</v>
      </c>
      <c r="G132" s="15">
        <v>20797.535779511902</v>
      </c>
    </row>
    <row r="133" spans="1:7" x14ac:dyDescent="0.25">
      <c r="A133" s="15">
        <v>2004</v>
      </c>
      <c r="B133" s="15">
        <v>12</v>
      </c>
      <c r="C133" s="15">
        <v>22607.665007740401</v>
      </c>
      <c r="E133" s="15">
        <v>2004</v>
      </c>
      <c r="F133" s="15">
        <v>12</v>
      </c>
      <c r="G133" s="15">
        <v>22601.530148625101</v>
      </c>
    </row>
    <row r="134" spans="1:7" x14ac:dyDescent="0.25">
      <c r="A134" s="15">
        <v>2005</v>
      </c>
      <c r="B134" s="15">
        <v>1</v>
      </c>
      <c r="C134" s="15">
        <v>37816.125543131697</v>
      </c>
      <c r="E134" s="15">
        <v>2005</v>
      </c>
      <c r="F134" s="15">
        <v>1</v>
      </c>
      <c r="G134" s="15">
        <v>37818.464125186598</v>
      </c>
    </row>
    <row r="135" spans="1:7" x14ac:dyDescent="0.25">
      <c r="A135" s="15">
        <v>2005</v>
      </c>
      <c r="B135" s="15">
        <v>2</v>
      </c>
      <c r="C135" s="15">
        <v>15443.170160019299</v>
      </c>
      <c r="E135" s="15">
        <v>2005</v>
      </c>
      <c r="F135" s="15">
        <v>2</v>
      </c>
      <c r="G135" s="15">
        <v>15443.944151190801</v>
      </c>
    </row>
    <row r="136" spans="1:7" x14ac:dyDescent="0.25">
      <c r="A136" s="15">
        <v>2005</v>
      </c>
      <c r="B136" s="15">
        <v>3</v>
      </c>
      <c r="C136" s="15">
        <v>23663.429585411799</v>
      </c>
      <c r="E136" s="15">
        <v>2005</v>
      </c>
      <c r="F136" s="15">
        <v>3</v>
      </c>
      <c r="G136" s="15">
        <v>23660.015716830902</v>
      </c>
    </row>
    <row r="137" spans="1:7" x14ac:dyDescent="0.25">
      <c r="A137" s="15">
        <v>2005</v>
      </c>
      <c r="B137" s="15">
        <v>4</v>
      </c>
      <c r="C137" s="15">
        <v>25569.316355042702</v>
      </c>
      <c r="E137" s="15">
        <v>2005</v>
      </c>
      <c r="F137" s="15">
        <v>4</v>
      </c>
      <c r="G137" s="15">
        <v>25573.325235631</v>
      </c>
    </row>
    <row r="138" spans="1:7" x14ac:dyDescent="0.25">
      <c r="A138" s="15">
        <v>2005</v>
      </c>
      <c r="B138" s="15">
        <v>5</v>
      </c>
      <c r="C138" s="15">
        <v>24392.068261979301</v>
      </c>
      <c r="E138" s="15">
        <v>2005</v>
      </c>
      <c r="F138" s="15">
        <v>5</v>
      </c>
      <c r="G138" s="15">
        <v>24387.385196762702</v>
      </c>
    </row>
    <row r="139" spans="1:7" x14ac:dyDescent="0.25">
      <c r="A139" s="15">
        <v>2005</v>
      </c>
      <c r="B139" s="15">
        <v>6</v>
      </c>
      <c r="C139" s="15">
        <v>23135.5278050569</v>
      </c>
      <c r="E139" s="15">
        <v>2005</v>
      </c>
      <c r="F139" s="15">
        <v>6</v>
      </c>
      <c r="G139" s="15">
        <v>23134.029448200701</v>
      </c>
    </row>
    <row r="140" spans="1:7" x14ac:dyDescent="0.25">
      <c r="A140" s="15">
        <v>2005</v>
      </c>
      <c r="B140" s="15">
        <v>7</v>
      </c>
      <c r="C140" s="15">
        <v>26003.6169832329</v>
      </c>
      <c r="E140" s="15">
        <v>2005</v>
      </c>
      <c r="F140" s="15">
        <v>7</v>
      </c>
      <c r="G140" s="15">
        <v>26008.892785186399</v>
      </c>
    </row>
    <row r="141" spans="1:7" x14ac:dyDescent="0.25">
      <c r="A141" s="15">
        <v>2005</v>
      </c>
      <c r="B141" s="15">
        <v>8</v>
      </c>
      <c r="C141" s="15">
        <v>23270.824119051998</v>
      </c>
      <c r="E141" s="15">
        <v>2005</v>
      </c>
      <c r="F141" s="15">
        <v>8</v>
      </c>
      <c r="G141" s="15">
        <v>23266.5006989551</v>
      </c>
    </row>
    <row r="142" spans="1:7" x14ac:dyDescent="0.25">
      <c r="A142" s="15">
        <v>2005</v>
      </c>
      <c r="B142" s="15">
        <v>9</v>
      </c>
      <c r="C142" s="15">
        <v>22572.378700468598</v>
      </c>
      <c r="E142" s="15">
        <v>2005</v>
      </c>
      <c r="F142" s="15">
        <v>9</v>
      </c>
      <c r="G142" s="15">
        <v>22568.986356628</v>
      </c>
    </row>
    <row r="143" spans="1:7" x14ac:dyDescent="0.25">
      <c r="A143" s="15">
        <v>2005</v>
      </c>
      <c r="B143" s="15">
        <v>10</v>
      </c>
      <c r="C143" s="15">
        <v>25986.019141364301</v>
      </c>
      <c r="E143" s="15">
        <v>2005</v>
      </c>
      <c r="F143" s="15">
        <v>10</v>
      </c>
      <c r="G143" s="15">
        <v>25994.903052181598</v>
      </c>
    </row>
    <row r="144" spans="1:7" x14ac:dyDescent="0.25">
      <c r="A144" s="15">
        <v>2005</v>
      </c>
      <c r="B144" s="15">
        <v>11</v>
      </c>
      <c r="C144" s="15">
        <v>26349.473198763299</v>
      </c>
      <c r="E144" s="15">
        <v>2005</v>
      </c>
      <c r="F144" s="15">
        <v>11</v>
      </c>
      <c r="G144" s="15">
        <v>26347.781051658701</v>
      </c>
    </row>
    <row r="145" spans="1:7" x14ac:dyDescent="0.25">
      <c r="A145" s="15">
        <v>2005</v>
      </c>
      <c r="B145" s="15">
        <v>12</v>
      </c>
      <c r="C145" s="15">
        <v>23778.8243438912</v>
      </c>
      <c r="E145" s="15">
        <v>2005</v>
      </c>
      <c r="F145" s="15">
        <v>12</v>
      </c>
      <c r="G145" s="15">
        <v>23780.052986401999</v>
      </c>
    </row>
    <row r="146" spans="1:7" x14ac:dyDescent="0.25">
      <c r="A146" s="15">
        <v>2006</v>
      </c>
      <c r="B146" s="15">
        <v>1</v>
      </c>
      <c r="C146" s="15">
        <v>27934.3606224213</v>
      </c>
      <c r="E146" s="15">
        <v>2006</v>
      </c>
      <c r="F146" s="15">
        <v>1</v>
      </c>
      <c r="G146" s="15">
        <v>27929.171611956899</v>
      </c>
    </row>
    <row r="147" spans="1:7" x14ac:dyDescent="0.25">
      <c r="A147" s="15">
        <v>2006</v>
      </c>
      <c r="B147" s="15">
        <v>2</v>
      </c>
      <c r="C147" s="15">
        <v>32099.357217084002</v>
      </c>
      <c r="E147" s="15">
        <v>2006</v>
      </c>
      <c r="F147" s="15">
        <v>2</v>
      </c>
      <c r="G147" s="15">
        <v>32101.574937625501</v>
      </c>
    </row>
    <row r="148" spans="1:7" x14ac:dyDescent="0.25">
      <c r="A148" s="15">
        <v>2006</v>
      </c>
      <c r="B148" s="15">
        <v>3</v>
      </c>
      <c r="C148" s="15">
        <v>30708.547557242098</v>
      </c>
      <c r="E148" s="15">
        <v>2006</v>
      </c>
      <c r="F148" s="15">
        <v>3</v>
      </c>
      <c r="G148" s="15">
        <v>30704.282302108099</v>
      </c>
    </row>
    <row r="149" spans="1:7" x14ac:dyDescent="0.25">
      <c r="A149" s="15">
        <v>2006</v>
      </c>
      <c r="B149" s="15">
        <v>4</v>
      </c>
      <c r="C149" s="15">
        <v>33190.6052235877</v>
      </c>
      <c r="E149" s="15">
        <v>2006</v>
      </c>
      <c r="F149" s="15">
        <v>4</v>
      </c>
      <c r="G149" s="15">
        <v>33201.485320606298</v>
      </c>
    </row>
    <row r="150" spans="1:7" x14ac:dyDescent="0.25">
      <c r="A150" s="15">
        <v>2006</v>
      </c>
      <c r="B150" s="15">
        <v>5</v>
      </c>
      <c r="C150" s="15">
        <v>27488.4485795537</v>
      </c>
      <c r="E150" s="15">
        <v>2006</v>
      </c>
      <c r="F150" s="15">
        <v>5</v>
      </c>
      <c r="G150" s="15">
        <v>27475.283216766598</v>
      </c>
    </row>
    <row r="151" spans="1:7" x14ac:dyDescent="0.25">
      <c r="A151" s="15">
        <v>2006</v>
      </c>
      <c r="B151" s="15">
        <v>6</v>
      </c>
      <c r="C151" s="15">
        <v>31943.484525828699</v>
      </c>
      <c r="E151" s="15">
        <v>2006</v>
      </c>
      <c r="F151" s="15">
        <v>6</v>
      </c>
      <c r="G151" s="15">
        <v>31942.992268739901</v>
      </c>
    </row>
    <row r="152" spans="1:7" x14ac:dyDescent="0.25">
      <c r="A152" s="15">
        <v>2006</v>
      </c>
      <c r="B152" s="15">
        <v>7</v>
      </c>
      <c r="C152" s="15">
        <v>35468.613130318197</v>
      </c>
      <c r="E152" s="15">
        <v>2006</v>
      </c>
      <c r="F152" s="15">
        <v>7</v>
      </c>
      <c r="G152" s="15">
        <v>35474.318850903503</v>
      </c>
    </row>
    <row r="153" spans="1:7" x14ac:dyDescent="0.25">
      <c r="A153" s="15">
        <v>2006</v>
      </c>
      <c r="B153" s="15">
        <v>8</v>
      </c>
      <c r="C153" s="15">
        <v>34273.061947463197</v>
      </c>
      <c r="E153" s="15">
        <v>2006</v>
      </c>
      <c r="F153" s="15">
        <v>8</v>
      </c>
      <c r="G153" s="15">
        <v>34268.470892667203</v>
      </c>
    </row>
    <row r="154" spans="1:7" x14ac:dyDescent="0.25">
      <c r="A154" s="15">
        <v>2006</v>
      </c>
      <c r="B154" s="15">
        <v>9</v>
      </c>
      <c r="C154" s="15">
        <v>37776.406715220903</v>
      </c>
      <c r="E154" s="15">
        <v>2006</v>
      </c>
      <c r="F154" s="15">
        <v>9</v>
      </c>
      <c r="G154" s="15">
        <v>37780.194289872197</v>
      </c>
    </row>
    <row r="155" spans="1:7" x14ac:dyDescent="0.25">
      <c r="A155" s="15">
        <v>2006</v>
      </c>
      <c r="B155" s="15">
        <v>10</v>
      </c>
      <c r="C155" s="15">
        <v>35779.037555291601</v>
      </c>
      <c r="E155" s="15">
        <v>2006</v>
      </c>
      <c r="F155" s="15">
        <v>10</v>
      </c>
      <c r="G155" s="15">
        <v>35780.051067889501</v>
      </c>
    </row>
    <row r="156" spans="1:7" x14ac:dyDescent="0.25">
      <c r="A156" s="15">
        <v>2006</v>
      </c>
      <c r="B156" s="15">
        <v>11</v>
      </c>
      <c r="C156" s="15">
        <v>39260.853751136601</v>
      </c>
      <c r="E156" s="15">
        <v>2006</v>
      </c>
      <c r="F156" s="15">
        <v>11</v>
      </c>
      <c r="G156" s="15">
        <v>39259.934499802199</v>
      </c>
    </row>
    <row r="157" spans="1:7" x14ac:dyDescent="0.25">
      <c r="A157" s="15">
        <v>2006</v>
      </c>
      <c r="B157" s="15">
        <v>12</v>
      </c>
      <c r="C157" s="15">
        <v>41655.543081712101</v>
      </c>
      <c r="E157" s="15">
        <v>2006</v>
      </c>
      <c r="F157" s="15">
        <v>12</v>
      </c>
      <c r="G157" s="15">
        <v>41664.772298611599</v>
      </c>
    </row>
    <row r="158" spans="1:7" x14ac:dyDescent="0.25">
      <c r="A158" s="15">
        <v>2007</v>
      </c>
      <c r="B158" s="15">
        <v>1</v>
      </c>
      <c r="C158" s="15">
        <v>31741.6930924884</v>
      </c>
      <c r="E158" s="15">
        <v>2007</v>
      </c>
      <c r="F158" s="15">
        <v>1</v>
      </c>
      <c r="G158" s="15">
        <v>31727.158549015199</v>
      </c>
    </row>
    <row r="159" spans="1:7" x14ac:dyDescent="0.25">
      <c r="A159" s="15">
        <v>2007</v>
      </c>
      <c r="B159" s="15">
        <v>2</v>
      </c>
      <c r="C159" s="15">
        <v>39980.578649638002</v>
      </c>
      <c r="E159" s="15">
        <v>2007</v>
      </c>
      <c r="F159" s="15">
        <v>2</v>
      </c>
      <c r="G159" s="15">
        <v>39984.660049560502</v>
      </c>
    </row>
    <row r="160" spans="1:7" x14ac:dyDescent="0.25">
      <c r="A160" s="15">
        <v>2007</v>
      </c>
      <c r="B160" s="15">
        <v>3</v>
      </c>
      <c r="C160" s="15">
        <v>43055.014572794003</v>
      </c>
      <c r="E160" s="15">
        <v>2007</v>
      </c>
      <c r="F160" s="15">
        <v>3</v>
      </c>
      <c r="G160" s="15">
        <v>43057.978261677701</v>
      </c>
    </row>
    <row r="161" spans="1:7" x14ac:dyDescent="0.25">
      <c r="A161" s="15">
        <v>2007</v>
      </c>
      <c r="B161" s="15">
        <v>4</v>
      </c>
      <c r="C161" s="15">
        <v>39572.649700173002</v>
      </c>
      <c r="E161" s="15">
        <v>2007</v>
      </c>
      <c r="F161" s="15">
        <v>4</v>
      </c>
      <c r="G161" s="15">
        <v>39575.754449368898</v>
      </c>
    </row>
    <row r="162" spans="1:7" x14ac:dyDescent="0.25">
      <c r="A162" s="15">
        <v>2007</v>
      </c>
      <c r="B162" s="15">
        <v>5</v>
      </c>
      <c r="C162" s="15">
        <v>40544.385497000003</v>
      </c>
      <c r="E162" s="15">
        <v>2007</v>
      </c>
      <c r="F162" s="15">
        <v>5</v>
      </c>
      <c r="G162" s="15">
        <v>40530.415606239803</v>
      </c>
    </row>
    <row r="163" spans="1:7" x14ac:dyDescent="0.25">
      <c r="A163" s="15">
        <v>2007</v>
      </c>
      <c r="B163" s="15">
        <v>6</v>
      </c>
      <c r="C163" s="15">
        <v>44578.317350612298</v>
      </c>
      <c r="E163" s="15">
        <v>2007</v>
      </c>
      <c r="F163" s="15">
        <v>6</v>
      </c>
      <c r="G163" s="15">
        <v>44586.407314875003</v>
      </c>
    </row>
    <row r="164" spans="1:7" x14ac:dyDescent="0.25">
      <c r="A164" s="15">
        <v>2007</v>
      </c>
      <c r="B164" s="15">
        <v>7</v>
      </c>
      <c r="C164" s="15">
        <v>39298.536598001498</v>
      </c>
      <c r="E164" s="15">
        <v>2007</v>
      </c>
      <c r="F164" s="15">
        <v>7</v>
      </c>
      <c r="G164" s="15">
        <v>39297.681414453997</v>
      </c>
    </row>
    <row r="165" spans="1:7" x14ac:dyDescent="0.25">
      <c r="A165" s="15">
        <v>2007</v>
      </c>
      <c r="B165" s="15">
        <v>8</v>
      </c>
      <c r="C165" s="15">
        <v>44075.265412547204</v>
      </c>
      <c r="E165" s="15">
        <v>2007</v>
      </c>
      <c r="F165" s="15">
        <v>8</v>
      </c>
      <c r="G165" s="15">
        <v>44069.246086521998</v>
      </c>
    </row>
    <row r="166" spans="1:7" x14ac:dyDescent="0.25">
      <c r="A166" s="15">
        <v>2007</v>
      </c>
      <c r="B166" s="15">
        <v>9</v>
      </c>
      <c r="C166" s="15">
        <v>42985.135013681203</v>
      </c>
      <c r="E166" s="15">
        <v>2007</v>
      </c>
      <c r="F166" s="15">
        <v>9</v>
      </c>
      <c r="G166" s="15">
        <v>42996.5427216069</v>
      </c>
    </row>
    <row r="167" spans="1:7" x14ac:dyDescent="0.25">
      <c r="A167" s="15">
        <v>2007</v>
      </c>
      <c r="B167" s="15">
        <v>10</v>
      </c>
      <c r="C167" s="15">
        <v>45157.947020321299</v>
      </c>
      <c r="E167" s="15">
        <v>2007</v>
      </c>
      <c r="F167" s="15">
        <v>10</v>
      </c>
      <c r="G167" s="15">
        <v>45151.004429062399</v>
      </c>
    </row>
    <row r="168" spans="1:7" x14ac:dyDescent="0.25">
      <c r="A168" s="15">
        <v>2007</v>
      </c>
      <c r="B168" s="15">
        <v>11</v>
      </c>
      <c r="C168" s="15">
        <v>48998.130732524602</v>
      </c>
      <c r="E168" s="15">
        <v>2007</v>
      </c>
      <c r="F168" s="15">
        <v>11</v>
      </c>
      <c r="G168" s="15">
        <v>48997.277780370299</v>
      </c>
    </row>
    <row r="169" spans="1:7" x14ac:dyDescent="0.25">
      <c r="A169" s="15">
        <v>2007</v>
      </c>
      <c r="B169" s="15">
        <v>12</v>
      </c>
      <c r="C169" s="15">
        <v>50616.521131685702</v>
      </c>
      <c r="E169" s="15">
        <v>2007</v>
      </c>
      <c r="F169" s="15">
        <v>12</v>
      </c>
      <c r="G169" s="15">
        <v>50625.740083301702</v>
      </c>
    </row>
    <row r="170" spans="1:7" x14ac:dyDescent="0.25">
      <c r="A170" s="15">
        <v>2008</v>
      </c>
      <c r="B170" s="15">
        <v>1</v>
      </c>
      <c r="C170" s="15">
        <v>56192.824736236304</v>
      </c>
      <c r="E170" s="15">
        <v>2008</v>
      </c>
      <c r="F170" s="15">
        <v>1</v>
      </c>
      <c r="G170" s="15">
        <v>56177.271897377301</v>
      </c>
    </row>
    <row r="171" spans="1:7" x14ac:dyDescent="0.25">
      <c r="A171" s="15">
        <v>2008</v>
      </c>
      <c r="B171" s="15">
        <v>2</v>
      </c>
      <c r="C171" s="15">
        <v>39809.801506961398</v>
      </c>
      <c r="E171" s="15">
        <v>2008</v>
      </c>
      <c r="F171" s="15">
        <v>2</v>
      </c>
      <c r="G171" s="15">
        <v>39820.891395655402</v>
      </c>
    </row>
    <row r="172" spans="1:7" x14ac:dyDescent="0.25">
      <c r="A172" s="15">
        <v>2008</v>
      </c>
      <c r="B172" s="15">
        <v>3</v>
      </c>
      <c r="C172" s="15">
        <v>48535.3127256265</v>
      </c>
      <c r="E172" s="15">
        <v>2008</v>
      </c>
      <c r="F172" s="15">
        <v>3</v>
      </c>
      <c r="G172" s="15">
        <v>48544.604227757402</v>
      </c>
    </row>
    <row r="173" spans="1:7" x14ac:dyDescent="0.25">
      <c r="A173" s="15">
        <v>2008</v>
      </c>
      <c r="B173" s="15">
        <v>4</v>
      </c>
      <c r="C173" s="15">
        <v>50608.697762511503</v>
      </c>
      <c r="E173" s="15">
        <v>2008</v>
      </c>
      <c r="F173" s="15">
        <v>4</v>
      </c>
      <c r="G173" s="15">
        <v>50604.268742444197</v>
      </c>
    </row>
    <row r="174" spans="1:7" x14ac:dyDescent="0.25">
      <c r="A174" s="15">
        <v>2008</v>
      </c>
      <c r="B174" s="15">
        <v>5</v>
      </c>
      <c r="C174" s="15">
        <v>50513.877133467002</v>
      </c>
      <c r="E174" s="15">
        <v>2008</v>
      </c>
      <c r="F174" s="15">
        <v>5</v>
      </c>
      <c r="G174" s="15">
        <v>50509.057079209699</v>
      </c>
    </row>
    <row r="175" spans="1:7" x14ac:dyDescent="0.25">
      <c r="A175" s="15">
        <v>2008</v>
      </c>
      <c r="B175" s="15">
        <v>6</v>
      </c>
      <c r="C175" s="15">
        <v>45946.347721569902</v>
      </c>
      <c r="E175" s="15">
        <v>2008</v>
      </c>
      <c r="F175" s="15">
        <v>6</v>
      </c>
      <c r="G175" s="15">
        <v>45954.067997244601</v>
      </c>
    </row>
    <row r="176" spans="1:7" x14ac:dyDescent="0.25">
      <c r="A176" s="15">
        <v>2008</v>
      </c>
      <c r="B176" s="15">
        <v>7</v>
      </c>
      <c r="C176" s="15">
        <v>55153.635604570802</v>
      </c>
      <c r="E176" s="15">
        <v>2008</v>
      </c>
      <c r="F176" s="15">
        <v>7</v>
      </c>
      <c r="G176" s="15">
        <v>55145.469988710698</v>
      </c>
    </row>
    <row r="177" spans="1:7" x14ac:dyDescent="0.25">
      <c r="A177" s="15">
        <v>2008</v>
      </c>
      <c r="B177" s="15">
        <v>8</v>
      </c>
      <c r="C177" s="15">
        <v>49871.620235899703</v>
      </c>
      <c r="E177" s="15">
        <v>2008</v>
      </c>
      <c r="F177" s="15">
        <v>8</v>
      </c>
      <c r="G177" s="15">
        <v>49880.349682425003</v>
      </c>
    </row>
    <row r="178" spans="1:7" x14ac:dyDescent="0.25">
      <c r="A178" s="15">
        <v>2008</v>
      </c>
      <c r="B178" s="15">
        <v>9</v>
      </c>
      <c r="C178" s="15">
        <v>50487.689721164199</v>
      </c>
      <c r="E178" s="15">
        <v>2008</v>
      </c>
      <c r="F178" s="15">
        <v>9</v>
      </c>
      <c r="G178" s="15">
        <v>50483.436074369201</v>
      </c>
    </row>
    <row r="179" spans="1:7" x14ac:dyDescent="0.25">
      <c r="A179" s="15">
        <v>2008</v>
      </c>
      <c r="B179" s="15">
        <v>10</v>
      </c>
      <c r="C179" s="15">
        <v>46952.346197507301</v>
      </c>
      <c r="E179" s="15">
        <v>2008</v>
      </c>
      <c r="F179" s="15">
        <v>10</v>
      </c>
      <c r="G179" s="15">
        <v>46945.379674083502</v>
      </c>
    </row>
    <row r="180" spans="1:7" x14ac:dyDescent="0.25">
      <c r="A180" s="15">
        <v>2008</v>
      </c>
      <c r="B180" s="15">
        <v>11</v>
      </c>
      <c r="C180" s="15">
        <v>35510.223302887302</v>
      </c>
      <c r="E180" s="15">
        <v>2008</v>
      </c>
      <c r="F180" s="15">
        <v>11</v>
      </c>
      <c r="G180" s="15">
        <v>35525.026729366997</v>
      </c>
    </row>
    <row r="181" spans="1:7" x14ac:dyDescent="0.25">
      <c r="A181" s="15">
        <v>2008</v>
      </c>
      <c r="B181" s="15">
        <v>12</v>
      </c>
      <c r="C181" s="15">
        <v>26848.002788851401</v>
      </c>
      <c r="E181" s="15">
        <v>2008</v>
      </c>
      <c r="F181" s="15">
        <v>12</v>
      </c>
      <c r="G181" s="15">
        <v>26840.7113657273</v>
      </c>
    </row>
    <row r="182" spans="1:7" x14ac:dyDescent="0.25">
      <c r="A182" s="15">
        <v>2009</v>
      </c>
      <c r="B182" s="15">
        <v>1</v>
      </c>
      <c r="C182" s="15">
        <v>37127.702970472899</v>
      </c>
      <c r="E182" s="15">
        <v>2009</v>
      </c>
      <c r="F182" s="15">
        <v>1</v>
      </c>
      <c r="G182" s="15">
        <v>37120.081038837998</v>
      </c>
    </row>
    <row r="183" spans="1:7" x14ac:dyDescent="0.25">
      <c r="A183" s="15">
        <v>2009</v>
      </c>
      <c r="B183" s="15">
        <v>2</v>
      </c>
      <c r="C183" s="15">
        <v>22606.429630186602</v>
      </c>
      <c r="E183" s="15">
        <v>2009</v>
      </c>
      <c r="F183" s="15">
        <v>2</v>
      </c>
      <c r="G183" s="15">
        <v>22612.552602380401</v>
      </c>
    </row>
    <row r="184" spans="1:7" x14ac:dyDescent="0.25">
      <c r="A184" s="15">
        <v>2009</v>
      </c>
      <c r="B184" s="15">
        <v>3</v>
      </c>
      <c r="C184" s="15">
        <v>38096.328139621597</v>
      </c>
      <c r="E184" s="15">
        <v>2009</v>
      </c>
      <c r="F184" s="15">
        <v>3</v>
      </c>
      <c r="G184" s="15">
        <v>38097.323232467097</v>
      </c>
    </row>
    <row r="185" spans="1:7" x14ac:dyDescent="0.25">
      <c r="A185" s="15">
        <v>2009</v>
      </c>
      <c r="B185" s="15">
        <v>4</v>
      </c>
      <c r="C185" s="15">
        <v>36962.1266238506</v>
      </c>
      <c r="E185" s="15">
        <v>2009</v>
      </c>
      <c r="F185" s="15">
        <v>4</v>
      </c>
      <c r="G185" s="15">
        <v>36958.434973467003</v>
      </c>
    </row>
    <row r="186" spans="1:7" x14ac:dyDescent="0.25">
      <c r="A186" s="15">
        <v>2009</v>
      </c>
      <c r="B186" s="15">
        <v>5</v>
      </c>
      <c r="C186" s="15">
        <v>41050.481186302597</v>
      </c>
      <c r="E186" s="15">
        <v>2009</v>
      </c>
      <c r="F186" s="15">
        <v>5</v>
      </c>
      <c r="G186" s="15">
        <v>41054.959005748002</v>
      </c>
    </row>
    <row r="187" spans="1:7" x14ac:dyDescent="0.25">
      <c r="A187" s="15">
        <v>2009</v>
      </c>
      <c r="B187" s="15">
        <v>6</v>
      </c>
      <c r="C187" s="15">
        <v>39687.627200257797</v>
      </c>
      <c r="E187" s="15">
        <v>2009</v>
      </c>
      <c r="F187" s="15">
        <v>6</v>
      </c>
      <c r="G187" s="15">
        <v>39687.737158828102</v>
      </c>
    </row>
    <row r="188" spans="1:7" x14ac:dyDescent="0.25">
      <c r="A188" s="15">
        <v>2009</v>
      </c>
      <c r="B188" s="15">
        <v>7</v>
      </c>
      <c r="C188" s="15">
        <v>43450.581646145503</v>
      </c>
      <c r="E188" s="15">
        <v>2009</v>
      </c>
      <c r="F188" s="15">
        <v>7</v>
      </c>
      <c r="G188" s="15">
        <v>43442.912396865402</v>
      </c>
    </row>
    <row r="189" spans="1:7" x14ac:dyDescent="0.25">
      <c r="A189" s="15">
        <v>2009</v>
      </c>
      <c r="B189" s="15">
        <v>8</v>
      </c>
      <c r="C189" s="15">
        <v>41246.976402951303</v>
      </c>
      <c r="E189" s="15">
        <v>2009</v>
      </c>
      <c r="F189" s="15">
        <v>8</v>
      </c>
      <c r="G189" s="15">
        <v>41253.5655949149</v>
      </c>
    </row>
    <row r="190" spans="1:7" x14ac:dyDescent="0.25">
      <c r="A190" s="15">
        <v>2009</v>
      </c>
      <c r="B190" s="15">
        <v>9</v>
      </c>
      <c r="C190" s="15">
        <v>44833.6364619046</v>
      </c>
      <c r="E190" s="15">
        <v>2009</v>
      </c>
      <c r="F190" s="15">
        <v>9</v>
      </c>
      <c r="G190" s="15">
        <v>44830.021456297298</v>
      </c>
    </row>
    <row r="191" spans="1:7" x14ac:dyDescent="0.25">
      <c r="A191" s="15">
        <v>2009</v>
      </c>
      <c r="B191" s="15">
        <v>10</v>
      </c>
      <c r="C191" s="15">
        <v>49200.7115427557</v>
      </c>
      <c r="E191" s="15">
        <v>2009</v>
      </c>
      <c r="F191" s="15">
        <v>10</v>
      </c>
      <c r="G191" s="15">
        <v>49201.300995840298</v>
      </c>
    </row>
    <row r="192" spans="1:7" x14ac:dyDescent="0.25">
      <c r="A192" s="15">
        <v>2009</v>
      </c>
      <c r="B192" s="15">
        <v>11</v>
      </c>
      <c r="C192" s="15">
        <v>49487.569742658903</v>
      </c>
      <c r="E192" s="15">
        <v>2009</v>
      </c>
      <c r="F192" s="15">
        <v>11</v>
      </c>
      <c r="G192" s="15">
        <v>49494.261692026797</v>
      </c>
    </row>
    <row r="193" spans="1:7" x14ac:dyDescent="0.25">
      <c r="A193" s="15">
        <v>2009</v>
      </c>
      <c r="B193" s="15">
        <v>12</v>
      </c>
      <c r="C193" s="15">
        <v>53629.739463708604</v>
      </c>
      <c r="E193" s="15">
        <v>2009</v>
      </c>
      <c r="F193" s="15">
        <v>12</v>
      </c>
      <c r="G193" s="15">
        <v>53621.569075055697</v>
      </c>
    </row>
    <row r="194" spans="1:7" x14ac:dyDescent="0.25">
      <c r="A194" s="15">
        <v>2010</v>
      </c>
      <c r="B194" s="15">
        <v>1</v>
      </c>
      <c r="C194" s="15">
        <v>52184.869223029702</v>
      </c>
      <c r="E194" s="15">
        <v>2010</v>
      </c>
      <c r="F194" s="15">
        <v>1</v>
      </c>
      <c r="G194" s="15">
        <v>52186.090804631502</v>
      </c>
    </row>
    <row r="195" spans="1:7" x14ac:dyDescent="0.25">
      <c r="A195" s="15">
        <v>2010</v>
      </c>
      <c r="B195" s="15">
        <v>2</v>
      </c>
      <c r="C195" s="15">
        <v>47776.348782038302</v>
      </c>
      <c r="E195" s="15">
        <v>2010</v>
      </c>
      <c r="F195" s="15">
        <v>2</v>
      </c>
      <c r="G195" s="15">
        <v>47782.476755535601</v>
      </c>
    </row>
    <row r="196" spans="1:7" x14ac:dyDescent="0.25">
      <c r="A196" s="15">
        <v>2010</v>
      </c>
      <c r="B196" s="15">
        <v>3</v>
      </c>
      <c r="C196" s="15">
        <v>49798.189562622203</v>
      </c>
      <c r="E196" s="15">
        <v>2010</v>
      </c>
      <c r="F196" s="15">
        <v>3</v>
      </c>
      <c r="G196" s="15">
        <v>49790.408608779398</v>
      </c>
    </row>
    <row r="197" spans="1:7" x14ac:dyDescent="0.25">
      <c r="A197" s="15">
        <v>2010</v>
      </c>
      <c r="B197" s="15">
        <v>4</v>
      </c>
      <c r="C197" s="15">
        <v>55609.822405785701</v>
      </c>
      <c r="E197" s="15">
        <v>2010</v>
      </c>
      <c r="F197" s="15">
        <v>4</v>
      </c>
      <c r="G197" s="15">
        <v>55605.954967586797</v>
      </c>
    </row>
    <row r="198" spans="1:7" x14ac:dyDescent="0.25">
      <c r="A198" s="15">
        <v>2010</v>
      </c>
      <c r="B198" s="15">
        <v>5</v>
      </c>
      <c r="C198" s="15">
        <v>56871.020274246301</v>
      </c>
      <c r="E198" s="15">
        <v>2010</v>
      </c>
      <c r="F198" s="15">
        <v>5</v>
      </c>
      <c r="G198" s="15">
        <v>56877.522236168799</v>
      </c>
    </row>
    <row r="199" spans="1:7" x14ac:dyDescent="0.25">
      <c r="A199" s="15">
        <v>2010</v>
      </c>
      <c r="B199" s="15">
        <v>6</v>
      </c>
      <c r="C199" s="15">
        <v>58832.033183145002</v>
      </c>
      <c r="E199" s="15">
        <v>2010</v>
      </c>
      <c r="F199" s="15">
        <v>6</v>
      </c>
      <c r="G199" s="15">
        <v>58832.572621863801</v>
      </c>
    </row>
    <row r="200" spans="1:7" x14ac:dyDescent="0.25">
      <c r="A200" s="15">
        <v>2010</v>
      </c>
      <c r="B200" s="15">
        <v>7</v>
      </c>
      <c r="C200" s="15">
        <v>54887.487613780897</v>
      </c>
      <c r="E200" s="15">
        <v>2010</v>
      </c>
      <c r="F200" s="15">
        <v>7</v>
      </c>
      <c r="G200" s="15">
        <v>54888.098212762801</v>
      </c>
    </row>
    <row r="201" spans="1:7" x14ac:dyDescent="0.25">
      <c r="A201" s="15">
        <v>2010</v>
      </c>
      <c r="B201" s="15">
        <v>8</v>
      </c>
      <c r="C201" s="15">
        <v>62628.736141820998</v>
      </c>
      <c r="E201" s="15">
        <v>2010</v>
      </c>
      <c r="F201" s="15">
        <v>8</v>
      </c>
      <c r="G201" s="15">
        <v>62626.1560181846</v>
      </c>
    </row>
    <row r="202" spans="1:7" x14ac:dyDescent="0.25">
      <c r="A202" s="15">
        <v>2010</v>
      </c>
      <c r="B202" s="15">
        <v>9</v>
      </c>
      <c r="C202" s="15">
        <v>62748.6335382615</v>
      </c>
      <c r="E202" s="15">
        <v>2010</v>
      </c>
      <c r="F202" s="15">
        <v>9</v>
      </c>
      <c r="G202" s="15">
        <v>62745.249191472802</v>
      </c>
    </row>
    <row r="203" spans="1:7" x14ac:dyDescent="0.25">
      <c r="A203" s="15">
        <v>2010</v>
      </c>
      <c r="B203" s="15">
        <v>10</v>
      </c>
      <c r="C203" s="15">
        <v>59334.550498452503</v>
      </c>
      <c r="E203" s="15">
        <v>2010</v>
      </c>
      <c r="F203" s="15">
        <v>10</v>
      </c>
      <c r="G203" s="15">
        <v>59342.3012437363</v>
      </c>
    </row>
    <row r="204" spans="1:7" x14ac:dyDescent="0.25">
      <c r="A204" s="15">
        <v>2010</v>
      </c>
      <c r="B204" s="15">
        <v>11</v>
      </c>
      <c r="C204" s="15">
        <v>66685.407703644494</v>
      </c>
      <c r="E204" s="15">
        <v>2010</v>
      </c>
      <c r="F204" s="15">
        <v>11</v>
      </c>
      <c r="G204" s="15">
        <v>66683.653656537703</v>
      </c>
    </row>
    <row r="205" spans="1:7" x14ac:dyDescent="0.25">
      <c r="A205" s="15">
        <v>2010</v>
      </c>
      <c r="B205" s="15">
        <v>12</v>
      </c>
      <c r="C205" s="15">
        <v>68061.500162006894</v>
      </c>
      <c r="E205" s="15">
        <v>2010</v>
      </c>
      <c r="F205" s="15">
        <v>12</v>
      </c>
      <c r="G205" s="15">
        <v>68052.771334289006</v>
      </c>
    </row>
    <row r="206" spans="1:7" x14ac:dyDescent="0.25">
      <c r="A206" s="15">
        <v>2011</v>
      </c>
      <c r="B206" s="15">
        <v>1</v>
      </c>
      <c r="C206" s="15">
        <v>68531.215721933404</v>
      </c>
      <c r="E206" s="15">
        <v>2011</v>
      </c>
      <c r="F206" s="15">
        <v>1</v>
      </c>
      <c r="G206" s="15">
        <v>68534.794042358903</v>
      </c>
    </row>
    <row r="207" spans="1:7" x14ac:dyDescent="0.25">
      <c r="A207" s="15">
        <v>2011</v>
      </c>
      <c r="B207" s="15">
        <v>2</v>
      </c>
      <c r="C207" s="15">
        <v>48825.256224696503</v>
      </c>
      <c r="E207" s="15">
        <v>2011</v>
      </c>
      <c r="F207" s="15">
        <v>2</v>
      </c>
      <c r="G207" s="15">
        <v>48829.646637579201</v>
      </c>
    </row>
    <row r="208" spans="1:7" x14ac:dyDescent="0.25">
      <c r="A208" s="15">
        <v>2011</v>
      </c>
      <c r="B208" s="15">
        <v>3</v>
      </c>
      <c r="C208" s="15">
        <v>66299.636137612004</v>
      </c>
      <c r="E208" s="15">
        <v>2011</v>
      </c>
      <c r="F208" s="15">
        <v>3</v>
      </c>
      <c r="G208" s="15">
        <v>66291.753188148403</v>
      </c>
    </row>
    <row r="209" spans="1:7" x14ac:dyDescent="0.25">
      <c r="A209" s="15">
        <v>2011</v>
      </c>
      <c r="B209" s="15">
        <v>4</v>
      </c>
      <c r="C209" s="15">
        <v>72160.173868109094</v>
      </c>
      <c r="E209" s="15">
        <v>2011</v>
      </c>
      <c r="F209" s="15">
        <v>4</v>
      </c>
      <c r="G209" s="15">
        <v>72164.266043373107</v>
      </c>
    </row>
    <row r="210" spans="1:7" x14ac:dyDescent="0.25">
      <c r="A210" s="15">
        <v>2011</v>
      </c>
      <c r="B210" s="15">
        <v>5</v>
      </c>
      <c r="C210" s="15">
        <v>74783.632905822393</v>
      </c>
      <c r="E210" s="15">
        <v>2011</v>
      </c>
      <c r="F210" s="15">
        <v>5</v>
      </c>
      <c r="G210" s="15">
        <v>74783.063288685196</v>
      </c>
    </row>
    <row r="211" spans="1:7" x14ac:dyDescent="0.25">
      <c r="A211" s="15">
        <v>2011</v>
      </c>
      <c r="B211" s="15">
        <v>6</v>
      </c>
      <c r="C211" s="15">
        <v>74444.519808639598</v>
      </c>
      <c r="E211" s="15">
        <v>2011</v>
      </c>
      <c r="F211" s="15">
        <v>6</v>
      </c>
      <c r="G211" s="15">
        <v>74445.306266735395</v>
      </c>
    </row>
    <row r="212" spans="1:7" x14ac:dyDescent="0.25">
      <c r="A212" s="15">
        <v>2011</v>
      </c>
      <c r="B212" s="15">
        <v>7</v>
      </c>
      <c r="C212" s="15">
        <v>69425.0637155726</v>
      </c>
      <c r="E212" s="15">
        <v>2011</v>
      </c>
      <c r="F212" s="15">
        <v>7</v>
      </c>
      <c r="G212" s="15">
        <v>69434.138487332297</v>
      </c>
    </row>
    <row r="213" spans="1:7" x14ac:dyDescent="0.25">
      <c r="A213" s="15">
        <v>2011</v>
      </c>
      <c r="B213" s="15">
        <v>8</v>
      </c>
      <c r="C213" s="15">
        <v>73346.000676594398</v>
      </c>
      <c r="E213" s="15">
        <v>2011</v>
      </c>
      <c r="F213" s="15">
        <v>8</v>
      </c>
      <c r="G213" s="15">
        <v>73335.227912926901</v>
      </c>
    </row>
    <row r="214" spans="1:7" x14ac:dyDescent="0.25">
      <c r="A214" s="15">
        <v>2011</v>
      </c>
      <c r="B214" s="15">
        <v>9</v>
      </c>
      <c r="C214" s="15">
        <v>69218.801466064993</v>
      </c>
      <c r="E214" s="15">
        <v>2011</v>
      </c>
      <c r="F214" s="15">
        <v>9</v>
      </c>
      <c r="G214" s="15">
        <v>69214.979246268602</v>
      </c>
    </row>
    <row r="215" spans="1:7" x14ac:dyDescent="0.25">
      <c r="A215" s="15">
        <v>2011</v>
      </c>
      <c r="B215" s="15">
        <v>10</v>
      </c>
      <c r="C215" s="15">
        <v>65767.559941387502</v>
      </c>
      <c r="E215" s="15">
        <v>2011</v>
      </c>
      <c r="F215" s="15">
        <v>10</v>
      </c>
      <c r="G215" s="15">
        <v>65775.403040828794</v>
      </c>
    </row>
    <row r="216" spans="1:7" x14ac:dyDescent="0.25">
      <c r="A216" s="15">
        <v>2011</v>
      </c>
      <c r="B216" s="15">
        <v>11</v>
      </c>
      <c r="C216" s="15">
        <v>65674.277301375303</v>
      </c>
      <c r="E216" s="15">
        <v>2011</v>
      </c>
      <c r="F216" s="15">
        <v>11</v>
      </c>
      <c r="G216" s="15">
        <v>65671.496339921796</v>
      </c>
    </row>
    <row r="217" spans="1:7" x14ac:dyDescent="0.25">
      <c r="A217" s="15">
        <v>2011</v>
      </c>
      <c r="B217" s="15">
        <v>12</v>
      </c>
      <c r="C217" s="15">
        <v>57673.160156727499</v>
      </c>
      <c r="E217" s="15">
        <v>2011</v>
      </c>
      <c r="F217" s="15">
        <v>12</v>
      </c>
      <c r="G217" s="15">
        <v>57672.311070883799</v>
      </c>
    </row>
    <row r="218" spans="1:7" x14ac:dyDescent="0.25">
      <c r="A218" s="15">
        <v>2012</v>
      </c>
      <c r="B218" s="15">
        <v>1</v>
      </c>
      <c r="C218" s="15">
        <v>63084.047505397</v>
      </c>
      <c r="E218" s="15">
        <v>2012</v>
      </c>
      <c r="F218" s="15">
        <v>1</v>
      </c>
      <c r="G218" s="15">
        <v>63082.061473745998</v>
      </c>
    </row>
    <row r="219" spans="1:7" x14ac:dyDescent="0.25">
      <c r="A219" s="15">
        <v>2012</v>
      </c>
      <c r="B219" s="15">
        <v>2</v>
      </c>
      <c r="C219" s="15">
        <v>62488.759713811902</v>
      </c>
      <c r="E219" s="15">
        <v>2012</v>
      </c>
      <c r="F219" s="15">
        <v>2</v>
      </c>
      <c r="G219" s="15">
        <v>62496.584476232601</v>
      </c>
    </row>
    <row r="220" spans="1:7" x14ac:dyDescent="0.25">
      <c r="A220" s="15">
        <v>2012</v>
      </c>
      <c r="B220" s="15">
        <v>3</v>
      </c>
      <c r="C220" s="15">
        <v>63929.142600957501</v>
      </c>
      <c r="E220" s="15">
        <v>2012</v>
      </c>
      <c r="F220" s="15">
        <v>3</v>
      </c>
      <c r="G220" s="15">
        <v>63928.289398588902</v>
      </c>
    </row>
    <row r="221" spans="1:7" x14ac:dyDescent="0.25">
      <c r="A221" s="15">
        <v>2012</v>
      </c>
      <c r="B221" s="15">
        <v>4</v>
      </c>
      <c r="C221" s="15">
        <v>54282.850348697299</v>
      </c>
      <c r="E221" s="15">
        <v>2012</v>
      </c>
      <c r="F221" s="15">
        <v>4</v>
      </c>
      <c r="G221" s="15">
        <v>54286.896111791197</v>
      </c>
    </row>
    <row r="222" spans="1:7" x14ac:dyDescent="0.25">
      <c r="A222" s="15">
        <v>2012</v>
      </c>
      <c r="B222" s="15">
        <v>5</v>
      </c>
      <c r="C222" s="15">
        <v>53954.281438997103</v>
      </c>
      <c r="E222" s="15">
        <v>2012</v>
      </c>
      <c r="F222" s="15">
        <v>5</v>
      </c>
      <c r="G222" s="15">
        <v>53946.531157974103</v>
      </c>
    </row>
    <row r="223" spans="1:7" x14ac:dyDescent="0.25">
      <c r="A223" s="15">
        <v>2012</v>
      </c>
      <c r="B223" s="15">
        <v>6</v>
      </c>
      <c r="C223" s="15">
        <v>48415.410170706898</v>
      </c>
      <c r="E223" s="15">
        <v>2012</v>
      </c>
      <c r="F223" s="15">
        <v>6</v>
      </c>
      <c r="G223" s="15">
        <v>48423.491309893798</v>
      </c>
    </row>
    <row r="224" spans="1:7" x14ac:dyDescent="0.25">
      <c r="A224" s="15">
        <v>2012</v>
      </c>
      <c r="B224" s="15">
        <v>7</v>
      </c>
      <c r="C224" s="15">
        <v>63527.021911900003</v>
      </c>
      <c r="E224" s="15">
        <v>2012</v>
      </c>
      <c r="F224" s="15">
        <v>7</v>
      </c>
      <c r="G224" s="15">
        <v>63528.7045753864</v>
      </c>
    </row>
    <row r="225" spans="1:7" x14ac:dyDescent="0.25">
      <c r="A225" s="15">
        <v>2012</v>
      </c>
      <c r="B225" s="15">
        <v>8</v>
      </c>
      <c r="C225" s="15">
        <v>69585.450179394596</v>
      </c>
      <c r="E225" s="15">
        <v>2012</v>
      </c>
      <c r="F225" s="15">
        <v>8</v>
      </c>
      <c r="G225" s="15">
        <v>69575.411890540796</v>
      </c>
    </row>
    <row r="226" spans="1:7" x14ac:dyDescent="0.25">
      <c r="A226" s="15">
        <v>2012</v>
      </c>
      <c r="B226" s="15">
        <v>9</v>
      </c>
      <c r="C226" s="15">
        <v>61291.313058421903</v>
      </c>
      <c r="E226" s="15">
        <v>2012</v>
      </c>
      <c r="F226" s="15">
        <v>9</v>
      </c>
      <c r="G226" s="15">
        <v>61303.027699698097</v>
      </c>
    </row>
    <row r="227" spans="1:7" x14ac:dyDescent="0.25">
      <c r="A227" s="15">
        <v>2012</v>
      </c>
      <c r="B227" s="15">
        <v>10</v>
      </c>
      <c r="C227" s="15">
        <v>68186.958211746605</v>
      </c>
      <c r="E227" s="15">
        <v>2012</v>
      </c>
      <c r="F227" s="15">
        <v>10</v>
      </c>
      <c r="G227" s="15">
        <v>68179.482545842795</v>
      </c>
    </row>
    <row r="228" spans="1:7" x14ac:dyDescent="0.25">
      <c r="A228" s="15">
        <v>2012</v>
      </c>
      <c r="B228" s="15">
        <v>11</v>
      </c>
      <c r="C228" s="15">
        <v>68926.258962860797</v>
      </c>
      <c r="E228" s="15">
        <v>2012</v>
      </c>
      <c r="F228" s="15">
        <v>11</v>
      </c>
      <c r="G228" s="15">
        <v>68922.3097651344</v>
      </c>
    </row>
    <row r="229" spans="1:7" x14ac:dyDescent="0.25">
      <c r="A229" s="15">
        <v>2012</v>
      </c>
      <c r="B229" s="15">
        <v>12</v>
      </c>
      <c r="C229" s="15">
        <v>69690.472268835205</v>
      </c>
      <c r="E229" s="15">
        <v>2012</v>
      </c>
      <c r="F229" s="15">
        <v>12</v>
      </c>
      <c r="G229" s="15">
        <v>69698.040516871799</v>
      </c>
    </row>
    <row r="230" spans="1:7" x14ac:dyDescent="0.25">
      <c r="A230" s="15">
        <v>2013</v>
      </c>
      <c r="B230" s="15">
        <v>1</v>
      </c>
      <c r="C230" s="15">
        <v>64175.671559518298</v>
      </c>
      <c r="E230" s="15">
        <v>2013</v>
      </c>
      <c r="F230" s="15">
        <v>1</v>
      </c>
      <c r="G230" s="15">
        <v>64167.440502553</v>
      </c>
    </row>
    <row r="231" spans="1:7" x14ac:dyDescent="0.25">
      <c r="A231" s="15">
        <v>2013</v>
      </c>
      <c r="B231" s="15">
        <v>2</v>
      </c>
      <c r="C231" s="15">
        <v>57112.873181869698</v>
      </c>
      <c r="E231" s="15">
        <v>2013</v>
      </c>
      <c r="F231" s="15">
        <v>2</v>
      </c>
      <c r="G231" s="15">
        <v>57113.673354044397</v>
      </c>
    </row>
    <row r="232" spans="1:7" x14ac:dyDescent="0.25">
      <c r="A232" s="15">
        <v>2013</v>
      </c>
      <c r="B232" s="15">
        <v>3</v>
      </c>
      <c r="C232" s="15">
        <v>74121.052498062505</v>
      </c>
      <c r="E232" s="15">
        <v>2013</v>
      </c>
      <c r="F232" s="15">
        <v>3</v>
      </c>
      <c r="G232" s="15">
        <v>74128.104124239006</v>
      </c>
    </row>
    <row r="233" spans="1:7" x14ac:dyDescent="0.25">
      <c r="A233" s="15">
        <v>2013</v>
      </c>
      <c r="B233" s="15">
        <v>4</v>
      </c>
      <c r="C233" s="15">
        <v>71626.491915104707</v>
      </c>
      <c r="E233" s="15">
        <v>2013</v>
      </c>
      <c r="F233" s="15">
        <v>4</v>
      </c>
      <c r="G233" s="15">
        <v>71622.639260109499</v>
      </c>
    </row>
    <row r="234" spans="1:7" x14ac:dyDescent="0.25">
      <c r="A234" s="15">
        <v>2013</v>
      </c>
      <c r="B234" s="15">
        <v>5</v>
      </c>
      <c r="C234" s="15">
        <v>73696.909890336494</v>
      </c>
      <c r="E234" s="15">
        <v>2013</v>
      </c>
      <c r="F234" s="15">
        <v>5</v>
      </c>
      <c r="G234" s="15">
        <v>73689.599514305301</v>
      </c>
    </row>
    <row r="235" spans="1:7" x14ac:dyDescent="0.25">
      <c r="A235" s="15">
        <v>2013</v>
      </c>
      <c r="B235" s="15">
        <v>6</v>
      </c>
      <c r="C235" s="15">
        <v>59711.240227117501</v>
      </c>
      <c r="E235" s="15">
        <v>2013</v>
      </c>
      <c r="F235" s="15">
        <v>6</v>
      </c>
      <c r="G235" s="15">
        <v>59726.457250995198</v>
      </c>
    </row>
    <row r="236" spans="1:7" x14ac:dyDescent="0.25">
      <c r="A236" s="15">
        <v>2013</v>
      </c>
      <c r="B236" s="15">
        <v>7</v>
      </c>
      <c r="C236" s="15">
        <v>67940.278648479696</v>
      </c>
      <c r="E236" s="15">
        <v>2013</v>
      </c>
      <c r="F236" s="15">
        <v>7</v>
      </c>
      <c r="G236" s="15">
        <v>67934.029266977304</v>
      </c>
    </row>
    <row r="237" spans="1:7" x14ac:dyDescent="0.25">
      <c r="A237" s="15">
        <v>2013</v>
      </c>
      <c r="B237" s="15">
        <v>8</v>
      </c>
      <c r="C237" s="15">
        <v>61955.793554803597</v>
      </c>
      <c r="E237" s="15">
        <v>2013</v>
      </c>
      <c r="F237" s="15">
        <v>8</v>
      </c>
      <c r="G237" s="15">
        <v>61953.6028507519</v>
      </c>
    </row>
    <row r="238" spans="1:7" x14ac:dyDescent="0.25">
      <c r="A238" s="15">
        <v>2013</v>
      </c>
      <c r="B238" s="15">
        <v>9</v>
      </c>
      <c r="C238" s="15">
        <v>62968.074786811303</v>
      </c>
      <c r="E238" s="15">
        <v>2013</v>
      </c>
      <c r="F238" s="15">
        <v>9</v>
      </c>
      <c r="G238" s="15">
        <v>62970.923303967204</v>
      </c>
    </row>
    <row r="239" spans="1:7" x14ac:dyDescent="0.25">
      <c r="A239" s="15">
        <v>2013</v>
      </c>
      <c r="B239" s="15">
        <v>10</v>
      </c>
      <c r="C239" s="15">
        <v>64144.437599909797</v>
      </c>
      <c r="E239" s="15">
        <v>2013</v>
      </c>
      <c r="F239" s="15">
        <v>10</v>
      </c>
      <c r="G239" s="15">
        <v>64140.436575744599</v>
      </c>
    </row>
    <row r="240" spans="1:7" x14ac:dyDescent="0.25">
      <c r="A240" s="15">
        <v>2013</v>
      </c>
      <c r="B240" s="15">
        <v>11</v>
      </c>
      <c r="C240" s="15">
        <v>54609.804293456298</v>
      </c>
      <c r="E240" s="15">
        <v>2013</v>
      </c>
      <c r="F240" s="15">
        <v>11</v>
      </c>
      <c r="G240" s="15">
        <v>54612.027979360901</v>
      </c>
    </row>
    <row r="241" spans="1:7" x14ac:dyDescent="0.25">
      <c r="A241" s="15">
        <v>2013</v>
      </c>
      <c r="B241" s="15">
        <v>12</v>
      </c>
      <c r="C241" s="15">
        <v>52585.048957717903</v>
      </c>
      <c r="E241" s="15">
        <v>2013</v>
      </c>
      <c r="F241" s="15">
        <v>12</v>
      </c>
      <c r="G241" s="15">
        <v>52585.4588849305</v>
      </c>
    </row>
    <row r="242" spans="1:7" x14ac:dyDescent="0.25">
      <c r="A242" s="15">
        <v>2014</v>
      </c>
      <c r="B242" s="15">
        <v>1</v>
      </c>
      <c r="C242" s="15">
        <v>56254.760119991399</v>
      </c>
      <c r="E242" s="15">
        <v>2014</v>
      </c>
      <c r="F242" s="15">
        <v>1</v>
      </c>
      <c r="G242" s="15">
        <v>56247.530276338803</v>
      </c>
    </row>
    <row r="243" spans="1:7" x14ac:dyDescent="0.25">
      <c r="A243" s="15">
        <v>2014</v>
      </c>
      <c r="B243" s="15">
        <v>2</v>
      </c>
      <c r="C243" s="15">
        <v>55417.044617797503</v>
      </c>
      <c r="E243" s="15">
        <v>2014</v>
      </c>
      <c r="F243" s="15">
        <v>2</v>
      </c>
      <c r="G243" s="15">
        <v>55417.139570203901</v>
      </c>
    </row>
    <row r="244" spans="1:7" x14ac:dyDescent="0.25">
      <c r="A244" s="15">
        <v>2014</v>
      </c>
      <c r="B244" s="15">
        <v>3</v>
      </c>
      <c r="C244" s="15">
        <v>52972.377396407697</v>
      </c>
      <c r="E244" s="15">
        <v>2014</v>
      </c>
      <c r="F244" s="15">
        <v>3</v>
      </c>
      <c r="G244" s="15">
        <v>52978.578854242201</v>
      </c>
    </row>
    <row r="245" spans="1:7" x14ac:dyDescent="0.25">
      <c r="A245" s="15">
        <v>2014</v>
      </c>
      <c r="B245" s="15">
        <v>4</v>
      </c>
      <c r="C245" s="15">
        <v>54943.004285506599</v>
      </c>
      <c r="E245" s="15">
        <v>2014</v>
      </c>
      <c r="F245" s="15">
        <v>4</v>
      </c>
      <c r="G245" s="15">
        <v>54938.6695490895</v>
      </c>
    </row>
    <row r="246" spans="1:7" x14ac:dyDescent="0.25">
      <c r="A246" s="15">
        <v>2014</v>
      </c>
      <c r="B246" s="15">
        <v>5</v>
      </c>
      <c r="C246" s="15">
        <v>47344.186999572798</v>
      </c>
      <c r="E246" s="15">
        <v>2014</v>
      </c>
      <c r="F246" s="15">
        <v>5</v>
      </c>
      <c r="G246" s="15">
        <v>47344.839204849603</v>
      </c>
    </row>
    <row r="247" spans="1:7" x14ac:dyDescent="0.25">
      <c r="A247" s="15">
        <v>2014</v>
      </c>
      <c r="B247" s="15">
        <v>6</v>
      </c>
      <c r="C247" s="15">
        <v>45959.149428060198</v>
      </c>
      <c r="E247" s="15">
        <v>2014</v>
      </c>
      <c r="F247" s="15">
        <v>6</v>
      </c>
      <c r="G247" s="15">
        <v>45965.809477731702</v>
      </c>
    </row>
    <row r="248" spans="1:7" x14ac:dyDescent="0.25">
      <c r="A248" s="15">
        <v>2014</v>
      </c>
      <c r="B248" s="15">
        <v>7</v>
      </c>
      <c r="C248" s="15">
        <v>45780.073386062002</v>
      </c>
      <c r="E248" s="15">
        <v>2014</v>
      </c>
      <c r="F248" s="15">
        <v>7</v>
      </c>
      <c r="G248" s="15">
        <v>45773.187133503598</v>
      </c>
    </row>
    <row r="249" spans="1:7" x14ac:dyDescent="0.25">
      <c r="A249" s="15">
        <v>2014</v>
      </c>
      <c r="B249" s="15">
        <v>8</v>
      </c>
      <c r="C249" s="15">
        <v>41824.235607291797</v>
      </c>
      <c r="E249" s="15">
        <v>2014</v>
      </c>
      <c r="F249" s="15">
        <v>8</v>
      </c>
      <c r="G249" s="15">
        <v>41830.353144586101</v>
      </c>
    </row>
    <row r="250" spans="1:7" x14ac:dyDescent="0.25">
      <c r="A250" s="15">
        <v>2014</v>
      </c>
      <c r="B250" s="15">
        <v>9</v>
      </c>
      <c r="C250" s="15">
        <v>48498.990467703203</v>
      </c>
      <c r="E250" s="15">
        <v>2014</v>
      </c>
      <c r="F250" s="15">
        <v>9</v>
      </c>
      <c r="G250" s="15">
        <v>48493.3676292206</v>
      </c>
    </row>
    <row r="251" spans="1:7" x14ac:dyDescent="0.25">
      <c r="A251" s="15">
        <v>2014</v>
      </c>
      <c r="B251" s="15">
        <v>10</v>
      </c>
      <c r="C251" s="15">
        <v>50520.919272926098</v>
      </c>
      <c r="E251" s="15">
        <v>2014</v>
      </c>
      <c r="F251" s="15">
        <v>10</v>
      </c>
      <c r="G251" s="15">
        <v>50519.294249124301</v>
      </c>
    </row>
    <row r="252" spans="1:7" x14ac:dyDescent="0.25">
      <c r="A252" s="15">
        <v>2014</v>
      </c>
      <c r="B252" s="15">
        <v>11</v>
      </c>
      <c r="C252" s="15">
        <v>49574.486807483299</v>
      </c>
      <c r="E252" s="15">
        <v>2014</v>
      </c>
      <c r="F252" s="15">
        <v>11</v>
      </c>
      <c r="G252" s="15">
        <v>49583.5190720182</v>
      </c>
    </row>
    <row r="253" spans="1:7" x14ac:dyDescent="0.25">
      <c r="A253" s="15">
        <v>2014</v>
      </c>
      <c r="B253" s="15">
        <v>12</v>
      </c>
      <c r="C253" s="15">
        <v>48106.145006579703</v>
      </c>
      <c r="E253" s="15">
        <v>2014</v>
      </c>
      <c r="F253" s="15">
        <v>12</v>
      </c>
      <c r="G253" s="15">
        <v>48099.5879371923</v>
      </c>
    </row>
    <row r="254" spans="1:7" x14ac:dyDescent="0.25">
      <c r="A254" s="15">
        <v>2015</v>
      </c>
      <c r="B254" s="15">
        <v>1</v>
      </c>
      <c r="C254" s="15">
        <v>47073.348673688699</v>
      </c>
      <c r="E254" s="15">
        <v>2015</v>
      </c>
      <c r="F254" s="15">
        <v>1</v>
      </c>
      <c r="G254" s="15">
        <v>47075.446209344198</v>
      </c>
    </row>
    <row r="255" spans="1:7" x14ac:dyDescent="0.25">
      <c r="A255" s="15">
        <v>2015</v>
      </c>
      <c r="B255" s="15">
        <v>2</v>
      </c>
      <c r="C255" s="15">
        <v>47970.832939613698</v>
      </c>
      <c r="E255" s="15">
        <v>2015</v>
      </c>
      <c r="F255" s="15">
        <v>2</v>
      </c>
      <c r="G255" s="15">
        <v>47970.327157636697</v>
      </c>
    </row>
    <row r="256" spans="1:7" x14ac:dyDescent="0.25">
      <c r="A256" s="15">
        <v>2015</v>
      </c>
      <c r="B256" s="15">
        <v>3</v>
      </c>
      <c r="C256" s="15">
        <v>45574.7889142489</v>
      </c>
      <c r="E256" s="15">
        <v>2015</v>
      </c>
      <c r="F256" s="15">
        <v>3</v>
      </c>
      <c r="G256" s="15">
        <v>45573.3867489158</v>
      </c>
    </row>
    <row r="257" spans="1:7" x14ac:dyDescent="0.25">
      <c r="A257" s="15">
        <v>2015</v>
      </c>
      <c r="B257" s="15">
        <v>4</v>
      </c>
      <c r="C257" s="15">
        <v>41574.298106767601</v>
      </c>
      <c r="E257" s="15">
        <v>2015</v>
      </c>
      <c r="F257" s="15">
        <v>4</v>
      </c>
      <c r="G257" s="15">
        <v>41569.1252793979</v>
      </c>
    </row>
    <row r="258" spans="1:7" x14ac:dyDescent="0.25">
      <c r="A258" s="15">
        <v>2015</v>
      </c>
      <c r="B258" s="15">
        <v>5</v>
      </c>
      <c r="C258" s="15">
        <v>43796.233106309599</v>
      </c>
      <c r="E258" s="15">
        <v>2015</v>
      </c>
      <c r="F258" s="15">
        <v>5</v>
      </c>
      <c r="G258" s="15">
        <v>43804.910971994999</v>
      </c>
    </row>
    <row r="259" spans="1:7" x14ac:dyDescent="0.25">
      <c r="A259" s="15">
        <v>2015</v>
      </c>
      <c r="B259" s="15">
        <v>6</v>
      </c>
      <c r="C259" s="15">
        <v>47744.122848585997</v>
      </c>
      <c r="E259" s="15">
        <v>2015</v>
      </c>
      <c r="F259" s="15">
        <v>6</v>
      </c>
      <c r="G259" s="15">
        <v>47741.590594242902</v>
      </c>
    </row>
    <row r="260" spans="1:7" x14ac:dyDescent="0.25">
      <c r="A260" s="15">
        <v>2015</v>
      </c>
      <c r="B260" s="15">
        <v>7</v>
      </c>
      <c r="C260" s="15">
        <v>42073.550132399003</v>
      </c>
      <c r="E260" s="15">
        <v>2015</v>
      </c>
      <c r="F260" s="15">
        <v>7</v>
      </c>
      <c r="G260" s="15">
        <v>42064.560093305001</v>
      </c>
    </row>
    <row r="261" spans="1:7" x14ac:dyDescent="0.25">
      <c r="A261" s="15">
        <v>2015</v>
      </c>
      <c r="B261" s="15">
        <v>8</v>
      </c>
      <c r="C261" s="15">
        <v>45236.695527337703</v>
      </c>
      <c r="E261" s="15">
        <v>2015</v>
      </c>
      <c r="F261" s="15">
        <v>8</v>
      </c>
      <c r="G261" s="15">
        <v>45243.560857039098</v>
      </c>
    </row>
    <row r="262" spans="1:7" x14ac:dyDescent="0.25">
      <c r="A262" s="15">
        <v>2015</v>
      </c>
      <c r="B262" s="15">
        <v>9</v>
      </c>
      <c r="C262" s="15">
        <v>45564.542310067103</v>
      </c>
      <c r="E262" s="15">
        <v>2015</v>
      </c>
      <c r="F262" s="15">
        <v>9</v>
      </c>
      <c r="G262" s="15">
        <v>45557.390365120402</v>
      </c>
    </row>
    <row r="263" spans="1:7" x14ac:dyDescent="0.25">
      <c r="A263" s="15">
        <v>2015</v>
      </c>
      <c r="B263" s="15">
        <v>10</v>
      </c>
      <c r="C263" s="15">
        <v>39425.231588414397</v>
      </c>
      <c r="E263" s="15">
        <v>2015</v>
      </c>
      <c r="F263" s="15">
        <v>10</v>
      </c>
      <c r="G263" s="15">
        <v>39433.797896552802</v>
      </c>
    </row>
    <row r="264" spans="1:7" x14ac:dyDescent="0.25">
      <c r="A264" s="15">
        <v>2015</v>
      </c>
      <c r="B264" s="15">
        <v>11</v>
      </c>
      <c r="C264" s="15">
        <v>40923.580982450898</v>
      </c>
      <c r="E264" s="15">
        <v>2015</v>
      </c>
      <c r="F264" s="15">
        <v>11</v>
      </c>
      <c r="G264" s="15">
        <v>40924.574738593801</v>
      </c>
    </row>
    <row r="265" spans="1:7" x14ac:dyDescent="0.25">
      <c r="A265" s="15">
        <v>2015</v>
      </c>
      <c r="B265" s="15">
        <v>12</v>
      </c>
      <c r="C265" s="15">
        <v>39707.958738858099</v>
      </c>
      <c r="E265" s="15">
        <v>2015</v>
      </c>
      <c r="F265" s="15">
        <v>12</v>
      </c>
      <c r="G265" s="15">
        <v>39702.600909713998</v>
      </c>
    </row>
    <row r="266" spans="1:7" x14ac:dyDescent="0.25">
      <c r="A266" s="15">
        <v>2016</v>
      </c>
      <c r="B266" s="15">
        <v>1</v>
      </c>
      <c r="C266" s="15">
        <v>40477.686101777203</v>
      </c>
      <c r="E266" s="15">
        <v>2016</v>
      </c>
      <c r="F266" s="15">
        <v>1</v>
      </c>
      <c r="G266" s="15">
        <v>40490.098595095398</v>
      </c>
    </row>
    <row r="267" spans="1:7" x14ac:dyDescent="0.25">
      <c r="A267" s="15">
        <v>2016</v>
      </c>
      <c r="B267" s="15">
        <v>2</v>
      </c>
      <c r="C267" s="15">
        <v>38727.216857084597</v>
      </c>
      <c r="E267" s="15">
        <v>2016</v>
      </c>
      <c r="F267" s="15">
        <v>2</v>
      </c>
      <c r="G267" s="15">
        <v>38730.974039091103</v>
      </c>
    </row>
    <row r="268" spans="1:7" x14ac:dyDescent="0.25">
      <c r="A268" s="15">
        <v>2016</v>
      </c>
      <c r="B268" s="15">
        <v>3</v>
      </c>
      <c r="C268" s="15">
        <v>40370.028936149101</v>
      </c>
      <c r="E268" s="15">
        <v>2016</v>
      </c>
      <c r="F268" s="15">
        <v>3</v>
      </c>
      <c r="G268" s="15">
        <v>40361.2534433197</v>
      </c>
    </row>
    <row r="269" spans="1:7" x14ac:dyDescent="0.25">
      <c r="A269" s="15">
        <v>2016</v>
      </c>
      <c r="B269" s="15">
        <v>4</v>
      </c>
      <c r="C269" s="15">
        <v>42536.708024925101</v>
      </c>
      <c r="E269" s="15">
        <v>2016</v>
      </c>
      <c r="F269" s="15">
        <v>4</v>
      </c>
      <c r="G269" s="15">
        <v>42539.111745192102</v>
      </c>
    </row>
    <row r="270" spans="1:7" x14ac:dyDescent="0.25">
      <c r="A270" s="15">
        <v>2016</v>
      </c>
      <c r="B270" s="15">
        <v>5</v>
      </c>
      <c r="C270" s="15">
        <v>37612.511762605704</v>
      </c>
      <c r="E270" s="15">
        <v>2016</v>
      </c>
      <c r="F270" s="15">
        <v>5</v>
      </c>
      <c r="G270" s="15">
        <v>37613.754779006202</v>
      </c>
    </row>
    <row r="271" spans="1:7" x14ac:dyDescent="0.25">
      <c r="A271" s="15">
        <v>2016</v>
      </c>
      <c r="B271" s="15">
        <v>6</v>
      </c>
      <c r="C271" s="15">
        <v>37666.620790226902</v>
      </c>
      <c r="E271" s="15">
        <v>2016</v>
      </c>
      <c r="F271" s="15">
        <v>6</v>
      </c>
      <c r="G271" s="15">
        <v>37662.130965369397</v>
      </c>
    </row>
    <row r="272" spans="1:7" x14ac:dyDescent="0.25">
      <c r="A272" s="15">
        <v>2016</v>
      </c>
      <c r="B272" s="15">
        <v>7</v>
      </c>
      <c r="C272" s="15">
        <v>39778.734929848302</v>
      </c>
      <c r="E272" s="15">
        <v>2016</v>
      </c>
      <c r="F272" s="15">
        <v>7</v>
      </c>
      <c r="G272" s="15">
        <v>39783.347893182101</v>
      </c>
    </row>
    <row r="273" spans="1:7" x14ac:dyDescent="0.25">
      <c r="A273" s="15">
        <v>2016</v>
      </c>
      <c r="B273" s="15">
        <v>8</v>
      </c>
      <c r="C273" s="15">
        <v>37727.924025304397</v>
      </c>
      <c r="E273" s="15">
        <v>2016</v>
      </c>
      <c r="F273" s="15">
        <v>8</v>
      </c>
      <c r="G273" s="15">
        <v>37718.844238733902</v>
      </c>
    </row>
    <row r="274" spans="1:7" x14ac:dyDescent="0.25">
      <c r="A274" s="15">
        <v>2016</v>
      </c>
      <c r="B274" s="15">
        <v>9</v>
      </c>
      <c r="C274" s="15">
        <v>35650.1770597535</v>
      </c>
      <c r="E274" s="15">
        <v>2016</v>
      </c>
      <c r="F274" s="15">
        <v>9</v>
      </c>
      <c r="G274" s="15">
        <v>35640.8447582468</v>
      </c>
    </row>
    <row r="275" spans="1:7" x14ac:dyDescent="0.25">
      <c r="A275" s="15">
        <v>2016</v>
      </c>
      <c r="B275" s="15">
        <v>10</v>
      </c>
      <c r="C275" s="15">
        <v>34708.322317820901</v>
      </c>
      <c r="E275" s="15">
        <v>2016</v>
      </c>
      <c r="F275" s="15">
        <v>10</v>
      </c>
      <c r="G275" s="15">
        <v>34723.548197276003</v>
      </c>
    </row>
    <row r="276" spans="1:7" x14ac:dyDescent="0.25">
      <c r="A276" s="15">
        <v>2016</v>
      </c>
      <c r="B276" s="15">
        <v>11</v>
      </c>
      <c r="C276" s="15">
        <v>41440.752741183896</v>
      </c>
      <c r="E276" s="15">
        <v>2016</v>
      </c>
      <c r="F276" s="15">
        <v>11</v>
      </c>
      <c r="G276" s="15">
        <v>41433.868859300499</v>
      </c>
    </row>
    <row r="277" spans="1:7" x14ac:dyDescent="0.25">
      <c r="A277" s="15">
        <v>2016</v>
      </c>
      <c r="B277" s="15">
        <v>12</v>
      </c>
      <c r="C277" s="15">
        <v>49298.068120313997</v>
      </c>
      <c r="E277" s="15">
        <v>2016</v>
      </c>
      <c r="F277" s="15">
        <v>12</v>
      </c>
      <c r="G277" s="15">
        <v>49306.503052493397</v>
      </c>
    </row>
    <row r="278" spans="1:7" x14ac:dyDescent="0.25">
      <c r="A278" s="15">
        <v>2017</v>
      </c>
      <c r="B278" s="15">
        <v>1</v>
      </c>
      <c r="C278" s="15">
        <v>47122.835572836899</v>
      </c>
      <c r="E278" s="15">
        <v>2017</v>
      </c>
      <c r="F278" s="15">
        <v>1</v>
      </c>
      <c r="G278" s="15">
        <v>47130.024323800702</v>
      </c>
    </row>
    <row r="279" spans="1:7" x14ac:dyDescent="0.25">
      <c r="A279" s="15">
        <v>2017</v>
      </c>
      <c r="B279" s="15">
        <v>2</v>
      </c>
      <c r="C279" s="15">
        <v>27772.1384265298</v>
      </c>
      <c r="E279" s="15">
        <v>2017</v>
      </c>
      <c r="F279" s="15">
        <v>2</v>
      </c>
      <c r="G279" s="15">
        <v>27768.281652718699</v>
      </c>
    </row>
    <row r="280" spans="1:7" x14ac:dyDescent="0.25">
      <c r="A280" s="15">
        <v>2017</v>
      </c>
      <c r="B280" s="15">
        <v>3</v>
      </c>
      <c r="C280" s="15">
        <v>33774.984203837397</v>
      </c>
      <c r="E280" s="15">
        <v>2017</v>
      </c>
      <c r="F280" s="15">
        <v>3</v>
      </c>
      <c r="G280" s="15">
        <v>33771.286139893302</v>
      </c>
    </row>
    <row r="281" spans="1:7" x14ac:dyDescent="0.25">
      <c r="A281" s="15">
        <v>2017</v>
      </c>
      <c r="B281" s="15">
        <v>4</v>
      </c>
      <c r="C281" s="15">
        <v>37293.203862542403</v>
      </c>
      <c r="E281" s="15">
        <v>2017</v>
      </c>
      <c r="F281" s="15">
        <v>4</v>
      </c>
      <c r="G281" s="15">
        <v>37302.5166905679</v>
      </c>
    </row>
    <row r="282" spans="1:7" x14ac:dyDescent="0.25">
      <c r="A282" s="15">
        <v>2017</v>
      </c>
      <c r="B282" s="15">
        <v>5</v>
      </c>
      <c r="C282" s="15">
        <v>41711.247729898903</v>
      </c>
      <c r="E282" s="15">
        <v>2017</v>
      </c>
      <c r="F282" s="15">
        <v>5</v>
      </c>
      <c r="G282" s="15">
        <v>41703.762106783499</v>
      </c>
    </row>
    <row r="283" spans="1:7" x14ac:dyDescent="0.25">
      <c r="A283" s="15">
        <v>2017</v>
      </c>
      <c r="B283" s="15">
        <v>6</v>
      </c>
      <c r="C283" s="15">
        <v>42334.366023180199</v>
      </c>
      <c r="E283" s="15">
        <v>2017</v>
      </c>
      <c r="F283" s="15">
        <v>6</v>
      </c>
      <c r="G283" s="15">
        <v>42326.8362015608</v>
      </c>
    </row>
    <row r="284" spans="1:7" x14ac:dyDescent="0.25">
      <c r="A284" s="15">
        <v>2017</v>
      </c>
      <c r="B284" s="15">
        <v>7</v>
      </c>
      <c r="C284" s="15">
        <v>40238.697862087101</v>
      </c>
      <c r="E284" s="15">
        <v>2017</v>
      </c>
      <c r="F284" s="15">
        <v>7</v>
      </c>
      <c r="G284" s="15">
        <v>40240.999664628303</v>
      </c>
    </row>
    <row r="285" spans="1:7" x14ac:dyDescent="0.25">
      <c r="A285" s="15">
        <v>2017</v>
      </c>
      <c r="B285" s="15">
        <v>8</v>
      </c>
      <c r="C285" s="15">
        <v>38557.450301059602</v>
      </c>
      <c r="E285" s="15">
        <v>2017</v>
      </c>
      <c r="F285" s="15">
        <v>8</v>
      </c>
      <c r="G285" s="15">
        <v>38546.874878117502</v>
      </c>
    </row>
    <row r="286" spans="1:7" x14ac:dyDescent="0.25">
      <c r="A286" s="15">
        <v>2017</v>
      </c>
      <c r="B286" s="15">
        <v>9</v>
      </c>
      <c r="C286" s="15">
        <v>42305.832700270599</v>
      </c>
      <c r="E286" s="15">
        <v>2017</v>
      </c>
      <c r="F286" s="15">
        <v>9</v>
      </c>
      <c r="G286" s="15">
        <v>42302.308515257399</v>
      </c>
    </row>
    <row r="287" spans="1:7" x14ac:dyDescent="0.25">
      <c r="A287" s="15">
        <v>2017</v>
      </c>
      <c r="B287" s="15">
        <v>10</v>
      </c>
      <c r="C287" s="15">
        <v>40153.735374191099</v>
      </c>
      <c r="E287" s="15">
        <v>2017</v>
      </c>
      <c r="F287" s="15">
        <v>10</v>
      </c>
      <c r="G287" s="15">
        <v>40160.583864477601</v>
      </c>
    </row>
    <row r="288" spans="1:7" x14ac:dyDescent="0.25">
      <c r="A288" s="15">
        <v>2017</v>
      </c>
      <c r="B288" s="15">
        <v>11</v>
      </c>
      <c r="C288" s="15">
        <v>40071.913136471601</v>
      </c>
      <c r="E288" s="15">
        <v>2017</v>
      </c>
      <c r="F288" s="15">
        <v>11</v>
      </c>
      <c r="G288" s="15">
        <v>40064.899003661398</v>
      </c>
    </row>
    <row r="289" spans="1:7" x14ac:dyDescent="0.25">
      <c r="A289" s="15">
        <v>2017</v>
      </c>
      <c r="B289" s="15">
        <v>12</v>
      </c>
      <c r="C289" s="15">
        <v>43098.176574191602</v>
      </c>
      <c r="E289" s="15">
        <v>2017</v>
      </c>
      <c r="F289" s="15">
        <v>12</v>
      </c>
      <c r="G289" s="15">
        <v>43118.827595399896</v>
      </c>
    </row>
    <row r="290" spans="1:7" x14ac:dyDescent="0.25">
      <c r="A290" s="15">
        <v>2018</v>
      </c>
      <c r="B290" s="15">
        <v>1</v>
      </c>
      <c r="C290" s="15">
        <v>40209.056809738599</v>
      </c>
      <c r="E290" s="15">
        <v>2018</v>
      </c>
      <c r="F290" s="15">
        <v>1</v>
      </c>
      <c r="G290" s="15">
        <v>40213.779030840102</v>
      </c>
    </row>
    <row r="291" spans="1:7" x14ac:dyDescent="0.25">
      <c r="A291" s="15">
        <v>2018</v>
      </c>
      <c r="B291" s="15">
        <v>2</v>
      </c>
      <c r="C291" s="15">
        <v>40398.5274639661</v>
      </c>
      <c r="E291" s="15">
        <v>2018</v>
      </c>
      <c r="F291" s="15">
        <v>2</v>
      </c>
      <c r="G291" s="15">
        <v>40393.617121350202</v>
      </c>
    </row>
    <row r="292" spans="1:7" x14ac:dyDescent="0.25">
      <c r="A292" s="15">
        <v>2018</v>
      </c>
      <c r="B292" s="15">
        <v>3</v>
      </c>
      <c r="C292" s="15">
        <v>45061.934630173098</v>
      </c>
      <c r="E292" s="15">
        <v>2018</v>
      </c>
      <c r="F292" s="15">
        <v>3</v>
      </c>
      <c r="G292" s="15">
        <v>45066.464406142302</v>
      </c>
    </row>
    <row r="293" spans="1:7" x14ac:dyDescent="0.25">
      <c r="A293" s="15">
        <v>2018</v>
      </c>
      <c r="B293" s="15">
        <v>4</v>
      </c>
      <c r="C293" s="15">
        <v>44463.697887456699</v>
      </c>
      <c r="E293" s="15">
        <v>2018</v>
      </c>
      <c r="F293" s="15">
        <v>4</v>
      </c>
      <c r="G293" s="15">
        <v>44464.593595630198</v>
      </c>
    </row>
    <row r="294" spans="1:7" x14ac:dyDescent="0.25">
      <c r="A294" s="15">
        <v>2018</v>
      </c>
      <c r="B294" s="15">
        <v>5</v>
      </c>
      <c r="C294" s="15">
        <v>43229.351924092603</v>
      </c>
      <c r="E294" s="15">
        <v>2018</v>
      </c>
      <c r="F294" s="15">
        <v>5</v>
      </c>
      <c r="G294" s="15">
        <v>43220.165146569598</v>
      </c>
    </row>
    <row r="295" spans="1:7" x14ac:dyDescent="0.25">
      <c r="A295" s="15">
        <v>2018</v>
      </c>
      <c r="B295" s="15">
        <v>6</v>
      </c>
      <c r="C295" s="15">
        <v>38207.522308021398</v>
      </c>
      <c r="E295" s="15">
        <v>2018</v>
      </c>
      <c r="F295" s="15">
        <v>6</v>
      </c>
      <c r="G295" s="15">
        <v>38206.788418547803</v>
      </c>
    </row>
    <row r="296" spans="1:7" x14ac:dyDescent="0.25">
      <c r="A296" s="15">
        <v>2018</v>
      </c>
      <c r="B296" s="15">
        <v>7</v>
      </c>
      <c r="C296" s="15">
        <v>42331.469427453398</v>
      </c>
      <c r="E296" s="15">
        <v>2018</v>
      </c>
      <c r="F296" s="15">
        <v>7</v>
      </c>
      <c r="G296" s="15">
        <v>42326.565664132802</v>
      </c>
    </row>
    <row r="297" spans="1:7" x14ac:dyDescent="0.25">
      <c r="A297" s="15">
        <v>2018</v>
      </c>
      <c r="B297" s="15">
        <v>8</v>
      </c>
      <c r="C297" s="15">
        <v>42271.487437049502</v>
      </c>
      <c r="E297" s="15">
        <v>2018</v>
      </c>
      <c r="F297" s="15">
        <v>8</v>
      </c>
      <c r="G297" s="15">
        <v>42260.442962446599</v>
      </c>
    </row>
    <row r="298" spans="1:7" x14ac:dyDescent="0.25">
      <c r="A298" s="15">
        <v>2018</v>
      </c>
      <c r="B298" s="15">
        <v>9</v>
      </c>
      <c r="C298" s="15">
        <v>34358.716625756402</v>
      </c>
      <c r="E298" s="15">
        <v>2018</v>
      </c>
      <c r="F298" s="15">
        <v>9</v>
      </c>
      <c r="G298" s="15">
        <v>34361.807004540999</v>
      </c>
    </row>
    <row r="299" spans="1:7" x14ac:dyDescent="0.25">
      <c r="A299" s="15">
        <v>2018</v>
      </c>
      <c r="B299" s="15">
        <v>10</v>
      </c>
      <c r="C299" s="15">
        <v>33805.689186534597</v>
      </c>
      <c r="E299" s="15">
        <v>2018</v>
      </c>
      <c r="F299" s="15">
        <v>10</v>
      </c>
      <c r="G299" s="15">
        <v>33797.884957755203</v>
      </c>
    </row>
    <row r="300" spans="1:7" x14ac:dyDescent="0.25">
      <c r="A300" s="15">
        <v>2018</v>
      </c>
      <c r="B300" s="15">
        <v>11</v>
      </c>
      <c r="C300" s="15">
        <v>32092.763328720401</v>
      </c>
      <c r="E300" s="15">
        <v>2018</v>
      </c>
      <c r="F300" s="15">
        <v>11</v>
      </c>
      <c r="G300" s="15">
        <v>32080.423422785399</v>
      </c>
    </row>
    <row r="301" spans="1:7" x14ac:dyDescent="0.25">
      <c r="A301" s="15">
        <v>2018</v>
      </c>
      <c r="B301" s="15">
        <v>12</v>
      </c>
      <c r="C301" s="15">
        <v>29291.743877004501</v>
      </c>
      <c r="E301" s="15">
        <v>2018</v>
      </c>
      <c r="F301" s="15">
        <v>12</v>
      </c>
      <c r="G301" s="15">
        <v>29331.862133914299</v>
      </c>
    </row>
    <row r="302" spans="1:7" x14ac:dyDescent="0.25">
      <c r="A302" s="15">
        <v>2019</v>
      </c>
      <c r="B302" s="15">
        <v>1</v>
      </c>
      <c r="C302" s="15">
        <v>32918.608313882098</v>
      </c>
      <c r="E302" s="15">
        <v>2019</v>
      </c>
      <c r="F302" s="15">
        <v>1</v>
      </c>
      <c r="G302" s="15">
        <v>32922.332950533397</v>
      </c>
    </row>
    <row r="303" spans="1:7" x14ac:dyDescent="0.25">
      <c r="A303" s="15">
        <v>2019</v>
      </c>
      <c r="B303" s="15">
        <v>2</v>
      </c>
      <c r="C303" s="15">
        <v>33761.396774348497</v>
      </c>
      <c r="E303" s="15">
        <v>2019</v>
      </c>
      <c r="F303" s="15">
        <v>2</v>
      </c>
      <c r="G303" s="15">
        <v>33753.997426580099</v>
      </c>
    </row>
    <row r="304" spans="1:7" x14ac:dyDescent="0.25">
      <c r="A304" s="15">
        <v>2019</v>
      </c>
      <c r="B304" s="15">
        <v>3</v>
      </c>
      <c r="C304" s="15">
        <v>25535.8691929011</v>
      </c>
      <c r="E304" s="15">
        <v>2019</v>
      </c>
      <c r="F304" s="15">
        <v>3</v>
      </c>
      <c r="G304" s="15">
        <v>25548.988129119502</v>
      </c>
    </row>
    <row r="305" spans="1:7" x14ac:dyDescent="0.25">
      <c r="A305" s="15">
        <v>2019</v>
      </c>
      <c r="B305" s="15">
        <v>4</v>
      </c>
      <c r="C305" s="15">
        <v>27902.112056487898</v>
      </c>
      <c r="E305" s="15">
        <v>2019</v>
      </c>
      <c r="F305" s="15">
        <v>4</v>
      </c>
      <c r="G305" s="15">
        <v>27896.737241037499</v>
      </c>
    </row>
    <row r="306" spans="1:7" x14ac:dyDescent="0.25">
      <c r="A306" s="15">
        <v>2019</v>
      </c>
      <c r="B306" s="15">
        <v>5</v>
      </c>
      <c r="C306" s="15">
        <v>27051.375711779601</v>
      </c>
      <c r="E306" s="15">
        <v>2019</v>
      </c>
      <c r="F306" s="15">
        <v>5</v>
      </c>
      <c r="G306" s="15">
        <v>27041.001106957799</v>
      </c>
    </row>
    <row r="307" spans="1:7" x14ac:dyDescent="0.25">
      <c r="A307" s="15">
        <v>2019</v>
      </c>
      <c r="B307" s="15">
        <v>6</v>
      </c>
      <c r="C307" s="15">
        <v>24804.351997375299</v>
      </c>
      <c r="E307" s="15">
        <v>2019</v>
      </c>
      <c r="F307" s="15">
        <v>6</v>
      </c>
      <c r="G307" s="15">
        <v>24810.739040767701</v>
      </c>
    </row>
    <row r="308" spans="1:7" x14ac:dyDescent="0.25">
      <c r="A308" s="15">
        <v>2019</v>
      </c>
      <c r="B308" s="15">
        <v>7</v>
      </c>
      <c r="C308" s="15">
        <v>21132.3784960458</v>
      </c>
      <c r="E308" s="15">
        <v>2019</v>
      </c>
      <c r="F308" s="15">
        <v>7</v>
      </c>
      <c r="G308" s="15">
        <v>21117.192773430401</v>
      </c>
    </row>
    <row r="309" spans="1:7" x14ac:dyDescent="0.25">
      <c r="A309" s="15">
        <v>2019</v>
      </c>
      <c r="B309" s="15">
        <v>8</v>
      </c>
      <c r="C309" s="15">
        <v>25119.510475435902</v>
      </c>
      <c r="E309" s="15">
        <v>2019</v>
      </c>
      <c r="F309" s="15">
        <v>8</v>
      </c>
      <c r="G309" s="15">
        <v>25111.0582696622</v>
      </c>
    </row>
    <row r="310" spans="1:7" x14ac:dyDescent="0.25">
      <c r="A310" s="15">
        <v>2019</v>
      </c>
      <c r="B310" s="15">
        <v>9</v>
      </c>
      <c r="C310" s="15">
        <v>23418.183184572899</v>
      </c>
      <c r="E310" s="15">
        <v>2019</v>
      </c>
      <c r="F310" s="15">
        <v>9</v>
      </c>
      <c r="G310" s="15">
        <v>23407.9816649491</v>
      </c>
    </row>
    <row r="311" spans="1:7" x14ac:dyDescent="0.25">
      <c r="A311" s="15">
        <v>2019</v>
      </c>
      <c r="B311" s="15">
        <v>10</v>
      </c>
      <c r="C311" s="15">
        <v>26753.269161810302</v>
      </c>
      <c r="E311" s="15">
        <v>2019</v>
      </c>
      <c r="F311" s="15">
        <v>10</v>
      </c>
      <c r="G311" s="15">
        <v>26736.685947485799</v>
      </c>
    </row>
    <row r="312" spans="1:7" x14ac:dyDescent="0.25">
      <c r="A312" s="15">
        <v>2019</v>
      </c>
      <c r="B312" s="15">
        <v>11</v>
      </c>
      <c r="C312" s="15">
        <v>23842.119894481999</v>
      </c>
      <c r="E312" s="15">
        <v>2019</v>
      </c>
      <c r="F312" s="15">
        <v>11</v>
      </c>
      <c r="G312" s="15">
        <v>23835.4248733686</v>
      </c>
    </row>
    <row r="313" spans="1:7" x14ac:dyDescent="0.25">
      <c r="A313" s="15">
        <v>2019</v>
      </c>
      <c r="B313" s="15">
        <v>12</v>
      </c>
      <c r="C313" s="15">
        <v>21248.314957472299</v>
      </c>
      <c r="E313" s="15">
        <v>2019</v>
      </c>
      <c r="F313" s="15">
        <v>12</v>
      </c>
      <c r="G313" s="15">
        <v>21301.913580738601</v>
      </c>
    </row>
    <row r="314" spans="1:7" x14ac:dyDescent="0.25">
      <c r="A314" s="15">
        <v>2020</v>
      </c>
      <c r="B314" s="15">
        <v>1</v>
      </c>
      <c r="C314" s="15">
        <v>38781.765362908998</v>
      </c>
      <c r="E314" s="15">
        <v>2020</v>
      </c>
      <c r="F314" s="15">
        <v>1</v>
      </c>
      <c r="G314" s="15">
        <v>38792.001812953298</v>
      </c>
    </row>
    <row r="315" spans="1:7" x14ac:dyDescent="0.25">
      <c r="A315" s="15">
        <v>2020</v>
      </c>
      <c r="B315" s="15">
        <v>2</v>
      </c>
      <c r="C315" s="15">
        <v>30361.5319178338</v>
      </c>
      <c r="E315" s="15">
        <v>2020</v>
      </c>
      <c r="F315" s="15">
        <v>2</v>
      </c>
      <c r="G315" s="15">
        <v>30374.788596864099</v>
      </c>
    </row>
    <row r="316" spans="1:7" x14ac:dyDescent="0.25">
      <c r="A316" s="15">
        <v>2020</v>
      </c>
      <c r="B316" s="15">
        <v>3</v>
      </c>
      <c r="C316" s="15">
        <v>13566.878373781499</v>
      </c>
      <c r="E316" s="15">
        <v>2020</v>
      </c>
      <c r="F316" s="15">
        <v>3</v>
      </c>
      <c r="G316" s="15">
        <v>13575.3780457637</v>
      </c>
    </row>
    <row r="317" spans="1:7" x14ac:dyDescent="0.25">
      <c r="A317" s="15">
        <v>2020</v>
      </c>
      <c r="B317" s="15">
        <v>4</v>
      </c>
      <c r="C317" s="15">
        <v>-1950.1843290363199</v>
      </c>
      <c r="E317" s="15">
        <v>2020</v>
      </c>
      <c r="F317" s="15">
        <v>4</v>
      </c>
      <c r="G317" s="15">
        <v>-1950.6054420022101</v>
      </c>
    </row>
    <row r="318" spans="1:7" x14ac:dyDescent="0.25">
      <c r="A318" s="15">
        <v>2020</v>
      </c>
      <c r="B318" s="15">
        <v>5</v>
      </c>
      <c r="C318" s="15">
        <v>5057.5758879416899</v>
      </c>
      <c r="E318" s="15">
        <v>2020</v>
      </c>
      <c r="F318" s="15">
        <v>5</v>
      </c>
      <c r="G318" s="15">
        <v>5061.5513313961201</v>
      </c>
    </row>
    <row r="319" spans="1:7" x14ac:dyDescent="0.25">
      <c r="A319" s="15">
        <v>2020</v>
      </c>
      <c r="B319" s="15">
        <v>6</v>
      </c>
      <c r="C319" s="15">
        <v>13694.905110498299</v>
      </c>
      <c r="E319" s="15">
        <v>2020</v>
      </c>
      <c r="F319" s="15">
        <v>6</v>
      </c>
      <c r="G319" s="15">
        <v>13677.9937401842</v>
      </c>
    </row>
    <row r="320" spans="1:7" x14ac:dyDescent="0.25">
      <c r="A320" s="15">
        <v>2020</v>
      </c>
      <c r="B320" s="15">
        <v>7</v>
      </c>
      <c r="C320" s="15">
        <v>21357.0912439596</v>
      </c>
      <c r="E320" s="15">
        <v>2020</v>
      </c>
      <c r="F320" s="15">
        <v>7</v>
      </c>
      <c r="G320" s="15">
        <v>21326.339801670802</v>
      </c>
    </row>
    <row r="321" spans="1:7" x14ac:dyDescent="0.25">
      <c r="A321" s="15">
        <v>2020</v>
      </c>
      <c r="B321" s="15">
        <v>8</v>
      </c>
      <c r="C321" s="15">
        <v>21497.365641052998</v>
      </c>
      <c r="E321" s="15">
        <v>2020</v>
      </c>
      <c r="F321" s="15">
        <v>8</v>
      </c>
      <c r="G321" s="15">
        <v>21475.495435619901</v>
      </c>
    </row>
    <row r="322" spans="1:7" x14ac:dyDescent="0.25">
      <c r="A322" s="15">
        <v>2020</v>
      </c>
      <c r="B322" s="15">
        <v>9</v>
      </c>
      <c r="C322" s="15">
        <v>26102.350710957398</v>
      </c>
      <c r="E322" s="15">
        <v>2020</v>
      </c>
      <c r="F322" s="15">
        <v>9</v>
      </c>
      <c r="G322" s="15">
        <v>26065.970733526301</v>
      </c>
    </row>
    <row r="323" spans="1:7" x14ac:dyDescent="0.25">
      <c r="A323" s="15">
        <v>2020</v>
      </c>
      <c r="B323" s="15">
        <v>10</v>
      </c>
      <c r="C323" s="15">
        <v>24742.163144107399</v>
      </c>
      <c r="E323" s="15">
        <v>2020</v>
      </c>
      <c r="F323" s="15">
        <v>10</v>
      </c>
      <c r="G323" s="15">
        <v>24719.71848666</v>
      </c>
    </row>
    <row r="324" spans="1:7" x14ac:dyDescent="0.25">
      <c r="A324" s="15">
        <v>2020</v>
      </c>
      <c r="B324" s="15">
        <v>11</v>
      </c>
      <c r="C324" s="15">
        <v>28808.310913141398</v>
      </c>
      <c r="E324" s="15">
        <v>2020</v>
      </c>
      <c r="F324" s="15">
        <v>11</v>
      </c>
      <c r="G324" s="15">
        <v>28808.700026001901</v>
      </c>
    </row>
    <row r="325" spans="1:7" x14ac:dyDescent="0.25">
      <c r="A325" s="15">
        <v>2020</v>
      </c>
      <c r="B325" s="15">
        <v>12</v>
      </c>
      <c r="C325" s="15">
        <v>35055.013849662202</v>
      </c>
      <c r="E325" s="15">
        <v>2020</v>
      </c>
      <c r="F325" s="15">
        <v>12</v>
      </c>
      <c r="G325" s="15">
        <v>35144.9664980495</v>
      </c>
    </row>
    <row r="326" spans="1:7" x14ac:dyDescent="0.25">
      <c r="A326" s="15">
        <v>2021</v>
      </c>
      <c r="B326" s="15">
        <v>1</v>
      </c>
      <c r="C326" s="15">
        <v>45707.901915262701</v>
      </c>
      <c r="E326" s="15">
        <v>2021</v>
      </c>
      <c r="F326" s="15">
        <v>1</v>
      </c>
      <c r="G326" s="15">
        <v>45761.729480868402</v>
      </c>
    </row>
    <row r="327" spans="1:7" x14ac:dyDescent="0.25">
      <c r="A327" s="15">
        <v>2021</v>
      </c>
      <c r="B327" s="15">
        <v>2</v>
      </c>
      <c r="C327" s="15">
        <v>23362.854244457401</v>
      </c>
      <c r="E327" s="15">
        <v>2021</v>
      </c>
      <c r="F327" s="15">
        <v>2</v>
      </c>
      <c r="G327" s="15">
        <v>23390.253096639699</v>
      </c>
    </row>
    <row r="328" spans="1:7" x14ac:dyDescent="0.25">
      <c r="A328" s="15">
        <v>2021</v>
      </c>
      <c r="B328" s="15">
        <v>3</v>
      </c>
      <c r="C328" s="15">
        <v>35631.437008298999</v>
      </c>
      <c r="E328" s="15">
        <v>2021</v>
      </c>
      <c r="F328" s="15">
        <v>3</v>
      </c>
      <c r="G328" s="15">
        <v>35646.725297034202</v>
      </c>
    </row>
    <row r="329" spans="1:7" x14ac:dyDescent="0.25">
      <c r="A329" s="15">
        <v>2021</v>
      </c>
      <c r="B329" s="15">
        <v>4</v>
      </c>
      <c r="C329" s="15">
        <v>27410.060549188602</v>
      </c>
      <c r="E329" s="15">
        <v>2021</v>
      </c>
      <c r="F329" s="15">
        <v>4</v>
      </c>
      <c r="G329" s="15">
        <v>27397.407340943999</v>
      </c>
    </row>
    <row r="330" spans="1:7" x14ac:dyDescent="0.25">
      <c r="A330" s="15">
        <v>2021</v>
      </c>
      <c r="B330" s="15">
        <v>5</v>
      </c>
      <c r="C330" s="15">
        <v>36155.3336743584</v>
      </c>
      <c r="E330" s="15">
        <v>2021</v>
      </c>
      <c r="F330" s="15">
        <v>5</v>
      </c>
      <c r="G330" s="15">
        <v>36112.281206291598</v>
      </c>
    </row>
    <row r="331" spans="1:7" x14ac:dyDescent="0.25">
      <c r="A331" s="15">
        <v>2021</v>
      </c>
      <c r="B331" s="15">
        <v>6</v>
      </c>
      <c r="C331" s="15">
        <v>38361.934845935597</v>
      </c>
      <c r="E331" s="15">
        <v>2021</v>
      </c>
      <c r="F331" s="15">
        <v>6</v>
      </c>
      <c r="G331" s="15">
        <v>38319.737567730102</v>
      </c>
    </row>
    <row r="332" spans="1:7" x14ac:dyDescent="0.25">
      <c r="A332" s="15">
        <v>2021</v>
      </c>
      <c r="B332" s="15">
        <v>7</v>
      </c>
      <c r="C332" s="15">
        <v>33421.245790805799</v>
      </c>
      <c r="E332" s="15">
        <v>2021</v>
      </c>
      <c r="F332" s="15">
        <v>7</v>
      </c>
      <c r="G332" s="15">
        <v>33494.021697594602</v>
      </c>
    </row>
    <row r="333" spans="1:7" x14ac:dyDescent="0.25">
      <c r="A333" s="15">
        <v>2021</v>
      </c>
      <c r="B333" s="15">
        <v>8</v>
      </c>
      <c r="C333" s="15">
        <v>32267.653251052001</v>
      </c>
      <c r="E333" s="15">
        <v>2021</v>
      </c>
      <c r="F333" s="15">
        <v>8</v>
      </c>
      <c r="G333" s="15">
        <v>32137.176274015201</v>
      </c>
    </row>
    <row r="334" spans="1:7" x14ac:dyDescent="0.25">
      <c r="A334" s="15">
        <v>2021</v>
      </c>
      <c r="B334" s="15">
        <v>9</v>
      </c>
      <c r="C334" s="15">
        <v>37298.3554304348</v>
      </c>
      <c r="E334" s="15">
        <v>2021</v>
      </c>
      <c r="F334" s="15">
        <v>9</v>
      </c>
      <c r="G334" s="15">
        <v>37191.633399610299</v>
      </c>
    </row>
    <row r="335" spans="1:7" x14ac:dyDescent="0.25">
      <c r="A335" s="15">
        <v>2021</v>
      </c>
      <c r="B335" s="15">
        <v>10</v>
      </c>
      <c r="C335" s="15">
        <v>38226.464211261497</v>
      </c>
      <c r="E335" s="15">
        <v>2021</v>
      </c>
      <c r="F335" s="15">
        <v>10</v>
      </c>
      <c r="G335" s="15">
        <v>38185.127774085202</v>
      </c>
    </row>
    <row r="336" spans="1:7" x14ac:dyDescent="0.25">
      <c r="A336" s="15">
        <v>2021</v>
      </c>
      <c r="B336" s="15">
        <v>11</v>
      </c>
      <c r="C336" s="15">
        <v>40299.053760693598</v>
      </c>
      <c r="E336" s="15">
        <v>2021</v>
      </c>
      <c r="F336" s="15">
        <v>11</v>
      </c>
      <c r="G336" s="15">
        <v>40313.133963524298</v>
      </c>
    </row>
    <row r="337" spans="1:7" x14ac:dyDescent="0.25">
      <c r="A337" s="15">
        <v>2021</v>
      </c>
      <c r="B337" s="15">
        <v>12</v>
      </c>
      <c r="C337" s="15">
        <v>44795.495829364598</v>
      </c>
      <c r="E337" s="15">
        <v>2021</v>
      </c>
      <c r="F337" s="15">
        <v>12</v>
      </c>
      <c r="G337" s="15">
        <v>44933.977614882999</v>
      </c>
    </row>
    <row r="338" spans="1:7" x14ac:dyDescent="0.25">
      <c r="A338" s="15">
        <v>2022</v>
      </c>
      <c r="B338" s="15">
        <v>1</v>
      </c>
      <c r="C338" s="15">
        <v>40282.784867495597</v>
      </c>
      <c r="E338" s="15">
        <v>2022</v>
      </c>
      <c r="F338" s="15">
        <v>1</v>
      </c>
      <c r="G338" s="15">
        <v>40404.595939930303</v>
      </c>
    </row>
    <row r="339" spans="1:7" x14ac:dyDescent="0.25">
      <c r="A339" s="15">
        <v>2022</v>
      </c>
      <c r="B339" s="15">
        <v>2</v>
      </c>
      <c r="C339" s="15">
        <v>39828.755839527999</v>
      </c>
      <c r="E339" s="15">
        <v>2022</v>
      </c>
      <c r="F339" s="15">
        <v>2</v>
      </c>
      <c r="G339" s="15">
        <v>39923.159972505397</v>
      </c>
    </row>
    <row r="340" spans="1:7" x14ac:dyDescent="0.25">
      <c r="A340" s="15">
        <v>2022</v>
      </c>
      <c r="B340" s="15">
        <v>3</v>
      </c>
      <c r="C340" s="15">
        <v>41248.292997612101</v>
      </c>
      <c r="E340" s="15">
        <v>2022</v>
      </c>
      <c r="F340" s="15">
        <v>3</v>
      </c>
      <c r="G340" s="15">
        <v>41281.367465811098</v>
      </c>
    </row>
    <row r="341" spans="1:7" x14ac:dyDescent="0.25">
      <c r="A341" s="15">
        <v>2022</v>
      </c>
      <c r="B341" s="15">
        <v>4</v>
      </c>
      <c r="C341" s="15">
        <v>43313.879533172498</v>
      </c>
      <c r="E341" s="15">
        <v>2022</v>
      </c>
      <c r="F341" s="15">
        <v>4</v>
      </c>
      <c r="G341" s="15">
        <v>43329.150250446401</v>
      </c>
    </row>
    <row r="342" spans="1:7" x14ac:dyDescent="0.25">
      <c r="A342" s="15">
        <v>2022</v>
      </c>
      <c r="B342" s="15">
        <v>5</v>
      </c>
      <c r="C342" s="15">
        <v>46827.483765082201</v>
      </c>
      <c r="E342" s="15">
        <v>2022</v>
      </c>
      <c r="F342" s="15">
        <v>5</v>
      </c>
      <c r="G342" s="15">
        <v>46742.480469902199</v>
      </c>
    </row>
    <row r="343" spans="1:7" x14ac:dyDescent="0.25">
      <c r="A343" s="15">
        <v>2022</v>
      </c>
      <c r="B343" s="15">
        <v>6</v>
      </c>
      <c r="C343" s="15">
        <v>46566.527732674098</v>
      </c>
      <c r="E343" s="15">
        <v>2022</v>
      </c>
      <c r="F343" s="15">
        <v>6</v>
      </c>
      <c r="G343" s="15">
        <v>46530.781839503601</v>
      </c>
    </row>
    <row r="344" spans="1:7" x14ac:dyDescent="0.25">
      <c r="A344" s="15">
        <v>2022</v>
      </c>
      <c r="B344" s="15">
        <v>7</v>
      </c>
      <c r="C344" s="15">
        <v>47311.1996003288</v>
      </c>
      <c r="E344" s="15">
        <v>2022</v>
      </c>
      <c r="F344" s="15">
        <v>7</v>
      </c>
      <c r="G344" s="15">
        <v>47400.198214458098</v>
      </c>
    </row>
    <row r="345" spans="1:7" x14ac:dyDescent="0.25">
      <c r="A345" s="15">
        <v>2022</v>
      </c>
      <c r="B345" s="15">
        <v>8</v>
      </c>
      <c r="C345" s="15">
        <v>46311.937178884298</v>
      </c>
      <c r="E345" s="15">
        <v>2022</v>
      </c>
      <c r="F345" s="15">
        <v>8</v>
      </c>
      <c r="G345" s="15">
        <v>46041.136516573402</v>
      </c>
    </row>
    <row r="346" spans="1:7" x14ac:dyDescent="0.25">
      <c r="A346" s="15">
        <v>2022</v>
      </c>
      <c r="B346" s="15">
        <v>9</v>
      </c>
      <c r="C346" s="15">
        <v>45607.149407250101</v>
      </c>
      <c r="E346" s="15">
        <v>2022</v>
      </c>
      <c r="F346" s="15">
        <v>9</v>
      </c>
      <c r="G346" s="15">
        <v>45316.190786915198</v>
      </c>
    </row>
    <row r="347" spans="1:7" x14ac:dyDescent="0.25">
      <c r="A347" s="15">
        <v>2022</v>
      </c>
      <c r="B347" s="15">
        <v>10</v>
      </c>
      <c r="C347" s="15">
        <v>49348.457937847503</v>
      </c>
      <c r="E347" s="15">
        <v>2022</v>
      </c>
      <c r="F347" s="15">
        <v>10</v>
      </c>
      <c r="G347" s="15">
        <v>49173.011311116497</v>
      </c>
    </row>
    <row r="348" spans="1:7" x14ac:dyDescent="0.25">
      <c r="A348" s="15">
        <v>2022</v>
      </c>
      <c r="B348" s="15">
        <v>11</v>
      </c>
      <c r="C348" s="15">
        <v>46261.570756874702</v>
      </c>
      <c r="E348" s="15">
        <v>2022</v>
      </c>
      <c r="F348" s="15">
        <v>11</v>
      </c>
      <c r="G348" s="15">
        <v>46381.3753996468</v>
      </c>
    </row>
    <row r="349" spans="1:7" x14ac:dyDescent="0.25">
      <c r="A349" s="15">
        <v>2022</v>
      </c>
      <c r="B349" s="15">
        <v>12</v>
      </c>
      <c r="C349" s="15">
        <v>43600.211810021203</v>
      </c>
      <c r="E349" s="15">
        <v>2022</v>
      </c>
      <c r="F349" s="15">
        <v>12</v>
      </c>
      <c r="G349" s="15">
        <v>44006.621422222997</v>
      </c>
    </row>
    <row r="350" spans="1:7" x14ac:dyDescent="0.25">
      <c r="A350" s="15">
        <v>2023</v>
      </c>
      <c r="B350" s="15">
        <v>1</v>
      </c>
      <c r="C350" s="15">
        <v>47408.971787004397</v>
      </c>
      <c r="E350" s="15">
        <v>2023</v>
      </c>
      <c r="F350" s="15">
        <v>1</v>
      </c>
      <c r="G350" s="15">
        <v>47614.805173182503</v>
      </c>
    </row>
    <row r="351" spans="1:7" x14ac:dyDescent="0.25">
      <c r="A351" s="15">
        <v>2023</v>
      </c>
      <c r="B351" s="15">
        <v>2</v>
      </c>
      <c r="C351" s="15">
        <v>49272.621747411402</v>
      </c>
      <c r="E351" s="15">
        <v>2023</v>
      </c>
      <c r="F351" s="15">
        <v>2</v>
      </c>
      <c r="G351" s="15">
        <v>49407.206089466999</v>
      </c>
    </row>
    <row r="352" spans="1:7" x14ac:dyDescent="0.25">
      <c r="A352" s="15">
        <v>2023</v>
      </c>
      <c r="B352" s="15">
        <v>3</v>
      </c>
      <c r="C352" s="15">
        <v>53931.6761678271</v>
      </c>
      <c r="E352" s="15">
        <v>2023</v>
      </c>
      <c r="F352" s="15">
        <v>3</v>
      </c>
      <c r="G352" s="15">
        <v>53960.378461418499</v>
      </c>
    </row>
    <row r="353" spans="1:7" x14ac:dyDescent="0.25">
      <c r="A353" s="15">
        <v>2023</v>
      </c>
      <c r="B353" s="15">
        <v>4</v>
      </c>
      <c r="C353" s="15">
        <v>55248.185810477902</v>
      </c>
      <c r="E353" s="15">
        <v>2023</v>
      </c>
      <c r="F353" s="15">
        <v>4</v>
      </c>
      <c r="G353" s="15">
        <v>55278.6399102492</v>
      </c>
    </row>
    <row r="354" spans="1:7" x14ac:dyDescent="0.25">
      <c r="A354" s="15">
        <v>2023</v>
      </c>
      <c r="B354" s="15">
        <v>5</v>
      </c>
      <c r="C354" s="15">
        <v>52599.748648405402</v>
      </c>
      <c r="E354" s="15">
        <v>2023</v>
      </c>
      <c r="F354" s="15">
        <v>5</v>
      </c>
      <c r="G354" s="15">
        <v>52468.7764326951</v>
      </c>
    </row>
    <row r="355" spans="1:7" x14ac:dyDescent="0.25">
      <c r="A355" s="15">
        <v>2023</v>
      </c>
      <c r="B355" s="15">
        <v>6</v>
      </c>
      <c r="C355" s="15">
        <v>51777.476472905997</v>
      </c>
      <c r="E355" s="15">
        <v>2023</v>
      </c>
      <c r="F355" s="15">
        <v>6</v>
      </c>
      <c r="G355" s="15">
        <v>51746.476717862199</v>
      </c>
    </row>
    <row r="356" spans="1:7" x14ac:dyDescent="0.25">
      <c r="A356" s="15">
        <v>2023</v>
      </c>
      <c r="B356" s="15">
        <v>7</v>
      </c>
      <c r="C356" s="15">
        <v>52409.715393482897</v>
      </c>
      <c r="E356" s="15">
        <v>2023</v>
      </c>
      <c r="F356" s="15">
        <v>7</v>
      </c>
      <c r="G356" s="15">
        <v>52507.541364217897</v>
      </c>
    </row>
    <row r="357" spans="1:7" x14ac:dyDescent="0.25">
      <c r="A357" s="15">
        <v>2023</v>
      </c>
      <c r="B357" s="15">
        <v>8</v>
      </c>
      <c r="C357" s="15">
        <v>55361.0307383607</v>
      </c>
      <c r="E357" s="15">
        <v>2023</v>
      </c>
      <c r="F357" s="15">
        <v>8</v>
      </c>
      <c r="G357" s="15">
        <v>54942.435252864998</v>
      </c>
    </row>
    <row r="358" spans="1:7" x14ac:dyDescent="0.25">
      <c r="A358" s="15">
        <v>2023</v>
      </c>
      <c r="B358" s="15">
        <v>9</v>
      </c>
      <c r="C358" s="15">
        <v>51542.9341945907</v>
      </c>
      <c r="E358" s="15">
        <v>2023</v>
      </c>
      <c r="F358" s="15">
        <v>9</v>
      </c>
      <c r="G358" s="15">
        <v>51056.513338099998</v>
      </c>
    </row>
    <row r="359" spans="1:7" x14ac:dyDescent="0.25">
      <c r="A359" s="15">
        <v>2023</v>
      </c>
      <c r="B359" s="15">
        <v>10</v>
      </c>
      <c r="C359" s="15">
        <v>47061.817598051297</v>
      </c>
      <c r="E359" s="15">
        <v>2023</v>
      </c>
      <c r="F359" s="15">
        <v>10</v>
      </c>
      <c r="G359" s="15">
        <v>46718.487871491903</v>
      </c>
    </row>
    <row r="360" spans="1:7" x14ac:dyDescent="0.25">
      <c r="A360" s="15">
        <v>2023</v>
      </c>
      <c r="B360" s="15">
        <v>11</v>
      </c>
      <c r="C360" s="15">
        <v>48846.487327768002</v>
      </c>
      <c r="E360" s="15">
        <v>2023</v>
      </c>
      <c r="F360" s="15">
        <v>11</v>
      </c>
      <c r="G360" s="15">
        <v>49159.652599619898</v>
      </c>
    </row>
    <row r="361" spans="1:7" x14ac:dyDescent="0.25">
      <c r="A361" s="15">
        <v>2023</v>
      </c>
      <c r="B361" s="15">
        <v>12</v>
      </c>
      <c r="C361" s="15">
        <v>45504.833957598101</v>
      </c>
      <c r="E361" s="15">
        <v>2023</v>
      </c>
      <c r="F361" s="15">
        <v>12</v>
      </c>
      <c r="G361" s="15">
        <v>46076.0833814863</v>
      </c>
    </row>
    <row r="362" spans="1:7" x14ac:dyDescent="0.25">
      <c r="A362" s="15">
        <v>2024</v>
      </c>
      <c r="B362" s="15">
        <v>1</v>
      </c>
      <c r="C362" s="15">
        <v>41080.069032510597</v>
      </c>
      <c r="E362" s="15">
        <v>2024</v>
      </c>
      <c r="F362" s="15">
        <v>1</v>
      </c>
      <c r="G362" s="15">
        <v>41387.273709482703</v>
      </c>
    </row>
    <row r="363" spans="1:7" x14ac:dyDescent="0.25">
      <c r="A363" s="15">
        <v>2024</v>
      </c>
      <c r="B363" s="15">
        <v>2</v>
      </c>
      <c r="C363" s="15">
        <v>43055.114394774399</v>
      </c>
      <c r="E363" s="15">
        <v>2024</v>
      </c>
      <c r="F363" s="15">
        <v>2</v>
      </c>
      <c r="G363" s="15">
        <v>43236.602237942498</v>
      </c>
    </row>
    <row r="364" spans="1:7" x14ac:dyDescent="0.25">
      <c r="A364" s="15">
        <v>2024</v>
      </c>
      <c r="B364" s="15">
        <v>3</v>
      </c>
      <c r="C364" s="15">
        <v>39399.760913445098</v>
      </c>
      <c r="E364" s="15">
        <v>2024</v>
      </c>
      <c r="F364" s="15">
        <v>3</v>
      </c>
      <c r="G364" s="15">
        <v>39441.157795217499</v>
      </c>
    </row>
    <row r="365" spans="1:7" x14ac:dyDescent="0.25">
      <c r="A365" s="15">
        <v>2024</v>
      </c>
      <c r="B365" s="15">
        <v>4</v>
      </c>
      <c r="C365" s="15">
        <v>40656.185195309299</v>
      </c>
      <c r="E365" s="15">
        <v>2024</v>
      </c>
      <c r="F365" s="15">
        <v>4</v>
      </c>
      <c r="G365" s="15">
        <v>40701.428824578303</v>
      </c>
    </row>
    <row r="366" spans="1:7" x14ac:dyDescent="0.25">
      <c r="A366" s="15">
        <v>2024</v>
      </c>
      <c r="B366" s="15">
        <v>5</v>
      </c>
      <c r="C366" s="15">
        <v>37895.261303063402</v>
      </c>
      <c r="E366" s="15">
        <v>2024</v>
      </c>
      <c r="F366" s="15">
        <v>5</v>
      </c>
      <c r="G366" s="15">
        <v>37767.672384554797</v>
      </c>
    </row>
    <row r="367" spans="1:7" x14ac:dyDescent="0.25">
      <c r="A367" s="15">
        <v>2024</v>
      </c>
      <c r="B367" s="15">
        <v>6</v>
      </c>
      <c r="C367" s="15">
        <v>33321.4160459216</v>
      </c>
      <c r="E367" s="15">
        <v>2024</v>
      </c>
      <c r="F367" s="15">
        <v>6</v>
      </c>
      <c r="G367" s="15">
        <v>33332.6258066921</v>
      </c>
    </row>
    <row r="368" spans="1:7" x14ac:dyDescent="0.25">
      <c r="A368" s="15">
        <v>2024</v>
      </c>
      <c r="B368" s="15">
        <v>7</v>
      </c>
      <c r="C368" s="15">
        <v>44826.800286862403</v>
      </c>
      <c r="E368" s="15">
        <v>2024</v>
      </c>
      <c r="F368" s="15">
        <v>7</v>
      </c>
      <c r="G368" s="15">
        <v>44807.738520218103</v>
      </c>
    </row>
    <row r="369" spans="1:7" x14ac:dyDescent="0.25">
      <c r="A369" s="15">
        <v>2024</v>
      </c>
      <c r="B369" s="15">
        <v>8</v>
      </c>
      <c r="C369" s="15">
        <v>44628.201423615297</v>
      </c>
      <c r="E369" s="15">
        <v>2024</v>
      </c>
      <c r="F369" s="15">
        <v>8</v>
      </c>
      <c r="G369" s="15">
        <v>44113.095871914702</v>
      </c>
    </row>
    <row r="370" spans="1:7" x14ac:dyDescent="0.25">
      <c r="A370" s="15">
        <v>2024</v>
      </c>
      <c r="B370" s="15">
        <v>9</v>
      </c>
      <c r="C370" s="15">
        <v>44276.434848271703</v>
      </c>
      <c r="E370" s="15">
        <v>2024</v>
      </c>
      <c r="F370" s="15">
        <v>9</v>
      </c>
      <c r="G370" s="15">
        <v>43590.408986374598</v>
      </c>
    </row>
    <row r="371" spans="1:7" x14ac:dyDescent="0.25">
      <c r="A371" s="15">
        <v>2024</v>
      </c>
      <c r="B371" s="15">
        <v>10</v>
      </c>
      <c r="C371" s="15">
        <v>45856.213430000302</v>
      </c>
      <c r="E371" s="15">
        <v>2024</v>
      </c>
      <c r="F371" s="15">
        <v>10</v>
      </c>
      <c r="G371" s="15">
        <v>45366.4293635051</v>
      </c>
    </row>
    <row r="372" spans="1:7" x14ac:dyDescent="0.25">
      <c r="A372" s="15">
        <v>2024</v>
      </c>
      <c r="B372" s="15">
        <v>11</v>
      </c>
      <c r="C372" s="15">
        <v>47169.837293457298</v>
      </c>
      <c r="E372" s="15">
        <v>2024</v>
      </c>
      <c r="F372" s="15">
        <v>11</v>
      </c>
      <c r="G372" s="15">
        <v>47708.287423179303</v>
      </c>
    </row>
    <row r="373" spans="1:7" x14ac:dyDescent="0.25">
      <c r="A373" s="15">
        <v>2024</v>
      </c>
      <c r="B373" s="15">
        <v>12</v>
      </c>
      <c r="C373" s="15">
        <v>45441.175639667701</v>
      </c>
      <c r="E373" s="15">
        <v>2024</v>
      </c>
      <c r="F373" s="15">
        <v>12</v>
      </c>
      <c r="G373" s="15">
        <v>46153.412182195403</v>
      </c>
    </row>
    <row r="374" spans="1:7" x14ac:dyDescent="0.25">
      <c r="A374" s="15">
        <v>2025</v>
      </c>
      <c r="B374" s="15">
        <v>1</v>
      </c>
      <c r="C374" s="15">
        <v>48154.048437456499</v>
      </c>
      <c r="E374" s="15">
        <v>2025</v>
      </c>
      <c r="F374" s="15">
        <v>1</v>
      </c>
      <c r="G374" s="15">
        <v>48556.297925284001</v>
      </c>
    </row>
    <row r="375" spans="1:7" x14ac:dyDescent="0.25">
      <c r="A375" s="15">
        <v>2025</v>
      </c>
      <c r="B375" s="15">
        <v>2</v>
      </c>
      <c r="C375" s="15">
        <v>46095.733089060101</v>
      </c>
      <c r="E375" s="15">
        <v>2025</v>
      </c>
      <c r="F375" s="15">
        <v>2</v>
      </c>
      <c r="G375" s="15">
        <v>46282.471927885003</v>
      </c>
    </row>
    <row r="376" spans="1:7" x14ac:dyDescent="0.25">
      <c r="A376" s="15">
        <v>2025</v>
      </c>
      <c r="B376" s="15">
        <v>3</v>
      </c>
      <c r="C376" s="15">
        <v>38182.9721456728</v>
      </c>
      <c r="E376" s="15">
        <v>2025</v>
      </c>
      <c r="F376" s="15">
        <v>3</v>
      </c>
      <c r="G376" s="15">
        <v>38212.668649038998</v>
      </c>
    </row>
    <row r="377" spans="1:7" x14ac:dyDescent="0.25">
      <c r="A377" s="15">
        <v>2025</v>
      </c>
      <c r="B377" s="15">
        <v>4</v>
      </c>
      <c r="C377" s="15">
        <v>43171.911681829799</v>
      </c>
      <c r="E377" s="15">
        <v>2025</v>
      </c>
      <c r="F377" s="15">
        <v>4</v>
      </c>
      <c r="G377" s="15">
        <v>43221.9650630498</v>
      </c>
    </row>
    <row r="378" spans="1:7" x14ac:dyDescent="0.25">
      <c r="A378" s="15">
        <v>2025</v>
      </c>
      <c r="B378" s="15">
        <v>5</v>
      </c>
      <c r="C378" s="15">
        <v>49162.917144926898</v>
      </c>
      <c r="E378" s="15">
        <v>2025</v>
      </c>
      <c r="F378" s="15">
        <v>5</v>
      </c>
      <c r="G378" s="15">
        <v>49035.845266682903</v>
      </c>
    </row>
    <row r="379" spans="1:7" x14ac:dyDescent="0.25">
      <c r="A379" s="15">
        <v>2025</v>
      </c>
      <c r="B379" s="15">
        <v>6</v>
      </c>
      <c r="C379" s="15">
        <v>42819.635184181097</v>
      </c>
      <c r="E379" s="15">
        <v>2025</v>
      </c>
      <c r="F379" s="15">
        <v>6</v>
      </c>
      <c r="G379" s="15">
        <v>42829.8204229486</v>
      </c>
    </row>
    <row r="380" spans="1:7" x14ac:dyDescent="0.25">
      <c r="A380" s="15">
        <v>2025</v>
      </c>
      <c r="B380" s="15">
        <v>7</v>
      </c>
      <c r="C380" s="15">
        <v>37272.161478571601</v>
      </c>
      <c r="E380" s="15">
        <v>2025</v>
      </c>
      <c r="F380" s="15">
        <v>7</v>
      </c>
      <c r="G380" s="15">
        <v>37257.942366797397</v>
      </c>
    </row>
    <row r="381" spans="1:7" x14ac:dyDescent="0.25">
      <c r="A381" s="15">
        <v>2025</v>
      </c>
      <c r="B381" s="15">
        <v>8</v>
      </c>
      <c r="C381" s="15">
        <v>38790.485952297997</v>
      </c>
      <c r="E381" s="15">
        <v>2025</v>
      </c>
      <c r="F381" s="15">
        <v>8</v>
      </c>
      <c r="G381" s="15">
        <v>38192.8284458255</v>
      </c>
    </row>
    <row r="382" spans="1:7" x14ac:dyDescent="0.25">
      <c r="A382" s="15">
        <v>2025</v>
      </c>
      <c r="B382" s="15">
        <v>9</v>
      </c>
      <c r="C382" s="15">
        <v>40187.955893502301</v>
      </c>
      <c r="E382" s="15">
        <v>2025</v>
      </c>
      <c r="F382" s="15">
        <v>9</v>
      </c>
      <c r="G382" s="15">
        <v>39372.720406887202</v>
      </c>
    </row>
    <row r="383" spans="1:7" x14ac:dyDescent="0.25">
      <c r="E383" s="15">
        <v>2025</v>
      </c>
      <c r="F383" s="15">
        <v>10</v>
      </c>
      <c r="G383" s="15">
        <v>40055.195297487102</v>
      </c>
    </row>
    <row r="384" spans="1:7" x14ac:dyDescent="0.25">
      <c r="E384" s="15">
        <v>2025</v>
      </c>
      <c r="F384" s="15">
        <v>11</v>
      </c>
      <c r="G384" s="15">
        <v>33594.209929159697</v>
      </c>
    </row>
    <row r="385" spans="5:7" x14ac:dyDescent="0.25">
      <c r="E385" s="15">
        <v>2025</v>
      </c>
      <c r="F385" s="15">
        <v>12</v>
      </c>
      <c r="G385" s="15">
        <v>33294.792494329296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6A2C-13BC-48B0-BEB0-76FAAE634C4B}">
  <dimension ref="A1:P370"/>
  <sheetViews>
    <sheetView workbookViewId="0">
      <selection activeCell="P2" sqref="P2:P327"/>
    </sheetView>
  </sheetViews>
  <sheetFormatPr baseColWidth="10" defaultColWidth="11.42578125" defaultRowHeight="15" x14ac:dyDescent="0.25"/>
  <sheetData>
    <row r="1" spans="1:16" ht="42.75" x14ac:dyDescent="0.25">
      <c r="A1" s="14" t="s">
        <v>38</v>
      </c>
      <c r="B1" s="14" t="s">
        <v>34</v>
      </c>
      <c r="C1" s="14" t="s">
        <v>35</v>
      </c>
      <c r="E1" s="14" t="s">
        <v>38</v>
      </c>
      <c r="F1" s="14" t="s">
        <v>34</v>
      </c>
      <c r="G1" s="14" t="s">
        <v>35</v>
      </c>
      <c r="J1" s="14" t="s">
        <v>38</v>
      </c>
      <c r="K1" s="14" t="s">
        <v>34</v>
      </c>
      <c r="L1" s="14" t="s">
        <v>35</v>
      </c>
      <c r="N1" s="14" t="s">
        <v>38</v>
      </c>
      <c r="O1" s="14" t="s">
        <v>34</v>
      </c>
      <c r="P1" s="14" t="s">
        <v>41</v>
      </c>
    </row>
    <row r="2" spans="1:16" x14ac:dyDescent="0.25">
      <c r="A2" s="15">
        <v>1994</v>
      </c>
      <c r="B2" s="15">
        <v>1</v>
      </c>
      <c r="C2" s="15">
        <v>52540.998883695102</v>
      </c>
      <c r="E2" s="15">
        <v>1994</v>
      </c>
      <c r="F2" s="15">
        <v>1</v>
      </c>
      <c r="G2" s="15">
        <v>52665.642183960299</v>
      </c>
      <c r="J2" s="15">
        <v>1994</v>
      </c>
      <c r="K2" s="15">
        <v>1</v>
      </c>
      <c r="L2" s="15">
        <v>53655.631704498497</v>
      </c>
      <c r="N2" s="15">
        <v>1994</v>
      </c>
      <c r="O2" s="15">
        <v>1</v>
      </c>
      <c r="P2" s="15">
        <v>51232.8875946193</v>
      </c>
    </row>
    <row r="3" spans="1:16" x14ac:dyDescent="0.25">
      <c r="A3" s="15">
        <v>1994</v>
      </c>
      <c r="B3" s="15">
        <v>2</v>
      </c>
      <c r="C3" s="15">
        <v>11756.667924060701</v>
      </c>
      <c r="E3" s="15">
        <v>1994</v>
      </c>
      <c r="F3" s="15">
        <v>2</v>
      </c>
      <c r="G3" s="15">
        <v>11690.357466019001</v>
      </c>
      <c r="J3" s="15">
        <v>1994</v>
      </c>
      <c r="K3" s="15">
        <v>2</v>
      </c>
      <c r="L3" s="15">
        <v>12901.8287510018</v>
      </c>
      <c r="N3" s="15">
        <v>1994</v>
      </c>
      <c r="O3" s="15">
        <v>2</v>
      </c>
      <c r="P3" s="15">
        <v>10891.073110974899</v>
      </c>
    </row>
    <row r="4" spans="1:16" x14ac:dyDescent="0.25">
      <c r="A4" s="15">
        <v>1994</v>
      </c>
      <c r="B4" s="15">
        <v>3</v>
      </c>
      <c r="C4" s="15">
        <v>29282.880197792401</v>
      </c>
      <c r="E4" s="15">
        <v>1994</v>
      </c>
      <c r="F4" s="15">
        <v>3</v>
      </c>
      <c r="G4" s="15">
        <v>29196.0749694878</v>
      </c>
      <c r="J4" s="15">
        <v>1994</v>
      </c>
      <c r="K4" s="15">
        <v>3</v>
      </c>
      <c r="L4" s="15">
        <v>27832.513270143801</v>
      </c>
      <c r="N4" s="15">
        <v>1994</v>
      </c>
      <c r="O4" s="15">
        <v>3</v>
      </c>
      <c r="P4" s="15">
        <v>29022.413365310302</v>
      </c>
    </row>
    <row r="5" spans="1:16" x14ac:dyDescent="0.25">
      <c r="A5" s="15">
        <v>1994</v>
      </c>
      <c r="B5" s="15">
        <v>4</v>
      </c>
      <c r="C5" s="15">
        <v>33522.656727423499</v>
      </c>
      <c r="E5" s="15">
        <v>1994</v>
      </c>
      <c r="F5" s="15">
        <v>4</v>
      </c>
      <c r="G5" s="15">
        <v>33638.238027920102</v>
      </c>
      <c r="J5" s="15">
        <v>1994</v>
      </c>
      <c r="K5" s="15">
        <v>4</v>
      </c>
      <c r="L5" s="15">
        <v>34417.556052574299</v>
      </c>
      <c r="N5" s="15">
        <v>1994</v>
      </c>
      <c r="O5" s="15">
        <v>4</v>
      </c>
      <c r="P5" s="15">
        <v>34485.267658877397</v>
      </c>
    </row>
    <row r="6" spans="1:16" x14ac:dyDescent="0.25">
      <c r="A6" s="15">
        <v>1994</v>
      </c>
      <c r="B6" s="15">
        <v>5</v>
      </c>
      <c r="C6" s="15">
        <v>30069.8767294442</v>
      </c>
      <c r="E6" s="15">
        <v>1994</v>
      </c>
      <c r="F6" s="15">
        <v>5</v>
      </c>
      <c r="G6" s="15">
        <v>30049.992181732901</v>
      </c>
      <c r="J6" s="15">
        <v>1994</v>
      </c>
      <c r="K6" s="15">
        <v>5</v>
      </c>
      <c r="L6" s="15">
        <v>29658.470575656102</v>
      </c>
      <c r="N6" s="15">
        <v>1994</v>
      </c>
      <c r="O6" s="15">
        <v>5</v>
      </c>
      <c r="P6" s="15">
        <v>30552.287138909898</v>
      </c>
    </row>
    <row r="7" spans="1:16" x14ac:dyDescent="0.25">
      <c r="A7" s="15">
        <v>1994</v>
      </c>
      <c r="B7" s="15">
        <v>6</v>
      </c>
      <c r="C7" s="15">
        <v>32036.2237156913</v>
      </c>
      <c r="E7" s="15">
        <v>1994</v>
      </c>
      <c r="F7" s="15">
        <v>6</v>
      </c>
      <c r="G7" s="15">
        <v>31963.508021864101</v>
      </c>
      <c r="J7" s="15">
        <v>1994</v>
      </c>
      <c r="K7" s="15">
        <v>6</v>
      </c>
      <c r="L7" s="15">
        <v>31788.7362508312</v>
      </c>
      <c r="N7" s="15">
        <v>1994</v>
      </c>
      <c r="O7" s="15">
        <v>6</v>
      </c>
      <c r="P7" s="15">
        <v>32339.6767474193</v>
      </c>
    </row>
    <row r="8" spans="1:16" x14ac:dyDescent="0.25">
      <c r="A8" s="15">
        <v>1994</v>
      </c>
      <c r="B8" s="15">
        <v>7</v>
      </c>
      <c r="C8" s="15">
        <v>32818.923135631398</v>
      </c>
      <c r="E8" s="15">
        <v>1994</v>
      </c>
      <c r="F8" s="15">
        <v>7</v>
      </c>
      <c r="G8" s="15">
        <v>32827.210614329502</v>
      </c>
      <c r="J8" s="15">
        <v>1994</v>
      </c>
      <c r="K8" s="15">
        <v>7</v>
      </c>
      <c r="L8" s="15">
        <v>32820.125769977298</v>
      </c>
      <c r="N8" s="15">
        <v>1994</v>
      </c>
      <c r="O8" s="15">
        <v>7</v>
      </c>
      <c r="P8" s="15">
        <v>32896.253720589302</v>
      </c>
    </row>
    <row r="9" spans="1:16" x14ac:dyDescent="0.25">
      <c r="A9" s="15">
        <v>1994</v>
      </c>
      <c r="B9" s="15">
        <v>8</v>
      </c>
      <c r="C9" s="15">
        <v>34868.285356059998</v>
      </c>
      <c r="E9" s="15">
        <v>1994</v>
      </c>
      <c r="F9" s="15">
        <v>8</v>
      </c>
      <c r="G9" s="15">
        <v>34815.595585595198</v>
      </c>
      <c r="J9" s="15">
        <v>1994</v>
      </c>
      <c r="K9" s="15">
        <v>8</v>
      </c>
      <c r="L9" s="15">
        <v>34802.805710381697</v>
      </c>
      <c r="N9" s="15">
        <v>1994</v>
      </c>
      <c r="O9" s="15">
        <v>8</v>
      </c>
      <c r="P9" s="15">
        <v>35086.198810338501</v>
      </c>
    </row>
    <row r="10" spans="1:16" x14ac:dyDescent="0.25">
      <c r="A10" s="15">
        <v>1994</v>
      </c>
      <c r="B10" s="15">
        <v>9</v>
      </c>
      <c r="C10" s="15">
        <v>36103.711714358498</v>
      </c>
      <c r="E10" s="15">
        <v>1994</v>
      </c>
      <c r="F10" s="15">
        <v>9</v>
      </c>
      <c r="G10" s="15">
        <v>36057.226298394402</v>
      </c>
      <c r="J10" s="15">
        <v>1994</v>
      </c>
      <c r="K10" s="15">
        <v>9</v>
      </c>
      <c r="L10" s="15">
        <v>36063.414417214401</v>
      </c>
      <c r="N10" s="15">
        <v>1994</v>
      </c>
      <c r="O10" s="15">
        <v>9</v>
      </c>
      <c r="P10" s="15">
        <v>36347.602258060302</v>
      </c>
    </row>
    <row r="11" spans="1:16" x14ac:dyDescent="0.25">
      <c r="A11" s="15">
        <v>1994</v>
      </c>
      <c r="B11" s="15">
        <v>10</v>
      </c>
      <c r="C11" s="15">
        <v>34100.720865121599</v>
      </c>
      <c r="E11" s="15">
        <v>1994</v>
      </c>
      <c r="F11" s="15">
        <v>10</v>
      </c>
      <c r="G11" s="15">
        <v>34139.783898720198</v>
      </c>
      <c r="J11" s="15">
        <v>1994</v>
      </c>
      <c r="K11" s="15">
        <v>10</v>
      </c>
      <c r="L11" s="15">
        <v>34173.3034195031</v>
      </c>
      <c r="N11" s="15">
        <v>1994</v>
      </c>
      <c r="O11" s="15">
        <v>10</v>
      </c>
      <c r="P11" s="15">
        <v>34197.535802442697</v>
      </c>
    </row>
    <row r="12" spans="1:16" x14ac:dyDescent="0.25">
      <c r="A12" s="15">
        <v>1994</v>
      </c>
      <c r="B12" s="15">
        <v>11</v>
      </c>
      <c r="C12" s="15">
        <v>33742.286309926501</v>
      </c>
      <c r="E12" s="15">
        <v>1994</v>
      </c>
      <c r="F12" s="15">
        <v>11</v>
      </c>
      <c r="G12" s="15">
        <v>33777.366680532301</v>
      </c>
      <c r="J12" s="15">
        <v>1994</v>
      </c>
      <c r="K12" s="15">
        <v>11</v>
      </c>
      <c r="L12" s="15">
        <v>33626.530377406802</v>
      </c>
      <c r="N12" s="15">
        <v>1994</v>
      </c>
      <c r="O12" s="15">
        <v>11</v>
      </c>
      <c r="P12" s="15">
        <v>33762.928511952698</v>
      </c>
    </row>
    <row r="13" spans="1:16" x14ac:dyDescent="0.25">
      <c r="A13" s="15">
        <v>1994</v>
      </c>
      <c r="B13" s="15">
        <v>12</v>
      </c>
      <c r="C13" s="15">
        <v>32976.7632477441</v>
      </c>
      <c r="E13" s="15">
        <v>1994</v>
      </c>
      <c r="F13" s="15">
        <v>12</v>
      </c>
      <c r="G13" s="15">
        <v>32974.499150929398</v>
      </c>
      <c r="J13" s="15">
        <v>1994</v>
      </c>
      <c r="K13" s="15">
        <v>12</v>
      </c>
      <c r="L13" s="15">
        <v>32904.568637028402</v>
      </c>
      <c r="N13" s="15">
        <v>1994</v>
      </c>
      <c r="O13" s="15">
        <v>12</v>
      </c>
      <c r="P13" s="15">
        <v>33101.270881666896</v>
      </c>
    </row>
    <row r="14" spans="1:16" x14ac:dyDescent="0.25">
      <c r="A14" s="15">
        <v>1995</v>
      </c>
      <c r="B14" s="15">
        <v>1</v>
      </c>
      <c r="C14" s="15">
        <v>25973.305832348298</v>
      </c>
      <c r="E14" s="15">
        <v>1995</v>
      </c>
      <c r="F14" s="15">
        <v>1</v>
      </c>
      <c r="G14" s="15">
        <v>26073.4327943756</v>
      </c>
      <c r="J14" s="15">
        <v>1995</v>
      </c>
      <c r="K14" s="15">
        <v>1</v>
      </c>
      <c r="L14" s="15">
        <v>26741.955872321301</v>
      </c>
      <c r="N14" s="15">
        <v>1995</v>
      </c>
      <c r="O14" s="15">
        <v>1</v>
      </c>
      <c r="P14" s="15">
        <v>24684.90806799</v>
      </c>
    </row>
    <row r="15" spans="1:16" x14ac:dyDescent="0.25">
      <c r="A15" s="15">
        <v>1995</v>
      </c>
      <c r="B15" s="15">
        <v>2</v>
      </c>
      <c r="C15" s="15">
        <v>36094.352107432002</v>
      </c>
      <c r="E15" s="15">
        <v>1995</v>
      </c>
      <c r="F15" s="15">
        <v>2</v>
      </c>
      <c r="G15" s="15">
        <v>36027.914120503301</v>
      </c>
      <c r="J15" s="15">
        <v>1995</v>
      </c>
      <c r="K15" s="15">
        <v>2</v>
      </c>
      <c r="L15" s="15">
        <v>37154.152550058898</v>
      </c>
      <c r="N15" s="15">
        <v>1995</v>
      </c>
      <c r="O15" s="15">
        <v>2</v>
      </c>
      <c r="P15" s="15">
        <v>35363.137634250801</v>
      </c>
    </row>
    <row r="16" spans="1:16" x14ac:dyDescent="0.25">
      <c r="A16" s="15">
        <v>1995</v>
      </c>
      <c r="B16" s="15">
        <v>3</v>
      </c>
      <c r="C16" s="15">
        <v>31249.246838827101</v>
      </c>
      <c r="E16" s="15">
        <v>1995</v>
      </c>
      <c r="F16" s="15">
        <v>3</v>
      </c>
      <c r="G16" s="15">
        <v>31159.399753888902</v>
      </c>
      <c r="J16" s="15">
        <v>1995</v>
      </c>
      <c r="K16" s="15">
        <v>3</v>
      </c>
      <c r="L16" s="15">
        <v>29994.4132821731</v>
      </c>
      <c r="N16" s="15">
        <v>1995</v>
      </c>
      <c r="O16" s="15">
        <v>3</v>
      </c>
      <c r="P16" s="15">
        <v>31057.778231100099</v>
      </c>
    </row>
    <row r="17" spans="1:16" x14ac:dyDescent="0.25">
      <c r="A17" s="15">
        <v>1995</v>
      </c>
      <c r="B17" s="15">
        <v>4</v>
      </c>
      <c r="C17" s="15">
        <v>24375.7914774009</v>
      </c>
      <c r="E17" s="15">
        <v>1995</v>
      </c>
      <c r="F17" s="15">
        <v>4</v>
      </c>
      <c r="G17" s="15">
        <v>24526.3467791966</v>
      </c>
      <c r="J17" s="15">
        <v>1995</v>
      </c>
      <c r="K17" s="15">
        <v>4</v>
      </c>
      <c r="L17" s="15">
        <v>25276.312325820902</v>
      </c>
      <c r="N17" s="15">
        <v>1995</v>
      </c>
      <c r="O17" s="15">
        <v>4</v>
      </c>
      <c r="P17" s="15">
        <v>25151.482699676901</v>
      </c>
    </row>
    <row r="18" spans="1:16" x14ac:dyDescent="0.25">
      <c r="A18" s="15">
        <v>1995</v>
      </c>
      <c r="B18" s="15">
        <v>5</v>
      </c>
      <c r="C18" s="15">
        <v>25635.813893782099</v>
      </c>
      <c r="E18" s="15">
        <v>1995</v>
      </c>
      <c r="F18" s="15">
        <v>5</v>
      </c>
      <c r="G18" s="15">
        <v>25566.975024999501</v>
      </c>
      <c r="J18" s="15">
        <v>1995</v>
      </c>
      <c r="K18" s="15">
        <v>5</v>
      </c>
      <c r="L18" s="15">
        <v>25193.112468696901</v>
      </c>
      <c r="N18" s="15">
        <v>1995</v>
      </c>
      <c r="O18" s="15">
        <v>5</v>
      </c>
      <c r="P18" s="15">
        <v>26162.286335668101</v>
      </c>
    </row>
    <row r="19" spans="1:16" x14ac:dyDescent="0.25">
      <c r="A19" s="15">
        <v>1995</v>
      </c>
      <c r="B19" s="15">
        <v>6</v>
      </c>
      <c r="C19" s="15">
        <v>19403.12155018</v>
      </c>
      <c r="E19" s="15">
        <v>1995</v>
      </c>
      <c r="F19" s="15">
        <v>6</v>
      </c>
      <c r="G19" s="15">
        <v>19336.074174082602</v>
      </c>
      <c r="J19" s="15">
        <v>1995</v>
      </c>
      <c r="K19" s="15">
        <v>6</v>
      </c>
      <c r="L19" s="15">
        <v>19171.8433142055</v>
      </c>
      <c r="N19" s="15">
        <v>1995</v>
      </c>
      <c r="O19" s="15">
        <v>6</v>
      </c>
      <c r="P19" s="15">
        <v>19684.065629274399</v>
      </c>
    </row>
    <row r="20" spans="1:16" x14ac:dyDescent="0.25">
      <c r="A20" s="15">
        <v>1995</v>
      </c>
      <c r="B20" s="15">
        <v>7</v>
      </c>
      <c r="C20" s="15">
        <v>19824.544689760201</v>
      </c>
      <c r="E20" s="15">
        <v>1995</v>
      </c>
      <c r="F20" s="15">
        <v>7</v>
      </c>
      <c r="G20" s="15">
        <v>19841.813650058601</v>
      </c>
      <c r="J20" s="15">
        <v>1995</v>
      </c>
      <c r="K20" s="15">
        <v>7</v>
      </c>
      <c r="L20" s="15">
        <v>19851.700559181802</v>
      </c>
      <c r="N20" s="15">
        <v>1995</v>
      </c>
      <c r="O20" s="15">
        <v>7</v>
      </c>
      <c r="P20" s="15">
        <v>19877.589139920899</v>
      </c>
    </row>
    <row r="21" spans="1:16" x14ac:dyDescent="0.25">
      <c r="A21" s="15">
        <v>1995</v>
      </c>
      <c r="B21" s="15">
        <v>8</v>
      </c>
      <c r="C21" s="15">
        <v>17033.358877145001</v>
      </c>
      <c r="E21" s="15">
        <v>1995</v>
      </c>
      <c r="F21" s="15">
        <v>8</v>
      </c>
      <c r="G21" s="15">
        <v>16979.580730994599</v>
      </c>
      <c r="J21" s="15">
        <v>1995</v>
      </c>
      <c r="K21" s="15">
        <v>8</v>
      </c>
      <c r="L21" s="15">
        <v>16989.981263526599</v>
      </c>
      <c r="N21" s="15">
        <v>1995</v>
      </c>
      <c r="O21" s="15">
        <v>8</v>
      </c>
      <c r="P21" s="15">
        <v>17237.234699836801</v>
      </c>
    </row>
    <row r="22" spans="1:16" x14ac:dyDescent="0.25">
      <c r="A22" s="15">
        <v>1995</v>
      </c>
      <c r="B22" s="15">
        <v>9</v>
      </c>
      <c r="C22" s="15">
        <v>17101.014789643199</v>
      </c>
      <c r="E22" s="15">
        <v>1995</v>
      </c>
      <c r="F22" s="15">
        <v>9</v>
      </c>
      <c r="G22" s="15">
        <v>17084.736961463401</v>
      </c>
      <c r="J22" s="15">
        <v>1995</v>
      </c>
      <c r="K22" s="15">
        <v>9</v>
      </c>
      <c r="L22" s="15">
        <v>17194.1556552642</v>
      </c>
      <c r="N22" s="15">
        <v>1995</v>
      </c>
      <c r="O22" s="15">
        <v>9</v>
      </c>
      <c r="P22" s="15">
        <v>17280.932350828502</v>
      </c>
    </row>
    <row r="23" spans="1:16" x14ac:dyDescent="0.25">
      <c r="A23" s="15">
        <v>1995</v>
      </c>
      <c r="B23" s="15">
        <v>10</v>
      </c>
      <c r="C23" s="15">
        <v>18131.774963777902</v>
      </c>
      <c r="E23" s="15">
        <v>1995</v>
      </c>
      <c r="F23" s="15">
        <v>10</v>
      </c>
      <c r="G23" s="15">
        <v>18121.5707858817</v>
      </c>
      <c r="J23" s="15">
        <v>1995</v>
      </c>
      <c r="K23" s="15">
        <v>10</v>
      </c>
      <c r="L23" s="15">
        <v>18153.677701141001</v>
      </c>
      <c r="N23" s="15">
        <v>1995</v>
      </c>
      <c r="O23" s="15">
        <v>10</v>
      </c>
      <c r="P23" s="15">
        <v>18286.110138063701</v>
      </c>
    </row>
    <row r="24" spans="1:16" x14ac:dyDescent="0.25">
      <c r="A24" s="15">
        <v>1995</v>
      </c>
      <c r="B24" s="15">
        <v>11</v>
      </c>
      <c r="C24" s="15">
        <v>18478.508982372499</v>
      </c>
      <c r="E24" s="15">
        <v>1995</v>
      </c>
      <c r="F24" s="15">
        <v>11</v>
      </c>
      <c r="G24" s="15">
        <v>18515.6013449124</v>
      </c>
      <c r="J24" s="15">
        <v>1995</v>
      </c>
      <c r="K24" s="15">
        <v>11</v>
      </c>
      <c r="L24" s="15">
        <v>18401.952285316202</v>
      </c>
      <c r="N24" s="15">
        <v>1995</v>
      </c>
      <c r="O24" s="15">
        <v>11</v>
      </c>
      <c r="P24" s="15">
        <v>18475.134254225199</v>
      </c>
    </row>
    <row r="25" spans="1:16" x14ac:dyDescent="0.25">
      <c r="A25" s="15">
        <v>1995</v>
      </c>
      <c r="B25" s="15">
        <v>12</v>
      </c>
      <c r="C25" s="15">
        <v>21781.983612354099</v>
      </c>
      <c r="E25" s="15">
        <v>1995</v>
      </c>
      <c r="F25" s="15">
        <v>12</v>
      </c>
      <c r="G25" s="15">
        <v>21816.699883033602</v>
      </c>
      <c r="J25" s="15">
        <v>1995</v>
      </c>
      <c r="K25" s="15">
        <v>12</v>
      </c>
      <c r="L25" s="15">
        <v>21856.4126676425</v>
      </c>
      <c r="N25" s="15">
        <v>1995</v>
      </c>
      <c r="O25" s="15">
        <v>12</v>
      </c>
      <c r="P25" s="15">
        <v>21848.157019307</v>
      </c>
    </row>
    <row r="26" spans="1:16" x14ac:dyDescent="0.25">
      <c r="A26" s="15">
        <v>1996</v>
      </c>
      <c r="B26" s="15">
        <v>1</v>
      </c>
      <c r="C26" s="15">
        <v>20542.682644253298</v>
      </c>
      <c r="E26" s="15">
        <v>1996</v>
      </c>
      <c r="F26" s="15">
        <v>1</v>
      </c>
      <c r="G26" s="15">
        <v>20641.03570719</v>
      </c>
      <c r="J26" s="15">
        <v>1996</v>
      </c>
      <c r="K26" s="15">
        <v>1</v>
      </c>
      <c r="L26" s="15">
        <v>20684.128821116701</v>
      </c>
      <c r="N26" s="15">
        <v>1996</v>
      </c>
      <c r="O26" s="15">
        <v>1</v>
      </c>
      <c r="P26" s="15">
        <v>19359.581569898899</v>
      </c>
    </row>
    <row r="27" spans="1:16" x14ac:dyDescent="0.25">
      <c r="A27" s="15">
        <v>1996</v>
      </c>
      <c r="B27" s="15">
        <v>2</v>
      </c>
      <c r="C27" s="15">
        <v>24288.251548379601</v>
      </c>
      <c r="E27" s="15">
        <v>1996</v>
      </c>
      <c r="F27" s="15">
        <v>2</v>
      </c>
      <c r="G27" s="15">
        <v>24386.754908157902</v>
      </c>
      <c r="J27" s="15">
        <v>1996</v>
      </c>
      <c r="K27" s="15">
        <v>2</v>
      </c>
      <c r="L27" s="15">
        <v>22811.5297215217</v>
      </c>
      <c r="N27" s="15">
        <v>1996</v>
      </c>
      <c r="O27" s="15">
        <v>2</v>
      </c>
      <c r="P27" s="15">
        <v>23221.042663951401</v>
      </c>
    </row>
    <row r="28" spans="1:16" x14ac:dyDescent="0.25">
      <c r="A28" s="15">
        <v>1996</v>
      </c>
      <c r="B28" s="15">
        <v>3</v>
      </c>
      <c r="C28" s="15">
        <v>23713.0252561655</v>
      </c>
      <c r="E28" s="15">
        <v>1996</v>
      </c>
      <c r="F28" s="15">
        <v>3</v>
      </c>
      <c r="G28" s="15">
        <v>23720.284838871499</v>
      </c>
      <c r="J28" s="15">
        <v>1996</v>
      </c>
      <c r="K28" s="15">
        <v>3</v>
      </c>
      <c r="L28" s="15">
        <v>23133.448041118099</v>
      </c>
      <c r="N28" s="15">
        <v>1996</v>
      </c>
      <c r="O28" s="15">
        <v>3</v>
      </c>
      <c r="P28" s="15">
        <v>23519.5131742347</v>
      </c>
    </row>
    <row r="29" spans="1:16" x14ac:dyDescent="0.25">
      <c r="A29" s="15">
        <v>1996</v>
      </c>
      <c r="B29" s="15">
        <v>4</v>
      </c>
      <c r="C29" s="15">
        <v>23999.628858385498</v>
      </c>
      <c r="E29" s="15">
        <v>1996</v>
      </c>
      <c r="F29" s="15">
        <v>4</v>
      </c>
      <c r="G29" s="15">
        <v>24018.5463549741</v>
      </c>
      <c r="J29" s="15">
        <v>1996</v>
      </c>
      <c r="K29" s="15">
        <v>4</v>
      </c>
      <c r="L29" s="15">
        <v>24467.482368486999</v>
      </c>
      <c r="N29" s="15">
        <v>1996</v>
      </c>
      <c r="O29" s="15">
        <v>4</v>
      </c>
      <c r="P29" s="15">
        <v>24625.178553363199</v>
      </c>
    </row>
    <row r="30" spans="1:16" x14ac:dyDescent="0.25">
      <c r="A30" s="15">
        <v>1996</v>
      </c>
      <c r="B30" s="15">
        <v>5</v>
      </c>
      <c r="C30" s="15">
        <v>24537.8081017201</v>
      </c>
      <c r="E30" s="15">
        <v>1996</v>
      </c>
      <c r="F30" s="15">
        <v>5</v>
      </c>
      <c r="G30" s="15">
        <v>24468.815226458599</v>
      </c>
      <c r="J30" s="15">
        <v>1996</v>
      </c>
      <c r="K30" s="15">
        <v>5</v>
      </c>
      <c r="L30" s="15">
        <v>24253.7742529145</v>
      </c>
      <c r="N30" s="15">
        <v>1996</v>
      </c>
      <c r="O30" s="15">
        <v>5</v>
      </c>
      <c r="P30" s="15">
        <v>24943.035348334699</v>
      </c>
    </row>
    <row r="31" spans="1:16" x14ac:dyDescent="0.25">
      <c r="A31" s="15">
        <v>1996</v>
      </c>
      <c r="B31" s="15">
        <v>6</v>
      </c>
      <c r="C31" s="15">
        <v>26124.6553120114</v>
      </c>
      <c r="E31" s="15">
        <v>1996</v>
      </c>
      <c r="F31" s="15">
        <v>6</v>
      </c>
      <c r="G31" s="15">
        <v>26159.649454610601</v>
      </c>
      <c r="J31" s="15">
        <v>1996</v>
      </c>
      <c r="K31" s="15">
        <v>6</v>
      </c>
      <c r="L31" s="15">
        <v>26121.083201312202</v>
      </c>
      <c r="N31" s="15">
        <v>1996</v>
      </c>
      <c r="O31" s="15">
        <v>6</v>
      </c>
      <c r="P31" s="15">
        <v>26202.452676409699</v>
      </c>
    </row>
    <row r="32" spans="1:16" x14ac:dyDescent="0.25">
      <c r="A32" s="15">
        <v>1996</v>
      </c>
      <c r="B32" s="15">
        <v>7</v>
      </c>
      <c r="C32" s="15">
        <v>25711.975953333498</v>
      </c>
      <c r="E32" s="15">
        <v>1996</v>
      </c>
      <c r="F32" s="15">
        <v>7</v>
      </c>
      <c r="G32" s="15">
        <v>25651.216993564401</v>
      </c>
      <c r="J32" s="15">
        <v>1996</v>
      </c>
      <c r="K32" s="15">
        <v>7</v>
      </c>
      <c r="L32" s="15">
        <v>25613.237970047099</v>
      </c>
      <c r="N32" s="15">
        <v>1996</v>
      </c>
      <c r="O32" s="15">
        <v>7</v>
      </c>
      <c r="P32" s="15">
        <v>25916.562755709201</v>
      </c>
    </row>
    <row r="33" spans="1:16" x14ac:dyDescent="0.25">
      <c r="A33" s="15">
        <v>1996</v>
      </c>
      <c r="B33" s="15">
        <v>8</v>
      </c>
      <c r="C33" s="15">
        <v>26857.722696446901</v>
      </c>
      <c r="E33" s="15">
        <v>1996</v>
      </c>
      <c r="F33" s="15">
        <v>8</v>
      </c>
      <c r="G33" s="15">
        <v>26847.363862377399</v>
      </c>
      <c r="J33" s="15">
        <v>1996</v>
      </c>
      <c r="K33" s="15">
        <v>8</v>
      </c>
      <c r="L33" s="15">
        <v>26892.788314122099</v>
      </c>
      <c r="N33" s="15">
        <v>1996</v>
      </c>
      <c r="O33" s="15">
        <v>8</v>
      </c>
      <c r="P33" s="15">
        <v>26998.934986013399</v>
      </c>
    </row>
    <row r="34" spans="1:16" x14ac:dyDescent="0.25">
      <c r="A34" s="15">
        <v>1996</v>
      </c>
      <c r="B34" s="15">
        <v>9</v>
      </c>
      <c r="C34" s="15">
        <v>24062.407092091202</v>
      </c>
      <c r="E34" s="15">
        <v>1996</v>
      </c>
      <c r="F34" s="15">
        <v>9</v>
      </c>
      <c r="G34" s="15">
        <v>24030.395419206699</v>
      </c>
      <c r="J34" s="15">
        <v>1996</v>
      </c>
      <c r="K34" s="15">
        <v>9</v>
      </c>
      <c r="L34" s="15">
        <v>24202.787752940902</v>
      </c>
      <c r="N34" s="15">
        <v>1996</v>
      </c>
      <c r="O34" s="15">
        <v>9</v>
      </c>
      <c r="P34" s="15">
        <v>24289.6832404462</v>
      </c>
    </row>
    <row r="35" spans="1:16" x14ac:dyDescent="0.25">
      <c r="A35" s="15">
        <v>1996</v>
      </c>
      <c r="B35" s="15">
        <v>10</v>
      </c>
      <c r="C35" s="15">
        <v>26590.378876996601</v>
      </c>
      <c r="E35" s="15">
        <v>1996</v>
      </c>
      <c r="F35" s="15">
        <v>10</v>
      </c>
      <c r="G35" s="15">
        <v>26529.8228261531</v>
      </c>
      <c r="J35" s="15">
        <v>1996</v>
      </c>
      <c r="K35" s="15">
        <v>10</v>
      </c>
      <c r="L35" s="15">
        <v>26573.953116051402</v>
      </c>
      <c r="N35" s="15">
        <v>1996</v>
      </c>
      <c r="O35" s="15">
        <v>10</v>
      </c>
      <c r="P35" s="15">
        <v>26831.137547144099</v>
      </c>
    </row>
    <row r="36" spans="1:16" x14ac:dyDescent="0.25">
      <c r="A36" s="15">
        <v>1996</v>
      </c>
      <c r="B36" s="15">
        <v>11</v>
      </c>
      <c r="C36" s="15">
        <v>28151.537201985699</v>
      </c>
      <c r="E36" s="15">
        <v>1996</v>
      </c>
      <c r="F36" s="15">
        <v>11</v>
      </c>
      <c r="G36" s="15">
        <v>28234.536301857701</v>
      </c>
      <c r="J36" s="15">
        <v>1996</v>
      </c>
      <c r="K36" s="15">
        <v>11</v>
      </c>
      <c r="L36" s="15">
        <v>28221.629788670802</v>
      </c>
      <c r="N36" s="15">
        <v>1996</v>
      </c>
      <c r="O36" s="15">
        <v>11</v>
      </c>
      <c r="P36" s="15">
        <v>28067.316845150101</v>
      </c>
    </row>
    <row r="37" spans="1:16" x14ac:dyDescent="0.25">
      <c r="A37" s="15">
        <v>1996</v>
      </c>
      <c r="B37" s="15">
        <v>12</v>
      </c>
      <c r="C37" s="15">
        <v>27787.292794663299</v>
      </c>
      <c r="E37" s="15">
        <v>1996</v>
      </c>
      <c r="F37" s="15">
        <v>12</v>
      </c>
      <c r="G37" s="15">
        <v>27766.6107024626</v>
      </c>
      <c r="J37" s="15">
        <v>1996</v>
      </c>
      <c r="K37" s="15">
        <v>12</v>
      </c>
      <c r="L37" s="15">
        <v>27898.8347745682</v>
      </c>
      <c r="N37" s="15">
        <v>1996</v>
      </c>
      <c r="O37" s="15">
        <v>12</v>
      </c>
      <c r="P37" s="15">
        <v>27976.918732145099</v>
      </c>
    </row>
    <row r="38" spans="1:16" x14ac:dyDescent="0.25">
      <c r="A38" s="15">
        <v>1997</v>
      </c>
      <c r="B38" s="15">
        <v>1</v>
      </c>
      <c r="C38" s="15">
        <v>29374.687861371101</v>
      </c>
      <c r="E38" s="15">
        <v>1997</v>
      </c>
      <c r="F38" s="15">
        <v>1</v>
      </c>
      <c r="G38" s="15">
        <v>29523.221077074199</v>
      </c>
      <c r="J38" s="15">
        <v>1997</v>
      </c>
      <c r="K38" s="15">
        <v>1</v>
      </c>
      <c r="L38" s="15">
        <v>28800.257429039601</v>
      </c>
      <c r="N38" s="15">
        <v>1997</v>
      </c>
      <c r="O38" s="15">
        <v>1</v>
      </c>
      <c r="P38" s="15">
        <v>27997.907140519099</v>
      </c>
    </row>
    <row r="39" spans="1:16" x14ac:dyDescent="0.25">
      <c r="A39" s="15">
        <v>1997</v>
      </c>
      <c r="B39" s="15">
        <v>2</v>
      </c>
      <c r="C39" s="15">
        <v>30140.227392167999</v>
      </c>
      <c r="E39" s="15">
        <v>1997</v>
      </c>
      <c r="F39" s="15">
        <v>2</v>
      </c>
      <c r="G39" s="15">
        <v>30063.766961157799</v>
      </c>
      <c r="J39" s="15">
        <v>1997</v>
      </c>
      <c r="K39" s="15">
        <v>2</v>
      </c>
      <c r="L39" s="15">
        <v>31023.530704640099</v>
      </c>
      <c r="N39" s="15">
        <v>1997</v>
      </c>
      <c r="O39" s="15">
        <v>2</v>
      </c>
      <c r="P39" s="15">
        <v>30049.745781291898</v>
      </c>
    </row>
    <row r="40" spans="1:16" x14ac:dyDescent="0.25">
      <c r="A40" s="15">
        <v>1997</v>
      </c>
      <c r="B40" s="15">
        <v>3</v>
      </c>
      <c r="C40" s="15">
        <v>31458.317597958499</v>
      </c>
      <c r="E40" s="15">
        <v>1997</v>
      </c>
      <c r="F40" s="15">
        <v>3</v>
      </c>
      <c r="G40" s="15">
        <v>31466.888124204099</v>
      </c>
      <c r="J40" s="15">
        <v>1997</v>
      </c>
      <c r="K40" s="15">
        <v>3</v>
      </c>
      <c r="L40" s="15">
        <v>31339.489286987598</v>
      </c>
      <c r="N40" s="15">
        <v>1997</v>
      </c>
      <c r="O40" s="15">
        <v>3</v>
      </c>
      <c r="P40" s="15">
        <v>31410.766795432999</v>
      </c>
    </row>
    <row r="41" spans="1:16" x14ac:dyDescent="0.25">
      <c r="A41" s="15">
        <v>1997</v>
      </c>
      <c r="B41" s="15">
        <v>4</v>
      </c>
      <c r="C41" s="15">
        <v>33339.199350438997</v>
      </c>
      <c r="E41" s="15">
        <v>1997</v>
      </c>
      <c r="F41" s="15">
        <v>4</v>
      </c>
      <c r="G41" s="15">
        <v>33320.732713737903</v>
      </c>
      <c r="J41" s="15">
        <v>1997</v>
      </c>
      <c r="K41" s="15">
        <v>4</v>
      </c>
      <c r="L41" s="15">
        <v>33590.318098099699</v>
      </c>
      <c r="N41" s="15">
        <v>1997</v>
      </c>
      <c r="O41" s="15">
        <v>4</v>
      </c>
      <c r="P41" s="15">
        <v>33709.537659466201</v>
      </c>
    </row>
    <row r="42" spans="1:16" x14ac:dyDescent="0.25">
      <c r="A42" s="15">
        <v>1997</v>
      </c>
      <c r="B42" s="15">
        <v>5</v>
      </c>
      <c r="C42" s="15">
        <v>34701.929197067002</v>
      </c>
      <c r="E42" s="15">
        <v>1997</v>
      </c>
      <c r="F42" s="15">
        <v>5</v>
      </c>
      <c r="G42" s="15">
        <v>34676.983044718501</v>
      </c>
      <c r="J42" s="15">
        <v>1997</v>
      </c>
      <c r="K42" s="15">
        <v>5</v>
      </c>
      <c r="L42" s="15">
        <v>34639.4178091387</v>
      </c>
      <c r="N42" s="15">
        <v>1997</v>
      </c>
      <c r="O42" s="15">
        <v>5</v>
      </c>
      <c r="P42" s="15">
        <v>34924.063879164903</v>
      </c>
    </row>
    <row r="43" spans="1:16" x14ac:dyDescent="0.25">
      <c r="A43" s="15">
        <v>1997</v>
      </c>
      <c r="B43" s="15">
        <v>6</v>
      </c>
      <c r="C43" s="15">
        <v>35580.802739753701</v>
      </c>
      <c r="E43" s="15">
        <v>1997</v>
      </c>
      <c r="F43" s="15">
        <v>6</v>
      </c>
      <c r="G43" s="15">
        <v>35577.970372940501</v>
      </c>
      <c r="J43" s="15">
        <v>1997</v>
      </c>
      <c r="K43" s="15">
        <v>6</v>
      </c>
      <c r="L43" s="15">
        <v>35568.557608670097</v>
      </c>
      <c r="N43" s="15">
        <v>1997</v>
      </c>
      <c r="O43" s="15">
        <v>6</v>
      </c>
      <c r="P43" s="15">
        <v>35702.6327907097</v>
      </c>
    </row>
    <row r="44" spans="1:16" x14ac:dyDescent="0.25">
      <c r="A44" s="15">
        <v>1997</v>
      </c>
      <c r="B44" s="15">
        <v>7</v>
      </c>
      <c r="C44" s="15">
        <v>37301.124424034002</v>
      </c>
      <c r="E44" s="15">
        <v>1997</v>
      </c>
      <c r="F44" s="15">
        <v>7</v>
      </c>
      <c r="G44" s="15">
        <v>37253.469472470897</v>
      </c>
      <c r="J44" s="15">
        <v>1997</v>
      </c>
      <c r="K44" s="15">
        <v>7</v>
      </c>
      <c r="L44" s="15">
        <v>37235.456552523901</v>
      </c>
      <c r="N44" s="15">
        <v>1997</v>
      </c>
      <c r="O44" s="15">
        <v>7</v>
      </c>
      <c r="P44" s="15">
        <v>37488.629514455301</v>
      </c>
    </row>
    <row r="45" spans="1:16" x14ac:dyDescent="0.25">
      <c r="A45" s="15">
        <v>1997</v>
      </c>
      <c r="B45" s="15">
        <v>8</v>
      </c>
      <c r="C45" s="15">
        <v>37509.597859740898</v>
      </c>
      <c r="E45" s="15">
        <v>1997</v>
      </c>
      <c r="F45" s="15">
        <v>8</v>
      </c>
      <c r="G45" s="15">
        <v>37550.975824631401</v>
      </c>
      <c r="J45" s="15">
        <v>1997</v>
      </c>
      <c r="K45" s="15">
        <v>8</v>
      </c>
      <c r="L45" s="15">
        <v>37627.140134045803</v>
      </c>
      <c r="N45" s="15">
        <v>1997</v>
      </c>
      <c r="O45" s="15">
        <v>8</v>
      </c>
      <c r="P45" s="15">
        <v>37567.4644589745</v>
      </c>
    </row>
    <row r="46" spans="1:16" x14ac:dyDescent="0.25">
      <c r="A46" s="15">
        <v>1997</v>
      </c>
      <c r="B46" s="15">
        <v>9</v>
      </c>
      <c r="C46" s="15">
        <v>39546.403195600004</v>
      </c>
      <c r="E46" s="15">
        <v>1997</v>
      </c>
      <c r="F46" s="15">
        <v>9</v>
      </c>
      <c r="G46" s="15">
        <v>39456.632382791497</v>
      </c>
      <c r="J46" s="15">
        <v>1997</v>
      </c>
      <c r="K46" s="15">
        <v>9</v>
      </c>
      <c r="L46" s="15">
        <v>39631.788922591302</v>
      </c>
      <c r="N46" s="15">
        <v>1997</v>
      </c>
      <c r="O46" s="15">
        <v>9</v>
      </c>
      <c r="P46" s="15">
        <v>39883.083178362598</v>
      </c>
    </row>
    <row r="47" spans="1:16" x14ac:dyDescent="0.25">
      <c r="A47" s="15">
        <v>1997</v>
      </c>
      <c r="B47" s="15">
        <v>10</v>
      </c>
      <c r="C47" s="15">
        <v>47124.157569210598</v>
      </c>
      <c r="E47" s="15">
        <v>1997</v>
      </c>
      <c r="F47" s="15">
        <v>10</v>
      </c>
      <c r="G47" s="15">
        <v>47064.740498903302</v>
      </c>
      <c r="J47" s="15">
        <v>1997</v>
      </c>
      <c r="K47" s="15">
        <v>10</v>
      </c>
      <c r="L47" s="15">
        <v>47095.548078240099</v>
      </c>
      <c r="N47" s="15">
        <v>1997</v>
      </c>
      <c r="O47" s="15">
        <v>10</v>
      </c>
      <c r="P47" s="15">
        <v>47321.156247177103</v>
      </c>
    </row>
    <row r="48" spans="1:16" x14ac:dyDescent="0.25">
      <c r="A48" s="15">
        <v>1997</v>
      </c>
      <c r="B48" s="15">
        <v>11</v>
      </c>
      <c r="C48" s="15">
        <v>42095.8244576508</v>
      </c>
      <c r="E48" s="15">
        <v>1997</v>
      </c>
      <c r="F48" s="15">
        <v>11</v>
      </c>
      <c r="G48" s="15">
        <v>42214.200150384699</v>
      </c>
      <c r="J48" s="15">
        <v>1997</v>
      </c>
      <c r="K48" s="15">
        <v>11</v>
      </c>
      <c r="L48" s="15">
        <v>42229.094806084999</v>
      </c>
      <c r="N48" s="15">
        <v>1997</v>
      </c>
      <c r="O48" s="15">
        <v>11</v>
      </c>
      <c r="P48" s="15">
        <v>41895.847797180097</v>
      </c>
    </row>
    <row r="49" spans="1:16" x14ac:dyDescent="0.25">
      <c r="A49" s="15">
        <v>1997</v>
      </c>
      <c r="B49" s="15">
        <v>12</v>
      </c>
      <c r="C49" s="15">
        <v>26497.324857209402</v>
      </c>
      <c r="E49" s="15">
        <v>1997</v>
      </c>
      <c r="F49" s="15">
        <v>12</v>
      </c>
      <c r="G49" s="15">
        <v>26427.934450490498</v>
      </c>
      <c r="J49" s="15">
        <v>1997</v>
      </c>
      <c r="K49" s="15">
        <v>12</v>
      </c>
      <c r="L49" s="15">
        <v>26796.199373415999</v>
      </c>
      <c r="N49" s="15">
        <v>1997</v>
      </c>
      <c r="O49" s="15">
        <v>12</v>
      </c>
      <c r="P49" s="15">
        <v>26986.0226801524</v>
      </c>
    </row>
    <row r="50" spans="1:16" x14ac:dyDescent="0.25">
      <c r="A50" s="15">
        <v>1998</v>
      </c>
      <c r="B50" s="15">
        <v>1</v>
      </c>
      <c r="C50" s="15">
        <v>33655.109396964501</v>
      </c>
      <c r="E50" s="15">
        <v>1998</v>
      </c>
      <c r="F50" s="15">
        <v>1</v>
      </c>
      <c r="G50" s="15">
        <v>33876.247035460699</v>
      </c>
      <c r="J50" s="15">
        <v>1998</v>
      </c>
      <c r="K50" s="15">
        <v>1</v>
      </c>
      <c r="L50" s="15">
        <v>32555.328968313701</v>
      </c>
      <c r="N50" s="15">
        <v>1998</v>
      </c>
      <c r="O50" s="15">
        <v>1</v>
      </c>
      <c r="P50" s="15">
        <v>32008.0125217307</v>
      </c>
    </row>
    <row r="51" spans="1:16" x14ac:dyDescent="0.25">
      <c r="A51" s="15">
        <v>1998</v>
      </c>
      <c r="B51" s="15">
        <v>2</v>
      </c>
      <c r="C51" s="15">
        <v>37961.063019941997</v>
      </c>
      <c r="E51" s="15">
        <v>1998</v>
      </c>
      <c r="F51" s="15">
        <v>2</v>
      </c>
      <c r="G51" s="15">
        <v>37888.695843516303</v>
      </c>
      <c r="J51" s="15">
        <v>1998</v>
      </c>
      <c r="K51" s="15">
        <v>2</v>
      </c>
      <c r="L51" s="15">
        <v>38848.833658176103</v>
      </c>
      <c r="N51" s="15">
        <v>1998</v>
      </c>
      <c r="O51" s="15">
        <v>2</v>
      </c>
      <c r="P51" s="15">
        <v>38165.876120900699</v>
      </c>
    </row>
    <row r="52" spans="1:16" x14ac:dyDescent="0.25">
      <c r="A52" s="15">
        <v>1998</v>
      </c>
      <c r="B52" s="15">
        <v>3</v>
      </c>
      <c r="C52" s="15">
        <v>39350.616941717097</v>
      </c>
      <c r="E52" s="15">
        <v>1998</v>
      </c>
      <c r="F52" s="15">
        <v>3</v>
      </c>
      <c r="G52" s="15">
        <v>39317.994140836097</v>
      </c>
      <c r="J52" s="15">
        <v>1998</v>
      </c>
      <c r="K52" s="15">
        <v>3</v>
      </c>
      <c r="L52" s="15">
        <v>39453.245474598698</v>
      </c>
      <c r="N52" s="15">
        <v>1998</v>
      </c>
      <c r="O52" s="15">
        <v>3</v>
      </c>
      <c r="P52" s="15">
        <v>39450.626497882702</v>
      </c>
    </row>
    <row r="53" spans="1:16" x14ac:dyDescent="0.25">
      <c r="A53" s="15">
        <v>1998</v>
      </c>
      <c r="B53" s="15">
        <v>4</v>
      </c>
      <c r="C53" s="15">
        <v>40312.762965647496</v>
      </c>
      <c r="E53" s="15">
        <v>1998</v>
      </c>
      <c r="F53" s="15">
        <v>4</v>
      </c>
      <c r="G53" s="15">
        <v>40258.978403777197</v>
      </c>
      <c r="J53" s="15">
        <v>1998</v>
      </c>
      <c r="K53" s="15">
        <v>4</v>
      </c>
      <c r="L53" s="15">
        <v>40352.5442754096</v>
      </c>
      <c r="N53" s="15">
        <v>1998</v>
      </c>
      <c r="O53" s="15">
        <v>4</v>
      </c>
      <c r="P53" s="15">
        <v>40470.310256670797</v>
      </c>
    </row>
    <row r="54" spans="1:16" x14ac:dyDescent="0.25">
      <c r="A54" s="15">
        <v>1998</v>
      </c>
      <c r="B54" s="15">
        <v>5</v>
      </c>
      <c r="C54" s="15">
        <v>39567.764849311403</v>
      </c>
      <c r="E54" s="15">
        <v>1998</v>
      </c>
      <c r="F54" s="15">
        <v>5</v>
      </c>
      <c r="G54" s="15">
        <v>39585.531001264797</v>
      </c>
      <c r="J54" s="15">
        <v>1998</v>
      </c>
      <c r="K54" s="15">
        <v>5</v>
      </c>
      <c r="L54" s="15">
        <v>39703.418167314201</v>
      </c>
      <c r="N54" s="15">
        <v>1998</v>
      </c>
      <c r="O54" s="15">
        <v>5</v>
      </c>
      <c r="P54" s="15">
        <v>39622.410376498701</v>
      </c>
    </row>
    <row r="55" spans="1:16" x14ac:dyDescent="0.25">
      <c r="A55" s="15">
        <v>1998</v>
      </c>
      <c r="B55" s="15">
        <v>6</v>
      </c>
      <c r="C55" s="15">
        <v>41362.5708904598</v>
      </c>
      <c r="E55" s="15">
        <v>1998</v>
      </c>
      <c r="F55" s="15">
        <v>6</v>
      </c>
      <c r="G55" s="15">
        <v>41312.0022745565</v>
      </c>
      <c r="J55" s="15">
        <v>1998</v>
      </c>
      <c r="K55" s="15">
        <v>6</v>
      </c>
      <c r="L55" s="15">
        <v>41349.040461078097</v>
      </c>
      <c r="N55" s="15">
        <v>1998</v>
      </c>
      <c r="O55" s="15">
        <v>6</v>
      </c>
      <c r="P55" s="15">
        <v>41546.029648485797</v>
      </c>
    </row>
    <row r="56" spans="1:16" x14ac:dyDescent="0.25">
      <c r="A56" s="15">
        <v>1998</v>
      </c>
      <c r="B56" s="15">
        <v>7</v>
      </c>
      <c r="C56" s="15">
        <v>39406.608047165602</v>
      </c>
      <c r="E56" s="15">
        <v>1998</v>
      </c>
      <c r="F56" s="15">
        <v>7</v>
      </c>
      <c r="G56" s="15">
        <v>39351.351977710299</v>
      </c>
      <c r="J56" s="15">
        <v>1998</v>
      </c>
      <c r="K56" s="15">
        <v>7</v>
      </c>
      <c r="L56" s="15">
        <v>39381.181445345901</v>
      </c>
      <c r="N56" s="15">
        <v>1998</v>
      </c>
      <c r="O56" s="15">
        <v>7</v>
      </c>
      <c r="P56" s="15">
        <v>39615.119713033098</v>
      </c>
    </row>
    <row r="57" spans="1:16" x14ac:dyDescent="0.25">
      <c r="A57" s="15">
        <v>1998</v>
      </c>
      <c r="B57" s="15">
        <v>8</v>
      </c>
      <c r="C57" s="15">
        <v>44553.1194260626</v>
      </c>
      <c r="E57" s="15">
        <v>1998</v>
      </c>
      <c r="F57" s="15">
        <v>8</v>
      </c>
      <c r="G57" s="15">
        <v>44652.285926271397</v>
      </c>
      <c r="J57" s="15">
        <v>1998</v>
      </c>
      <c r="K57" s="15">
        <v>8</v>
      </c>
      <c r="L57" s="15">
        <v>44622.725553841701</v>
      </c>
      <c r="N57" s="15">
        <v>1998</v>
      </c>
      <c r="O57" s="15">
        <v>8</v>
      </c>
      <c r="P57" s="15">
        <v>44579.476563341697</v>
      </c>
    </row>
    <row r="58" spans="1:16" x14ac:dyDescent="0.25">
      <c r="A58" s="15">
        <v>1998</v>
      </c>
      <c r="B58" s="15">
        <v>9</v>
      </c>
      <c r="C58" s="15">
        <v>39995.668031579698</v>
      </c>
      <c r="E58" s="15">
        <v>1998</v>
      </c>
      <c r="F58" s="15">
        <v>9</v>
      </c>
      <c r="G58" s="15">
        <v>39892.550640007998</v>
      </c>
      <c r="J58" s="15">
        <v>1998</v>
      </c>
      <c r="K58" s="15">
        <v>9</v>
      </c>
      <c r="L58" s="15">
        <v>40088.637810079097</v>
      </c>
      <c r="N58" s="15">
        <v>1998</v>
      </c>
      <c r="O58" s="15">
        <v>9</v>
      </c>
      <c r="P58" s="15">
        <v>40362.801401438097</v>
      </c>
    </row>
    <row r="59" spans="1:16" x14ac:dyDescent="0.25">
      <c r="A59" s="15">
        <v>1998</v>
      </c>
      <c r="B59" s="15">
        <v>10</v>
      </c>
      <c r="C59" s="15">
        <v>34425.993015045198</v>
      </c>
      <c r="E59" s="15">
        <v>1998</v>
      </c>
      <c r="F59" s="15">
        <v>10</v>
      </c>
      <c r="G59" s="15">
        <v>34402.766527489002</v>
      </c>
      <c r="J59" s="15">
        <v>1998</v>
      </c>
      <c r="K59" s="15">
        <v>10</v>
      </c>
      <c r="L59" s="15">
        <v>34479.732778909398</v>
      </c>
      <c r="N59" s="15">
        <v>1998</v>
      </c>
      <c r="O59" s="15">
        <v>10</v>
      </c>
      <c r="P59" s="15">
        <v>34553.348872163602</v>
      </c>
    </row>
    <row r="60" spans="1:16" x14ac:dyDescent="0.25">
      <c r="A60" s="15">
        <v>1998</v>
      </c>
      <c r="B60" s="15">
        <v>11</v>
      </c>
      <c r="C60" s="15">
        <v>28658.930428404699</v>
      </c>
      <c r="E60" s="15">
        <v>1998</v>
      </c>
      <c r="F60" s="15">
        <v>11</v>
      </c>
      <c r="G60" s="15">
        <v>28724.359468835199</v>
      </c>
      <c r="J60" s="15">
        <v>1998</v>
      </c>
      <c r="K60" s="15">
        <v>11</v>
      </c>
      <c r="L60" s="15">
        <v>28706.3878338342</v>
      </c>
      <c r="N60" s="15">
        <v>1998</v>
      </c>
      <c r="O60" s="15">
        <v>11</v>
      </c>
      <c r="P60" s="15">
        <v>28532.054165343201</v>
      </c>
    </row>
    <row r="61" spans="1:16" x14ac:dyDescent="0.25">
      <c r="A61" s="15">
        <v>1998</v>
      </c>
      <c r="B61" s="15">
        <v>12</v>
      </c>
      <c r="C61" s="15">
        <v>15506.089800112601</v>
      </c>
      <c r="E61" s="15">
        <v>1998</v>
      </c>
      <c r="F61" s="15">
        <v>12</v>
      </c>
      <c r="G61" s="15">
        <v>15429.6403305532</v>
      </c>
      <c r="J61" s="15">
        <v>1998</v>
      </c>
      <c r="K61" s="15">
        <v>12</v>
      </c>
      <c r="L61" s="15">
        <v>16076.7531380537</v>
      </c>
      <c r="N61" s="15">
        <v>1998</v>
      </c>
      <c r="O61" s="15">
        <v>12</v>
      </c>
      <c r="P61" s="15">
        <v>16258.008107510799</v>
      </c>
    </row>
    <row r="62" spans="1:16" x14ac:dyDescent="0.25">
      <c r="A62" s="15">
        <v>1999</v>
      </c>
      <c r="B62" s="15">
        <v>1</v>
      </c>
      <c r="C62" s="15">
        <v>26499.290099296901</v>
      </c>
      <c r="E62" s="15">
        <v>1999</v>
      </c>
      <c r="F62" s="15">
        <v>1</v>
      </c>
      <c r="G62" s="15">
        <v>26770.6434606941</v>
      </c>
      <c r="J62" s="15">
        <v>1999</v>
      </c>
      <c r="K62" s="15">
        <v>1</v>
      </c>
      <c r="L62" s="15">
        <v>25043.714999734999</v>
      </c>
      <c r="N62" s="15">
        <v>1999</v>
      </c>
      <c r="O62" s="15">
        <v>1</v>
      </c>
      <c r="P62" s="15">
        <v>24375.930820156202</v>
      </c>
    </row>
    <row r="63" spans="1:16" x14ac:dyDescent="0.25">
      <c r="A63" s="15">
        <v>1999</v>
      </c>
      <c r="B63" s="15">
        <v>2</v>
      </c>
      <c r="C63" s="15">
        <v>20946.3848695544</v>
      </c>
      <c r="E63" s="15">
        <v>1999</v>
      </c>
      <c r="F63" s="15">
        <v>2</v>
      </c>
      <c r="G63" s="15">
        <v>20879.813979864801</v>
      </c>
      <c r="J63" s="15">
        <v>1999</v>
      </c>
      <c r="K63" s="15">
        <v>2</v>
      </c>
      <c r="L63" s="15">
        <v>21920.765791465401</v>
      </c>
      <c r="N63" s="15">
        <v>1999</v>
      </c>
      <c r="O63" s="15">
        <v>2</v>
      </c>
      <c r="P63" s="15">
        <v>21336.195304328201</v>
      </c>
    </row>
    <row r="64" spans="1:16" x14ac:dyDescent="0.25">
      <c r="A64" s="15">
        <v>1999</v>
      </c>
      <c r="B64" s="15">
        <v>3</v>
      </c>
      <c r="C64" s="15">
        <v>18370.9939502794</v>
      </c>
      <c r="E64" s="15">
        <v>1999</v>
      </c>
      <c r="F64" s="15">
        <v>3</v>
      </c>
      <c r="G64" s="15">
        <v>18288.677811061702</v>
      </c>
      <c r="J64" s="15">
        <v>1999</v>
      </c>
      <c r="K64" s="15">
        <v>3</v>
      </c>
      <c r="L64" s="15">
        <v>18396.724365856498</v>
      </c>
      <c r="N64" s="15">
        <v>1999</v>
      </c>
      <c r="O64" s="15">
        <v>3</v>
      </c>
      <c r="P64" s="15">
        <v>18540.542060999102</v>
      </c>
    </row>
    <row r="65" spans="1:16" x14ac:dyDescent="0.25">
      <c r="A65" s="15">
        <v>1999</v>
      </c>
      <c r="B65" s="15">
        <v>4</v>
      </c>
      <c r="C65" s="15">
        <v>18896.499646526401</v>
      </c>
      <c r="E65" s="15">
        <v>1999</v>
      </c>
      <c r="F65" s="15">
        <v>4</v>
      </c>
      <c r="G65" s="15">
        <v>18832.879407274599</v>
      </c>
      <c r="J65" s="15">
        <v>1999</v>
      </c>
      <c r="K65" s="15">
        <v>4</v>
      </c>
      <c r="L65" s="15">
        <v>18938.9116624741</v>
      </c>
      <c r="N65" s="15">
        <v>1999</v>
      </c>
      <c r="O65" s="15">
        <v>4</v>
      </c>
      <c r="P65" s="15">
        <v>19059.424921357298</v>
      </c>
    </row>
    <row r="66" spans="1:16" x14ac:dyDescent="0.25">
      <c r="A66" s="15">
        <v>1999</v>
      </c>
      <c r="B66" s="15">
        <v>5</v>
      </c>
      <c r="C66" s="15">
        <v>21812.8592538995</v>
      </c>
      <c r="E66" s="15">
        <v>1999</v>
      </c>
      <c r="F66" s="15">
        <v>5</v>
      </c>
      <c r="G66" s="15">
        <v>21826.220773376801</v>
      </c>
      <c r="J66" s="15">
        <v>1999</v>
      </c>
      <c r="K66" s="15">
        <v>5</v>
      </c>
      <c r="L66" s="15">
        <v>21972.179188864</v>
      </c>
      <c r="N66" s="15">
        <v>1999</v>
      </c>
      <c r="O66" s="15">
        <v>5</v>
      </c>
      <c r="P66" s="15">
        <v>21864.421495197799</v>
      </c>
    </row>
    <row r="67" spans="1:16" x14ac:dyDescent="0.25">
      <c r="A67" s="15">
        <v>1999</v>
      </c>
      <c r="B67" s="15">
        <v>6</v>
      </c>
      <c r="C67" s="15">
        <v>21817.143497889101</v>
      </c>
      <c r="E67" s="15">
        <v>1999</v>
      </c>
      <c r="F67" s="15">
        <v>6</v>
      </c>
      <c r="G67" s="15">
        <v>21758.189864033699</v>
      </c>
      <c r="J67" s="15">
        <v>1999</v>
      </c>
      <c r="K67" s="15">
        <v>6</v>
      </c>
      <c r="L67" s="15">
        <v>21834.317222596401</v>
      </c>
      <c r="N67" s="15">
        <v>1999</v>
      </c>
      <c r="O67" s="15">
        <v>6</v>
      </c>
      <c r="P67" s="15">
        <v>22005.069014812001</v>
      </c>
    </row>
    <row r="68" spans="1:16" x14ac:dyDescent="0.25">
      <c r="A68" s="15">
        <v>1999</v>
      </c>
      <c r="B68" s="15">
        <v>7</v>
      </c>
      <c r="C68" s="15">
        <v>22520.888391819401</v>
      </c>
      <c r="E68" s="15">
        <v>1999</v>
      </c>
      <c r="F68" s="15">
        <v>7</v>
      </c>
      <c r="G68" s="15">
        <v>22500.909693598602</v>
      </c>
      <c r="J68" s="15">
        <v>1999</v>
      </c>
      <c r="K68" s="15">
        <v>7</v>
      </c>
      <c r="L68" s="15">
        <v>22604.1497725347</v>
      </c>
      <c r="N68" s="15">
        <v>1999</v>
      </c>
      <c r="O68" s="15">
        <v>7</v>
      </c>
      <c r="P68" s="15">
        <v>22659.692689031101</v>
      </c>
    </row>
    <row r="69" spans="1:16" x14ac:dyDescent="0.25">
      <c r="A69" s="15">
        <v>1999</v>
      </c>
      <c r="B69" s="15">
        <v>8</v>
      </c>
      <c r="C69" s="15">
        <v>25313.9512774881</v>
      </c>
      <c r="E69" s="15">
        <v>1999</v>
      </c>
      <c r="F69" s="15">
        <v>8</v>
      </c>
      <c r="G69" s="15">
        <v>25434.650776874001</v>
      </c>
      <c r="J69" s="15">
        <v>1999</v>
      </c>
      <c r="K69" s="15">
        <v>8</v>
      </c>
      <c r="L69" s="15">
        <v>25274.679438156301</v>
      </c>
      <c r="N69" s="15">
        <v>1999</v>
      </c>
      <c r="O69" s="15">
        <v>8</v>
      </c>
      <c r="P69" s="15">
        <v>25358.828544404601</v>
      </c>
    </row>
    <row r="70" spans="1:16" x14ac:dyDescent="0.25">
      <c r="A70" s="15">
        <v>1999</v>
      </c>
      <c r="B70" s="15">
        <v>9</v>
      </c>
      <c r="C70" s="15">
        <v>24768.404493215701</v>
      </c>
      <c r="E70" s="15">
        <v>1999</v>
      </c>
      <c r="F70" s="15">
        <v>9</v>
      </c>
      <c r="G70" s="15">
        <v>24655.937386916099</v>
      </c>
      <c r="J70" s="15">
        <v>1999</v>
      </c>
      <c r="K70" s="15">
        <v>9</v>
      </c>
      <c r="L70" s="15">
        <v>24861.6580388941</v>
      </c>
      <c r="N70" s="15">
        <v>1999</v>
      </c>
      <c r="O70" s="15">
        <v>9</v>
      </c>
      <c r="P70" s="15">
        <v>25151.009810562398</v>
      </c>
    </row>
    <row r="71" spans="1:16" x14ac:dyDescent="0.25">
      <c r="A71" s="15">
        <v>1999</v>
      </c>
      <c r="B71" s="15">
        <v>10</v>
      </c>
      <c r="C71" s="15">
        <v>28644.751147193299</v>
      </c>
      <c r="E71" s="15">
        <v>1999</v>
      </c>
      <c r="F71" s="15">
        <v>10</v>
      </c>
      <c r="G71" s="15">
        <v>28668.3656545753</v>
      </c>
      <c r="J71" s="15">
        <v>1999</v>
      </c>
      <c r="K71" s="15">
        <v>10</v>
      </c>
      <c r="L71" s="15">
        <v>28774.337771228598</v>
      </c>
      <c r="N71" s="15">
        <v>1999</v>
      </c>
      <c r="O71" s="15">
        <v>10</v>
      </c>
      <c r="P71" s="15">
        <v>28678.566959045402</v>
      </c>
    </row>
    <row r="72" spans="1:16" x14ac:dyDescent="0.25">
      <c r="A72" s="15">
        <v>1999</v>
      </c>
      <c r="B72" s="15">
        <v>11</v>
      </c>
      <c r="C72" s="15">
        <v>29307.7823933619</v>
      </c>
      <c r="E72" s="15">
        <v>1999</v>
      </c>
      <c r="F72" s="15">
        <v>11</v>
      </c>
      <c r="G72" s="15">
        <v>29306.017187309699</v>
      </c>
      <c r="J72" s="15">
        <v>1999</v>
      </c>
      <c r="K72" s="15">
        <v>11</v>
      </c>
      <c r="L72" s="15">
        <v>29267.5179106908</v>
      </c>
      <c r="N72" s="15">
        <v>1999</v>
      </c>
      <c r="O72" s="15">
        <v>11</v>
      </c>
      <c r="P72" s="15">
        <v>29303.821208997699</v>
      </c>
    </row>
    <row r="73" spans="1:16" x14ac:dyDescent="0.25">
      <c r="A73" s="15">
        <v>1999</v>
      </c>
      <c r="B73" s="15">
        <v>12</v>
      </c>
      <c r="C73" s="15">
        <v>32540.278014260199</v>
      </c>
      <c r="E73" s="15">
        <v>1999</v>
      </c>
      <c r="F73" s="15">
        <v>12</v>
      </c>
      <c r="G73" s="15">
        <v>32463.260489622498</v>
      </c>
      <c r="J73" s="15">
        <v>1999</v>
      </c>
      <c r="K73" s="15">
        <v>12</v>
      </c>
      <c r="L73" s="15">
        <v>33346.828560201197</v>
      </c>
      <c r="N73" s="15">
        <v>1999</v>
      </c>
      <c r="O73" s="15">
        <v>12</v>
      </c>
      <c r="P73" s="15">
        <v>33549.042321040499</v>
      </c>
    </row>
    <row r="74" spans="1:16" x14ac:dyDescent="0.25">
      <c r="A74" s="15">
        <v>2000</v>
      </c>
      <c r="B74" s="15">
        <v>1</v>
      </c>
      <c r="C74" s="15">
        <v>36927.426580953703</v>
      </c>
      <c r="E74" s="15">
        <v>2000</v>
      </c>
      <c r="F74" s="15">
        <v>1</v>
      </c>
      <c r="G74" s="15">
        <v>37175.752998530799</v>
      </c>
      <c r="J74" s="15">
        <v>2000</v>
      </c>
      <c r="K74" s="15">
        <v>1</v>
      </c>
      <c r="L74" s="15">
        <v>35142.412938721201</v>
      </c>
      <c r="N74" s="15">
        <v>2000</v>
      </c>
      <c r="O74" s="15">
        <v>1</v>
      </c>
      <c r="P74" s="15">
        <v>34412.762385626003</v>
      </c>
    </row>
    <row r="75" spans="1:16" x14ac:dyDescent="0.25">
      <c r="A75" s="15">
        <v>2000</v>
      </c>
      <c r="B75" s="15">
        <v>2</v>
      </c>
      <c r="C75" s="15">
        <v>25916.784870826599</v>
      </c>
      <c r="E75" s="15">
        <v>2000</v>
      </c>
      <c r="F75" s="15">
        <v>2</v>
      </c>
      <c r="G75" s="15">
        <v>26029.624467201302</v>
      </c>
      <c r="J75" s="15">
        <v>2000</v>
      </c>
      <c r="K75" s="15">
        <v>2</v>
      </c>
      <c r="L75" s="15">
        <v>24563.0183273558</v>
      </c>
      <c r="N75" s="15">
        <v>2000</v>
      </c>
      <c r="O75" s="15">
        <v>2</v>
      </c>
      <c r="P75" s="15">
        <v>25761.4063212252</v>
      </c>
    </row>
    <row r="76" spans="1:16" x14ac:dyDescent="0.25">
      <c r="A76" s="15">
        <v>2000</v>
      </c>
      <c r="B76" s="15">
        <v>3</v>
      </c>
      <c r="C76" s="15">
        <v>31012.8386483676</v>
      </c>
      <c r="E76" s="15">
        <v>2000</v>
      </c>
      <c r="F76" s="15">
        <v>3</v>
      </c>
      <c r="G76" s="15">
        <v>30931.923121666001</v>
      </c>
      <c r="J76" s="15">
        <v>2000</v>
      </c>
      <c r="K76" s="15">
        <v>3</v>
      </c>
      <c r="L76" s="15">
        <v>31026.287720370401</v>
      </c>
      <c r="N76" s="15">
        <v>2000</v>
      </c>
      <c r="O76" s="15">
        <v>3</v>
      </c>
      <c r="P76" s="15">
        <v>31193.125815781699</v>
      </c>
    </row>
    <row r="77" spans="1:16" x14ac:dyDescent="0.25">
      <c r="A77" s="15">
        <v>2000</v>
      </c>
      <c r="B77" s="15">
        <v>4</v>
      </c>
      <c r="C77" s="15">
        <v>28525.890091432699</v>
      </c>
      <c r="E77" s="15">
        <v>2000</v>
      </c>
      <c r="F77" s="15">
        <v>4</v>
      </c>
      <c r="G77" s="15">
        <v>28551.231377421602</v>
      </c>
      <c r="J77" s="15">
        <v>2000</v>
      </c>
      <c r="K77" s="15">
        <v>4</v>
      </c>
      <c r="L77" s="15">
        <v>28730.1295543696</v>
      </c>
      <c r="N77" s="15">
        <v>2000</v>
      </c>
      <c r="O77" s="15">
        <v>4</v>
      </c>
      <c r="P77" s="15">
        <v>28553.8978345303</v>
      </c>
    </row>
    <row r="78" spans="1:16" x14ac:dyDescent="0.25">
      <c r="A78" s="15">
        <v>2000</v>
      </c>
      <c r="B78" s="15">
        <v>5</v>
      </c>
      <c r="C78" s="15">
        <v>25620.334574568398</v>
      </c>
      <c r="E78" s="15">
        <v>2000</v>
      </c>
      <c r="F78" s="15">
        <v>5</v>
      </c>
      <c r="G78" s="15">
        <v>25544.1859245675</v>
      </c>
      <c r="J78" s="15">
        <v>2000</v>
      </c>
      <c r="K78" s="15">
        <v>5</v>
      </c>
      <c r="L78" s="15">
        <v>25650.905656901799</v>
      </c>
      <c r="N78" s="15">
        <v>2000</v>
      </c>
      <c r="O78" s="15">
        <v>5</v>
      </c>
      <c r="P78" s="15">
        <v>25849.818143312001</v>
      </c>
    </row>
    <row r="79" spans="1:16" x14ac:dyDescent="0.25">
      <c r="A79" s="15">
        <v>2000</v>
      </c>
      <c r="B79" s="15">
        <v>6</v>
      </c>
      <c r="C79" s="15">
        <v>24751.952279176199</v>
      </c>
      <c r="E79" s="15">
        <v>2000</v>
      </c>
      <c r="F79" s="15">
        <v>6</v>
      </c>
      <c r="G79" s="15">
        <v>24684.345770947999</v>
      </c>
      <c r="J79" s="15">
        <v>2000</v>
      </c>
      <c r="K79" s="15">
        <v>6</v>
      </c>
      <c r="L79" s="15">
        <v>24798.278747908102</v>
      </c>
      <c r="N79" s="15">
        <v>2000</v>
      </c>
      <c r="O79" s="15">
        <v>6</v>
      </c>
      <c r="P79" s="15">
        <v>24976.108929686801</v>
      </c>
    </row>
    <row r="80" spans="1:16" x14ac:dyDescent="0.25">
      <c r="A80" s="15">
        <v>2000</v>
      </c>
      <c r="B80" s="15">
        <v>7</v>
      </c>
      <c r="C80" s="15">
        <v>26232.151762997</v>
      </c>
      <c r="E80" s="15">
        <v>2000</v>
      </c>
      <c r="F80" s="15">
        <v>7</v>
      </c>
      <c r="G80" s="15">
        <v>26234.335657195501</v>
      </c>
      <c r="J80" s="15">
        <v>2000</v>
      </c>
      <c r="K80" s="15">
        <v>7</v>
      </c>
      <c r="L80" s="15">
        <v>26402.1083274136</v>
      </c>
      <c r="N80" s="15">
        <v>2000</v>
      </c>
      <c r="O80" s="15">
        <v>7</v>
      </c>
      <c r="P80" s="15">
        <v>26289.204735051098</v>
      </c>
    </row>
    <row r="81" spans="1:16" x14ac:dyDescent="0.25">
      <c r="A81" s="15">
        <v>2000</v>
      </c>
      <c r="B81" s="15">
        <v>8</v>
      </c>
      <c r="C81" s="15">
        <v>24609.979970625001</v>
      </c>
      <c r="E81" s="15">
        <v>2000</v>
      </c>
      <c r="F81" s="15">
        <v>8</v>
      </c>
      <c r="G81" s="15">
        <v>24745.8070863381</v>
      </c>
      <c r="J81" s="15">
        <v>2000</v>
      </c>
      <c r="K81" s="15">
        <v>8</v>
      </c>
      <c r="L81" s="15">
        <v>24465.590095075098</v>
      </c>
      <c r="N81" s="15">
        <v>2000</v>
      </c>
      <c r="O81" s="15">
        <v>8</v>
      </c>
      <c r="P81" s="15">
        <v>24713.097932226199</v>
      </c>
    </row>
    <row r="82" spans="1:16" x14ac:dyDescent="0.25">
      <c r="A82" s="15">
        <v>2000</v>
      </c>
      <c r="B82" s="15">
        <v>9</v>
      </c>
      <c r="C82" s="15">
        <v>26774.1629030687</v>
      </c>
      <c r="E82" s="15">
        <v>2000</v>
      </c>
      <c r="F82" s="15">
        <v>9</v>
      </c>
      <c r="G82" s="15">
        <v>26715.691219509401</v>
      </c>
      <c r="J82" s="15">
        <v>2000</v>
      </c>
      <c r="K82" s="15">
        <v>9</v>
      </c>
      <c r="L82" s="15">
        <v>26943.065332380102</v>
      </c>
      <c r="N82" s="15">
        <v>2000</v>
      </c>
      <c r="O82" s="15">
        <v>9</v>
      </c>
      <c r="P82" s="15">
        <v>27076.425918868601</v>
      </c>
    </row>
    <row r="83" spans="1:16" x14ac:dyDescent="0.25">
      <c r="A83" s="15">
        <v>2000</v>
      </c>
      <c r="B83" s="15">
        <v>10</v>
      </c>
      <c r="C83" s="15">
        <v>25099.250543415299</v>
      </c>
      <c r="E83" s="15">
        <v>2000</v>
      </c>
      <c r="F83" s="15">
        <v>10</v>
      </c>
      <c r="G83" s="15">
        <v>25080.692961144901</v>
      </c>
      <c r="J83" s="15">
        <v>2000</v>
      </c>
      <c r="K83" s="15">
        <v>10</v>
      </c>
      <c r="L83" s="15">
        <v>25194.389043256499</v>
      </c>
      <c r="N83" s="15">
        <v>2000</v>
      </c>
      <c r="O83" s="15">
        <v>10</v>
      </c>
      <c r="P83" s="15">
        <v>25267.433773970501</v>
      </c>
    </row>
    <row r="84" spans="1:16" x14ac:dyDescent="0.25">
      <c r="A84" s="15">
        <v>2000</v>
      </c>
      <c r="B84" s="15">
        <v>11</v>
      </c>
      <c r="C84" s="15">
        <v>25054.2049345382</v>
      </c>
      <c r="E84" s="15">
        <v>2000</v>
      </c>
      <c r="F84" s="15">
        <v>11</v>
      </c>
      <c r="G84" s="15">
        <v>25032.934108905501</v>
      </c>
      <c r="J84" s="15">
        <v>2000</v>
      </c>
      <c r="K84" s="15">
        <v>11</v>
      </c>
      <c r="L84" s="15">
        <v>25065.834253052999</v>
      </c>
      <c r="N84" s="15">
        <v>2000</v>
      </c>
      <c r="O84" s="15">
        <v>11</v>
      </c>
      <c r="P84" s="15">
        <v>25193.2722299831</v>
      </c>
    </row>
    <row r="85" spans="1:16" x14ac:dyDescent="0.25">
      <c r="A85" s="15">
        <v>2000</v>
      </c>
      <c r="B85" s="15">
        <v>12</v>
      </c>
      <c r="C85" s="15">
        <v>27440.707486750998</v>
      </c>
      <c r="E85" s="15">
        <v>2000</v>
      </c>
      <c r="F85" s="15">
        <v>12</v>
      </c>
      <c r="G85" s="15">
        <v>27459.187478238899</v>
      </c>
      <c r="J85" s="15">
        <v>2000</v>
      </c>
      <c r="K85" s="15">
        <v>12</v>
      </c>
      <c r="L85" s="15">
        <v>28436.960356578798</v>
      </c>
      <c r="N85" s="15">
        <v>2000</v>
      </c>
      <c r="O85" s="15">
        <v>12</v>
      </c>
      <c r="P85" s="15">
        <v>28367.093127755699</v>
      </c>
    </row>
    <row r="86" spans="1:16" x14ac:dyDescent="0.25">
      <c r="A86" s="15">
        <v>2001</v>
      </c>
      <c r="B86" s="15">
        <v>1</v>
      </c>
      <c r="C86" s="15">
        <v>23952.415755054</v>
      </c>
      <c r="E86" s="15">
        <v>2001</v>
      </c>
      <c r="F86" s="15">
        <v>1</v>
      </c>
      <c r="G86" s="15">
        <v>24065.340348745001</v>
      </c>
      <c r="J86" s="15">
        <v>2001</v>
      </c>
      <c r="K86" s="15">
        <v>1</v>
      </c>
      <c r="L86" s="15">
        <v>21665.564671180698</v>
      </c>
      <c r="N86" s="15">
        <v>2001</v>
      </c>
      <c r="O86" s="15">
        <v>1</v>
      </c>
      <c r="P86" s="15">
        <v>21021.751562871999</v>
      </c>
    </row>
    <row r="87" spans="1:16" x14ac:dyDescent="0.25">
      <c r="A87" s="15">
        <v>2001</v>
      </c>
      <c r="B87" s="15">
        <v>2</v>
      </c>
      <c r="C87" s="15">
        <v>19460.278824039298</v>
      </c>
      <c r="E87" s="15">
        <v>2001</v>
      </c>
      <c r="F87" s="15">
        <v>2</v>
      </c>
      <c r="G87" s="15">
        <v>19404.9404368207</v>
      </c>
      <c r="J87" s="15">
        <v>2001</v>
      </c>
      <c r="K87" s="15">
        <v>2</v>
      </c>
      <c r="L87" s="15">
        <v>20679.042427247601</v>
      </c>
      <c r="N87" s="15">
        <v>2001</v>
      </c>
      <c r="O87" s="15">
        <v>2</v>
      </c>
      <c r="P87" s="15">
        <v>20036.820684856</v>
      </c>
    </row>
    <row r="88" spans="1:16" x14ac:dyDescent="0.25">
      <c r="A88" s="15">
        <v>2001</v>
      </c>
      <c r="B88" s="15">
        <v>3</v>
      </c>
      <c r="C88" s="15">
        <v>23895.817737451001</v>
      </c>
      <c r="E88" s="15">
        <v>2001</v>
      </c>
      <c r="F88" s="15">
        <v>3</v>
      </c>
      <c r="G88" s="15">
        <v>23870.030385691301</v>
      </c>
      <c r="J88" s="15">
        <v>2001</v>
      </c>
      <c r="K88" s="15">
        <v>3</v>
      </c>
      <c r="L88" s="15">
        <v>23999.894382308499</v>
      </c>
      <c r="N88" s="15">
        <v>2001</v>
      </c>
      <c r="O88" s="15">
        <v>3</v>
      </c>
      <c r="P88" s="15">
        <v>24070.142383956299</v>
      </c>
    </row>
    <row r="89" spans="1:16" x14ac:dyDescent="0.25">
      <c r="A89" s="15">
        <v>2001</v>
      </c>
      <c r="B89" s="15">
        <v>4</v>
      </c>
      <c r="C89" s="15">
        <v>24474.874765642198</v>
      </c>
      <c r="E89" s="15">
        <v>2001</v>
      </c>
      <c r="F89" s="15">
        <v>4</v>
      </c>
      <c r="G89" s="15">
        <v>24461.156114772501</v>
      </c>
      <c r="J89" s="15">
        <v>2001</v>
      </c>
      <c r="K89" s="15">
        <v>4</v>
      </c>
      <c r="L89" s="15">
        <v>24616.966990875299</v>
      </c>
      <c r="N89" s="15">
        <v>2001</v>
      </c>
      <c r="O89" s="15">
        <v>4</v>
      </c>
      <c r="P89" s="15">
        <v>24640.1936104917</v>
      </c>
    </row>
    <row r="90" spans="1:16" x14ac:dyDescent="0.25">
      <c r="A90" s="15">
        <v>2001</v>
      </c>
      <c r="B90" s="15">
        <v>5</v>
      </c>
      <c r="C90" s="15">
        <v>24150.368061209399</v>
      </c>
      <c r="E90" s="15">
        <v>2001</v>
      </c>
      <c r="F90" s="15">
        <v>5</v>
      </c>
      <c r="G90" s="15">
        <v>24085.050949726901</v>
      </c>
      <c r="J90" s="15">
        <v>2001</v>
      </c>
      <c r="K90" s="15">
        <v>5</v>
      </c>
      <c r="L90" s="15">
        <v>24213.964617261499</v>
      </c>
      <c r="N90" s="15">
        <v>2001</v>
      </c>
      <c r="O90" s="15">
        <v>5</v>
      </c>
      <c r="P90" s="15">
        <v>24414.126485615601</v>
      </c>
    </row>
    <row r="91" spans="1:16" x14ac:dyDescent="0.25">
      <c r="A91" s="15">
        <v>2001</v>
      </c>
      <c r="B91" s="15">
        <v>6</v>
      </c>
      <c r="C91" s="15">
        <v>23126.869601679198</v>
      </c>
      <c r="E91" s="15">
        <v>2001</v>
      </c>
      <c r="F91" s="15">
        <v>6</v>
      </c>
      <c r="G91" s="15">
        <v>23103.709839498799</v>
      </c>
      <c r="J91" s="15">
        <v>2001</v>
      </c>
      <c r="K91" s="15">
        <v>6</v>
      </c>
      <c r="L91" s="15">
        <v>23272.190587957699</v>
      </c>
      <c r="N91" s="15">
        <v>2001</v>
      </c>
      <c r="O91" s="15">
        <v>6</v>
      </c>
      <c r="P91" s="15">
        <v>23323.990238622398</v>
      </c>
    </row>
    <row r="92" spans="1:16" x14ac:dyDescent="0.25">
      <c r="A92" s="15">
        <v>2001</v>
      </c>
      <c r="B92" s="15">
        <v>7</v>
      </c>
      <c r="C92" s="15">
        <v>20956.351761046099</v>
      </c>
      <c r="E92" s="15">
        <v>2001</v>
      </c>
      <c r="F92" s="15">
        <v>7</v>
      </c>
      <c r="G92" s="15">
        <v>20903.1746191151</v>
      </c>
      <c r="J92" s="15">
        <v>2001</v>
      </c>
      <c r="K92" s="15">
        <v>7</v>
      </c>
      <c r="L92" s="15">
        <v>21043.595166319799</v>
      </c>
      <c r="N92" s="15">
        <v>2001</v>
      </c>
      <c r="O92" s="15">
        <v>7</v>
      </c>
      <c r="P92" s="15">
        <v>21087.581824971501</v>
      </c>
    </row>
    <row r="93" spans="1:16" x14ac:dyDescent="0.25">
      <c r="A93" s="15">
        <v>2001</v>
      </c>
      <c r="B93" s="15">
        <v>8</v>
      </c>
      <c r="C93" s="15">
        <v>14017.061089290801</v>
      </c>
      <c r="E93" s="15">
        <v>2001</v>
      </c>
      <c r="F93" s="15">
        <v>8</v>
      </c>
      <c r="G93" s="15">
        <v>14156.5885702225</v>
      </c>
      <c r="J93" s="15">
        <v>2001</v>
      </c>
      <c r="K93" s="15">
        <v>8</v>
      </c>
      <c r="L93" s="15">
        <v>13889.238901941701</v>
      </c>
      <c r="N93" s="15">
        <v>2001</v>
      </c>
      <c r="O93" s="15">
        <v>8</v>
      </c>
      <c r="P93" s="15">
        <v>14149.318806008599</v>
      </c>
    </row>
    <row r="94" spans="1:16" x14ac:dyDescent="0.25">
      <c r="A94" s="15">
        <v>2001</v>
      </c>
      <c r="B94" s="15">
        <v>9</v>
      </c>
      <c r="C94" s="15">
        <v>14965.9434095299</v>
      </c>
      <c r="E94" s="15">
        <v>2001</v>
      </c>
      <c r="F94" s="15">
        <v>9</v>
      </c>
      <c r="G94" s="15">
        <v>14976.2355806511</v>
      </c>
      <c r="J94" s="15">
        <v>2001</v>
      </c>
      <c r="K94" s="15">
        <v>9</v>
      </c>
      <c r="L94" s="15">
        <v>15191.6366894944</v>
      </c>
      <c r="N94" s="15">
        <v>2001</v>
      </c>
      <c r="O94" s="15">
        <v>9</v>
      </c>
      <c r="P94" s="15">
        <v>15160.054682603401</v>
      </c>
    </row>
    <row r="95" spans="1:16" x14ac:dyDescent="0.25">
      <c r="A95" s="15">
        <v>2001</v>
      </c>
      <c r="B95" s="15">
        <v>10</v>
      </c>
      <c r="C95" s="15">
        <v>14126.212553382</v>
      </c>
      <c r="E95" s="15">
        <v>2001</v>
      </c>
      <c r="F95" s="15">
        <v>10</v>
      </c>
      <c r="G95" s="15">
        <v>14073.400996419299</v>
      </c>
      <c r="J95" s="15">
        <v>2001</v>
      </c>
      <c r="K95" s="15">
        <v>10</v>
      </c>
      <c r="L95" s="15">
        <v>14154.4522562231</v>
      </c>
      <c r="N95" s="15">
        <v>2001</v>
      </c>
      <c r="O95" s="15">
        <v>10</v>
      </c>
      <c r="P95" s="15">
        <v>14395.7544770488</v>
      </c>
    </row>
    <row r="96" spans="1:16" x14ac:dyDescent="0.25">
      <c r="A96" s="15">
        <v>2001</v>
      </c>
      <c r="B96" s="15">
        <v>11</v>
      </c>
      <c r="C96" s="15">
        <v>12967.2404408322</v>
      </c>
      <c r="E96" s="15">
        <v>2001</v>
      </c>
      <c r="F96" s="15">
        <v>11</v>
      </c>
      <c r="G96" s="15">
        <v>12926.209409975399</v>
      </c>
      <c r="J96" s="15">
        <v>2001</v>
      </c>
      <c r="K96" s="15">
        <v>11</v>
      </c>
      <c r="L96" s="15">
        <v>12985.7717550202</v>
      </c>
      <c r="N96" s="15">
        <v>2001</v>
      </c>
      <c r="O96" s="15">
        <v>11</v>
      </c>
      <c r="P96" s="15">
        <v>13215.3992945887</v>
      </c>
    </row>
    <row r="97" spans="1:16" x14ac:dyDescent="0.25">
      <c r="A97" s="15">
        <v>2001</v>
      </c>
      <c r="B97" s="15">
        <v>12</v>
      </c>
      <c r="C97" s="15">
        <v>11003.696736940399</v>
      </c>
      <c r="E97" s="15">
        <v>2001</v>
      </c>
      <c r="F97" s="15">
        <v>12</v>
      </c>
      <c r="G97" s="15">
        <v>11026.4752894373</v>
      </c>
      <c r="J97" s="15">
        <v>2001</v>
      </c>
      <c r="K97" s="15">
        <v>12</v>
      </c>
      <c r="L97" s="15">
        <v>11994.502510431301</v>
      </c>
      <c r="N97" s="15">
        <v>2001</v>
      </c>
      <c r="O97" s="15">
        <v>12</v>
      </c>
      <c r="P97" s="15">
        <v>11970.527972354999</v>
      </c>
    </row>
    <row r="98" spans="1:16" x14ac:dyDescent="0.25">
      <c r="A98" s="15">
        <v>2002</v>
      </c>
      <c r="B98" s="15">
        <v>1</v>
      </c>
      <c r="C98" s="15">
        <v>16026.223300120801</v>
      </c>
      <c r="E98" s="15">
        <v>2002</v>
      </c>
      <c r="F98" s="15">
        <v>1</v>
      </c>
      <c r="G98" s="15">
        <v>16106.7049109702</v>
      </c>
      <c r="J98" s="15">
        <v>2002</v>
      </c>
      <c r="K98" s="15">
        <v>1</v>
      </c>
      <c r="L98" s="15">
        <v>13490.9263837992</v>
      </c>
      <c r="N98" s="15">
        <v>2002</v>
      </c>
      <c r="O98" s="15">
        <v>1</v>
      </c>
      <c r="P98" s="15">
        <v>12598.591860938601</v>
      </c>
    </row>
    <row r="99" spans="1:16" x14ac:dyDescent="0.25">
      <c r="A99" s="15">
        <v>2002</v>
      </c>
      <c r="B99" s="15">
        <v>2</v>
      </c>
      <c r="C99" s="15">
        <v>12056.841767063201</v>
      </c>
      <c r="E99" s="15">
        <v>2002</v>
      </c>
      <c r="F99" s="15">
        <v>2</v>
      </c>
      <c r="G99" s="15">
        <v>12001.434947735001</v>
      </c>
      <c r="J99" s="15">
        <v>2002</v>
      </c>
      <c r="K99" s="15">
        <v>2</v>
      </c>
      <c r="L99" s="15">
        <v>13432.7466561335</v>
      </c>
      <c r="N99" s="15">
        <v>2002</v>
      </c>
      <c r="O99" s="15">
        <v>2</v>
      </c>
      <c r="P99" s="15">
        <v>12701.6172655719</v>
      </c>
    </row>
    <row r="100" spans="1:16" x14ac:dyDescent="0.25">
      <c r="A100" s="15">
        <v>2002</v>
      </c>
      <c r="B100" s="15">
        <v>3</v>
      </c>
      <c r="C100" s="15">
        <v>11582.8902685023</v>
      </c>
      <c r="E100" s="15">
        <v>2002</v>
      </c>
      <c r="F100" s="15">
        <v>3</v>
      </c>
      <c r="G100" s="15">
        <v>11609.939849599799</v>
      </c>
      <c r="J100" s="15">
        <v>2002</v>
      </c>
      <c r="K100" s="15">
        <v>3</v>
      </c>
      <c r="L100" s="15">
        <v>11783.8941543526</v>
      </c>
      <c r="N100" s="15">
        <v>2002</v>
      </c>
      <c r="O100" s="15">
        <v>3</v>
      </c>
      <c r="P100" s="15">
        <v>11775.366716815701</v>
      </c>
    </row>
    <row r="101" spans="1:16" x14ac:dyDescent="0.25">
      <c r="A101" s="15">
        <v>2002</v>
      </c>
      <c r="B101" s="15">
        <v>4</v>
      </c>
      <c r="C101" s="15">
        <v>13324.041674235101</v>
      </c>
      <c r="E101" s="15">
        <v>2002</v>
      </c>
      <c r="F101" s="15">
        <v>4</v>
      </c>
      <c r="G101" s="15">
        <v>13274.957980904201</v>
      </c>
      <c r="J101" s="15">
        <v>2002</v>
      </c>
      <c r="K101" s="15">
        <v>4</v>
      </c>
      <c r="L101" s="15">
        <v>13426.878499361599</v>
      </c>
      <c r="N101" s="15">
        <v>2002</v>
      </c>
      <c r="O101" s="15">
        <v>4</v>
      </c>
      <c r="P101" s="15">
        <v>13652.7996264786</v>
      </c>
    </row>
    <row r="102" spans="1:16" x14ac:dyDescent="0.25">
      <c r="A102" s="15">
        <v>2002</v>
      </c>
      <c r="B102" s="15">
        <v>5</v>
      </c>
      <c r="C102" s="15">
        <v>11458.3742216667</v>
      </c>
      <c r="E102" s="15">
        <v>2002</v>
      </c>
      <c r="F102" s="15">
        <v>5</v>
      </c>
      <c r="G102" s="15">
        <v>11398.993992350101</v>
      </c>
      <c r="J102" s="15">
        <v>2002</v>
      </c>
      <c r="K102" s="15">
        <v>5</v>
      </c>
      <c r="L102" s="15">
        <v>11558.261364628701</v>
      </c>
      <c r="N102" s="15">
        <v>2002</v>
      </c>
      <c r="O102" s="15">
        <v>5</v>
      </c>
      <c r="P102" s="15">
        <v>11790.9815340929</v>
      </c>
    </row>
    <row r="103" spans="1:16" x14ac:dyDescent="0.25">
      <c r="A103" s="15">
        <v>2002</v>
      </c>
      <c r="B103" s="15">
        <v>6</v>
      </c>
      <c r="C103" s="15">
        <v>13096.4415961827</v>
      </c>
      <c r="E103" s="15">
        <v>2002</v>
      </c>
      <c r="F103" s="15">
        <v>6</v>
      </c>
      <c r="G103" s="15">
        <v>13120.586961086199</v>
      </c>
      <c r="J103" s="15">
        <v>2002</v>
      </c>
      <c r="K103" s="15">
        <v>6</v>
      </c>
      <c r="L103" s="15">
        <v>13349.3035512601</v>
      </c>
      <c r="N103" s="15">
        <v>2002</v>
      </c>
      <c r="O103" s="15">
        <v>6</v>
      </c>
      <c r="P103" s="15">
        <v>13271.3918401667</v>
      </c>
    </row>
    <row r="104" spans="1:16" x14ac:dyDescent="0.25">
      <c r="A104" s="15">
        <v>2002</v>
      </c>
      <c r="B104" s="15">
        <v>7</v>
      </c>
      <c r="C104" s="15">
        <v>12440.1750967565</v>
      </c>
      <c r="E104" s="15">
        <v>2002</v>
      </c>
      <c r="F104" s="15">
        <v>7</v>
      </c>
      <c r="G104" s="15">
        <v>12328.9108098055</v>
      </c>
      <c r="J104" s="15">
        <v>2002</v>
      </c>
      <c r="K104" s="15">
        <v>7</v>
      </c>
      <c r="L104" s="15">
        <v>12433.969066822199</v>
      </c>
      <c r="N104" s="15">
        <v>2002</v>
      </c>
      <c r="O104" s="15">
        <v>7</v>
      </c>
      <c r="P104" s="15">
        <v>12638.1154139552</v>
      </c>
    </row>
    <row r="105" spans="1:16" x14ac:dyDescent="0.25">
      <c r="A105" s="15">
        <v>2002</v>
      </c>
      <c r="B105" s="15">
        <v>8</v>
      </c>
      <c r="C105" s="15">
        <v>12117.800329330699</v>
      </c>
      <c r="E105" s="15">
        <v>2002</v>
      </c>
      <c r="F105" s="15">
        <v>8</v>
      </c>
      <c r="G105" s="15">
        <v>12298.7163774451</v>
      </c>
      <c r="J105" s="15">
        <v>2002</v>
      </c>
      <c r="K105" s="15">
        <v>8</v>
      </c>
      <c r="L105" s="15">
        <v>12059.437794678801</v>
      </c>
      <c r="N105" s="15">
        <v>2002</v>
      </c>
      <c r="O105" s="15">
        <v>8</v>
      </c>
      <c r="P105" s="15">
        <v>12177.6393234432</v>
      </c>
    </row>
    <row r="106" spans="1:16" x14ac:dyDescent="0.25">
      <c r="A106" s="15">
        <v>2002</v>
      </c>
      <c r="B106" s="15">
        <v>9</v>
      </c>
      <c r="C106" s="15">
        <v>12898.646089477599</v>
      </c>
      <c r="E106" s="15">
        <v>2002</v>
      </c>
      <c r="F106" s="15">
        <v>9</v>
      </c>
      <c r="G106" s="15">
        <v>12883.480440281401</v>
      </c>
      <c r="J106" s="15">
        <v>2002</v>
      </c>
      <c r="K106" s="15">
        <v>9</v>
      </c>
      <c r="L106" s="15">
        <v>13020.458644730001</v>
      </c>
      <c r="N106" s="15">
        <v>2002</v>
      </c>
      <c r="O106" s="15">
        <v>9</v>
      </c>
      <c r="P106" s="15">
        <v>13117.8596721059</v>
      </c>
    </row>
    <row r="107" spans="1:16" x14ac:dyDescent="0.25">
      <c r="A107" s="15">
        <v>2002</v>
      </c>
      <c r="B107" s="15">
        <v>10</v>
      </c>
      <c r="C107" s="15">
        <v>11837.308879006699</v>
      </c>
      <c r="E107" s="15">
        <v>2002</v>
      </c>
      <c r="F107" s="15">
        <v>10</v>
      </c>
      <c r="G107" s="15">
        <v>11783.9354504761</v>
      </c>
      <c r="J107" s="15">
        <v>2002</v>
      </c>
      <c r="K107" s="15">
        <v>10</v>
      </c>
      <c r="L107" s="15">
        <v>11879.535164105</v>
      </c>
      <c r="N107" s="15">
        <v>2002</v>
      </c>
      <c r="O107" s="15">
        <v>10</v>
      </c>
      <c r="P107" s="15">
        <v>12143.648861854799</v>
      </c>
    </row>
    <row r="108" spans="1:16" x14ac:dyDescent="0.25">
      <c r="A108" s="15">
        <v>2002</v>
      </c>
      <c r="B108" s="15">
        <v>11</v>
      </c>
      <c r="C108" s="15">
        <v>12089.2703465049</v>
      </c>
      <c r="E108" s="15">
        <v>2002</v>
      </c>
      <c r="F108" s="15">
        <v>11</v>
      </c>
      <c r="G108" s="15">
        <v>12092.580498146999</v>
      </c>
      <c r="J108" s="15">
        <v>2002</v>
      </c>
      <c r="K108" s="15">
        <v>11</v>
      </c>
      <c r="L108" s="15">
        <v>12215.4171392023</v>
      </c>
      <c r="N108" s="15">
        <v>2002</v>
      </c>
      <c r="O108" s="15">
        <v>11</v>
      </c>
      <c r="P108" s="15">
        <v>12332.114048073799</v>
      </c>
    </row>
    <row r="109" spans="1:16" x14ac:dyDescent="0.25">
      <c r="A109" s="15">
        <v>2002</v>
      </c>
      <c r="B109" s="15">
        <v>12</v>
      </c>
      <c r="C109" s="15">
        <v>13736.1321827673</v>
      </c>
      <c r="E109" s="15">
        <v>2002</v>
      </c>
      <c r="F109" s="15">
        <v>12</v>
      </c>
      <c r="G109" s="15">
        <v>13713.6333034544</v>
      </c>
      <c r="J109" s="15">
        <v>2002</v>
      </c>
      <c r="K109" s="15">
        <v>12</v>
      </c>
      <c r="L109" s="15">
        <v>14420.967092368999</v>
      </c>
      <c r="N109" s="15">
        <v>2002</v>
      </c>
      <c r="O109" s="15">
        <v>12</v>
      </c>
      <c r="P109" s="15">
        <v>14593.471051459101</v>
      </c>
    </row>
    <row r="110" spans="1:16" x14ac:dyDescent="0.25">
      <c r="A110" s="15">
        <v>2003</v>
      </c>
      <c r="B110" s="15">
        <v>1</v>
      </c>
      <c r="C110" s="15">
        <v>20095.192548945699</v>
      </c>
      <c r="E110" s="15">
        <v>2003</v>
      </c>
      <c r="F110" s="15">
        <v>1</v>
      </c>
      <c r="G110" s="15">
        <v>20163.5269272925</v>
      </c>
      <c r="J110" s="15">
        <v>2003</v>
      </c>
      <c r="K110" s="15">
        <v>1</v>
      </c>
      <c r="L110" s="15">
        <v>17515.879677740999</v>
      </c>
      <c r="N110" s="15">
        <v>2003</v>
      </c>
      <c r="O110" s="15">
        <v>1</v>
      </c>
      <c r="P110" s="15">
        <v>16391.069043510601</v>
      </c>
    </row>
    <row r="111" spans="1:16" x14ac:dyDescent="0.25">
      <c r="A111" s="15">
        <v>2003</v>
      </c>
      <c r="B111" s="15">
        <v>2</v>
      </c>
      <c r="C111" s="15">
        <v>14007.036478159</v>
      </c>
      <c r="E111" s="15">
        <v>2003</v>
      </c>
      <c r="F111" s="15">
        <v>2</v>
      </c>
      <c r="G111" s="15">
        <v>13936.9996639683</v>
      </c>
      <c r="J111" s="15">
        <v>2003</v>
      </c>
      <c r="K111" s="15">
        <v>2</v>
      </c>
      <c r="L111" s="15">
        <v>15536.382504217199</v>
      </c>
      <c r="N111" s="15">
        <v>2003</v>
      </c>
      <c r="O111" s="15">
        <v>2</v>
      </c>
      <c r="P111" s="15">
        <v>14833.7419412289</v>
      </c>
    </row>
    <row r="112" spans="1:16" x14ac:dyDescent="0.25">
      <c r="A112" s="15">
        <v>2003</v>
      </c>
      <c r="B112" s="15">
        <v>3</v>
      </c>
      <c r="C112" s="15">
        <v>13306.783209642799</v>
      </c>
      <c r="E112" s="15">
        <v>2003</v>
      </c>
      <c r="F112" s="15">
        <v>3</v>
      </c>
      <c r="G112" s="15">
        <v>13347.9576185038</v>
      </c>
      <c r="J112" s="15">
        <v>2003</v>
      </c>
      <c r="K112" s="15">
        <v>3</v>
      </c>
      <c r="L112" s="15">
        <v>13545.9796573393</v>
      </c>
      <c r="N112" s="15">
        <v>2003</v>
      </c>
      <c r="O112" s="15">
        <v>3</v>
      </c>
      <c r="P112" s="15">
        <v>13578.344342574999</v>
      </c>
    </row>
    <row r="113" spans="1:16" x14ac:dyDescent="0.25">
      <c r="A113" s="15">
        <v>2003</v>
      </c>
      <c r="B113" s="15">
        <v>4</v>
      </c>
      <c r="C113" s="15">
        <v>12115.023466319401</v>
      </c>
      <c r="E113" s="15">
        <v>2003</v>
      </c>
      <c r="F113" s="15">
        <v>4</v>
      </c>
      <c r="G113" s="15">
        <v>12078.409077922801</v>
      </c>
      <c r="J113" s="15">
        <v>2003</v>
      </c>
      <c r="K113" s="15">
        <v>4</v>
      </c>
      <c r="L113" s="15">
        <v>12216.616070337999</v>
      </c>
      <c r="N113" s="15">
        <v>2003</v>
      </c>
      <c r="O113" s="15">
        <v>4</v>
      </c>
      <c r="P113" s="15">
        <v>12479.618822035</v>
      </c>
    </row>
    <row r="114" spans="1:16" x14ac:dyDescent="0.25">
      <c r="A114" s="15">
        <v>2003</v>
      </c>
      <c r="B114" s="15">
        <v>5</v>
      </c>
      <c r="C114" s="15">
        <v>11758.4218769748</v>
      </c>
      <c r="E114" s="15">
        <v>2003</v>
      </c>
      <c r="F114" s="15">
        <v>5</v>
      </c>
      <c r="G114" s="15">
        <v>11730.355242793399</v>
      </c>
      <c r="J114" s="15">
        <v>2003</v>
      </c>
      <c r="K114" s="15">
        <v>5</v>
      </c>
      <c r="L114" s="15">
        <v>12211.3481877052</v>
      </c>
      <c r="N114" s="15">
        <v>2003</v>
      </c>
      <c r="O114" s="15">
        <v>5</v>
      </c>
      <c r="P114" s="15">
        <v>12317.225127027999</v>
      </c>
    </row>
    <row r="115" spans="1:16" x14ac:dyDescent="0.25">
      <c r="A115" s="15">
        <v>2003</v>
      </c>
      <c r="B115" s="15">
        <v>6</v>
      </c>
      <c r="C115" s="15">
        <v>11821.663822803601</v>
      </c>
      <c r="E115" s="15">
        <v>2003</v>
      </c>
      <c r="F115" s="15">
        <v>6</v>
      </c>
      <c r="G115" s="15">
        <v>11818.3459665645</v>
      </c>
      <c r="J115" s="15">
        <v>2003</v>
      </c>
      <c r="K115" s="15">
        <v>6</v>
      </c>
      <c r="L115" s="15">
        <v>11922.5609520419</v>
      </c>
      <c r="N115" s="15">
        <v>2003</v>
      </c>
      <c r="O115" s="15">
        <v>6</v>
      </c>
      <c r="P115" s="15">
        <v>12010.9315472131</v>
      </c>
    </row>
    <row r="116" spans="1:16" x14ac:dyDescent="0.25">
      <c r="A116" s="15">
        <v>2003</v>
      </c>
      <c r="B116" s="15">
        <v>7</v>
      </c>
      <c r="C116" s="15">
        <v>8975.7310260511495</v>
      </c>
      <c r="E116" s="15">
        <v>2003</v>
      </c>
      <c r="F116" s="15">
        <v>7</v>
      </c>
      <c r="G116" s="15">
        <v>8878.0649906522594</v>
      </c>
      <c r="J116" s="15">
        <v>2003</v>
      </c>
      <c r="K116" s="15">
        <v>7</v>
      </c>
      <c r="L116" s="15">
        <v>8858.7713550567096</v>
      </c>
      <c r="N116" s="15">
        <v>2003</v>
      </c>
      <c r="O116" s="15">
        <v>7</v>
      </c>
      <c r="P116" s="15">
        <v>9077.2747252951704</v>
      </c>
    </row>
    <row r="117" spans="1:16" x14ac:dyDescent="0.25">
      <c r="A117" s="15">
        <v>2003</v>
      </c>
      <c r="B117" s="15">
        <v>8</v>
      </c>
      <c r="C117" s="15">
        <v>13464.8990725038</v>
      </c>
      <c r="E117" s="15">
        <v>2003</v>
      </c>
      <c r="F117" s="15">
        <v>8</v>
      </c>
      <c r="G117" s="15">
        <v>13640.3844336068</v>
      </c>
      <c r="J117" s="15">
        <v>2003</v>
      </c>
      <c r="K117" s="15">
        <v>8</v>
      </c>
      <c r="L117" s="15">
        <v>13439.2952610537</v>
      </c>
      <c r="N117" s="15">
        <v>2003</v>
      </c>
      <c r="O117" s="15">
        <v>8</v>
      </c>
      <c r="P117" s="15">
        <v>13379.911935371299</v>
      </c>
    </row>
    <row r="118" spans="1:16" x14ac:dyDescent="0.25">
      <c r="A118" s="15">
        <v>2003</v>
      </c>
      <c r="B118" s="15">
        <v>9</v>
      </c>
      <c r="C118" s="15">
        <v>11931.0724305083</v>
      </c>
      <c r="E118" s="15">
        <v>2003</v>
      </c>
      <c r="F118" s="15">
        <v>9</v>
      </c>
      <c r="G118" s="15">
        <v>11888.9775189429</v>
      </c>
      <c r="J118" s="15">
        <v>2003</v>
      </c>
      <c r="K118" s="15">
        <v>9</v>
      </c>
      <c r="L118" s="15">
        <v>11892.874270418</v>
      </c>
      <c r="N118" s="15">
        <v>2003</v>
      </c>
      <c r="O118" s="15">
        <v>9</v>
      </c>
      <c r="P118" s="15">
        <v>12114.4647804126</v>
      </c>
    </row>
    <row r="119" spans="1:16" x14ac:dyDescent="0.25">
      <c r="A119" s="15">
        <v>2003</v>
      </c>
      <c r="B119" s="15">
        <v>10</v>
      </c>
      <c r="C119" s="15">
        <v>11971.8812289857</v>
      </c>
      <c r="E119" s="15">
        <v>2003</v>
      </c>
      <c r="F119" s="15">
        <v>10</v>
      </c>
      <c r="G119" s="15">
        <v>11920.8524042062</v>
      </c>
      <c r="J119" s="15">
        <v>2003</v>
      </c>
      <c r="K119" s="15">
        <v>10</v>
      </c>
      <c r="L119" s="15">
        <v>11961.036494275701</v>
      </c>
      <c r="N119" s="15">
        <v>2003</v>
      </c>
      <c r="O119" s="15">
        <v>10</v>
      </c>
      <c r="P119" s="15">
        <v>12232.6587029314</v>
      </c>
    </row>
    <row r="120" spans="1:16" x14ac:dyDescent="0.25">
      <c r="A120" s="15">
        <v>2003</v>
      </c>
      <c r="B120" s="15">
        <v>11</v>
      </c>
      <c r="C120" s="15">
        <v>15645.3039480958</v>
      </c>
      <c r="E120" s="15">
        <v>2003</v>
      </c>
      <c r="F120" s="15">
        <v>11</v>
      </c>
      <c r="G120" s="15">
        <v>15697.506844106099</v>
      </c>
      <c r="J120" s="15">
        <v>2003</v>
      </c>
      <c r="K120" s="15">
        <v>11</v>
      </c>
      <c r="L120" s="15">
        <v>15877.0084376581</v>
      </c>
      <c r="N120" s="15">
        <v>2003</v>
      </c>
      <c r="O120" s="15">
        <v>11</v>
      </c>
      <c r="P120" s="15">
        <v>15822.913795144001</v>
      </c>
    </row>
    <row r="121" spans="1:16" x14ac:dyDescent="0.25">
      <c r="A121" s="15">
        <v>2003</v>
      </c>
      <c r="B121" s="15">
        <v>12</v>
      </c>
      <c r="C121" s="15">
        <v>13962.7951831713</v>
      </c>
      <c r="E121" s="15">
        <v>2003</v>
      </c>
      <c r="F121" s="15">
        <v>12</v>
      </c>
      <c r="G121" s="15">
        <v>13893.0668111632</v>
      </c>
      <c r="J121" s="15">
        <v>2003</v>
      </c>
      <c r="K121" s="15">
        <v>12</v>
      </c>
      <c r="L121" s="15">
        <v>14376.542286510999</v>
      </c>
      <c r="N121" s="15">
        <v>2003</v>
      </c>
      <c r="O121" s="15">
        <v>12</v>
      </c>
      <c r="P121" s="15">
        <v>14709.9563920948</v>
      </c>
    </row>
    <row r="122" spans="1:16" x14ac:dyDescent="0.25">
      <c r="A122" s="15">
        <v>2004</v>
      </c>
      <c r="B122" s="15">
        <v>1</v>
      </c>
      <c r="C122" s="15">
        <v>24775.3567223676</v>
      </c>
      <c r="E122" s="15">
        <v>2004</v>
      </c>
      <c r="F122" s="15">
        <v>1</v>
      </c>
      <c r="G122" s="15">
        <v>24901.1080831129</v>
      </c>
      <c r="J122" s="15">
        <v>2004</v>
      </c>
      <c r="K122" s="15">
        <v>1</v>
      </c>
      <c r="L122" s="15">
        <v>22363.8683580088</v>
      </c>
      <c r="N122" s="15">
        <v>2004</v>
      </c>
      <c r="O122" s="15">
        <v>1</v>
      </c>
      <c r="P122" s="15">
        <v>21004.500801176</v>
      </c>
    </row>
    <row r="123" spans="1:16" x14ac:dyDescent="0.25">
      <c r="A123" s="15">
        <v>2004</v>
      </c>
      <c r="B123" s="15">
        <v>2</v>
      </c>
      <c r="C123" s="15">
        <v>19830.5769926949</v>
      </c>
      <c r="E123" s="15">
        <v>2004</v>
      </c>
      <c r="F123" s="15">
        <v>2</v>
      </c>
      <c r="G123" s="15">
        <v>19964.379945830799</v>
      </c>
      <c r="J123" s="15">
        <v>2004</v>
      </c>
      <c r="K123" s="15">
        <v>2</v>
      </c>
      <c r="L123" s="15">
        <v>19205.0155683593</v>
      </c>
      <c r="N123" s="15">
        <v>2004</v>
      </c>
      <c r="O123" s="15">
        <v>2</v>
      </c>
      <c r="P123" s="15">
        <v>20253.314678684899</v>
      </c>
    </row>
    <row r="124" spans="1:16" x14ac:dyDescent="0.25">
      <c r="A124" s="15">
        <v>2004</v>
      </c>
      <c r="B124" s="15">
        <v>3</v>
      </c>
      <c r="C124" s="15">
        <v>17942.157639216101</v>
      </c>
      <c r="E124" s="15">
        <v>2004</v>
      </c>
      <c r="F124" s="15">
        <v>3</v>
      </c>
      <c r="G124" s="15">
        <v>17898.462643430401</v>
      </c>
      <c r="J124" s="15">
        <v>2004</v>
      </c>
      <c r="K124" s="15">
        <v>3</v>
      </c>
      <c r="L124" s="15">
        <v>18137.509950565302</v>
      </c>
      <c r="N124" s="15">
        <v>2004</v>
      </c>
      <c r="O124" s="15">
        <v>3</v>
      </c>
      <c r="P124" s="15">
        <v>18482.6986345689</v>
      </c>
    </row>
    <row r="125" spans="1:16" x14ac:dyDescent="0.25">
      <c r="A125" s="15">
        <v>2004</v>
      </c>
      <c r="B125" s="15">
        <v>4</v>
      </c>
      <c r="C125" s="15">
        <v>16819.057895446</v>
      </c>
      <c r="E125" s="15">
        <v>2004</v>
      </c>
      <c r="F125" s="15">
        <v>4</v>
      </c>
      <c r="G125" s="15">
        <v>16786.298403278601</v>
      </c>
      <c r="J125" s="15">
        <v>2004</v>
      </c>
      <c r="K125" s="15">
        <v>4</v>
      </c>
      <c r="L125" s="15">
        <v>16955.471022850899</v>
      </c>
      <c r="N125" s="15">
        <v>2004</v>
      </c>
      <c r="O125" s="15">
        <v>4</v>
      </c>
      <c r="P125" s="15">
        <v>17238.121639864101</v>
      </c>
    </row>
    <row r="126" spans="1:16" x14ac:dyDescent="0.25">
      <c r="A126" s="15">
        <v>2004</v>
      </c>
      <c r="B126" s="15">
        <v>5</v>
      </c>
      <c r="C126" s="15">
        <v>20009.4528919025</v>
      </c>
      <c r="E126" s="15">
        <v>2004</v>
      </c>
      <c r="F126" s="15">
        <v>5</v>
      </c>
      <c r="G126" s="15">
        <v>20010.222901798701</v>
      </c>
      <c r="J126" s="15">
        <v>2004</v>
      </c>
      <c r="K126" s="15">
        <v>5</v>
      </c>
      <c r="L126" s="15">
        <v>20813.594864066501</v>
      </c>
      <c r="N126" s="15">
        <v>2004</v>
      </c>
      <c r="O126" s="15">
        <v>5</v>
      </c>
      <c r="P126" s="15">
        <v>20773.7355366952</v>
      </c>
    </row>
    <row r="127" spans="1:16" x14ac:dyDescent="0.25">
      <c r="A127" s="15">
        <v>2004</v>
      </c>
      <c r="B127" s="15">
        <v>6</v>
      </c>
      <c r="C127" s="15">
        <v>18913.193818306401</v>
      </c>
      <c r="E127" s="15">
        <v>2004</v>
      </c>
      <c r="F127" s="15">
        <v>6</v>
      </c>
      <c r="G127" s="15">
        <v>18884.065194578299</v>
      </c>
      <c r="J127" s="15">
        <v>2004</v>
      </c>
      <c r="K127" s="15">
        <v>6</v>
      </c>
      <c r="L127" s="15">
        <v>18826.304707310399</v>
      </c>
      <c r="N127" s="15">
        <v>2004</v>
      </c>
      <c r="O127" s="15">
        <v>6</v>
      </c>
      <c r="P127" s="15">
        <v>19055.112179792799</v>
      </c>
    </row>
    <row r="128" spans="1:16" x14ac:dyDescent="0.25">
      <c r="A128" s="15">
        <v>2004</v>
      </c>
      <c r="B128" s="15">
        <v>7</v>
      </c>
      <c r="C128" s="15">
        <v>18901.5589223887</v>
      </c>
      <c r="E128" s="15">
        <v>2004</v>
      </c>
      <c r="F128" s="15">
        <v>7</v>
      </c>
      <c r="G128" s="15">
        <v>18859.722481611501</v>
      </c>
      <c r="J128" s="15">
        <v>2004</v>
      </c>
      <c r="K128" s="15">
        <v>7</v>
      </c>
      <c r="L128" s="15">
        <v>18678.726243741799</v>
      </c>
      <c r="N128" s="15">
        <v>2004</v>
      </c>
      <c r="O128" s="15">
        <v>7</v>
      </c>
      <c r="P128" s="15">
        <v>18748.7693042844</v>
      </c>
    </row>
    <row r="129" spans="1:16" x14ac:dyDescent="0.25">
      <c r="A129" s="15">
        <v>2004</v>
      </c>
      <c r="B129" s="15">
        <v>8</v>
      </c>
      <c r="C129" s="15">
        <v>19532.9465615302</v>
      </c>
      <c r="E129" s="15">
        <v>2004</v>
      </c>
      <c r="F129" s="15">
        <v>8</v>
      </c>
      <c r="G129" s="15">
        <v>19612.724276679099</v>
      </c>
      <c r="J129" s="15">
        <v>2004</v>
      </c>
      <c r="K129" s="15">
        <v>8</v>
      </c>
      <c r="L129" s="15">
        <v>19302.051400828201</v>
      </c>
      <c r="N129" s="15">
        <v>2004</v>
      </c>
      <c r="O129" s="15">
        <v>8</v>
      </c>
      <c r="P129" s="15">
        <v>19364.698526013301</v>
      </c>
    </row>
    <row r="130" spans="1:16" x14ac:dyDescent="0.25">
      <c r="A130" s="15">
        <v>2004</v>
      </c>
      <c r="B130" s="15">
        <v>9</v>
      </c>
      <c r="C130" s="15">
        <v>20505.436481055302</v>
      </c>
      <c r="E130" s="15">
        <v>2004</v>
      </c>
      <c r="F130" s="15">
        <v>9</v>
      </c>
      <c r="G130" s="15">
        <v>20479.231741601001</v>
      </c>
      <c r="J130" s="15">
        <v>2004</v>
      </c>
      <c r="K130" s="15">
        <v>9</v>
      </c>
      <c r="L130" s="15">
        <v>20305.692089766599</v>
      </c>
      <c r="N130" s="15">
        <v>2004</v>
      </c>
      <c r="O130" s="15">
        <v>9</v>
      </c>
      <c r="P130" s="15">
        <v>20484.401868952798</v>
      </c>
    </row>
    <row r="131" spans="1:16" x14ac:dyDescent="0.25">
      <c r="A131" s="15">
        <v>2004</v>
      </c>
      <c r="B131" s="15">
        <v>10</v>
      </c>
      <c r="C131" s="15">
        <v>22321.098670920401</v>
      </c>
      <c r="E131" s="15">
        <v>2004</v>
      </c>
      <c r="F131" s="15">
        <v>10</v>
      </c>
      <c r="G131" s="15">
        <v>22366.363583903301</v>
      </c>
      <c r="J131" s="15">
        <v>2004</v>
      </c>
      <c r="K131" s="15">
        <v>10</v>
      </c>
      <c r="L131" s="15">
        <v>22364.123292128399</v>
      </c>
      <c r="N131" s="15">
        <v>2004</v>
      </c>
      <c r="O131" s="15">
        <v>10</v>
      </c>
      <c r="P131" s="15">
        <v>22301.938247909398</v>
      </c>
    </row>
    <row r="132" spans="1:16" x14ac:dyDescent="0.25">
      <c r="A132" s="15">
        <v>2004</v>
      </c>
      <c r="B132" s="15">
        <v>11</v>
      </c>
      <c r="C132" s="15">
        <v>20876.599545479599</v>
      </c>
      <c r="E132" s="15">
        <v>2004</v>
      </c>
      <c r="F132" s="15">
        <v>11</v>
      </c>
      <c r="G132" s="15">
        <v>20846.274247835401</v>
      </c>
      <c r="J132" s="15">
        <v>2004</v>
      </c>
      <c r="K132" s="15">
        <v>11</v>
      </c>
      <c r="L132" s="15">
        <v>20946.2510148562</v>
      </c>
      <c r="N132" s="15">
        <v>2004</v>
      </c>
      <c r="O132" s="15">
        <v>11</v>
      </c>
      <c r="P132" s="15">
        <v>21168.354674808499</v>
      </c>
    </row>
    <row r="133" spans="1:16" x14ac:dyDescent="0.25">
      <c r="A133" s="15">
        <v>2004</v>
      </c>
      <c r="B133" s="15">
        <v>12</v>
      </c>
      <c r="C133" s="15">
        <v>22690.4429653796</v>
      </c>
      <c r="E133" s="15">
        <v>2004</v>
      </c>
      <c r="F133" s="15">
        <v>12</v>
      </c>
      <c r="G133" s="15">
        <v>22625.0288117973</v>
      </c>
      <c r="J133" s="15">
        <v>2004</v>
      </c>
      <c r="K133" s="15">
        <v>12</v>
      </c>
      <c r="L133" s="15">
        <v>22881.1664226258</v>
      </c>
      <c r="N133" s="15">
        <v>2004</v>
      </c>
      <c r="O133" s="15">
        <v>12</v>
      </c>
      <c r="P133" s="15">
        <v>23185.7718799043</v>
      </c>
    </row>
    <row r="134" spans="1:16" x14ac:dyDescent="0.25">
      <c r="A134" s="15">
        <v>2005</v>
      </c>
      <c r="B134" s="15">
        <v>1</v>
      </c>
      <c r="C134" s="15">
        <v>35937.689485447998</v>
      </c>
      <c r="E134" s="15">
        <v>2005</v>
      </c>
      <c r="F134" s="15">
        <v>1</v>
      </c>
      <c r="G134" s="15">
        <v>36109.490981096002</v>
      </c>
      <c r="J134" s="15">
        <v>2005</v>
      </c>
      <c r="K134" s="15">
        <v>1</v>
      </c>
      <c r="L134" s="15">
        <v>33896.111239395097</v>
      </c>
      <c r="N134" s="15">
        <v>2005</v>
      </c>
      <c r="O134" s="15">
        <v>1</v>
      </c>
      <c r="P134" s="15">
        <v>32347.718749298499</v>
      </c>
    </row>
    <row r="135" spans="1:16" x14ac:dyDescent="0.25">
      <c r="A135" s="15">
        <v>2005</v>
      </c>
      <c r="B135" s="15">
        <v>2</v>
      </c>
      <c r="C135" s="15">
        <v>17392.983536938002</v>
      </c>
      <c r="E135" s="15">
        <v>2005</v>
      </c>
      <c r="F135" s="15">
        <v>2</v>
      </c>
      <c r="G135" s="15">
        <v>17295.693754850101</v>
      </c>
      <c r="J135" s="15">
        <v>2005</v>
      </c>
      <c r="K135" s="15">
        <v>2</v>
      </c>
      <c r="L135" s="15">
        <v>19466.7575529155</v>
      </c>
      <c r="N135" s="15">
        <v>2005</v>
      </c>
      <c r="O135" s="15">
        <v>2</v>
      </c>
      <c r="P135" s="15">
        <v>19217.000695242899</v>
      </c>
    </row>
    <row r="136" spans="1:16" x14ac:dyDescent="0.25">
      <c r="A136" s="15">
        <v>2005</v>
      </c>
      <c r="B136" s="15">
        <v>3</v>
      </c>
      <c r="C136" s="15">
        <v>23502.140970459801</v>
      </c>
      <c r="E136" s="15">
        <v>2005</v>
      </c>
      <c r="F136" s="15">
        <v>3</v>
      </c>
      <c r="G136" s="15">
        <v>23472.8683262097</v>
      </c>
      <c r="J136" s="15">
        <v>2005</v>
      </c>
      <c r="K136" s="15">
        <v>3</v>
      </c>
      <c r="L136" s="15">
        <v>23794.224240774001</v>
      </c>
      <c r="N136" s="15">
        <v>2005</v>
      </c>
      <c r="O136" s="15">
        <v>3</v>
      </c>
      <c r="P136" s="15">
        <v>24073.928702996702</v>
      </c>
    </row>
    <row r="137" spans="1:16" x14ac:dyDescent="0.25">
      <c r="A137" s="15">
        <v>2005</v>
      </c>
      <c r="B137" s="15">
        <v>4</v>
      </c>
      <c r="C137" s="15">
        <v>25297.824439094202</v>
      </c>
      <c r="E137" s="15">
        <v>2005</v>
      </c>
      <c r="F137" s="15">
        <v>4</v>
      </c>
      <c r="G137" s="15">
        <v>25314.872749048602</v>
      </c>
      <c r="J137" s="15">
        <v>2005</v>
      </c>
      <c r="K137" s="15">
        <v>4</v>
      </c>
      <c r="L137" s="15">
        <v>25561.877566831001</v>
      </c>
      <c r="N137" s="15">
        <v>2005</v>
      </c>
      <c r="O137" s="15">
        <v>4</v>
      </c>
      <c r="P137" s="15">
        <v>25669.833101030199</v>
      </c>
    </row>
    <row r="138" spans="1:16" x14ac:dyDescent="0.25">
      <c r="A138" s="15">
        <v>2005</v>
      </c>
      <c r="B138" s="15">
        <v>5</v>
      </c>
      <c r="C138" s="15">
        <v>23827.427718637799</v>
      </c>
      <c r="E138" s="15">
        <v>2005</v>
      </c>
      <c r="F138" s="15">
        <v>5</v>
      </c>
      <c r="G138" s="15">
        <v>23766.9311922829</v>
      </c>
      <c r="J138" s="15">
        <v>2005</v>
      </c>
      <c r="K138" s="15">
        <v>5</v>
      </c>
      <c r="L138" s="15">
        <v>24887.6893163569</v>
      </c>
      <c r="N138" s="15">
        <v>2005</v>
      </c>
      <c r="O138" s="15">
        <v>5</v>
      </c>
      <c r="P138" s="15">
        <v>24985.6238785614</v>
      </c>
    </row>
    <row r="139" spans="1:16" x14ac:dyDescent="0.25">
      <c r="A139" s="15">
        <v>2005</v>
      </c>
      <c r="B139" s="15">
        <v>6</v>
      </c>
      <c r="C139" s="15">
        <v>23458.248874553901</v>
      </c>
      <c r="E139" s="15">
        <v>2005</v>
      </c>
      <c r="F139" s="15">
        <v>6</v>
      </c>
      <c r="G139" s="15">
        <v>23447.860937558198</v>
      </c>
      <c r="J139" s="15">
        <v>2005</v>
      </c>
      <c r="K139" s="15">
        <v>6</v>
      </c>
      <c r="L139" s="15">
        <v>23303.6012373101</v>
      </c>
      <c r="N139" s="15">
        <v>2005</v>
      </c>
      <c r="O139" s="15">
        <v>6</v>
      </c>
      <c r="P139" s="15">
        <v>23461.983995264902</v>
      </c>
    </row>
    <row r="140" spans="1:16" x14ac:dyDescent="0.25">
      <c r="A140" s="15">
        <v>2005</v>
      </c>
      <c r="B140" s="15">
        <v>7</v>
      </c>
      <c r="C140" s="15">
        <v>26373.555875323498</v>
      </c>
      <c r="E140" s="15">
        <v>2005</v>
      </c>
      <c r="F140" s="15">
        <v>7</v>
      </c>
      <c r="G140" s="15">
        <v>26395.9231702578</v>
      </c>
      <c r="J140" s="15">
        <v>2005</v>
      </c>
      <c r="K140" s="15">
        <v>7</v>
      </c>
      <c r="L140" s="15">
        <v>25745.1459843015</v>
      </c>
      <c r="N140" s="15">
        <v>2005</v>
      </c>
      <c r="O140" s="15">
        <v>7</v>
      </c>
      <c r="P140" s="15">
        <v>25671.687574906598</v>
      </c>
    </row>
    <row r="141" spans="1:16" x14ac:dyDescent="0.25">
      <c r="A141" s="15">
        <v>2005</v>
      </c>
      <c r="B141" s="15">
        <v>8</v>
      </c>
      <c r="C141" s="15">
        <v>23644.254139746899</v>
      </c>
      <c r="E141" s="15">
        <v>2005</v>
      </c>
      <c r="F141" s="15">
        <v>8</v>
      </c>
      <c r="G141" s="15">
        <v>23626.255140250199</v>
      </c>
      <c r="J141" s="15">
        <v>2005</v>
      </c>
      <c r="K141" s="15">
        <v>8</v>
      </c>
      <c r="L141" s="15">
        <v>23213.766704948801</v>
      </c>
      <c r="N141" s="15">
        <v>2005</v>
      </c>
      <c r="O141" s="15">
        <v>8</v>
      </c>
      <c r="P141" s="15">
        <v>23386.757851204002</v>
      </c>
    </row>
    <row r="142" spans="1:16" x14ac:dyDescent="0.25">
      <c r="A142" s="15">
        <v>2005</v>
      </c>
      <c r="B142" s="15">
        <v>9</v>
      </c>
      <c r="C142" s="15">
        <v>23014.594548998299</v>
      </c>
      <c r="E142" s="15">
        <v>2005</v>
      </c>
      <c r="F142" s="15">
        <v>9</v>
      </c>
      <c r="G142" s="15">
        <v>22999.190347934102</v>
      </c>
      <c r="J142" s="15">
        <v>2005</v>
      </c>
      <c r="K142" s="15">
        <v>9</v>
      </c>
      <c r="L142" s="15">
        <v>22476.914835507301</v>
      </c>
      <c r="N142" s="15">
        <v>2005</v>
      </c>
      <c r="O142" s="15">
        <v>9</v>
      </c>
      <c r="P142" s="15">
        <v>22613.3853968525</v>
      </c>
    </row>
    <row r="143" spans="1:16" x14ac:dyDescent="0.25">
      <c r="A143" s="15">
        <v>2005</v>
      </c>
      <c r="B143" s="15">
        <v>10</v>
      </c>
      <c r="C143" s="15">
        <v>26254.054576756102</v>
      </c>
      <c r="E143" s="15">
        <v>2005</v>
      </c>
      <c r="F143" s="15">
        <v>10</v>
      </c>
      <c r="G143" s="15">
        <v>26303.9092318845</v>
      </c>
      <c r="J143" s="15">
        <v>2005</v>
      </c>
      <c r="K143" s="15">
        <v>10</v>
      </c>
      <c r="L143" s="15">
        <v>25772.406324027401</v>
      </c>
      <c r="N143" s="15">
        <v>2005</v>
      </c>
      <c r="O143" s="15">
        <v>10</v>
      </c>
      <c r="P143" s="15">
        <v>25668.836623388499</v>
      </c>
    </row>
    <row r="144" spans="1:16" x14ac:dyDescent="0.25">
      <c r="A144" s="15">
        <v>2005</v>
      </c>
      <c r="B144" s="15">
        <v>11</v>
      </c>
      <c r="C144" s="15">
        <v>25939.099029977398</v>
      </c>
      <c r="E144" s="15">
        <v>2005</v>
      </c>
      <c r="F144" s="15">
        <v>11</v>
      </c>
      <c r="G144" s="15">
        <v>25917.034596087899</v>
      </c>
      <c r="J144" s="15">
        <v>2005</v>
      </c>
      <c r="K144" s="15">
        <v>11</v>
      </c>
      <c r="L144" s="15">
        <v>26467.705234837798</v>
      </c>
      <c r="N144" s="15">
        <v>2005</v>
      </c>
      <c r="O144" s="15">
        <v>11</v>
      </c>
      <c r="P144" s="15">
        <v>26615.0649893029</v>
      </c>
    </row>
    <row r="145" spans="1:16" x14ac:dyDescent="0.25">
      <c r="A145" s="15">
        <v>2005</v>
      </c>
      <c r="B145" s="15">
        <v>12</v>
      </c>
      <c r="C145" s="15">
        <v>23894.3502218293</v>
      </c>
      <c r="E145" s="15">
        <v>2005</v>
      </c>
      <c r="F145" s="15">
        <v>12</v>
      </c>
      <c r="G145" s="15">
        <v>23875.567780176101</v>
      </c>
      <c r="J145" s="15">
        <v>2005</v>
      </c>
      <c r="K145" s="15">
        <v>12</v>
      </c>
      <c r="L145" s="15">
        <v>23924.795860537099</v>
      </c>
      <c r="N145" s="15">
        <v>2005</v>
      </c>
      <c r="O145" s="15">
        <v>12</v>
      </c>
      <c r="P145" s="15">
        <v>24018.641584453399</v>
      </c>
    </row>
    <row r="146" spans="1:16" x14ac:dyDescent="0.25">
      <c r="A146" s="15">
        <v>2006</v>
      </c>
      <c r="B146" s="15">
        <v>1</v>
      </c>
      <c r="C146" s="15">
        <v>25698.964970983499</v>
      </c>
      <c r="E146" s="15">
        <v>2006</v>
      </c>
      <c r="F146" s="15">
        <v>1</v>
      </c>
      <c r="G146" s="15">
        <v>25822.528126975401</v>
      </c>
      <c r="J146" s="15">
        <v>2006</v>
      </c>
      <c r="K146" s="15">
        <v>1</v>
      </c>
      <c r="L146" s="15">
        <v>24026.9590204532</v>
      </c>
      <c r="N146" s="15">
        <v>2006</v>
      </c>
      <c r="O146" s="15">
        <v>1</v>
      </c>
      <c r="P146" s="15">
        <v>22836.512809011299</v>
      </c>
    </row>
    <row r="147" spans="1:16" x14ac:dyDescent="0.25">
      <c r="A147" s="15">
        <v>2006</v>
      </c>
      <c r="B147" s="15">
        <v>2</v>
      </c>
      <c r="C147" s="15">
        <v>34226.031883007701</v>
      </c>
      <c r="E147" s="15">
        <v>2006</v>
      </c>
      <c r="F147" s="15">
        <v>2</v>
      </c>
      <c r="G147" s="15">
        <v>34124.9504502829</v>
      </c>
      <c r="J147" s="15">
        <v>2006</v>
      </c>
      <c r="K147" s="15">
        <v>2</v>
      </c>
      <c r="L147" s="15">
        <v>37099.323833340401</v>
      </c>
      <c r="N147" s="15">
        <v>2006</v>
      </c>
      <c r="O147" s="15">
        <v>2</v>
      </c>
      <c r="P147" s="15">
        <v>37122.137139622202</v>
      </c>
    </row>
    <row r="148" spans="1:16" x14ac:dyDescent="0.25">
      <c r="A148" s="15">
        <v>2006</v>
      </c>
      <c r="B148" s="15">
        <v>3</v>
      </c>
      <c r="C148" s="15">
        <v>30359.800306578101</v>
      </c>
      <c r="E148" s="15">
        <v>2006</v>
      </c>
      <c r="F148" s="15">
        <v>3</v>
      </c>
      <c r="G148" s="15">
        <v>30333.915434877399</v>
      </c>
      <c r="J148" s="15">
        <v>2006</v>
      </c>
      <c r="K148" s="15">
        <v>3</v>
      </c>
      <c r="L148" s="15">
        <v>30648.891579784198</v>
      </c>
      <c r="N148" s="15">
        <v>2006</v>
      </c>
      <c r="O148" s="15">
        <v>3</v>
      </c>
      <c r="P148" s="15">
        <v>30859.725363584999</v>
      </c>
    </row>
    <row r="149" spans="1:16" x14ac:dyDescent="0.25">
      <c r="A149" s="15">
        <v>2006</v>
      </c>
      <c r="B149" s="15">
        <v>4</v>
      </c>
      <c r="C149" s="15">
        <v>32596.2670101845</v>
      </c>
      <c r="E149" s="15">
        <v>2006</v>
      </c>
      <c r="F149" s="15">
        <v>4</v>
      </c>
      <c r="G149" s="15">
        <v>32660.240826978999</v>
      </c>
      <c r="J149" s="15">
        <v>2006</v>
      </c>
      <c r="K149" s="15">
        <v>4</v>
      </c>
      <c r="L149" s="15">
        <v>32932.0123649456</v>
      </c>
      <c r="N149" s="15">
        <v>2006</v>
      </c>
      <c r="O149" s="15">
        <v>4</v>
      </c>
      <c r="P149" s="15">
        <v>32834.848985042503</v>
      </c>
    </row>
    <row r="150" spans="1:16" x14ac:dyDescent="0.25">
      <c r="A150" s="15">
        <v>2006</v>
      </c>
      <c r="B150" s="15">
        <v>5</v>
      </c>
      <c r="C150" s="15">
        <v>26970.692015763401</v>
      </c>
      <c r="E150" s="15">
        <v>2006</v>
      </c>
      <c r="F150" s="15">
        <v>5</v>
      </c>
      <c r="G150" s="15">
        <v>26865.6258871805</v>
      </c>
      <c r="J150" s="15">
        <v>2006</v>
      </c>
      <c r="K150" s="15">
        <v>5</v>
      </c>
      <c r="L150" s="15">
        <v>27954.5722379279</v>
      </c>
      <c r="N150" s="15">
        <v>2006</v>
      </c>
      <c r="O150" s="15">
        <v>5</v>
      </c>
      <c r="P150" s="15">
        <v>28173.775023956699</v>
      </c>
    </row>
    <row r="151" spans="1:16" x14ac:dyDescent="0.25">
      <c r="A151" s="15">
        <v>2006</v>
      </c>
      <c r="B151" s="15">
        <v>6</v>
      </c>
      <c r="C151" s="15">
        <v>32388.943020688301</v>
      </c>
      <c r="E151" s="15">
        <v>2006</v>
      </c>
      <c r="F151" s="15">
        <v>6</v>
      </c>
      <c r="G151" s="15">
        <v>32380.322703137201</v>
      </c>
      <c r="J151" s="15">
        <v>2006</v>
      </c>
      <c r="K151" s="15">
        <v>6</v>
      </c>
      <c r="L151" s="15">
        <v>32181.011976678001</v>
      </c>
      <c r="N151" s="15">
        <v>2006</v>
      </c>
      <c r="O151" s="15">
        <v>6</v>
      </c>
      <c r="P151" s="15">
        <v>32264.9943868357</v>
      </c>
    </row>
    <row r="152" spans="1:16" x14ac:dyDescent="0.25">
      <c r="A152" s="15">
        <v>2006</v>
      </c>
      <c r="B152" s="15">
        <v>7</v>
      </c>
      <c r="C152" s="15">
        <v>36194.803440637697</v>
      </c>
      <c r="E152" s="15">
        <v>2006</v>
      </c>
      <c r="F152" s="15">
        <v>7</v>
      </c>
      <c r="G152" s="15">
        <v>36223.959117026898</v>
      </c>
      <c r="J152" s="15">
        <v>2006</v>
      </c>
      <c r="K152" s="15">
        <v>7</v>
      </c>
      <c r="L152" s="15">
        <v>35103.923329889098</v>
      </c>
      <c r="N152" s="15">
        <v>2006</v>
      </c>
      <c r="O152" s="15">
        <v>7</v>
      </c>
      <c r="P152" s="15">
        <v>35020.346376063797</v>
      </c>
    </row>
    <row r="153" spans="1:16" x14ac:dyDescent="0.25">
      <c r="A153" s="15">
        <v>2006</v>
      </c>
      <c r="B153" s="15">
        <v>8</v>
      </c>
      <c r="C153" s="15">
        <v>34718.250870474301</v>
      </c>
      <c r="E153" s="15">
        <v>2006</v>
      </c>
      <c r="F153" s="15">
        <v>8</v>
      </c>
      <c r="G153" s="15">
        <v>34695.967625760401</v>
      </c>
      <c r="J153" s="15">
        <v>2006</v>
      </c>
      <c r="K153" s="15">
        <v>8</v>
      </c>
      <c r="L153" s="15">
        <v>34104.526079235802</v>
      </c>
      <c r="N153" s="15">
        <v>2006</v>
      </c>
      <c r="O153" s="15">
        <v>8</v>
      </c>
      <c r="P153" s="15">
        <v>34243.111211917603</v>
      </c>
    </row>
    <row r="154" spans="1:16" x14ac:dyDescent="0.25">
      <c r="A154" s="15">
        <v>2006</v>
      </c>
      <c r="B154" s="15">
        <v>9</v>
      </c>
      <c r="C154" s="15">
        <v>38261.321137034502</v>
      </c>
      <c r="E154" s="15">
        <v>2006</v>
      </c>
      <c r="F154" s="15">
        <v>9</v>
      </c>
      <c r="G154" s="15">
        <v>38284.751578499403</v>
      </c>
      <c r="J154" s="15">
        <v>2006</v>
      </c>
      <c r="K154" s="15">
        <v>9</v>
      </c>
      <c r="L154" s="15">
        <v>37471.938909022603</v>
      </c>
      <c r="N154" s="15">
        <v>2006</v>
      </c>
      <c r="O154" s="15">
        <v>9</v>
      </c>
      <c r="P154" s="15">
        <v>37417.347786430997</v>
      </c>
    </row>
    <row r="155" spans="1:16" x14ac:dyDescent="0.25">
      <c r="A155" s="15">
        <v>2006</v>
      </c>
      <c r="B155" s="15">
        <v>10</v>
      </c>
      <c r="C155" s="15">
        <v>36570.360278154702</v>
      </c>
      <c r="E155" s="15">
        <v>2006</v>
      </c>
      <c r="F155" s="15">
        <v>10</v>
      </c>
      <c r="G155" s="15">
        <v>36574.240095508103</v>
      </c>
      <c r="J155" s="15">
        <v>2006</v>
      </c>
      <c r="K155" s="15">
        <v>10</v>
      </c>
      <c r="L155" s="15">
        <v>35506.861739764201</v>
      </c>
      <c r="N155" s="15">
        <v>2006</v>
      </c>
      <c r="O155" s="15">
        <v>10</v>
      </c>
      <c r="P155" s="15">
        <v>35498.493144889202</v>
      </c>
    </row>
    <row r="156" spans="1:16" x14ac:dyDescent="0.25">
      <c r="A156" s="15">
        <v>2006</v>
      </c>
      <c r="B156" s="15">
        <v>11</v>
      </c>
      <c r="C156" s="15">
        <v>38344.226321301299</v>
      </c>
      <c r="E156" s="15">
        <v>2006</v>
      </c>
      <c r="F156" s="15">
        <v>11</v>
      </c>
      <c r="G156" s="15">
        <v>38324.113065056299</v>
      </c>
      <c r="J156" s="15">
        <v>2006</v>
      </c>
      <c r="K156" s="15">
        <v>11</v>
      </c>
      <c r="L156" s="15">
        <v>39342.328581080903</v>
      </c>
      <c r="N156" s="15">
        <v>2006</v>
      </c>
      <c r="O156" s="15">
        <v>11</v>
      </c>
      <c r="P156" s="15">
        <v>39407.598641415803</v>
      </c>
    </row>
    <row r="157" spans="1:16" x14ac:dyDescent="0.25">
      <c r="A157" s="15">
        <v>2006</v>
      </c>
      <c r="B157" s="15">
        <v>12</v>
      </c>
      <c r="C157" s="15">
        <v>41812.181630939398</v>
      </c>
      <c r="E157" s="15">
        <v>2006</v>
      </c>
      <c r="F157" s="15">
        <v>12</v>
      </c>
      <c r="G157" s="15">
        <v>41846.341345948298</v>
      </c>
      <c r="J157" s="15">
        <v>2006</v>
      </c>
      <c r="K157" s="15">
        <v>12</v>
      </c>
      <c r="L157" s="15">
        <v>41638.651037627998</v>
      </c>
      <c r="N157" s="15">
        <v>2006</v>
      </c>
      <c r="O157" s="15">
        <v>12</v>
      </c>
      <c r="P157" s="15">
        <v>41485.322729848602</v>
      </c>
    </row>
    <row r="158" spans="1:16" x14ac:dyDescent="0.25">
      <c r="A158" s="15">
        <v>2007</v>
      </c>
      <c r="B158" s="15">
        <v>1</v>
      </c>
      <c r="C158" s="15">
        <v>29326.4717954552</v>
      </c>
      <c r="E158" s="15">
        <v>2007</v>
      </c>
      <c r="F158" s="15">
        <v>1</v>
      </c>
      <c r="G158" s="15">
        <v>29375.535903422799</v>
      </c>
      <c r="J158" s="15">
        <v>2007</v>
      </c>
      <c r="K158" s="15">
        <v>1</v>
      </c>
      <c r="L158" s="15">
        <v>28321.706315854801</v>
      </c>
      <c r="N158" s="15">
        <v>2007</v>
      </c>
      <c r="O158" s="15">
        <v>1</v>
      </c>
      <c r="P158" s="15">
        <v>27602.0048660639</v>
      </c>
    </row>
    <row r="159" spans="1:16" x14ac:dyDescent="0.25">
      <c r="A159" s="15">
        <v>2007</v>
      </c>
      <c r="B159" s="15">
        <v>2</v>
      </c>
      <c r="C159" s="15">
        <v>42073.591116292402</v>
      </c>
      <c r="E159" s="15">
        <v>2007</v>
      </c>
      <c r="F159" s="15">
        <v>2</v>
      </c>
      <c r="G159" s="15">
        <v>41976.0650451197</v>
      </c>
      <c r="J159" s="15">
        <v>2007</v>
      </c>
      <c r="K159" s="15">
        <v>2</v>
      </c>
      <c r="L159" s="15">
        <v>45613.074399642501</v>
      </c>
      <c r="N159" s="15">
        <v>2007</v>
      </c>
      <c r="O159" s="15">
        <v>2</v>
      </c>
      <c r="P159" s="15">
        <v>45931.861131327001</v>
      </c>
    </row>
    <row r="160" spans="1:16" x14ac:dyDescent="0.25">
      <c r="A160" s="15">
        <v>2007</v>
      </c>
      <c r="B160" s="15">
        <v>3</v>
      </c>
      <c r="C160" s="15">
        <v>42337.753203542503</v>
      </c>
      <c r="E160" s="15">
        <v>2007</v>
      </c>
      <c r="F160" s="15">
        <v>3</v>
      </c>
      <c r="G160" s="15">
        <v>42367.071397348504</v>
      </c>
      <c r="J160" s="15">
        <v>2007</v>
      </c>
      <c r="K160" s="15">
        <v>3</v>
      </c>
      <c r="L160" s="15">
        <v>42685.873125910097</v>
      </c>
      <c r="N160" s="15">
        <v>2007</v>
      </c>
      <c r="O160" s="15">
        <v>3</v>
      </c>
      <c r="P160" s="15">
        <v>42631.597508307197</v>
      </c>
    </row>
    <row r="161" spans="1:16" x14ac:dyDescent="0.25">
      <c r="A161" s="15">
        <v>2007</v>
      </c>
      <c r="B161" s="15">
        <v>4</v>
      </c>
      <c r="C161" s="15">
        <v>38999.973711328101</v>
      </c>
      <c r="E161" s="15">
        <v>2007</v>
      </c>
      <c r="F161" s="15">
        <v>4</v>
      </c>
      <c r="G161" s="15">
        <v>39029.998629380199</v>
      </c>
      <c r="J161" s="15">
        <v>2007</v>
      </c>
      <c r="K161" s="15">
        <v>4</v>
      </c>
      <c r="L161" s="15">
        <v>39227.011330313602</v>
      </c>
      <c r="N161" s="15">
        <v>2007</v>
      </c>
      <c r="O161" s="15">
        <v>4</v>
      </c>
      <c r="P161" s="15">
        <v>39195.440586154298</v>
      </c>
    </row>
    <row r="162" spans="1:16" x14ac:dyDescent="0.25">
      <c r="A162" s="15">
        <v>2007</v>
      </c>
      <c r="B162" s="15">
        <v>5</v>
      </c>
      <c r="C162" s="15">
        <v>39929.840457542399</v>
      </c>
      <c r="E162" s="15">
        <v>2007</v>
      </c>
      <c r="F162" s="15">
        <v>5</v>
      </c>
      <c r="G162" s="15">
        <v>39826.688717274803</v>
      </c>
      <c r="J162" s="15">
        <v>2007</v>
      </c>
      <c r="K162" s="15">
        <v>5</v>
      </c>
      <c r="L162" s="15">
        <v>40874.432866708798</v>
      </c>
      <c r="N162" s="15">
        <v>2007</v>
      </c>
      <c r="O162" s="15">
        <v>5</v>
      </c>
      <c r="P162" s="15">
        <v>41047.667450906403</v>
      </c>
    </row>
    <row r="163" spans="1:16" x14ac:dyDescent="0.25">
      <c r="A163" s="15">
        <v>2007</v>
      </c>
      <c r="B163" s="15">
        <v>6</v>
      </c>
      <c r="C163" s="15">
        <v>44992.769739675598</v>
      </c>
      <c r="E163" s="15">
        <v>2007</v>
      </c>
      <c r="F163" s="15">
        <v>6</v>
      </c>
      <c r="G163" s="15">
        <v>45031.121422365497</v>
      </c>
      <c r="J163" s="15">
        <v>2007</v>
      </c>
      <c r="K163" s="15">
        <v>6</v>
      </c>
      <c r="L163" s="15">
        <v>44772.804369779398</v>
      </c>
      <c r="N163" s="15">
        <v>2007</v>
      </c>
      <c r="O163" s="15">
        <v>6</v>
      </c>
      <c r="P163" s="15">
        <v>44624.454094578097</v>
      </c>
    </row>
    <row r="164" spans="1:16" x14ac:dyDescent="0.25">
      <c r="A164" s="15">
        <v>2007</v>
      </c>
      <c r="B164" s="15">
        <v>7</v>
      </c>
      <c r="C164" s="15">
        <v>40524.472805713398</v>
      </c>
      <c r="E164" s="15">
        <v>2007</v>
      </c>
      <c r="F164" s="15">
        <v>7</v>
      </c>
      <c r="G164" s="15">
        <v>40521.203728218097</v>
      </c>
      <c r="J164" s="15">
        <v>2007</v>
      </c>
      <c r="K164" s="15">
        <v>7</v>
      </c>
      <c r="L164" s="15">
        <v>38896.021380118596</v>
      </c>
      <c r="N164" s="15">
        <v>2007</v>
      </c>
      <c r="O164" s="15">
        <v>7</v>
      </c>
      <c r="P164" s="15">
        <v>38942.166045130398</v>
      </c>
    </row>
    <row r="165" spans="1:16" x14ac:dyDescent="0.25">
      <c r="A165" s="15">
        <v>2007</v>
      </c>
      <c r="B165" s="15">
        <v>8</v>
      </c>
      <c r="C165" s="15">
        <v>44588.048381958899</v>
      </c>
      <c r="E165" s="15">
        <v>2007</v>
      </c>
      <c r="F165" s="15">
        <v>8</v>
      </c>
      <c r="G165" s="15">
        <v>44556.137163499297</v>
      </c>
      <c r="J165" s="15">
        <v>2007</v>
      </c>
      <c r="K165" s="15">
        <v>8</v>
      </c>
      <c r="L165" s="15">
        <v>43806.700545420303</v>
      </c>
      <c r="N165" s="15">
        <v>2007</v>
      </c>
      <c r="O165" s="15">
        <v>8</v>
      </c>
      <c r="P165" s="15">
        <v>43943.3306922829</v>
      </c>
    </row>
    <row r="166" spans="1:16" x14ac:dyDescent="0.25">
      <c r="A166" s="15">
        <v>2007</v>
      </c>
      <c r="B166" s="15">
        <v>9</v>
      </c>
      <c r="C166" s="15">
        <v>43472.956761362402</v>
      </c>
      <c r="E166" s="15">
        <v>2007</v>
      </c>
      <c r="F166" s="15">
        <v>9</v>
      </c>
      <c r="G166" s="15">
        <v>43537.908624214702</v>
      </c>
      <c r="J166" s="15">
        <v>2007</v>
      </c>
      <c r="K166" s="15">
        <v>9</v>
      </c>
      <c r="L166" s="15">
        <v>42477.409225151903</v>
      </c>
      <c r="N166" s="15">
        <v>2007</v>
      </c>
      <c r="O166" s="15">
        <v>9</v>
      </c>
      <c r="P166" s="15">
        <v>42238.494214675302</v>
      </c>
    </row>
    <row r="167" spans="1:16" x14ac:dyDescent="0.25">
      <c r="A167" s="15">
        <v>2007</v>
      </c>
      <c r="B167" s="15">
        <v>10</v>
      </c>
      <c r="C167" s="15">
        <v>46453.617605388099</v>
      </c>
      <c r="E167" s="15">
        <v>2007</v>
      </c>
      <c r="F167" s="15">
        <v>10</v>
      </c>
      <c r="G167" s="15">
        <v>46409.127467104998</v>
      </c>
      <c r="J167" s="15">
        <v>2007</v>
      </c>
      <c r="K167" s="15">
        <v>10</v>
      </c>
      <c r="L167" s="15">
        <v>44855.578628438503</v>
      </c>
      <c r="N167" s="15">
        <v>2007</v>
      </c>
      <c r="O167" s="15">
        <v>10</v>
      </c>
      <c r="P167" s="15">
        <v>44960.489099177503</v>
      </c>
    </row>
    <row r="168" spans="1:16" x14ac:dyDescent="0.25">
      <c r="A168" s="15">
        <v>2007</v>
      </c>
      <c r="B168" s="15">
        <v>11</v>
      </c>
      <c r="C168" s="15">
        <v>47593.898592564998</v>
      </c>
      <c r="E168" s="15">
        <v>2007</v>
      </c>
      <c r="F168" s="15">
        <v>11</v>
      </c>
      <c r="G168" s="15">
        <v>47567.760755764597</v>
      </c>
      <c r="J168" s="15">
        <v>2007</v>
      </c>
      <c r="K168" s="15">
        <v>11</v>
      </c>
      <c r="L168" s="15">
        <v>49116.829525539601</v>
      </c>
      <c r="N168" s="15">
        <v>2007</v>
      </c>
      <c r="O168" s="15">
        <v>11</v>
      </c>
      <c r="P168" s="15">
        <v>49133.926643152197</v>
      </c>
    </row>
    <row r="169" spans="1:16" x14ac:dyDescent="0.25">
      <c r="A169" s="15">
        <v>2007</v>
      </c>
      <c r="B169" s="15">
        <v>12</v>
      </c>
      <c r="C169" s="15">
        <v>51001.470475535003</v>
      </c>
      <c r="E169" s="15">
        <v>2007</v>
      </c>
      <c r="F169" s="15">
        <v>12</v>
      </c>
      <c r="G169" s="15">
        <v>51038.690694791199</v>
      </c>
      <c r="J169" s="15">
        <v>2007</v>
      </c>
      <c r="K169" s="15">
        <v>12</v>
      </c>
      <c r="L169" s="15">
        <v>50622.2542445168</v>
      </c>
      <c r="N169" s="15">
        <v>2007</v>
      </c>
      <c r="O169" s="15">
        <v>12</v>
      </c>
      <c r="P169" s="15">
        <v>50391.873726159298</v>
      </c>
    </row>
    <row r="170" spans="1:16" x14ac:dyDescent="0.25">
      <c r="A170" s="15">
        <v>2008</v>
      </c>
      <c r="B170" s="15">
        <v>1</v>
      </c>
      <c r="C170" s="15">
        <v>53751.4366888882</v>
      </c>
      <c r="E170" s="15">
        <v>2008</v>
      </c>
      <c r="F170" s="15">
        <v>1</v>
      </c>
      <c r="G170" s="15">
        <v>53760.156623518698</v>
      </c>
      <c r="J170" s="15">
        <v>2008</v>
      </c>
      <c r="K170" s="15">
        <v>1</v>
      </c>
      <c r="L170" s="15">
        <v>53333.878381568997</v>
      </c>
      <c r="N170" s="15">
        <v>2008</v>
      </c>
      <c r="O170" s="15">
        <v>1</v>
      </c>
      <c r="P170" s="15">
        <v>52962.018889017003</v>
      </c>
    </row>
    <row r="171" spans="1:16" x14ac:dyDescent="0.25">
      <c r="A171" s="15">
        <v>2008</v>
      </c>
      <c r="B171" s="15">
        <v>2</v>
      </c>
      <c r="C171" s="15">
        <v>40162.345090217801</v>
      </c>
      <c r="E171" s="15">
        <v>2008</v>
      </c>
      <c r="F171" s="15">
        <v>2</v>
      </c>
      <c r="G171" s="15">
        <v>40224.951936190701</v>
      </c>
      <c r="J171" s="15">
        <v>2008</v>
      </c>
      <c r="K171" s="15">
        <v>2</v>
      </c>
      <c r="L171" s="15">
        <v>41847.266582286902</v>
      </c>
      <c r="N171" s="15">
        <v>2008</v>
      </c>
      <c r="O171" s="15">
        <v>2</v>
      </c>
      <c r="P171" s="15">
        <v>44071.380781770204</v>
      </c>
    </row>
    <row r="172" spans="1:16" x14ac:dyDescent="0.25">
      <c r="A172" s="15">
        <v>2008</v>
      </c>
      <c r="B172" s="15">
        <v>3</v>
      </c>
      <c r="C172" s="15">
        <v>47490.349122385698</v>
      </c>
      <c r="E172" s="15">
        <v>2008</v>
      </c>
      <c r="F172" s="15">
        <v>3</v>
      </c>
      <c r="G172" s="15">
        <v>47624.844911539098</v>
      </c>
      <c r="J172" s="15">
        <v>2008</v>
      </c>
      <c r="K172" s="15">
        <v>3</v>
      </c>
      <c r="L172" s="15">
        <v>48023.984279030003</v>
      </c>
      <c r="N172" s="15">
        <v>2008</v>
      </c>
      <c r="O172" s="15">
        <v>3</v>
      </c>
      <c r="P172" s="15">
        <v>47734.636381426797</v>
      </c>
    </row>
    <row r="173" spans="1:16" x14ac:dyDescent="0.25">
      <c r="A173" s="15">
        <v>2008</v>
      </c>
      <c r="B173" s="15">
        <v>4</v>
      </c>
      <c r="C173" s="15">
        <v>50194.464953857401</v>
      </c>
      <c r="E173" s="15">
        <v>2008</v>
      </c>
      <c r="F173" s="15">
        <v>4</v>
      </c>
      <c r="G173" s="15">
        <v>50176.389972135999</v>
      </c>
      <c r="J173" s="15">
        <v>2008</v>
      </c>
      <c r="K173" s="15">
        <v>4</v>
      </c>
      <c r="L173" s="15">
        <v>50295.804689062701</v>
      </c>
      <c r="N173" s="15">
        <v>2008</v>
      </c>
      <c r="O173" s="15">
        <v>4</v>
      </c>
      <c r="P173" s="15">
        <v>50337.499662414702</v>
      </c>
    </row>
    <row r="174" spans="1:16" x14ac:dyDescent="0.25">
      <c r="A174" s="15">
        <v>2008</v>
      </c>
      <c r="B174" s="15">
        <v>5</v>
      </c>
      <c r="C174" s="15">
        <v>49921.485696321797</v>
      </c>
      <c r="E174" s="15">
        <v>2008</v>
      </c>
      <c r="F174" s="15">
        <v>5</v>
      </c>
      <c r="G174" s="15">
        <v>49876.868554783803</v>
      </c>
      <c r="J174" s="15">
        <v>2008</v>
      </c>
      <c r="K174" s="15">
        <v>5</v>
      </c>
      <c r="L174" s="15">
        <v>50535.658375075604</v>
      </c>
      <c r="N174" s="15">
        <v>2008</v>
      </c>
      <c r="O174" s="15">
        <v>5</v>
      </c>
      <c r="P174" s="15">
        <v>50518.896564757</v>
      </c>
    </row>
    <row r="175" spans="1:16" x14ac:dyDescent="0.25">
      <c r="A175" s="15">
        <v>2008</v>
      </c>
      <c r="B175" s="15">
        <v>6</v>
      </c>
      <c r="C175" s="15">
        <v>46415.244733885404</v>
      </c>
      <c r="E175" s="15">
        <v>2008</v>
      </c>
      <c r="F175" s="15">
        <v>6</v>
      </c>
      <c r="G175" s="15">
        <v>46447.241659855201</v>
      </c>
      <c r="J175" s="15">
        <v>2008</v>
      </c>
      <c r="K175" s="15">
        <v>6</v>
      </c>
      <c r="L175" s="15">
        <v>46094.696187654503</v>
      </c>
      <c r="N175" s="15">
        <v>2008</v>
      </c>
      <c r="O175" s="15">
        <v>6</v>
      </c>
      <c r="P175" s="15">
        <v>45908.078613160098</v>
      </c>
    </row>
    <row r="176" spans="1:16" x14ac:dyDescent="0.25">
      <c r="A176" s="15">
        <v>2008</v>
      </c>
      <c r="B176" s="15">
        <v>7</v>
      </c>
      <c r="C176" s="15">
        <v>56600.627142378398</v>
      </c>
      <c r="E176" s="15">
        <v>2008</v>
      </c>
      <c r="F176" s="15">
        <v>7</v>
      </c>
      <c r="G176" s="15">
        <v>56552.274392001898</v>
      </c>
      <c r="J176" s="15">
        <v>2008</v>
      </c>
      <c r="K176" s="15">
        <v>7</v>
      </c>
      <c r="L176" s="15">
        <v>54773.786817104898</v>
      </c>
      <c r="N176" s="15">
        <v>2008</v>
      </c>
      <c r="O176" s="15">
        <v>7</v>
      </c>
      <c r="P176" s="15">
        <v>54933.133554268803</v>
      </c>
    </row>
    <row r="177" spans="1:16" x14ac:dyDescent="0.25">
      <c r="A177" s="15">
        <v>2008</v>
      </c>
      <c r="B177" s="15">
        <v>8</v>
      </c>
      <c r="C177" s="15">
        <v>50111.451945383298</v>
      </c>
      <c r="E177" s="15">
        <v>2008</v>
      </c>
      <c r="F177" s="15">
        <v>8</v>
      </c>
      <c r="G177" s="15">
        <v>50162.682813556297</v>
      </c>
      <c r="J177" s="15">
        <v>2008</v>
      </c>
      <c r="K177" s="15">
        <v>8</v>
      </c>
      <c r="L177" s="15">
        <v>49356.103056311404</v>
      </c>
      <c r="N177" s="15">
        <v>2008</v>
      </c>
      <c r="O177" s="15">
        <v>8</v>
      </c>
      <c r="P177" s="15">
        <v>49180.855534515802</v>
      </c>
    </row>
    <row r="178" spans="1:16" x14ac:dyDescent="0.25">
      <c r="A178" s="15">
        <v>2008</v>
      </c>
      <c r="B178" s="15">
        <v>9</v>
      </c>
      <c r="C178" s="15">
        <v>51359.656486287502</v>
      </c>
      <c r="E178" s="15">
        <v>2008</v>
      </c>
      <c r="F178" s="15">
        <v>9</v>
      </c>
      <c r="G178" s="15">
        <v>51332.405742292598</v>
      </c>
      <c r="J178" s="15">
        <v>2008</v>
      </c>
      <c r="K178" s="15">
        <v>9</v>
      </c>
      <c r="L178" s="15">
        <v>50113.7214172678</v>
      </c>
      <c r="N178" s="15">
        <v>2008</v>
      </c>
      <c r="O178" s="15">
        <v>9</v>
      </c>
      <c r="P178" s="15">
        <v>50187.490162764603</v>
      </c>
    </row>
    <row r="179" spans="1:16" x14ac:dyDescent="0.25">
      <c r="A179" s="15">
        <v>2008</v>
      </c>
      <c r="B179" s="15">
        <v>10</v>
      </c>
      <c r="C179" s="15">
        <v>48253.382225482703</v>
      </c>
      <c r="E179" s="15">
        <v>2008</v>
      </c>
      <c r="F179" s="15">
        <v>10</v>
      </c>
      <c r="G179" s="15">
        <v>48207.270958410401</v>
      </c>
      <c r="J179" s="15">
        <v>2008</v>
      </c>
      <c r="K179" s="15">
        <v>10</v>
      </c>
      <c r="L179" s="15">
        <v>46596.726937725398</v>
      </c>
      <c r="N179" s="15">
        <v>2008</v>
      </c>
      <c r="O179" s="15">
        <v>10</v>
      </c>
      <c r="P179" s="15">
        <v>46703.0902366054</v>
      </c>
    </row>
    <row r="180" spans="1:16" x14ac:dyDescent="0.25">
      <c r="A180" s="15">
        <v>2008</v>
      </c>
      <c r="B180" s="15">
        <v>11</v>
      </c>
      <c r="C180" s="15">
        <v>33739.682564130402</v>
      </c>
      <c r="E180" s="15">
        <v>2008</v>
      </c>
      <c r="F180" s="15">
        <v>11</v>
      </c>
      <c r="G180" s="15">
        <v>33803.5688659921</v>
      </c>
      <c r="J180" s="15">
        <v>2008</v>
      </c>
      <c r="K180" s="15">
        <v>11</v>
      </c>
      <c r="L180" s="15">
        <v>35404.346194921702</v>
      </c>
      <c r="N180" s="15">
        <v>2008</v>
      </c>
      <c r="O180" s="15">
        <v>11</v>
      </c>
      <c r="P180" s="15">
        <v>35109.152864732299</v>
      </c>
    </row>
    <row r="181" spans="1:16" x14ac:dyDescent="0.25">
      <c r="A181" s="15">
        <v>2008</v>
      </c>
      <c r="B181" s="15">
        <v>12</v>
      </c>
      <c r="C181" s="15">
        <v>27627.6698589191</v>
      </c>
      <c r="E181" s="15">
        <v>2008</v>
      </c>
      <c r="F181" s="15">
        <v>12</v>
      </c>
      <c r="G181" s="15">
        <v>27563.331265835099</v>
      </c>
      <c r="J181" s="15">
        <v>2008</v>
      </c>
      <c r="K181" s="15">
        <v>12</v>
      </c>
      <c r="L181" s="15">
        <v>27110.625024360499</v>
      </c>
      <c r="N181" s="15">
        <v>2008</v>
      </c>
      <c r="O181" s="15">
        <v>12</v>
      </c>
      <c r="P181" s="15">
        <v>27144.277454655199</v>
      </c>
    </row>
    <row r="182" spans="1:16" x14ac:dyDescent="0.25">
      <c r="A182" s="15">
        <v>2009</v>
      </c>
      <c r="B182" s="15">
        <v>1</v>
      </c>
      <c r="C182" s="15">
        <v>34824.522858094097</v>
      </c>
      <c r="E182" s="15">
        <v>2009</v>
      </c>
      <c r="F182" s="15">
        <v>1</v>
      </c>
      <c r="G182" s="15">
        <v>34834.993206720399</v>
      </c>
      <c r="J182" s="15">
        <v>2009</v>
      </c>
      <c r="K182" s="15">
        <v>1</v>
      </c>
      <c r="L182" s="15">
        <v>34918.748943783597</v>
      </c>
      <c r="N182" s="15">
        <v>2009</v>
      </c>
      <c r="O182" s="15">
        <v>1</v>
      </c>
      <c r="P182" s="15">
        <v>34624.750313098601</v>
      </c>
    </row>
    <row r="183" spans="1:16" x14ac:dyDescent="0.25">
      <c r="A183" s="15">
        <v>2009</v>
      </c>
      <c r="B183" s="15">
        <v>2</v>
      </c>
      <c r="C183" s="15">
        <v>23795.599453845</v>
      </c>
      <c r="E183" s="15">
        <v>2009</v>
      </c>
      <c r="F183" s="15">
        <v>2</v>
      </c>
      <c r="G183" s="15">
        <v>23665.023780545202</v>
      </c>
      <c r="J183" s="15">
        <v>2009</v>
      </c>
      <c r="K183" s="15">
        <v>2</v>
      </c>
      <c r="L183" s="15">
        <v>27987.8465564875</v>
      </c>
      <c r="N183" s="15">
        <v>2009</v>
      </c>
      <c r="O183" s="15">
        <v>2</v>
      </c>
      <c r="P183" s="15">
        <v>28349.323168193401</v>
      </c>
    </row>
    <row r="184" spans="1:16" x14ac:dyDescent="0.25">
      <c r="A184" s="15">
        <v>2009</v>
      </c>
      <c r="B184" s="15">
        <v>3</v>
      </c>
      <c r="C184" s="15">
        <v>37100.585596079698</v>
      </c>
      <c r="E184" s="15">
        <v>2009</v>
      </c>
      <c r="F184" s="15">
        <v>3</v>
      </c>
      <c r="G184" s="15">
        <v>37290.012461216902</v>
      </c>
      <c r="J184" s="15">
        <v>2009</v>
      </c>
      <c r="K184" s="15">
        <v>3</v>
      </c>
      <c r="L184" s="15">
        <v>37640.723810295698</v>
      </c>
      <c r="N184" s="15">
        <v>2009</v>
      </c>
      <c r="O184" s="15">
        <v>3</v>
      </c>
      <c r="P184" s="15">
        <v>37491.719866805302</v>
      </c>
    </row>
    <row r="185" spans="1:16" x14ac:dyDescent="0.25">
      <c r="A185" s="15">
        <v>2009</v>
      </c>
      <c r="B185" s="15">
        <v>4</v>
      </c>
      <c r="C185" s="15">
        <v>36556.218308200601</v>
      </c>
      <c r="E185" s="15">
        <v>2009</v>
      </c>
      <c r="F185" s="15">
        <v>4</v>
      </c>
      <c r="G185" s="15">
        <v>36532.988454078702</v>
      </c>
      <c r="J185" s="15">
        <v>2009</v>
      </c>
      <c r="K185" s="15">
        <v>4</v>
      </c>
      <c r="L185" s="15">
        <v>36635.926024722197</v>
      </c>
      <c r="N185" s="15">
        <v>2009</v>
      </c>
      <c r="O185" s="15">
        <v>4</v>
      </c>
      <c r="P185" s="15">
        <v>36631.147957198002</v>
      </c>
    </row>
    <row r="186" spans="1:16" x14ac:dyDescent="0.25">
      <c r="A186" s="15">
        <v>2009</v>
      </c>
      <c r="B186" s="15">
        <v>5</v>
      </c>
      <c r="C186" s="15">
        <v>40450.679690543897</v>
      </c>
      <c r="E186" s="15">
        <v>2009</v>
      </c>
      <c r="F186" s="15">
        <v>5</v>
      </c>
      <c r="G186" s="15">
        <v>40462.883754278097</v>
      </c>
      <c r="J186" s="15">
        <v>2009</v>
      </c>
      <c r="K186" s="15">
        <v>5</v>
      </c>
      <c r="L186" s="15">
        <v>40789.154535452901</v>
      </c>
      <c r="N186" s="15">
        <v>2009</v>
      </c>
      <c r="O186" s="15">
        <v>5</v>
      </c>
      <c r="P186" s="15">
        <v>40605.646331627198</v>
      </c>
    </row>
    <row r="187" spans="1:16" x14ac:dyDescent="0.25">
      <c r="A187" s="15">
        <v>2009</v>
      </c>
      <c r="B187" s="15">
        <v>6</v>
      </c>
      <c r="C187" s="15">
        <v>40327.213374771498</v>
      </c>
      <c r="E187" s="15">
        <v>2009</v>
      </c>
      <c r="F187" s="15">
        <v>6</v>
      </c>
      <c r="G187" s="15">
        <v>40300.270564460603</v>
      </c>
      <c r="J187" s="15">
        <v>2009</v>
      </c>
      <c r="K187" s="15">
        <v>6</v>
      </c>
      <c r="L187" s="15">
        <v>39998.628195320802</v>
      </c>
      <c r="N187" s="15">
        <v>2009</v>
      </c>
      <c r="O187" s="15">
        <v>6</v>
      </c>
      <c r="P187" s="15">
        <v>39954.271184270001</v>
      </c>
    </row>
    <row r="188" spans="1:16" x14ac:dyDescent="0.25">
      <c r="A188" s="15">
        <v>2009</v>
      </c>
      <c r="B188" s="15">
        <v>7</v>
      </c>
      <c r="C188" s="15">
        <v>44827.665991305003</v>
      </c>
      <c r="E188" s="15">
        <v>2009</v>
      </c>
      <c r="F188" s="15">
        <v>7</v>
      </c>
      <c r="G188" s="15">
        <v>44780.369046676897</v>
      </c>
      <c r="J188" s="15">
        <v>2009</v>
      </c>
      <c r="K188" s="15">
        <v>7</v>
      </c>
      <c r="L188" s="15">
        <v>43045.074093533898</v>
      </c>
      <c r="N188" s="15">
        <v>2009</v>
      </c>
      <c r="O188" s="15">
        <v>7</v>
      </c>
      <c r="P188" s="15">
        <v>43169.805667055902</v>
      </c>
    </row>
    <row r="189" spans="1:16" x14ac:dyDescent="0.25">
      <c r="A189" s="15">
        <v>2009</v>
      </c>
      <c r="B189" s="15">
        <v>8</v>
      </c>
      <c r="C189" s="15">
        <v>41552.923340579</v>
      </c>
      <c r="E189" s="15">
        <v>2009</v>
      </c>
      <c r="F189" s="15">
        <v>8</v>
      </c>
      <c r="G189" s="15">
        <v>41587.526986166202</v>
      </c>
      <c r="J189" s="15">
        <v>2009</v>
      </c>
      <c r="K189" s="15">
        <v>8</v>
      </c>
      <c r="L189" s="15">
        <v>40619.123361109901</v>
      </c>
      <c r="N189" s="15">
        <v>2009</v>
      </c>
      <c r="O189" s="15">
        <v>8</v>
      </c>
      <c r="P189" s="15">
        <v>40460.758641066401</v>
      </c>
    </row>
    <row r="190" spans="1:16" x14ac:dyDescent="0.25">
      <c r="A190" s="15">
        <v>2009</v>
      </c>
      <c r="B190" s="15">
        <v>9</v>
      </c>
      <c r="C190" s="15">
        <v>45627.081901617101</v>
      </c>
      <c r="E190" s="15">
        <v>2009</v>
      </c>
      <c r="F190" s="15">
        <v>9</v>
      </c>
      <c r="G190" s="15">
        <v>45602.1876422723</v>
      </c>
      <c r="J190" s="15">
        <v>2009</v>
      </c>
      <c r="K190" s="15">
        <v>9</v>
      </c>
      <c r="L190" s="15">
        <v>44446.2357216112</v>
      </c>
      <c r="N190" s="15">
        <v>2009</v>
      </c>
      <c r="O190" s="15">
        <v>9</v>
      </c>
      <c r="P190" s="15">
        <v>44519.452586649997</v>
      </c>
    </row>
    <row r="191" spans="1:16" x14ac:dyDescent="0.25">
      <c r="A191" s="15">
        <v>2009</v>
      </c>
      <c r="B191" s="15">
        <v>10</v>
      </c>
      <c r="C191" s="15">
        <v>50288.490071224602</v>
      </c>
      <c r="E191" s="15">
        <v>2009</v>
      </c>
      <c r="F191" s="15">
        <v>10</v>
      </c>
      <c r="G191" s="15">
        <v>50284.160418259198</v>
      </c>
      <c r="J191" s="15">
        <v>2009</v>
      </c>
      <c r="K191" s="15">
        <v>10</v>
      </c>
      <c r="L191" s="15">
        <v>48733.770456317601</v>
      </c>
      <c r="N191" s="15">
        <v>2009</v>
      </c>
      <c r="O191" s="15">
        <v>10</v>
      </c>
      <c r="P191" s="15">
        <v>48709.730940826899</v>
      </c>
    </row>
    <row r="192" spans="1:16" x14ac:dyDescent="0.25">
      <c r="A192" s="15">
        <v>2009</v>
      </c>
      <c r="B192" s="15">
        <v>11</v>
      </c>
      <c r="C192" s="15">
        <v>47877.431475003097</v>
      </c>
      <c r="E192" s="15">
        <v>2009</v>
      </c>
      <c r="F192" s="15">
        <v>11</v>
      </c>
      <c r="G192" s="15">
        <v>47891.649533010699</v>
      </c>
      <c r="J192" s="15">
        <v>2009</v>
      </c>
      <c r="K192" s="15">
        <v>11</v>
      </c>
      <c r="L192" s="15">
        <v>49428.800514124297</v>
      </c>
      <c r="N192" s="15">
        <v>2009</v>
      </c>
      <c r="O192" s="15">
        <v>11</v>
      </c>
      <c r="P192" s="15">
        <v>49336.648510100698</v>
      </c>
    </row>
    <row r="193" spans="1:16" x14ac:dyDescent="0.25">
      <c r="A193" s="15">
        <v>2009</v>
      </c>
      <c r="B193" s="15">
        <v>12</v>
      </c>
      <c r="C193" s="15">
        <v>54437.390453723398</v>
      </c>
      <c r="E193" s="15">
        <v>2009</v>
      </c>
      <c r="F193" s="15">
        <v>12</v>
      </c>
      <c r="G193" s="15">
        <v>54353.965225535598</v>
      </c>
      <c r="J193" s="15">
        <v>2009</v>
      </c>
      <c r="K193" s="15">
        <v>12</v>
      </c>
      <c r="L193" s="15">
        <v>53885.832287608398</v>
      </c>
      <c r="N193" s="15">
        <v>2009</v>
      </c>
      <c r="O193" s="15">
        <v>12</v>
      </c>
      <c r="P193" s="15">
        <v>53930.823151545497</v>
      </c>
    </row>
    <row r="194" spans="1:16" x14ac:dyDescent="0.25">
      <c r="A194" s="15">
        <v>2010</v>
      </c>
      <c r="B194" s="15">
        <v>1</v>
      </c>
      <c r="C194" s="15">
        <v>50154.870716915597</v>
      </c>
      <c r="E194" s="15">
        <v>2010</v>
      </c>
      <c r="F194" s="15">
        <v>1</v>
      </c>
      <c r="G194" s="15">
        <v>50192.581709771701</v>
      </c>
      <c r="J194" s="15">
        <v>2010</v>
      </c>
      <c r="K194" s="15">
        <v>1</v>
      </c>
      <c r="L194" s="15">
        <v>50520.797264517001</v>
      </c>
      <c r="N194" s="15">
        <v>2010</v>
      </c>
      <c r="O194" s="15">
        <v>1</v>
      </c>
      <c r="P194" s="15">
        <v>50282.6124869786</v>
      </c>
    </row>
    <row r="195" spans="1:16" x14ac:dyDescent="0.25">
      <c r="A195" s="15">
        <v>2010</v>
      </c>
      <c r="B195" s="15">
        <v>2</v>
      </c>
      <c r="C195" s="15">
        <v>48612.548902356597</v>
      </c>
      <c r="E195" s="15">
        <v>2010</v>
      </c>
      <c r="F195" s="15">
        <v>2</v>
      </c>
      <c r="G195" s="15">
        <v>48459.4397681392</v>
      </c>
      <c r="J195" s="15">
        <v>2010</v>
      </c>
      <c r="K195" s="15">
        <v>2</v>
      </c>
      <c r="L195" s="15">
        <v>52961.369222813002</v>
      </c>
      <c r="N195" s="15">
        <v>2010</v>
      </c>
      <c r="O195" s="15">
        <v>2</v>
      </c>
      <c r="P195" s="15">
        <v>52909.270475175297</v>
      </c>
    </row>
    <row r="196" spans="1:16" x14ac:dyDescent="0.25">
      <c r="A196" s="15">
        <v>2010</v>
      </c>
      <c r="B196" s="15">
        <v>3</v>
      </c>
      <c r="C196" s="15">
        <v>48936.9855833857</v>
      </c>
      <c r="E196" s="15">
        <v>2010</v>
      </c>
      <c r="F196" s="15">
        <v>3</v>
      </c>
      <c r="G196" s="15">
        <v>49174.017068220201</v>
      </c>
      <c r="J196" s="15">
        <v>2010</v>
      </c>
      <c r="K196" s="15">
        <v>3</v>
      </c>
      <c r="L196" s="15">
        <v>49307.520172857097</v>
      </c>
      <c r="N196" s="15">
        <v>2010</v>
      </c>
      <c r="O196" s="15">
        <v>3</v>
      </c>
      <c r="P196" s="15">
        <v>49391.2880906481</v>
      </c>
    </row>
    <row r="197" spans="1:16" x14ac:dyDescent="0.25">
      <c r="A197" s="15">
        <v>2010</v>
      </c>
      <c r="B197" s="15">
        <v>4</v>
      </c>
      <c r="C197" s="15">
        <v>55327.731214385502</v>
      </c>
      <c r="E197" s="15">
        <v>2010</v>
      </c>
      <c r="F197" s="15">
        <v>4</v>
      </c>
      <c r="G197" s="15">
        <v>55291.705533266802</v>
      </c>
      <c r="J197" s="15">
        <v>2010</v>
      </c>
      <c r="K197" s="15">
        <v>4</v>
      </c>
      <c r="L197" s="15">
        <v>55239.845565997799</v>
      </c>
      <c r="N197" s="15">
        <v>2010</v>
      </c>
      <c r="O197" s="15">
        <v>4</v>
      </c>
      <c r="P197" s="15">
        <v>55269.128363048403</v>
      </c>
    </row>
    <row r="198" spans="1:16" x14ac:dyDescent="0.25">
      <c r="A198" s="15">
        <v>2010</v>
      </c>
      <c r="B198" s="15">
        <v>5</v>
      </c>
      <c r="C198" s="15">
        <v>56537.738026824998</v>
      </c>
      <c r="E198" s="15">
        <v>2010</v>
      </c>
      <c r="F198" s="15">
        <v>5</v>
      </c>
      <c r="G198" s="15">
        <v>56564.080476889103</v>
      </c>
      <c r="J198" s="15">
        <v>2010</v>
      </c>
      <c r="K198" s="15">
        <v>5</v>
      </c>
      <c r="L198" s="15">
        <v>56431.023864785602</v>
      </c>
      <c r="N198" s="15">
        <v>2010</v>
      </c>
      <c r="O198" s="15">
        <v>5</v>
      </c>
      <c r="P198" s="15">
        <v>56265.325644495402</v>
      </c>
    </row>
    <row r="199" spans="1:16" x14ac:dyDescent="0.25">
      <c r="A199" s="15">
        <v>2010</v>
      </c>
      <c r="B199" s="15">
        <v>6</v>
      </c>
      <c r="C199" s="15">
        <v>59365.274800908403</v>
      </c>
      <c r="E199" s="15">
        <v>2010</v>
      </c>
      <c r="F199" s="15">
        <v>6</v>
      </c>
      <c r="G199" s="15">
        <v>59324.2261540525</v>
      </c>
      <c r="J199" s="15">
        <v>2010</v>
      </c>
      <c r="K199" s="15">
        <v>6</v>
      </c>
      <c r="L199" s="15">
        <v>59145.235256990098</v>
      </c>
      <c r="N199" s="15">
        <v>2010</v>
      </c>
      <c r="O199" s="15">
        <v>6</v>
      </c>
      <c r="P199" s="15">
        <v>59109.868504934697</v>
      </c>
    </row>
    <row r="200" spans="1:16" x14ac:dyDescent="0.25">
      <c r="A200" s="15">
        <v>2010</v>
      </c>
      <c r="B200" s="15">
        <v>7</v>
      </c>
      <c r="C200" s="15">
        <v>55753.844841200997</v>
      </c>
      <c r="E200" s="15">
        <v>2010</v>
      </c>
      <c r="F200" s="15">
        <v>7</v>
      </c>
      <c r="G200" s="15">
        <v>55752.199833798899</v>
      </c>
      <c r="J200" s="15">
        <v>2010</v>
      </c>
      <c r="K200" s="15">
        <v>7</v>
      </c>
      <c r="L200" s="15">
        <v>54461.661851700097</v>
      </c>
      <c r="N200" s="15">
        <v>2010</v>
      </c>
      <c r="O200" s="15">
        <v>7</v>
      </c>
      <c r="P200" s="15">
        <v>54419.256163511098</v>
      </c>
    </row>
    <row r="201" spans="1:16" x14ac:dyDescent="0.25">
      <c r="A201" s="15">
        <v>2010</v>
      </c>
      <c r="B201" s="15">
        <v>8</v>
      </c>
      <c r="C201" s="15">
        <v>63179.309232371801</v>
      </c>
      <c r="E201" s="15">
        <v>2010</v>
      </c>
      <c r="F201" s="15">
        <v>8</v>
      </c>
      <c r="G201" s="15">
        <v>63154.9809693844</v>
      </c>
      <c r="J201" s="15">
        <v>2010</v>
      </c>
      <c r="K201" s="15">
        <v>8</v>
      </c>
      <c r="L201" s="15">
        <v>62049.981024423701</v>
      </c>
      <c r="N201" s="15">
        <v>2010</v>
      </c>
      <c r="O201" s="15">
        <v>8</v>
      </c>
      <c r="P201" s="15">
        <v>62061.582890948601</v>
      </c>
    </row>
    <row r="202" spans="1:16" x14ac:dyDescent="0.25">
      <c r="A202" s="15">
        <v>2010</v>
      </c>
      <c r="B202" s="15">
        <v>9</v>
      </c>
      <c r="C202" s="15">
        <v>63347.031546307997</v>
      </c>
      <c r="E202" s="15">
        <v>2010</v>
      </c>
      <c r="F202" s="15">
        <v>9</v>
      </c>
      <c r="G202" s="15">
        <v>63321.143118431202</v>
      </c>
      <c r="J202" s="15">
        <v>2010</v>
      </c>
      <c r="K202" s="15">
        <v>9</v>
      </c>
      <c r="L202" s="15">
        <v>62444.320848281997</v>
      </c>
      <c r="N202" s="15">
        <v>2010</v>
      </c>
      <c r="O202" s="15">
        <v>9</v>
      </c>
      <c r="P202" s="15">
        <v>62534.131967857997</v>
      </c>
    </row>
    <row r="203" spans="1:16" x14ac:dyDescent="0.25">
      <c r="A203" s="15">
        <v>2010</v>
      </c>
      <c r="B203" s="15">
        <v>10</v>
      </c>
      <c r="C203" s="15">
        <v>59903.2049153431</v>
      </c>
      <c r="E203" s="15">
        <v>2010</v>
      </c>
      <c r="F203" s="15">
        <v>10</v>
      </c>
      <c r="G203" s="15">
        <v>59927.5144566811</v>
      </c>
      <c r="J203" s="15">
        <v>2010</v>
      </c>
      <c r="K203" s="15">
        <v>10</v>
      </c>
      <c r="L203" s="15">
        <v>58754.508448052104</v>
      </c>
      <c r="N203" s="15">
        <v>2010</v>
      </c>
      <c r="O203" s="15">
        <v>10</v>
      </c>
      <c r="P203" s="15">
        <v>58608.535434840996</v>
      </c>
    </row>
    <row r="204" spans="1:16" x14ac:dyDescent="0.25">
      <c r="A204" s="15">
        <v>2010</v>
      </c>
      <c r="B204" s="15">
        <v>11</v>
      </c>
      <c r="C204" s="15">
        <v>65684.830778542499</v>
      </c>
      <c r="E204" s="15">
        <v>2010</v>
      </c>
      <c r="F204" s="15">
        <v>11</v>
      </c>
      <c r="G204" s="15">
        <v>65655.556992996702</v>
      </c>
      <c r="J204" s="15">
        <v>2010</v>
      </c>
      <c r="K204" s="15">
        <v>11</v>
      </c>
      <c r="L204" s="15">
        <v>66623.035177437094</v>
      </c>
      <c r="N204" s="15">
        <v>2010</v>
      </c>
      <c r="O204" s="15">
        <v>11</v>
      </c>
      <c r="P204" s="15">
        <v>66728.770281328907</v>
      </c>
    </row>
    <row r="205" spans="1:16" x14ac:dyDescent="0.25">
      <c r="A205" s="15">
        <v>2010</v>
      </c>
      <c r="B205" s="15">
        <v>12</v>
      </c>
      <c r="C205" s="15">
        <v>68669.401711376006</v>
      </c>
      <c r="E205" s="15">
        <v>2010</v>
      </c>
      <c r="F205" s="15">
        <v>12</v>
      </c>
      <c r="G205" s="15">
        <v>68573.033231559006</v>
      </c>
      <c r="J205" s="15">
        <v>2010</v>
      </c>
      <c r="K205" s="15">
        <v>12</v>
      </c>
      <c r="L205" s="15">
        <v>68303.222148232497</v>
      </c>
      <c r="N205" s="15">
        <v>2010</v>
      </c>
      <c r="O205" s="15">
        <v>12</v>
      </c>
      <c r="P205" s="15">
        <v>68365.244326831598</v>
      </c>
    </row>
    <row r="206" spans="1:16" x14ac:dyDescent="0.25">
      <c r="A206" s="15">
        <v>2011</v>
      </c>
      <c r="B206" s="15">
        <v>1</v>
      </c>
      <c r="C206" s="15">
        <v>67144.977201539397</v>
      </c>
      <c r="E206" s="15">
        <v>2011</v>
      </c>
      <c r="F206" s="15">
        <v>1</v>
      </c>
      <c r="G206" s="15">
        <v>67179.759008446097</v>
      </c>
      <c r="J206" s="15">
        <v>2011</v>
      </c>
      <c r="K206" s="15">
        <v>1</v>
      </c>
      <c r="L206" s="15">
        <v>67644.898664756096</v>
      </c>
      <c r="N206" s="15">
        <v>2011</v>
      </c>
      <c r="O206" s="15">
        <v>1</v>
      </c>
      <c r="P206" s="15">
        <v>67531.259622922298</v>
      </c>
    </row>
    <row r="207" spans="1:16" x14ac:dyDescent="0.25">
      <c r="A207" s="15">
        <v>2011</v>
      </c>
      <c r="B207" s="15">
        <v>2</v>
      </c>
      <c r="C207" s="15">
        <v>49434.041656461297</v>
      </c>
      <c r="E207" s="15">
        <v>2011</v>
      </c>
      <c r="F207" s="15">
        <v>2</v>
      </c>
      <c r="G207" s="15">
        <v>49287.194584699602</v>
      </c>
      <c r="J207" s="15">
        <v>2011</v>
      </c>
      <c r="K207" s="15">
        <v>2</v>
      </c>
      <c r="L207" s="15">
        <v>53296.257859721503</v>
      </c>
      <c r="N207" s="15">
        <v>2011</v>
      </c>
      <c r="O207" s="15">
        <v>2</v>
      </c>
      <c r="P207" s="15">
        <v>52832.915936473197</v>
      </c>
    </row>
    <row r="208" spans="1:16" x14ac:dyDescent="0.25">
      <c r="A208" s="15">
        <v>2011</v>
      </c>
      <c r="B208" s="15">
        <v>3</v>
      </c>
      <c r="C208" s="15">
        <v>65531.960269806099</v>
      </c>
      <c r="E208" s="15">
        <v>2011</v>
      </c>
      <c r="F208" s="15">
        <v>3</v>
      </c>
      <c r="G208" s="15">
        <v>65806.506690303504</v>
      </c>
      <c r="J208" s="15">
        <v>2011</v>
      </c>
      <c r="K208" s="15">
        <v>3</v>
      </c>
      <c r="L208" s="15">
        <v>65772.425718219296</v>
      </c>
      <c r="N208" s="15">
        <v>2011</v>
      </c>
      <c r="O208" s="15">
        <v>3</v>
      </c>
      <c r="P208" s="15">
        <v>65933.607246133397</v>
      </c>
    </row>
    <row r="209" spans="1:16" x14ac:dyDescent="0.25">
      <c r="A209" s="15">
        <v>2011</v>
      </c>
      <c r="B209" s="15">
        <v>4</v>
      </c>
      <c r="C209" s="15">
        <v>71826.1014113571</v>
      </c>
      <c r="E209" s="15">
        <v>2011</v>
      </c>
      <c r="F209" s="15">
        <v>4</v>
      </c>
      <c r="G209" s="15">
        <v>71835.890193679501</v>
      </c>
      <c r="J209" s="15">
        <v>2011</v>
      </c>
      <c r="K209" s="15">
        <v>4</v>
      </c>
      <c r="L209" s="15">
        <v>71715.123156383197</v>
      </c>
      <c r="N209" s="15">
        <v>2011</v>
      </c>
      <c r="O209" s="15">
        <v>4</v>
      </c>
      <c r="P209" s="15">
        <v>71632.015853467296</v>
      </c>
    </row>
    <row r="210" spans="1:16" x14ac:dyDescent="0.25">
      <c r="A210" s="15">
        <v>2011</v>
      </c>
      <c r="B210" s="15">
        <v>5</v>
      </c>
      <c r="C210" s="15">
        <v>74713.089422365694</v>
      </c>
      <c r="E210" s="15">
        <v>2011</v>
      </c>
      <c r="F210" s="15">
        <v>5</v>
      </c>
      <c r="G210" s="15">
        <v>74699.546959691303</v>
      </c>
      <c r="J210" s="15">
        <v>2011</v>
      </c>
      <c r="K210" s="15">
        <v>5</v>
      </c>
      <c r="L210" s="15">
        <v>74440.443029666698</v>
      </c>
      <c r="N210" s="15">
        <v>2011</v>
      </c>
      <c r="O210" s="15">
        <v>5</v>
      </c>
      <c r="P210" s="15">
        <v>74445.725892592993</v>
      </c>
    </row>
    <row r="211" spans="1:16" x14ac:dyDescent="0.25">
      <c r="A211" s="15">
        <v>2011</v>
      </c>
      <c r="B211" s="15">
        <v>6</v>
      </c>
      <c r="C211" s="15">
        <v>74858.666566896994</v>
      </c>
      <c r="E211" s="15">
        <v>2011</v>
      </c>
      <c r="F211" s="15">
        <v>6</v>
      </c>
      <c r="G211" s="15">
        <v>74807.734861017103</v>
      </c>
      <c r="J211" s="15">
        <v>2011</v>
      </c>
      <c r="K211" s="15">
        <v>6</v>
      </c>
      <c r="L211" s="15">
        <v>74745.254638296901</v>
      </c>
      <c r="N211" s="15">
        <v>2011</v>
      </c>
      <c r="O211" s="15">
        <v>6</v>
      </c>
      <c r="P211" s="15">
        <v>74747.184597777697</v>
      </c>
    </row>
    <row r="212" spans="1:16" x14ac:dyDescent="0.25">
      <c r="A212" s="15">
        <v>2011</v>
      </c>
      <c r="B212" s="15">
        <v>7</v>
      </c>
      <c r="C212" s="15">
        <v>69746.427475425502</v>
      </c>
      <c r="E212" s="15">
        <v>2011</v>
      </c>
      <c r="F212" s="15">
        <v>7</v>
      </c>
      <c r="G212" s="15">
        <v>69791.629834121894</v>
      </c>
      <c r="J212" s="15">
        <v>2011</v>
      </c>
      <c r="K212" s="15">
        <v>7</v>
      </c>
      <c r="L212" s="15">
        <v>68963.675164146596</v>
      </c>
      <c r="N212" s="15">
        <v>2011</v>
      </c>
      <c r="O212" s="15">
        <v>7</v>
      </c>
      <c r="P212" s="15">
        <v>68770.528736111897</v>
      </c>
    </row>
    <row r="213" spans="1:16" x14ac:dyDescent="0.25">
      <c r="A213" s="15">
        <v>2011</v>
      </c>
      <c r="B213" s="15">
        <v>8</v>
      </c>
      <c r="C213" s="15">
        <v>74112.292074110897</v>
      </c>
      <c r="E213" s="15">
        <v>2011</v>
      </c>
      <c r="F213" s="15">
        <v>8</v>
      </c>
      <c r="G213" s="15">
        <v>74032.044550653198</v>
      </c>
      <c r="J213" s="15">
        <v>2011</v>
      </c>
      <c r="K213" s="15">
        <v>8</v>
      </c>
      <c r="L213" s="15">
        <v>72888.605044357901</v>
      </c>
      <c r="N213" s="15">
        <v>2011</v>
      </c>
      <c r="O213" s="15">
        <v>8</v>
      </c>
      <c r="P213" s="15">
        <v>73079.327094147404</v>
      </c>
    </row>
    <row r="214" spans="1:16" x14ac:dyDescent="0.25">
      <c r="A214" s="15">
        <v>2011</v>
      </c>
      <c r="B214" s="15">
        <v>9</v>
      </c>
      <c r="C214" s="15">
        <v>69615.8274896761</v>
      </c>
      <c r="E214" s="15">
        <v>2011</v>
      </c>
      <c r="F214" s="15">
        <v>9</v>
      </c>
      <c r="G214" s="15">
        <v>69581.210323958599</v>
      </c>
      <c r="J214" s="15">
        <v>2011</v>
      </c>
      <c r="K214" s="15">
        <v>9</v>
      </c>
      <c r="L214" s="15">
        <v>69004.214469444894</v>
      </c>
      <c r="N214" s="15">
        <v>2011</v>
      </c>
      <c r="O214" s="15">
        <v>9</v>
      </c>
      <c r="P214" s="15">
        <v>69120.942975371305</v>
      </c>
    </row>
    <row r="215" spans="1:16" x14ac:dyDescent="0.25">
      <c r="A215" s="15">
        <v>2011</v>
      </c>
      <c r="B215" s="15">
        <v>10</v>
      </c>
      <c r="C215" s="15">
        <v>65979.893216788798</v>
      </c>
      <c r="E215" s="15">
        <v>2011</v>
      </c>
      <c r="F215" s="15">
        <v>10</v>
      </c>
      <c r="G215" s="15">
        <v>65989.138260719104</v>
      </c>
      <c r="J215" s="15">
        <v>2011</v>
      </c>
      <c r="K215" s="15">
        <v>10</v>
      </c>
      <c r="L215" s="15">
        <v>65179.400300154397</v>
      </c>
      <c r="N215" s="15">
        <v>2011</v>
      </c>
      <c r="O215" s="15">
        <v>10</v>
      </c>
      <c r="P215" s="15">
        <v>65044.630373025502</v>
      </c>
    </row>
    <row r="216" spans="1:16" x14ac:dyDescent="0.25">
      <c r="A216" s="15">
        <v>2011</v>
      </c>
      <c r="B216" s="15">
        <v>11</v>
      </c>
      <c r="C216" s="15">
        <v>65158.341193282802</v>
      </c>
      <c r="E216" s="15">
        <v>2011</v>
      </c>
      <c r="F216" s="15">
        <v>11</v>
      </c>
      <c r="G216" s="15">
        <v>65128.209146912501</v>
      </c>
      <c r="J216" s="15">
        <v>2011</v>
      </c>
      <c r="K216" s="15">
        <v>11</v>
      </c>
      <c r="L216" s="15">
        <v>65560.404163024505</v>
      </c>
      <c r="N216" s="15">
        <v>2011</v>
      </c>
      <c r="O216" s="15">
        <v>11</v>
      </c>
      <c r="P216" s="15">
        <v>65697.619469973404</v>
      </c>
    </row>
    <row r="217" spans="1:16" x14ac:dyDescent="0.25">
      <c r="A217" s="15">
        <v>2011</v>
      </c>
      <c r="B217" s="15">
        <v>12</v>
      </c>
      <c r="C217" s="15">
        <v>57874.027041015099</v>
      </c>
      <c r="E217" s="15">
        <v>2011</v>
      </c>
      <c r="F217" s="15">
        <v>12</v>
      </c>
      <c r="G217" s="15">
        <v>57825.488185714399</v>
      </c>
      <c r="J217" s="15">
        <v>2011</v>
      </c>
      <c r="K217" s="15">
        <v>12</v>
      </c>
      <c r="L217" s="15">
        <v>57768.245500233599</v>
      </c>
      <c r="N217" s="15">
        <v>2011</v>
      </c>
      <c r="O217" s="15">
        <v>12</v>
      </c>
      <c r="P217" s="15">
        <v>57706.323746498398</v>
      </c>
    </row>
    <row r="218" spans="1:16" x14ac:dyDescent="0.25">
      <c r="A218" s="15">
        <v>2012</v>
      </c>
      <c r="B218" s="15">
        <v>1</v>
      </c>
      <c r="C218" s="15">
        <v>62465.106364500098</v>
      </c>
      <c r="E218" s="15">
        <v>2012</v>
      </c>
      <c r="F218" s="15">
        <v>1</v>
      </c>
      <c r="G218" s="15">
        <v>62466.344928972503</v>
      </c>
      <c r="J218" s="15">
        <v>2012</v>
      </c>
      <c r="K218" s="15">
        <v>1</v>
      </c>
      <c r="L218" s="15">
        <v>62846.572683402097</v>
      </c>
      <c r="N218" s="15">
        <v>2012</v>
      </c>
      <c r="O218" s="15">
        <v>1</v>
      </c>
      <c r="P218" s="15">
        <v>62922.782366110303</v>
      </c>
    </row>
    <row r="219" spans="1:16" x14ac:dyDescent="0.25">
      <c r="A219" s="15">
        <v>2012</v>
      </c>
      <c r="B219" s="15">
        <v>2</v>
      </c>
      <c r="C219" s="15">
        <v>61561.783348306599</v>
      </c>
      <c r="E219" s="15">
        <v>2012</v>
      </c>
      <c r="F219" s="15">
        <v>2</v>
      </c>
      <c r="G219" s="15">
        <v>61605.512641863199</v>
      </c>
      <c r="J219" s="15">
        <v>2012</v>
      </c>
      <c r="K219" s="15">
        <v>2</v>
      </c>
      <c r="L219" s="15">
        <v>62488.1090879287</v>
      </c>
      <c r="N219" s="15">
        <v>2012</v>
      </c>
      <c r="O219" s="15">
        <v>2</v>
      </c>
      <c r="P219" s="15">
        <v>63495.232270640197</v>
      </c>
    </row>
    <row r="220" spans="1:16" x14ac:dyDescent="0.25">
      <c r="A220" s="15">
        <v>2012</v>
      </c>
      <c r="B220" s="15">
        <v>3</v>
      </c>
      <c r="C220" s="15">
        <v>63202.032645588399</v>
      </c>
      <c r="E220" s="15">
        <v>2012</v>
      </c>
      <c r="F220" s="15">
        <v>3</v>
      </c>
      <c r="G220" s="15">
        <v>63517.3688478689</v>
      </c>
      <c r="J220" s="15">
        <v>2012</v>
      </c>
      <c r="K220" s="15">
        <v>3</v>
      </c>
      <c r="L220" s="15">
        <v>63402.129368123198</v>
      </c>
      <c r="N220" s="15">
        <v>2012</v>
      </c>
      <c r="O220" s="15">
        <v>3</v>
      </c>
      <c r="P220" s="15">
        <v>63472.828527973397</v>
      </c>
    </row>
    <row r="221" spans="1:16" x14ac:dyDescent="0.25">
      <c r="A221" s="15">
        <v>2012</v>
      </c>
      <c r="B221" s="15">
        <v>4</v>
      </c>
      <c r="C221" s="15">
        <v>54098.027812786502</v>
      </c>
      <c r="E221" s="15">
        <v>2012</v>
      </c>
      <c r="F221" s="15">
        <v>4</v>
      </c>
      <c r="G221" s="15">
        <v>54105.341594364101</v>
      </c>
      <c r="J221" s="15">
        <v>2012</v>
      </c>
      <c r="K221" s="15">
        <v>4</v>
      </c>
      <c r="L221" s="15">
        <v>53906.097868384102</v>
      </c>
      <c r="N221" s="15">
        <v>2012</v>
      </c>
      <c r="O221" s="15">
        <v>4</v>
      </c>
      <c r="P221" s="15">
        <v>53866.064793109297</v>
      </c>
    </row>
    <row r="222" spans="1:16" x14ac:dyDescent="0.25">
      <c r="A222" s="15">
        <v>2012</v>
      </c>
      <c r="B222" s="15">
        <v>5</v>
      </c>
      <c r="C222" s="15">
        <v>54159.874894143897</v>
      </c>
      <c r="E222" s="15">
        <v>2012</v>
      </c>
      <c r="F222" s="15">
        <v>5</v>
      </c>
      <c r="G222" s="15">
        <v>54099.993099396903</v>
      </c>
      <c r="J222" s="15">
        <v>2012</v>
      </c>
      <c r="K222" s="15">
        <v>5</v>
      </c>
      <c r="L222" s="15">
        <v>53746.012375536702</v>
      </c>
      <c r="N222" s="15">
        <v>2012</v>
      </c>
      <c r="O222" s="15">
        <v>5</v>
      </c>
      <c r="P222" s="15">
        <v>53927.156568947503</v>
      </c>
    </row>
    <row r="223" spans="1:16" x14ac:dyDescent="0.25">
      <c r="A223" s="15">
        <v>2012</v>
      </c>
      <c r="B223" s="15">
        <v>6</v>
      </c>
      <c r="C223" s="15">
        <v>48514.884504454698</v>
      </c>
      <c r="E223" s="15">
        <v>2012</v>
      </c>
      <c r="F223" s="15">
        <v>6</v>
      </c>
      <c r="G223" s="15">
        <v>48517.564101336298</v>
      </c>
      <c r="J223" s="15">
        <v>2012</v>
      </c>
      <c r="K223" s="15">
        <v>6</v>
      </c>
      <c r="L223" s="15">
        <v>48525.1882454429</v>
      </c>
      <c r="N223" s="15">
        <v>2012</v>
      </c>
      <c r="O223" s="15">
        <v>6</v>
      </c>
      <c r="P223" s="15">
        <v>48408.385673655997</v>
      </c>
    </row>
    <row r="224" spans="1:16" x14ac:dyDescent="0.25">
      <c r="A224" s="15">
        <v>2012</v>
      </c>
      <c r="B224" s="15">
        <v>7</v>
      </c>
      <c r="C224" s="15">
        <v>63677.1268996937</v>
      </c>
      <c r="E224" s="15">
        <v>2012</v>
      </c>
      <c r="F224" s="15">
        <v>7</v>
      </c>
      <c r="G224" s="15">
        <v>63668.695075406402</v>
      </c>
      <c r="J224" s="15">
        <v>2012</v>
      </c>
      <c r="K224" s="15">
        <v>7</v>
      </c>
      <c r="L224" s="15">
        <v>63231.1057216353</v>
      </c>
      <c r="N224" s="15">
        <v>2012</v>
      </c>
      <c r="O224" s="15">
        <v>7</v>
      </c>
      <c r="P224" s="15">
        <v>63214.380459044201</v>
      </c>
    </row>
    <row r="225" spans="1:16" x14ac:dyDescent="0.25">
      <c r="A225" s="15">
        <v>2012</v>
      </c>
      <c r="B225" s="15">
        <v>8</v>
      </c>
      <c r="C225" s="15">
        <v>70312.636229379306</v>
      </c>
      <c r="E225" s="15">
        <v>2012</v>
      </c>
      <c r="F225" s="15">
        <v>8</v>
      </c>
      <c r="G225" s="15">
        <v>70222.673873482403</v>
      </c>
      <c r="J225" s="15">
        <v>2012</v>
      </c>
      <c r="K225" s="15">
        <v>8</v>
      </c>
      <c r="L225" s="15">
        <v>69267.204863395003</v>
      </c>
      <c r="N225" s="15">
        <v>2012</v>
      </c>
      <c r="O225" s="15">
        <v>8</v>
      </c>
      <c r="P225" s="15">
        <v>69481.096230020295</v>
      </c>
    </row>
    <row r="226" spans="1:16" x14ac:dyDescent="0.25">
      <c r="A226" s="15">
        <v>2012</v>
      </c>
      <c r="B226" s="15">
        <v>9</v>
      </c>
      <c r="C226" s="15">
        <v>61166.300247806503</v>
      </c>
      <c r="E226" s="15">
        <v>2012</v>
      </c>
      <c r="F226" s="15">
        <v>9</v>
      </c>
      <c r="G226" s="15">
        <v>61210.263965028098</v>
      </c>
      <c r="J226" s="15">
        <v>2012</v>
      </c>
      <c r="K226" s="15">
        <v>9</v>
      </c>
      <c r="L226" s="15">
        <v>60965.062763136499</v>
      </c>
      <c r="N226" s="15">
        <v>2012</v>
      </c>
      <c r="O226" s="15">
        <v>9</v>
      </c>
      <c r="P226" s="15">
        <v>60785.094629903797</v>
      </c>
    </row>
    <row r="227" spans="1:16" x14ac:dyDescent="0.25">
      <c r="A227" s="15">
        <v>2012</v>
      </c>
      <c r="B227" s="15">
        <v>10</v>
      </c>
      <c r="C227" s="15">
        <v>68417.066756233005</v>
      </c>
      <c r="E227" s="15">
        <v>2012</v>
      </c>
      <c r="F227" s="15">
        <v>10</v>
      </c>
      <c r="G227" s="15">
        <v>68322.163022881999</v>
      </c>
      <c r="J227" s="15">
        <v>2012</v>
      </c>
      <c r="K227" s="15">
        <v>10</v>
      </c>
      <c r="L227" s="15">
        <v>67791.0688498909</v>
      </c>
      <c r="N227" s="15">
        <v>2012</v>
      </c>
      <c r="O227" s="15">
        <v>10</v>
      </c>
      <c r="P227" s="15">
        <v>67971.169848769496</v>
      </c>
    </row>
    <row r="228" spans="1:16" x14ac:dyDescent="0.25">
      <c r="A228" s="15">
        <v>2012</v>
      </c>
      <c r="B228" s="15">
        <v>11</v>
      </c>
      <c r="C228" s="15">
        <v>68931.669407179303</v>
      </c>
      <c r="E228" s="15">
        <v>2012</v>
      </c>
      <c r="F228" s="15">
        <v>11</v>
      </c>
      <c r="G228" s="15">
        <v>68904.211866023703</v>
      </c>
      <c r="J228" s="15">
        <v>2012</v>
      </c>
      <c r="K228" s="15">
        <v>11</v>
      </c>
      <c r="L228" s="15">
        <v>68813.7047231623</v>
      </c>
      <c r="N228" s="15">
        <v>2012</v>
      </c>
      <c r="O228" s="15">
        <v>11</v>
      </c>
      <c r="P228" s="15">
        <v>68970.031675462102</v>
      </c>
    </row>
    <row r="229" spans="1:16" x14ac:dyDescent="0.25">
      <c r="A229" s="15">
        <v>2012</v>
      </c>
      <c r="B229" s="15">
        <v>12</v>
      </c>
      <c r="C229" s="15">
        <v>69497.939174032595</v>
      </c>
      <c r="E229" s="15">
        <v>2012</v>
      </c>
      <c r="F229" s="15">
        <v>12</v>
      </c>
      <c r="G229" s="15">
        <v>69510.114451431495</v>
      </c>
      <c r="J229" s="15">
        <v>2012</v>
      </c>
      <c r="K229" s="15">
        <v>12</v>
      </c>
      <c r="L229" s="15">
        <v>69719.209202911399</v>
      </c>
      <c r="N229" s="15">
        <v>2012</v>
      </c>
      <c r="O229" s="15">
        <v>12</v>
      </c>
      <c r="P229" s="15">
        <v>69493.819927013697</v>
      </c>
    </row>
    <row r="230" spans="1:16" x14ac:dyDescent="0.25">
      <c r="A230" s="15">
        <v>2013</v>
      </c>
      <c r="B230" s="15">
        <v>1</v>
      </c>
      <c r="C230" s="15">
        <v>64067.463536063602</v>
      </c>
      <c r="E230" s="15">
        <v>2013</v>
      </c>
      <c r="F230" s="15">
        <v>1</v>
      </c>
      <c r="G230" s="15">
        <v>64047.950334337802</v>
      </c>
      <c r="J230" s="15">
        <v>2013</v>
      </c>
      <c r="K230" s="15">
        <v>1</v>
      </c>
      <c r="L230" s="15">
        <v>64239.649956158399</v>
      </c>
      <c r="N230" s="15">
        <v>2013</v>
      </c>
      <c r="O230" s="15">
        <v>1</v>
      </c>
      <c r="P230" s="15">
        <v>64453.912167402603</v>
      </c>
    </row>
    <row r="231" spans="1:16" x14ac:dyDescent="0.25">
      <c r="A231" s="15">
        <v>2013</v>
      </c>
      <c r="B231" s="15">
        <v>2</v>
      </c>
      <c r="C231" s="15">
        <v>57396.204544940199</v>
      </c>
      <c r="E231" s="15">
        <v>2013</v>
      </c>
      <c r="F231" s="15">
        <v>2</v>
      </c>
      <c r="G231" s="15">
        <v>57309.574358094702</v>
      </c>
      <c r="J231" s="15">
        <v>2013</v>
      </c>
      <c r="K231" s="15">
        <v>2</v>
      </c>
      <c r="L231" s="15">
        <v>59997.120972840799</v>
      </c>
      <c r="N231" s="15">
        <v>2013</v>
      </c>
      <c r="O231" s="15">
        <v>2</v>
      </c>
      <c r="P231" s="15">
        <v>59078.076191800603</v>
      </c>
    </row>
    <row r="232" spans="1:16" x14ac:dyDescent="0.25">
      <c r="A232" s="15">
        <v>2013</v>
      </c>
      <c r="B232" s="15">
        <v>3</v>
      </c>
      <c r="C232" s="15">
        <v>73474.115730708698</v>
      </c>
      <c r="E232" s="15">
        <v>2013</v>
      </c>
      <c r="F232" s="15">
        <v>3</v>
      </c>
      <c r="G232" s="15">
        <v>73774.057147040396</v>
      </c>
      <c r="J232" s="15">
        <v>2013</v>
      </c>
      <c r="K232" s="15">
        <v>3</v>
      </c>
      <c r="L232" s="15">
        <v>73664.970293375707</v>
      </c>
      <c r="N232" s="15">
        <v>2013</v>
      </c>
      <c r="O232" s="15">
        <v>3</v>
      </c>
      <c r="P232" s="15">
        <v>73596.809005220901</v>
      </c>
    </row>
    <row r="233" spans="1:16" x14ac:dyDescent="0.25">
      <c r="A233" s="15">
        <v>2013</v>
      </c>
      <c r="B233" s="15">
        <v>4</v>
      </c>
      <c r="C233" s="15">
        <v>71661.400302461596</v>
      </c>
      <c r="E233" s="15">
        <v>2013</v>
      </c>
      <c r="F233" s="15">
        <v>4</v>
      </c>
      <c r="G233" s="15">
        <v>71629.203810020103</v>
      </c>
      <c r="J233" s="15">
        <v>2013</v>
      </c>
      <c r="K233" s="15">
        <v>4</v>
      </c>
      <c r="L233" s="15">
        <v>71465.607575307295</v>
      </c>
      <c r="N233" s="15">
        <v>2013</v>
      </c>
      <c r="O233" s="15">
        <v>4</v>
      </c>
      <c r="P233" s="15">
        <v>71597.211819174394</v>
      </c>
    </row>
    <row r="234" spans="1:16" x14ac:dyDescent="0.25">
      <c r="A234" s="15">
        <v>2013</v>
      </c>
      <c r="B234" s="15">
        <v>5</v>
      </c>
      <c r="C234" s="15">
        <v>73862.912129240707</v>
      </c>
      <c r="E234" s="15">
        <v>2013</v>
      </c>
      <c r="F234" s="15">
        <v>5</v>
      </c>
      <c r="G234" s="15">
        <v>73807.453097535094</v>
      </c>
      <c r="J234" s="15">
        <v>2013</v>
      </c>
      <c r="K234" s="15">
        <v>5</v>
      </c>
      <c r="L234" s="15">
        <v>73548.891950106801</v>
      </c>
      <c r="N234" s="15">
        <v>2013</v>
      </c>
      <c r="O234" s="15">
        <v>5</v>
      </c>
      <c r="P234" s="15">
        <v>73738.6734418126</v>
      </c>
    </row>
    <row r="235" spans="1:16" x14ac:dyDescent="0.25">
      <c r="A235" s="15">
        <v>2013</v>
      </c>
      <c r="B235" s="15">
        <v>6</v>
      </c>
      <c r="C235" s="15">
        <v>59551.797409845698</v>
      </c>
      <c r="E235" s="15">
        <v>2013</v>
      </c>
      <c r="F235" s="15">
        <v>6</v>
      </c>
      <c r="G235" s="15">
        <v>59615.348801448898</v>
      </c>
      <c r="J235" s="15">
        <v>2013</v>
      </c>
      <c r="K235" s="15">
        <v>6</v>
      </c>
      <c r="L235" s="15">
        <v>59755.112327353898</v>
      </c>
      <c r="N235" s="15">
        <v>2013</v>
      </c>
      <c r="O235" s="15">
        <v>6</v>
      </c>
      <c r="P235" s="15">
        <v>59511.339154117202</v>
      </c>
    </row>
    <row r="236" spans="1:16" x14ac:dyDescent="0.25">
      <c r="A236" s="15">
        <v>2013</v>
      </c>
      <c r="B236" s="15">
        <v>7</v>
      </c>
      <c r="C236" s="15">
        <v>68147.963631011793</v>
      </c>
      <c r="E236" s="15">
        <v>2013</v>
      </c>
      <c r="F236" s="15">
        <v>7</v>
      </c>
      <c r="G236" s="15">
        <v>68088.348598767203</v>
      </c>
      <c r="J236" s="15">
        <v>2013</v>
      </c>
      <c r="K236" s="15">
        <v>7</v>
      </c>
      <c r="L236" s="15">
        <v>67782.007515210702</v>
      </c>
      <c r="N236" s="15">
        <v>2013</v>
      </c>
      <c r="O236" s="15">
        <v>7</v>
      </c>
      <c r="P236" s="15">
        <v>67943.560019527504</v>
      </c>
    </row>
    <row r="237" spans="1:16" x14ac:dyDescent="0.25">
      <c r="A237" s="15">
        <v>2013</v>
      </c>
      <c r="B237" s="15">
        <v>8</v>
      </c>
      <c r="C237" s="15">
        <v>62417.942002648699</v>
      </c>
      <c r="E237" s="15">
        <v>2013</v>
      </c>
      <c r="F237" s="15">
        <v>8</v>
      </c>
      <c r="G237" s="15">
        <v>62365.693548705101</v>
      </c>
      <c r="J237" s="15">
        <v>2013</v>
      </c>
      <c r="K237" s="15">
        <v>8</v>
      </c>
      <c r="L237" s="15">
        <v>61670.062437012202</v>
      </c>
      <c r="N237" s="15">
        <v>2013</v>
      </c>
      <c r="O237" s="15">
        <v>8</v>
      </c>
      <c r="P237" s="15">
        <v>61761.672553979603</v>
      </c>
    </row>
    <row r="238" spans="1:16" x14ac:dyDescent="0.25">
      <c r="A238" s="15">
        <v>2013</v>
      </c>
      <c r="B238" s="15">
        <v>9</v>
      </c>
      <c r="C238" s="15">
        <v>62948.786321888801</v>
      </c>
      <c r="E238" s="15">
        <v>2013</v>
      </c>
      <c r="F238" s="15">
        <v>9</v>
      </c>
      <c r="G238" s="15">
        <v>62936.515396547598</v>
      </c>
      <c r="J238" s="15">
        <v>2013</v>
      </c>
      <c r="K238" s="15">
        <v>9</v>
      </c>
      <c r="L238" s="15">
        <v>62772.140045365399</v>
      </c>
      <c r="N238" s="15">
        <v>2013</v>
      </c>
      <c r="O238" s="15">
        <v>9</v>
      </c>
      <c r="P238" s="15">
        <v>62779.060174420403</v>
      </c>
    </row>
    <row r="239" spans="1:16" x14ac:dyDescent="0.25">
      <c r="A239" s="15">
        <v>2013</v>
      </c>
      <c r="B239" s="15">
        <v>10</v>
      </c>
      <c r="C239" s="15">
        <v>64328.545585956199</v>
      </c>
      <c r="E239" s="15">
        <v>2013</v>
      </c>
      <c r="F239" s="15">
        <v>10</v>
      </c>
      <c r="G239" s="15">
        <v>64182.6910986355</v>
      </c>
      <c r="J239" s="15">
        <v>2013</v>
      </c>
      <c r="K239" s="15">
        <v>10</v>
      </c>
      <c r="L239" s="15">
        <v>63756.220169624299</v>
      </c>
      <c r="N239" s="15">
        <v>2013</v>
      </c>
      <c r="O239" s="15">
        <v>10</v>
      </c>
      <c r="P239" s="15">
        <v>63867.727750554302</v>
      </c>
    </row>
    <row r="240" spans="1:16" x14ac:dyDescent="0.25">
      <c r="A240" s="15">
        <v>2013</v>
      </c>
      <c r="B240" s="15">
        <v>11</v>
      </c>
      <c r="C240" s="15">
        <v>54522.752419599499</v>
      </c>
      <c r="E240" s="15">
        <v>2013</v>
      </c>
      <c r="F240" s="15">
        <v>11</v>
      </c>
      <c r="G240" s="15">
        <v>54520.327962407697</v>
      </c>
      <c r="J240" s="15">
        <v>2013</v>
      </c>
      <c r="K240" s="15">
        <v>11</v>
      </c>
      <c r="L240" s="15">
        <v>54427.858271242701</v>
      </c>
      <c r="N240" s="15">
        <v>2013</v>
      </c>
      <c r="O240" s="15">
        <v>11</v>
      </c>
      <c r="P240" s="15">
        <v>54464.443544203103</v>
      </c>
    </row>
    <row r="241" spans="1:16" x14ac:dyDescent="0.25">
      <c r="A241" s="15">
        <v>2013</v>
      </c>
      <c r="B241" s="15">
        <v>12</v>
      </c>
      <c r="C241" s="15">
        <v>52534.3369946315</v>
      </c>
      <c r="E241" s="15">
        <v>2013</v>
      </c>
      <c r="F241" s="15">
        <v>12</v>
      </c>
      <c r="G241" s="15">
        <v>52506.5426433018</v>
      </c>
      <c r="J241" s="15">
        <v>2013</v>
      </c>
      <c r="K241" s="15">
        <v>12</v>
      </c>
      <c r="L241" s="15">
        <v>52570.421733142997</v>
      </c>
      <c r="N241" s="15">
        <v>2013</v>
      </c>
      <c r="O241" s="15">
        <v>12</v>
      </c>
      <c r="P241" s="15">
        <v>52548.043735104598</v>
      </c>
    </row>
    <row r="242" spans="1:16" x14ac:dyDescent="0.25">
      <c r="A242" s="15">
        <v>2014</v>
      </c>
      <c r="B242" s="15">
        <v>1</v>
      </c>
      <c r="C242" s="15">
        <v>56045.331503035501</v>
      </c>
      <c r="E242" s="15">
        <v>2014</v>
      </c>
      <c r="F242" s="15">
        <v>1</v>
      </c>
      <c r="G242" s="15">
        <v>56198.3962175618</v>
      </c>
      <c r="J242" s="15">
        <v>2014</v>
      </c>
      <c r="K242" s="15">
        <v>1</v>
      </c>
      <c r="L242" s="15">
        <v>56237.2703757372</v>
      </c>
      <c r="N242" s="15">
        <v>2014</v>
      </c>
      <c r="O242" s="15">
        <v>1</v>
      </c>
      <c r="P242" s="15">
        <v>56380.307866138697</v>
      </c>
    </row>
    <row r="243" spans="1:16" x14ac:dyDescent="0.25">
      <c r="A243" s="15">
        <v>2014</v>
      </c>
      <c r="B243" s="15">
        <v>2</v>
      </c>
      <c r="C243" s="15">
        <v>55782.732960646201</v>
      </c>
      <c r="E243" s="15">
        <v>2014</v>
      </c>
      <c r="F243" s="15">
        <v>2</v>
      </c>
      <c r="G243" s="15">
        <v>55712.749372261198</v>
      </c>
      <c r="J243" s="15">
        <v>2014</v>
      </c>
      <c r="K243" s="15">
        <v>2</v>
      </c>
      <c r="L243" s="15">
        <v>58106.433458190601</v>
      </c>
      <c r="N243" s="15">
        <v>2014</v>
      </c>
      <c r="O243" s="15">
        <v>2</v>
      </c>
      <c r="P243" s="15">
        <v>57085.863347912498</v>
      </c>
    </row>
    <row r="244" spans="1:16" x14ac:dyDescent="0.25">
      <c r="A244" s="15">
        <v>2014</v>
      </c>
      <c r="B244" s="15">
        <v>3</v>
      </c>
      <c r="C244" s="15">
        <v>52609.413604202797</v>
      </c>
      <c r="E244" s="15">
        <v>2014</v>
      </c>
      <c r="F244" s="15">
        <v>3</v>
      </c>
      <c r="G244" s="15">
        <v>52794.5638934983</v>
      </c>
      <c r="J244" s="15">
        <v>2014</v>
      </c>
      <c r="K244" s="15">
        <v>3</v>
      </c>
      <c r="L244" s="15">
        <v>52617.768992227699</v>
      </c>
      <c r="N244" s="15">
        <v>2014</v>
      </c>
      <c r="O244" s="15">
        <v>3</v>
      </c>
      <c r="P244" s="15">
        <v>52577.826385245797</v>
      </c>
    </row>
    <row r="245" spans="1:16" x14ac:dyDescent="0.25">
      <c r="A245" s="15">
        <v>2014</v>
      </c>
      <c r="B245" s="15">
        <v>4</v>
      </c>
      <c r="C245" s="15">
        <v>55022.313284593998</v>
      </c>
      <c r="E245" s="15">
        <v>2014</v>
      </c>
      <c r="F245" s="15">
        <v>4</v>
      </c>
      <c r="G245" s="15">
        <v>54984.110965527798</v>
      </c>
      <c r="J245" s="15">
        <v>2014</v>
      </c>
      <c r="K245" s="15">
        <v>4</v>
      </c>
      <c r="L245" s="15">
        <v>54812.0254478637</v>
      </c>
      <c r="N245" s="15">
        <v>2014</v>
      </c>
      <c r="O245" s="15">
        <v>4</v>
      </c>
      <c r="P245" s="15">
        <v>54964.756751926499</v>
      </c>
    </row>
    <row r="246" spans="1:16" x14ac:dyDescent="0.25">
      <c r="A246" s="15">
        <v>2014</v>
      </c>
      <c r="B246" s="15">
        <v>5</v>
      </c>
      <c r="C246" s="15">
        <v>47331.3939808746</v>
      </c>
      <c r="E246" s="15">
        <v>2014</v>
      </c>
      <c r="F246" s="15">
        <v>5</v>
      </c>
      <c r="G246" s="15">
        <v>47319.9960031222</v>
      </c>
      <c r="J246" s="15">
        <v>2014</v>
      </c>
      <c r="K246" s="15">
        <v>5</v>
      </c>
      <c r="L246" s="15">
        <v>47154.585931862603</v>
      </c>
      <c r="N246" s="15">
        <v>2014</v>
      </c>
      <c r="O246" s="15">
        <v>5</v>
      </c>
      <c r="P246" s="15">
        <v>47198.778559088001</v>
      </c>
    </row>
    <row r="247" spans="1:16" x14ac:dyDescent="0.25">
      <c r="A247" s="15">
        <v>2014</v>
      </c>
      <c r="B247" s="15">
        <v>6</v>
      </c>
      <c r="C247" s="15">
        <v>45911.380156140702</v>
      </c>
      <c r="E247" s="15">
        <v>2014</v>
      </c>
      <c r="F247" s="15">
        <v>6</v>
      </c>
      <c r="G247" s="15">
        <v>45953.301124826699</v>
      </c>
      <c r="J247" s="15">
        <v>2014</v>
      </c>
      <c r="K247" s="15">
        <v>6</v>
      </c>
      <c r="L247" s="15">
        <v>46060.854409492698</v>
      </c>
      <c r="N247" s="15">
        <v>2014</v>
      </c>
      <c r="O247" s="15">
        <v>6</v>
      </c>
      <c r="P247" s="15">
        <v>45983.364885979703</v>
      </c>
    </row>
    <row r="248" spans="1:16" x14ac:dyDescent="0.25">
      <c r="A248" s="15">
        <v>2014</v>
      </c>
      <c r="B248" s="15">
        <v>7</v>
      </c>
      <c r="C248" s="15">
        <v>45963.953747653897</v>
      </c>
      <c r="E248" s="15">
        <v>2014</v>
      </c>
      <c r="F248" s="15">
        <v>7</v>
      </c>
      <c r="G248" s="15">
        <v>45891.096545802102</v>
      </c>
      <c r="J248" s="15">
        <v>2014</v>
      </c>
      <c r="K248" s="15">
        <v>7</v>
      </c>
      <c r="L248" s="15">
        <v>45686.647470343698</v>
      </c>
      <c r="N248" s="15">
        <v>2014</v>
      </c>
      <c r="O248" s="15">
        <v>7</v>
      </c>
      <c r="P248" s="15">
        <v>45881.497211305199</v>
      </c>
    </row>
    <row r="249" spans="1:16" x14ac:dyDescent="0.25">
      <c r="A249" s="15">
        <v>2014</v>
      </c>
      <c r="B249" s="15">
        <v>8</v>
      </c>
      <c r="C249" s="15">
        <v>41976.131240090501</v>
      </c>
      <c r="E249" s="15">
        <v>2014</v>
      </c>
      <c r="F249" s="15">
        <v>8</v>
      </c>
      <c r="G249" s="15">
        <v>41961.151589251203</v>
      </c>
      <c r="J249" s="15">
        <v>2014</v>
      </c>
      <c r="K249" s="15">
        <v>8</v>
      </c>
      <c r="L249" s="15">
        <v>41603.0979285305</v>
      </c>
      <c r="N249" s="15">
        <v>2014</v>
      </c>
      <c r="O249" s="15">
        <v>8</v>
      </c>
      <c r="P249" s="15">
        <v>41566.583018017402</v>
      </c>
    </row>
    <row r="250" spans="1:16" x14ac:dyDescent="0.25">
      <c r="A250" s="15">
        <v>2014</v>
      </c>
      <c r="B250" s="15">
        <v>9</v>
      </c>
      <c r="C250" s="15">
        <v>48639.636971933804</v>
      </c>
      <c r="E250" s="15">
        <v>2014</v>
      </c>
      <c r="F250" s="15">
        <v>9</v>
      </c>
      <c r="G250" s="15">
        <v>48564.250483224198</v>
      </c>
      <c r="J250" s="15">
        <v>2014</v>
      </c>
      <c r="K250" s="15">
        <v>9</v>
      </c>
      <c r="L250" s="15">
        <v>48414.612941145999</v>
      </c>
      <c r="N250" s="15">
        <v>2014</v>
      </c>
      <c r="O250" s="15">
        <v>9</v>
      </c>
      <c r="P250" s="15">
        <v>48602.597144797903</v>
      </c>
    </row>
    <row r="251" spans="1:16" x14ac:dyDescent="0.25">
      <c r="A251" s="15">
        <v>2014</v>
      </c>
      <c r="B251" s="15">
        <v>10</v>
      </c>
      <c r="C251" s="15">
        <v>50703.439883401901</v>
      </c>
      <c r="E251" s="15">
        <v>2014</v>
      </c>
      <c r="F251" s="15">
        <v>10</v>
      </c>
      <c r="G251" s="15">
        <v>50491.790622397697</v>
      </c>
      <c r="J251" s="15">
        <v>2014</v>
      </c>
      <c r="K251" s="15">
        <v>10</v>
      </c>
      <c r="L251" s="15">
        <v>50121.966045007801</v>
      </c>
      <c r="N251" s="15">
        <v>2014</v>
      </c>
      <c r="O251" s="15">
        <v>10</v>
      </c>
      <c r="P251" s="15">
        <v>50184.640287409697</v>
      </c>
    </row>
    <row r="252" spans="1:16" x14ac:dyDescent="0.25">
      <c r="A252" s="15">
        <v>2014</v>
      </c>
      <c r="B252" s="15">
        <v>11</v>
      </c>
      <c r="C252" s="15">
        <v>49356.9944668924</v>
      </c>
      <c r="E252" s="15">
        <v>2014</v>
      </c>
      <c r="F252" s="15">
        <v>11</v>
      </c>
      <c r="G252" s="15">
        <v>49378.044503860001</v>
      </c>
      <c r="J252" s="15">
        <v>2014</v>
      </c>
      <c r="K252" s="15">
        <v>11</v>
      </c>
      <c r="L252" s="15">
        <v>49307.579784020199</v>
      </c>
      <c r="N252" s="15">
        <v>2014</v>
      </c>
      <c r="O252" s="15">
        <v>11</v>
      </c>
      <c r="P252" s="15">
        <v>49199.520749967101</v>
      </c>
    </row>
    <row r="253" spans="1:16" x14ac:dyDescent="0.25">
      <c r="A253" s="15">
        <v>2014</v>
      </c>
      <c r="B253" s="15">
        <v>12</v>
      </c>
      <c r="C253" s="15">
        <v>48203.798510099899</v>
      </c>
      <c r="E253" s="15">
        <v>2014</v>
      </c>
      <c r="F253" s="15">
        <v>12</v>
      </c>
      <c r="G253" s="15">
        <v>48138.549055503398</v>
      </c>
      <c r="J253" s="15">
        <v>2014</v>
      </c>
      <c r="K253" s="15">
        <v>12</v>
      </c>
      <c r="L253" s="15">
        <v>48090.649725221803</v>
      </c>
      <c r="N253" s="15">
        <v>2014</v>
      </c>
      <c r="O253" s="15">
        <v>12</v>
      </c>
      <c r="P253" s="15">
        <v>48242.815752442802</v>
      </c>
    </row>
    <row r="254" spans="1:16" x14ac:dyDescent="0.25">
      <c r="A254" s="15">
        <v>2015</v>
      </c>
      <c r="B254" s="15">
        <v>1</v>
      </c>
      <c r="C254" s="15">
        <v>46493.763981668897</v>
      </c>
      <c r="E254" s="15">
        <v>2015</v>
      </c>
      <c r="F254" s="15">
        <v>1</v>
      </c>
      <c r="G254" s="15">
        <v>46921.208936851799</v>
      </c>
      <c r="J254" s="15">
        <v>2015</v>
      </c>
      <c r="K254" s="15">
        <v>1</v>
      </c>
      <c r="L254" s="15">
        <v>46942.384593280702</v>
      </c>
      <c r="N254" s="15">
        <v>2015</v>
      </c>
      <c r="O254" s="15">
        <v>1</v>
      </c>
      <c r="P254" s="15">
        <v>46825.396640717699</v>
      </c>
    </row>
    <row r="255" spans="1:16" x14ac:dyDescent="0.25">
      <c r="A255" s="15">
        <v>2015</v>
      </c>
      <c r="B255" s="15">
        <v>2</v>
      </c>
      <c r="C255" s="15">
        <v>48363.699854182501</v>
      </c>
      <c r="E255" s="15">
        <v>2015</v>
      </c>
      <c r="F255" s="15">
        <v>2</v>
      </c>
      <c r="G255" s="15">
        <v>48313.608985172999</v>
      </c>
      <c r="J255" s="15">
        <v>2015</v>
      </c>
      <c r="K255" s="15">
        <v>2</v>
      </c>
      <c r="L255" s="15">
        <v>50138.695706000399</v>
      </c>
      <c r="N255" s="15">
        <v>2015</v>
      </c>
      <c r="O255" s="15">
        <v>2</v>
      </c>
      <c r="P255" s="15">
        <v>49143.9716101347</v>
      </c>
    </row>
    <row r="256" spans="1:16" x14ac:dyDescent="0.25">
      <c r="A256" s="15">
        <v>2015</v>
      </c>
      <c r="B256" s="15">
        <v>3</v>
      </c>
      <c r="C256" s="15">
        <v>45617.8113982672</v>
      </c>
      <c r="E256" s="15">
        <v>2015</v>
      </c>
      <c r="F256" s="15">
        <v>3</v>
      </c>
      <c r="G256" s="15">
        <v>45648.580486758197</v>
      </c>
      <c r="J256" s="15">
        <v>2015</v>
      </c>
      <c r="K256" s="15">
        <v>3</v>
      </c>
      <c r="L256" s="15">
        <v>45558.8188938151</v>
      </c>
      <c r="N256" s="15">
        <v>2015</v>
      </c>
      <c r="O256" s="15">
        <v>3</v>
      </c>
      <c r="P256" s="15">
        <v>45653.846102897602</v>
      </c>
    </row>
    <row r="257" spans="1:16" x14ac:dyDescent="0.25">
      <c r="A257" s="15">
        <v>2015</v>
      </c>
      <c r="B257" s="15">
        <v>4</v>
      </c>
      <c r="C257" s="15">
        <v>41700.579024722298</v>
      </c>
      <c r="E257" s="15">
        <v>2015</v>
      </c>
      <c r="F257" s="15">
        <v>4</v>
      </c>
      <c r="G257" s="15">
        <v>41652.0933628313</v>
      </c>
      <c r="J257" s="15">
        <v>2015</v>
      </c>
      <c r="K257" s="15">
        <v>4</v>
      </c>
      <c r="L257" s="15">
        <v>41602.707808384897</v>
      </c>
      <c r="N257" s="15">
        <v>2015</v>
      </c>
      <c r="O257" s="15">
        <v>4</v>
      </c>
      <c r="P257" s="15">
        <v>41762.435574096402</v>
      </c>
    </row>
    <row r="258" spans="1:16" x14ac:dyDescent="0.25">
      <c r="A258" s="15">
        <v>2015</v>
      </c>
      <c r="B258" s="15">
        <v>5</v>
      </c>
      <c r="C258" s="15">
        <v>43614.1583568188</v>
      </c>
      <c r="E258" s="15">
        <v>2015</v>
      </c>
      <c r="F258" s="15">
        <v>5</v>
      </c>
      <c r="G258" s="15">
        <v>43642.791702945797</v>
      </c>
      <c r="J258" s="15">
        <v>2015</v>
      </c>
      <c r="K258" s="15">
        <v>5</v>
      </c>
      <c r="L258" s="15">
        <v>43638.899644609701</v>
      </c>
      <c r="N258" s="15">
        <v>2015</v>
      </c>
      <c r="O258" s="15">
        <v>5</v>
      </c>
      <c r="P258" s="15">
        <v>43521.173905611802</v>
      </c>
    </row>
    <row r="259" spans="1:16" x14ac:dyDescent="0.25">
      <c r="A259" s="15">
        <v>2015</v>
      </c>
      <c r="B259" s="15">
        <v>6</v>
      </c>
      <c r="C259" s="15">
        <v>47891.4317000597</v>
      </c>
      <c r="E259" s="15">
        <v>2015</v>
      </c>
      <c r="F259" s="15">
        <v>6</v>
      </c>
      <c r="G259" s="15">
        <v>47883.143331748099</v>
      </c>
      <c r="J259" s="15">
        <v>2015</v>
      </c>
      <c r="K259" s="15">
        <v>6</v>
      </c>
      <c r="L259" s="15">
        <v>47927.519478636103</v>
      </c>
      <c r="N259" s="15">
        <v>2015</v>
      </c>
      <c r="O259" s="15">
        <v>6</v>
      </c>
      <c r="P259" s="15">
        <v>48038.225079654803</v>
      </c>
    </row>
    <row r="260" spans="1:16" x14ac:dyDescent="0.25">
      <c r="A260" s="15">
        <v>2015</v>
      </c>
      <c r="B260" s="15">
        <v>7</v>
      </c>
      <c r="C260" s="15">
        <v>42298.687763158203</v>
      </c>
      <c r="E260" s="15">
        <v>2015</v>
      </c>
      <c r="F260" s="15">
        <v>7</v>
      </c>
      <c r="G260" s="15">
        <v>42191.473548592199</v>
      </c>
      <c r="J260" s="15">
        <v>2015</v>
      </c>
      <c r="K260" s="15">
        <v>7</v>
      </c>
      <c r="L260" s="15">
        <v>42050.547088054998</v>
      </c>
      <c r="N260" s="15">
        <v>2015</v>
      </c>
      <c r="O260" s="15">
        <v>7</v>
      </c>
      <c r="P260" s="15">
        <v>42291.975404702098</v>
      </c>
    </row>
    <row r="261" spans="1:16" x14ac:dyDescent="0.25">
      <c r="A261" s="15">
        <v>2015</v>
      </c>
      <c r="B261" s="15">
        <v>8</v>
      </c>
      <c r="C261" s="15">
        <v>45276.842118399698</v>
      </c>
      <c r="E261" s="15">
        <v>2015</v>
      </c>
      <c r="F261" s="15">
        <v>8</v>
      </c>
      <c r="G261" s="15">
        <v>45241.281322600997</v>
      </c>
      <c r="J261" s="15">
        <v>2015</v>
      </c>
      <c r="K261" s="15">
        <v>8</v>
      </c>
      <c r="L261" s="15">
        <v>45117.900792901499</v>
      </c>
      <c r="N261" s="15">
        <v>2015</v>
      </c>
      <c r="O261" s="15">
        <v>8</v>
      </c>
      <c r="P261" s="15">
        <v>45094.633171677102</v>
      </c>
    </row>
    <row r="262" spans="1:16" x14ac:dyDescent="0.25">
      <c r="A262" s="15">
        <v>2015</v>
      </c>
      <c r="B262" s="15">
        <v>9</v>
      </c>
      <c r="C262" s="15">
        <v>45736.089371901799</v>
      </c>
      <c r="E262" s="15">
        <v>2015</v>
      </c>
      <c r="F262" s="15">
        <v>9</v>
      </c>
      <c r="G262" s="15">
        <v>45623.432870386103</v>
      </c>
      <c r="J262" s="15">
        <v>2015</v>
      </c>
      <c r="K262" s="15">
        <v>9</v>
      </c>
      <c r="L262" s="15">
        <v>45425.065866983503</v>
      </c>
      <c r="N262" s="15">
        <v>2015</v>
      </c>
      <c r="O262" s="15">
        <v>9</v>
      </c>
      <c r="P262" s="15">
        <v>45650.574052657299</v>
      </c>
    </row>
    <row r="263" spans="1:16" x14ac:dyDescent="0.25">
      <c r="A263" s="15">
        <v>2015</v>
      </c>
      <c r="B263" s="15">
        <v>10</v>
      </c>
      <c r="C263" s="15">
        <v>39424.654530776999</v>
      </c>
      <c r="E263" s="15">
        <v>2015</v>
      </c>
      <c r="F263" s="15">
        <v>10</v>
      </c>
      <c r="G263" s="15">
        <v>39198.442938900604</v>
      </c>
      <c r="J263" s="15">
        <v>2015</v>
      </c>
      <c r="K263" s="15">
        <v>10</v>
      </c>
      <c r="L263" s="15">
        <v>38938.167716613003</v>
      </c>
      <c r="N263" s="15">
        <v>2015</v>
      </c>
      <c r="O263" s="15">
        <v>10</v>
      </c>
      <c r="P263" s="15">
        <v>38804.015192526596</v>
      </c>
    </row>
    <row r="264" spans="1:16" x14ac:dyDescent="0.25">
      <c r="A264" s="15">
        <v>2015</v>
      </c>
      <c r="B264" s="15">
        <v>11</v>
      </c>
      <c r="C264" s="15">
        <v>40870.356730051601</v>
      </c>
      <c r="E264" s="15">
        <v>2015</v>
      </c>
      <c r="F264" s="15">
        <v>11</v>
      </c>
      <c r="G264" s="15">
        <v>40848.866906351599</v>
      </c>
      <c r="J264" s="15">
        <v>2015</v>
      </c>
      <c r="K264" s="15">
        <v>11</v>
      </c>
      <c r="L264" s="15">
        <v>40667.647582928999</v>
      </c>
      <c r="N264" s="15">
        <v>2015</v>
      </c>
      <c r="O264" s="15">
        <v>11</v>
      </c>
      <c r="P264" s="15">
        <v>40714.788584582602</v>
      </c>
    </row>
    <row r="265" spans="1:16" x14ac:dyDescent="0.25">
      <c r="A265" s="15">
        <v>2015</v>
      </c>
      <c r="B265" s="15">
        <v>12</v>
      </c>
      <c r="C265" s="15">
        <v>39707.3620631464</v>
      </c>
      <c r="E265" s="15">
        <v>2015</v>
      </c>
      <c r="F265" s="15">
        <v>12</v>
      </c>
      <c r="G265" s="15">
        <v>39700.784527465497</v>
      </c>
      <c r="J265" s="15">
        <v>2015</v>
      </c>
      <c r="K265" s="15">
        <v>12</v>
      </c>
      <c r="L265" s="15">
        <v>39518.014570981002</v>
      </c>
      <c r="N265" s="15">
        <v>2015</v>
      </c>
      <c r="O265" s="15">
        <v>12</v>
      </c>
      <c r="P265" s="15">
        <v>39690.422271319003</v>
      </c>
    </row>
    <row r="266" spans="1:16" x14ac:dyDescent="0.25">
      <c r="A266" s="15">
        <v>2016</v>
      </c>
      <c r="B266" s="15">
        <v>1</v>
      </c>
      <c r="C266" s="15">
        <v>39423.929439024403</v>
      </c>
      <c r="E266" s="15">
        <v>2016</v>
      </c>
      <c r="F266" s="15">
        <v>1</v>
      </c>
      <c r="G266" s="15">
        <v>40199.934336968603</v>
      </c>
      <c r="J266" s="15">
        <v>2016</v>
      </c>
      <c r="K266" s="15">
        <v>1</v>
      </c>
      <c r="L266" s="15">
        <v>40164.782326880297</v>
      </c>
      <c r="N266" s="15">
        <v>2016</v>
      </c>
      <c r="O266" s="15">
        <v>1</v>
      </c>
      <c r="P266" s="15">
        <v>39787.550802510297</v>
      </c>
    </row>
    <row r="267" spans="1:16" x14ac:dyDescent="0.25">
      <c r="A267" s="15">
        <v>2016</v>
      </c>
      <c r="B267" s="15">
        <v>2</v>
      </c>
      <c r="C267" s="15">
        <v>38079.502661727303</v>
      </c>
      <c r="E267" s="15">
        <v>2016</v>
      </c>
      <c r="F267" s="15">
        <v>2</v>
      </c>
      <c r="G267" s="15">
        <v>38024.932167214502</v>
      </c>
      <c r="J267" s="15">
        <v>2016</v>
      </c>
      <c r="K267" s="15">
        <v>2</v>
      </c>
      <c r="L267" s="15">
        <v>36924.926392065099</v>
      </c>
      <c r="N267" s="15">
        <v>2016</v>
      </c>
      <c r="O267" s="15">
        <v>2</v>
      </c>
      <c r="P267" s="15">
        <v>37697.726331865</v>
      </c>
    </row>
    <row r="268" spans="1:16" x14ac:dyDescent="0.25">
      <c r="A268" s="15">
        <v>2016</v>
      </c>
      <c r="B268" s="15">
        <v>3</v>
      </c>
      <c r="C268" s="15">
        <v>40658.124808092798</v>
      </c>
      <c r="E268" s="15">
        <v>2016</v>
      </c>
      <c r="F268" s="15">
        <v>3</v>
      </c>
      <c r="G268" s="15">
        <v>40655.967633263099</v>
      </c>
      <c r="J268" s="15">
        <v>2016</v>
      </c>
      <c r="K268" s="15">
        <v>3</v>
      </c>
      <c r="L268" s="15">
        <v>40694.227869394701</v>
      </c>
      <c r="N268" s="15">
        <v>2016</v>
      </c>
      <c r="O268" s="15">
        <v>3</v>
      </c>
      <c r="P268" s="15">
        <v>40936.114391213101</v>
      </c>
    </row>
    <row r="269" spans="1:16" x14ac:dyDescent="0.25">
      <c r="A269" s="15">
        <v>2016</v>
      </c>
      <c r="B269" s="15">
        <v>4</v>
      </c>
      <c r="C269" s="15">
        <v>42510.923811929402</v>
      </c>
      <c r="E269" s="15">
        <v>2016</v>
      </c>
      <c r="F269" s="15">
        <v>4</v>
      </c>
      <c r="G269" s="15">
        <v>42516.354858841602</v>
      </c>
      <c r="J269" s="15">
        <v>2016</v>
      </c>
      <c r="K269" s="15">
        <v>4</v>
      </c>
      <c r="L269" s="15">
        <v>42640.482263408099</v>
      </c>
      <c r="N269" s="15">
        <v>2016</v>
      </c>
      <c r="O269" s="15">
        <v>4</v>
      </c>
      <c r="P269" s="15">
        <v>42665.033900563503</v>
      </c>
    </row>
    <row r="270" spans="1:16" x14ac:dyDescent="0.25">
      <c r="A270" s="15">
        <v>2016</v>
      </c>
      <c r="B270" s="15">
        <v>5</v>
      </c>
      <c r="C270" s="15">
        <v>37619.754389307498</v>
      </c>
      <c r="E270" s="15">
        <v>2016</v>
      </c>
      <c r="F270" s="15">
        <v>5</v>
      </c>
      <c r="G270" s="15">
        <v>37586.818455380497</v>
      </c>
      <c r="J270" s="15">
        <v>2016</v>
      </c>
      <c r="K270" s="15">
        <v>5</v>
      </c>
      <c r="L270" s="15">
        <v>37713.671462835999</v>
      </c>
      <c r="N270" s="15">
        <v>2016</v>
      </c>
      <c r="O270" s="15">
        <v>5</v>
      </c>
      <c r="P270" s="15">
        <v>37762.352922404498</v>
      </c>
    </row>
    <row r="271" spans="1:16" x14ac:dyDescent="0.25">
      <c r="A271" s="15">
        <v>2016</v>
      </c>
      <c r="B271" s="15">
        <v>6</v>
      </c>
      <c r="C271" s="15">
        <v>37874.780435830697</v>
      </c>
      <c r="E271" s="15">
        <v>2016</v>
      </c>
      <c r="F271" s="15">
        <v>6</v>
      </c>
      <c r="G271" s="15">
        <v>37841.597032493199</v>
      </c>
      <c r="J271" s="15">
        <v>2016</v>
      </c>
      <c r="K271" s="15">
        <v>6</v>
      </c>
      <c r="L271" s="15">
        <v>37886.677542518402</v>
      </c>
      <c r="N271" s="15">
        <v>2016</v>
      </c>
      <c r="O271" s="15">
        <v>6</v>
      </c>
      <c r="P271" s="15">
        <v>38041.302045654404</v>
      </c>
    </row>
    <row r="272" spans="1:16" x14ac:dyDescent="0.25">
      <c r="A272" s="15">
        <v>2016</v>
      </c>
      <c r="B272" s="15">
        <v>7</v>
      </c>
      <c r="C272" s="15">
        <v>39731.945579581603</v>
      </c>
      <c r="E272" s="15">
        <v>2016</v>
      </c>
      <c r="F272" s="15">
        <v>7</v>
      </c>
      <c r="G272" s="15">
        <v>39664.794691417999</v>
      </c>
      <c r="J272" s="15">
        <v>2016</v>
      </c>
      <c r="K272" s="15">
        <v>7</v>
      </c>
      <c r="L272" s="15">
        <v>39672.171973970697</v>
      </c>
      <c r="N272" s="15">
        <v>2016</v>
      </c>
      <c r="O272" s="15">
        <v>7</v>
      </c>
      <c r="P272" s="15">
        <v>39640.197445994898</v>
      </c>
    </row>
    <row r="273" spans="1:16" x14ac:dyDescent="0.25">
      <c r="A273" s="15">
        <v>2016</v>
      </c>
      <c r="B273" s="15">
        <v>8</v>
      </c>
      <c r="C273" s="15">
        <v>38045.256579471003</v>
      </c>
      <c r="E273" s="15">
        <v>2016</v>
      </c>
      <c r="F273" s="15">
        <v>8</v>
      </c>
      <c r="G273" s="15">
        <v>37872.280703220997</v>
      </c>
      <c r="J273" s="15">
        <v>2016</v>
      </c>
      <c r="K273" s="15">
        <v>8</v>
      </c>
      <c r="L273" s="15">
        <v>37852.142231748003</v>
      </c>
      <c r="N273" s="15">
        <v>2016</v>
      </c>
      <c r="O273" s="15">
        <v>8</v>
      </c>
      <c r="P273" s="15">
        <v>38154.5224085472</v>
      </c>
    </row>
    <row r="274" spans="1:16" x14ac:dyDescent="0.25">
      <c r="A274" s="15">
        <v>2016</v>
      </c>
      <c r="B274" s="15">
        <v>9</v>
      </c>
      <c r="C274" s="15">
        <v>35899.953511496002</v>
      </c>
      <c r="E274" s="15">
        <v>2016</v>
      </c>
      <c r="F274" s="15">
        <v>9</v>
      </c>
      <c r="G274" s="15">
        <v>35732.502569654098</v>
      </c>
      <c r="J274" s="15">
        <v>2016</v>
      </c>
      <c r="K274" s="15">
        <v>9</v>
      </c>
      <c r="L274" s="15">
        <v>35458.9626510823</v>
      </c>
      <c r="N274" s="15">
        <v>2016</v>
      </c>
      <c r="O274" s="15">
        <v>9</v>
      </c>
      <c r="P274" s="15">
        <v>35725.558839220401</v>
      </c>
    </row>
    <row r="275" spans="1:16" x14ac:dyDescent="0.25">
      <c r="A275" s="15">
        <v>2016</v>
      </c>
      <c r="B275" s="15">
        <v>10</v>
      </c>
      <c r="C275" s="15">
        <v>34559.3590805852</v>
      </c>
      <c r="E275" s="15">
        <v>2016</v>
      </c>
      <c r="F275" s="15">
        <v>10</v>
      </c>
      <c r="G275" s="15">
        <v>34353.370058737499</v>
      </c>
      <c r="J275" s="15">
        <v>2016</v>
      </c>
      <c r="K275" s="15">
        <v>10</v>
      </c>
      <c r="L275" s="15">
        <v>34069.098080220203</v>
      </c>
      <c r="N275" s="15">
        <v>2016</v>
      </c>
      <c r="O275" s="15">
        <v>10</v>
      </c>
      <c r="P275" s="15">
        <v>33804.022819939099</v>
      </c>
    </row>
    <row r="276" spans="1:16" x14ac:dyDescent="0.25">
      <c r="A276" s="15">
        <v>2016</v>
      </c>
      <c r="B276" s="15">
        <v>11</v>
      </c>
      <c r="C276" s="15">
        <v>41553.276833267999</v>
      </c>
      <c r="E276" s="15">
        <v>2016</v>
      </c>
      <c r="F276" s="15">
        <v>11</v>
      </c>
      <c r="G276" s="15">
        <v>41474.870779529898</v>
      </c>
      <c r="J276" s="15">
        <v>2016</v>
      </c>
      <c r="K276" s="15">
        <v>11</v>
      </c>
      <c r="L276" s="15">
        <v>40987.9437173361</v>
      </c>
      <c r="N276" s="15">
        <v>2016</v>
      </c>
      <c r="O276" s="15">
        <v>11</v>
      </c>
      <c r="P276" s="15">
        <v>41197.147324768499</v>
      </c>
    </row>
    <row r="277" spans="1:16" x14ac:dyDescent="0.25">
      <c r="A277" s="15">
        <v>2016</v>
      </c>
      <c r="B277" s="15">
        <v>12</v>
      </c>
      <c r="C277" s="15">
        <v>49102.135573013802</v>
      </c>
      <c r="E277" s="15">
        <v>2016</v>
      </c>
      <c r="F277" s="15">
        <v>12</v>
      </c>
      <c r="G277" s="15">
        <v>48942.5320176975</v>
      </c>
      <c r="J277" s="15">
        <v>2016</v>
      </c>
      <c r="K277" s="15">
        <v>12</v>
      </c>
      <c r="L277" s="15">
        <v>48855.346660985502</v>
      </c>
      <c r="N277" s="15">
        <v>2016</v>
      </c>
      <c r="O277" s="15">
        <v>12</v>
      </c>
      <c r="P277" s="15">
        <v>48921.180638485501</v>
      </c>
    </row>
    <row r="278" spans="1:16" x14ac:dyDescent="0.25">
      <c r="A278" s="15">
        <v>2017</v>
      </c>
      <c r="B278" s="15">
        <v>1</v>
      </c>
      <c r="C278" s="15">
        <v>45473.019826036201</v>
      </c>
      <c r="E278" s="15">
        <v>2017</v>
      </c>
      <c r="F278" s="15">
        <v>1</v>
      </c>
      <c r="G278" s="15">
        <v>46914.925260929398</v>
      </c>
      <c r="J278" s="15">
        <v>2017</v>
      </c>
      <c r="K278" s="15">
        <v>1</v>
      </c>
      <c r="L278" s="15">
        <v>46696.493702008702</v>
      </c>
      <c r="N278" s="15">
        <v>2017</v>
      </c>
      <c r="O278" s="15">
        <v>1</v>
      </c>
      <c r="P278" s="15">
        <v>46136.756520774499</v>
      </c>
    </row>
    <row r="279" spans="1:16" x14ac:dyDescent="0.25">
      <c r="A279" s="15">
        <v>2017</v>
      </c>
      <c r="B279" s="15">
        <v>2</v>
      </c>
      <c r="C279" s="15">
        <v>28856.12703059</v>
      </c>
      <c r="E279" s="15">
        <v>2017</v>
      </c>
      <c r="F279" s="15">
        <v>2</v>
      </c>
      <c r="G279" s="15">
        <v>28343.255276240099</v>
      </c>
      <c r="J279" s="15">
        <v>2017</v>
      </c>
      <c r="K279" s="15">
        <v>2</v>
      </c>
      <c r="L279" s="15">
        <v>29586.682483878802</v>
      </c>
      <c r="N279" s="15">
        <v>2017</v>
      </c>
      <c r="O279" s="15">
        <v>2</v>
      </c>
      <c r="P279" s="15">
        <v>28530.953942137501</v>
      </c>
    </row>
    <row r="280" spans="1:16" x14ac:dyDescent="0.25">
      <c r="A280" s="15">
        <v>2017</v>
      </c>
      <c r="B280" s="15">
        <v>3</v>
      </c>
      <c r="C280" s="15">
        <v>34135.212603049702</v>
      </c>
      <c r="E280" s="15">
        <v>2017</v>
      </c>
      <c r="F280" s="15">
        <v>3</v>
      </c>
      <c r="G280" s="15">
        <v>34299.330912965699</v>
      </c>
      <c r="J280" s="15">
        <v>2017</v>
      </c>
      <c r="K280" s="15">
        <v>3</v>
      </c>
      <c r="L280" s="15">
        <v>34444.232695233797</v>
      </c>
      <c r="N280" s="15">
        <v>2017</v>
      </c>
      <c r="O280" s="15">
        <v>3</v>
      </c>
      <c r="P280" s="15">
        <v>34806.423617496097</v>
      </c>
    </row>
    <row r="281" spans="1:16" x14ac:dyDescent="0.25">
      <c r="A281" s="15">
        <v>2017</v>
      </c>
      <c r="B281" s="15">
        <v>4</v>
      </c>
      <c r="C281" s="15">
        <v>37202.0531095931</v>
      </c>
      <c r="E281" s="15">
        <v>2017</v>
      </c>
      <c r="F281" s="15">
        <v>4</v>
      </c>
      <c r="G281" s="15">
        <v>37163.778853650001</v>
      </c>
      <c r="J281" s="15">
        <v>2017</v>
      </c>
      <c r="K281" s="15">
        <v>4</v>
      </c>
      <c r="L281" s="15">
        <v>37443.120735628101</v>
      </c>
      <c r="N281" s="15">
        <v>2017</v>
      </c>
      <c r="O281" s="15">
        <v>4</v>
      </c>
      <c r="P281" s="15">
        <v>37354.946614221197</v>
      </c>
    </row>
    <row r="282" spans="1:16" x14ac:dyDescent="0.25">
      <c r="A282" s="15">
        <v>2017</v>
      </c>
      <c r="B282" s="15">
        <v>5</v>
      </c>
      <c r="C282" s="15">
        <v>41798.367049237597</v>
      </c>
      <c r="E282" s="15">
        <v>2017</v>
      </c>
      <c r="F282" s="15">
        <v>5</v>
      </c>
      <c r="G282" s="15">
        <v>41652.240653881701</v>
      </c>
      <c r="J282" s="15">
        <v>2017</v>
      </c>
      <c r="K282" s="15">
        <v>5</v>
      </c>
      <c r="L282" s="15">
        <v>42165.428918169702</v>
      </c>
      <c r="N282" s="15">
        <v>2017</v>
      </c>
      <c r="O282" s="15">
        <v>5</v>
      </c>
      <c r="P282" s="15">
        <v>42226.524337677904</v>
      </c>
    </row>
    <row r="283" spans="1:16" x14ac:dyDescent="0.25">
      <c r="A283" s="15">
        <v>2017</v>
      </c>
      <c r="B283" s="15">
        <v>6</v>
      </c>
      <c r="C283" s="15">
        <v>42651.235623342996</v>
      </c>
      <c r="E283" s="15">
        <v>2017</v>
      </c>
      <c r="F283" s="15">
        <v>6</v>
      </c>
      <c r="G283" s="15">
        <v>42556.424802757501</v>
      </c>
      <c r="J283" s="15">
        <v>2017</v>
      </c>
      <c r="K283" s="15">
        <v>6</v>
      </c>
      <c r="L283" s="15">
        <v>42674.407383837402</v>
      </c>
      <c r="N283" s="15">
        <v>2017</v>
      </c>
      <c r="O283" s="15">
        <v>6</v>
      </c>
      <c r="P283" s="15">
        <v>42981.108902591601</v>
      </c>
    </row>
    <row r="284" spans="1:16" x14ac:dyDescent="0.25">
      <c r="A284" s="15">
        <v>2017</v>
      </c>
      <c r="B284" s="15">
        <v>7</v>
      </c>
      <c r="C284" s="15">
        <v>40257.912434715799</v>
      </c>
      <c r="E284" s="15">
        <v>2017</v>
      </c>
      <c r="F284" s="15">
        <v>7</v>
      </c>
      <c r="G284" s="15">
        <v>40152.248319252103</v>
      </c>
      <c r="J284" s="15">
        <v>2017</v>
      </c>
      <c r="K284" s="15">
        <v>7</v>
      </c>
      <c r="L284" s="15">
        <v>40197.135978751998</v>
      </c>
      <c r="N284" s="15">
        <v>2017</v>
      </c>
      <c r="O284" s="15">
        <v>7</v>
      </c>
      <c r="P284" s="15">
        <v>40258.0586058189</v>
      </c>
    </row>
    <row r="285" spans="1:16" x14ac:dyDescent="0.25">
      <c r="A285" s="15">
        <v>2017</v>
      </c>
      <c r="B285" s="15">
        <v>8</v>
      </c>
      <c r="C285" s="15">
        <v>38927.823267902997</v>
      </c>
      <c r="E285" s="15">
        <v>2017</v>
      </c>
      <c r="F285" s="15">
        <v>8</v>
      </c>
      <c r="G285" s="15">
        <v>38706.646196671798</v>
      </c>
      <c r="J285" s="15">
        <v>2017</v>
      </c>
      <c r="K285" s="15">
        <v>8</v>
      </c>
      <c r="L285" s="15">
        <v>38588.357312829598</v>
      </c>
      <c r="N285" s="15">
        <v>2017</v>
      </c>
      <c r="O285" s="15">
        <v>8</v>
      </c>
      <c r="P285" s="15">
        <v>38941.130466809998</v>
      </c>
    </row>
    <row r="286" spans="1:16" x14ac:dyDescent="0.25">
      <c r="A286" s="15">
        <v>2017</v>
      </c>
      <c r="B286" s="15">
        <v>9</v>
      </c>
      <c r="C286" s="15">
        <v>42490.568727116202</v>
      </c>
      <c r="E286" s="15">
        <v>2017</v>
      </c>
      <c r="F286" s="15">
        <v>9</v>
      </c>
      <c r="G286" s="15">
        <v>42304.722785651596</v>
      </c>
      <c r="J286" s="15">
        <v>2017</v>
      </c>
      <c r="K286" s="15">
        <v>9</v>
      </c>
      <c r="L286" s="15">
        <v>41957.479448730301</v>
      </c>
      <c r="N286" s="15">
        <v>2017</v>
      </c>
      <c r="O286" s="15">
        <v>9</v>
      </c>
      <c r="P286" s="15">
        <v>42131.952857754397</v>
      </c>
    </row>
    <row r="287" spans="1:16" x14ac:dyDescent="0.25">
      <c r="A287" s="15">
        <v>2017</v>
      </c>
      <c r="B287" s="15">
        <v>10</v>
      </c>
      <c r="C287" s="15">
        <v>40255.137501086901</v>
      </c>
      <c r="E287" s="15">
        <v>2017</v>
      </c>
      <c r="F287" s="15">
        <v>10</v>
      </c>
      <c r="G287" s="15">
        <v>39935.411436830698</v>
      </c>
      <c r="J287" s="15">
        <v>2017</v>
      </c>
      <c r="K287" s="15">
        <v>10</v>
      </c>
      <c r="L287" s="15">
        <v>39539.8452265409</v>
      </c>
      <c r="N287" s="15">
        <v>2017</v>
      </c>
      <c r="O287" s="15">
        <v>10</v>
      </c>
      <c r="P287" s="15">
        <v>39472.466797716799</v>
      </c>
    </row>
    <row r="288" spans="1:16" x14ac:dyDescent="0.25">
      <c r="A288" s="15">
        <v>2017</v>
      </c>
      <c r="B288" s="15">
        <v>11</v>
      </c>
      <c r="C288" s="15">
        <v>40264.174647466498</v>
      </c>
      <c r="E288" s="15">
        <v>2017</v>
      </c>
      <c r="F288" s="15">
        <v>11</v>
      </c>
      <c r="G288" s="15">
        <v>40080.7027551051</v>
      </c>
      <c r="J288" s="15">
        <v>2017</v>
      </c>
      <c r="K288" s="15">
        <v>11</v>
      </c>
      <c r="L288" s="15">
        <v>39297.433891529297</v>
      </c>
      <c r="N288" s="15">
        <v>2017</v>
      </c>
      <c r="O288" s="15">
        <v>11</v>
      </c>
      <c r="P288" s="15">
        <v>39511.220068709103</v>
      </c>
    </row>
    <row r="289" spans="1:16" x14ac:dyDescent="0.25">
      <c r="A289" s="15">
        <v>2017</v>
      </c>
      <c r="B289" s="15">
        <v>12</v>
      </c>
      <c r="C289" s="15">
        <v>42823.043240915998</v>
      </c>
      <c r="E289" s="15">
        <v>2017</v>
      </c>
      <c r="F289" s="15">
        <v>12</v>
      </c>
      <c r="G289" s="15">
        <v>42379.709183616898</v>
      </c>
      <c r="J289" s="15">
        <v>2017</v>
      </c>
      <c r="K289" s="15">
        <v>12</v>
      </c>
      <c r="L289" s="15">
        <v>42354.899209110103</v>
      </c>
      <c r="N289" s="15">
        <v>2017</v>
      </c>
      <c r="O289" s="15">
        <v>12</v>
      </c>
      <c r="P289" s="15">
        <v>42487.360016674298</v>
      </c>
    </row>
    <row r="290" spans="1:16" x14ac:dyDescent="0.25">
      <c r="A290" s="15">
        <v>2018</v>
      </c>
      <c r="B290" s="15">
        <v>1</v>
      </c>
      <c r="C290" s="15">
        <v>37282.877564783703</v>
      </c>
      <c r="E290" s="15">
        <v>2018</v>
      </c>
      <c r="F290" s="15">
        <v>1</v>
      </c>
      <c r="G290" s="15">
        <v>39944.552904190699</v>
      </c>
      <c r="J290" s="15">
        <v>2018</v>
      </c>
      <c r="K290" s="15">
        <v>1</v>
      </c>
      <c r="L290" s="15">
        <v>39625.819479376099</v>
      </c>
      <c r="N290" s="15">
        <v>2018</v>
      </c>
      <c r="O290" s="15">
        <v>1</v>
      </c>
      <c r="P290" s="15">
        <v>38258.888616480901</v>
      </c>
    </row>
    <row r="291" spans="1:16" x14ac:dyDescent="0.25">
      <c r="A291" s="15">
        <v>2018</v>
      </c>
      <c r="B291" s="15">
        <v>2</v>
      </c>
      <c r="C291" s="15">
        <v>41983.4155643017</v>
      </c>
      <c r="E291" s="15">
        <v>2018</v>
      </c>
      <c r="F291" s="15">
        <v>2</v>
      </c>
      <c r="G291" s="15">
        <v>41091.924460908602</v>
      </c>
      <c r="J291" s="15">
        <v>2018</v>
      </c>
      <c r="K291" s="15">
        <v>2</v>
      </c>
      <c r="L291" s="15">
        <v>42366.338552639099</v>
      </c>
      <c r="N291" s="15">
        <v>2018</v>
      </c>
      <c r="O291" s="15">
        <v>2</v>
      </c>
      <c r="P291" s="15">
        <v>41327.570926030101</v>
      </c>
    </row>
    <row r="292" spans="1:16" x14ac:dyDescent="0.25">
      <c r="A292" s="15">
        <v>2018</v>
      </c>
      <c r="B292" s="15">
        <v>3</v>
      </c>
      <c r="C292" s="15">
        <v>45332.718185103797</v>
      </c>
      <c r="E292" s="15">
        <v>2018</v>
      </c>
      <c r="F292" s="15">
        <v>3</v>
      </c>
      <c r="G292" s="15">
        <v>45653.072690349298</v>
      </c>
      <c r="J292" s="15">
        <v>2018</v>
      </c>
      <c r="K292" s="15">
        <v>3</v>
      </c>
      <c r="L292" s="15">
        <v>45889.753877409399</v>
      </c>
      <c r="N292" s="15">
        <v>2018</v>
      </c>
      <c r="O292" s="15">
        <v>3</v>
      </c>
      <c r="P292" s="15">
        <v>46516.069478489902</v>
      </c>
    </row>
    <row r="293" spans="1:16" x14ac:dyDescent="0.25">
      <c r="A293" s="15">
        <v>2018</v>
      </c>
      <c r="B293" s="15">
        <v>4</v>
      </c>
      <c r="C293" s="15">
        <v>44986.215945829703</v>
      </c>
      <c r="E293" s="15">
        <v>2018</v>
      </c>
      <c r="F293" s="15">
        <v>4</v>
      </c>
      <c r="G293" s="15">
        <v>44631.908197301702</v>
      </c>
      <c r="J293" s="15">
        <v>2018</v>
      </c>
      <c r="K293" s="15">
        <v>4</v>
      </c>
      <c r="L293" s="15">
        <v>44949.913654527903</v>
      </c>
      <c r="N293" s="15">
        <v>2018</v>
      </c>
      <c r="O293" s="15">
        <v>4</v>
      </c>
      <c r="P293" s="15">
        <v>44975.584669732802</v>
      </c>
    </row>
    <row r="294" spans="1:16" x14ac:dyDescent="0.25">
      <c r="A294" s="15">
        <v>2018</v>
      </c>
      <c r="B294" s="15">
        <v>5</v>
      </c>
      <c r="C294" s="15">
        <v>43190.310859247897</v>
      </c>
      <c r="E294" s="15">
        <v>2018</v>
      </c>
      <c r="F294" s="15">
        <v>5</v>
      </c>
      <c r="G294" s="15">
        <v>42984.288110364498</v>
      </c>
      <c r="J294" s="15">
        <v>2018</v>
      </c>
      <c r="K294" s="15">
        <v>5</v>
      </c>
      <c r="L294" s="15">
        <v>43886.310156578998</v>
      </c>
      <c r="N294" s="15">
        <v>2018</v>
      </c>
      <c r="O294" s="15">
        <v>5</v>
      </c>
      <c r="P294" s="15">
        <v>43873.218278010798</v>
      </c>
    </row>
    <row r="295" spans="1:16" x14ac:dyDescent="0.25">
      <c r="A295" s="15">
        <v>2018</v>
      </c>
      <c r="B295" s="15">
        <v>6</v>
      </c>
      <c r="C295" s="15">
        <v>38396.804139815598</v>
      </c>
      <c r="E295" s="15">
        <v>2018</v>
      </c>
      <c r="F295" s="15">
        <v>6</v>
      </c>
      <c r="G295" s="15">
        <v>38301.581482361697</v>
      </c>
      <c r="J295" s="15">
        <v>2018</v>
      </c>
      <c r="K295" s="15">
        <v>6</v>
      </c>
      <c r="L295" s="15">
        <v>38545.404222203899</v>
      </c>
      <c r="N295" s="15">
        <v>2018</v>
      </c>
      <c r="O295" s="15">
        <v>6</v>
      </c>
      <c r="P295" s="15">
        <v>39077.134413625099</v>
      </c>
    </row>
    <row r="296" spans="1:16" x14ac:dyDescent="0.25">
      <c r="A296" s="15">
        <v>2018</v>
      </c>
      <c r="B296" s="15">
        <v>7</v>
      </c>
      <c r="C296" s="15">
        <v>42581.514895052998</v>
      </c>
      <c r="E296" s="15">
        <v>2018</v>
      </c>
      <c r="F296" s="15">
        <v>7</v>
      </c>
      <c r="G296" s="15">
        <v>42414.143925561097</v>
      </c>
      <c r="J296" s="15">
        <v>2018</v>
      </c>
      <c r="K296" s="15">
        <v>7</v>
      </c>
      <c r="L296" s="15">
        <v>42408.766158572202</v>
      </c>
      <c r="N296" s="15">
        <v>2018</v>
      </c>
      <c r="O296" s="15">
        <v>7</v>
      </c>
      <c r="P296" s="15">
        <v>42541.443958301999</v>
      </c>
    </row>
    <row r="297" spans="1:16" x14ac:dyDescent="0.25">
      <c r="A297" s="15">
        <v>2018</v>
      </c>
      <c r="B297" s="15">
        <v>8</v>
      </c>
      <c r="C297" s="15">
        <v>42735.6115581255</v>
      </c>
      <c r="E297" s="15">
        <v>2018</v>
      </c>
      <c r="F297" s="15">
        <v>8</v>
      </c>
      <c r="G297" s="15">
        <v>42486.218819947397</v>
      </c>
      <c r="J297" s="15">
        <v>2018</v>
      </c>
      <c r="K297" s="15">
        <v>8</v>
      </c>
      <c r="L297" s="15">
        <v>42212.177532392903</v>
      </c>
      <c r="N297" s="15">
        <v>2018</v>
      </c>
      <c r="O297" s="15">
        <v>8</v>
      </c>
      <c r="P297" s="15">
        <v>42480.906678566898</v>
      </c>
    </row>
    <row r="298" spans="1:16" x14ac:dyDescent="0.25">
      <c r="A298" s="15">
        <v>2018</v>
      </c>
      <c r="B298" s="15">
        <v>9</v>
      </c>
      <c r="C298" s="15">
        <v>34463.481465970101</v>
      </c>
      <c r="E298" s="15">
        <v>2018</v>
      </c>
      <c r="F298" s="15">
        <v>9</v>
      </c>
      <c r="G298" s="15">
        <v>34306.999533516697</v>
      </c>
      <c r="J298" s="15">
        <v>2018</v>
      </c>
      <c r="K298" s="15">
        <v>9</v>
      </c>
      <c r="L298" s="15">
        <v>33863.6125439838</v>
      </c>
      <c r="N298" s="15">
        <v>2018</v>
      </c>
      <c r="O298" s="15">
        <v>9</v>
      </c>
      <c r="P298" s="15">
        <v>34001.859056747999</v>
      </c>
    </row>
    <row r="299" spans="1:16" x14ac:dyDescent="0.25">
      <c r="A299" s="15">
        <v>2018</v>
      </c>
      <c r="B299" s="15">
        <v>10</v>
      </c>
      <c r="C299" s="15">
        <v>34250.304224950603</v>
      </c>
      <c r="E299" s="15">
        <v>2018</v>
      </c>
      <c r="F299" s="15">
        <v>10</v>
      </c>
      <c r="G299" s="15">
        <v>33817.4283172902</v>
      </c>
      <c r="J299" s="15">
        <v>2018</v>
      </c>
      <c r="K299" s="15">
        <v>10</v>
      </c>
      <c r="L299" s="15">
        <v>33172.524589766203</v>
      </c>
      <c r="N299" s="15">
        <v>2018</v>
      </c>
      <c r="O299" s="15">
        <v>10</v>
      </c>
      <c r="P299" s="15">
        <v>33391.517250780002</v>
      </c>
    </row>
    <row r="300" spans="1:16" x14ac:dyDescent="0.25">
      <c r="A300" s="15">
        <v>2018</v>
      </c>
      <c r="B300" s="15">
        <v>11</v>
      </c>
      <c r="C300" s="15">
        <v>32504.133670274699</v>
      </c>
      <c r="E300" s="15">
        <v>2018</v>
      </c>
      <c r="F300" s="15">
        <v>11</v>
      </c>
      <c r="G300" s="15">
        <v>32083.3860703469</v>
      </c>
      <c r="J300" s="15">
        <v>2018</v>
      </c>
      <c r="K300" s="15">
        <v>11</v>
      </c>
      <c r="L300" s="15">
        <v>31077.670398474002</v>
      </c>
      <c r="N300" s="15">
        <v>2018</v>
      </c>
      <c r="O300" s="15">
        <v>11</v>
      </c>
      <c r="P300" s="15">
        <v>31428.6533596753</v>
      </c>
    </row>
    <row r="301" spans="1:16" x14ac:dyDescent="0.25">
      <c r="A301" s="15">
        <v>2018</v>
      </c>
      <c r="B301" s="15">
        <v>12</v>
      </c>
      <c r="C301" s="15">
        <v>29213.927273814199</v>
      </c>
      <c r="E301" s="15">
        <v>2018</v>
      </c>
      <c r="F301" s="15">
        <v>12</v>
      </c>
      <c r="G301" s="15">
        <v>28235.258627988798</v>
      </c>
      <c r="J301" s="15">
        <v>2018</v>
      </c>
      <c r="K301" s="15">
        <v>12</v>
      </c>
      <c r="L301" s="15">
        <v>28368.508636075301</v>
      </c>
      <c r="N301" s="15">
        <v>2018</v>
      </c>
      <c r="O301" s="15">
        <v>12</v>
      </c>
      <c r="P301" s="15">
        <v>28876.450934340799</v>
      </c>
    </row>
    <row r="302" spans="1:16" x14ac:dyDescent="0.25">
      <c r="A302" s="15">
        <v>2019</v>
      </c>
      <c r="B302" s="15">
        <v>1</v>
      </c>
      <c r="C302" s="15">
        <v>28221.253416817501</v>
      </c>
      <c r="E302" s="15">
        <v>2019</v>
      </c>
      <c r="F302" s="15">
        <v>1</v>
      </c>
      <c r="G302" s="15">
        <v>32486.668706631299</v>
      </c>
      <c r="J302" s="15">
        <v>2019</v>
      </c>
      <c r="K302" s="15">
        <v>1</v>
      </c>
      <c r="L302" s="15">
        <v>32251.6113943128</v>
      </c>
      <c r="N302" s="15">
        <v>2019</v>
      </c>
      <c r="O302" s="15">
        <v>1</v>
      </c>
      <c r="P302" s="15">
        <v>29386.383742515402</v>
      </c>
    </row>
    <row r="303" spans="1:16" x14ac:dyDescent="0.25">
      <c r="A303" s="15">
        <v>2019</v>
      </c>
      <c r="B303" s="15">
        <v>2</v>
      </c>
      <c r="C303" s="15">
        <v>35699.066677326897</v>
      </c>
      <c r="E303" s="15">
        <v>2019</v>
      </c>
      <c r="F303" s="15">
        <v>2</v>
      </c>
      <c r="G303" s="15">
        <v>34439.5694484251</v>
      </c>
      <c r="J303" s="15">
        <v>2019</v>
      </c>
      <c r="K303" s="15">
        <v>2</v>
      </c>
      <c r="L303" s="15">
        <v>35660.642538579399</v>
      </c>
      <c r="N303" s="15">
        <v>2019</v>
      </c>
      <c r="O303" s="15">
        <v>2</v>
      </c>
      <c r="P303" s="15">
        <v>34792.6554326021</v>
      </c>
    </row>
    <row r="304" spans="1:16" x14ac:dyDescent="0.25">
      <c r="A304" s="15">
        <v>2019</v>
      </c>
      <c r="B304" s="15">
        <v>3</v>
      </c>
      <c r="C304" s="15">
        <v>25677.089061049501</v>
      </c>
      <c r="E304" s="15">
        <v>2019</v>
      </c>
      <c r="F304" s="15">
        <v>3</v>
      </c>
      <c r="G304" s="15">
        <v>26146.054602707602</v>
      </c>
      <c r="J304" s="15">
        <v>2019</v>
      </c>
      <c r="K304" s="15">
        <v>3</v>
      </c>
      <c r="L304" s="15">
        <v>26545.8849640935</v>
      </c>
      <c r="N304" s="15">
        <v>2019</v>
      </c>
      <c r="O304" s="15">
        <v>3</v>
      </c>
      <c r="P304" s="15">
        <v>27489.568071898801</v>
      </c>
    </row>
    <row r="305" spans="1:16" x14ac:dyDescent="0.25">
      <c r="A305" s="15">
        <v>2019</v>
      </c>
      <c r="B305" s="15">
        <v>4</v>
      </c>
      <c r="C305" s="15">
        <v>29126.4386216727</v>
      </c>
      <c r="E305" s="15">
        <v>2019</v>
      </c>
      <c r="F305" s="15">
        <v>4</v>
      </c>
      <c r="G305" s="15">
        <v>28369.658475823398</v>
      </c>
      <c r="J305" s="15">
        <v>2019</v>
      </c>
      <c r="K305" s="15">
        <v>4</v>
      </c>
      <c r="L305" s="15">
        <v>28747.4866998494</v>
      </c>
      <c r="N305" s="15">
        <v>2019</v>
      </c>
      <c r="O305" s="15">
        <v>4</v>
      </c>
      <c r="P305" s="15">
        <v>28808.1655083806</v>
      </c>
    </row>
    <row r="306" spans="1:16" x14ac:dyDescent="0.25">
      <c r="A306" s="15">
        <v>2019</v>
      </c>
      <c r="B306" s="15">
        <v>5</v>
      </c>
      <c r="C306" s="15">
        <v>26876.918400056202</v>
      </c>
      <c r="E306" s="15">
        <v>2019</v>
      </c>
      <c r="F306" s="15">
        <v>5</v>
      </c>
      <c r="G306" s="15">
        <v>26639.871725253201</v>
      </c>
      <c r="J306" s="15">
        <v>2019</v>
      </c>
      <c r="K306" s="15">
        <v>5</v>
      </c>
      <c r="L306" s="15">
        <v>27901.358141447301</v>
      </c>
      <c r="N306" s="15">
        <v>2019</v>
      </c>
      <c r="O306" s="15">
        <v>5</v>
      </c>
      <c r="P306" s="15">
        <v>27804.956221928402</v>
      </c>
    </row>
    <row r="307" spans="1:16" x14ac:dyDescent="0.25">
      <c r="A307" s="15">
        <v>2019</v>
      </c>
      <c r="B307" s="15">
        <v>6</v>
      </c>
      <c r="C307" s="15">
        <v>24830.801623474199</v>
      </c>
      <c r="E307" s="15">
        <v>2019</v>
      </c>
      <c r="F307" s="15">
        <v>6</v>
      </c>
      <c r="G307" s="15">
        <v>24754.466507865502</v>
      </c>
      <c r="J307" s="15">
        <v>2019</v>
      </c>
      <c r="K307" s="15">
        <v>6</v>
      </c>
      <c r="L307" s="15">
        <v>25067.893788704299</v>
      </c>
      <c r="N307" s="15">
        <v>2019</v>
      </c>
      <c r="O307" s="15">
        <v>6</v>
      </c>
      <c r="P307" s="15">
        <v>25961.509794409201</v>
      </c>
    </row>
    <row r="308" spans="1:16" x14ac:dyDescent="0.25">
      <c r="A308" s="15">
        <v>2019</v>
      </c>
      <c r="B308" s="15">
        <v>7</v>
      </c>
      <c r="C308" s="15">
        <v>21574.591665175099</v>
      </c>
      <c r="E308" s="15">
        <v>2019</v>
      </c>
      <c r="F308" s="15">
        <v>7</v>
      </c>
      <c r="G308" s="15">
        <v>21376.780143693599</v>
      </c>
      <c r="J308" s="15">
        <v>2019</v>
      </c>
      <c r="K308" s="15">
        <v>7</v>
      </c>
      <c r="L308" s="15">
        <v>21243.928869546002</v>
      </c>
      <c r="N308" s="15">
        <v>2019</v>
      </c>
      <c r="O308" s="15">
        <v>7</v>
      </c>
      <c r="P308" s="15">
        <v>21403.495053598399</v>
      </c>
    </row>
    <row r="309" spans="1:16" x14ac:dyDescent="0.25">
      <c r="A309" s="15">
        <v>2019</v>
      </c>
      <c r="B309" s="15">
        <v>8</v>
      </c>
      <c r="C309" s="15">
        <v>25664.853352122998</v>
      </c>
      <c r="E309" s="15">
        <v>2019</v>
      </c>
      <c r="F309" s="15">
        <v>8</v>
      </c>
      <c r="G309" s="15">
        <v>25472.521513647102</v>
      </c>
      <c r="J309" s="15">
        <v>2019</v>
      </c>
      <c r="K309" s="15">
        <v>8</v>
      </c>
      <c r="L309" s="15">
        <v>24874.901123486299</v>
      </c>
      <c r="N309" s="15">
        <v>2019</v>
      </c>
      <c r="O309" s="15">
        <v>8</v>
      </c>
      <c r="P309" s="15">
        <v>24883.1913451455</v>
      </c>
    </row>
    <row r="310" spans="1:16" x14ac:dyDescent="0.25">
      <c r="A310" s="15">
        <v>2019</v>
      </c>
      <c r="B310" s="15">
        <v>9</v>
      </c>
      <c r="C310" s="15">
        <v>23750.2422953245</v>
      </c>
      <c r="E310" s="15">
        <v>2019</v>
      </c>
      <c r="F310" s="15">
        <v>9</v>
      </c>
      <c r="G310" s="15">
        <v>23569.287047912701</v>
      </c>
      <c r="J310" s="15">
        <v>2019</v>
      </c>
      <c r="K310" s="15">
        <v>9</v>
      </c>
      <c r="L310" s="15">
        <v>22916.472759967201</v>
      </c>
      <c r="N310" s="15">
        <v>2019</v>
      </c>
      <c r="O310" s="15">
        <v>9</v>
      </c>
      <c r="P310" s="15">
        <v>23362.89601705</v>
      </c>
    </row>
    <row r="311" spans="1:16" x14ac:dyDescent="0.25">
      <c r="A311" s="15">
        <v>2019</v>
      </c>
      <c r="B311" s="15">
        <v>10</v>
      </c>
      <c r="C311" s="15">
        <v>27626.6469729813</v>
      </c>
      <c r="E311" s="15">
        <v>2019</v>
      </c>
      <c r="F311" s="15">
        <v>10</v>
      </c>
      <c r="G311" s="15">
        <v>27074.5595392742</v>
      </c>
      <c r="J311" s="15">
        <v>2019</v>
      </c>
      <c r="K311" s="15">
        <v>10</v>
      </c>
      <c r="L311" s="15">
        <v>26055.928153596102</v>
      </c>
      <c r="N311" s="15">
        <v>2019</v>
      </c>
      <c r="O311" s="15">
        <v>10</v>
      </c>
      <c r="P311" s="15">
        <v>26661.028044755902</v>
      </c>
    </row>
    <row r="312" spans="1:16" x14ac:dyDescent="0.25">
      <c r="A312" s="15">
        <v>2019</v>
      </c>
      <c r="B312" s="15">
        <v>11</v>
      </c>
      <c r="C312" s="15">
        <v>24468.663688434899</v>
      </c>
      <c r="E312" s="15">
        <v>2019</v>
      </c>
      <c r="F312" s="15">
        <v>11</v>
      </c>
      <c r="G312" s="15">
        <v>23718.740420170299</v>
      </c>
      <c r="J312" s="15">
        <v>2019</v>
      </c>
      <c r="K312" s="15">
        <v>11</v>
      </c>
      <c r="L312" s="15">
        <v>22685.281065126699</v>
      </c>
      <c r="N312" s="15">
        <v>2019</v>
      </c>
      <c r="O312" s="15">
        <v>11</v>
      </c>
      <c r="P312" s="15">
        <v>23167.6472382879</v>
      </c>
    </row>
    <row r="313" spans="1:16" x14ac:dyDescent="0.25">
      <c r="A313" s="15">
        <v>2019</v>
      </c>
      <c r="B313" s="15">
        <v>12</v>
      </c>
      <c r="C313" s="15">
        <v>21246.557314132599</v>
      </c>
      <c r="E313" s="15">
        <v>2019</v>
      </c>
      <c r="F313" s="15">
        <v>12</v>
      </c>
      <c r="G313" s="15">
        <v>19771.044242857599</v>
      </c>
      <c r="J313" s="15">
        <v>2019</v>
      </c>
      <c r="K313" s="15">
        <v>12</v>
      </c>
      <c r="L313" s="15">
        <v>20351.2288474538</v>
      </c>
      <c r="N313" s="15">
        <v>2019</v>
      </c>
      <c r="O313" s="15">
        <v>12</v>
      </c>
      <c r="P313" s="15">
        <v>21123.906144766399</v>
      </c>
    </row>
    <row r="314" spans="1:16" x14ac:dyDescent="0.25">
      <c r="A314" s="15">
        <v>2020</v>
      </c>
      <c r="B314" s="15">
        <v>1</v>
      </c>
      <c r="C314" s="15">
        <v>32370.984167977898</v>
      </c>
      <c r="E314" s="15">
        <v>2020</v>
      </c>
      <c r="F314" s="15">
        <v>1</v>
      </c>
      <c r="G314" s="15">
        <v>37923.162464368303</v>
      </c>
      <c r="J314" s="15">
        <v>2020</v>
      </c>
      <c r="K314" s="15">
        <v>1</v>
      </c>
      <c r="L314" s="15">
        <v>38219.332354620703</v>
      </c>
      <c r="N314" s="15">
        <v>2020</v>
      </c>
      <c r="O314" s="15">
        <v>1</v>
      </c>
      <c r="P314" s="15">
        <v>33648.667183794103</v>
      </c>
    </row>
    <row r="315" spans="1:16" x14ac:dyDescent="0.25">
      <c r="A315" s="15">
        <v>2020</v>
      </c>
      <c r="B315" s="15">
        <v>2</v>
      </c>
      <c r="C315" s="15">
        <v>30973.471872468101</v>
      </c>
      <c r="E315" s="15">
        <v>2020</v>
      </c>
      <c r="F315" s="15">
        <v>2</v>
      </c>
      <c r="G315" s="15">
        <v>29790.7566336948</v>
      </c>
      <c r="J315" s="15">
        <v>2020</v>
      </c>
      <c r="K315" s="15">
        <v>2</v>
      </c>
      <c r="L315" s="15">
        <v>28311.4125604771</v>
      </c>
      <c r="N315" s="15">
        <v>2020</v>
      </c>
      <c r="O315" s="15">
        <v>2</v>
      </c>
      <c r="P315" s="15">
        <v>29104.449369681501</v>
      </c>
    </row>
    <row r="316" spans="1:16" x14ac:dyDescent="0.25">
      <c r="A316" s="15">
        <v>2020</v>
      </c>
      <c r="B316" s="15">
        <v>3</v>
      </c>
      <c r="C316" s="15">
        <v>13936.402838965099</v>
      </c>
      <c r="E316" s="15">
        <v>2020</v>
      </c>
      <c r="F316" s="15">
        <v>3</v>
      </c>
      <c r="G316" s="15">
        <v>14463.5839656714</v>
      </c>
      <c r="J316" s="15">
        <v>2020</v>
      </c>
      <c r="K316" s="15">
        <v>3</v>
      </c>
      <c r="L316" s="15">
        <v>14716.304274075501</v>
      </c>
      <c r="N316" s="15">
        <v>2020</v>
      </c>
      <c r="O316" s="15">
        <v>3</v>
      </c>
      <c r="P316" s="15">
        <v>16342.5362749859</v>
      </c>
    </row>
    <row r="317" spans="1:16" x14ac:dyDescent="0.25">
      <c r="A317" s="15">
        <v>2020</v>
      </c>
      <c r="B317" s="15">
        <v>4</v>
      </c>
      <c r="C317" s="15">
        <v>-9.6982123561068594</v>
      </c>
      <c r="E317" s="15">
        <v>2020</v>
      </c>
      <c r="F317" s="15">
        <v>4</v>
      </c>
      <c r="G317" s="15">
        <v>-1148.90989619026</v>
      </c>
      <c r="J317" s="15">
        <v>2020</v>
      </c>
      <c r="K317" s="15">
        <v>4</v>
      </c>
      <c r="L317" s="15">
        <v>-841.748342787821</v>
      </c>
      <c r="N317" s="15">
        <v>2020</v>
      </c>
      <c r="O317" s="15">
        <v>4</v>
      </c>
      <c r="P317" s="15">
        <v>-767.56880865795097</v>
      </c>
    </row>
    <row r="318" spans="1:16" x14ac:dyDescent="0.25">
      <c r="A318" s="15">
        <v>2020</v>
      </c>
      <c r="B318" s="15">
        <v>5</v>
      </c>
      <c r="C318" s="15">
        <v>4265.6181296838904</v>
      </c>
      <c r="E318" s="15">
        <v>2020</v>
      </c>
      <c r="F318" s="15">
        <v>5</v>
      </c>
      <c r="G318" s="15">
        <v>4161.2205279653499</v>
      </c>
      <c r="J318" s="15">
        <v>2020</v>
      </c>
      <c r="K318" s="15">
        <v>5</v>
      </c>
      <c r="L318" s="15">
        <v>5764.1379175704697</v>
      </c>
      <c r="N318" s="15">
        <v>2020</v>
      </c>
      <c r="O318" s="15">
        <v>5</v>
      </c>
      <c r="P318" s="15">
        <v>5241.4335778929699</v>
      </c>
    </row>
    <row r="319" spans="1:16" x14ac:dyDescent="0.25">
      <c r="A319" s="15">
        <v>2020</v>
      </c>
      <c r="B319" s="15">
        <v>6</v>
      </c>
      <c r="C319" s="15">
        <v>13833.2454781917</v>
      </c>
      <c r="E319" s="15">
        <v>2020</v>
      </c>
      <c r="F319" s="15">
        <v>6</v>
      </c>
      <c r="G319" s="15">
        <v>13738.803714691199</v>
      </c>
      <c r="J319" s="15">
        <v>2020</v>
      </c>
      <c r="K319" s="15">
        <v>6</v>
      </c>
      <c r="L319" s="15">
        <v>14093.5288655076</v>
      </c>
      <c r="N319" s="15">
        <v>2020</v>
      </c>
      <c r="O319" s="15">
        <v>6</v>
      </c>
      <c r="P319" s="15">
        <v>15736.16798783</v>
      </c>
    </row>
    <row r="320" spans="1:16" x14ac:dyDescent="0.25">
      <c r="A320" s="15">
        <v>2020</v>
      </c>
      <c r="B320" s="15">
        <v>7</v>
      </c>
      <c r="C320" s="15">
        <v>21733.301548841599</v>
      </c>
      <c r="E320" s="15">
        <v>2020</v>
      </c>
      <c r="F320" s="15">
        <v>7</v>
      </c>
      <c r="G320" s="15">
        <v>21512.901959695901</v>
      </c>
      <c r="J320" s="15">
        <v>2020</v>
      </c>
      <c r="K320" s="15">
        <v>7</v>
      </c>
      <c r="L320" s="15">
        <v>21415.871262996501</v>
      </c>
      <c r="N320" s="15">
        <v>2020</v>
      </c>
      <c r="O320" s="15">
        <v>7</v>
      </c>
      <c r="P320" s="15">
        <v>21275.028542258598</v>
      </c>
    </row>
    <row r="321" spans="1:16" x14ac:dyDescent="0.25">
      <c r="A321" s="15">
        <v>2020</v>
      </c>
      <c r="B321" s="15">
        <v>8</v>
      </c>
      <c r="C321" s="15">
        <v>22441.550038284098</v>
      </c>
      <c r="E321" s="15">
        <v>2020</v>
      </c>
      <c r="F321" s="15">
        <v>8</v>
      </c>
      <c r="G321" s="15">
        <v>22321.809488880299</v>
      </c>
      <c r="J321" s="15">
        <v>2020</v>
      </c>
      <c r="K321" s="15">
        <v>8</v>
      </c>
      <c r="L321" s="15">
        <v>21090.237178825599</v>
      </c>
      <c r="N321" s="15">
        <v>2020</v>
      </c>
      <c r="O321" s="15">
        <v>8</v>
      </c>
      <c r="P321" s="15">
        <v>21034.9266452298</v>
      </c>
    </row>
    <row r="322" spans="1:16" x14ac:dyDescent="0.25">
      <c r="A322" s="15">
        <v>2020</v>
      </c>
      <c r="B322" s="15">
        <v>9</v>
      </c>
      <c r="C322" s="15">
        <v>26666.293459144399</v>
      </c>
      <c r="E322" s="15">
        <v>2020</v>
      </c>
      <c r="F322" s="15">
        <v>9</v>
      </c>
      <c r="G322" s="15">
        <v>26513.321762269501</v>
      </c>
      <c r="J322" s="15">
        <v>2020</v>
      </c>
      <c r="K322" s="15">
        <v>9</v>
      </c>
      <c r="L322" s="15">
        <v>25627.250251319299</v>
      </c>
      <c r="N322" s="15">
        <v>2020</v>
      </c>
      <c r="O322" s="15">
        <v>9</v>
      </c>
      <c r="P322" s="15">
        <v>26467.720254117099</v>
      </c>
    </row>
    <row r="323" spans="1:16" x14ac:dyDescent="0.25">
      <c r="A323" s="15">
        <v>2020</v>
      </c>
      <c r="B323" s="15">
        <v>10</v>
      </c>
      <c r="C323" s="15">
        <v>25801.822108661701</v>
      </c>
      <c r="E323" s="15">
        <v>2020</v>
      </c>
      <c r="F323" s="15">
        <v>10</v>
      </c>
      <c r="G323" s="15">
        <v>25187.673921026999</v>
      </c>
      <c r="J323" s="15">
        <v>2020</v>
      </c>
      <c r="K323" s="15">
        <v>10</v>
      </c>
      <c r="L323" s="15">
        <v>23961.5692787318</v>
      </c>
      <c r="N323" s="15">
        <v>2020</v>
      </c>
      <c r="O323" s="15">
        <v>10</v>
      </c>
      <c r="P323" s="15">
        <v>24720.106833733698</v>
      </c>
    </row>
    <row r="324" spans="1:16" x14ac:dyDescent="0.25">
      <c r="A324" s="15">
        <v>2020</v>
      </c>
      <c r="B324" s="15">
        <v>11</v>
      </c>
      <c r="C324" s="15">
        <v>30165.631995624899</v>
      </c>
      <c r="E324" s="15">
        <v>2020</v>
      </c>
      <c r="F324" s="15">
        <v>11</v>
      </c>
      <c r="G324" s="15">
        <v>29014.586259351199</v>
      </c>
      <c r="J324" s="15">
        <v>2020</v>
      </c>
      <c r="K324" s="15">
        <v>11</v>
      </c>
      <c r="L324" s="15">
        <v>27703.3495513421</v>
      </c>
      <c r="N324" s="15">
        <v>2020</v>
      </c>
      <c r="O324" s="15">
        <v>11</v>
      </c>
      <c r="P324" s="15">
        <v>28803.1063526244</v>
      </c>
    </row>
    <row r="325" spans="1:16" x14ac:dyDescent="0.25">
      <c r="A325" s="15">
        <v>2020</v>
      </c>
      <c r="B325" s="15">
        <v>12</v>
      </c>
      <c r="C325" s="15">
        <v>35085.893701741101</v>
      </c>
      <c r="E325" s="15">
        <v>2020</v>
      </c>
      <c r="F325" s="15">
        <v>12</v>
      </c>
      <c r="G325" s="15">
        <v>32964.2128666645</v>
      </c>
      <c r="J325" s="15">
        <v>2020</v>
      </c>
      <c r="K325" s="15">
        <v>12</v>
      </c>
      <c r="L325" s="15">
        <v>34261.562295439297</v>
      </c>
      <c r="N325" s="15">
        <v>2020</v>
      </c>
      <c r="O325" s="15">
        <v>12</v>
      </c>
      <c r="P325" s="15">
        <v>43975.664665951503</v>
      </c>
    </row>
    <row r="326" spans="1:16" x14ac:dyDescent="0.25">
      <c r="A326" s="15">
        <v>2021</v>
      </c>
      <c r="B326" s="15">
        <v>1</v>
      </c>
      <c r="C326" s="15">
        <v>37371.930052657699</v>
      </c>
      <c r="E326" s="15">
        <v>2021</v>
      </c>
      <c r="F326" s="15">
        <v>1</v>
      </c>
      <c r="G326" s="15">
        <v>44047.270351845</v>
      </c>
      <c r="J326" s="15">
        <v>2021</v>
      </c>
      <c r="K326" s="15">
        <v>1</v>
      </c>
      <c r="L326" s="15">
        <v>45104.484697906999</v>
      </c>
      <c r="N326" s="15">
        <v>2021</v>
      </c>
      <c r="O326" s="15">
        <v>1</v>
      </c>
      <c r="P326" s="15">
        <v>41585.908812616501</v>
      </c>
    </row>
    <row r="327" spans="1:16" x14ac:dyDescent="0.25">
      <c r="A327" s="15">
        <v>2021</v>
      </c>
      <c r="B327" s="15">
        <v>2</v>
      </c>
      <c r="C327" s="15">
        <v>25368.489418075598</v>
      </c>
      <c r="E327" s="15">
        <v>2021</v>
      </c>
      <c r="F327" s="15">
        <v>2</v>
      </c>
      <c r="G327" s="15">
        <v>24047.916268924699</v>
      </c>
      <c r="J327" s="15">
        <v>2021</v>
      </c>
      <c r="K327" s="15">
        <v>2</v>
      </c>
      <c r="L327" s="15">
        <v>25092.0392277764</v>
      </c>
      <c r="N327" s="15">
        <v>2021</v>
      </c>
      <c r="O327" s="15">
        <v>2</v>
      </c>
      <c r="P327" s="15">
        <v>28911.713646859</v>
      </c>
    </row>
    <row r="328" spans="1:16" x14ac:dyDescent="0.25">
      <c r="A328" s="15">
        <v>2021</v>
      </c>
      <c r="B328" s="15">
        <v>3</v>
      </c>
      <c r="C328" s="15">
        <v>36207.522750747499</v>
      </c>
      <c r="E328" s="15">
        <v>2021</v>
      </c>
      <c r="F328" s="15">
        <v>3</v>
      </c>
      <c r="G328" s="15">
        <v>36792.321027521997</v>
      </c>
      <c r="J328" s="15">
        <v>2021</v>
      </c>
      <c r="K328" s="15">
        <v>3</v>
      </c>
      <c r="L328" s="15">
        <v>36850.690736715202</v>
      </c>
    </row>
    <row r="329" spans="1:16" x14ac:dyDescent="0.25">
      <c r="A329" s="15">
        <v>2021</v>
      </c>
      <c r="B329" s="15">
        <v>4</v>
      </c>
      <c r="C329" s="15">
        <v>30006.0863758915</v>
      </c>
      <c r="E329" s="15">
        <v>2021</v>
      </c>
      <c r="F329" s="15">
        <v>4</v>
      </c>
      <c r="G329" s="15">
        <v>28579.052913753701</v>
      </c>
      <c r="J329" s="15">
        <v>2021</v>
      </c>
      <c r="K329" s="15">
        <v>4</v>
      </c>
      <c r="L329" s="15">
        <v>28475.325315171998</v>
      </c>
    </row>
    <row r="330" spans="1:16" x14ac:dyDescent="0.25">
      <c r="A330" s="15">
        <v>2021</v>
      </c>
      <c r="B330" s="15">
        <v>5</v>
      </c>
      <c r="C330" s="15">
        <v>34813.640332125797</v>
      </c>
      <c r="E330" s="15">
        <v>2021</v>
      </c>
      <c r="F330" s="15">
        <v>5</v>
      </c>
      <c r="G330" s="15">
        <v>34765.311269127502</v>
      </c>
      <c r="J330" s="15">
        <v>2021</v>
      </c>
      <c r="K330" s="15">
        <v>5</v>
      </c>
      <c r="L330" s="15">
        <v>36739.179240113699</v>
      </c>
    </row>
    <row r="331" spans="1:16" x14ac:dyDescent="0.25">
      <c r="A331" s="15">
        <v>2021</v>
      </c>
      <c r="B331" s="15">
        <v>6</v>
      </c>
      <c r="C331" s="15">
        <v>38156.368745745298</v>
      </c>
      <c r="E331" s="15">
        <v>2021</v>
      </c>
      <c r="F331" s="15">
        <v>6</v>
      </c>
      <c r="G331" s="15">
        <v>38160.065949164098</v>
      </c>
      <c r="J331" s="15">
        <v>2021</v>
      </c>
      <c r="K331" s="15">
        <v>6</v>
      </c>
      <c r="L331" s="15">
        <v>38999.112908757903</v>
      </c>
    </row>
    <row r="332" spans="1:16" x14ac:dyDescent="0.25">
      <c r="A332" s="15">
        <v>2021</v>
      </c>
      <c r="B332" s="15">
        <v>7</v>
      </c>
      <c r="C332" s="15">
        <v>33686.264542877201</v>
      </c>
      <c r="E332" s="15">
        <v>2021</v>
      </c>
      <c r="F332" s="15">
        <v>7</v>
      </c>
      <c r="G332" s="15">
        <v>33464.264780261299</v>
      </c>
      <c r="J332" s="15">
        <v>2021</v>
      </c>
      <c r="K332" s="15">
        <v>7</v>
      </c>
      <c r="L332" s="15">
        <v>33164.520991779602</v>
      </c>
    </row>
    <row r="333" spans="1:16" x14ac:dyDescent="0.25">
      <c r="A333" s="15">
        <v>2021</v>
      </c>
      <c r="B333" s="15">
        <v>8</v>
      </c>
      <c r="C333" s="15">
        <v>34126.893930038103</v>
      </c>
      <c r="E333" s="15">
        <v>2021</v>
      </c>
      <c r="F333" s="15">
        <v>8</v>
      </c>
      <c r="G333" s="15">
        <v>34007.479316962403</v>
      </c>
      <c r="J333" s="15">
        <v>2021</v>
      </c>
      <c r="K333" s="15">
        <v>8</v>
      </c>
      <c r="L333" s="15">
        <v>31734.5783022951</v>
      </c>
    </row>
    <row r="334" spans="1:16" x14ac:dyDescent="0.25">
      <c r="A334" s="15">
        <v>2021</v>
      </c>
      <c r="B334" s="15">
        <v>9</v>
      </c>
      <c r="C334" s="15">
        <v>37886.690030504898</v>
      </c>
      <c r="E334" s="15">
        <v>2021</v>
      </c>
      <c r="F334" s="15">
        <v>9</v>
      </c>
      <c r="G334" s="15">
        <v>37800.015546234303</v>
      </c>
      <c r="J334" s="15">
        <v>2021</v>
      </c>
      <c r="K334" s="15">
        <v>9</v>
      </c>
      <c r="L334" s="15">
        <v>36628.704923700403</v>
      </c>
    </row>
    <row r="335" spans="1:16" x14ac:dyDescent="0.25">
      <c r="E335" s="15">
        <v>2021</v>
      </c>
      <c r="F335" s="15">
        <v>10</v>
      </c>
      <c r="G335" s="15">
        <v>38807.655550772601</v>
      </c>
      <c r="J335" s="15">
        <v>2021</v>
      </c>
      <c r="K335" s="15">
        <v>10</v>
      </c>
      <c r="L335" s="15">
        <v>37485.447489801103</v>
      </c>
    </row>
    <row r="336" spans="1:16" x14ac:dyDescent="0.25">
      <c r="E336" s="15">
        <v>2021</v>
      </c>
      <c r="F336" s="15">
        <v>11</v>
      </c>
      <c r="G336" s="15">
        <v>41191.900391114403</v>
      </c>
      <c r="J336" s="15">
        <v>2021</v>
      </c>
      <c r="K336" s="15">
        <v>11</v>
      </c>
      <c r="L336" s="15">
        <v>39711.324956773598</v>
      </c>
    </row>
    <row r="337" spans="5:12" x14ac:dyDescent="0.25">
      <c r="E337" s="15">
        <v>2021</v>
      </c>
      <c r="F337" s="15">
        <v>12</v>
      </c>
      <c r="G337" s="15">
        <v>41900.339390131798</v>
      </c>
      <c r="J337" s="15">
        <v>2021</v>
      </c>
      <c r="K337" s="15">
        <v>12</v>
      </c>
      <c r="L337" s="15">
        <v>44025.488081808202</v>
      </c>
    </row>
    <row r="338" spans="5:12" x14ac:dyDescent="0.25">
      <c r="E338" s="15">
        <v>2022</v>
      </c>
      <c r="F338" s="15">
        <v>1</v>
      </c>
      <c r="G338" s="15">
        <v>38140.914718120097</v>
      </c>
      <c r="J338" s="15">
        <v>2022</v>
      </c>
      <c r="K338" s="15">
        <v>1</v>
      </c>
      <c r="L338" s="15">
        <v>39864.097207011699</v>
      </c>
    </row>
    <row r="339" spans="5:12" x14ac:dyDescent="0.25">
      <c r="E339" s="15">
        <v>2022</v>
      </c>
      <c r="F339" s="15">
        <v>2</v>
      </c>
      <c r="G339" s="15">
        <v>40452.367102077696</v>
      </c>
      <c r="J339" s="15">
        <v>2022</v>
      </c>
      <c r="K339" s="15">
        <v>2</v>
      </c>
      <c r="L339" s="15">
        <v>41715.401914768903</v>
      </c>
    </row>
    <row r="340" spans="5:12" x14ac:dyDescent="0.25">
      <c r="E340" s="15">
        <v>2022</v>
      </c>
      <c r="F340" s="15">
        <v>3</v>
      </c>
      <c r="G340" s="15">
        <v>42327.351815451999</v>
      </c>
      <c r="J340" s="15">
        <v>2022</v>
      </c>
      <c r="K340" s="15">
        <v>3</v>
      </c>
      <c r="L340" s="15">
        <v>42305.950873230096</v>
      </c>
    </row>
    <row r="341" spans="5:12" x14ac:dyDescent="0.25">
      <c r="E341" s="15">
        <v>2022</v>
      </c>
      <c r="F341" s="15">
        <v>4</v>
      </c>
      <c r="G341" s="15">
        <v>44808.109689278201</v>
      </c>
      <c r="J341" s="15">
        <v>2022</v>
      </c>
      <c r="K341" s="15">
        <v>4</v>
      </c>
      <c r="L341" s="15">
        <v>44167.118015338798</v>
      </c>
    </row>
    <row r="342" spans="5:12" x14ac:dyDescent="0.25">
      <c r="E342" s="15">
        <v>2022</v>
      </c>
      <c r="F342" s="15">
        <v>5</v>
      </c>
      <c r="G342" s="15">
        <v>45077.214457822702</v>
      </c>
      <c r="J342" s="15">
        <v>2022</v>
      </c>
      <c r="K342" s="15">
        <v>5</v>
      </c>
      <c r="L342" s="15">
        <v>47121.840798817102</v>
      </c>
    </row>
    <row r="343" spans="5:12" x14ac:dyDescent="0.25">
      <c r="E343" s="15">
        <v>2022</v>
      </c>
      <c r="F343" s="15">
        <v>6</v>
      </c>
      <c r="G343" s="15">
        <v>46194.072629246497</v>
      </c>
      <c r="J343" s="15">
        <v>2022</v>
      </c>
      <c r="K343" s="15">
        <v>6</v>
      </c>
      <c r="L343" s="15">
        <v>47641.5085112573</v>
      </c>
    </row>
    <row r="344" spans="5:12" x14ac:dyDescent="0.25">
      <c r="E344" s="15">
        <v>2022</v>
      </c>
      <c r="F344" s="15">
        <v>7</v>
      </c>
      <c r="G344" s="15">
        <v>47015.742940748998</v>
      </c>
      <c r="J344" s="15">
        <v>2022</v>
      </c>
      <c r="K344" s="15">
        <v>7</v>
      </c>
      <c r="L344" s="15">
        <v>46405.832997538702</v>
      </c>
    </row>
    <row r="345" spans="5:12" x14ac:dyDescent="0.25">
      <c r="J345" s="15">
        <v>2022</v>
      </c>
      <c r="K345" s="15">
        <v>8</v>
      </c>
      <c r="L345" s="15">
        <v>45703.363899198703</v>
      </c>
    </row>
    <row r="346" spans="5:12" x14ac:dyDescent="0.25">
      <c r="J346" s="15">
        <v>2022</v>
      </c>
      <c r="K346" s="15">
        <v>9</v>
      </c>
      <c r="L346" s="15">
        <v>44840.138257815102</v>
      </c>
    </row>
    <row r="347" spans="5:12" x14ac:dyDescent="0.25">
      <c r="J347" s="15">
        <v>2022</v>
      </c>
      <c r="K347" s="15">
        <v>10</v>
      </c>
      <c r="L347" s="15">
        <v>48858.953776947899</v>
      </c>
    </row>
    <row r="348" spans="5:12" x14ac:dyDescent="0.25">
      <c r="J348" s="15">
        <v>2022</v>
      </c>
      <c r="K348" s="15">
        <v>11</v>
      </c>
      <c r="L348" s="15">
        <v>46097.150511725602</v>
      </c>
    </row>
    <row r="349" spans="5:12" x14ac:dyDescent="0.25">
      <c r="J349" s="15">
        <v>2022</v>
      </c>
      <c r="K349" s="15">
        <v>12</v>
      </c>
      <c r="L349" s="15">
        <v>42801.927290637497</v>
      </c>
    </row>
    <row r="350" spans="5:12" x14ac:dyDescent="0.25">
      <c r="J350" s="15">
        <v>2023</v>
      </c>
      <c r="K350" s="15">
        <v>1</v>
      </c>
      <c r="L350" s="15">
        <v>47499.852530093201</v>
      </c>
    </row>
    <row r="351" spans="5:12" x14ac:dyDescent="0.25">
      <c r="J351" s="15">
        <v>2023</v>
      </c>
      <c r="K351" s="15">
        <v>2</v>
      </c>
      <c r="L351" s="15">
        <v>51200.946509609799</v>
      </c>
    </row>
    <row r="352" spans="5:12" x14ac:dyDescent="0.25">
      <c r="J352" s="15">
        <v>2023</v>
      </c>
      <c r="K352" s="15">
        <v>3</v>
      </c>
      <c r="L352" s="15">
        <v>54754.142475654</v>
      </c>
    </row>
    <row r="353" spans="10:12" x14ac:dyDescent="0.25">
      <c r="J353" s="15">
        <v>2023</v>
      </c>
      <c r="K353" s="15">
        <v>4</v>
      </c>
      <c r="L353" s="15">
        <v>55599.735634389901</v>
      </c>
    </row>
    <row r="354" spans="10:12" x14ac:dyDescent="0.25">
      <c r="J354" s="15">
        <v>2023</v>
      </c>
      <c r="K354" s="15">
        <v>5</v>
      </c>
      <c r="L354" s="15">
        <v>52710.536871238903</v>
      </c>
    </row>
    <row r="355" spans="10:12" x14ac:dyDescent="0.25">
      <c r="J355" s="15">
        <v>2023</v>
      </c>
      <c r="K355" s="15">
        <v>6</v>
      </c>
      <c r="L355" s="15">
        <v>53483.352663633501</v>
      </c>
    </row>
    <row r="356" spans="10:12" x14ac:dyDescent="0.25">
      <c r="J356" s="15">
        <v>2023</v>
      </c>
      <c r="K356" s="15">
        <v>7</v>
      </c>
      <c r="L356" s="15">
        <v>50947.477489943398</v>
      </c>
    </row>
    <row r="357" spans="10:12" x14ac:dyDescent="0.25">
      <c r="J357" s="15">
        <v>2023</v>
      </c>
      <c r="K357" s="15">
        <v>8</v>
      </c>
      <c r="L357" s="15">
        <v>54473.557861453701</v>
      </c>
    </row>
    <row r="358" spans="10:12" x14ac:dyDescent="0.25">
      <c r="J358" s="15">
        <v>2023</v>
      </c>
      <c r="K358" s="15">
        <v>9</v>
      </c>
      <c r="L358" s="15">
        <v>50601.314849931303</v>
      </c>
    </row>
    <row r="359" spans="10:12" x14ac:dyDescent="0.25">
      <c r="J359" s="15">
        <v>2023</v>
      </c>
      <c r="K359" s="15">
        <v>10</v>
      </c>
      <c r="L359" s="15">
        <v>46925.064547997499</v>
      </c>
    </row>
    <row r="360" spans="10:12" x14ac:dyDescent="0.25">
      <c r="J360" s="15">
        <v>2023</v>
      </c>
      <c r="K360" s="15">
        <v>11</v>
      </c>
      <c r="L360" s="15">
        <v>49097.113387057201</v>
      </c>
    </row>
    <row r="361" spans="10:12" x14ac:dyDescent="0.25">
      <c r="J361" s="15">
        <v>2023</v>
      </c>
      <c r="K361" s="15">
        <v>12</v>
      </c>
      <c r="L361" s="15">
        <v>44625.534106266503</v>
      </c>
    </row>
    <row r="362" spans="10:12" x14ac:dyDescent="0.25">
      <c r="J362" s="15">
        <v>2024</v>
      </c>
      <c r="K362" s="15">
        <v>1</v>
      </c>
      <c r="L362" s="15">
        <v>41683.048356902502</v>
      </c>
    </row>
    <row r="363" spans="10:12" x14ac:dyDescent="0.25">
      <c r="J363" s="15">
        <v>2024</v>
      </c>
      <c r="K363" s="15">
        <v>2</v>
      </c>
      <c r="L363" s="15">
        <v>41359.151335755298</v>
      </c>
    </row>
    <row r="364" spans="10:12" x14ac:dyDescent="0.25">
      <c r="J364" s="15">
        <v>2024</v>
      </c>
      <c r="K364" s="15">
        <v>3</v>
      </c>
      <c r="L364" s="15">
        <v>39806.019887539704</v>
      </c>
    </row>
    <row r="365" spans="10:12" x14ac:dyDescent="0.25">
      <c r="J365" s="15">
        <v>2024</v>
      </c>
      <c r="K365" s="15">
        <v>4</v>
      </c>
      <c r="L365" s="15">
        <v>40840.736435873499</v>
      </c>
    </row>
    <row r="366" spans="10:12" x14ac:dyDescent="0.25">
      <c r="J366" s="15">
        <v>2024</v>
      </c>
      <c r="K366" s="15">
        <v>5</v>
      </c>
      <c r="L366" s="15">
        <v>37806.757407469602</v>
      </c>
    </row>
    <row r="367" spans="10:12" x14ac:dyDescent="0.25">
      <c r="J367" s="15">
        <v>2024</v>
      </c>
      <c r="K367" s="15">
        <v>6</v>
      </c>
      <c r="L367" s="15">
        <v>35282.796214098198</v>
      </c>
    </row>
    <row r="368" spans="10:12" x14ac:dyDescent="0.25">
      <c r="J368" s="15">
        <v>2024</v>
      </c>
      <c r="K368" s="15">
        <v>7</v>
      </c>
      <c r="L368" s="15">
        <v>43066.218839569898</v>
      </c>
    </row>
    <row r="369" spans="10:12" x14ac:dyDescent="0.25">
      <c r="J369" s="15">
        <v>2024</v>
      </c>
      <c r="K369" s="15">
        <v>8</v>
      </c>
      <c r="L369" s="15">
        <v>43528.749650507802</v>
      </c>
    </row>
    <row r="370" spans="10:12" x14ac:dyDescent="0.25">
      <c r="J370" s="15">
        <v>2024</v>
      </c>
      <c r="K370" s="15">
        <v>9</v>
      </c>
      <c r="L370" s="15">
        <v>43441.8759874112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5D5C-80B5-475C-A643-6467463D5055}">
  <dimension ref="A1:K332"/>
  <sheetViews>
    <sheetView workbookViewId="0">
      <selection activeCell="K2" sqref="K2:K332"/>
    </sheetView>
  </sheetViews>
  <sheetFormatPr baseColWidth="10" defaultColWidth="11.42578125" defaultRowHeight="15" x14ac:dyDescent="0.25"/>
  <cols>
    <col min="7" max="7" width="11.42578125" style="16"/>
  </cols>
  <sheetData>
    <row r="1" spans="1:11" ht="42.75" x14ac:dyDescent="0.25">
      <c r="A1" s="14" t="s">
        <v>38</v>
      </c>
      <c r="B1" s="14" t="s">
        <v>34</v>
      </c>
      <c r="C1" s="14" t="s">
        <v>35</v>
      </c>
      <c r="E1" s="9" t="s">
        <v>38</v>
      </c>
      <c r="F1" s="9" t="s">
        <v>34</v>
      </c>
      <c r="G1" s="14" t="s">
        <v>35</v>
      </c>
      <c r="I1" s="14" t="s">
        <v>38</v>
      </c>
      <c r="J1" s="14" t="s">
        <v>34</v>
      </c>
      <c r="K1" s="14" t="s">
        <v>35</v>
      </c>
    </row>
    <row r="2" spans="1:11" x14ac:dyDescent="0.25">
      <c r="A2" s="15">
        <v>1994</v>
      </c>
      <c r="B2" s="15">
        <v>1</v>
      </c>
      <c r="C2" s="15">
        <v>52517.217090299397</v>
      </c>
      <c r="E2" s="10">
        <v>1994</v>
      </c>
      <c r="F2" s="10">
        <v>1</v>
      </c>
      <c r="G2" s="15">
        <v>52533.722536815898</v>
      </c>
      <c r="I2" s="15">
        <v>1994</v>
      </c>
      <c r="J2" s="15">
        <v>1</v>
      </c>
      <c r="K2" s="15">
        <v>52536.505451572397</v>
      </c>
    </row>
    <row r="3" spans="1:11" x14ac:dyDescent="0.25">
      <c r="A3" s="15">
        <v>1994</v>
      </c>
      <c r="B3" s="15">
        <v>2</v>
      </c>
      <c r="C3" s="15">
        <v>11751.0888127833</v>
      </c>
      <c r="E3" s="10">
        <v>1994</v>
      </c>
      <c r="F3" s="10">
        <v>2</v>
      </c>
      <c r="G3" s="15">
        <v>11747.1328989347</v>
      </c>
      <c r="I3" s="15">
        <v>1994</v>
      </c>
      <c r="J3" s="15">
        <v>2</v>
      </c>
      <c r="K3" s="15">
        <v>11751.7269040345</v>
      </c>
    </row>
    <row r="4" spans="1:11" x14ac:dyDescent="0.25">
      <c r="A4" s="15">
        <v>1994</v>
      </c>
      <c r="B4" s="15">
        <v>3</v>
      </c>
      <c r="C4" s="15">
        <v>29292.710958411299</v>
      </c>
      <c r="E4" s="10">
        <v>1994</v>
      </c>
      <c r="F4" s="10">
        <v>3</v>
      </c>
      <c r="G4" s="15">
        <v>29288.523295175699</v>
      </c>
      <c r="I4" s="15">
        <v>1994</v>
      </c>
      <c r="J4" s="15">
        <v>3</v>
      </c>
      <c r="K4" s="15">
        <v>29286.252634349101</v>
      </c>
    </row>
    <row r="5" spans="1:11" x14ac:dyDescent="0.25">
      <c r="A5" s="15">
        <v>1994</v>
      </c>
      <c r="B5" s="15">
        <v>4</v>
      </c>
      <c r="C5" s="15">
        <v>33519.735999007702</v>
      </c>
      <c r="E5" s="10">
        <v>1994</v>
      </c>
      <c r="F5" s="10">
        <v>4</v>
      </c>
      <c r="G5" s="15">
        <v>33520.0257893823</v>
      </c>
      <c r="I5" s="15">
        <v>1994</v>
      </c>
      <c r="J5" s="15">
        <v>4</v>
      </c>
      <c r="K5" s="15">
        <v>33523.806298536198</v>
      </c>
    </row>
    <row r="6" spans="1:11" x14ac:dyDescent="0.25">
      <c r="A6" s="15">
        <v>1994</v>
      </c>
      <c r="B6" s="15">
        <v>5</v>
      </c>
      <c r="C6" s="15">
        <v>30063.316796065301</v>
      </c>
      <c r="E6" s="10">
        <v>1994</v>
      </c>
      <c r="F6" s="10">
        <v>5</v>
      </c>
      <c r="G6" s="15">
        <v>30065.190233927398</v>
      </c>
      <c r="I6" s="15">
        <v>1994</v>
      </c>
      <c r="J6" s="15">
        <v>5</v>
      </c>
      <c r="K6" s="15">
        <v>30069.815123837601</v>
      </c>
    </row>
    <row r="7" spans="1:11" x14ac:dyDescent="0.25">
      <c r="A7" s="15">
        <v>1994</v>
      </c>
      <c r="B7" s="15">
        <v>6</v>
      </c>
      <c r="C7" s="15">
        <v>32054.822927425499</v>
      </c>
      <c r="E7" s="10">
        <v>1994</v>
      </c>
      <c r="F7" s="10">
        <v>6</v>
      </c>
      <c r="G7" s="15">
        <v>32049.995604066498</v>
      </c>
      <c r="I7" s="15">
        <v>1994</v>
      </c>
      <c r="J7" s="15">
        <v>6</v>
      </c>
      <c r="K7" s="15">
        <v>32037.5584954851</v>
      </c>
    </row>
    <row r="8" spans="1:11" x14ac:dyDescent="0.25">
      <c r="A8" s="15">
        <v>1994</v>
      </c>
      <c r="B8" s="15">
        <v>7</v>
      </c>
      <c r="C8" s="15">
        <v>32809.386283622101</v>
      </c>
      <c r="E8" s="10">
        <v>1994</v>
      </c>
      <c r="F8" s="10">
        <v>7</v>
      </c>
      <c r="G8" s="15">
        <v>32812.051378217897</v>
      </c>
      <c r="I8" s="15">
        <v>1994</v>
      </c>
      <c r="J8" s="15">
        <v>7</v>
      </c>
      <c r="K8" s="15">
        <v>32818.125510828999</v>
      </c>
    </row>
    <row r="9" spans="1:11" x14ac:dyDescent="0.25">
      <c r="A9" s="15">
        <v>1994</v>
      </c>
      <c r="B9" s="15">
        <v>8</v>
      </c>
      <c r="C9" s="15">
        <v>34885.046939811597</v>
      </c>
      <c r="E9" s="10">
        <v>1994</v>
      </c>
      <c r="F9" s="10">
        <v>8</v>
      </c>
      <c r="G9" s="15">
        <v>34880.505149965</v>
      </c>
      <c r="I9" s="15">
        <v>1994</v>
      </c>
      <c r="J9" s="15">
        <v>8</v>
      </c>
      <c r="K9" s="15">
        <v>34869.537438216903</v>
      </c>
    </row>
    <row r="10" spans="1:11" x14ac:dyDescent="0.25">
      <c r="A10" s="15">
        <v>1994</v>
      </c>
      <c r="B10" s="15">
        <v>9</v>
      </c>
      <c r="C10" s="15">
        <v>36119.716267721597</v>
      </c>
      <c r="E10" s="10">
        <v>1994</v>
      </c>
      <c r="F10" s="10">
        <v>9</v>
      </c>
      <c r="G10" s="15">
        <v>36115.416418840403</v>
      </c>
      <c r="I10" s="15">
        <v>1994</v>
      </c>
      <c r="J10" s="15">
        <v>9</v>
      </c>
      <c r="K10" s="15">
        <v>36104.9757550219</v>
      </c>
    </row>
    <row r="11" spans="1:11" x14ac:dyDescent="0.25">
      <c r="A11" s="15">
        <v>1994</v>
      </c>
      <c r="B11" s="15">
        <v>10</v>
      </c>
      <c r="C11" s="15">
        <v>34085.298483683997</v>
      </c>
      <c r="E11" s="10">
        <v>1994</v>
      </c>
      <c r="F11" s="10">
        <v>10</v>
      </c>
      <c r="G11" s="15">
        <v>34089.442632707804</v>
      </c>
      <c r="I11" s="15">
        <v>1994</v>
      </c>
      <c r="J11" s="15">
        <v>10</v>
      </c>
      <c r="K11" s="15">
        <v>34099.723970044601</v>
      </c>
    </row>
    <row r="12" spans="1:11" x14ac:dyDescent="0.25">
      <c r="A12" s="15">
        <v>1994</v>
      </c>
      <c r="B12" s="15">
        <v>11</v>
      </c>
      <c r="C12" s="15">
        <v>33736.8699293885</v>
      </c>
      <c r="E12" s="10">
        <v>1994</v>
      </c>
      <c r="F12" s="10">
        <v>11</v>
      </c>
      <c r="G12" s="15">
        <v>33738.925525135601</v>
      </c>
      <c r="I12" s="15">
        <v>1994</v>
      </c>
      <c r="J12" s="15">
        <v>11</v>
      </c>
      <c r="K12" s="15">
        <v>33742.237554495303</v>
      </c>
    </row>
    <row r="13" spans="1:11" x14ac:dyDescent="0.25">
      <c r="A13" s="15">
        <v>1994</v>
      </c>
      <c r="B13" s="15">
        <v>12</v>
      </c>
      <c r="C13" s="15">
        <v>32979.965528812303</v>
      </c>
      <c r="E13" s="10">
        <v>1994</v>
      </c>
      <c r="F13" s="10">
        <v>12</v>
      </c>
      <c r="G13" s="15">
        <v>32978.601733995201</v>
      </c>
      <c r="I13" s="15">
        <v>1994</v>
      </c>
      <c r="J13" s="15">
        <v>12</v>
      </c>
      <c r="K13" s="15">
        <v>32977.384160091402</v>
      </c>
    </row>
    <row r="14" spans="1:11" x14ac:dyDescent="0.25">
      <c r="A14" s="15">
        <v>1995</v>
      </c>
      <c r="B14" s="15">
        <v>1</v>
      </c>
      <c r="C14" s="15">
        <v>25958.9525807873</v>
      </c>
      <c r="E14" s="10">
        <v>1995</v>
      </c>
      <c r="F14" s="10">
        <v>1</v>
      </c>
      <c r="G14" s="15">
        <v>25971.120063111699</v>
      </c>
      <c r="I14" s="15">
        <v>1995</v>
      </c>
      <c r="J14" s="15">
        <v>1</v>
      </c>
      <c r="K14" s="15">
        <v>25970.077839797501</v>
      </c>
    </row>
    <row r="15" spans="1:11" x14ac:dyDescent="0.25">
      <c r="A15" s="15">
        <v>1995</v>
      </c>
      <c r="B15" s="15">
        <v>2</v>
      </c>
      <c r="C15" s="15">
        <v>36091.0319890998</v>
      </c>
      <c r="E15" s="10">
        <v>1995</v>
      </c>
      <c r="F15" s="10">
        <v>2</v>
      </c>
      <c r="G15" s="15">
        <v>36087.131612310201</v>
      </c>
      <c r="I15" s="15">
        <v>1995</v>
      </c>
      <c r="J15" s="15">
        <v>2</v>
      </c>
      <c r="K15" s="15">
        <v>36090.029611935097</v>
      </c>
    </row>
    <row r="16" spans="1:11" x14ac:dyDescent="0.25">
      <c r="A16" s="15">
        <v>1995</v>
      </c>
      <c r="B16" s="15">
        <v>3</v>
      </c>
      <c r="C16" s="15">
        <v>31261.822701028701</v>
      </c>
      <c r="E16" s="10">
        <v>1995</v>
      </c>
      <c r="F16" s="10">
        <v>3</v>
      </c>
      <c r="G16" s="15">
        <v>31257.101700840802</v>
      </c>
      <c r="I16" s="15">
        <v>1995</v>
      </c>
      <c r="J16" s="15">
        <v>3</v>
      </c>
      <c r="K16" s="15">
        <v>31252.447420439701</v>
      </c>
    </row>
    <row r="17" spans="1:11" x14ac:dyDescent="0.25">
      <c r="A17" s="15">
        <v>1995</v>
      </c>
      <c r="B17" s="15">
        <v>4</v>
      </c>
      <c r="C17" s="15">
        <v>24353.305172801702</v>
      </c>
      <c r="E17" s="10">
        <v>1995</v>
      </c>
      <c r="F17" s="10">
        <v>4</v>
      </c>
      <c r="G17" s="15">
        <v>24358.980172627402</v>
      </c>
      <c r="I17" s="15">
        <v>1995</v>
      </c>
      <c r="J17" s="15">
        <v>4</v>
      </c>
      <c r="K17" s="15">
        <v>24375.2941551857</v>
      </c>
    </row>
    <row r="18" spans="1:11" x14ac:dyDescent="0.25">
      <c r="A18" s="15">
        <v>1995</v>
      </c>
      <c r="B18" s="15">
        <v>5</v>
      </c>
      <c r="C18" s="15">
        <v>25649.499003819401</v>
      </c>
      <c r="E18" s="10">
        <v>1995</v>
      </c>
      <c r="F18" s="10">
        <v>5</v>
      </c>
      <c r="G18" s="15">
        <v>25645.862410051301</v>
      </c>
      <c r="I18" s="15">
        <v>1995</v>
      </c>
      <c r="J18" s="15">
        <v>5</v>
      </c>
      <c r="K18" s="15">
        <v>25637.189630118599</v>
      </c>
    </row>
    <row r="19" spans="1:11" x14ac:dyDescent="0.25">
      <c r="A19" s="15">
        <v>1995</v>
      </c>
      <c r="B19" s="15">
        <v>6</v>
      </c>
      <c r="C19" s="15">
        <v>19420.403956842099</v>
      </c>
      <c r="E19" s="10">
        <v>1995</v>
      </c>
      <c r="F19" s="10">
        <v>6</v>
      </c>
      <c r="G19" s="15">
        <v>19415.8609056161</v>
      </c>
      <c r="I19" s="15">
        <v>1995</v>
      </c>
      <c r="J19" s="15">
        <v>6</v>
      </c>
      <c r="K19" s="15">
        <v>19404.374315340501</v>
      </c>
    </row>
    <row r="20" spans="1:11" x14ac:dyDescent="0.25">
      <c r="A20" s="15">
        <v>1995</v>
      </c>
      <c r="B20" s="15">
        <v>7</v>
      </c>
      <c r="C20" s="15">
        <v>19812.257745982799</v>
      </c>
      <c r="E20" s="10">
        <v>1995</v>
      </c>
      <c r="F20" s="10">
        <v>7</v>
      </c>
      <c r="G20" s="15">
        <v>19815.772328792998</v>
      </c>
      <c r="I20" s="15">
        <v>1995</v>
      </c>
      <c r="J20" s="15">
        <v>7</v>
      </c>
      <c r="K20" s="15">
        <v>19823.511991670799</v>
      </c>
    </row>
    <row r="21" spans="1:11" x14ac:dyDescent="0.25">
      <c r="A21" s="15">
        <v>1995</v>
      </c>
      <c r="B21" s="15">
        <v>8</v>
      </c>
      <c r="C21" s="15">
        <v>17052.285768733302</v>
      </c>
      <c r="E21" s="10">
        <v>1995</v>
      </c>
      <c r="F21" s="10">
        <v>8</v>
      </c>
      <c r="G21" s="15">
        <v>17047.3570221644</v>
      </c>
      <c r="I21" s="15">
        <v>1995</v>
      </c>
      <c r="J21" s="15">
        <v>8</v>
      </c>
      <c r="K21" s="15">
        <v>17034.640273041299</v>
      </c>
    </row>
    <row r="22" spans="1:11" x14ac:dyDescent="0.25">
      <c r="A22" s="15">
        <v>1995</v>
      </c>
      <c r="B22" s="15">
        <v>9</v>
      </c>
      <c r="C22" s="15">
        <v>17103.9836242235</v>
      </c>
      <c r="E22" s="10">
        <v>1995</v>
      </c>
      <c r="F22" s="10">
        <v>9</v>
      </c>
      <c r="G22" s="15">
        <v>17103.396260560501</v>
      </c>
      <c r="I22" s="15">
        <v>1995</v>
      </c>
      <c r="J22" s="15">
        <v>9</v>
      </c>
      <c r="K22" s="15">
        <v>17101.175477375498</v>
      </c>
    </row>
    <row r="23" spans="1:11" x14ac:dyDescent="0.25">
      <c r="A23" s="15">
        <v>1995</v>
      </c>
      <c r="B23" s="15">
        <v>10</v>
      </c>
      <c r="C23" s="15">
        <v>18134.7903900905</v>
      </c>
      <c r="E23" s="10">
        <v>1995</v>
      </c>
      <c r="F23" s="10">
        <v>10</v>
      </c>
      <c r="G23" s="15">
        <v>18134.071536842399</v>
      </c>
      <c r="I23" s="15">
        <v>1995</v>
      </c>
      <c r="J23" s="15">
        <v>10</v>
      </c>
      <c r="K23" s="15">
        <v>18132.012594428201</v>
      </c>
    </row>
    <row r="24" spans="1:11" x14ac:dyDescent="0.25">
      <c r="A24" s="15">
        <v>1995</v>
      </c>
      <c r="B24" s="15">
        <v>11</v>
      </c>
      <c r="C24" s="15">
        <v>18472.552743752902</v>
      </c>
      <c r="E24" s="10">
        <v>1995</v>
      </c>
      <c r="F24" s="10">
        <v>11</v>
      </c>
      <c r="G24" s="15">
        <v>18475.162772439799</v>
      </c>
      <c r="I24" s="15">
        <v>1995</v>
      </c>
      <c r="J24" s="15">
        <v>11</v>
      </c>
      <c r="K24" s="15">
        <v>18478.284214249699</v>
      </c>
    </row>
    <row r="25" spans="1:11" x14ac:dyDescent="0.25">
      <c r="A25" s="15">
        <v>1995</v>
      </c>
      <c r="B25" s="15">
        <v>12</v>
      </c>
      <c r="C25" s="15">
        <v>21768.5800244905</v>
      </c>
      <c r="E25" s="10">
        <v>1995</v>
      </c>
      <c r="F25" s="10">
        <v>12</v>
      </c>
      <c r="G25" s="15">
        <v>21771.989200096901</v>
      </c>
      <c r="I25" s="15">
        <v>1995</v>
      </c>
      <c r="J25" s="15">
        <v>12</v>
      </c>
      <c r="K25" s="15">
        <v>21781.1948248427</v>
      </c>
    </row>
    <row r="26" spans="1:11" x14ac:dyDescent="0.25">
      <c r="A26" s="15">
        <v>1996</v>
      </c>
      <c r="B26" s="15">
        <v>1</v>
      </c>
      <c r="C26" s="15">
        <v>20530.056238305398</v>
      </c>
      <c r="E26" s="10">
        <v>1996</v>
      </c>
      <c r="F26" s="10">
        <v>1</v>
      </c>
      <c r="G26" s="15">
        <v>20537.374160589799</v>
      </c>
      <c r="I26" s="15">
        <v>1996</v>
      </c>
      <c r="J26" s="15">
        <v>1</v>
      </c>
      <c r="K26" s="15">
        <v>20541.049264933001</v>
      </c>
    </row>
    <row r="27" spans="1:11" x14ac:dyDescent="0.25">
      <c r="A27" s="15">
        <v>1996</v>
      </c>
      <c r="B27" s="15">
        <v>2</v>
      </c>
      <c r="C27" s="15">
        <v>24279.732446530001</v>
      </c>
      <c r="E27" s="10">
        <v>1996</v>
      </c>
      <c r="F27" s="10">
        <v>2</v>
      </c>
      <c r="G27" s="15">
        <v>24270.943059933601</v>
      </c>
      <c r="I27" s="15">
        <v>1996</v>
      </c>
      <c r="J27" s="15">
        <v>2</v>
      </c>
      <c r="K27" s="15">
        <v>24290.634931599299</v>
      </c>
    </row>
    <row r="28" spans="1:11" x14ac:dyDescent="0.25">
      <c r="A28" s="15">
        <v>1996</v>
      </c>
      <c r="B28" s="15">
        <v>3</v>
      </c>
      <c r="C28" s="15">
        <v>23694.328907142601</v>
      </c>
      <c r="E28" s="10">
        <v>1996</v>
      </c>
      <c r="F28" s="10">
        <v>3</v>
      </c>
      <c r="G28" s="15">
        <v>23698.685957461999</v>
      </c>
      <c r="I28" s="15">
        <v>1996</v>
      </c>
      <c r="J28" s="15">
        <v>3</v>
      </c>
      <c r="K28" s="15">
        <v>23712.948343882701</v>
      </c>
    </row>
    <row r="29" spans="1:11" x14ac:dyDescent="0.25">
      <c r="A29" s="15">
        <v>1996</v>
      </c>
      <c r="B29" s="15">
        <v>4</v>
      </c>
      <c r="C29" s="15">
        <v>24012.172241766901</v>
      </c>
      <c r="E29" s="10">
        <v>1996</v>
      </c>
      <c r="F29" s="10">
        <v>4</v>
      </c>
      <c r="G29" s="15">
        <v>24008.585891015198</v>
      </c>
      <c r="I29" s="15">
        <v>1996</v>
      </c>
      <c r="J29" s="15">
        <v>4</v>
      </c>
      <c r="K29" s="15">
        <v>24001.218287989901</v>
      </c>
    </row>
    <row r="30" spans="1:11" x14ac:dyDescent="0.25">
      <c r="A30" s="15">
        <v>1996</v>
      </c>
      <c r="B30" s="15">
        <v>5</v>
      </c>
      <c r="C30" s="15">
        <v>24555.485915424098</v>
      </c>
      <c r="E30" s="10">
        <v>1996</v>
      </c>
      <c r="F30" s="10">
        <v>5</v>
      </c>
      <c r="G30" s="15">
        <v>24550.794771789399</v>
      </c>
      <c r="I30" s="15">
        <v>1996</v>
      </c>
      <c r="J30" s="15">
        <v>5</v>
      </c>
      <c r="K30" s="15">
        <v>24539.310450174198</v>
      </c>
    </row>
    <row r="31" spans="1:11" x14ac:dyDescent="0.25">
      <c r="A31" s="15">
        <v>1996</v>
      </c>
      <c r="B31" s="15">
        <v>6</v>
      </c>
      <c r="C31" s="15">
        <v>26104.6861683024</v>
      </c>
      <c r="E31" s="10">
        <v>1996</v>
      </c>
      <c r="F31" s="10">
        <v>6</v>
      </c>
      <c r="G31" s="15">
        <v>26110.227461575701</v>
      </c>
      <c r="I31" s="15">
        <v>1996</v>
      </c>
      <c r="J31" s="15">
        <v>6</v>
      </c>
      <c r="K31" s="15">
        <v>26123.149679682301</v>
      </c>
    </row>
    <row r="32" spans="1:11" x14ac:dyDescent="0.25">
      <c r="A32" s="15">
        <v>1996</v>
      </c>
      <c r="B32" s="15">
        <v>7</v>
      </c>
      <c r="C32" s="15">
        <v>25731.8302037467</v>
      </c>
      <c r="E32" s="10">
        <v>1996</v>
      </c>
      <c r="F32" s="10">
        <v>7</v>
      </c>
      <c r="G32" s="15">
        <v>25726.686757256299</v>
      </c>
      <c r="I32" s="15">
        <v>1996</v>
      </c>
      <c r="J32" s="15">
        <v>7</v>
      </c>
      <c r="K32" s="15">
        <v>25713.3240699915</v>
      </c>
    </row>
    <row r="33" spans="1:11" x14ac:dyDescent="0.25">
      <c r="A33" s="15">
        <v>1996</v>
      </c>
      <c r="B33" s="15">
        <v>8</v>
      </c>
      <c r="C33" s="15">
        <v>26861.816249335501</v>
      </c>
      <c r="E33" s="10">
        <v>1996</v>
      </c>
      <c r="F33" s="10">
        <v>8</v>
      </c>
      <c r="G33" s="15">
        <v>26861.090598345501</v>
      </c>
      <c r="I33" s="15">
        <v>1996</v>
      </c>
      <c r="J33" s="15">
        <v>8</v>
      </c>
      <c r="K33" s="15">
        <v>26857.815461826998</v>
      </c>
    </row>
    <row r="34" spans="1:11" x14ac:dyDescent="0.25">
      <c r="A34" s="15">
        <v>1996</v>
      </c>
      <c r="B34" s="15">
        <v>9</v>
      </c>
      <c r="C34" s="15">
        <v>24070.748752291202</v>
      </c>
      <c r="E34" s="10">
        <v>1996</v>
      </c>
      <c r="F34" s="10">
        <v>9</v>
      </c>
      <c r="G34" s="15">
        <v>24068.940666972099</v>
      </c>
      <c r="I34" s="15">
        <v>1996</v>
      </c>
      <c r="J34" s="15">
        <v>9</v>
      </c>
      <c r="K34" s="15">
        <v>24062.836886900401</v>
      </c>
    </row>
    <row r="35" spans="1:11" x14ac:dyDescent="0.25">
      <c r="A35" s="15">
        <v>1996</v>
      </c>
      <c r="B35" s="15">
        <v>10</v>
      </c>
      <c r="C35" s="15">
        <v>26612.626524612198</v>
      </c>
      <c r="E35" s="10">
        <v>1996</v>
      </c>
      <c r="F35" s="10">
        <v>10</v>
      </c>
      <c r="G35" s="15">
        <v>26606.946638157999</v>
      </c>
      <c r="I35" s="15">
        <v>1996</v>
      </c>
      <c r="J35" s="15">
        <v>10</v>
      </c>
      <c r="K35" s="15">
        <v>26591.864717150202</v>
      </c>
    </row>
    <row r="36" spans="1:11" x14ac:dyDescent="0.25">
      <c r="A36" s="15">
        <v>1996</v>
      </c>
      <c r="B36" s="15">
        <v>11</v>
      </c>
      <c r="C36" s="15">
        <v>28128.245865077399</v>
      </c>
      <c r="E36" s="10">
        <v>1996</v>
      </c>
      <c r="F36" s="10">
        <v>11</v>
      </c>
      <c r="G36" s="15">
        <v>28136.122682568599</v>
      </c>
      <c r="I36" s="15">
        <v>1996</v>
      </c>
      <c r="J36" s="15">
        <v>11</v>
      </c>
      <c r="K36" s="15">
        <v>28149.8099713148</v>
      </c>
    </row>
    <row r="37" spans="1:11" x14ac:dyDescent="0.25">
      <c r="A37" s="15">
        <v>1996</v>
      </c>
      <c r="B37" s="15">
        <v>12</v>
      </c>
      <c r="C37" s="15">
        <v>27794.087447558799</v>
      </c>
      <c r="E37" s="10">
        <v>1996</v>
      </c>
      <c r="F37" s="10">
        <v>12</v>
      </c>
      <c r="G37" s="15">
        <v>27792.463614711101</v>
      </c>
      <c r="I37" s="15">
        <v>1996</v>
      </c>
      <c r="J37" s="15">
        <v>12</v>
      </c>
      <c r="K37" s="15">
        <v>27787.713431537599</v>
      </c>
    </row>
    <row r="38" spans="1:11" x14ac:dyDescent="0.25">
      <c r="A38" s="15">
        <v>1997</v>
      </c>
      <c r="B38" s="15">
        <v>1</v>
      </c>
      <c r="C38" s="15">
        <v>29339.688095010999</v>
      </c>
      <c r="E38" s="10">
        <v>1997</v>
      </c>
      <c r="F38" s="10">
        <v>1</v>
      </c>
      <c r="G38" s="15">
        <v>29347.870689527699</v>
      </c>
      <c r="I38" s="15">
        <v>1997</v>
      </c>
      <c r="J38" s="15">
        <v>1</v>
      </c>
      <c r="K38" s="15">
        <v>29373.192010270701</v>
      </c>
    </row>
    <row r="39" spans="1:11" x14ac:dyDescent="0.25">
      <c r="A39" s="15">
        <v>1997</v>
      </c>
      <c r="B39" s="15">
        <v>2</v>
      </c>
      <c r="C39" s="15">
        <v>30147.051397980798</v>
      </c>
      <c r="E39" s="10">
        <v>1997</v>
      </c>
      <c r="F39" s="10">
        <v>2</v>
      </c>
      <c r="G39" s="15">
        <v>30145.1383766049</v>
      </c>
      <c r="I39" s="15">
        <v>1997</v>
      </c>
      <c r="J39" s="15">
        <v>2</v>
      </c>
      <c r="K39" s="15">
        <v>30138.2174641653</v>
      </c>
    </row>
    <row r="40" spans="1:11" x14ac:dyDescent="0.25">
      <c r="A40" s="15">
        <v>1997</v>
      </c>
      <c r="B40" s="15">
        <v>3</v>
      </c>
      <c r="C40" s="15">
        <v>31444.484338912898</v>
      </c>
      <c r="E40" s="10">
        <v>1997</v>
      </c>
      <c r="F40" s="10">
        <v>3</v>
      </c>
      <c r="G40" s="15">
        <v>31448.124856595401</v>
      </c>
      <c r="I40" s="15">
        <v>1997</v>
      </c>
      <c r="J40" s="15">
        <v>3</v>
      </c>
      <c r="K40" s="15">
        <v>31457.7234302131</v>
      </c>
    </row>
    <row r="41" spans="1:11" x14ac:dyDescent="0.25">
      <c r="A41" s="15">
        <v>1997</v>
      </c>
      <c r="B41" s="15">
        <v>4</v>
      </c>
      <c r="C41" s="15">
        <v>33352.156991418</v>
      </c>
      <c r="E41" s="10">
        <v>1997</v>
      </c>
      <c r="F41" s="10">
        <v>4</v>
      </c>
      <c r="G41" s="15">
        <v>33348.716557486703</v>
      </c>
      <c r="I41" s="15">
        <v>1997</v>
      </c>
      <c r="J41" s="15">
        <v>4</v>
      </c>
      <c r="K41" s="15">
        <v>33340.343776258502</v>
      </c>
    </row>
    <row r="42" spans="1:11" x14ac:dyDescent="0.25">
      <c r="A42" s="15">
        <v>1997</v>
      </c>
      <c r="B42" s="15">
        <v>5</v>
      </c>
      <c r="C42" s="15">
        <v>34705.2958448875</v>
      </c>
      <c r="E42" s="10">
        <v>1997</v>
      </c>
      <c r="F42" s="10">
        <v>5</v>
      </c>
      <c r="G42" s="15">
        <v>34704.563051710997</v>
      </c>
      <c r="I42" s="15">
        <v>1997</v>
      </c>
      <c r="J42" s="15">
        <v>5</v>
      </c>
      <c r="K42" s="15">
        <v>34702.185753485799</v>
      </c>
    </row>
    <row r="43" spans="1:11" x14ac:dyDescent="0.25">
      <c r="A43" s="15">
        <v>1997</v>
      </c>
      <c r="B43" s="15">
        <v>6</v>
      </c>
      <c r="C43" s="15">
        <v>35577.999205321699</v>
      </c>
      <c r="E43" s="10">
        <v>1997</v>
      </c>
      <c r="F43" s="10">
        <v>6</v>
      </c>
      <c r="G43" s="15">
        <v>35578.949666966597</v>
      </c>
      <c r="I43" s="15">
        <v>1997</v>
      </c>
      <c r="J43" s="15">
        <v>6</v>
      </c>
      <c r="K43" s="15">
        <v>35580.515243444403</v>
      </c>
    </row>
    <row r="44" spans="1:11" x14ac:dyDescent="0.25">
      <c r="A44" s="15">
        <v>1997</v>
      </c>
      <c r="B44" s="15">
        <v>7</v>
      </c>
      <c r="C44" s="15">
        <v>37317.953185227401</v>
      </c>
      <c r="E44" s="10">
        <v>1997</v>
      </c>
      <c r="F44" s="10">
        <v>7</v>
      </c>
      <c r="G44" s="15">
        <v>37313.722867781398</v>
      </c>
      <c r="I44" s="15">
        <v>1997</v>
      </c>
      <c r="J44" s="15">
        <v>7</v>
      </c>
      <c r="K44" s="15">
        <v>37302.212221370297</v>
      </c>
    </row>
    <row r="45" spans="1:11" x14ac:dyDescent="0.25">
      <c r="A45" s="15">
        <v>1997</v>
      </c>
      <c r="B45" s="15">
        <v>8</v>
      </c>
      <c r="C45" s="15">
        <v>37496.628797823199</v>
      </c>
      <c r="E45" s="10">
        <v>1997</v>
      </c>
      <c r="F45" s="10">
        <v>8</v>
      </c>
      <c r="G45" s="15">
        <v>37500.722878039203</v>
      </c>
      <c r="I45" s="15">
        <v>1997</v>
      </c>
      <c r="J45" s="15">
        <v>8</v>
      </c>
      <c r="K45" s="15">
        <v>37508.330106778303</v>
      </c>
    </row>
    <row r="46" spans="1:11" x14ac:dyDescent="0.25">
      <c r="A46" s="15">
        <v>1997</v>
      </c>
      <c r="B46" s="15">
        <v>9</v>
      </c>
      <c r="C46" s="15">
        <v>39577.803130792003</v>
      </c>
      <c r="E46" s="10">
        <v>1997</v>
      </c>
      <c r="F46" s="10">
        <v>9</v>
      </c>
      <c r="G46" s="15">
        <v>39570.007656917602</v>
      </c>
      <c r="I46" s="15">
        <v>1997</v>
      </c>
      <c r="J46" s="15">
        <v>9</v>
      </c>
      <c r="K46" s="15">
        <v>39548.425049804697</v>
      </c>
    </row>
    <row r="47" spans="1:11" x14ac:dyDescent="0.25">
      <c r="A47" s="15">
        <v>1997</v>
      </c>
      <c r="B47" s="15">
        <v>10</v>
      </c>
      <c r="C47" s="15">
        <v>47146.424556231199</v>
      </c>
      <c r="E47" s="10">
        <v>1997</v>
      </c>
      <c r="F47" s="10">
        <v>10</v>
      </c>
      <c r="G47" s="15">
        <v>47140.941785098003</v>
      </c>
      <c r="I47" s="15">
        <v>1997</v>
      </c>
      <c r="J47" s="15">
        <v>10</v>
      </c>
      <c r="K47" s="15">
        <v>47125.516135860198</v>
      </c>
    </row>
    <row r="48" spans="1:11" x14ac:dyDescent="0.25">
      <c r="A48" s="15">
        <v>1997</v>
      </c>
      <c r="B48" s="15">
        <v>11</v>
      </c>
      <c r="C48" s="15">
        <v>42057.5440035719</v>
      </c>
      <c r="E48" s="10">
        <v>1997</v>
      </c>
      <c r="F48" s="10">
        <v>11</v>
      </c>
      <c r="G48" s="15">
        <v>42069.640635746102</v>
      </c>
      <c r="I48" s="15">
        <v>1997</v>
      </c>
      <c r="J48" s="15">
        <v>11</v>
      </c>
      <c r="K48" s="15">
        <v>42092.820361632999</v>
      </c>
    </row>
    <row r="49" spans="1:11" x14ac:dyDescent="0.25">
      <c r="A49" s="15">
        <v>1997</v>
      </c>
      <c r="B49" s="15">
        <v>12</v>
      </c>
      <c r="C49" s="15">
        <v>26521.760257823102</v>
      </c>
      <c r="E49" s="10">
        <v>1997</v>
      </c>
      <c r="F49" s="10">
        <v>12</v>
      </c>
      <c r="G49" s="15">
        <v>26515.929357364501</v>
      </c>
      <c r="I49" s="15">
        <v>1997</v>
      </c>
      <c r="J49" s="15">
        <v>12</v>
      </c>
      <c r="K49" s="15">
        <v>26498.762172500701</v>
      </c>
    </row>
    <row r="50" spans="1:11" x14ac:dyDescent="0.25">
      <c r="A50" s="15">
        <v>1998</v>
      </c>
      <c r="B50" s="15">
        <v>1</v>
      </c>
      <c r="C50" s="15">
        <v>33587.1895181082</v>
      </c>
      <c r="E50" s="10">
        <v>1998</v>
      </c>
      <c r="F50" s="10">
        <v>1</v>
      </c>
      <c r="G50" s="15">
        <v>33600.155278955797</v>
      </c>
      <c r="I50" s="15">
        <v>1998</v>
      </c>
      <c r="J50" s="15">
        <v>1</v>
      </c>
      <c r="K50" s="15">
        <v>33652.574661152903</v>
      </c>
    </row>
    <row r="51" spans="1:11" x14ac:dyDescent="0.25">
      <c r="A51" s="15">
        <v>1998</v>
      </c>
      <c r="B51" s="15">
        <v>2</v>
      </c>
      <c r="C51" s="15">
        <v>37971.173236808703</v>
      </c>
      <c r="E51" s="10">
        <v>1998</v>
      </c>
      <c r="F51" s="10">
        <v>2</v>
      </c>
      <c r="G51" s="15">
        <v>37970.007386056801</v>
      </c>
      <c r="I51" s="15">
        <v>1998</v>
      </c>
      <c r="J51" s="15">
        <v>2</v>
      </c>
      <c r="K51" s="15">
        <v>37960.153185975403</v>
      </c>
    </row>
    <row r="52" spans="1:11" x14ac:dyDescent="0.25">
      <c r="A52" s="15">
        <v>1998</v>
      </c>
      <c r="B52" s="15">
        <v>3</v>
      </c>
      <c r="C52" s="15">
        <v>39356.987882465502</v>
      </c>
      <c r="E52" s="10">
        <v>1998</v>
      </c>
      <c r="F52" s="10">
        <v>3</v>
      </c>
      <c r="G52" s="15">
        <v>39355.635152891897</v>
      </c>
      <c r="I52" s="15">
        <v>1998</v>
      </c>
      <c r="J52" s="15">
        <v>3</v>
      </c>
      <c r="K52" s="15">
        <v>39350.817334213301</v>
      </c>
    </row>
    <row r="53" spans="1:11" x14ac:dyDescent="0.25">
      <c r="A53" s="15">
        <v>1998</v>
      </c>
      <c r="B53" s="15">
        <v>4</v>
      </c>
      <c r="C53" s="15">
        <v>40327.577166588897</v>
      </c>
      <c r="E53" s="10">
        <v>1998</v>
      </c>
      <c r="F53" s="10">
        <v>4</v>
      </c>
      <c r="G53" s="15">
        <v>40323.9016554747</v>
      </c>
      <c r="I53" s="15">
        <v>1998</v>
      </c>
      <c r="J53" s="15">
        <v>4</v>
      </c>
      <c r="K53" s="15">
        <v>40313.635827768703</v>
      </c>
    </row>
    <row r="54" spans="1:11" x14ac:dyDescent="0.25">
      <c r="A54" s="15">
        <v>1998</v>
      </c>
      <c r="B54" s="15">
        <v>5</v>
      </c>
      <c r="C54" s="15">
        <v>39554.953325967501</v>
      </c>
      <c r="E54" s="10">
        <v>1998</v>
      </c>
      <c r="F54" s="10">
        <v>5</v>
      </c>
      <c r="G54" s="15">
        <v>39558.757959583301</v>
      </c>
      <c r="I54" s="15">
        <v>1998</v>
      </c>
      <c r="J54" s="15">
        <v>5</v>
      </c>
      <c r="K54" s="15">
        <v>39566.634926849401</v>
      </c>
    </row>
    <row r="55" spans="1:11" x14ac:dyDescent="0.25">
      <c r="A55" s="15">
        <v>1998</v>
      </c>
      <c r="B55" s="15">
        <v>6</v>
      </c>
      <c r="C55" s="15">
        <v>41376.911329154696</v>
      </c>
      <c r="E55" s="10">
        <v>1998</v>
      </c>
      <c r="F55" s="10">
        <v>6</v>
      </c>
      <c r="G55" s="15">
        <v>41373.351646190502</v>
      </c>
      <c r="I55" s="15">
        <v>1998</v>
      </c>
      <c r="J55" s="15">
        <v>6</v>
      </c>
      <c r="K55" s="15">
        <v>41363.476880465998</v>
      </c>
    </row>
    <row r="56" spans="1:11" x14ac:dyDescent="0.25">
      <c r="A56" s="15">
        <v>1998</v>
      </c>
      <c r="B56" s="15">
        <v>7</v>
      </c>
      <c r="C56" s="15">
        <v>39423.134242503504</v>
      </c>
      <c r="E56" s="10">
        <v>1998</v>
      </c>
      <c r="F56" s="10">
        <v>7</v>
      </c>
      <c r="G56" s="15">
        <v>39419.091232248902</v>
      </c>
      <c r="I56" s="15">
        <v>1998</v>
      </c>
      <c r="J56" s="15">
        <v>7</v>
      </c>
      <c r="K56" s="15">
        <v>39407.634657194998</v>
      </c>
    </row>
    <row r="57" spans="1:11" x14ac:dyDescent="0.25">
      <c r="A57" s="15">
        <v>1998</v>
      </c>
      <c r="B57" s="15">
        <v>8</v>
      </c>
      <c r="C57" s="15">
        <v>44540.345530273102</v>
      </c>
      <c r="E57" s="10">
        <v>1998</v>
      </c>
      <c r="F57" s="10">
        <v>8</v>
      </c>
      <c r="G57" s="15">
        <v>44544.368881774302</v>
      </c>
      <c r="I57" s="15">
        <v>1998</v>
      </c>
      <c r="J57" s="15">
        <v>8</v>
      </c>
      <c r="K57" s="15">
        <v>44551.809286822398</v>
      </c>
    </row>
    <row r="58" spans="1:11" x14ac:dyDescent="0.25">
      <c r="A58" s="15">
        <v>1998</v>
      </c>
      <c r="B58" s="15">
        <v>9</v>
      </c>
      <c r="C58" s="15">
        <v>40028.383721095197</v>
      </c>
      <c r="E58" s="10">
        <v>1998</v>
      </c>
      <c r="F58" s="10">
        <v>9</v>
      </c>
      <c r="G58" s="15">
        <v>40020.384335700997</v>
      </c>
      <c r="I58" s="15">
        <v>1998</v>
      </c>
      <c r="J58" s="15">
        <v>9</v>
      </c>
      <c r="K58" s="15">
        <v>39997.733190601197</v>
      </c>
    </row>
    <row r="59" spans="1:11" x14ac:dyDescent="0.25">
      <c r="A59" s="15">
        <v>1998</v>
      </c>
      <c r="B59" s="15">
        <v>10</v>
      </c>
      <c r="C59" s="15">
        <v>34430.837400388104</v>
      </c>
      <c r="E59" s="10">
        <v>1998</v>
      </c>
      <c r="F59" s="10">
        <v>10</v>
      </c>
      <c r="G59" s="15">
        <v>34430.270677165303</v>
      </c>
      <c r="I59" s="15">
        <v>1998</v>
      </c>
      <c r="J59" s="15">
        <v>10</v>
      </c>
      <c r="K59" s="15">
        <v>34425.958701995398</v>
      </c>
    </row>
    <row r="60" spans="1:11" x14ac:dyDescent="0.25">
      <c r="A60" s="15">
        <v>1998</v>
      </c>
      <c r="B60" s="15">
        <v>11</v>
      </c>
      <c r="C60" s="15">
        <v>28638.865853683699</v>
      </c>
      <c r="E60" s="10">
        <v>1998</v>
      </c>
      <c r="F60" s="10">
        <v>11</v>
      </c>
      <c r="G60" s="15">
        <v>28646.275743273</v>
      </c>
      <c r="I60" s="15">
        <v>1998</v>
      </c>
      <c r="J60" s="15">
        <v>11</v>
      </c>
      <c r="K60" s="15">
        <v>28657.120946718602</v>
      </c>
    </row>
    <row r="61" spans="1:11" x14ac:dyDescent="0.25">
      <c r="A61" s="15">
        <v>1998</v>
      </c>
      <c r="B61" s="15">
        <v>12</v>
      </c>
      <c r="C61" s="15">
        <v>15531.010800198501</v>
      </c>
      <c r="E61" s="10">
        <v>1998</v>
      </c>
      <c r="F61" s="10">
        <v>12</v>
      </c>
      <c r="G61" s="15">
        <v>15525.6809893841</v>
      </c>
      <c r="I61" s="15">
        <v>1998</v>
      </c>
      <c r="J61" s="15">
        <v>12</v>
      </c>
      <c r="K61" s="15">
        <v>15507.256213127401</v>
      </c>
    </row>
    <row r="62" spans="1:11" x14ac:dyDescent="0.25">
      <c r="A62" s="15">
        <v>1999</v>
      </c>
      <c r="B62" s="15">
        <v>1</v>
      </c>
      <c r="C62" s="15">
        <v>26409.102622093102</v>
      </c>
      <c r="E62" s="10">
        <v>1999</v>
      </c>
      <c r="F62" s="10">
        <v>1</v>
      </c>
      <c r="G62" s="15">
        <v>26425.460564501202</v>
      </c>
      <c r="I62" s="15">
        <v>1999</v>
      </c>
      <c r="J62" s="15">
        <v>1</v>
      </c>
      <c r="K62" s="15">
        <v>26496.1152442208</v>
      </c>
    </row>
    <row r="63" spans="1:11" x14ac:dyDescent="0.25">
      <c r="A63" s="15">
        <v>1999</v>
      </c>
      <c r="B63" s="15">
        <v>2</v>
      </c>
      <c r="C63" s="15">
        <v>20957.5343796694</v>
      </c>
      <c r="E63" s="10">
        <v>1999</v>
      </c>
      <c r="F63" s="10">
        <v>2</v>
      </c>
      <c r="G63" s="15">
        <v>20956.432372461299</v>
      </c>
      <c r="I63" s="15">
        <v>1999</v>
      </c>
      <c r="J63" s="15">
        <v>2</v>
      </c>
      <c r="K63" s="15">
        <v>20945.9064826793</v>
      </c>
    </row>
    <row r="64" spans="1:11" x14ac:dyDescent="0.25">
      <c r="A64" s="15">
        <v>1999</v>
      </c>
      <c r="B64" s="15">
        <v>3</v>
      </c>
      <c r="C64" s="15">
        <v>18395.2741699117</v>
      </c>
      <c r="E64" s="10">
        <v>1999</v>
      </c>
      <c r="F64" s="10">
        <v>3</v>
      </c>
      <c r="G64" s="15">
        <v>18389.398139756599</v>
      </c>
      <c r="I64" s="15">
        <v>1999</v>
      </c>
      <c r="J64" s="15">
        <v>3</v>
      </c>
      <c r="K64" s="15">
        <v>18372.321546757801</v>
      </c>
    </row>
    <row r="65" spans="1:11" x14ac:dyDescent="0.25">
      <c r="A65" s="15">
        <v>1999</v>
      </c>
      <c r="B65" s="15">
        <v>4</v>
      </c>
      <c r="C65" s="15">
        <v>18913.2881234942</v>
      </c>
      <c r="E65" s="10">
        <v>1999</v>
      </c>
      <c r="F65" s="10">
        <v>4</v>
      </c>
      <c r="G65" s="15">
        <v>18909.345205150901</v>
      </c>
      <c r="I65" s="15">
        <v>1999</v>
      </c>
      <c r="J65" s="15">
        <v>4</v>
      </c>
      <c r="K65" s="15">
        <v>18897.358292983801</v>
      </c>
    </row>
    <row r="66" spans="1:11" x14ac:dyDescent="0.25">
      <c r="A66" s="15">
        <v>1999</v>
      </c>
      <c r="B66" s="15">
        <v>5</v>
      </c>
      <c r="C66" s="15">
        <v>21799.361571314301</v>
      </c>
      <c r="E66" s="10">
        <v>1999</v>
      </c>
      <c r="F66" s="10">
        <v>5</v>
      </c>
      <c r="G66" s="15">
        <v>21803.569940559599</v>
      </c>
      <c r="I66" s="15">
        <v>1999</v>
      </c>
      <c r="J66" s="15">
        <v>5</v>
      </c>
      <c r="K66" s="15">
        <v>21811.554696562798</v>
      </c>
    </row>
    <row r="67" spans="1:11" x14ac:dyDescent="0.25">
      <c r="A67" s="15">
        <v>1999</v>
      </c>
      <c r="B67" s="15">
        <v>6</v>
      </c>
      <c r="C67" s="15">
        <v>21831.805832643899</v>
      </c>
      <c r="E67" s="10">
        <v>1999</v>
      </c>
      <c r="F67" s="10">
        <v>6</v>
      </c>
      <c r="G67" s="15">
        <v>21828.3607852307</v>
      </c>
      <c r="I67" s="15">
        <v>1999</v>
      </c>
      <c r="J67" s="15">
        <v>6</v>
      </c>
      <c r="K67" s="15">
        <v>21817.9685955274</v>
      </c>
    </row>
    <row r="68" spans="1:11" x14ac:dyDescent="0.25">
      <c r="A68" s="15">
        <v>1999</v>
      </c>
      <c r="B68" s="15">
        <v>7</v>
      </c>
      <c r="C68" s="15">
        <v>22520.163725301401</v>
      </c>
      <c r="E68" s="10">
        <v>1999</v>
      </c>
      <c r="F68" s="10">
        <v>7</v>
      </c>
      <c r="G68" s="15">
        <v>22520.949046696402</v>
      </c>
      <c r="I68" s="15">
        <v>1999</v>
      </c>
      <c r="J68" s="15">
        <v>7</v>
      </c>
      <c r="K68" s="15">
        <v>22520.558972245301</v>
      </c>
    </row>
    <row r="69" spans="1:11" x14ac:dyDescent="0.25">
      <c r="A69" s="15">
        <v>1999</v>
      </c>
      <c r="B69" s="15">
        <v>8</v>
      </c>
      <c r="C69" s="15">
        <v>25316.304918422298</v>
      </c>
      <c r="E69" s="10">
        <v>1999</v>
      </c>
      <c r="F69" s="10">
        <v>8</v>
      </c>
      <c r="G69" s="15">
        <v>25316.212289608</v>
      </c>
      <c r="I69" s="15">
        <v>1999</v>
      </c>
      <c r="J69" s="15">
        <v>8</v>
      </c>
      <c r="K69" s="15">
        <v>25313.688204873</v>
      </c>
    </row>
    <row r="70" spans="1:11" x14ac:dyDescent="0.25">
      <c r="A70" s="15">
        <v>1999</v>
      </c>
      <c r="B70" s="15">
        <v>9</v>
      </c>
      <c r="C70" s="15">
        <v>24801.837126016399</v>
      </c>
      <c r="E70" s="10">
        <v>1999</v>
      </c>
      <c r="F70" s="10">
        <v>9</v>
      </c>
      <c r="G70" s="15">
        <v>24793.776729767102</v>
      </c>
      <c r="I70" s="15">
        <v>1999</v>
      </c>
      <c r="J70" s="15">
        <v>9</v>
      </c>
      <c r="K70" s="15">
        <v>24770.4915975285</v>
      </c>
    </row>
    <row r="71" spans="1:11" x14ac:dyDescent="0.25">
      <c r="A71" s="15">
        <v>1999</v>
      </c>
      <c r="B71" s="15">
        <v>10</v>
      </c>
      <c r="C71" s="15">
        <v>28628.545290466802</v>
      </c>
      <c r="E71" s="10">
        <v>1999</v>
      </c>
      <c r="F71" s="10">
        <v>10</v>
      </c>
      <c r="G71" s="15">
        <v>28633.786494000298</v>
      </c>
      <c r="I71" s="15">
        <v>1999</v>
      </c>
      <c r="J71" s="15">
        <v>10</v>
      </c>
      <c r="K71" s="15">
        <v>28643.130889526201</v>
      </c>
    </row>
    <row r="72" spans="1:11" x14ac:dyDescent="0.25">
      <c r="A72" s="15">
        <v>1999</v>
      </c>
      <c r="B72" s="15">
        <v>11</v>
      </c>
      <c r="C72" s="15">
        <v>29308.396168575098</v>
      </c>
      <c r="E72" s="10">
        <v>1999</v>
      </c>
      <c r="F72" s="10">
        <v>11</v>
      </c>
      <c r="G72" s="15">
        <v>29309.927182174699</v>
      </c>
      <c r="I72" s="15">
        <v>1999</v>
      </c>
      <c r="J72" s="15">
        <v>11</v>
      </c>
      <c r="K72" s="15">
        <v>29307.430947837802</v>
      </c>
    </row>
    <row r="73" spans="1:11" x14ac:dyDescent="0.25">
      <c r="A73" s="15">
        <v>1999</v>
      </c>
      <c r="B73" s="15">
        <v>12</v>
      </c>
      <c r="C73" s="15">
        <v>32562.775899041299</v>
      </c>
      <c r="E73" s="10">
        <v>1999</v>
      </c>
      <c r="F73" s="10">
        <v>12</v>
      </c>
      <c r="G73" s="15">
        <v>32558.546505931499</v>
      </c>
      <c r="I73" s="15">
        <v>1999</v>
      </c>
      <c r="J73" s="15">
        <v>12</v>
      </c>
      <c r="K73" s="15">
        <v>32541.114182515001</v>
      </c>
    </row>
    <row r="74" spans="1:11" x14ac:dyDescent="0.25">
      <c r="A74" s="15">
        <v>2000</v>
      </c>
      <c r="B74" s="15">
        <v>1</v>
      </c>
      <c r="C74" s="15">
        <v>36846.934877551503</v>
      </c>
      <c r="E74" s="10">
        <v>2000</v>
      </c>
      <c r="F74" s="10">
        <v>1</v>
      </c>
      <c r="G74" s="15">
        <v>36859.482693908802</v>
      </c>
      <c r="I74" s="15">
        <v>2000</v>
      </c>
      <c r="J74" s="15">
        <v>1</v>
      </c>
      <c r="K74" s="15">
        <v>36925.468646602501</v>
      </c>
    </row>
    <row r="75" spans="1:11" x14ac:dyDescent="0.25">
      <c r="A75" s="15">
        <v>2000</v>
      </c>
      <c r="B75" s="15">
        <v>2</v>
      </c>
      <c r="C75" s="15">
        <v>25915.511264880599</v>
      </c>
      <c r="E75" s="10">
        <v>2000</v>
      </c>
      <c r="F75" s="10">
        <v>2</v>
      </c>
      <c r="G75" s="15">
        <v>25909.025563268799</v>
      </c>
      <c r="I75" s="15">
        <v>2000</v>
      </c>
      <c r="J75" s="15">
        <v>2</v>
      </c>
      <c r="K75" s="15">
        <v>25921.904819747801</v>
      </c>
    </row>
    <row r="76" spans="1:11" x14ac:dyDescent="0.25">
      <c r="A76" s="15">
        <v>2000</v>
      </c>
      <c r="B76" s="15">
        <v>3</v>
      </c>
      <c r="C76" s="15">
        <v>31035.417772444602</v>
      </c>
      <c r="E76" s="10">
        <v>2000</v>
      </c>
      <c r="F76" s="10">
        <v>3</v>
      </c>
      <c r="G76" s="15">
        <v>31030.2472342615</v>
      </c>
      <c r="I76" s="15">
        <v>2000</v>
      </c>
      <c r="J76" s="15">
        <v>3</v>
      </c>
      <c r="K76" s="15">
        <v>31013.9517463394</v>
      </c>
    </row>
    <row r="77" spans="1:11" x14ac:dyDescent="0.25">
      <c r="A77" s="15">
        <v>2000</v>
      </c>
      <c r="B77" s="15">
        <v>4</v>
      </c>
      <c r="C77" s="15">
        <v>28506.841324590201</v>
      </c>
      <c r="E77" s="10">
        <v>2000</v>
      </c>
      <c r="F77" s="10">
        <v>4</v>
      </c>
      <c r="G77" s="15">
        <v>28512.865775615901</v>
      </c>
      <c r="I77" s="15">
        <v>2000</v>
      </c>
      <c r="J77" s="15">
        <v>4</v>
      </c>
      <c r="K77" s="15">
        <v>28523.9957322068</v>
      </c>
    </row>
    <row r="78" spans="1:11" x14ac:dyDescent="0.25">
      <c r="A78" s="15">
        <v>2000</v>
      </c>
      <c r="B78" s="15">
        <v>5</v>
      </c>
      <c r="C78" s="15">
        <v>25640.324066927398</v>
      </c>
      <c r="E78" s="10">
        <v>2000</v>
      </c>
      <c r="F78" s="10">
        <v>5</v>
      </c>
      <c r="G78" s="15">
        <v>25635.6947443178</v>
      </c>
      <c r="I78" s="15">
        <v>2000</v>
      </c>
      <c r="J78" s="15">
        <v>5</v>
      </c>
      <c r="K78" s="15">
        <v>25621.402599658799</v>
      </c>
    </row>
    <row r="79" spans="1:11" x14ac:dyDescent="0.25">
      <c r="A79" s="15">
        <v>2000</v>
      </c>
      <c r="B79" s="15">
        <v>6</v>
      </c>
      <c r="C79" s="15">
        <v>24767.622657795</v>
      </c>
      <c r="E79" s="10">
        <v>2000</v>
      </c>
      <c r="F79" s="10">
        <v>6</v>
      </c>
      <c r="G79" s="15">
        <v>24764.145265904201</v>
      </c>
      <c r="I79" s="15">
        <v>2000</v>
      </c>
      <c r="J79" s="15">
        <v>6</v>
      </c>
      <c r="K79" s="15">
        <v>24752.742909342302</v>
      </c>
    </row>
    <row r="80" spans="1:11" x14ac:dyDescent="0.25">
      <c r="A80" s="15">
        <v>2000</v>
      </c>
      <c r="B80" s="15">
        <v>7</v>
      </c>
      <c r="C80" s="15">
        <v>26216.4343615367</v>
      </c>
      <c r="E80" s="10">
        <v>2000</v>
      </c>
      <c r="F80" s="10">
        <v>7</v>
      </c>
      <c r="G80" s="15">
        <v>26221.238294773899</v>
      </c>
      <c r="I80" s="15">
        <v>2000</v>
      </c>
      <c r="J80" s="15">
        <v>7</v>
      </c>
      <c r="K80" s="15">
        <v>26230.748448399201</v>
      </c>
    </row>
    <row r="81" spans="1:11" x14ac:dyDescent="0.25">
      <c r="A81" s="15">
        <v>2000</v>
      </c>
      <c r="B81" s="15">
        <v>8</v>
      </c>
      <c r="C81" s="15">
        <v>24628.691554752499</v>
      </c>
      <c r="E81" s="10">
        <v>2000</v>
      </c>
      <c r="F81" s="10">
        <v>8</v>
      </c>
      <c r="G81" s="15">
        <v>24624.1742859285</v>
      </c>
      <c r="I81" s="15">
        <v>2000</v>
      </c>
      <c r="J81" s="15">
        <v>8</v>
      </c>
      <c r="K81" s="15">
        <v>24610.856496890301</v>
      </c>
    </row>
    <row r="82" spans="1:11" x14ac:dyDescent="0.25">
      <c r="A82" s="15">
        <v>2000</v>
      </c>
      <c r="B82" s="15">
        <v>9</v>
      </c>
      <c r="C82" s="15">
        <v>26784.4823207798</v>
      </c>
      <c r="E82" s="10">
        <v>2000</v>
      </c>
      <c r="F82" s="10">
        <v>9</v>
      </c>
      <c r="G82" s="15">
        <v>26782.756823780401</v>
      </c>
      <c r="I82" s="15">
        <v>2000</v>
      </c>
      <c r="J82" s="15">
        <v>9</v>
      </c>
      <c r="K82" s="15">
        <v>26774.511154776399</v>
      </c>
    </row>
    <row r="83" spans="1:11" x14ac:dyDescent="0.25">
      <c r="A83" s="15">
        <v>2000</v>
      </c>
      <c r="B83" s="15">
        <v>10</v>
      </c>
      <c r="C83" s="15">
        <v>25097.5478618259</v>
      </c>
      <c r="E83" s="10">
        <v>2000</v>
      </c>
      <c r="F83" s="10">
        <v>10</v>
      </c>
      <c r="G83" s="15">
        <v>25098.964240744201</v>
      </c>
      <c r="I83" s="15">
        <v>2000</v>
      </c>
      <c r="J83" s="15">
        <v>10</v>
      </c>
      <c r="K83" s="15">
        <v>25098.692088059401</v>
      </c>
    </row>
    <row r="84" spans="1:11" x14ac:dyDescent="0.25">
      <c r="A84" s="15">
        <v>2000</v>
      </c>
      <c r="B84" s="15">
        <v>11</v>
      </c>
      <c r="C84" s="15">
        <v>25058.6567485128</v>
      </c>
      <c r="E84" s="10">
        <v>2000</v>
      </c>
      <c r="F84" s="10">
        <v>11</v>
      </c>
      <c r="G84" s="15">
        <v>25058.829030438799</v>
      </c>
      <c r="I84" s="15">
        <v>2000</v>
      </c>
      <c r="J84" s="15">
        <v>11</v>
      </c>
      <c r="K84" s="15">
        <v>25054.120254375801</v>
      </c>
    </row>
    <row r="85" spans="1:11" x14ac:dyDescent="0.25">
      <c r="A85" s="15">
        <v>2000</v>
      </c>
      <c r="B85" s="15">
        <v>12</v>
      </c>
      <c r="C85" s="15">
        <v>27423.797855095901</v>
      </c>
      <c r="E85" s="10">
        <v>2000</v>
      </c>
      <c r="F85" s="10">
        <v>12</v>
      </c>
      <c r="G85" s="15">
        <v>27430.299982105302</v>
      </c>
      <c r="I85" s="15">
        <v>2000</v>
      </c>
      <c r="J85" s="15">
        <v>12</v>
      </c>
      <c r="K85" s="15">
        <v>27438.677578785901</v>
      </c>
    </row>
    <row r="86" spans="1:11" x14ac:dyDescent="0.25">
      <c r="A86" s="15">
        <v>2001</v>
      </c>
      <c r="B86" s="15">
        <v>1</v>
      </c>
      <c r="C86" s="15">
        <v>23922.5167656472</v>
      </c>
      <c r="E86" s="10">
        <v>2001</v>
      </c>
      <c r="F86" s="10">
        <v>1</v>
      </c>
      <c r="G86" s="15">
        <v>23920.470362126001</v>
      </c>
      <c r="I86" s="15">
        <v>2001</v>
      </c>
      <c r="J86" s="15">
        <v>1</v>
      </c>
      <c r="K86" s="15">
        <v>23954.571566451901</v>
      </c>
    </row>
    <row r="87" spans="1:11" x14ac:dyDescent="0.25">
      <c r="A87" s="15">
        <v>2001</v>
      </c>
      <c r="B87" s="15">
        <v>2</v>
      </c>
      <c r="C87" s="15">
        <v>19466.262412341501</v>
      </c>
      <c r="E87" s="10">
        <v>2001</v>
      </c>
      <c r="F87" s="10">
        <v>2</v>
      </c>
      <c r="G87" s="15">
        <v>19466.946927433601</v>
      </c>
      <c r="I87" s="15">
        <v>2001</v>
      </c>
      <c r="J87" s="15">
        <v>2</v>
      </c>
      <c r="K87" s="15">
        <v>19459.371921735899</v>
      </c>
    </row>
    <row r="88" spans="1:11" x14ac:dyDescent="0.25">
      <c r="A88" s="15">
        <v>2001</v>
      </c>
      <c r="B88" s="15">
        <v>3</v>
      </c>
      <c r="C88" s="15">
        <v>23898.563892878501</v>
      </c>
      <c r="E88" s="10">
        <v>2001</v>
      </c>
      <c r="F88" s="10">
        <v>3</v>
      </c>
      <c r="G88" s="15">
        <v>23898.803405981598</v>
      </c>
      <c r="I88" s="15">
        <v>2001</v>
      </c>
      <c r="J88" s="15">
        <v>3</v>
      </c>
      <c r="K88" s="15">
        <v>23895.531684499601</v>
      </c>
    </row>
    <row r="89" spans="1:11" x14ac:dyDescent="0.25">
      <c r="A89" s="15">
        <v>2001</v>
      </c>
      <c r="B89" s="15">
        <v>4</v>
      </c>
      <c r="C89" s="15">
        <v>24472.172267601702</v>
      </c>
      <c r="E89" s="10">
        <v>2001</v>
      </c>
      <c r="F89" s="10">
        <v>4</v>
      </c>
      <c r="G89" s="15">
        <v>24473.8495733157</v>
      </c>
      <c r="I89" s="15">
        <v>2001</v>
      </c>
      <c r="J89" s="15">
        <v>4</v>
      </c>
      <c r="K89" s="15">
        <v>24474.206072982099</v>
      </c>
    </row>
    <row r="90" spans="1:11" x14ac:dyDescent="0.25">
      <c r="A90" s="15">
        <v>2001</v>
      </c>
      <c r="B90" s="15">
        <v>5</v>
      </c>
      <c r="C90" s="15">
        <v>24167.022685381398</v>
      </c>
      <c r="E90" s="10">
        <v>2001</v>
      </c>
      <c r="F90" s="10">
        <v>5</v>
      </c>
      <c r="G90" s="15">
        <v>24163.433523600299</v>
      </c>
      <c r="I90" s="15">
        <v>2001</v>
      </c>
      <c r="J90" s="15">
        <v>5</v>
      </c>
      <c r="K90" s="15">
        <v>24151.151249516901</v>
      </c>
    </row>
    <row r="91" spans="1:11" x14ac:dyDescent="0.25">
      <c r="A91" s="15">
        <v>2001</v>
      </c>
      <c r="B91" s="15">
        <v>6</v>
      </c>
      <c r="C91" s="15">
        <v>23126.349765183499</v>
      </c>
      <c r="E91" s="10">
        <v>2001</v>
      </c>
      <c r="F91" s="10">
        <v>6</v>
      </c>
      <c r="G91" s="15">
        <v>23127.430633707201</v>
      </c>
      <c r="I91" s="15">
        <v>2001</v>
      </c>
      <c r="J91" s="15">
        <v>6</v>
      </c>
      <c r="K91" s="15">
        <v>23126.389869864499</v>
      </c>
    </row>
    <row r="92" spans="1:11" x14ac:dyDescent="0.25">
      <c r="A92" s="15">
        <v>2001</v>
      </c>
      <c r="B92" s="15">
        <v>7</v>
      </c>
      <c r="C92" s="15">
        <v>20960.571839850902</v>
      </c>
      <c r="E92" s="10">
        <v>2001</v>
      </c>
      <c r="F92" s="10">
        <v>7</v>
      </c>
      <c r="G92" s="15">
        <v>20959.846504670601</v>
      </c>
      <c r="I92" s="15">
        <v>2001</v>
      </c>
      <c r="J92" s="15">
        <v>7</v>
      </c>
      <c r="K92" s="15">
        <v>20956.4935648024</v>
      </c>
    </row>
    <row r="93" spans="1:11" x14ac:dyDescent="0.25">
      <c r="A93" s="15">
        <v>2001</v>
      </c>
      <c r="B93" s="15">
        <v>8</v>
      </c>
      <c r="C93" s="15">
        <v>14034.6206387647</v>
      </c>
      <c r="E93" s="10">
        <v>2001</v>
      </c>
      <c r="F93" s="10">
        <v>8</v>
      </c>
      <c r="G93" s="15">
        <v>14030.492660833201</v>
      </c>
      <c r="I93" s="15">
        <v>2001</v>
      </c>
      <c r="J93" s="15">
        <v>8</v>
      </c>
      <c r="K93" s="15">
        <v>14017.827829661701</v>
      </c>
    </row>
    <row r="94" spans="1:11" x14ac:dyDescent="0.25">
      <c r="A94" s="15">
        <v>2001</v>
      </c>
      <c r="B94" s="15">
        <v>9</v>
      </c>
      <c r="C94" s="15">
        <v>14951.9166312944</v>
      </c>
      <c r="E94" s="10">
        <v>2001</v>
      </c>
      <c r="F94" s="10">
        <v>9</v>
      </c>
      <c r="G94" s="15">
        <v>14956.797529219401</v>
      </c>
      <c r="I94" s="15">
        <v>2001</v>
      </c>
      <c r="J94" s="15">
        <v>9</v>
      </c>
      <c r="K94" s="15">
        <v>14964.4759407976</v>
      </c>
    </row>
    <row r="95" spans="1:11" x14ac:dyDescent="0.25">
      <c r="A95" s="15">
        <v>2001</v>
      </c>
      <c r="B95" s="15">
        <v>10</v>
      </c>
      <c r="C95" s="15">
        <v>14138.9460556091</v>
      </c>
      <c r="E95" s="10">
        <v>2001</v>
      </c>
      <c r="F95" s="10">
        <v>10</v>
      </c>
      <c r="G95" s="15">
        <v>14136.4822200162</v>
      </c>
      <c r="I95" s="15">
        <v>2001</v>
      </c>
      <c r="J95" s="15">
        <v>10</v>
      </c>
      <c r="K95" s="15">
        <v>14126.733205861699</v>
      </c>
    </row>
    <row r="96" spans="1:11" x14ac:dyDescent="0.25">
      <c r="A96" s="15">
        <v>2001</v>
      </c>
      <c r="B96" s="15">
        <v>11</v>
      </c>
      <c r="C96" s="15">
        <v>12976.7787366475</v>
      </c>
      <c r="E96" s="10">
        <v>2001</v>
      </c>
      <c r="F96" s="10">
        <v>11</v>
      </c>
      <c r="G96" s="15">
        <v>12975.184910596899</v>
      </c>
      <c r="I96" s="15">
        <v>2001</v>
      </c>
      <c r="J96" s="15">
        <v>11</v>
      </c>
      <c r="K96" s="15">
        <v>12967.527296534099</v>
      </c>
    </row>
    <row r="97" spans="1:11" x14ac:dyDescent="0.25">
      <c r="A97" s="15">
        <v>2001</v>
      </c>
      <c r="B97" s="15">
        <v>12</v>
      </c>
      <c r="C97" s="15">
        <v>10982.815557133999</v>
      </c>
      <c r="E97" s="10">
        <v>2001</v>
      </c>
      <c r="F97" s="10">
        <v>12</v>
      </c>
      <c r="G97" s="15">
        <v>10990.3879427472</v>
      </c>
      <c r="I97" s="15">
        <v>2001</v>
      </c>
      <c r="J97" s="15">
        <v>12</v>
      </c>
      <c r="K97" s="15">
        <v>11001.4137979179</v>
      </c>
    </row>
    <row r="98" spans="1:11" x14ac:dyDescent="0.25">
      <c r="A98" s="15">
        <v>2002</v>
      </c>
      <c r="B98" s="15">
        <v>1</v>
      </c>
      <c r="C98" s="15">
        <v>16013.9223742553</v>
      </c>
      <c r="E98" s="10">
        <v>2002</v>
      </c>
      <c r="F98" s="10">
        <v>1</v>
      </c>
      <c r="G98" s="15">
        <v>16006.7762071912</v>
      </c>
      <c r="I98" s="15">
        <v>2002</v>
      </c>
      <c r="J98" s="15">
        <v>1</v>
      </c>
      <c r="K98" s="15">
        <v>16029.762084617299</v>
      </c>
    </row>
    <row r="99" spans="1:11" x14ac:dyDescent="0.25">
      <c r="A99" s="15">
        <v>2002</v>
      </c>
      <c r="B99" s="15">
        <v>2</v>
      </c>
      <c r="C99" s="15">
        <v>12057.0580283576</v>
      </c>
      <c r="E99" s="10">
        <v>2002</v>
      </c>
      <c r="F99" s="10">
        <v>2</v>
      </c>
      <c r="G99" s="15">
        <v>12059.7465342583</v>
      </c>
      <c r="I99" s="15">
        <v>2002</v>
      </c>
      <c r="J99" s="15">
        <v>2</v>
      </c>
      <c r="K99" s="15">
        <v>12055.366641380801</v>
      </c>
    </row>
    <row r="100" spans="1:11" x14ac:dyDescent="0.25">
      <c r="A100" s="15">
        <v>2002</v>
      </c>
      <c r="B100" s="15">
        <v>3</v>
      </c>
      <c r="C100" s="15">
        <v>11566.5881431371</v>
      </c>
      <c r="E100" s="10">
        <v>2002</v>
      </c>
      <c r="F100" s="10">
        <v>3</v>
      </c>
      <c r="G100" s="15">
        <v>11572.0169769441</v>
      </c>
      <c r="I100" s="15">
        <v>2002</v>
      </c>
      <c r="J100" s="15">
        <v>3</v>
      </c>
      <c r="K100" s="15">
        <v>11581.226440935799</v>
      </c>
    </row>
    <row r="101" spans="1:11" x14ac:dyDescent="0.25">
      <c r="A101" s="15">
        <v>2002</v>
      </c>
      <c r="B101" s="15">
        <v>4</v>
      </c>
      <c r="C101" s="15">
        <v>13336.8071541105</v>
      </c>
      <c r="E101" s="10">
        <v>2002</v>
      </c>
      <c r="F101" s="10">
        <v>4</v>
      </c>
      <c r="G101" s="15">
        <v>13334.361486125101</v>
      </c>
      <c r="I101" s="15">
        <v>2002</v>
      </c>
      <c r="J101" s="15">
        <v>4</v>
      </c>
      <c r="K101" s="15">
        <v>13324.5198496578</v>
      </c>
    </row>
    <row r="102" spans="1:11" x14ac:dyDescent="0.25">
      <c r="A102" s="15">
        <v>2002</v>
      </c>
      <c r="B102" s="15">
        <v>5</v>
      </c>
      <c r="C102" s="15">
        <v>11474.040876491799</v>
      </c>
      <c r="E102" s="10">
        <v>2002</v>
      </c>
      <c r="F102" s="10">
        <v>5</v>
      </c>
      <c r="G102" s="15">
        <v>11470.820474346499</v>
      </c>
      <c r="I102" s="15">
        <v>2002</v>
      </c>
      <c r="J102" s="15">
        <v>5</v>
      </c>
      <c r="K102" s="15">
        <v>11459.060081342701</v>
      </c>
    </row>
    <row r="103" spans="1:11" x14ac:dyDescent="0.25">
      <c r="A103" s="15">
        <v>2002</v>
      </c>
      <c r="B103" s="15">
        <v>6</v>
      </c>
      <c r="C103" s="15">
        <v>13078.2256756896</v>
      </c>
      <c r="E103" s="10">
        <v>2002</v>
      </c>
      <c r="F103" s="10">
        <v>6</v>
      </c>
      <c r="G103" s="15">
        <v>13084.220847513499</v>
      </c>
      <c r="I103" s="15">
        <v>2002</v>
      </c>
      <c r="J103" s="15">
        <v>6</v>
      </c>
      <c r="K103" s="15">
        <v>13094.6118800682</v>
      </c>
    </row>
    <row r="104" spans="1:11" x14ac:dyDescent="0.25">
      <c r="A104" s="15">
        <v>2002</v>
      </c>
      <c r="B104" s="15">
        <v>7</v>
      </c>
      <c r="C104" s="15">
        <v>12464.2414090396</v>
      </c>
      <c r="E104" s="10">
        <v>2002</v>
      </c>
      <c r="F104" s="10">
        <v>7</v>
      </c>
      <c r="G104" s="15">
        <v>12457.967728034</v>
      </c>
      <c r="I104" s="15">
        <v>2002</v>
      </c>
      <c r="J104" s="15">
        <v>7</v>
      </c>
      <c r="K104" s="15">
        <v>12441.881639217299</v>
      </c>
    </row>
    <row r="105" spans="1:11" x14ac:dyDescent="0.25">
      <c r="A105" s="15">
        <v>2002</v>
      </c>
      <c r="B105" s="15">
        <v>8</v>
      </c>
      <c r="C105" s="15">
        <v>12117.75157111</v>
      </c>
      <c r="E105" s="10">
        <v>2002</v>
      </c>
      <c r="F105" s="10">
        <v>8</v>
      </c>
      <c r="G105" s="15">
        <v>12118.4184767345</v>
      </c>
      <c r="I105" s="15">
        <v>2002</v>
      </c>
      <c r="J105" s="15">
        <v>8</v>
      </c>
      <c r="K105" s="15">
        <v>12117.2539180203</v>
      </c>
    </row>
    <row r="106" spans="1:11" x14ac:dyDescent="0.25">
      <c r="A106" s="15">
        <v>2002</v>
      </c>
      <c r="B106" s="15">
        <v>9</v>
      </c>
      <c r="C106" s="15">
        <v>12895.2571255411</v>
      </c>
      <c r="E106" s="10">
        <v>2002</v>
      </c>
      <c r="F106" s="10">
        <v>9</v>
      </c>
      <c r="G106" s="15">
        <v>12897.182593966099</v>
      </c>
      <c r="I106" s="15">
        <v>2002</v>
      </c>
      <c r="J106" s="15">
        <v>9</v>
      </c>
      <c r="K106" s="15">
        <v>12897.950106967501</v>
      </c>
    </row>
    <row r="107" spans="1:11" x14ac:dyDescent="0.25">
      <c r="A107" s="15">
        <v>2002</v>
      </c>
      <c r="B107" s="15">
        <v>10</v>
      </c>
      <c r="C107" s="15">
        <v>11850.194754550799</v>
      </c>
      <c r="E107" s="10">
        <v>2002</v>
      </c>
      <c r="F107" s="10">
        <v>10</v>
      </c>
      <c r="G107" s="15">
        <v>11847.6979135454</v>
      </c>
      <c r="I107" s="15">
        <v>2002</v>
      </c>
      <c r="J107" s="15">
        <v>10</v>
      </c>
      <c r="K107" s="15">
        <v>11837.8241960205</v>
      </c>
    </row>
    <row r="108" spans="1:11" x14ac:dyDescent="0.25">
      <c r="A108" s="15">
        <v>2002</v>
      </c>
      <c r="B108" s="15">
        <v>11</v>
      </c>
      <c r="C108" s="15">
        <v>12081.7631761784</v>
      </c>
      <c r="E108" s="10">
        <v>2002</v>
      </c>
      <c r="F108" s="10">
        <v>11</v>
      </c>
      <c r="G108" s="15">
        <v>12084.7803532914</v>
      </c>
      <c r="I108" s="15">
        <v>2002</v>
      </c>
      <c r="J108" s="15">
        <v>11</v>
      </c>
      <c r="K108" s="15">
        <v>12088.2853286134</v>
      </c>
    </row>
    <row r="109" spans="1:11" x14ac:dyDescent="0.25">
      <c r="A109" s="15">
        <v>2002</v>
      </c>
      <c r="B109" s="15">
        <v>12</v>
      </c>
      <c r="C109" s="15">
        <v>13731.5044108562</v>
      </c>
      <c r="E109" s="10">
        <v>2002</v>
      </c>
      <c r="F109" s="10">
        <v>12</v>
      </c>
      <c r="G109" s="15">
        <v>13734.3588593315</v>
      </c>
      <c r="I109" s="15">
        <v>2002</v>
      </c>
      <c r="J109" s="15">
        <v>12</v>
      </c>
      <c r="K109" s="15">
        <v>13735.149821581899</v>
      </c>
    </row>
    <row r="110" spans="1:11" x14ac:dyDescent="0.25">
      <c r="A110" s="15">
        <v>2003</v>
      </c>
      <c r="B110" s="15">
        <v>1</v>
      </c>
      <c r="C110" s="15">
        <v>20094.8647801148</v>
      </c>
      <c r="E110" s="10">
        <v>2003</v>
      </c>
      <c r="F110" s="10">
        <v>1</v>
      </c>
      <c r="G110" s="15">
        <v>20084.0758936282</v>
      </c>
      <c r="I110" s="15">
        <v>2003</v>
      </c>
      <c r="J110" s="15">
        <v>1</v>
      </c>
      <c r="K110" s="15">
        <v>20099.733571466499</v>
      </c>
    </row>
    <row r="111" spans="1:11" x14ac:dyDescent="0.25">
      <c r="A111" s="15">
        <v>2003</v>
      </c>
      <c r="B111" s="15">
        <v>2</v>
      </c>
      <c r="C111" s="15">
        <v>14004.5184253311</v>
      </c>
      <c r="E111" s="10">
        <v>2003</v>
      </c>
      <c r="F111" s="10">
        <v>2</v>
      </c>
      <c r="G111" s="15">
        <v>14008.8093173041</v>
      </c>
      <c r="I111" s="15">
        <v>2003</v>
      </c>
      <c r="J111" s="15">
        <v>2</v>
      </c>
      <c r="K111" s="15">
        <v>14005.0705979831</v>
      </c>
    </row>
    <row r="112" spans="1:11" x14ac:dyDescent="0.25">
      <c r="A112" s="15">
        <v>2003</v>
      </c>
      <c r="B112" s="15">
        <v>3</v>
      </c>
      <c r="C112" s="15">
        <v>13287.5636351497</v>
      </c>
      <c r="E112" s="10">
        <v>2003</v>
      </c>
      <c r="F112" s="10">
        <v>3</v>
      </c>
      <c r="G112" s="15">
        <v>13293.704319569</v>
      </c>
      <c r="I112" s="15">
        <v>2003</v>
      </c>
      <c r="J112" s="15">
        <v>3</v>
      </c>
      <c r="K112" s="15">
        <v>13304.9510386407</v>
      </c>
    </row>
    <row r="113" spans="1:11" x14ac:dyDescent="0.25">
      <c r="A113" s="15">
        <v>2003</v>
      </c>
      <c r="B113" s="15">
        <v>4</v>
      </c>
      <c r="C113" s="15">
        <v>12125.7413189704</v>
      </c>
      <c r="E113" s="10">
        <v>2003</v>
      </c>
      <c r="F113" s="10">
        <v>4</v>
      </c>
      <c r="G113" s="15">
        <v>12123.765906844499</v>
      </c>
      <c r="I113" s="15">
        <v>2003</v>
      </c>
      <c r="J113" s="15">
        <v>4</v>
      </c>
      <c r="K113" s="15">
        <v>12115.3986200913</v>
      </c>
    </row>
    <row r="114" spans="1:11" x14ac:dyDescent="0.25">
      <c r="A114" s="15">
        <v>2003</v>
      </c>
      <c r="B114" s="15">
        <v>5</v>
      </c>
      <c r="C114" s="15">
        <v>11761.8696598937</v>
      </c>
      <c r="E114" s="10">
        <v>2003</v>
      </c>
      <c r="F114" s="10">
        <v>5</v>
      </c>
      <c r="G114" s="15">
        <v>11762.159821299299</v>
      </c>
      <c r="I114" s="15">
        <v>2003</v>
      </c>
      <c r="J114" s="15">
        <v>5</v>
      </c>
      <c r="K114" s="15">
        <v>11758.165972832699</v>
      </c>
    </row>
    <row r="115" spans="1:11" x14ac:dyDescent="0.25">
      <c r="A115" s="15">
        <v>2003</v>
      </c>
      <c r="B115" s="15">
        <v>6</v>
      </c>
      <c r="C115" s="15">
        <v>11818.465524994701</v>
      </c>
      <c r="E115" s="10">
        <v>2003</v>
      </c>
      <c r="F115" s="10">
        <v>6</v>
      </c>
      <c r="G115" s="15">
        <v>11820.317737652</v>
      </c>
      <c r="I115" s="15">
        <v>2003</v>
      </c>
      <c r="J115" s="15">
        <v>6</v>
      </c>
      <c r="K115" s="15">
        <v>11820.964116167301</v>
      </c>
    </row>
    <row r="116" spans="1:11" x14ac:dyDescent="0.25">
      <c r="A116" s="15">
        <v>2003</v>
      </c>
      <c r="B116" s="15">
        <v>7</v>
      </c>
      <c r="C116" s="15">
        <v>8999.4312620714209</v>
      </c>
      <c r="E116" s="10">
        <v>2003</v>
      </c>
      <c r="F116" s="10">
        <v>7</v>
      </c>
      <c r="G116" s="15">
        <v>8993.1675672460096</v>
      </c>
      <c r="I116" s="15">
        <v>2003</v>
      </c>
      <c r="J116" s="15">
        <v>7</v>
      </c>
      <c r="K116" s="15">
        <v>8977.4242945457609</v>
      </c>
    </row>
    <row r="117" spans="1:11" x14ac:dyDescent="0.25">
      <c r="A117" s="15">
        <v>2003</v>
      </c>
      <c r="B117" s="15">
        <v>8</v>
      </c>
      <c r="C117" s="15">
        <v>13444.985224333001</v>
      </c>
      <c r="E117" s="10">
        <v>2003</v>
      </c>
      <c r="F117" s="10">
        <v>8</v>
      </c>
      <c r="G117" s="15">
        <v>13451.0740124598</v>
      </c>
      <c r="I117" s="15">
        <v>2003</v>
      </c>
      <c r="J117" s="15">
        <v>8</v>
      </c>
      <c r="K117" s="15">
        <v>13462.9130024853</v>
      </c>
    </row>
    <row r="118" spans="1:11" x14ac:dyDescent="0.25">
      <c r="A118" s="15">
        <v>2003</v>
      </c>
      <c r="B118" s="15">
        <v>9</v>
      </c>
      <c r="C118" s="15">
        <v>11942.4716231479</v>
      </c>
      <c r="E118" s="10">
        <v>2003</v>
      </c>
      <c r="F118" s="10">
        <v>9</v>
      </c>
      <c r="G118" s="15">
        <v>11940.3066742868</v>
      </c>
      <c r="I118" s="15">
        <v>2003</v>
      </c>
      <c r="J118" s="15">
        <v>9</v>
      </c>
      <c r="K118" s="15">
        <v>11931.463963559299</v>
      </c>
    </row>
    <row r="119" spans="1:11" x14ac:dyDescent="0.25">
      <c r="A119" s="15">
        <v>2003</v>
      </c>
      <c r="B119" s="15">
        <v>10</v>
      </c>
      <c r="C119" s="15">
        <v>11986.614470627999</v>
      </c>
      <c r="E119" s="10">
        <v>2003</v>
      </c>
      <c r="F119" s="10">
        <v>10</v>
      </c>
      <c r="G119" s="15">
        <v>11983.5571441878</v>
      </c>
      <c r="I119" s="15">
        <v>2003</v>
      </c>
      <c r="J119" s="15">
        <v>10</v>
      </c>
      <c r="K119" s="15">
        <v>11972.5216609362</v>
      </c>
    </row>
    <row r="120" spans="1:11" x14ac:dyDescent="0.25">
      <c r="A120" s="15">
        <v>2003</v>
      </c>
      <c r="B120" s="15">
        <v>11</v>
      </c>
      <c r="C120" s="15">
        <v>15619.6457801488</v>
      </c>
      <c r="E120" s="10">
        <v>2003</v>
      </c>
      <c r="F120" s="10">
        <v>11</v>
      </c>
      <c r="G120" s="15">
        <v>15627.5594451945</v>
      </c>
      <c r="I120" s="15">
        <v>2003</v>
      </c>
      <c r="J120" s="15">
        <v>11</v>
      </c>
      <c r="K120" s="15">
        <v>15642.9544178743</v>
      </c>
    </row>
    <row r="121" spans="1:11" x14ac:dyDescent="0.25">
      <c r="A121" s="15">
        <v>2003</v>
      </c>
      <c r="B121" s="15">
        <v>12</v>
      </c>
      <c r="C121" s="15">
        <v>13976.820458218601</v>
      </c>
      <c r="E121" s="10">
        <v>2003</v>
      </c>
      <c r="F121" s="10">
        <v>12</v>
      </c>
      <c r="G121" s="15">
        <v>13974.306674019201</v>
      </c>
      <c r="I121" s="15">
        <v>2003</v>
      </c>
      <c r="J121" s="15">
        <v>12</v>
      </c>
      <c r="K121" s="15">
        <v>13963.274332214</v>
      </c>
    </row>
    <row r="122" spans="1:11" x14ac:dyDescent="0.25">
      <c r="A122" s="15">
        <v>2004</v>
      </c>
      <c r="B122" s="15">
        <v>1</v>
      </c>
      <c r="C122" s="15">
        <v>24762.025544512599</v>
      </c>
      <c r="E122" s="10">
        <v>2004</v>
      </c>
      <c r="F122" s="10">
        <v>1</v>
      </c>
      <c r="G122" s="15">
        <v>24754.912831713202</v>
      </c>
      <c r="I122" s="15">
        <v>2004</v>
      </c>
      <c r="J122" s="15">
        <v>1</v>
      </c>
      <c r="K122" s="15">
        <v>24778.815714177301</v>
      </c>
    </row>
    <row r="123" spans="1:11" x14ac:dyDescent="0.25">
      <c r="A123" s="15">
        <v>2004</v>
      </c>
      <c r="B123" s="15">
        <v>2</v>
      </c>
      <c r="C123" s="15">
        <v>19797.915435717099</v>
      </c>
      <c r="E123" s="10">
        <v>2004</v>
      </c>
      <c r="F123" s="10">
        <v>2</v>
      </c>
      <c r="G123" s="15">
        <v>19802.1766074101</v>
      </c>
      <c r="I123" s="15">
        <v>2004</v>
      </c>
      <c r="J123" s="15">
        <v>2</v>
      </c>
      <c r="K123" s="15">
        <v>19832.7053435567</v>
      </c>
    </row>
    <row r="124" spans="1:11" x14ac:dyDescent="0.25">
      <c r="A124" s="15">
        <v>2004</v>
      </c>
      <c r="B124" s="15">
        <v>3</v>
      </c>
      <c r="C124" s="15">
        <v>17956.674475364998</v>
      </c>
      <c r="E124" s="10">
        <v>2004</v>
      </c>
      <c r="F124" s="10">
        <v>3</v>
      </c>
      <c r="G124" s="15">
        <v>17953.633104509499</v>
      </c>
      <c r="I124" s="15">
        <v>2004</v>
      </c>
      <c r="J124" s="15">
        <v>3</v>
      </c>
      <c r="K124" s="15">
        <v>17942.8290092649</v>
      </c>
    </row>
    <row r="125" spans="1:11" x14ac:dyDescent="0.25">
      <c r="A125" s="15">
        <v>2004</v>
      </c>
      <c r="B125" s="15">
        <v>4</v>
      </c>
      <c r="C125" s="15">
        <v>16830.031183191699</v>
      </c>
      <c r="E125" s="10">
        <v>2004</v>
      </c>
      <c r="F125" s="10">
        <v>4</v>
      </c>
      <c r="G125" s="15">
        <v>16827.913697162901</v>
      </c>
      <c r="I125" s="15">
        <v>2004</v>
      </c>
      <c r="J125" s="15">
        <v>4</v>
      </c>
      <c r="K125" s="15">
        <v>16819.477522745899</v>
      </c>
    </row>
    <row r="126" spans="1:11" x14ac:dyDescent="0.25">
      <c r="A126" s="15">
        <v>2004</v>
      </c>
      <c r="B126" s="15">
        <v>5</v>
      </c>
      <c r="C126" s="15">
        <v>20001.257805142799</v>
      </c>
      <c r="E126" s="10">
        <v>2004</v>
      </c>
      <c r="F126" s="10">
        <v>5</v>
      </c>
      <c r="G126" s="15">
        <v>20004.893146672199</v>
      </c>
      <c r="I126" s="15">
        <v>2004</v>
      </c>
      <c r="J126" s="15">
        <v>5</v>
      </c>
      <c r="K126" s="15">
        <v>20008.285283023401</v>
      </c>
    </row>
    <row r="127" spans="1:11" x14ac:dyDescent="0.25">
      <c r="A127" s="15">
        <v>2004</v>
      </c>
      <c r="B127" s="15">
        <v>6</v>
      </c>
      <c r="C127" s="15">
        <v>18924.167034646802</v>
      </c>
      <c r="E127" s="10">
        <v>2004</v>
      </c>
      <c r="F127" s="10">
        <v>6</v>
      </c>
      <c r="G127" s="15">
        <v>18922.098327641801</v>
      </c>
      <c r="I127" s="15">
        <v>2004</v>
      </c>
      <c r="J127" s="15">
        <v>6</v>
      </c>
      <c r="K127" s="15">
        <v>18913.5426622206</v>
      </c>
    </row>
    <row r="128" spans="1:11" x14ac:dyDescent="0.25">
      <c r="A128" s="15">
        <v>2004</v>
      </c>
      <c r="B128" s="15">
        <v>7</v>
      </c>
      <c r="C128" s="15">
        <v>18908.259080453699</v>
      </c>
      <c r="E128" s="10">
        <v>2004</v>
      </c>
      <c r="F128" s="10">
        <v>7</v>
      </c>
      <c r="G128" s="15">
        <v>18906.529443963002</v>
      </c>
      <c r="I128" s="15">
        <v>2004</v>
      </c>
      <c r="J128" s="15">
        <v>7</v>
      </c>
      <c r="K128" s="15">
        <v>18901.971556608201</v>
      </c>
    </row>
    <row r="129" spans="1:11" x14ac:dyDescent="0.25">
      <c r="A129" s="15">
        <v>2004</v>
      </c>
      <c r="B129" s="15">
        <v>8</v>
      </c>
      <c r="C129" s="15">
        <v>19528.389011996602</v>
      </c>
      <c r="E129" s="10">
        <v>2004</v>
      </c>
      <c r="F129" s="10">
        <v>8</v>
      </c>
      <c r="G129" s="15">
        <v>19530.362609231401</v>
      </c>
      <c r="I129" s="15">
        <v>2004</v>
      </c>
      <c r="J129" s="15">
        <v>8</v>
      </c>
      <c r="K129" s="15">
        <v>19532.0928905113</v>
      </c>
    </row>
    <row r="130" spans="1:11" x14ac:dyDescent="0.25">
      <c r="A130" s="15">
        <v>2004</v>
      </c>
      <c r="B130" s="15">
        <v>9</v>
      </c>
      <c r="C130" s="15">
        <v>20514.789242355298</v>
      </c>
      <c r="E130" s="10">
        <v>2004</v>
      </c>
      <c r="F130" s="10">
        <v>9</v>
      </c>
      <c r="G130" s="15">
        <v>20513.096650286501</v>
      </c>
      <c r="I130" s="15">
        <v>2004</v>
      </c>
      <c r="J130" s="15">
        <v>9</v>
      </c>
      <c r="K130" s="15">
        <v>20505.649340235799</v>
      </c>
    </row>
    <row r="131" spans="1:11" x14ac:dyDescent="0.25">
      <c r="A131" s="15">
        <v>2004</v>
      </c>
      <c r="B131" s="15">
        <v>10</v>
      </c>
      <c r="C131" s="15">
        <v>22301.352751844501</v>
      </c>
      <c r="E131" s="10">
        <v>2004</v>
      </c>
      <c r="F131" s="10">
        <v>10</v>
      </c>
      <c r="G131" s="15">
        <v>22307.544628572799</v>
      </c>
      <c r="I131" s="15">
        <v>2004</v>
      </c>
      <c r="J131" s="15">
        <v>10</v>
      </c>
      <c r="K131" s="15">
        <v>22319.192839682401</v>
      </c>
    </row>
    <row r="132" spans="1:11" x14ac:dyDescent="0.25">
      <c r="A132" s="15">
        <v>2004</v>
      </c>
      <c r="B132" s="15">
        <v>11</v>
      </c>
      <c r="C132" s="15">
        <v>20885.478045713</v>
      </c>
      <c r="E132" s="10">
        <v>2004</v>
      </c>
      <c r="F132" s="10">
        <v>11</v>
      </c>
      <c r="G132" s="15">
        <v>20883.879195932699</v>
      </c>
      <c r="I132" s="15">
        <v>2004</v>
      </c>
      <c r="J132" s="15">
        <v>11</v>
      </c>
      <c r="K132" s="15">
        <v>20876.875011612501</v>
      </c>
    </row>
    <row r="133" spans="1:11" x14ac:dyDescent="0.25">
      <c r="A133" s="15">
        <v>2004</v>
      </c>
      <c r="B133" s="15">
        <v>12</v>
      </c>
      <c r="C133" s="15">
        <v>22705.173820109099</v>
      </c>
      <c r="E133" s="10">
        <v>2004</v>
      </c>
      <c r="F133" s="10">
        <v>12</v>
      </c>
      <c r="G133" s="15">
        <v>22701.9430332212</v>
      </c>
      <c r="I133" s="15">
        <v>2004</v>
      </c>
      <c r="J133" s="15">
        <v>12</v>
      </c>
      <c r="K133" s="15">
        <v>22691.222193448801</v>
      </c>
    </row>
    <row r="134" spans="1:11" x14ac:dyDescent="0.25">
      <c r="A134" s="15">
        <v>2005</v>
      </c>
      <c r="B134" s="15">
        <v>1</v>
      </c>
      <c r="C134" s="15">
        <v>35908.929513286901</v>
      </c>
      <c r="E134" s="10">
        <v>2005</v>
      </c>
      <c r="F134" s="10">
        <v>1</v>
      </c>
      <c r="G134" s="15">
        <v>35906.752367760499</v>
      </c>
      <c r="I134" s="15">
        <v>2005</v>
      </c>
      <c r="J134" s="15">
        <v>1</v>
      </c>
      <c r="K134" s="15">
        <v>35939.553278186002</v>
      </c>
    </row>
    <row r="135" spans="1:11" x14ac:dyDescent="0.25">
      <c r="A135" s="15">
        <v>2005</v>
      </c>
      <c r="B135" s="15">
        <v>2</v>
      </c>
      <c r="C135" s="15">
        <v>17389.378249533402</v>
      </c>
      <c r="E135" s="10">
        <v>2005</v>
      </c>
      <c r="F135" s="10">
        <v>2</v>
      </c>
      <c r="G135" s="15">
        <v>17394.920567034598</v>
      </c>
      <c r="I135" s="15">
        <v>2005</v>
      </c>
      <c r="J135" s="15">
        <v>2</v>
      </c>
      <c r="K135" s="15">
        <v>17390.968771100499</v>
      </c>
    </row>
    <row r="136" spans="1:11" x14ac:dyDescent="0.25">
      <c r="A136" s="15">
        <v>2005</v>
      </c>
      <c r="B136" s="15">
        <v>3</v>
      </c>
      <c r="C136" s="15">
        <v>23512.860896196999</v>
      </c>
      <c r="E136" s="10">
        <v>2005</v>
      </c>
      <c r="F136" s="10">
        <v>3</v>
      </c>
      <c r="G136" s="15">
        <v>23510.555235732401</v>
      </c>
      <c r="I136" s="15">
        <v>2005</v>
      </c>
      <c r="J136" s="15">
        <v>3</v>
      </c>
      <c r="K136" s="15">
        <v>23502.722324549199</v>
      </c>
    </row>
    <row r="137" spans="1:11" x14ac:dyDescent="0.25">
      <c r="A137" s="15">
        <v>2005</v>
      </c>
      <c r="B137" s="15">
        <v>4</v>
      </c>
      <c r="C137" s="15">
        <v>25291.3329146838</v>
      </c>
      <c r="E137" s="10">
        <v>2005</v>
      </c>
      <c r="F137" s="10">
        <v>4</v>
      </c>
      <c r="G137" s="15">
        <v>25293.6785999276</v>
      </c>
      <c r="I137" s="15">
        <v>2005</v>
      </c>
      <c r="J137" s="15">
        <v>4</v>
      </c>
      <c r="K137" s="15">
        <v>25297.107907299101</v>
      </c>
    </row>
    <row r="138" spans="1:11" x14ac:dyDescent="0.25">
      <c r="A138" s="15">
        <v>2005</v>
      </c>
      <c r="B138" s="15">
        <v>5</v>
      </c>
      <c r="C138" s="15">
        <v>23842.275469909298</v>
      </c>
      <c r="E138" s="10">
        <v>2005</v>
      </c>
      <c r="F138" s="10">
        <v>5</v>
      </c>
      <c r="G138" s="15">
        <v>23839.7144802763</v>
      </c>
      <c r="I138" s="15">
        <v>2005</v>
      </c>
      <c r="J138" s="15">
        <v>5</v>
      </c>
      <c r="K138" s="15">
        <v>23827.9937577009</v>
      </c>
    </row>
    <row r="139" spans="1:11" x14ac:dyDescent="0.25">
      <c r="A139" s="15">
        <v>2005</v>
      </c>
      <c r="B139" s="15">
        <v>6</v>
      </c>
      <c r="C139" s="15">
        <v>23465.173204380699</v>
      </c>
      <c r="E139" s="10">
        <v>2005</v>
      </c>
      <c r="F139" s="10">
        <v>6</v>
      </c>
      <c r="G139" s="15">
        <v>23464.013215553499</v>
      </c>
      <c r="I139" s="15">
        <v>2005</v>
      </c>
      <c r="J139" s="15">
        <v>6</v>
      </c>
      <c r="K139" s="15">
        <v>23458.348906428899</v>
      </c>
    </row>
    <row r="140" spans="1:11" x14ac:dyDescent="0.25">
      <c r="A140" s="15">
        <v>2005</v>
      </c>
      <c r="B140" s="15">
        <v>7</v>
      </c>
      <c r="C140" s="15">
        <v>26363.479491935101</v>
      </c>
      <c r="E140" s="10">
        <v>2005</v>
      </c>
      <c r="F140" s="10">
        <v>7</v>
      </c>
      <c r="G140" s="15">
        <v>26366.363092866301</v>
      </c>
      <c r="I140" s="15">
        <v>2005</v>
      </c>
      <c r="J140" s="15">
        <v>7</v>
      </c>
      <c r="K140" s="15">
        <v>26372.596570966602</v>
      </c>
    </row>
    <row r="141" spans="1:11" x14ac:dyDescent="0.25">
      <c r="A141" s="15">
        <v>2005</v>
      </c>
      <c r="B141" s="15">
        <v>8</v>
      </c>
      <c r="C141" s="15">
        <v>23655.2098939963</v>
      </c>
      <c r="E141" s="10">
        <v>2005</v>
      </c>
      <c r="F141" s="10">
        <v>8</v>
      </c>
      <c r="G141" s="15">
        <v>23652.9893378128</v>
      </c>
      <c r="I141" s="15">
        <v>2005</v>
      </c>
      <c r="J141" s="15">
        <v>8</v>
      </c>
      <c r="K141" s="15">
        <v>23644.523572838199</v>
      </c>
    </row>
    <row r="142" spans="1:11" x14ac:dyDescent="0.25">
      <c r="A142" s="15">
        <v>2005</v>
      </c>
      <c r="B142" s="15">
        <v>9</v>
      </c>
      <c r="C142" s="15">
        <v>23023.5499127412</v>
      </c>
      <c r="E142" s="10">
        <v>2005</v>
      </c>
      <c r="F142" s="10">
        <v>9</v>
      </c>
      <c r="G142" s="15">
        <v>23021.954741091198</v>
      </c>
      <c r="I142" s="15">
        <v>2005</v>
      </c>
      <c r="J142" s="15">
        <v>9</v>
      </c>
      <c r="K142" s="15">
        <v>23014.630935538698</v>
      </c>
    </row>
    <row r="143" spans="1:11" x14ac:dyDescent="0.25">
      <c r="A143" s="15">
        <v>2005</v>
      </c>
      <c r="B143" s="15">
        <v>10</v>
      </c>
      <c r="C143" s="15">
        <v>26235.6887765018</v>
      </c>
      <c r="E143" s="10">
        <v>2005</v>
      </c>
      <c r="F143" s="10">
        <v>10</v>
      </c>
      <c r="G143" s="15">
        <v>26241.631287291199</v>
      </c>
      <c r="I143" s="15">
        <v>2005</v>
      </c>
      <c r="J143" s="15">
        <v>10</v>
      </c>
      <c r="K143" s="15">
        <v>26251.995417880298</v>
      </c>
    </row>
    <row r="144" spans="1:11" x14ac:dyDescent="0.25">
      <c r="A144" s="15">
        <v>2005</v>
      </c>
      <c r="B144" s="15">
        <v>11</v>
      </c>
      <c r="C144" s="15">
        <v>25944.9283894252</v>
      </c>
      <c r="E144" s="10">
        <v>2005</v>
      </c>
      <c r="F144" s="10">
        <v>11</v>
      </c>
      <c r="G144" s="15">
        <v>25943.475628711902</v>
      </c>
      <c r="I144" s="15">
        <v>2005</v>
      </c>
      <c r="J144" s="15">
        <v>11</v>
      </c>
      <c r="K144" s="15">
        <v>25939.591097097298</v>
      </c>
    </row>
    <row r="145" spans="1:11" x14ac:dyDescent="0.25">
      <c r="A145" s="15">
        <v>2005</v>
      </c>
      <c r="B145" s="15">
        <v>12</v>
      </c>
      <c r="C145" s="15">
        <v>23892.840062007901</v>
      </c>
      <c r="E145" s="10">
        <v>2005</v>
      </c>
      <c r="F145" s="10">
        <v>12</v>
      </c>
      <c r="G145" s="15">
        <v>23893.972622512101</v>
      </c>
      <c r="I145" s="15">
        <v>2005</v>
      </c>
      <c r="J145" s="15">
        <v>12</v>
      </c>
      <c r="K145" s="15">
        <v>23894.000025384499</v>
      </c>
    </row>
    <row r="146" spans="1:11" x14ac:dyDescent="0.25">
      <c r="A146" s="15">
        <v>2006</v>
      </c>
      <c r="B146" s="15">
        <v>1</v>
      </c>
      <c r="C146" s="15">
        <v>25690.679662864099</v>
      </c>
      <c r="E146" s="10">
        <v>2006</v>
      </c>
      <c r="F146" s="10">
        <v>1</v>
      </c>
      <c r="G146" s="15">
        <v>25684.055044702902</v>
      </c>
      <c r="I146" s="15">
        <v>2006</v>
      </c>
      <c r="J146" s="15">
        <v>1</v>
      </c>
      <c r="K146" s="15">
        <v>25701.7855648599</v>
      </c>
    </row>
    <row r="147" spans="1:11" x14ac:dyDescent="0.25">
      <c r="A147" s="15">
        <v>2006</v>
      </c>
      <c r="B147" s="15">
        <v>2</v>
      </c>
      <c r="C147" s="15">
        <v>34221.950080230403</v>
      </c>
      <c r="E147" s="10">
        <v>2006</v>
      </c>
      <c r="F147" s="10">
        <v>2</v>
      </c>
      <c r="G147" s="15">
        <v>34227.648339727399</v>
      </c>
      <c r="I147" s="15">
        <v>2006</v>
      </c>
      <c r="J147" s="15">
        <v>2</v>
      </c>
      <c r="K147" s="15">
        <v>34224.358760530697</v>
      </c>
    </row>
    <row r="148" spans="1:11" x14ac:dyDescent="0.25">
      <c r="A148" s="15">
        <v>2006</v>
      </c>
      <c r="B148" s="15">
        <v>3</v>
      </c>
      <c r="C148" s="15">
        <v>30370.5736462475</v>
      </c>
      <c r="E148" s="10">
        <v>2006</v>
      </c>
      <c r="F148" s="10">
        <v>3</v>
      </c>
      <c r="G148" s="15">
        <v>30368.1074249173</v>
      </c>
      <c r="I148" s="15">
        <v>2006</v>
      </c>
      <c r="J148" s="15">
        <v>3</v>
      </c>
      <c r="K148" s="15">
        <v>30360.473386891001</v>
      </c>
    </row>
    <row r="149" spans="1:11" x14ac:dyDescent="0.25">
      <c r="A149" s="15">
        <v>2006</v>
      </c>
      <c r="B149" s="15">
        <v>4</v>
      </c>
      <c r="C149" s="15">
        <v>32572.809926178201</v>
      </c>
      <c r="E149" s="10">
        <v>2006</v>
      </c>
      <c r="F149" s="10">
        <v>4</v>
      </c>
      <c r="G149" s="15">
        <v>32579.6259138885</v>
      </c>
      <c r="I149" s="15">
        <v>2006</v>
      </c>
      <c r="J149" s="15">
        <v>4</v>
      </c>
      <c r="K149" s="15">
        <v>32594.358380315</v>
      </c>
    </row>
    <row r="150" spans="1:11" x14ac:dyDescent="0.25">
      <c r="A150" s="15">
        <v>2006</v>
      </c>
      <c r="B150" s="15">
        <v>5</v>
      </c>
      <c r="C150" s="15">
        <v>27003.489393615298</v>
      </c>
      <c r="E150" s="10">
        <v>2006</v>
      </c>
      <c r="F150" s="10">
        <v>5</v>
      </c>
      <c r="G150" s="15">
        <v>26995.920741284299</v>
      </c>
      <c r="I150" s="15">
        <v>2006</v>
      </c>
      <c r="J150" s="15">
        <v>5</v>
      </c>
      <c r="K150" s="15">
        <v>26972.637828688999</v>
      </c>
    </row>
    <row r="151" spans="1:11" x14ac:dyDescent="0.25">
      <c r="A151" s="15">
        <v>2006</v>
      </c>
      <c r="B151" s="15">
        <v>6</v>
      </c>
      <c r="C151" s="15">
        <v>32394.391968252101</v>
      </c>
      <c r="E151" s="10">
        <v>2006</v>
      </c>
      <c r="F151" s="10">
        <v>6</v>
      </c>
      <c r="G151" s="15">
        <v>32393.475483104601</v>
      </c>
      <c r="I151" s="15">
        <v>2006</v>
      </c>
      <c r="J151" s="15">
        <v>6</v>
      </c>
      <c r="K151" s="15">
        <v>32388.9678880422</v>
      </c>
    </row>
    <row r="152" spans="1:11" x14ac:dyDescent="0.25">
      <c r="A152" s="15">
        <v>2006</v>
      </c>
      <c r="B152" s="15">
        <v>7</v>
      </c>
      <c r="C152" s="15">
        <v>36184.647300048899</v>
      </c>
      <c r="E152" s="10">
        <v>2006</v>
      </c>
      <c r="F152" s="10">
        <v>7</v>
      </c>
      <c r="G152" s="15">
        <v>36187.624212112503</v>
      </c>
      <c r="I152" s="15">
        <v>2006</v>
      </c>
      <c r="J152" s="15">
        <v>7</v>
      </c>
      <c r="K152" s="15">
        <v>36193.700027483399</v>
      </c>
    </row>
    <row r="153" spans="1:11" x14ac:dyDescent="0.25">
      <c r="A153" s="15">
        <v>2006</v>
      </c>
      <c r="B153" s="15">
        <v>8</v>
      </c>
      <c r="C153" s="15">
        <v>34728.743464581697</v>
      </c>
      <c r="E153" s="10">
        <v>2006</v>
      </c>
      <c r="F153" s="10">
        <v>8</v>
      </c>
      <c r="G153" s="15">
        <v>34726.497648201897</v>
      </c>
      <c r="I153" s="15">
        <v>2006</v>
      </c>
      <c r="J153" s="15">
        <v>8</v>
      </c>
      <c r="K153" s="15">
        <v>34718.444442678803</v>
      </c>
    </row>
    <row r="154" spans="1:11" x14ac:dyDescent="0.25">
      <c r="A154" s="15">
        <v>2006</v>
      </c>
      <c r="B154" s="15">
        <v>9</v>
      </c>
      <c r="C154" s="15">
        <v>38252.850148943202</v>
      </c>
      <c r="E154" s="10">
        <v>2006</v>
      </c>
      <c r="F154" s="10">
        <v>9</v>
      </c>
      <c r="G154" s="15">
        <v>38255.910589623301</v>
      </c>
      <c r="I154" s="15">
        <v>2006</v>
      </c>
      <c r="J154" s="15">
        <v>9</v>
      </c>
      <c r="K154" s="15">
        <v>38259.939952993504</v>
      </c>
    </row>
    <row r="155" spans="1:11" x14ac:dyDescent="0.25">
      <c r="A155" s="15">
        <v>2006</v>
      </c>
      <c r="B155" s="15">
        <v>10</v>
      </c>
      <c r="C155" s="15">
        <v>36568.437167293698</v>
      </c>
      <c r="E155" s="10">
        <v>2006</v>
      </c>
      <c r="F155" s="10">
        <v>10</v>
      </c>
      <c r="G155" s="15">
        <v>36569.9569872051</v>
      </c>
      <c r="I155" s="15">
        <v>2006</v>
      </c>
      <c r="J155" s="15">
        <v>10</v>
      </c>
      <c r="K155" s="15">
        <v>36569.289258756398</v>
      </c>
    </row>
    <row r="156" spans="1:11" x14ac:dyDescent="0.25">
      <c r="A156" s="15">
        <v>2006</v>
      </c>
      <c r="B156" s="15">
        <v>11</v>
      </c>
      <c r="C156" s="15">
        <v>38346.630957546397</v>
      </c>
      <c r="E156" s="10">
        <v>2006</v>
      </c>
      <c r="F156" s="10">
        <v>11</v>
      </c>
      <c r="G156" s="15">
        <v>38345.296044122901</v>
      </c>
      <c r="I156" s="15">
        <v>2006</v>
      </c>
      <c r="J156" s="15">
        <v>11</v>
      </c>
      <c r="K156" s="15">
        <v>38344.957388751303</v>
      </c>
    </row>
    <row r="157" spans="1:11" x14ac:dyDescent="0.25">
      <c r="A157" s="15">
        <v>2006</v>
      </c>
      <c r="B157" s="15">
        <v>12</v>
      </c>
      <c r="C157" s="15">
        <v>41792.676093303198</v>
      </c>
      <c r="E157" s="10">
        <v>2006</v>
      </c>
      <c r="F157" s="10">
        <v>12</v>
      </c>
      <c r="G157" s="15">
        <v>41798.7612427063</v>
      </c>
      <c r="I157" s="15">
        <v>2006</v>
      </c>
      <c r="J157" s="15">
        <v>12</v>
      </c>
      <c r="K157" s="15">
        <v>41810.622818902099</v>
      </c>
    </row>
    <row r="158" spans="1:11" x14ac:dyDescent="0.25">
      <c r="A158" s="15">
        <v>2007</v>
      </c>
      <c r="B158" s="15">
        <v>1</v>
      </c>
      <c r="C158" s="15">
        <v>29343.498177801201</v>
      </c>
      <c r="E158" s="10">
        <v>2007</v>
      </c>
      <c r="F158" s="10">
        <v>1</v>
      </c>
      <c r="G158" s="15">
        <v>29331.854470528699</v>
      </c>
      <c r="I158" s="15">
        <v>2007</v>
      </c>
      <c r="J158" s="15">
        <v>1</v>
      </c>
      <c r="K158" s="15">
        <v>29330.377701185</v>
      </c>
    </row>
    <row r="159" spans="1:11" x14ac:dyDescent="0.25">
      <c r="A159" s="15">
        <v>2007</v>
      </c>
      <c r="B159" s="15">
        <v>2</v>
      </c>
      <c r="C159" s="15">
        <v>42071.040982407503</v>
      </c>
      <c r="E159" s="10">
        <v>2007</v>
      </c>
      <c r="F159" s="10">
        <v>2</v>
      </c>
      <c r="G159" s="15">
        <v>42076.298414360201</v>
      </c>
      <c r="I159" s="15">
        <v>2007</v>
      </c>
      <c r="J159" s="15">
        <v>2</v>
      </c>
      <c r="K159" s="15">
        <v>42072.336414857702</v>
      </c>
    </row>
    <row r="160" spans="1:11" x14ac:dyDescent="0.25">
      <c r="A160" s="15">
        <v>2007</v>
      </c>
      <c r="B160" s="15">
        <v>3</v>
      </c>
      <c r="C160" s="15">
        <v>42329.751040103598</v>
      </c>
      <c r="E160" s="10">
        <v>2007</v>
      </c>
      <c r="F160" s="10">
        <v>3</v>
      </c>
      <c r="G160" s="15">
        <v>42332.169370247997</v>
      </c>
      <c r="I160" s="15">
        <v>2007</v>
      </c>
      <c r="J160" s="15">
        <v>3</v>
      </c>
      <c r="K160" s="15">
        <v>42337.182684753003</v>
      </c>
    </row>
    <row r="161" spans="1:11" x14ac:dyDescent="0.25">
      <c r="A161" s="15">
        <v>2007</v>
      </c>
      <c r="B161" s="15">
        <v>4</v>
      </c>
      <c r="C161" s="15">
        <v>38992.1860603686</v>
      </c>
      <c r="E161" s="10">
        <v>2007</v>
      </c>
      <c r="F161" s="10">
        <v>4</v>
      </c>
      <c r="G161" s="15">
        <v>38994.560476966697</v>
      </c>
      <c r="I161" s="15">
        <v>2007</v>
      </c>
      <c r="J161" s="15">
        <v>4</v>
      </c>
      <c r="K161" s="15">
        <v>38999.321834957896</v>
      </c>
    </row>
    <row r="162" spans="1:11" x14ac:dyDescent="0.25">
      <c r="A162" s="15">
        <v>2007</v>
      </c>
      <c r="B162" s="15">
        <v>5</v>
      </c>
      <c r="C162" s="15">
        <v>39962.913549680597</v>
      </c>
      <c r="E162" s="10">
        <v>2007</v>
      </c>
      <c r="F162" s="10">
        <v>5</v>
      </c>
      <c r="G162" s="15">
        <v>39955.026543657797</v>
      </c>
      <c r="I162" s="15">
        <v>2007</v>
      </c>
      <c r="J162" s="15">
        <v>5</v>
      </c>
      <c r="K162" s="15">
        <v>39931.881709923997</v>
      </c>
    </row>
    <row r="163" spans="1:11" x14ac:dyDescent="0.25">
      <c r="A163" s="15">
        <v>2007</v>
      </c>
      <c r="B163" s="15">
        <v>6</v>
      </c>
      <c r="C163" s="15">
        <v>44979.282978298797</v>
      </c>
      <c r="E163" s="10">
        <v>2007</v>
      </c>
      <c r="F163" s="10">
        <v>6</v>
      </c>
      <c r="G163" s="15">
        <v>44983.191491254198</v>
      </c>
      <c r="I163" s="15">
        <v>2007</v>
      </c>
      <c r="J163" s="15">
        <v>6</v>
      </c>
      <c r="K163" s="15">
        <v>44991.4649111158</v>
      </c>
    </row>
    <row r="164" spans="1:11" x14ac:dyDescent="0.25">
      <c r="A164" s="15">
        <v>2007</v>
      </c>
      <c r="B164" s="15">
        <v>7</v>
      </c>
      <c r="C164" s="15">
        <v>40529.697039726998</v>
      </c>
      <c r="E164" s="10">
        <v>2007</v>
      </c>
      <c r="F164" s="10">
        <v>7</v>
      </c>
      <c r="G164" s="15">
        <v>40528.419613876897</v>
      </c>
      <c r="I164" s="15">
        <v>2007</v>
      </c>
      <c r="J164" s="15">
        <v>7</v>
      </c>
      <c r="K164" s="15">
        <v>40524.425400398701</v>
      </c>
    </row>
    <row r="165" spans="1:11" x14ac:dyDescent="0.25">
      <c r="A165" s="15">
        <v>2007</v>
      </c>
      <c r="B165" s="15">
        <v>8</v>
      </c>
      <c r="C165" s="15">
        <v>44600.629891853401</v>
      </c>
      <c r="E165" s="10">
        <v>2007</v>
      </c>
      <c r="F165" s="10">
        <v>8</v>
      </c>
      <c r="G165" s="15">
        <v>44597.542978232101</v>
      </c>
      <c r="I165" s="15">
        <v>2007</v>
      </c>
      <c r="J165" s="15">
        <v>8</v>
      </c>
      <c r="K165" s="15">
        <v>44588.416667310899</v>
      </c>
    </row>
    <row r="166" spans="1:11" x14ac:dyDescent="0.25">
      <c r="A166" s="15">
        <v>2007</v>
      </c>
      <c r="B166" s="15">
        <v>9</v>
      </c>
      <c r="C166" s="15">
        <v>43446.167805093799</v>
      </c>
      <c r="E166" s="10">
        <v>2007</v>
      </c>
      <c r="F166" s="10">
        <v>9</v>
      </c>
      <c r="G166" s="15">
        <v>43454.047501204397</v>
      </c>
      <c r="I166" s="15">
        <v>2007</v>
      </c>
      <c r="J166" s="15">
        <v>9</v>
      </c>
      <c r="K166" s="15">
        <v>43470.143814524898</v>
      </c>
    </row>
    <row r="167" spans="1:11" x14ac:dyDescent="0.25">
      <c r="A167" s="15">
        <v>2007</v>
      </c>
      <c r="B167" s="15">
        <v>10</v>
      </c>
      <c r="C167" s="15">
        <v>46468.567538696901</v>
      </c>
      <c r="E167" s="10">
        <v>2007</v>
      </c>
      <c r="F167" s="10">
        <v>10</v>
      </c>
      <c r="G167" s="15">
        <v>46465.541763911897</v>
      </c>
      <c r="I167" s="15">
        <v>2007</v>
      </c>
      <c r="J167" s="15">
        <v>10</v>
      </c>
      <c r="K167" s="15">
        <v>46453.581989094098</v>
      </c>
    </row>
    <row r="168" spans="1:11" x14ac:dyDescent="0.25">
      <c r="A168" s="15">
        <v>2007</v>
      </c>
      <c r="B168" s="15">
        <v>11</v>
      </c>
      <c r="C168" s="15">
        <v>47594.956573106603</v>
      </c>
      <c r="E168" s="10">
        <v>2007</v>
      </c>
      <c r="F168" s="10">
        <v>11</v>
      </c>
      <c r="G168" s="15">
        <v>47593.253292588401</v>
      </c>
      <c r="I168" s="15">
        <v>2007</v>
      </c>
      <c r="J168" s="15">
        <v>11</v>
      </c>
      <c r="K168" s="15">
        <v>47594.959757854303</v>
      </c>
    </row>
    <row r="169" spans="1:11" x14ac:dyDescent="0.25">
      <c r="A169" s="15">
        <v>2007</v>
      </c>
      <c r="B169" s="15">
        <v>12</v>
      </c>
      <c r="C169" s="15">
        <v>50980.850845017703</v>
      </c>
      <c r="E169" s="10">
        <v>2007</v>
      </c>
      <c r="F169" s="10">
        <v>12</v>
      </c>
      <c r="G169" s="15">
        <v>50987.461952705104</v>
      </c>
      <c r="I169" s="15">
        <v>2007</v>
      </c>
      <c r="J169" s="15">
        <v>12</v>
      </c>
      <c r="K169" s="15">
        <v>50999.779489984103</v>
      </c>
    </row>
    <row r="170" spans="1:11" x14ac:dyDescent="0.25">
      <c r="A170" s="15">
        <v>2008</v>
      </c>
      <c r="B170" s="15">
        <v>1</v>
      </c>
      <c r="C170" s="15">
        <v>53772.975275808298</v>
      </c>
      <c r="E170" s="10">
        <v>2008</v>
      </c>
      <c r="F170" s="10">
        <v>1</v>
      </c>
      <c r="G170" s="15">
        <v>53762.0856382887</v>
      </c>
      <c r="I170" s="15">
        <v>2008</v>
      </c>
      <c r="J170" s="15">
        <v>1</v>
      </c>
      <c r="K170" s="15">
        <v>53754.791580180703</v>
      </c>
    </row>
    <row r="171" spans="1:11" x14ac:dyDescent="0.25">
      <c r="A171" s="15">
        <v>2008</v>
      </c>
      <c r="B171" s="15">
        <v>2</v>
      </c>
      <c r="C171" s="15">
        <v>40150.815358320498</v>
      </c>
      <c r="E171" s="10">
        <v>2008</v>
      </c>
      <c r="F171" s="10">
        <v>2</v>
      </c>
      <c r="G171" s="15">
        <v>40150.079832794101</v>
      </c>
      <c r="I171" s="15">
        <v>2008</v>
      </c>
      <c r="J171" s="15">
        <v>2</v>
      </c>
      <c r="K171" s="15">
        <v>40167.177772560899</v>
      </c>
    </row>
    <row r="172" spans="1:11" x14ac:dyDescent="0.25">
      <c r="A172" s="15">
        <v>2008</v>
      </c>
      <c r="B172" s="15">
        <v>3</v>
      </c>
      <c r="C172" s="15">
        <v>47471.178044955501</v>
      </c>
      <c r="E172" s="10">
        <v>2008</v>
      </c>
      <c r="F172" s="10">
        <v>3</v>
      </c>
      <c r="G172" s="15">
        <v>47476.803018871797</v>
      </c>
      <c r="I172" s="15">
        <v>2008</v>
      </c>
      <c r="J172" s="15">
        <v>3</v>
      </c>
      <c r="K172" s="15">
        <v>47489.120439396698</v>
      </c>
    </row>
    <row r="173" spans="1:11" x14ac:dyDescent="0.25">
      <c r="A173" s="15">
        <v>2008</v>
      </c>
      <c r="B173" s="15">
        <v>4</v>
      </c>
      <c r="C173" s="15">
        <v>50201.620974325</v>
      </c>
      <c r="E173" s="10">
        <v>2008</v>
      </c>
      <c r="F173" s="10">
        <v>4</v>
      </c>
      <c r="G173" s="15">
        <v>50199.7915266661</v>
      </c>
      <c r="I173" s="15">
        <v>2008</v>
      </c>
      <c r="J173" s="15">
        <v>4</v>
      </c>
      <c r="K173" s="15">
        <v>50194.785452377298</v>
      </c>
    </row>
    <row r="174" spans="1:11" x14ac:dyDescent="0.25">
      <c r="A174" s="15">
        <v>2008</v>
      </c>
      <c r="B174" s="15">
        <v>5</v>
      </c>
      <c r="C174" s="15">
        <v>49931.717224999004</v>
      </c>
      <c r="E174" s="10">
        <v>2008</v>
      </c>
      <c r="F174" s="10">
        <v>5</v>
      </c>
      <c r="G174" s="15">
        <v>49929.466300210799</v>
      </c>
      <c r="I174" s="15">
        <v>2008</v>
      </c>
      <c r="J174" s="15">
        <v>5</v>
      </c>
      <c r="K174" s="15">
        <v>49921.857766990703</v>
      </c>
    </row>
    <row r="175" spans="1:11" x14ac:dyDescent="0.25">
      <c r="A175" s="15">
        <v>2008</v>
      </c>
      <c r="B175" s="15">
        <v>6</v>
      </c>
      <c r="C175" s="15">
        <v>46401.643416342296</v>
      </c>
      <c r="E175" s="10">
        <v>2008</v>
      </c>
      <c r="F175" s="10">
        <v>6</v>
      </c>
      <c r="G175" s="15">
        <v>46405.1887545879</v>
      </c>
      <c r="I175" s="15">
        <v>2008</v>
      </c>
      <c r="J175" s="15">
        <v>6</v>
      </c>
      <c r="K175" s="15">
        <v>46413.965753574499</v>
      </c>
    </row>
    <row r="176" spans="1:11" x14ac:dyDescent="0.25">
      <c r="A176" s="15">
        <v>2008</v>
      </c>
      <c r="B176" s="15">
        <v>7</v>
      </c>
      <c r="C176" s="15">
        <v>56621.656013725697</v>
      </c>
      <c r="E176" s="10">
        <v>2008</v>
      </c>
      <c r="F176" s="10">
        <v>7</v>
      </c>
      <c r="G176" s="15">
        <v>56615.679638313901</v>
      </c>
      <c r="I176" s="15">
        <v>2008</v>
      </c>
      <c r="J176" s="15">
        <v>7</v>
      </c>
      <c r="K176" s="15">
        <v>56601.827589671702</v>
      </c>
    </row>
    <row r="177" spans="1:11" x14ac:dyDescent="0.25">
      <c r="A177" s="15">
        <v>2008</v>
      </c>
      <c r="B177" s="15">
        <v>8</v>
      </c>
      <c r="C177" s="15">
        <v>50090.204100674899</v>
      </c>
      <c r="E177" s="10">
        <v>2008</v>
      </c>
      <c r="F177" s="10">
        <v>8</v>
      </c>
      <c r="G177" s="15">
        <v>50095.912479878803</v>
      </c>
      <c r="I177" s="15">
        <v>2008</v>
      </c>
      <c r="J177" s="15">
        <v>8</v>
      </c>
      <c r="K177" s="15">
        <v>50109.426608307898</v>
      </c>
    </row>
    <row r="178" spans="1:11" x14ac:dyDescent="0.25">
      <c r="A178" s="15">
        <v>2008</v>
      </c>
      <c r="B178" s="15">
        <v>9</v>
      </c>
      <c r="C178" s="15">
        <v>51367.701809278697</v>
      </c>
      <c r="E178" s="10">
        <v>2008</v>
      </c>
      <c r="F178" s="10">
        <v>9</v>
      </c>
      <c r="G178" s="15">
        <v>51365.822027663598</v>
      </c>
      <c r="I178" s="15">
        <v>2008</v>
      </c>
      <c r="J178" s="15">
        <v>9</v>
      </c>
      <c r="K178" s="15">
        <v>51359.544645597802</v>
      </c>
    </row>
    <row r="179" spans="1:11" x14ac:dyDescent="0.25">
      <c r="A179" s="15">
        <v>2008</v>
      </c>
      <c r="B179" s="15">
        <v>10</v>
      </c>
      <c r="C179" s="15">
        <v>48267.784092511203</v>
      </c>
      <c r="E179" s="10">
        <v>2008</v>
      </c>
      <c r="F179" s="10">
        <v>10</v>
      </c>
      <c r="G179" s="15">
        <v>48264.636482878101</v>
      </c>
      <c r="I179" s="15">
        <v>2008</v>
      </c>
      <c r="J179" s="15">
        <v>10</v>
      </c>
      <c r="K179" s="15">
        <v>48253.421471582798</v>
      </c>
    </row>
    <row r="180" spans="1:11" x14ac:dyDescent="0.25">
      <c r="A180" s="15">
        <v>2008</v>
      </c>
      <c r="B180" s="15">
        <v>11</v>
      </c>
      <c r="C180" s="15">
        <v>33704.659348886897</v>
      </c>
      <c r="E180" s="10">
        <v>2008</v>
      </c>
      <c r="F180" s="10">
        <v>11</v>
      </c>
      <c r="G180" s="15">
        <v>33712.441561601503</v>
      </c>
      <c r="I180" s="15">
        <v>2008</v>
      </c>
      <c r="J180" s="15">
        <v>11</v>
      </c>
      <c r="K180" s="15">
        <v>33738.188580463298</v>
      </c>
    </row>
    <row r="181" spans="1:11" x14ac:dyDescent="0.25">
      <c r="A181" s="15">
        <v>2008</v>
      </c>
      <c r="B181" s="15">
        <v>12</v>
      </c>
      <c r="C181" s="15">
        <v>27640.1534981689</v>
      </c>
      <c r="E181" s="10">
        <v>2008</v>
      </c>
      <c r="F181" s="10">
        <v>12</v>
      </c>
      <c r="G181" s="15">
        <v>27637.9308970698</v>
      </c>
      <c r="I181" s="15">
        <v>2008</v>
      </c>
      <c r="J181" s="15">
        <v>12</v>
      </c>
      <c r="K181" s="15">
        <v>27628.532581638901</v>
      </c>
    </row>
    <row r="182" spans="1:11" x14ac:dyDescent="0.25">
      <c r="A182" s="15">
        <v>2009</v>
      </c>
      <c r="B182" s="15">
        <v>1</v>
      </c>
      <c r="C182" s="15">
        <v>34832.633206042599</v>
      </c>
      <c r="E182" s="10">
        <v>2009</v>
      </c>
      <c r="F182" s="10">
        <v>1</v>
      </c>
      <c r="G182" s="15">
        <v>34827.406653174199</v>
      </c>
      <c r="I182" s="15">
        <v>2009</v>
      </c>
      <c r="J182" s="15">
        <v>1</v>
      </c>
      <c r="K182" s="15">
        <v>34825.983463679702</v>
      </c>
    </row>
    <row r="183" spans="1:11" x14ac:dyDescent="0.25">
      <c r="A183" s="15">
        <v>2009</v>
      </c>
      <c r="B183" s="15">
        <v>2</v>
      </c>
      <c r="C183" s="15">
        <v>23795.9505599357</v>
      </c>
      <c r="E183" s="10">
        <v>2009</v>
      </c>
      <c r="F183" s="10">
        <v>2</v>
      </c>
      <c r="G183" s="15">
        <v>23801.350486444298</v>
      </c>
      <c r="I183" s="15">
        <v>2009</v>
      </c>
      <c r="J183" s="15">
        <v>2</v>
      </c>
      <c r="K183" s="15">
        <v>23794.8817691154</v>
      </c>
    </row>
    <row r="184" spans="1:11" x14ac:dyDescent="0.25">
      <c r="A184" s="15">
        <v>2009</v>
      </c>
      <c r="B184" s="15">
        <v>3</v>
      </c>
      <c r="C184" s="15">
        <v>37106.167736492302</v>
      </c>
      <c r="E184" s="10">
        <v>2009</v>
      </c>
      <c r="F184" s="10">
        <v>3</v>
      </c>
      <c r="G184" s="15">
        <v>37105.5884732919</v>
      </c>
      <c r="I184" s="15">
        <v>2009</v>
      </c>
      <c r="J184" s="15">
        <v>3</v>
      </c>
      <c r="K184" s="15">
        <v>37101.246361582802</v>
      </c>
    </row>
    <row r="185" spans="1:11" x14ac:dyDescent="0.25">
      <c r="A185" s="15">
        <v>2009</v>
      </c>
      <c r="B185" s="15">
        <v>4</v>
      </c>
      <c r="C185" s="15">
        <v>36559.945576184502</v>
      </c>
      <c r="E185" s="10">
        <v>2009</v>
      </c>
      <c r="F185" s="10">
        <v>4</v>
      </c>
      <c r="G185" s="15">
        <v>36559.086939615998</v>
      </c>
      <c r="I185" s="15">
        <v>2009</v>
      </c>
      <c r="J185" s="15">
        <v>4</v>
      </c>
      <c r="K185" s="15">
        <v>36556.1638128056</v>
      </c>
    </row>
    <row r="186" spans="1:11" x14ac:dyDescent="0.25">
      <c r="A186" s="15">
        <v>2009</v>
      </c>
      <c r="B186" s="15">
        <v>5</v>
      </c>
      <c r="C186" s="15">
        <v>40437.824444779901</v>
      </c>
      <c r="E186" s="10">
        <v>2009</v>
      </c>
      <c r="F186" s="10">
        <v>5</v>
      </c>
      <c r="G186" s="15">
        <v>40441.736906778802</v>
      </c>
      <c r="I186" s="15">
        <v>2009</v>
      </c>
      <c r="J186" s="15">
        <v>5</v>
      </c>
      <c r="K186" s="15">
        <v>40449.270835708201</v>
      </c>
    </row>
    <row r="187" spans="1:11" x14ac:dyDescent="0.25">
      <c r="A187" s="15">
        <v>2009</v>
      </c>
      <c r="B187" s="15">
        <v>6</v>
      </c>
      <c r="C187" s="15">
        <v>40329.741379073697</v>
      </c>
      <c r="E187" s="10">
        <v>2009</v>
      </c>
      <c r="F187" s="10">
        <v>6</v>
      </c>
      <c r="G187" s="15">
        <v>40326.391560868498</v>
      </c>
      <c r="I187" s="15">
        <v>2009</v>
      </c>
      <c r="J187" s="15">
        <v>6</v>
      </c>
      <c r="K187" s="15">
        <v>40327.757387024198</v>
      </c>
    </row>
    <row r="188" spans="1:11" x14ac:dyDescent="0.25">
      <c r="A188" s="15">
        <v>2009</v>
      </c>
      <c r="B188" s="15">
        <v>7</v>
      </c>
      <c r="C188" s="15">
        <v>44847.017258258304</v>
      </c>
      <c r="E188" s="10">
        <v>2009</v>
      </c>
      <c r="F188" s="10">
        <v>7</v>
      </c>
      <c r="G188" s="15">
        <v>44841.863160729998</v>
      </c>
      <c r="I188" s="15">
        <v>2009</v>
      </c>
      <c r="J188" s="15">
        <v>7</v>
      </c>
      <c r="K188" s="15">
        <v>44828.649221666303</v>
      </c>
    </row>
    <row r="189" spans="1:11" x14ac:dyDescent="0.25">
      <c r="A189" s="15">
        <v>2009</v>
      </c>
      <c r="B189" s="15">
        <v>8</v>
      </c>
      <c r="C189" s="15">
        <v>41533.990079132898</v>
      </c>
      <c r="E189" s="10">
        <v>2009</v>
      </c>
      <c r="F189" s="10">
        <v>8</v>
      </c>
      <c r="G189" s="15">
        <v>41537.559465815102</v>
      </c>
      <c r="I189" s="15">
        <v>2009</v>
      </c>
      <c r="J189" s="15">
        <v>8</v>
      </c>
      <c r="K189" s="15">
        <v>41551.7022204272</v>
      </c>
    </row>
    <row r="190" spans="1:11" x14ac:dyDescent="0.25">
      <c r="A190" s="15">
        <v>2009</v>
      </c>
      <c r="B190" s="15">
        <v>9</v>
      </c>
      <c r="C190" s="15">
        <v>45633.754937971702</v>
      </c>
      <c r="E190" s="10">
        <v>2009</v>
      </c>
      <c r="F190" s="10">
        <v>9</v>
      </c>
      <c r="G190" s="15">
        <v>45632.538427043197</v>
      </c>
      <c r="I190" s="15">
        <v>2009</v>
      </c>
      <c r="J190" s="15">
        <v>9</v>
      </c>
      <c r="K190" s="15">
        <v>45626.896781634197</v>
      </c>
    </row>
    <row r="191" spans="1:11" x14ac:dyDescent="0.25">
      <c r="A191" s="15">
        <v>2009</v>
      </c>
      <c r="B191" s="15">
        <v>10</v>
      </c>
      <c r="C191" s="15">
        <v>50286.070389439999</v>
      </c>
      <c r="E191" s="10">
        <v>2009</v>
      </c>
      <c r="F191" s="10">
        <v>10</v>
      </c>
      <c r="G191" s="15">
        <v>50287.682532715997</v>
      </c>
      <c r="I191" s="15">
        <v>2009</v>
      </c>
      <c r="J191" s="15">
        <v>10</v>
      </c>
      <c r="K191" s="15">
        <v>50287.334859851799</v>
      </c>
    </row>
    <row r="192" spans="1:11" x14ac:dyDescent="0.25">
      <c r="A192" s="15">
        <v>2009</v>
      </c>
      <c r="B192" s="15">
        <v>11</v>
      </c>
      <c r="C192" s="15">
        <v>47861.0390399635</v>
      </c>
      <c r="E192" s="10">
        <v>2009</v>
      </c>
      <c r="F192" s="10">
        <v>11</v>
      </c>
      <c r="G192" s="15">
        <v>47863.850374342597</v>
      </c>
      <c r="I192" s="15">
        <v>2009</v>
      </c>
      <c r="J192" s="15">
        <v>11</v>
      </c>
      <c r="K192" s="15">
        <v>47877.354090936497</v>
      </c>
    </row>
    <row r="193" spans="1:11" x14ac:dyDescent="0.25">
      <c r="A193" s="15">
        <v>2009</v>
      </c>
      <c r="B193" s="15">
        <v>12</v>
      </c>
      <c r="C193" s="15">
        <v>54448.421777067102</v>
      </c>
      <c r="E193" s="10">
        <v>2009</v>
      </c>
      <c r="F193" s="10">
        <v>12</v>
      </c>
      <c r="G193" s="15">
        <v>54446.780673153298</v>
      </c>
      <c r="I193" s="15">
        <v>2009</v>
      </c>
      <c r="J193" s="15">
        <v>12</v>
      </c>
      <c r="K193" s="15">
        <v>54438.154824339901</v>
      </c>
    </row>
    <row r="194" spans="1:11" x14ac:dyDescent="0.25">
      <c r="A194" s="15">
        <v>2010</v>
      </c>
      <c r="B194" s="15">
        <v>1</v>
      </c>
      <c r="C194" s="15">
        <v>50145.094797436897</v>
      </c>
      <c r="E194" s="10">
        <v>2010</v>
      </c>
      <c r="F194" s="10">
        <v>1</v>
      </c>
      <c r="G194" s="15">
        <v>50145.719389449601</v>
      </c>
      <c r="I194" s="15">
        <v>2010</v>
      </c>
      <c r="J194" s="15">
        <v>1</v>
      </c>
      <c r="K194" s="15">
        <v>50154.361111927501</v>
      </c>
    </row>
    <row r="195" spans="1:11" x14ac:dyDescent="0.25">
      <c r="A195" s="15">
        <v>2010</v>
      </c>
      <c r="B195" s="15">
        <v>2</v>
      </c>
      <c r="C195" s="15">
        <v>48612.815839111703</v>
      </c>
      <c r="E195" s="10">
        <v>2010</v>
      </c>
      <c r="F195" s="10">
        <v>2</v>
      </c>
      <c r="G195" s="15">
        <v>48619.607736894097</v>
      </c>
      <c r="I195" s="15">
        <v>2010</v>
      </c>
      <c r="J195" s="15">
        <v>2</v>
      </c>
      <c r="K195" s="15">
        <v>48611.327329705498</v>
      </c>
    </row>
    <row r="196" spans="1:11" x14ac:dyDescent="0.25">
      <c r="A196" s="15">
        <v>2010</v>
      </c>
      <c r="B196" s="15">
        <v>3</v>
      </c>
      <c r="C196" s="15">
        <v>48969.7834321888</v>
      </c>
      <c r="E196" s="10">
        <v>2010</v>
      </c>
      <c r="F196" s="10">
        <v>3</v>
      </c>
      <c r="G196" s="15">
        <v>48962.510021775299</v>
      </c>
      <c r="I196" s="15">
        <v>2010</v>
      </c>
      <c r="J196" s="15">
        <v>3</v>
      </c>
      <c r="K196" s="15">
        <v>48939.524617066301</v>
      </c>
    </row>
    <row r="197" spans="1:11" x14ac:dyDescent="0.25">
      <c r="A197" s="15">
        <v>2010</v>
      </c>
      <c r="B197" s="15">
        <v>4</v>
      </c>
      <c r="C197" s="15">
        <v>55331.341521966198</v>
      </c>
      <c r="E197" s="10">
        <v>2010</v>
      </c>
      <c r="F197" s="10">
        <v>4</v>
      </c>
      <c r="G197" s="15">
        <v>55330.875711002103</v>
      </c>
      <c r="I197" s="15">
        <v>2010</v>
      </c>
      <c r="J197" s="15">
        <v>4</v>
      </c>
      <c r="K197" s="15">
        <v>55327.304934942003</v>
      </c>
    </row>
    <row r="198" spans="1:11" x14ac:dyDescent="0.25">
      <c r="A198" s="15">
        <v>2010</v>
      </c>
      <c r="B198" s="15">
        <v>5</v>
      </c>
      <c r="C198" s="15">
        <v>56519.395306885301</v>
      </c>
      <c r="E198" s="10">
        <v>2010</v>
      </c>
      <c r="F198" s="10">
        <v>5</v>
      </c>
      <c r="G198" s="15">
        <v>56525.1963368586</v>
      </c>
      <c r="I198" s="15">
        <v>2010</v>
      </c>
      <c r="J198" s="15">
        <v>5</v>
      </c>
      <c r="K198" s="15">
        <v>56535.585775469903</v>
      </c>
    </row>
    <row r="199" spans="1:11" x14ac:dyDescent="0.25">
      <c r="A199" s="15">
        <v>2010</v>
      </c>
      <c r="B199" s="15">
        <v>6</v>
      </c>
      <c r="C199" s="15">
        <v>59365.245048427299</v>
      </c>
      <c r="E199" s="10">
        <v>2010</v>
      </c>
      <c r="F199" s="10">
        <v>6</v>
      </c>
      <c r="G199" s="15">
        <v>59358.079530116098</v>
      </c>
      <c r="I199" s="15">
        <v>2010</v>
      </c>
      <c r="J199" s="15">
        <v>6</v>
      </c>
      <c r="K199" s="15">
        <v>59366.947773923697</v>
      </c>
    </row>
    <row r="200" spans="1:11" x14ac:dyDescent="0.25">
      <c r="A200" s="15">
        <v>2010</v>
      </c>
      <c r="B200" s="15">
        <v>7</v>
      </c>
      <c r="C200" s="15">
        <v>55753.4416915322</v>
      </c>
      <c r="E200" s="10">
        <v>2010</v>
      </c>
      <c r="F200" s="10">
        <v>7</v>
      </c>
      <c r="G200" s="15">
        <v>55754.750761887299</v>
      </c>
      <c r="I200" s="15">
        <v>2010</v>
      </c>
      <c r="J200" s="15">
        <v>7</v>
      </c>
      <c r="K200" s="15">
        <v>55753.099419475999</v>
      </c>
    </row>
    <row r="201" spans="1:11" x14ac:dyDescent="0.25">
      <c r="A201" s="15">
        <v>2010</v>
      </c>
      <c r="B201" s="15">
        <v>8</v>
      </c>
      <c r="C201" s="15">
        <v>63179.0710133424</v>
      </c>
      <c r="E201" s="10">
        <v>2010</v>
      </c>
      <c r="F201" s="10">
        <v>8</v>
      </c>
      <c r="G201" s="15">
        <v>63176.689781733599</v>
      </c>
      <c r="I201" s="15">
        <v>2010</v>
      </c>
      <c r="J201" s="15">
        <v>8</v>
      </c>
      <c r="K201" s="15">
        <v>63180.010144239197</v>
      </c>
    </row>
    <row r="202" spans="1:11" x14ac:dyDescent="0.25">
      <c r="A202" s="15">
        <v>2010</v>
      </c>
      <c r="B202" s="15">
        <v>9</v>
      </c>
      <c r="C202" s="15">
        <v>63353.474991602001</v>
      </c>
      <c r="E202" s="10">
        <v>2010</v>
      </c>
      <c r="F202" s="10">
        <v>9</v>
      </c>
      <c r="G202" s="15">
        <v>63352.979484693002</v>
      </c>
      <c r="I202" s="15">
        <v>2010</v>
      </c>
      <c r="J202" s="15">
        <v>9</v>
      </c>
      <c r="K202" s="15">
        <v>63346.886331278001</v>
      </c>
    </row>
    <row r="203" spans="1:11" x14ac:dyDescent="0.25">
      <c r="A203" s="15">
        <v>2010</v>
      </c>
      <c r="B203" s="15">
        <v>10</v>
      </c>
      <c r="C203" s="15">
        <v>59883.152916298401</v>
      </c>
      <c r="E203" s="10">
        <v>2010</v>
      </c>
      <c r="F203" s="10">
        <v>10</v>
      </c>
      <c r="G203" s="15">
        <v>59889.409582017302</v>
      </c>
      <c r="I203" s="15">
        <v>2010</v>
      </c>
      <c r="J203" s="15">
        <v>10</v>
      </c>
      <c r="K203" s="15">
        <v>59902.061474985698</v>
      </c>
    </row>
    <row r="204" spans="1:11" x14ac:dyDescent="0.25">
      <c r="A204" s="15">
        <v>2010</v>
      </c>
      <c r="B204" s="15">
        <v>11</v>
      </c>
      <c r="C204" s="15">
        <v>65687.373446133803</v>
      </c>
      <c r="E204" s="10">
        <v>2010</v>
      </c>
      <c r="F204" s="10">
        <v>11</v>
      </c>
      <c r="G204" s="15">
        <v>65685.5741933885</v>
      </c>
      <c r="I204" s="15">
        <v>2010</v>
      </c>
      <c r="J204" s="15">
        <v>11</v>
      </c>
      <c r="K204" s="15">
        <v>65685.699221087401</v>
      </c>
    </row>
    <row r="205" spans="1:11" x14ac:dyDescent="0.25">
      <c r="A205" s="15">
        <v>2010</v>
      </c>
      <c r="B205" s="15">
        <v>12</v>
      </c>
      <c r="C205" s="15">
        <v>68680.812193703707</v>
      </c>
      <c r="E205" s="10">
        <v>2010</v>
      </c>
      <c r="F205" s="10">
        <v>12</v>
      </c>
      <c r="G205" s="15">
        <v>68678.807632810101</v>
      </c>
      <c r="I205" s="15">
        <v>2010</v>
      </c>
      <c r="J205" s="15">
        <v>12</v>
      </c>
      <c r="K205" s="15">
        <v>68670.146236842003</v>
      </c>
    </row>
    <row r="206" spans="1:11" x14ac:dyDescent="0.25">
      <c r="A206" s="15">
        <v>2011</v>
      </c>
      <c r="B206" s="15">
        <v>1</v>
      </c>
      <c r="C206" s="15">
        <v>67133.873687971805</v>
      </c>
      <c r="E206" s="10">
        <v>2011</v>
      </c>
      <c r="F206" s="10">
        <v>1</v>
      </c>
      <c r="G206" s="15">
        <v>67135.603615424494</v>
      </c>
      <c r="I206" s="15">
        <v>2011</v>
      </c>
      <c r="J206" s="15">
        <v>1</v>
      </c>
      <c r="K206" s="15">
        <v>67143.599221469194</v>
      </c>
    </row>
    <row r="207" spans="1:11" x14ac:dyDescent="0.25">
      <c r="A207" s="15">
        <v>2011</v>
      </c>
      <c r="B207" s="15">
        <v>2</v>
      </c>
      <c r="C207" s="15">
        <v>49435.669748830602</v>
      </c>
      <c r="E207" s="10">
        <v>2011</v>
      </c>
      <c r="F207" s="10">
        <v>2</v>
      </c>
      <c r="G207" s="15">
        <v>49442.399262797</v>
      </c>
      <c r="I207" s="15">
        <v>2011</v>
      </c>
      <c r="J207" s="15">
        <v>2</v>
      </c>
      <c r="K207" s="15">
        <v>49432.031013238302</v>
      </c>
    </row>
    <row r="208" spans="1:11" x14ac:dyDescent="0.25">
      <c r="A208" s="15">
        <v>2011</v>
      </c>
      <c r="B208" s="15">
        <v>3</v>
      </c>
      <c r="C208" s="15">
        <v>65568.534588981303</v>
      </c>
      <c r="E208" s="10">
        <v>2011</v>
      </c>
      <c r="F208" s="10">
        <v>3</v>
      </c>
      <c r="G208" s="15">
        <v>65560.498373606402</v>
      </c>
      <c r="I208" s="15">
        <v>2011</v>
      </c>
      <c r="J208" s="15">
        <v>3</v>
      </c>
      <c r="K208" s="15">
        <v>65534.288560444002</v>
      </c>
    </row>
    <row r="209" spans="1:11" x14ac:dyDescent="0.25">
      <c r="A209" s="15">
        <v>2011</v>
      </c>
      <c r="B209" s="15">
        <v>4</v>
      </c>
      <c r="C209" s="15">
        <v>71812.831950116699</v>
      </c>
      <c r="E209" s="10">
        <v>2011</v>
      </c>
      <c r="F209" s="10">
        <v>4</v>
      </c>
      <c r="G209" s="15">
        <v>71817.360564619506</v>
      </c>
      <c r="I209" s="15">
        <v>2011</v>
      </c>
      <c r="J209" s="15">
        <v>4</v>
      </c>
      <c r="K209" s="15">
        <v>71824.042827415396</v>
      </c>
    </row>
    <row r="210" spans="1:11" x14ac:dyDescent="0.25">
      <c r="A210" s="15">
        <v>2011</v>
      </c>
      <c r="B210" s="15">
        <v>5</v>
      </c>
      <c r="C210" s="15">
        <v>74711.519794555599</v>
      </c>
      <c r="E210" s="10">
        <v>2011</v>
      </c>
      <c r="F210" s="10">
        <v>5</v>
      </c>
      <c r="G210" s="15">
        <v>74713.747594972505</v>
      </c>
      <c r="I210" s="15">
        <v>2011</v>
      </c>
      <c r="J210" s="15">
        <v>5</v>
      </c>
      <c r="K210" s="15">
        <v>74711.699106817294</v>
      </c>
    </row>
    <row r="211" spans="1:11" x14ac:dyDescent="0.25">
      <c r="A211" s="15">
        <v>2011</v>
      </c>
      <c r="B211" s="15">
        <v>6</v>
      </c>
      <c r="C211" s="15">
        <v>74856.891176150704</v>
      </c>
      <c r="E211" s="10">
        <v>2011</v>
      </c>
      <c r="F211" s="10">
        <v>6</v>
      </c>
      <c r="G211" s="15">
        <v>74846.199916201498</v>
      </c>
      <c r="I211" s="15">
        <v>2011</v>
      </c>
      <c r="J211" s="15">
        <v>6</v>
      </c>
      <c r="K211" s="15">
        <v>74861.396481247706</v>
      </c>
    </row>
    <row r="212" spans="1:11" x14ac:dyDescent="0.25">
      <c r="A212" s="15">
        <v>2011</v>
      </c>
      <c r="B212" s="15">
        <v>7</v>
      </c>
      <c r="C212" s="15">
        <v>69725.839865626505</v>
      </c>
      <c r="E212" s="10">
        <v>2011</v>
      </c>
      <c r="F212" s="10">
        <v>7</v>
      </c>
      <c r="G212" s="15">
        <v>69734.480791807393</v>
      </c>
      <c r="I212" s="15">
        <v>2011</v>
      </c>
      <c r="J212" s="15">
        <v>7</v>
      </c>
      <c r="K212" s="15">
        <v>69743.813473560105</v>
      </c>
    </row>
    <row r="213" spans="1:11" x14ac:dyDescent="0.25">
      <c r="A213" s="15">
        <v>2011</v>
      </c>
      <c r="B213" s="15">
        <v>8</v>
      </c>
      <c r="C213" s="15">
        <v>74128.925428490998</v>
      </c>
      <c r="E213" s="10">
        <v>2011</v>
      </c>
      <c r="F213" s="10">
        <v>8</v>
      </c>
      <c r="G213" s="15">
        <v>74121.830645812399</v>
      </c>
      <c r="I213" s="15">
        <v>2011</v>
      </c>
      <c r="J213" s="15">
        <v>8</v>
      </c>
      <c r="K213" s="15">
        <v>74116.022977805696</v>
      </c>
    </row>
    <row r="214" spans="1:11" x14ac:dyDescent="0.25">
      <c r="A214" s="15">
        <v>2011</v>
      </c>
      <c r="B214" s="15">
        <v>9</v>
      </c>
      <c r="C214" s="15">
        <v>69623.032494834697</v>
      </c>
      <c r="E214" s="10">
        <v>2011</v>
      </c>
      <c r="F214" s="10">
        <v>9</v>
      </c>
      <c r="G214" s="15">
        <v>69623.673908598401</v>
      </c>
      <c r="I214" s="15">
        <v>2011</v>
      </c>
      <c r="J214" s="15">
        <v>9</v>
      </c>
      <c r="K214" s="15">
        <v>69615.843486534795</v>
      </c>
    </row>
    <row r="215" spans="1:11" x14ac:dyDescent="0.25">
      <c r="A215" s="15">
        <v>2011</v>
      </c>
      <c r="B215" s="15">
        <v>10</v>
      </c>
      <c r="C215" s="15">
        <v>65957.7108321173</v>
      </c>
      <c r="E215" s="10">
        <v>2011</v>
      </c>
      <c r="F215" s="10">
        <v>10</v>
      </c>
      <c r="G215" s="15">
        <v>65964.642554364793</v>
      </c>
      <c r="I215" s="15">
        <v>2011</v>
      </c>
      <c r="J215" s="15">
        <v>10</v>
      </c>
      <c r="K215" s="15">
        <v>65979.992175666805</v>
      </c>
    </row>
    <row r="216" spans="1:11" x14ac:dyDescent="0.25">
      <c r="A216" s="15">
        <v>2011</v>
      </c>
      <c r="B216" s="15">
        <v>11</v>
      </c>
      <c r="C216" s="15">
        <v>65162.903000636201</v>
      </c>
      <c r="E216" s="10">
        <v>2011</v>
      </c>
      <c r="F216" s="10">
        <v>11</v>
      </c>
      <c r="G216" s="15">
        <v>65160.765311653799</v>
      </c>
      <c r="I216" s="15">
        <v>2011</v>
      </c>
      <c r="J216" s="15">
        <v>11</v>
      </c>
      <c r="K216" s="15">
        <v>65158.909916353201</v>
      </c>
    </row>
    <row r="217" spans="1:11" x14ac:dyDescent="0.25">
      <c r="A217" s="15">
        <v>2011</v>
      </c>
      <c r="B217" s="15">
        <v>12</v>
      </c>
      <c r="C217" s="15">
        <v>57868.251746385402</v>
      </c>
      <c r="E217" s="10">
        <v>2011</v>
      </c>
      <c r="F217" s="10">
        <v>12</v>
      </c>
      <c r="G217" s="15">
        <v>57869.435107854799</v>
      </c>
      <c r="I217" s="15">
        <v>2011</v>
      </c>
      <c r="J217" s="15">
        <v>12</v>
      </c>
      <c r="K217" s="15">
        <v>57873.259905736697</v>
      </c>
    </row>
    <row r="218" spans="1:11" x14ac:dyDescent="0.25">
      <c r="A218" s="15">
        <v>2012</v>
      </c>
      <c r="B218" s="15">
        <v>1</v>
      </c>
      <c r="C218" s="15">
        <v>62469.202208814299</v>
      </c>
      <c r="E218" s="10">
        <v>2012</v>
      </c>
      <c r="F218" s="10">
        <v>1</v>
      </c>
      <c r="G218" s="15">
        <v>62466.136664126599</v>
      </c>
      <c r="I218" s="15">
        <v>2012</v>
      </c>
      <c r="J218" s="15">
        <v>1</v>
      </c>
      <c r="K218" s="15">
        <v>62463.853173576703</v>
      </c>
    </row>
    <row r="219" spans="1:11" x14ac:dyDescent="0.25">
      <c r="A219" s="15">
        <v>2012</v>
      </c>
      <c r="B219" s="15">
        <v>2</v>
      </c>
      <c r="C219" s="15">
        <v>61555.181422093701</v>
      </c>
      <c r="E219" s="10">
        <v>2012</v>
      </c>
      <c r="F219" s="10">
        <v>2</v>
      </c>
      <c r="G219" s="15">
        <v>61554.512738302103</v>
      </c>
      <c r="I219" s="15">
        <v>2012</v>
      </c>
      <c r="J219" s="15">
        <v>2</v>
      </c>
      <c r="K219" s="15">
        <v>61564.445098104901</v>
      </c>
    </row>
    <row r="220" spans="1:11" x14ac:dyDescent="0.25">
      <c r="A220" s="15">
        <v>2012</v>
      </c>
      <c r="B220" s="15">
        <v>3</v>
      </c>
      <c r="C220" s="15">
        <v>63224.887016961497</v>
      </c>
      <c r="E220" s="10">
        <v>2012</v>
      </c>
      <c r="F220" s="10">
        <v>3</v>
      </c>
      <c r="G220" s="15">
        <v>63220.056327130398</v>
      </c>
      <c r="I220" s="15">
        <v>2012</v>
      </c>
      <c r="J220" s="15">
        <v>3</v>
      </c>
      <c r="K220" s="15">
        <v>63202.597652750999</v>
      </c>
    </row>
    <row r="221" spans="1:11" x14ac:dyDescent="0.25">
      <c r="A221" s="15">
        <v>2012</v>
      </c>
      <c r="B221" s="15">
        <v>4</v>
      </c>
      <c r="C221" s="15">
        <v>54086.842206273897</v>
      </c>
      <c r="E221" s="10">
        <v>2012</v>
      </c>
      <c r="F221" s="10">
        <v>4</v>
      </c>
      <c r="G221" s="15">
        <v>54091.2510445632</v>
      </c>
      <c r="I221" s="15">
        <v>2012</v>
      </c>
      <c r="J221" s="15">
        <v>4</v>
      </c>
      <c r="K221" s="15">
        <v>54095.406993906101</v>
      </c>
    </row>
    <row r="222" spans="1:11" x14ac:dyDescent="0.25">
      <c r="A222" s="15">
        <v>2012</v>
      </c>
      <c r="B222" s="15">
        <v>5</v>
      </c>
      <c r="C222" s="15">
        <v>54176.144617710299</v>
      </c>
      <c r="E222" s="10">
        <v>2012</v>
      </c>
      <c r="F222" s="10">
        <v>5</v>
      </c>
      <c r="G222" s="15">
        <v>54174.883966554298</v>
      </c>
      <c r="I222" s="15">
        <v>2012</v>
      </c>
      <c r="J222" s="15">
        <v>5</v>
      </c>
      <c r="K222" s="15">
        <v>54159.204509327399</v>
      </c>
    </row>
    <row r="223" spans="1:11" x14ac:dyDescent="0.25">
      <c r="A223" s="15">
        <v>2012</v>
      </c>
      <c r="B223" s="15">
        <v>6</v>
      </c>
      <c r="C223" s="15">
        <v>48495.092161219698</v>
      </c>
      <c r="E223" s="10">
        <v>2012</v>
      </c>
      <c r="F223" s="10">
        <v>6</v>
      </c>
      <c r="G223" s="15">
        <v>48488.112430797999</v>
      </c>
      <c r="I223" s="15">
        <v>2012</v>
      </c>
      <c r="J223" s="15">
        <v>6</v>
      </c>
      <c r="K223" s="15">
        <v>48517.492718100599</v>
      </c>
    </row>
    <row r="224" spans="1:11" x14ac:dyDescent="0.25">
      <c r="A224" s="15">
        <v>2012</v>
      </c>
      <c r="B224" s="15">
        <v>7</v>
      </c>
      <c r="C224" s="15">
        <v>63672.008294864201</v>
      </c>
      <c r="E224" s="10">
        <v>2012</v>
      </c>
      <c r="F224" s="10">
        <v>7</v>
      </c>
      <c r="G224" s="15">
        <v>63678.9111198752</v>
      </c>
      <c r="I224" s="15">
        <v>2012</v>
      </c>
      <c r="J224" s="15">
        <v>7</v>
      </c>
      <c r="K224" s="15">
        <v>63675.631637884399</v>
      </c>
    </row>
    <row r="225" spans="1:11" x14ac:dyDescent="0.25">
      <c r="A225" s="15">
        <v>2012</v>
      </c>
      <c r="B225" s="15">
        <v>8</v>
      </c>
      <c r="C225" s="15">
        <v>70327.357415431805</v>
      </c>
      <c r="E225" s="10">
        <v>2012</v>
      </c>
      <c r="F225" s="10">
        <v>8</v>
      </c>
      <c r="G225" s="15">
        <v>70323.072743160199</v>
      </c>
      <c r="I225" s="15">
        <v>2012</v>
      </c>
      <c r="J225" s="15">
        <v>8</v>
      </c>
      <c r="K225" s="15">
        <v>70317.868298015601</v>
      </c>
    </row>
    <row r="226" spans="1:11" x14ac:dyDescent="0.25">
      <c r="A226" s="15">
        <v>2012</v>
      </c>
      <c r="B226" s="15">
        <v>9</v>
      </c>
      <c r="C226" s="15">
        <v>61136.786472660999</v>
      </c>
      <c r="E226" s="10">
        <v>2012</v>
      </c>
      <c r="F226" s="10">
        <v>9</v>
      </c>
      <c r="G226" s="15">
        <v>61148.997816079398</v>
      </c>
      <c r="I226" s="15">
        <v>2012</v>
      </c>
      <c r="J226" s="15">
        <v>9</v>
      </c>
      <c r="K226" s="15">
        <v>61164.297433899497</v>
      </c>
    </row>
    <row r="227" spans="1:11" x14ac:dyDescent="0.25">
      <c r="A227" s="15">
        <v>2012</v>
      </c>
      <c r="B227" s="15">
        <v>10</v>
      </c>
      <c r="C227" s="15">
        <v>68426.232558697302</v>
      </c>
      <c r="E227" s="10">
        <v>2012</v>
      </c>
      <c r="F227" s="10">
        <v>10</v>
      </c>
      <c r="G227" s="15">
        <v>68424.430995337505</v>
      </c>
      <c r="I227" s="15">
        <v>2012</v>
      </c>
      <c r="J227" s="15">
        <v>10</v>
      </c>
      <c r="K227" s="15">
        <v>68421.334269240804</v>
      </c>
    </row>
    <row r="228" spans="1:11" x14ac:dyDescent="0.25">
      <c r="A228" s="15">
        <v>2012</v>
      </c>
      <c r="B228" s="15">
        <v>11</v>
      </c>
      <c r="C228" s="15">
        <v>68938.154710264207</v>
      </c>
      <c r="E228" s="10">
        <v>2012</v>
      </c>
      <c r="F228" s="10">
        <v>11</v>
      </c>
      <c r="G228" s="15">
        <v>68934.685652584696</v>
      </c>
      <c r="I228" s="15">
        <v>2012</v>
      </c>
      <c r="J228" s="15">
        <v>11</v>
      </c>
      <c r="K228" s="15">
        <v>68932.073237819597</v>
      </c>
    </row>
    <row r="229" spans="1:11" x14ac:dyDescent="0.25">
      <c r="A229" s="15">
        <v>2012</v>
      </c>
      <c r="B229" s="15">
        <v>12</v>
      </c>
      <c r="C229" s="15">
        <v>69474.667634227604</v>
      </c>
      <c r="E229" s="10">
        <v>2012</v>
      </c>
      <c r="F229" s="10">
        <v>12</v>
      </c>
      <c r="G229" s="15">
        <v>69477.613822156796</v>
      </c>
      <c r="I229" s="15">
        <v>2012</v>
      </c>
      <c r="J229" s="15">
        <v>12</v>
      </c>
      <c r="K229" s="15">
        <v>69495.461234559698</v>
      </c>
    </row>
    <row r="230" spans="1:11" x14ac:dyDescent="0.25">
      <c r="A230" s="15">
        <v>2013</v>
      </c>
      <c r="B230" s="15">
        <v>1</v>
      </c>
      <c r="C230" s="15">
        <v>64090.160162747401</v>
      </c>
      <c r="E230" s="10">
        <v>2013</v>
      </c>
      <c r="F230" s="10">
        <v>1</v>
      </c>
      <c r="G230" s="15">
        <v>64079.240682325697</v>
      </c>
      <c r="I230" s="15">
        <v>2013</v>
      </c>
      <c r="J230" s="15">
        <v>1</v>
      </c>
      <c r="K230" s="15">
        <v>64066.576264409101</v>
      </c>
    </row>
    <row r="231" spans="1:11" x14ac:dyDescent="0.25">
      <c r="A231" s="15">
        <v>2013</v>
      </c>
      <c r="B231" s="15">
        <v>2</v>
      </c>
      <c r="C231" s="15">
        <v>57402.411341134801</v>
      </c>
      <c r="E231" s="10">
        <v>2013</v>
      </c>
      <c r="F231" s="10">
        <v>2</v>
      </c>
      <c r="G231" s="15">
        <v>57403.735437450901</v>
      </c>
      <c r="I231" s="15">
        <v>2013</v>
      </c>
      <c r="J231" s="15">
        <v>2</v>
      </c>
      <c r="K231" s="15">
        <v>57391.890840094602</v>
      </c>
    </row>
    <row r="232" spans="1:11" x14ac:dyDescent="0.25">
      <c r="A232" s="15">
        <v>2013</v>
      </c>
      <c r="B232" s="15">
        <v>3</v>
      </c>
      <c r="C232" s="15">
        <v>73477.7996886357</v>
      </c>
      <c r="E232" s="10">
        <v>2013</v>
      </c>
      <c r="F232" s="10">
        <v>3</v>
      </c>
      <c r="G232" s="15">
        <v>73476.885423977394</v>
      </c>
      <c r="I232" s="15">
        <v>2013</v>
      </c>
      <c r="J232" s="15">
        <v>3</v>
      </c>
      <c r="K232" s="15">
        <v>73472.043105141798</v>
      </c>
    </row>
    <row r="233" spans="1:11" x14ac:dyDescent="0.25">
      <c r="A233" s="15">
        <v>2013</v>
      </c>
      <c r="B233" s="15">
        <v>4</v>
      </c>
      <c r="C233" s="15">
        <v>71671.396619398904</v>
      </c>
      <c r="E233" s="10">
        <v>2013</v>
      </c>
      <c r="F233" s="10">
        <v>4</v>
      </c>
      <c r="G233" s="15">
        <v>71670.708236303006</v>
      </c>
      <c r="I233" s="15">
        <v>2013</v>
      </c>
      <c r="J233" s="15">
        <v>4</v>
      </c>
      <c r="K233" s="15">
        <v>71659.7643071989</v>
      </c>
    </row>
    <row r="234" spans="1:11" x14ac:dyDescent="0.25">
      <c r="A234" s="15">
        <v>2013</v>
      </c>
      <c r="B234" s="15">
        <v>5</v>
      </c>
      <c r="C234" s="15">
        <v>73880.1985803071</v>
      </c>
      <c r="E234" s="10">
        <v>2013</v>
      </c>
      <c r="F234" s="10">
        <v>5</v>
      </c>
      <c r="G234" s="15">
        <v>73880.592463538196</v>
      </c>
      <c r="I234" s="15">
        <v>2013</v>
      </c>
      <c r="J234" s="15">
        <v>5</v>
      </c>
      <c r="K234" s="15">
        <v>73862.042236166293</v>
      </c>
    </row>
    <row r="235" spans="1:11" x14ac:dyDescent="0.25">
      <c r="A235" s="15">
        <v>2013</v>
      </c>
      <c r="B235" s="15">
        <v>6</v>
      </c>
      <c r="C235" s="15">
        <v>59515.648552630802</v>
      </c>
      <c r="E235" s="10">
        <v>2013</v>
      </c>
      <c r="F235" s="10">
        <v>6</v>
      </c>
      <c r="G235" s="15">
        <v>59515.110069710499</v>
      </c>
      <c r="I235" s="15">
        <v>2013</v>
      </c>
      <c r="J235" s="15">
        <v>6</v>
      </c>
      <c r="K235" s="15">
        <v>59553.859554996197</v>
      </c>
    </row>
    <row r="236" spans="1:11" x14ac:dyDescent="0.25">
      <c r="A236" s="15">
        <v>2013</v>
      </c>
      <c r="B236" s="15">
        <v>7</v>
      </c>
      <c r="C236" s="15">
        <v>68160.848665095793</v>
      </c>
      <c r="E236" s="10">
        <v>2013</v>
      </c>
      <c r="F236" s="10">
        <v>7</v>
      </c>
      <c r="G236" s="15">
        <v>68166.715504553897</v>
      </c>
      <c r="I236" s="15">
        <v>2013</v>
      </c>
      <c r="J236" s="15">
        <v>7</v>
      </c>
      <c r="K236" s="15">
        <v>68147.934387711997</v>
      </c>
    </row>
    <row r="237" spans="1:11" x14ac:dyDescent="0.25">
      <c r="A237" s="15">
        <v>2013</v>
      </c>
      <c r="B237" s="15">
        <v>8</v>
      </c>
      <c r="C237" s="15">
        <v>62415.187990238301</v>
      </c>
      <c r="E237" s="10">
        <v>2013</v>
      </c>
      <c r="F237" s="10">
        <v>8</v>
      </c>
      <c r="G237" s="15">
        <v>62420.4857862106</v>
      </c>
      <c r="I237" s="15">
        <v>2013</v>
      </c>
      <c r="J237" s="15">
        <v>8</v>
      </c>
      <c r="K237" s="15">
        <v>62423.242694496497</v>
      </c>
    </row>
    <row r="238" spans="1:11" x14ac:dyDescent="0.25">
      <c r="A238" s="15">
        <v>2013</v>
      </c>
      <c r="B238" s="15">
        <v>9</v>
      </c>
      <c r="C238" s="15">
        <v>62938.554427934898</v>
      </c>
      <c r="E238" s="10">
        <v>2013</v>
      </c>
      <c r="F238" s="10">
        <v>9</v>
      </c>
      <c r="G238" s="15">
        <v>62950.566653189999</v>
      </c>
      <c r="I238" s="15">
        <v>2013</v>
      </c>
      <c r="J238" s="15">
        <v>9</v>
      </c>
      <c r="K238" s="15">
        <v>62948.139264137499</v>
      </c>
    </row>
    <row r="239" spans="1:11" x14ac:dyDescent="0.25">
      <c r="A239" s="15">
        <v>2013</v>
      </c>
      <c r="B239" s="15">
        <v>10</v>
      </c>
      <c r="C239" s="15">
        <v>64316.221459940301</v>
      </c>
      <c r="E239" s="10">
        <v>2013</v>
      </c>
      <c r="F239" s="10">
        <v>10</v>
      </c>
      <c r="G239" s="15">
        <v>64315.0823933192</v>
      </c>
      <c r="I239" s="15">
        <v>2013</v>
      </c>
      <c r="J239" s="15">
        <v>10</v>
      </c>
      <c r="K239" s="15">
        <v>64336.8966233998</v>
      </c>
    </row>
    <row r="240" spans="1:11" x14ac:dyDescent="0.25">
      <c r="A240" s="15">
        <v>2013</v>
      </c>
      <c r="B240" s="15">
        <v>11</v>
      </c>
      <c r="C240" s="15">
        <v>54515.175340237998</v>
      </c>
      <c r="E240" s="10">
        <v>2013</v>
      </c>
      <c r="F240" s="10">
        <v>11</v>
      </c>
      <c r="G240" s="15">
        <v>54521.060712149098</v>
      </c>
      <c r="I240" s="15">
        <v>2013</v>
      </c>
      <c r="J240" s="15">
        <v>11</v>
      </c>
      <c r="K240" s="15">
        <v>54521.723012151997</v>
      </c>
    </row>
    <row r="241" spans="1:11" x14ac:dyDescent="0.25">
      <c r="A241" s="15">
        <v>2013</v>
      </c>
      <c r="B241" s="15">
        <v>12</v>
      </c>
      <c r="C241" s="15">
        <v>52529.211665969298</v>
      </c>
      <c r="E241" s="10">
        <v>2013</v>
      </c>
      <c r="F241" s="10">
        <v>12</v>
      </c>
      <c r="G241" s="15">
        <v>52526.493046729003</v>
      </c>
      <c r="I241" s="15">
        <v>2013</v>
      </c>
      <c r="J241" s="15">
        <v>12</v>
      </c>
      <c r="K241" s="15">
        <v>52532.732478369602</v>
      </c>
    </row>
    <row r="242" spans="1:11" x14ac:dyDescent="0.25">
      <c r="A242" s="15">
        <v>2014</v>
      </c>
      <c r="B242" s="15">
        <v>1</v>
      </c>
      <c r="C242" s="15">
        <v>56072.125412600602</v>
      </c>
      <c r="E242" s="10">
        <v>2014</v>
      </c>
      <c r="F242" s="10">
        <v>1</v>
      </c>
      <c r="G242" s="15">
        <v>56028.815099537002</v>
      </c>
      <c r="I242" s="15">
        <v>2014</v>
      </c>
      <c r="J242" s="15">
        <v>1</v>
      </c>
      <c r="K242" s="15">
        <v>56040.959267424099</v>
      </c>
    </row>
    <row r="243" spans="1:11" x14ac:dyDescent="0.25">
      <c r="A243" s="15">
        <v>2014</v>
      </c>
      <c r="B243" s="15">
        <v>2</v>
      </c>
      <c r="C243" s="15">
        <v>55797.898357581798</v>
      </c>
      <c r="E243" s="10">
        <v>2014</v>
      </c>
      <c r="F243" s="10">
        <v>2</v>
      </c>
      <c r="G243" s="15">
        <v>55798.973453038598</v>
      </c>
      <c r="I243" s="15">
        <v>2014</v>
      </c>
      <c r="J243" s="15">
        <v>2</v>
      </c>
      <c r="K243" s="15">
        <v>55777.302220394398</v>
      </c>
    </row>
    <row r="244" spans="1:11" x14ac:dyDescent="0.25">
      <c r="A244" s="15">
        <v>2014</v>
      </c>
      <c r="B244" s="15">
        <v>3</v>
      </c>
      <c r="C244" s="15">
        <v>52614.316923626902</v>
      </c>
      <c r="E244" s="10">
        <v>2014</v>
      </c>
      <c r="F244" s="10">
        <v>3</v>
      </c>
      <c r="G244" s="15">
        <v>52619.546206348103</v>
      </c>
      <c r="I244" s="15">
        <v>2014</v>
      </c>
      <c r="J244" s="15">
        <v>3</v>
      </c>
      <c r="K244" s="15">
        <v>52603.669205677397</v>
      </c>
    </row>
    <row r="245" spans="1:11" x14ac:dyDescent="0.25">
      <c r="A245" s="15">
        <v>2014</v>
      </c>
      <c r="B245" s="15">
        <v>4</v>
      </c>
      <c r="C245" s="15">
        <v>55034.237925513196</v>
      </c>
      <c r="E245" s="10">
        <v>2014</v>
      </c>
      <c r="F245" s="10">
        <v>4</v>
      </c>
      <c r="G245" s="15">
        <v>55037.579856231998</v>
      </c>
      <c r="I245" s="15">
        <v>2014</v>
      </c>
      <c r="J245" s="15">
        <v>4</v>
      </c>
      <c r="K245" s="15">
        <v>55022.2504044296</v>
      </c>
    </row>
    <row r="246" spans="1:11" x14ac:dyDescent="0.25">
      <c r="A246" s="15">
        <v>2014</v>
      </c>
      <c r="B246" s="15">
        <v>5</v>
      </c>
      <c r="C246" s="15">
        <v>47331.2107850268</v>
      </c>
      <c r="E246" s="10">
        <v>2014</v>
      </c>
      <c r="F246" s="10">
        <v>5</v>
      </c>
      <c r="G246" s="15">
        <v>47340.268621863899</v>
      </c>
      <c r="I246" s="15">
        <v>2014</v>
      </c>
      <c r="J246" s="15">
        <v>5</v>
      </c>
      <c r="K246" s="15">
        <v>47330.584179451303</v>
      </c>
    </row>
    <row r="247" spans="1:11" x14ac:dyDescent="0.25">
      <c r="A247" s="15">
        <v>2014</v>
      </c>
      <c r="B247" s="15">
        <v>6</v>
      </c>
      <c r="C247" s="15">
        <v>45893.669631033903</v>
      </c>
      <c r="E247" s="10">
        <v>2014</v>
      </c>
      <c r="F247" s="10">
        <v>6</v>
      </c>
      <c r="G247" s="15">
        <v>45893.936703575499</v>
      </c>
      <c r="I247" s="15">
        <v>2014</v>
      </c>
      <c r="J247" s="15">
        <v>6</v>
      </c>
      <c r="K247" s="15">
        <v>45915.811519655399</v>
      </c>
    </row>
    <row r="248" spans="1:11" x14ac:dyDescent="0.25">
      <c r="A248" s="15">
        <v>2014</v>
      </c>
      <c r="B248" s="15">
        <v>7</v>
      </c>
      <c r="C248" s="15">
        <v>45977.839868993797</v>
      </c>
      <c r="E248" s="10">
        <v>2014</v>
      </c>
      <c r="F248" s="10">
        <v>7</v>
      </c>
      <c r="G248" s="15">
        <v>45986.977106199702</v>
      </c>
      <c r="I248" s="15">
        <v>2014</v>
      </c>
      <c r="J248" s="15">
        <v>7</v>
      </c>
      <c r="K248" s="15">
        <v>45964.843402725499</v>
      </c>
    </row>
    <row r="249" spans="1:11" x14ac:dyDescent="0.25">
      <c r="A249" s="15">
        <v>2014</v>
      </c>
      <c r="B249" s="15">
        <v>8</v>
      </c>
      <c r="C249" s="15">
        <v>41955.186549581798</v>
      </c>
      <c r="E249" s="10">
        <v>2014</v>
      </c>
      <c r="F249" s="10">
        <v>8</v>
      </c>
      <c r="G249" s="15">
        <v>41970.768773829099</v>
      </c>
      <c r="I249" s="15">
        <v>2014</v>
      </c>
      <c r="J249" s="15">
        <v>8</v>
      </c>
      <c r="K249" s="15">
        <v>41979.968175118403</v>
      </c>
    </row>
    <row r="250" spans="1:11" x14ac:dyDescent="0.25">
      <c r="A250" s="15">
        <v>2014</v>
      </c>
      <c r="B250" s="15">
        <v>9</v>
      </c>
      <c r="C250" s="15">
        <v>48645.387611719998</v>
      </c>
      <c r="E250" s="10">
        <v>2014</v>
      </c>
      <c r="F250" s="10">
        <v>9</v>
      </c>
      <c r="G250" s="15">
        <v>48655.910379826899</v>
      </c>
      <c r="I250" s="15">
        <v>2014</v>
      </c>
      <c r="J250" s="15">
        <v>9</v>
      </c>
      <c r="K250" s="15">
        <v>48640.273042822198</v>
      </c>
    </row>
    <row r="251" spans="1:11" x14ac:dyDescent="0.25">
      <c r="A251" s="15">
        <v>2014</v>
      </c>
      <c r="B251" s="15">
        <v>10</v>
      </c>
      <c r="C251" s="15">
        <v>50668.930409800203</v>
      </c>
      <c r="E251" s="10">
        <v>2014</v>
      </c>
      <c r="F251" s="10">
        <v>10</v>
      </c>
      <c r="G251" s="15">
        <v>50666.635436978002</v>
      </c>
      <c r="I251" s="15">
        <v>2014</v>
      </c>
      <c r="J251" s="15">
        <v>10</v>
      </c>
      <c r="K251" s="15">
        <v>50716.079332661902</v>
      </c>
    </row>
    <row r="252" spans="1:11" x14ac:dyDescent="0.25">
      <c r="A252" s="15">
        <v>2014</v>
      </c>
      <c r="B252" s="15">
        <v>11</v>
      </c>
      <c r="C252" s="15">
        <v>49331.397897931703</v>
      </c>
      <c r="E252" s="10">
        <v>2014</v>
      </c>
      <c r="F252" s="10">
        <v>11</v>
      </c>
      <c r="G252" s="15">
        <v>49346.755540991799</v>
      </c>
      <c r="I252" s="15">
        <v>2014</v>
      </c>
      <c r="J252" s="15">
        <v>11</v>
      </c>
      <c r="K252" s="15">
        <v>49354.909421366698</v>
      </c>
    </row>
    <row r="253" spans="1:11" x14ac:dyDescent="0.25">
      <c r="A253" s="15">
        <v>2014</v>
      </c>
      <c r="B253" s="15">
        <v>12</v>
      </c>
      <c r="C253" s="15">
        <v>48216.257898273201</v>
      </c>
      <c r="E253" s="10">
        <v>2014</v>
      </c>
      <c r="F253" s="10">
        <v>12</v>
      </c>
      <c r="G253" s="15">
        <v>48209.371480787202</v>
      </c>
      <c r="I253" s="15">
        <v>2014</v>
      </c>
      <c r="J253" s="15">
        <v>12</v>
      </c>
      <c r="K253" s="15">
        <v>48204.236663911499</v>
      </c>
    </row>
    <row r="254" spans="1:11" x14ac:dyDescent="0.25">
      <c r="A254" s="15">
        <v>2015</v>
      </c>
      <c r="B254" s="15">
        <v>1</v>
      </c>
      <c r="C254" s="15">
        <v>46506.620876146997</v>
      </c>
      <c r="E254" s="10">
        <v>2015</v>
      </c>
      <c r="F254" s="10">
        <v>1</v>
      </c>
      <c r="G254" s="15">
        <v>46418.802885532699</v>
      </c>
      <c r="I254" s="15">
        <v>2015</v>
      </c>
      <c r="J254" s="15">
        <v>1</v>
      </c>
      <c r="K254" s="15">
        <v>46478.602876970202</v>
      </c>
    </row>
    <row r="255" spans="1:11" x14ac:dyDescent="0.25">
      <c r="A255" s="15">
        <v>2015</v>
      </c>
      <c r="B255" s="15">
        <v>2</v>
      </c>
      <c r="C255" s="15">
        <v>48392.257803330402</v>
      </c>
      <c r="E255" s="10">
        <v>2015</v>
      </c>
      <c r="F255" s="10">
        <v>2</v>
      </c>
      <c r="G255" s="15">
        <v>48397.191669010397</v>
      </c>
      <c r="I255" s="15">
        <v>2015</v>
      </c>
      <c r="J255" s="15">
        <v>2</v>
      </c>
      <c r="K255" s="15">
        <v>48359.735305300703</v>
      </c>
    </row>
    <row r="256" spans="1:11" x14ac:dyDescent="0.25">
      <c r="A256" s="15">
        <v>2015</v>
      </c>
      <c r="B256" s="15">
        <v>3</v>
      </c>
      <c r="C256" s="15">
        <v>45645.578455139999</v>
      </c>
      <c r="E256" s="10">
        <v>2015</v>
      </c>
      <c r="F256" s="10">
        <v>3</v>
      </c>
      <c r="G256" s="15">
        <v>45658.230735298697</v>
      </c>
      <c r="I256" s="15">
        <v>2015</v>
      </c>
      <c r="J256" s="15">
        <v>3</v>
      </c>
      <c r="K256" s="15">
        <v>45611.396032620898</v>
      </c>
    </row>
    <row r="257" spans="1:11" x14ac:dyDescent="0.25">
      <c r="A257" s="15">
        <v>2015</v>
      </c>
      <c r="B257" s="15">
        <v>4</v>
      </c>
      <c r="C257" s="15">
        <v>41720.0699170023</v>
      </c>
      <c r="E257" s="10">
        <v>2015</v>
      </c>
      <c r="F257" s="10">
        <v>4</v>
      </c>
      <c r="G257" s="15">
        <v>41732.122318742098</v>
      </c>
      <c r="I257" s="15">
        <v>2015</v>
      </c>
      <c r="J257" s="15">
        <v>4</v>
      </c>
      <c r="K257" s="15">
        <v>41703.0829973984</v>
      </c>
    </row>
    <row r="258" spans="1:11" x14ac:dyDescent="0.25">
      <c r="A258" s="15">
        <v>2015</v>
      </c>
      <c r="B258" s="15">
        <v>5</v>
      </c>
      <c r="C258" s="15">
        <v>43597.767879494102</v>
      </c>
      <c r="E258" s="10">
        <v>2015</v>
      </c>
      <c r="F258" s="10">
        <v>5</v>
      </c>
      <c r="G258" s="15">
        <v>43619.0429271213</v>
      </c>
      <c r="I258" s="15">
        <v>2015</v>
      </c>
      <c r="J258" s="15">
        <v>5</v>
      </c>
      <c r="K258" s="15">
        <v>43613.264428217102</v>
      </c>
    </row>
    <row r="259" spans="1:11" x14ac:dyDescent="0.25">
      <c r="A259" s="15">
        <v>2015</v>
      </c>
      <c r="B259" s="15">
        <v>6</v>
      </c>
      <c r="C259" s="15">
        <v>47893.2642831013</v>
      </c>
      <c r="E259" s="10">
        <v>2015</v>
      </c>
      <c r="F259" s="10">
        <v>6</v>
      </c>
      <c r="G259" s="15">
        <v>47898.752055003402</v>
      </c>
      <c r="I259" s="15">
        <v>2015</v>
      </c>
      <c r="J259" s="15">
        <v>6</v>
      </c>
      <c r="K259" s="15">
        <v>47896.200188319199</v>
      </c>
    </row>
    <row r="260" spans="1:11" x14ac:dyDescent="0.25">
      <c r="A260" s="15">
        <v>2015</v>
      </c>
      <c r="B260" s="15">
        <v>7</v>
      </c>
      <c r="C260" s="15">
        <v>42312.633750906301</v>
      </c>
      <c r="E260" s="10">
        <v>2015</v>
      </c>
      <c r="F260" s="10">
        <v>7</v>
      </c>
      <c r="G260" s="15">
        <v>42324.183048133797</v>
      </c>
      <c r="I260" s="15">
        <v>2015</v>
      </c>
      <c r="J260" s="15">
        <v>7</v>
      </c>
      <c r="K260" s="15">
        <v>42300.088764134198</v>
      </c>
    </row>
    <row r="261" spans="1:11" x14ac:dyDescent="0.25">
      <c r="A261" s="15">
        <v>2015</v>
      </c>
      <c r="B261" s="15">
        <v>8</v>
      </c>
      <c r="C261" s="15">
        <v>45249.345109221002</v>
      </c>
      <c r="E261" s="10">
        <v>2015</v>
      </c>
      <c r="F261" s="10">
        <v>8</v>
      </c>
      <c r="G261" s="15">
        <v>45268.505975656</v>
      </c>
      <c r="I261" s="15">
        <v>2015</v>
      </c>
      <c r="J261" s="15">
        <v>8</v>
      </c>
      <c r="K261" s="15">
        <v>45280.962650865898</v>
      </c>
    </row>
    <row r="262" spans="1:11" x14ac:dyDescent="0.25">
      <c r="A262" s="15">
        <v>2015</v>
      </c>
      <c r="B262" s="15">
        <v>9</v>
      </c>
      <c r="C262" s="15">
        <v>45737.013748100799</v>
      </c>
      <c r="E262" s="10">
        <v>2015</v>
      </c>
      <c r="F262" s="10">
        <v>9</v>
      </c>
      <c r="G262" s="15">
        <v>45746.605216188596</v>
      </c>
      <c r="I262" s="15">
        <v>2015</v>
      </c>
      <c r="J262" s="15">
        <v>9</v>
      </c>
      <c r="K262" s="15">
        <v>45738.851606100397</v>
      </c>
    </row>
    <row r="263" spans="1:11" x14ac:dyDescent="0.25">
      <c r="A263" s="15">
        <v>2015</v>
      </c>
      <c r="B263" s="15">
        <v>10</v>
      </c>
      <c r="C263" s="15">
        <v>39347.9980342278</v>
      </c>
      <c r="E263" s="10">
        <v>2015</v>
      </c>
      <c r="F263" s="10">
        <v>10</v>
      </c>
      <c r="G263" s="15">
        <v>39344.399213517201</v>
      </c>
      <c r="I263" s="15">
        <v>2015</v>
      </c>
      <c r="J263" s="15">
        <v>10</v>
      </c>
      <c r="K263" s="15">
        <v>39441.902264860502</v>
      </c>
    </row>
    <row r="264" spans="1:11" x14ac:dyDescent="0.25">
      <c r="A264" s="15">
        <v>2015</v>
      </c>
      <c r="B264" s="15">
        <v>11</v>
      </c>
      <c r="C264" s="15">
        <v>40854.3439971771</v>
      </c>
      <c r="E264" s="10">
        <v>2015</v>
      </c>
      <c r="F264" s="10">
        <v>11</v>
      </c>
      <c r="G264" s="15">
        <v>40865.272460141001</v>
      </c>
      <c r="I264" s="15">
        <v>2015</v>
      </c>
      <c r="J264" s="15">
        <v>11</v>
      </c>
      <c r="K264" s="15">
        <v>40871.421541092903</v>
      </c>
    </row>
    <row r="265" spans="1:11" x14ac:dyDescent="0.25">
      <c r="A265" s="15">
        <v>2015</v>
      </c>
      <c r="B265" s="15">
        <v>12</v>
      </c>
      <c r="C265" s="15">
        <v>39707.758323240603</v>
      </c>
      <c r="E265" s="10">
        <v>2015</v>
      </c>
      <c r="F265" s="10">
        <v>12</v>
      </c>
      <c r="G265" s="15">
        <v>39699.039731862198</v>
      </c>
      <c r="I265" s="15">
        <v>2015</v>
      </c>
      <c r="J265" s="15">
        <v>12</v>
      </c>
      <c r="K265" s="15">
        <v>39708.221618759802</v>
      </c>
    </row>
    <row r="266" spans="1:11" x14ac:dyDescent="0.25">
      <c r="A266" s="15">
        <v>2016</v>
      </c>
      <c r="B266" s="15">
        <v>1</v>
      </c>
      <c r="C266" s="15">
        <v>39405.375309563198</v>
      </c>
      <c r="E266" s="10">
        <v>2016</v>
      </c>
      <c r="F266" s="10">
        <v>1</v>
      </c>
      <c r="G266" s="15">
        <v>39274.819783748499</v>
      </c>
      <c r="I266" s="15">
        <v>2016</v>
      </c>
      <c r="J266" s="15">
        <v>1</v>
      </c>
      <c r="K266" s="15">
        <v>39395.494175993997</v>
      </c>
    </row>
    <row r="267" spans="1:11" x14ac:dyDescent="0.25">
      <c r="A267" s="15">
        <v>2016</v>
      </c>
      <c r="B267" s="15">
        <v>2</v>
      </c>
      <c r="C267" s="15">
        <v>38179.977962925303</v>
      </c>
      <c r="E267" s="10">
        <v>2016</v>
      </c>
      <c r="F267" s="10">
        <v>2</v>
      </c>
      <c r="G267" s="15">
        <v>38179.901974015796</v>
      </c>
      <c r="I267" s="15">
        <v>2016</v>
      </c>
      <c r="J267" s="15">
        <v>2</v>
      </c>
      <c r="K267" s="15">
        <v>38082.350850180199</v>
      </c>
    </row>
    <row r="268" spans="1:11" x14ac:dyDescent="0.25">
      <c r="A268" s="15">
        <v>2016</v>
      </c>
      <c r="B268" s="15">
        <v>3</v>
      </c>
      <c r="C268" s="15">
        <v>40703.156742184903</v>
      </c>
      <c r="E268" s="10">
        <v>2016</v>
      </c>
      <c r="F268" s="10">
        <v>3</v>
      </c>
      <c r="G268" s="15">
        <v>40730.394181559903</v>
      </c>
      <c r="I268" s="15">
        <v>2016</v>
      </c>
      <c r="J268" s="15">
        <v>3</v>
      </c>
      <c r="K268" s="15">
        <v>40648.401479091699</v>
      </c>
    </row>
    <row r="269" spans="1:11" x14ac:dyDescent="0.25">
      <c r="A269" s="15">
        <v>2016</v>
      </c>
      <c r="B269" s="15">
        <v>4</v>
      </c>
      <c r="C269" s="15">
        <v>42513.197305855101</v>
      </c>
      <c r="E269" s="10">
        <v>2016</v>
      </c>
      <c r="F269" s="10">
        <v>4</v>
      </c>
      <c r="G269" s="15">
        <v>42547.439109157604</v>
      </c>
      <c r="I269" s="15">
        <v>2016</v>
      </c>
      <c r="J269" s="15">
        <v>4</v>
      </c>
      <c r="K269" s="15">
        <v>42511.718166153703</v>
      </c>
    </row>
    <row r="270" spans="1:11" x14ac:dyDescent="0.25">
      <c r="A270" s="15">
        <v>2016</v>
      </c>
      <c r="B270" s="15">
        <v>5</v>
      </c>
      <c r="C270" s="15">
        <v>37618.923200360303</v>
      </c>
      <c r="E270" s="10">
        <v>2016</v>
      </c>
      <c r="F270" s="10">
        <v>5</v>
      </c>
      <c r="G270" s="15">
        <v>37648.536670605703</v>
      </c>
      <c r="I270" s="15">
        <v>2016</v>
      </c>
      <c r="J270" s="15">
        <v>5</v>
      </c>
      <c r="K270" s="15">
        <v>37619.156072396698</v>
      </c>
    </row>
    <row r="271" spans="1:11" x14ac:dyDescent="0.25">
      <c r="A271" s="15">
        <v>2016</v>
      </c>
      <c r="B271" s="15">
        <v>6</v>
      </c>
      <c r="C271" s="15">
        <v>37875.534203215</v>
      </c>
      <c r="E271" s="10">
        <v>2016</v>
      </c>
      <c r="F271" s="10">
        <v>6</v>
      </c>
      <c r="G271" s="15">
        <v>37893.310434000698</v>
      </c>
      <c r="I271" s="15">
        <v>2016</v>
      </c>
      <c r="J271" s="15">
        <v>6</v>
      </c>
      <c r="K271" s="15">
        <v>37877.687084367397</v>
      </c>
    </row>
    <row r="272" spans="1:11" x14ac:dyDescent="0.25">
      <c r="A272" s="15">
        <v>2016</v>
      </c>
      <c r="B272" s="15">
        <v>7</v>
      </c>
      <c r="C272" s="15">
        <v>39700.740078796101</v>
      </c>
      <c r="E272" s="10">
        <v>2016</v>
      </c>
      <c r="F272" s="10">
        <v>7</v>
      </c>
      <c r="G272" s="15">
        <v>39723.448280055898</v>
      </c>
      <c r="I272" s="15">
        <v>2016</v>
      </c>
      <c r="J272" s="15">
        <v>7</v>
      </c>
      <c r="K272" s="15">
        <v>39731.964863969799</v>
      </c>
    </row>
    <row r="273" spans="1:11" x14ac:dyDescent="0.25">
      <c r="A273" s="15">
        <v>2016</v>
      </c>
      <c r="B273" s="15">
        <v>8</v>
      </c>
      <c r="C273" s="15">
        <v>38035.7312788536</v>
      </c>
      <c r="E273" s="10">
        <v>2016</v>
      </c>
      <c r="F273" s="10">
        <v>8</v>
      </c>
      <c r="G273" s="15">
        <v>38044.696445490597</v>
      </c>
      <c r="I273" s="15">
        <v>2016</v>
      </c>
      <c r="J273" s="15">
        <v>8</v>
      </c>
      <c r="K273" s="15">
        <v>38055.065506707302</v>
      </c>
    </row>
    <row r="274" spans="1:11" x14ac:dyDescent="0.25">
      <c r="A274" s="15">
        <v>2016</v>
      </c>
      <c r="B274" s="15">
        <v>9</v>
      </c>
      <c r="C274" s="15">
        <v>35888.590232539398</v>
      </c>
      <c r="E274" s="10">
        <v>2016</v>
      </c>
      <c r="F274" s="10">
        <v>9</v>
      </c>
      <c r="G274" s="15">
        <v>35891.767638072102</v>
      </c>
      <c r="I274" s="15">
        <v>2016</v>
      </c>
      <c r="J274" s="15">
        <v>9</v>
      </c>
      <c r="K274" s="15">
        <v>35912.7840427681</v>
      </c>
    </row>
    <row r="275" spans="1:11" x14ac:dyDescent="0.25">
      <c r="A275" s="15">
        <v>2016</v>
      </c>
      <c r="B275" s="15">
        <v>10</v>
      </c>
      <c r="C275" s="15">
        <v>34459.665800160401</v>
      </c>
      <c r="E275" s="10">
        <v>2016</v>
      </c>
      <c r="F275" s="10">
        <v>10</v>
      </c>
      <c r="G275" s="15">
        <v>34453.598416417299</v>
      </c>
      <c r="I275" s="15">
        <v>2016</v>
      </c>
      <c r="J275" s="15">
        <v>10</v>
      </c>
      <c r="K275" s="15">
        <v>34586.768971143298</v>
      </c>
    </row>
    <row r="276" spans="1:11" x14ac:dyDescent="0.25">
      <c r="A276" s="15">
        <v>2016</v>
      </c>
      <c r="B276" s="15">
        <v>11</v>
      </c>
      <c r="C276" s="15">
        <v>41553.0205750526</v>
      </c>
      <c r="E276" s="10">
        <v>2016</v>
      </c>
      <c r="F276" s="10">
        <v>11</v>
      </c>
      <c r="G276" s="15">
        <v>41552.048597383502</v>
      </c>
      <c r="I276" s="15">
        <v>2016</v>
      </c>
      <c r="J276" s="15">
        <v>11</v>
      </c>
      <c r="K276" s="15">
        <v>41565.664188046598</v>
      </c>
    </row>
    <row r="277" spans="1:11" x14ac:dyDescent="0.25">
      <c r="A277" s="15">
        <v>2016</v>
      </c>
      <c r="B277" s="15">
        <v>12</v>
      </c>
      <c r="C277" s="15">
        <v>49045.655792498597</v>
      </c>
      <c r="E277" s="10">
        <v>2016</v>
      </c>
      <c r="F277" s="10">
        <v>12</v>
      </c>
      <c r="G277" s="15">
        <v>49009.764305324403</v>
      </c>
      <c r="I277" s="15">
        <v>2016</v>
      </c>
      <c r="J277" s="15">
        <v>12</v>
      </c>
      <c r="K277" s="15">
        <v>49091.864999739599</v>
      </c>
    </row>
    <row r="278" spans="1:11" x14ac:dyDescent="0.25">
      <c r="A278" s="15">
        <v>2017</v>
      </c>
      <c r="B278" s="15">
        <v>1</v>
      </c>
      <c r="C278" s="15">
        <v>45477.350277823403</v>
      </c>
      <c r="E278" s="10">
        <v>2017</v>
      </c>
      <c r="F278" s="10">
        <v>1</v>
      </c>
      <c r="G278" s="15">
        <v>45319.477065824103</v>
      </c>
      <c r="I278" s="15">
        <v>2017</v>
      </c>
      <c r="J278" s="15">
        <v>1</v>
      </c>
      <c r="K278" s="15">
        <v>45433.794896100699</v>
      </c>
    </row>
    <row r="279" spans="1:11" x14ac:dyDescent="0.25">
      <c r="A279" s="15">
        <v>2017</v>
      </c>
      <c r="B279" s="15">
        <v>2</v>
      </c>
      <c r="C279" s="15">
        <v>29069.8955652433</v>
      </c>
      <c r="E279" s="10">
        <v>2017</v>
      </c>
      <c r="F279" s="10">
        <v>2</v>
      </c>
      <c r="G279" s="15">
        <v>29064.687164597501</v>
      </c>
      <c r="I279" s="15">
        <v>2017</v>
      </c>
      <c r="J279" s="15">
        <v>2</v>
      </c>
      <c r="K279" s="15">
        <v>28846.226505715302</v>
      </c>
    </row>
    <row r="280" spans="1:11" x14ac:dyDescent="0.25">
      <c r="A280" s="15">
        <v>2017</v>
      </c>
      <c r="B280" s="15">
        <v>3</v>
      </c>
      <c r="C280" s="15">
        <v>34152.105067785698</v>
      </c>
      <c r="E280" s="10">
        <v>2017</v>
      </c>
      <c r="F280" s="10">
        <v>3</v>
      </c>
      <c r="G280" s="15">
        <v>34221.157033403302</v>
      </c>
      <c r="I280" s="15">
        <v>2017</v>
      </c>
      <c r="J280" s="15">
        <v>3</v>
      </c>
      <c r="K280" s="15">
        <v>34115.795932189401</v>
      </c>
    </row>
    <row r="281" spans="1:11" x14ac:dyDescent="0.25">
      <c r="A281" s="15">
        <v>2017</v>
      </c>
      <c r="B281" s="15">
        <v>4</v>
      </c>
      <c r="C281" s="15">
        <v>37201.110680195001</v>
      </c>
      <c r="E281" s="10">
        <v>2017</v>
      </c>
      <c r="F281" s="10">
        <v>4</v>
      </c>
      <c r="G281" s="15">
        <v>37260.173439418802</v>
      </c>
      <c r="I281" s="15">
        <v>2017</v>
      </c>
      <c r="J281" s="15">
        <v>4</v>
      </c>
      <c r="K281" s="15">
        <v>37195.824100590602</v>
      </c>
    </row>
    <row r="282" spans="1:11" x14ac:dyDescent="0.25">
      <c r="A282" s="15">
        <v>2017</v>
      </c>
      <c r="B282" s="15">
        <v>5</v>
      </c>
      <c r="C282" s="15">
        <v>41826.244207474701</v>
      </c>
      <c r="E282" s="10">
        <v>2017</v>
      </c>
      <c r="F282" s="10">
        <v>5</v>
      </c>
      <c r="G282" s="15">
        <v>41906.075106940101</v>
      </c>
      <c r="I282" s="15">
        <v>2017</v>
      </c>
      <c r="J282" s="15">
        <v>5</v>
      </c>
      <c r="K282" s="15">
        <v>41802.453603477501</v>
      </c>
    </row>
    <row r="283" spans="1:11" x14ac:dyDescent="0.25">
      <c r="A283" s="15">
        <v>2017</v>
      </c>
      <c r="B283" s="15">
        <v>6</v>
      </c>
      <c r="C283" s="15">
        <v>42652.720004335199</v>
      </c>
      <c r="E283" s="10">
        <v>2017</v>
      </c>
      <c r="F283" s="10">
        <v>6</v>
      </c>
      <c r="G283" s="15">
        <v>42663.4534422586</v>
      </c>
      <c r="I283" s="15">
        <v>2017</v>
      </c>
      <c r="J283" s="15">
        <v>6</v>
      </c>
      <c r="K283" s="15">
        <v>42646.7416497042</v>
      </c>
    </row>
    <row r="284" spans="1:11" x14ac:dyDescent="0.25">
      <c r="A284" s="15">
        <v>2017</v>
      </c>
      <c r="B284" s="15">
        <v>7</v>
      </c>
      <c r="C284" s="15">
        <v>40203.141542249403</v>
      </c>
      <c r="E284" s="10">
        <v>2017</v>
      </c>
      <c r="F284" s="10">
        <v>7</v>
      </c>
      <c r="G284" s="15">
        <v>40217.077543183201</v>
      </c>
      <c r="I284" s="15">
        <v>2017</v>
      </c>
      <c r="J284" s="15">
        <v>7</v>
      </c>
      <c r="K284" s="15">
        <v>40258.705667240698</v>
      </c>
    </row>
    <row r="285" spans="1:11" x14ac:dyDescent="0.25">
      <c r="A285" s="15">
        <v>2017</v>
      </c>
      <c r="B285" s="15">
        <v>8</v>
      </c>
      <c r="C285" s="15">
        <v>38884.151247351998</v>
      </c>
      <c r="E285" s="10">
        <v>2017</v>
      </c>
      <c r="F285" s="10">
        <v>8</v>
      </c>
      <c r="G285" s="15">
        <v>38884.662234759999</v>
      </c>
      <c r="I285" s="15">
        <v>2017</v>
      </c>
      <c r="J285" s="15">
        <v>8</v>
      </c>
      <c r="K285" s="15">
        <v>38947.1177265804</v>
      </c>
    </row>
    <row r="286" spans="1:11" x14ac:dyDescent="0.25">
      <c r="A286" s="15">
        <v>2017</v>
      </c>
      <c r="B286" s="15">
        <v>9</v>
      </c>
      <c r="C286" s="15">
        <v>42438.932394243697</v>
      </c>
      <c r="E286" s="10">
        <v>2017</v>
      </c>
      <c r="F286" s="10">
        <v>9</v>
      </c>
      <c r="G286" s="15">
        <v>42435.061665986599</v>
      </c>
      <c r="I286" s="15">
        <v>2017</v>
      </c>
      <c r="J286" s="15">
        <v>9</v>
      </c>
      <c r="K286" s="15">
        <v>42522.660972561003</v>
      </c>
    </row>
    <row r="287" spans="1:11" x14ac:dyDescent="0.25">
      <c r="A287" s="15">
        <v>2017</v>
      </c>
      <c r="B287" s="15">
        <v>10</v>
      </c>
      <c r="C287" s="15">
        <v>40168.426702879398</v>
      </c>
      <c r="E287" s="10">
        <v>2017</v>
      </c>
      <c r="F287" s="10">
        <v>10</v>
      </c>
      <c r="G287" s="15">
        <v>40142.3314656398</v>
      </c>
      <c r="I287" s="15">
        <v>2017</v>
      </c>
      <c r="J287" s="15">
        <v>10</v>
      </c>
      <c r="K287" s="15">
        <v>40306.4496004963</v>
      </c>
    </row>
    <row r="288" spans="1:11" x14ac:dyDescent="0.25">
      <c r="A288" s="15">
        <v>2017</v>
      </c>
      <c r="B288" s="15">
        <v>11</v>
      </c>
      <c r="C288" s="15">
        <v>40269.940021053997</v>
      </c>
      <c r="E288" s="10">
        <v>2017</v>
      </c>
      <c r="F288" s="10">
        <v>11</v>
      </c>
      <c r="G288" s="15">
        <v>40250.0849915445</v>
      </c>
      <c r="I288" s="15">
        <v>2017</v>
      </c>
      <c r="J288" s="15">
        <v>11</v>
      </c>
      <c r="K288" s="15">
        <v>40292.381745369501</v>
      </c>
    </row>
    <row r="289" spans="1:11" x14ac:dyDescent="0.25">
      <c r="A289" s="15">
        <v>2017</v>
      </c>
      <c r="B289" s="15">
        <v>12</v>
      </c>
      <c r="C289" s="15">
        <v>42709.471237166603</v>
      </c>
      <c r="E289" s="10">
        <v>2017</v>
      </c>
      <c r="F289" s="10">
        <v>12</v>
      </c>
      <c r="G289" s="15">
        <v>42633.977814108897</v>
      </c>
      <c r="I289" s="15">
        <v>2017</v>
      </c>
      <c r="J289" s="15">
        <v>12</v>
      </c>
      <c r="K289" s="15">
        <v>42797.805632916599</v>
      </c>
    </row>
    <row r="290" spans="1:11" x14ac:dyDescent="0.25">
      <c r="A290" s="15">
        <v>2018</v>
      </c>
      <c r="B290" s="15">
        <v>1</v>
      </c>
      <c r="C290" s="15">
        <v>37301.464670063397</v>
      </c>
      <c r="E290" s="10">
        <v>2018</v>
      </c>
      <c r="F290" s="10">
        <v>1</v>
      </c>
      <c r="G290" s="15">
        <v>37128.621763282899</v>
      </c>
      <c r="I290" s="15">
        <v>2018</v>
      </c>
      <c r="J290" s="15">
        <v>1</v>
      </c>
      <c r="K290" s="15">
        <v>37226.902593420396</v>
      </c>
    </row>
    <row r="291" spans="1:11" x14ac:dyDescent="0.25">
      <c r="A291" s="15">
        <v>2018</v>
      </c>
      <c r="B291" s="15">
        <v>2</v>
      </c>
      <c r="C291" s="15">
        <v>42326.339300239903</v>
      </c>
      <c r="E291" s="10">
        <v>2018</v>
      </c>
      <c r="F291" s="10">
        <v>2</v>
      </c>
      <c r="G291" s="15">
        <v>42311.811938630701</v>
      </c>
      <c r="I291" s="15">
        <v>2018</v>
      </c>
      <c r="J291" s="15">
        <v>2</v>
      </c>
      <c r="K291" s="15">
        <v>41959.737770057902</v>
      </c>
    </row>
    <row r="292" spans="1:11" x14ac:dyDescent="0.25">
      <c r="A292" s="15">
        <v>2018</v>
      </c>
      <c r="B292" s="15">
        <v>3</v>
      </c>
      <c r="C292" s="15">
        <v>45286.054371038299</v>
      </c>
      <c r="E292" s="10">
        <v>2018</v>
      </c>
      <c r="F292" s="10">
        <v>3</v>
      </c>
      <c r="G292" s="15">
        <v>45419.124001376797</v>
      </c>
      <c r="I292" s="15">
        <v>2018</v>
      </c>
      <c r="J292" s="15">
        <v>3</v>
      </c>
      <c r="K292" s="15">
        <v>45288.071020643401</v>
      </c>
    </row>
    <row r="293" spans="1:11" x14ac:dyDescent="0.25">
      <c r="A293" s="15">
        <v>2018</v>
      </c>
      <c r="B293" s="15">
        <v>4</v>
      </c>
      <c r="C293" s="15">
        <v>45019.240431189697</v>
      </c>
      <c r="E293" s="10">
        <v>2018</v>
      </c>
      <c r="F293" s="10">
        <v>4</v>
      </c>
      <c r="G293" s="15">
        <v>45101.463958626402</v>
      </c>
      <c r="I293" s="15">
        <v>2018</v>
      </c>
      <c r="J293" s="15">
        <v>4</v>
      </c>
      <c r="K293" s="15">
        <v>44974.987167984997</v>
      </c>
    </row>
    <row r="294" spans="1:11" x14ac:dyDescent="0.25">
      <c r="A294" s="15">
        <v>2018</v>
      </c>
      <c r="B294" s="15">
        <v>5</v>
      </c>
      <c r="C294" s="15">
        <v>43272.083666250299</v>
      </c>
      <c r="E294" s="10">
        <v>2018</v>
      </c>
      <c r="F294" s="10">
        <v>5</v>
      </c>
      <c r="G294" s="15">
        <v>43464.1845306131</v>
      </c>
      <c r="I294" s="15">
        <v>2018</v>
      </c>
      <c r="J294" s="15">
        <v>5</v>
      </c>
      <c r="K294" s="15">
        <v>43200.571751483803</v>
      </c>
    </row>
    <row r="295" spans="1:11" x14ac:dyDescent="0.25">
      <c r="A295" s="15">
        <v>2018</v>
      </c>
      <c r="B295" s="15">
        <v>6</v>
      </c>
      <c r="C295" s="15">
        <v>38613.478837267801</v>
      </c>
      <c r="E295" s="10">
        <v>2018</v>
      </c>
      <c r="F295" s="10">
        <v>6</v>
      </c>
      <c r="G295" s="15">
        <v>38559.5127682897</v>
      </c>
      <c r="I295" s="15">
        <v>2018</v>
      </c>
      <c r="J295" s="15">
        <v>6</v>
      </c>
      <c r="K295" s="15">
        <v>38393.268118118802</v>
      </c>
    </row>
    <row r="296" spans="1:11" x14ac:dyDescent="0.25">
      <c r="A296" s="15">
        <v>2018</v>
      </c>
      <c r="B296" s="15">
        <v>7</v>
      </c>
      <c r="C296" s="15">
        <v>42225.166039064701</v>
      </c>
      <c r="E296" s="10">
        <v>2018</v>
      </c>
      <c r="F296" s="10">
        <v>7</v>
      </c>
      <c r="G296" s="15">
        <v>42226.0679528908</v>
      </c>
      <c r="I296" s="15">
        <v>2018</v>
      </c>
      <c r="J296" s="15">
        <v>7</v>
      </c>
      <c r="K296" s="15">
        <v>42590.274881519399</v>
      </c>
    </row>
    <row r="297" spans="1:11" x14ac:dyDescent="0.25">
      <c r="A297" s="15">
        <v>2018</v>
      </c>
      <c r="B297" s="15">
        <v>8</v>
      </c>
      <c r="C297" s="15">
        <v>42520.0107635124</v>
      </c>
      <c r="E297" s="10">
        <v>2018</v>
      </c>
      <c r="F297" s="10">
        <v>8</v>
      </c>
      <c r="G297" s="15">
        <v>42515.757413145402</v>
      </c>
      <c r="I297" s="15">
        <v>2018</v>
      </c>
      <c r="J297" s="15">
        <v>8</v>
      </c>
      <c r="K297" s="15">
        <v>42678.413255209001</v>
      </c>
    </row>
    <row r="298" spans="1:11" x14ac:dyDescent="0.25">
      <c r="A298" s="15">
        <v>2018</v>
      </c>
      <c r="B298" s="15">
        <v>9</v>
      </c>
      <c r="C298" s="15">
        <v>34447.700777756399</v>
      </c>
      <c r="E298" s="10">
        <v>2018</v>
      </c>
      <c r="F298" s="10">
        <v>9</v>
      </c>
      <c r="G298" s="15">
        <v>34437.734441564302</v>
      </c>
      <c r="I298" s="15">
        <v>2018</v>
      </c>
      <c r="J298" s="15">
        <v>9</v>
      </c>
      <c r="K298" s="15">
        <v>34608.736463822199</v>
      </c>
    </row>
    <row r="299" spans="1:11" x14ac:dyDescent="0.25">
      <c r="A299" s="15">
        <v>2018</v>
      </c>
      <c r="B299" s="15">
        <v>10</v>
      </c>
      <c r="C299" s="15">
        <v>34223.807738418102</v>
      </c>
      <c r="E299" s="10">
        <v>2018</v>
      </c>
      <c r="F299" s="10">
        <v>10</v>
      </c>
      <c r="G299" s="15">
        <v>34174.429879192998</v>
      </c>
      <c r="I299" s="15">
        <v>2018</v>
      </c>
      <c r="J299" s="15">
        <v>10</v>
      </c>
      <c r="K299" s="15">
        <v>34340.297771622201</v>
      </c>
    </row>
    <row r="300" spans="1:11" x14ac:dyDescent="0.25">
      <c r="A300" s="15">
        <v>2018</v>
      </c>
      <c r="B300" s="15">
        <v>11</v>
      </c>
      <c r="C300" s="15">
        <v>32555.3080227721</v>
      </c>
      <c r="E300" s="10">
        <v>2018</v>
      </c>
      <c r="F300" s="10">
        <v>11</v>
      </c>
      <c r="G300" s="15">
        <v>32496.307893477999</v>
      </c>
      <c r="I300" s="15">
        <v>2018</v>
      </c>
      <c r="J300" s="15">
        <v>11</v>
      </c>
      <c r="K300" s="15">
        <v>32551.8286998611</v>
      </c>
    </row>
    <row r="301" spans="1:11" x14ac:dyDescent="0.25">
      <c r="A301" s="15">
        <v>2018</v>
      </c>
      <c r="B301" s="15">
        <v>12</v>
      </c>
      <c r="C301" s="15">
        <v>29107.0747855306</v>
      </c>
      <c r="E301" s="10">
        <v>2018</v>
      </c>
      <c r="F301" s="10">
        <v>12</v>
      </c>
      <c r="G301" s="15">
        <v>28964.859673749499</v>
      </c>
      <c r="I301" s="15">
        <v>2018</v>
      </c>
      <c r="J301" s="15">
        <v>12</v>
      </c>
      <c r="K301" s="15">
        <v>29167.818567657901</v>
      </c>
    </row>
    <row r="302" spans="1:11" x14ac:dyDescent="0.25">
      <c r="A302" s="15">
        <v>2019</v>
      </c>
      <c r="B302" s="15">
        <v>1</v>
      </c>
      <c r="C302" s="15">
        <v>28279.981167656901</v>
      </c>
      <c r="E302" s="10">
        <v>2019</v>
      </c>
      <c r="F302" s="10">
        <v>1</v>
      </c>
      <c r="G302" s="15">
        <v>28105.587825681399</v>
      </c>
      <c r="I302" s="15">
        <v>2019</v>
      </c>
      <c r="J302" s="15">
        <v>1</v>
      </c>
      <c r="K302" s="15">
        <v>28133.330513588699</v>
      </c>
    </row>
    <row r="303" spans="1:11" x14ac:dyDescent="0.25">
      <c r="A303" s="15">
        <v>2019</v>
      </c>
      <c r="B303" s="15">
        <v>2</v>
      </c>
      <c r="C303" s="15">
        <v>36123.155096275303</v>
      </c>
      <c r="E303" s="10">
        <v>2019</v>
      </c>
      <c r="F303" s="10">
        <v>2</v>
      </c>
      <c r="G303" s="15">
        <v>36096.315933963</v>
      </c>
      <c r="I303" s="15">
        <v>2019</v>
      </c>
      <c r="J303" s="15">
        <v>2</v>
      </c>
      <c r="K303" s="15">
        <v>35640.462179669703</v>
      </c>
    </row>
    <row r="304" spans="1:11" x14ac:dyDescent="0.25">
      <c r="A304" s="15">
        <v>2019</v>
      </c>
      <c r="B304" s="15">
        <v>3</v>
      </c>
      <c r="C304" s="15">
        <v>25583.8395006889</v>
      </c>
      <c r="E304" s="10">
        <v>2019</v>
      </c>
      <c r="F304" s="10">
        <v>3</v>
      </c>
      <c r="G304" s="15">
        <v>25785.414691355702</v>
      </c>
      <c r="I304" s="15">
        <v>2019</v>
      </c>
      <c r="J304" s="15">
        <v>3</v>
      </c>
      <c r="K304" s="15">
        <v>25600.220862132301</v>
      </c>
    </row>
    <row r="305" spans="1:11" x14ac:dyDescent="0.25">
      <c r="A305" s="15">
        <v>2019</v>
      </c>
      <c r="B305" s="15">
        <v>4</v>
      </c>
      <c r="C305" s="15">
        <v>29176.0677794531</v>
      </c>
      <c r="E305" s="10">
        <v>2019</v>
      </c>
      <c r="F305" s="10">
        <v>4</v>
      </c>
      <c r="G305" s="15">
        <v>29323.642798665998</v>
      </c>
      <c r="I305" s="15">
        <v>2019</v>
      </c>
      <c r="J305" s="15">
        <v>4</v>
      </c>
      <c r="K305" s="15">
        <v>29109.945658812401</v>
      </c>
    </row>
    <row r="306" spans="1:11" x14ac:dyDescent="0.25">
      <c r="A306" s="15">
        <v>2019</v>
      </c>
      <c r="B306" s="15">
        <v>5</v>
      </c>
      <c r="C306" s="15">
        <v>26957.492462355902</v>
      </c>
      <c r="E306" s="10">
        <v>2019</v>
      </c>
      <c r="F306" s="10">
        <v>5</v>
      </c>
      <c r="G306" s="15">
        <v>27345.0884881444</v>
      </c>
      <c r="I306" s="15">
        <v>2019</v>
      </c>
      <c r="J306" s="15">
        <v>5</v>
      </c>
      <c r="K306" s="15">
        <v>26907.922510029999</v>
      </c>
    </row>
    <row r="307" spans="1:11" x14ac:dyDescent="0.25">
      <c r="A307" s="15">
        <v>2019</v>
      </c>
      <c r="B307" s="15">
        <v>6</v>
      </c>
      <c r="C307" s="15">
        <v>25402.594796550398</v>
      </c>
      <c r="E307" s="10">
        <v>2019</v>
      </c>
      <c r="F307" s="10">
        <v>6</v>
      </c>
      <c r="G307" s="15">
        <v>25191.515979223899</v>
      </c>
      <c r="I307" s="15">
        <v>2019</v>
      </c>
      <c r="J307" s="15">
        <v>6</v>
      </c>
      <c r="K307" s="15">
        <v>24866.056608196101</v>
      </c>
    </row>
    <row r="308" spans="1:11" x14ac:dyDescent="0.25">
      <c r="A308" s="15">
        <v>2019</v>
      </c>
      <c r="B308" s="15">
        <v>7</v>
      </c>
      <c r="C308" s="15">
        <v>20864.5548006477</v>
      </c>
      <c r="E308" s="10">
        <v>2019</v>
      </c>
      <c r="F308" s="10">
        <v>7</v>
      </c>
      <c r="G308" s="15">
        <v>20847.114568880701</v>
      </c>
      <c r="I308" s="15">
        <v>2019</v>
      </c>
      <c r="J308" s="15">
        <v>7</v>
      </c>
      <c r="K308" s="15">
        <v>21674.991682613301</v>
      </c>
    </row>
    <row r="309" spans="1:11" x14ac:dyDescent="0.25">
      <c r="A309" s="15">
        <v>2019</v>
      </c>
      <c r="B309" s="15">
        <v>8</v>
      </c>
      <c r="C309" s="15">
        <v>25063.083808327301</v>
      </c>
      <c r="E309" s="10">
        <v>2019</v>
      </c>
      <c r="F309" s="10">
        <v>8</v>
      </c>
      <c r="G309" s="15">
        <v>25055.920785780701</v>
      </c>
      <c r="I309" s="15">
        <v>2019</v>
      </c>
      <c r="J309" s="15">
        <v>8</v>
      </c>
      <c r="K309" s="15">
        <v>25334.982892455599</v>
      </c>
    </row>
    <row r="310" spans="1:11" x14ac:dyDescent="0.25">
      <c r="A310" s="15">
        <v>2019</v>
      </c>
      <c r="B310" s="15">
        <v>9</v>
      </c>
      <c r="C310" s="15">
        <v>23854.795294310301</v>
      </c>
      <c r="E310" s="10">
        <v>2019</v>
      </c>
      <c r="F310" s="10">
        <v>9</v>
      </c>
      <c r="G310" s="15">
        <v>23826.054305276299</v>
      </c>
      <c r="I310" s="15">
        <v>2019</v>
      </c>
      <c r="J310" s="15">
        <v>9</v>
      </c>
      <c r="K310" s="15">
        <v>24050.947016063201</v>
      </c>
    </row>
    <row r="311" spans="1:11" x14ac:dyDescent="0.25">
      <c r="A311" s="15">
        <v>2019</v>
      </c>
      <c r="B311" s="15">
        <v>10</v>
      </c>
      <c r="C311" s="15">
        <v>27666.152176785701</v>
      </c>
      <c r="E311" s="10">
        <v>2019</v>
      </c>
      <c r="F311" s="10">
        <v>10</v>
      </c>
      <c r="G311" s="15">
        <v>27593.4388115773</v>
      </c>
      <c r="I311" s="15">
        <v>2019</v>
      </c>
      <c r="J311" s="15">
        <v>10</v>
      </c>
      <c r="K311" s="15">
        <v>27762.033182007399</v>
      </c>
    </row>
    <row r="312" spans="1:11" x14ac:dyDescent="0.25">
      <c r="A312" s="15">
        <v>2019</v>
      </c>
      <c r="B312" s="15">
        <v>11</v>
      </c>
      <c r="C312" s="15">
        <v>24564.8602190901</v>
      </c>
      <c r="E312" s="10">
        <v>2019</v>
      </c>
      <c r="F312" s="10">
        <v>11</v>
      </c>
      <c r="G312" s="15">
        <v>24466.218419138098</v>
      </c>
      <c r="I312" s="15">
        <v>2019</v>
      </c>
      <c r="J312" s="15">
        <v>11</v>
      </c>
      <c r="K312" s="15">
        <v>24537.522080550501</v>
      </c>
    </row>
    <row r="313" spans="1:11" x14ac:dyDescent="0.25">
      <c r="A313" s="15">
        <v>2019</v>
      </c>
      <c r="B313" s="15">
        <v>12</v>
      </c>
      <c r="C313" s="15">
        <v>21200.094090391802</v>
      </c>
      <c r="E313" s="10">
        <v>2019</v>
      </c>
      <c r="F313" s="10">
        <v>12</v>
      </c>
      <c r="G313" s="15">
        <v>21000.653295702501</v>
      </c>
      <c r="I313" s="15">
        <v>2019</v>
      </c>
      <c r="J313" s="15">
        <v>12</v>
      </c>
      <c r="K313" s="15">
        <v>21191.819152781401</v>
      </c>
    </row>
    <row r="314" spans="1:11" x14ac:dyDescent="0.25">
      <c r="A314" s="15">
        <v>2020</v>
      </c>
      <c r="B314" s="15">
        <v>1</v>
      </c>
      <c r="C314" s="15">
        <v>32468.37725709</v>
      </c>
      <c r="E314" s="10">
        <v>2020</v>
      </c>
      <c r="F314" s="10">
        <v>1</v>
      </c>
      <c r="G314" s="15">
        <v>32308.4323357266</v>
      </c>
      <c r="I314" s="15">
        <v>2020</v>
      </c>
      <c r="J314" s="15">
        <v>1</v>
      </c>
      <c r="K314" s="15">
        <v>32262.407759020101</v>
      </c>
    </row>
    <row r="315" spans="1:11" x14ac:dyDescent="0.25">
      <c r="A315" s="15">
        <v>2020</v>
      </c>
      <c r="B315" s="15">
        <v>2</v>
      </c>
      <c r="C315" s="15">
        <v>31465.701764403599</v>
      </c>
      <c r="E315" s="10">
        <v>2020</v>
      </c>
      <c r="F315" s="10">
        <v>2</v>
      </c>
      <c r="G315" s="15">
        <v>31428.859755562</v>
      </c>
      <c r="I315" s="15">
        <v>2020</v>
      </c>
      <c r="J315" s="15">
        <v>2</v>
      </c>
      <c r="K315" s="15">
        <v>30890.205572411702</v>
      </c>
    </row>
    <row r="316" spans="1:11" x14ac:dyDescent="0.25">
      <c r="A316" s="15">
        <v>2020</v>
      </c>
      <c r="B316" s="15">
        <v>3</v>
      </c>
      <c r="C316" s="15">
        <v>13843.081807574799</v>
      </c>
      <c r="E316" s="10">
        <v>2020</v>
      </c>
      <c r="F316" s="10">
        <v>3</v>
      </c>
      <c r="G316" s="15">
        <v>14090.8761822944</v>
      </c>
      <c r="I316" s="15">
        <v>2020</v>
      </c>
      <c r="J316" s="15">
        <v>3</v>
      </c>
      <c r="K316" s="15">
        <v>13829.326871204999</v>
      </c>
    </row>
    <row r="317" spans="1:11" x14ac:dyDescent="0.25">
      <c r="A317" s="15">
        <v>2020</v>
      </c>
      <c r="B317" s="15">
        <v>4</v>
      </c>
      <c r="C317" s="15">
        <v>18.106215821289901</v>
      </c>
      <c r="E317" s="10">
        <v>2020</v>
      </c>
      <c r="F317" s="10">
        <v>4</v>
      </c>
      <c r="G317" s="15">
        <v>247.35889328197501</v>
      </c>
      <c r="I317" s="15">
        <v>2020</v>
      </c>
      <c r="J317" s="15">
        <v>4</v>
      </c>
      <c r="K317" s="15">
        <v>-29.907052283884401</v>
      </c>
    </row>
    <row r="318" spans="1:11" x14ac:dyDescent="0.25">
      <c r="A318" s="15">
        <v>2020</v>
      </c>
      <c r="B318" s="15">
        <v>5</v>
      </c>
      <c r="C318" s="15">
        <v>4294.9262422622096</v>
      </c>
      <c r="E318" s="10">
        <v>2020</v>
      </c>
      <c r="F318" s="10">
        <v>5</v>
      </c>
      <c r="G318" s="15">
        <v>4892.6852113892701</v>
      </c>
      <c r="I318" s="15">
        <v>2020</v>
      </c>
      <c r="J318" s="15">
        <v>5</v>
      </c>
      <c r="K318" s="15">
        <v>4316.4424075675697</v>
      </c>
    </row>
    <row r="319" spans="1:11" x14ac:dyDescent="0.25">
      <c r="A319" s="15">
        <v>2020</v>
      </c>
      <c r="B319" s="15">
        <v>6</v>
      </c>
      <c r="C319" s="15">
        <v>14935.811595588901</v>
      </c>
      <c r="E319" s="10">
        <v>2020</v>
      </c>
      <c r="F319" s="10">
        <v>6</v>
      </c>
      <c r="G319" s="15">
        <v>14498.5510163032</v>
      </c>
      <c r="I319" s="15">
        <v>2020</v>
      </c>
      <c r="J319" s="15">
        <v>6</v>
      </c>
      <c r="K319" s="15">
        <v>13929.6598597189</v>
      </c>
    </row>
    <row r="320" spans="1:11" x14ac:dyDescent="0.25">
      <c r="A320" s="15">
        <v>2020</v>
      </c>
      <c r="B320" s="15">
        <v>7</v>
      </c>
      <c r="C320" s="15">
        <v>20557.817009734001</v>
      </c>
      <c r="E320" s="10">
        <v>2020</v>
      </c>
      <c r="F320" s="10">
        <v>7</v>
      </c>
      <c r="G320" s="15">
        <v>20536.134124694101</v>
      </c>
      <c r="I320" s="15">
        <v>2020</v>
      </c>
      <c r="J320" s="15">
        <v>7</v>
      </c>
      <c r="K320" s="15">
        <v>21949.194889274</v>
      </c>
    </row>
    <row r="321" spans="1:11" x14ac:dyDescent="0.25">
      <c r="A321" s="15">
        <v>2020</v>
      </c>
      <c r="B321" s="15">
        <v>8</v>
      </c>
      <c r="C321" s="15">
        <v>21336.359883823501</v>
      </c>
      <c r="E321" s="10">
        <v>2020</v>
      </c>
      <c r="F321" s="10">
        <v>8</v>
      </c>
      <c r="G321" s="15">
        <v>21333.8860974667</v>
      </c>
      <c r="I321" s="15">
        <v>2020</v>
      </c>
      <c r="J321" s="15">
        <v>8</v>
      </c>
      <c r="K321" s="15">
        <v>21715.1773885314</v>
      </c>
    </row>
    <row r="322" spans="1:11" x14ac:dyDescent="0.25">
      <c r="A322" s="15">
        <v>2020</v>
      </c>
      <c r="B322" s="15">
        <v>9</v>
      </c>
      <c r="C322" s="15">
        <v>26964.677313698499</v>
      </c>
      <c r="E322" s="10">
        <v>2020</v>
      </c>
      <c r="F322" s="10">
        <v>9</v>
      </c>
      <c r="G322" s="15">
        <v>26925.3323577501</v>
      </c>
      <c r="I322" s="15">
        <v>2020</v>
      </c>
      <c r="J322" s="15">
        <v>9</v>
      </c>
      <c r="K322" s="15">
        <v>27180.7736846755</v>
      </c>
    </row>
    <row r="323" spans="1:11" x14ac:dyDescent="0.25">
      <c r="A323" s="15">
        <v>2020</v>
      </c>
      <c r="B323" s="15">
        <v>10</v>
      </c>
      <c r="C323" s="15">
        <v>25906.758702807201</v>
      </c>
      <c r="E323" s="10">
        <v>2020</v>
      </c>
      <c r="F323" s="10">
        <v>10</v>
      </c>
      <c r="G323" s="15">
        <v>25825.0021695219</v>
      </c>
      <c r="I323" s="15">
        <v>2020</v>
      </c>
      <c r="J323" s="15">
        <v>10</v>
      </c>
      <c r="K323" s="15">
        <v>25981.538066244499</v>
      </c>
    </row>
    <row r="324" spans="1:11" x14ac:dyDescent="0.25">
      <c r="A324" s="15">
        <v>2020</v>
      </c>
      <c r="B324" s="15">
        <v>11</v>
      </c>
      <c r="C324" s="15">
        <v>30341.164188870898</v>
      </c>
      <c r="E324" s="10">
        <v>2020</v>
      </c>
      <c r="F324" s="10">
        <v>11</v>
      </c>
      <c r="G324" s="15">
        <v>30209.154126711801</v>
      </c>
      <c r="I324" s="15">
        <v>2020</v>
      </c>
      <c r="J324" s="15">
        <v>11</v>
      </c>
      <c r="K324" s="15">
        <v>30257.419953808399</v>
      </c>
    </row>
    <row r="325" spans="1:11" x14ac:dyDescent="0.25">
      <c r="A325" s="15">
        <v>2020</v>
      </c>
      <c r="B325" s="15">
        <v>12</v>
      </c>
      <c r="C325" s="15">
        <v>35117.904642481801</v>
      </c>
      <c r="E325" s="10">
        <v>2020</v>
      </c>
      <c r="F325" s="10">
        <v>12</v>
      </c>
      <c r="G325" s="15">
        <v>34860.203449827</v>
      </c>
      <c r="I325" s="15">
        <v>2020</v>
      </c>
      <c r="J325" s="15">
        <v>12</v>
      </c>
      <c r="K325" s="15">
        <v>35023.852132198503</v>
      </c>
    </row>
    <row r="326" spans="1:11" x14ac:dyDescent="0.25">
      <c r="A326" s="15">
        <v>2021</v>
      </c>
      <c r="B326" s="15">
        <v>1</v>
      </c>
      <c r="C326" s="15">
        <v>37505.644639270198</v>
      </c>
      <c r="E326" s="10">
        <v>2021</v>
      </c>
      <c r="F326" s="10">
        <v>1</v>
      </c>
      <c r="G326" s="15">
        <v>37363.427387213</v>
      </c>
      <c r="I326" s="15">
        <v>2021</v>
      </c>
      <c r="J326" s="15">
        <v>1</v>
      </c>
      <c r="K326" s="15">
        <v>37250.265741722003</v>
      </c>
    </row>
    <row r="327" spans="1:11" x14ac:dyDescent="0.25">
      <c r="A327" s="15">
        <v>2021</v>
      </c>
      <c r="B327" s="15">
        <v>2</v>
      </c>
      <c r="C327" s="15">
        <v>25911.627121494101</v>
      </c>
      <c r="E327" s="10">
        <v>2021</v>
      </c>
      <c r="F327" s="10">
        <v>2</v>
      </c>
      <c r="G327" s="15">
        <v>25859.647117735502</v>
      </c>
      <c r="I327" s="15">
        <v>2021</v>
      </c>
      <c r="J327" s="15">
        <v>2</v>
      </c>
      <c r="K327" s="15">
        <v>25253.279844434601</v>
      </c>
    </row>
    <row r="328" spans="1:11" x14ac:dyDescent="0.25">
      <c r="A328" s="15">
        <v>2021</v>
      </c>
      <c r="B328" s="15">
        <v>3</v>
      </c>
      <c r="C328" s="15">
        <v>36113.518616849899</v>
      </c>
      <c r="E328" s="10">
        <v>2021</v>
      </c>
      <c r="F328" s="10">
        <v>3</v>
      </c>
      <c r="G328" s="15">
        <v>36393.160675053303</v>
      </c>
      <c r="I328" s="15">
        <v>2021</v>
      </c>
      <c r="J328" s="15">
        <v>3</v>
      </c>
      <c r="K328" s="15">
        <v>36081.275137586803</v>
      </c>
    </row>
    <row r="329" spans="1:11" x14ac:dyDescent="0.25">
      <c r="A329" s="15">
        <v>2021</v>
      </c>
      <c r="B329" s="15">
        <v>4</v>
      </c>
      <c r="C329" s="15">
        <v>29994.902278899899</v>
      </c>
      <c r="E329" s="10">
        <v>2021</v>
      </c>
      <c r="F329" s="10">
        <v>4</v>
      </c>
      <c r="G329" s="15">
        <v>30301.1816181215</v>
      </c>
      <c r="I329" s="15">
        <v>2021</v>
      </c>
      <c r="J329" s="15">
        <v>4</v>
      </c>
      <c r="K329" s="15">
        <v>29986.814569673701</v>
      </c>
    </row>
    <row r="330" spans="1:11" x14ac:dyDescent="0.25">
      <c r="A330" s="15">
        <v>2021</v>
      </c>
      <c r="B330" s="15">
        <v>5</v>
      </c>
      <c r="C330" s="15">
        <v>34771.485792174703</v>
      </c>
      <c r="E330" s="10">
        <v>2021</v>
      </c>
      <c r="F330" s="10">
        <v>5</v>
      </c>
      <c r="G330" s="15">
        <v>35548.609064495497</v>
      </c>
      <c r="I330" s="15">
        <v>2021</v>
      </c>
      <c r="J330" s="15">
        <v>5</v>
      </c>
      <c r="K330" s="15">
        <v>34895.345939565297</v>
      </c>
    </row>
    <row r="331" spans="1:11" x14ac:dyDescent="0.25">
      <c r="E331" s="10">
        <v>2021</v>
      </c>
      <c r="F331" s="10">
        <v>6</v>
      </c>
      <c r="G331" s="15">
        <v>38959.1398056693</v>
      </c>
      <c r="I331" s="15">
        <v>2021</v>
      </c>
      <c r="J331" s="15">
        <v>6</v>
      </c>
      <c r="K331" s="15">
        <v>38317.659042621301</v>
      </c>
    </row>
    <row r="332" spans="1:11" x14ac:dyDescent="0.25">
      <c r="I332" s="15">
        <v>2021</v>
      </c>
      <c r="J332" s="15">
        <v>7</v>
      </c>
      <c r="K332" s="15">
        <v>34036.604813883001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AEE2-F463-40B9-A927-BB4F7B4D5B7E}">
  <dimension ref="A1:C328"/>
  <sheetViews>
    <sheetView topLeftCell="A293" workbookViewId="0">
      <selection activeCell="K320" sqref="K320"/>
    </sheetView>
  </sheetViews>
  <sheetFormatPr baseColWidth="10" defaultColWidth="11.42578125" defaultRowHeight="15" x14ac:dyDescent="0.25"/>
  <cols>
    <col min="3" max="3" width="11.42578125" style="16"/>
  </cols>
  <sheetData>
    <row r="1" spans="1:3" ht="42.75" x14ac:dyDescent="0.25">
      <c r="A1" s="9" t="s">
        <v>38</v>
      </c>
      <c r="B1" s="9" t="s">
        <v>34</v>
      </c>
      <c r="C1" s="14" t="s">
        <v>35</v>
      </c>
    </row>
    <row r="2" spans="1:3" x14ac:dyDescent="0.25">
      <c r="A2" s="10">
        <v>1994</v>
      </c>
      <c r="B2" s="10">
        <v>1</v>
      </c>
      <c r="C2" s="15">
        <v>52524.117499207598</v>
      </c>
    </row>
    <row r="3" spans="1:3" x14ac:dyDescent="0.25">
      <c r="A3" s="10">
        <v>1994</v>
      </c>
      <c r="B3" s="10">
        <v>2</v>
      </c>
      <c r="C3" s="15">
        <v>11799.4604999639</v>
      </c>
    </row>
    <row r="4" spans="1:3" x14ac:dyDescent="0.25">
      <c r="A4" s="10">
        <v>1994</v>
      </c>
      <c r="B4" s="10">
        <v>3</v>
      </c>
      <c r="C4" s="15">
        <v>29270.6674163057</v>
      </c>
    </row>
    <row r="5" spans="1:3" x14ac:dyDescent="0.25">
      <c r="A5" s="10">
        <v>1994</v>
      </c>
      <c r="B5" s="10">
        <v>4</v>
      </c>
      <c r="C5" s="15">
        <v>33511.950064355697</v>
      </c>
    </row>
    <row r="6" spans="1:3" x14ac:dyDescent="0.25">
      <c r="A6" s="10">
        <v>1994</v>
      </c>
      <c r="B6" s="10">
        <v>5</v>
      </c>
      <c r="C6" s="15">
        <v>30062.9787695292</v>
      </c>
    </row>
    <row r="7" spans="1:3" x14ac:dyDescent="0.25">
      <c r="A7" s="10">
        <v>1994</v>
      </c>
      <c r="B7" s="10">
        <v>6</v>
      </c>
      <c r="C7" s="15">
        <v>32042.560774932401</v>
      </c>
    </row>
    <row r="8" spans="1:3" x14ac:dyDescent="0.25">
      <c r="A8" s="10">
        <v>1994</v>
      </c>
      <c r="B8" s="10">
        <v>7</v>
      </c>
      <c r="C8" s="15">
        <v>32814.557914376899</v>
      </c>
    </row>
    <row r="9" spans="1:3" x14ac:dyDescent="0.25">
      <c r="A9" s="10">
        <v>1994</v>
      </c>
      <c r="B9" s="10">
        <v>8</v>
      </c>
      <c r="C9" s="15">
        <v>34873.720088195303</v>
      </c>
    </row>
    <row r="10" spans="1:3" x14ac:dyDescent="0.25">
      <c r="A10" s="10">
        <v>1994</v>
      </c>
      <c r="B10" s="10">
        <v>9</v>
      </c>
      <c r="C10" s="15">
        <v>36108.209520021803</v>
      </c>
    </row>
    <row r="11" spans="1:3" x14ac:dyDescent="0.25">
      <c r="A11" s="10">
        <v>1994</v>
      </c>
      <c r="B11" s="10">
        <v>10</v>
      </c>
      <c r="C11" s="15">
        <v>34092.8677431943</v>
      </c>
    </row>
    <row r="12" spans="1:3" x14ac:dyDescent="0.25">
      <c r="A12" s="10">
        <v>1994</v>
      </c>
      <c r="B12" s="10">
        <v>11</v>
      </c>
      <c r="C12" s="15">
        <v>33736.467758686798</v>
      </c>
    </row>
    <row r="13" spans="1:3" x14ac:dyDescent="0.25">
      <c r="A13" s="10">
        <v>1994</v>
      </c>
      <c r="B13" s="10">
        <v>12</v>
      </c>
      <c r="C13" s="15">
        <v>32977.370015430301</v>
      </c>
    </row>
    <row r="14" spans="1:3" x14ac:dyDescent="0.25">
      <c r="A14" s="10">
        <v>1995</v>
      </c>
      <c r="B14" s="10">
        <v>1</v>
      </c>
      <c r="C14" s="15">
        <v>25962.947404874401</v>
      </c>
    </row>
    <row r="15" spans="1:3" x14ac:dyDescent="0.25">
      <c r="A15" s="10">
        <v>1995</v>
      </c>
      <c r="B15" s="10">
        <v>2</v>
      </c>
      <c r="C15" s="15">
        <v>36132.812570305803</v>
      </c>
    </row>
    <row r="16" spans="1:3" x14ac:dyDescent="0.25">
      <c r="A16" s="10">
        <v>1995</v>
      </c>
      <c r="B16" s="10">
        <v>3</v>
      </c>
      <c r="C16" s="15">
        <v>31240.029855577799</v>
      </c>
    </row>
    <row r="17" spans="1:3" x14ac:dyDescent="0.25">
      <c r="A17" s="10">
        <v>1995</v>
      </c>
      <c r="B17" s="10">
        <v>4</v>
      </c>
      <c r="C17" s="15">
        <v>24358.265817293701</v>
      </c>
    </row>
    <row r="18" spans="1:3" x14ac:dyDescent="0.25">
      <c r="A18" s="10">
        <v>1995</v>
      </c>
      <c r="B18" s="10">
        <v>5</v>
      </c>
      <c r="C18" s="15">
        <v>25637.519120338799</v>
      </c>
    </row>
    <row r="19" spans="1:3" x14ac:dyDescent="0.25">
      <c r="A19" s="10">
        <v>1995</v>
      </c>
      <c r="B19" s="10">
        <v>6</v>
      </c>
      <c r="C19" s="15">
        <v>19409.061625781502</v>
      </c>
    </row>
    <row r="20" spans="1:3" x14ac:dyDescent="0.25">
      <c r="A20" s="10">
        <v>1995</v>
      </c>
      <c r="B20" s="10">
        <v>7</v>
      </c>
      <c r="C20" s="15">
        <v>19818.949440587799</v>
      </c>
    </row>
    <row r="21" spans="1:3" x14ac:dyDescent="0.25">
      <c r="A21" s="10">
        <v>1995</v>
      </c>
      <c r="B21" s="10">
        <v>8</v>
      </c>
      <c r="C21" s="15">
        <v>17039.829842166899</v>
      </c>
    </row>
    <row r="22" spans="1:3" x14ac:dyDescent="0.25">
      <c r="A22" s="10">
        <v>1995</v>
      </c>
      <c r="B22" s="10">
        <v>9</v>
      </c>
      <c r="C22" s="15">
        <v>17100.477162582501</v>
      </c>
    </row>
    <row r="23" spans="1:3" x14ac:dyDescent="0.25">
      <c r="A23" s="10">
        <v>1995</v>
      </c>
      <c r="B23" s="10">
        <v>10</v>
      </c>
      <c r="C23" s="15">
        <v>18131.559706087399</v>
      </c>
    </row>
    <row r="24" spans="1:3" x14ac:dyDescent="0.25">
      <c r="A24" s="10">
        <v>1995</v>
      </c>
      <c r="B24" s="10">
        <v>11</v>
      </c>
      <c r="C24" s="15">
        <v>18471.817151754101</v>
      </c>
    </row>
    <row r="25" spans="1:3" x14ac:dyDescent="0.25">
      <c r="A25" s="10">
        <v>1995</v>
      </c>
      <c r="B25" s="10">
        <v>12</v>
      </c>
      <c r="C25" s="15">
        <v>21775.725717135101</v>
      </c>
    </row>
    <row r="26" spans="1:3" x14ac:dyDescent="0.25">
      <c r="A26" s="10">
        <v>1996</v>
      </c>
      <c r="B26" s="10">
        <v>1</v>
      </c>
      <c r="C26" s="15">
        <v>20538.904182278598</v>
      </c>
    </row>
    <row r="27" spans="1:3" x14ac:dyDescent="0.25">
      <c r="A27" s="10">
        <v>1996</v>
      </c>
      <c r="B27" s="10">
        <v>2</v>
      </c>
      <c r="C27" s="15">
        <v>24320.566582389602</v>
      </c>
    </row>
    <row r="28" spans="1:3" x14ac:dyDescent="0.25">
      <c r="A28" s="10">
        <v>1996</v>
      </c>
      <c r="B28" s="10">
        <v>3</v>
      </c>
      <c r="C28" s="15">
        <v>23696.5326385107</v>
      </c>
    </row>
    <row r="29" spans="1:3" x14ac:dyDescent="0.25">
      <c r="A29" s="10">
        <v>1996</v>
      </c>
      <c r="B29" s="10">
        <v>4</v>
      </c>
      <c r="C29" s="15">
        <v>23999.165814421602</v>
      </c>
    </row>
    <row r="30" spans="1:3" x14ac:dyDescent="0.25">
      <c r="A30" s="10">
        <v>1996</v>
      </c>
      <c r="B30" s="10">
        <v>5</v>
      </c>
      <c r="C30" s="15">
        <v>24542.168025898201</v>
      </c>
    </row>
    <row r="31" spans="1:3" x14ac:dyDescent="0.25">
      <c r="A31" s="10">
        <v>1996</v>
      </c>
      <c r="B31" s="10">
        <v>6</v>
      </c>
      <c r="C31" s="15">
        <v>26115.508278529102</v>
      </c>
    </row>
    <row r="32" spans="1:3" x14ac:dyDescent="0.25">
      <c r="A32" s="10">
        <v>1996</v>
      </c>
      <c r="B32" s="10">
        <v>7</v>
      </c>
      <c r="C32" s="15">
        <v>25718.947466101501</v>
      </c>
    </row>
    <row r="33" spans="1:3" x14ac:dyDescent="0.25">
      <c r="A33" s="10">
        <v>1996</v>
      </c>
      <c r="B33" s="10">
        <v>8</v>
      </c>
      <c r="C33" s="15">
        <v>26857.9651374608</v>
      </c>
    </row>
    <row r="34" spans="1:3" x14ac:dyDescent="0.25">
      <c r="A34" s="10">
        <v>1996</v>
      </c>
      <c r="B34" s="10">
        <v>9</v>
      </c>
      <c r="C34" s="15">
        <v>24063.815446752302</v>
      </c>
    </row>
    <row r="35" spans="1:3" x14ac:dyDescent="0.25">
      <c r="A35" s="10">
        <v>1996</v>
      </c>
      <c r="B35" s="10">
        <v>10</v>
      </c>
      <c r="C35" s="15">
        <v>26597.891730683201</v>
      </c>
    </row>
    <row r="36" spans="1:3" x14ac:dyDescent="0.25">
      <c r="A36" s="10">
        <v>1996</v>
      </c>
      <c r="B36" s="10">
        <v>11</v>
      </c>
      <c r="C36" s="15">
        <v>28137.1058316995</v>
      </c>
    </row>
    <row r="37" spans="1:3" x14ac:dyDescent="0.25">
      <c r="A37" s="10">
        <v>1996</v>
      </c>
      <c r="B37" s="10">
        <v>12</v>
      </c>
      <c r="C37" s="15">
        <v>27788.996372030299</v>
      </c>
    </row>
    <row r="38" spans="1:3" x14ac:dyDescent="0.25">
      <c r="A38" s="10">
        <v>1997</v>
      </c>
      <c r="B38" s="10">
        <v>1</v>
      </c>
      <c r="C38" s="15">
        <v>29369.925510926099</v>
      </c>
    </row>
    <row r="39" spans="1:3" x14ac:dyDescent="0.25">
      <c r="A39" s="10">
        <v>1997</v>
      </c>
      <c r="B39" s="10">
        <v>2</v>
      </c>
      <c r="C39" s="15">
        <v>30154.3956111388</v>
      </c>
    </row>
    <row r="40" spans="1:3" x14ac:dyDescent="0.25">
      <c r="A40" s="10">
        <v>1997</v>
      </c>
      <c r="B40" s="10">
        <v>3</v>
      </c>
      <c r="C40" s="15">
        <v>31448.254996216401</v>
      </c>
    </row>
    <row r="41" spans="1:3" x14ac:dyDescent="0.25">
      <c r="A41" s="10">
        <v>1997</v>
      </c>
      <c r="B41" s="10">
        <v>4</v>
      </c>
      <c r="C41" s="15">
        <v>33341.4351294398</v>
      </c>
    </row>
    <row r="42" spans="1:3" x14ac:dyDescent="0.25">
      <c r="A42" s="10">
        <v>1997</v>
      </c>
      <c r="B42" s="10">
        <v>5</v>
      </c>
      <c r="C42" s="15">
        <v>34701.433275238502</v>
      </c>
    </row>
    <row r="43" spans="1:3" x14ac:dyDescent="0.25">
      <c r="A43" s="10">
        <v>1997</v>
      </c>
      <c r="B43" s="10">
        <v>6</v>
      </c>
      <c r="C43" s="15">
        <v>35578.478305814999</v>
      </c>
    </row>
    <row r="44" spans="1:3" x14ac:dyDescent="0.25">
      <c r="A44" s="10">
        <v>1997</v>
      </c>
      <c r="B44" s="10">
        <v>7</v>
      </c>
      <c r="C44" s="15">
        <v>37306.609795343298</v>
      </c>
    </row>
    <row r="45" spans="1:3" x14ac:dyDescent="0.25">
      <c r="A45" s="10">
        <v>1997</v>
      </c>
      <c r="B45" s="10">
        <v>8</v>
      </c>
      <c r="C45" s="15">
        <v>37502.749348209603</v>
      </c>
    </row>
    <row r="46" spans="1:3" x14ac:dyDescent="0.25">
      <c r="A46" s="10">
        <v>1997</v>
      </c>
      <c r="B46" s="10">
        <v>9</v>
      </c>
      <c r="C46" s="15">
        <v>39556.766229495101</v>
      </c>
    </row>
    <row r="47" spans="1:3" x14ac:dyDescent="0.25">
      <c r="A47" s="10">
        <v>1997</v>
      </c>
      <c r="B47" s="10">
        <v>10</v>
      </c>
      <c r="C47" s="15">
        <v>47131.701314098202</v>
      </c>
    </row>
    <row r="48" spans="1:3" x14ac:dyDescent="0.25">
      <c r="A48" s="10">
        <v>1997</v>
      </c>
      <c r="B48" s="10">
        <v>11</v>
      </c>
      <c r="C48" s="15">
        <v>42075.612462202698</v>
      </c>
    </row>
    <row r="49" spans="1:3" x14ac:dyDescent="0.25">
      <c r="A49" s="10">
        <v>1997</v>
      </c>
      <c r="B49" s="10">
        <v>12</v>
      </c>
      <c r="C49" s="15">
        <v>26505.445667143798</v>
      </c>
    </row>
    <row r="50" spans="1:3" x14ac:dyDescent="0.25">
      <c r="A50" s="10">
        <v>1998</v>
      </c>
      <c r="B50" s="10">
        <v>1</v>
      </c>
      <c r="C50" s="15">
        <v>33643.167242592303</v>
      </c>
    </row>
    <row r="51" spans="1:3" x14ac:dyDescent="0.25">
      <c r="A51" s="10">
        <v>1998</v>
      </c>
      <c r="B51" s="10">
        <v>2</v>
      </c>
      <c r="C51" s="15">
        <v>37965.414747080598</v>
      </c>
    </row>
    <row r="52" spans="1:3" x14ac:dyDescent="0.25">
      <c r="A52" s="10">
        <v>1998</v>
      </c>
      <c r="B52" s="10">
        <v>3</v>
      </c>
      <c r="C52" s="15">
        <v>39352.280475493302</v>
      </c>
    </row>
    <row r="53" spans="1:3" x14ac:dyDescent="0.25">
      <c r="A53" s="10">
        <v>1998</v>
      </c>
      <c r="B53" s="10">
        <v>4</v>
      </c>
      <c r="C53" s="15">
        <v>40317.682942003899</v>
      </c>
    </row>
    <row r="54" spans="1:3" x14ac:dyDescent="0.25">
      <c r="A54" s="10">
        <v>1998</v>
      </c>
      <c r="B54" s="10">
        <v>5</v>
      </c>
      <c r="C54" s="15">
        <v>39561.352131621701</v>
      </c>
    </row>
    <row r="55" spans="1:3" x14ac:dyDescent="0.25">
      <c r="A55" s="10">
        <v>1998</v>
      </c>
      <c r="B55" s="10">
        <v>6</v>
      </c>
      <c r="C55" s="15">
        <v>41366.951294023602</v>
      </c>
    </row>
    <row r="56" spans="1:3" x14ac:dyDescent="0.25">
      <c r="A56" s="10">
        <v>1998</v>
      </c>
      <c r="B56" s="10">
        <v>7</v>
      </c>
      <c r="C56" s="15">
        <v>39411.6417216603</v>
      </c>
    </row>
    <row r="57" spans="1:3" x14ac:dyDescent="0.25">
      <c r="A57" s="10">
        <v>1998</v>
      </c>
      <c r="B57" s="10">
        <v>8</v>
      </c>
      <c r="C57" s="15">
        <v>44546.487685032298</v>
      </c>
    </row>
    <row r="58" spans="1:3" x14ac:dyDescent="0.25">
      <c r="A58" s="10">
        <v>1998</v>
      </c>
      <c r="B58" s="10">
        <v>9</v>
      </c>
      <c r="C58" s="15">
        <v>40006.177673225597</v>
      </c>
    </row>
    <row r="59" spans="1:3" x14ac:dyDescent="0.25">
      <c r="A59" s="10">
        <v>1998</v>
      </c>
      <c r="B59" s="10">
        <v>10</v>
      </c>
      <c r="C59" s="15">
        <v>34426.258520718802</v>
      </c>
    </row>
    <row r="60" spans="1:3" x14ac:dyDescent="0.25">
      <c r="A60" s="10">
        <v>1998</v>
      </c>
      <c r="B60" s="10">
        <v>11</v>
      </c>
      <c r="C60" s="15">
        <v>28645.779143305801</v>
      </c>
    </row>
    <row r="61" spans="1:3" x14ac:dyDescent="0.25">
      <c r="A61" s="10">
        <v>1998</v>
      </c>
      <c r="B61" s="10">
        <v>12</v>
      </c>
      <c r="C61" s="15">
        <v>15513.300698975499</v>
      </c>
    </row>
    <row r="62" spans="1:3" x14ac:dyDescent="0.25">
      <c r="A62" s="10">
        <v>1999</v>
      </c>
      <c r="B62" s="10">
        <v>1</v>
      </c>
      <c r="C62" s="15">
        <v>26483.604311254701</v>
      </c>
    </row>
    <row r="63" spans="1:3" x14ac:dyDescent="0.25">
      <c r="A63" s="10">
        <v>1999</v>
      </c>
      <c r="B63" s="10">
        <v>2</v>
      </c>
      <c r="C63" s="15">
        <v>20948.116351364399</v>
      </c>
    </row>
    <row r="64" spans="1:3" x14ac:dyDescent="0.25">
      <c r="A64" s="10">
        <v>1999</v>
      </c>
      <c r="B64" s="10">
        <v>3</v>
      </c>
      <c r="C64" s="15">
        <v>18379.529250286701</v>
      </c>
    </row>
    <row r="65" spans="1:3" x14ac:dyDescent="0.25">
      <c r="A65" s="10">
        <v>1999</v>
      </c>
      <c r="B65" s="10">
        <v>4</v>
      </c>
      <c r="C65" s="15">
        <v>18901.985481006599</v>
      </c>
    </row>
    <row r="66" spans="1:3" x14ac:dyDescent="0.25">
      <c r="A66" s="10">
        <v>1999</v>
      </c>
      <c r="B66" s="10">
        <v>5</v>
      </c>
      <c r="C66" s="15">
        <v>21806.014874427401</v>
      </c>
    </row>
    <row r="67" spans="1:3" x14ac:dyDescent="0.25">
      <c r="A67" s="10">
        <v>1999</v>
      </c>
      <c r="B67" s="10">
        <v>6</v>
      </c>
      <c r="C67" s="15">
        <v>21821.5090920517</v>
      </c>
    </row>
    <row r="68" spans="1:3" x14ac:dyDescent="0.25">
      <c r="A68" s="10">
        <v>1999</v>
      </c>
      <c r="B68" s="10">
        <v>7</v>
      </c>
      <c r="C68" s="15">
        <v>22518.9235823163</v>
      </c>
    </row>
    <row r="69" spans="1:3" x14ac:dyDescent="0.25">
      <c r="A69" s="10">
        <v>1999</v>
      </c>
      <c r="B69" s="10">
        <v>8</v>
      </c>
      <c r="C69" s="15">
        <v>25313.8706165326</v>
      </c>
    </row>
    <row r="70" spans="1:3" x14ac:dyDescent="0.25">
      <c r="A70" s="10">
        <v>1999</v>
      </c>
      <c r="B70" s="10">
        <v>9</v>
      </c>
      <c r="C70" s="15">
        <v>24778.9513722144</v>
      </c>
    </row>
    <row r="71" spans="1:3" x14ac:dyDescent="0.25">
      <c r="A71" s="10">
        <v>1999</v>
      </c>
      <c r="B71" s="10">
        <v>10</v>
      </c>
      <c r="C71" s="15">
        <v>28636.308338751602</v>
      </c>
    </row>
    <row r="72" spans="1:3" x14ac:dyDescent="0.25">
      <c r="A72" s="10">
        <v>1999</v>
      </c>
      <c r="B72" s="10">
        <v>11</v>
      </c>
      <c r="C72" s="15">
        <v>29303.800792300899</v>
      </c>
    </row>
    <row r="73" spans="1:3" x14ac:dyDescent="0.25">
      <c r="A73" s="10">
        <v>1999</v>
      </c>
      <c r="B73" s="10">
        <v>12</v>
      </c>
      <c r="C73" s="15">
        <v>32545.391515823299</v>
      </c>
    </row>
    <row r="74" spans="1:3" x14ac:dyDescent="0.25">
      <c r="A74" s="10">
        <v>2000</v>
      </c>
      <c r="B74" s="10">
        <v>1</v>
      </c>
      <c r="C74" s="15">
        <v>36917.624618090304</v>
      </c>
    </row>
    <row r="75" spans="1:3" x14ac:dyDescent="0.25">
      <c r="A75" s="10">
        <v>2000</v>
      </c>
      <c r="B75" s="10">
        <v>2</v>
      </c>
      <c r="C75" s="15">
        <v>25923.351552075299</v>
      </c>
    </row>
    <row r="76" spans="1:3" x14ac:dyDescent="0.25">
      <c r="A76" s="10">
        <v>2000</v>
      </c>
      <c r="B76" s="10">
        <v>3</v>
      </c>
      <c r="C76" s="15">
        <v>31020.2035068982</v>
      </c>
    </row>
    <row r="77" spans="1:3" x14ac:dyDescent="0.25">
      <c r="A77" s="10">
        <v>2000</v>
      </c>
      <c r="B77" s="10">
        <v>4</v>
      </c>
      <c r="C77" s="15">
        <v>28516.514648593598</v>
      </c>
    </row>
    <row r="78" spans="1:3" x14ac:dyDescent="0.25">
      <c r="A78" s="10">
        <v>2000</v>
      </c>
      <c r="B78" s="10">
        <v>5</v>
      </c>
      <c r="C78" s="15">
        <v>25626.629553303799</v>
      </c>
    </row>
    <row r="79" spans="1:3" x14ac:dyDescent="0.25">
      <c r="A79" s="10">
        <v>2000</v>
      </c>
      <c r="B79" s="10">
        <v>6</v>
      </c>
      <c r="C79" s="15">
        <v>24756.386745887899</v>
      </c>
    </row>
    <row r="80" spans="1:3" x14ac:dyDescent="0.25">
      <c r="A80" s="10">
        <v>2000</v>
      </c>
      <c r="B80" s="10">
        <v>7</v>
      </c>
      <c r="C80" s="15">
        <v>26224.175919077101</v>
      </c>
    </row>
    <row r="81" spans="1:3" x14ac:dyDescent="0.25">
      <c r="A81" s="10">
        <v>2000</v>
      </c>
      <c r="B81" s="10">
        <v>8</v>
      </c>
      <c r="C81" s="15">
        <v>24616.7674377396</v>
      </c>
    </row>
    <row r="82" spans="1:3" x14ac:dyDescent="0.25">
      <c r="A82" s="10">
        <v>2000</v>
      </c>
      <c r="B82" s="10">
        <v>9</v>
      </c>
      <c r="C82" s="15">
        <v>26775.332627276199</v>
      </c>
    </row>
    <row r="83" spans="1:3" x14ac:dyDescent="0.25">
      <c r="A83" s="10">
        <v>2000</v>
      </c>
      <c r="B83" s="10">
        <v>10</v>
      </c>
      <c r="C83" s="15">
        <v>25096.266703941299</v>
      </c>
    </row>
    <row r="84" spans="1:3" x14ac:dyDescent="0.25">
      <c r="A84" s="10">
        <v>2000</v>
      </c>
      <c r="B84" s="10">
        <v>11</v>
      </c>
      <c r="C84" s="15">
        <v>25052.609957854402</v>
      </c>
    </row>
    <row r="85" spans="1:3" x14ac:dyDescent="0.25">
      <c r="A85" s="10">
        <v>2000</v>
      </c>
      <c r="B85" s="10">
        <v>12</v>
      </c>
      <c r="C85" s="15">
        <v>27429.677891003601</v>
      </c>
    </row>
    <row r="86" spans="1:3" x14ac:dyDescent="0.25">
      <c r="A86" s="10">
        <v>2001</v>
      </c>
      <c r="B86" s="10">
        <v>1</v>
      </c>
      <c r="C86" s="15">
        <v>23964.303597051501</v>
      </c>
    </row>
    <row r="87" spans="1:3" x14ac:dyDescent="0.25">
      <c r="A87" s="10">
        <v>2001</v>
      </c>
      <c r="B87" s="10">
        <v>2</v>
      </c>
      <c r="C87" s="15">
        <v>19459.0571253817</v>
      </c>
    </row>
    <row r="88" spans="1:3" x14ac:dyDescent="0.25">
      <c r="A88" s="10">
        <v>2001</v>
      </c>
      <c r="B88" s="10">
        <v>3</v>
      </c>
      <c r="C88" s="15">
        <v>23895.121561903801</v>
      </c>
    </row>
    <row r="89" spans="1:3" x14ac:dyDescent="0.25">
      <c r="A89" s="10">
        <v>2001</v>
      </c>
      <c r="B89" s="10">
        <v>4</v>
      </c>
      <c r="C89" s="15">
        <v>24471.936897924701</v>
      </c>
    </row>
    <row r="90" spans="1:3" x14ac:dyDescent="0.25">
      <c r="A90" s="10">
        <v>2001</v>
      </c>
      <c r="B90" s="10">
        <v>5</v>
      </c>
      <c r="C90" s="15">
        <v>24155.088852758501</v>
      </c>
    </row>
    <row r="91" spans="1:3" x14ac:dyDescent="0.25">
      <c r="A91" s="10">
        <v>2001</v>
      </c>
      <c r="B91" s="10">
        <v>6</v>
      </c>
      <c r="C91" s="15">
        <v>23124.484381840299</v>
      </c>
    </row>
    <row r="92" spans="1:3" x14ac:dyDescent="0.25">
      <c r="A92" s="10">
        <v>2001</v>
      </c>
      <c r="B92" s="10">
        <v>7</v>
      </c>
      <c r="C92" s="15">
        <v>20956.505161476201</v>
      </c>
    </row>
    <row r="93" spans="1:3" x14ac:dyDescent="0.25">
      <c r="A93" s="10">
        <v>2001</v>
      </c>
      <c r="B93" s="10">
        <v>8</v>
      </c>
      <c r="C93" s="15">
        <v>14023.1833851436</v>
      </c>
    </row>
    <row r="94" spans="1:3" x14ac:dyDescent="0.25">
      <c r="A94" s="10">
        <v>2001</v>
      </c>
      <c r="B94" s="10">
        <v>9</v>
      </c>
      <c r="C94" s="15">
        <v>14957.3119837629</v>
      </c>
    </row>
    <row r="95" spans="1:3" x14ac:dyDescent="0.25">
      <c r="A95" s="10">
        <v>2001</v>
      </c>
      <c r="B95" s="10">
        <v>10</v>
      </c>
      <c r="C95" s="15">
        <v>14128.7716595203</v>
      </c>
    </row>
    <row r="96" spans="1:3" x14ac:dyDescent="0.25">
      <c r="A96" s="10">
        <v>2001</v>
      </c>
      <c r="B96" s="10">
        <v>11</v>
      </c>
      <c r="C96" s="15">
        <v>12968.5949636879</v>
      </c>
    </row>
    <row r="97" spans="1:3" x14ac:dyDescent="0.25">
      <c r="A97" s="10">
        <v>2001</v>
      </c>
      <c r="B97" s="10">
        <v>12</v>
      </c>
      <c r="C97" s="15">
        <v>10990.7466703631</v>
      </c>
    </row>
    <row r="98" spans="1:3" x14ac:dyDescent="0.25">
      <c r="A98" s="10">
        <v>2002</v>
      </c>
      <c r="B98" s="10">
        <v>1</v>
      </c>
      <c r="C98" s="15">
        <v>16044.9323600634</v>
      </c>
    </row>
    <row r="99" spans="1:3" x14ac:dyDescent="0.25">
      <c r="A99" s="10">
        <v>2002</v>
      </c>
      <c r="B99" s="10">
        <v>2</v>
      </c>
      <c r="C99" s="15">
        <v>12054.7935354662</v>
      </c>
    </row>
    <row r="100" spans="1:3" x14ac:dyDescent="0.25">
      <c r="A100" s="10">
        <v>2002</v>
      </c>
      <c r="B100" s="10">
        <v>3</v>
      </c>
      <c r="C100" s="15">
        <v>11574.187698646399</v>
      </c>
    </row>
    <row r="101" spans="1:3" x14ac:dyDescent="0.25">
      <c r="A101" s="10">
        <v>2002</v>
      </c>
      <c r="B101" s="10">
        <v>4</v>
      </c>
      <c r="C101" s="15">
        <v>13326.9864787356</v>
      </c>
    </row>
    <row r="102" spans="1:3" x14ac:dyDescent="0.25">
      <c r="A102" s="10">
        <v>2002</v>
      </c>
      <c r="B102" s="10">
        <v>5</v>
      </c>
      <c r="C102" s="15">
        <v>11462.3646939154</v>
      </c>
    </row>
    <row r="103" spans="1:3" x14ac:dyDescent="0.25">
      <c r="A103" s="10">
        <v>2002</v>
      </c>
      <c r="B103" s="10">
        <v>6</v>
      </c>
      <c r="C103" s="15">
        <v>13086.5972004388</v>
      </c>
    </row>
    <row r="104" spans="1:3" x14ac:dyDescent="0.25">
      <c r="A104" s="10">
        <v>2002</v>
      </c>
      <c r="B104" s="10">
        <v>7</v>
      </c>
      <c r="C104" s="15">
        <v>12448.348082337599</v>
      </c>
    </row>
    <row r="105" spans="1:3" x14ac:dyDescent="0.25">
      <c r="A105" s="10">
        <v>2002</v>
      </c>
      <c r="B105" s="10">
        <v>8</v>
      </c>
      <c r="C105" s="15">
        <v>12116.619653885</v>
      </c>
    </row>
    <row r="106" spans="1:3" x14ac:dyDescent="0.25">
      <c r="A106" s="10">
        <v>2002</v>
      </c>
      <c r="B106" s="10">
        <v>9</v>
      </c>
      <c r="C106" s="15">
        <v>12894.4107855317</v>
      </c>
    </row>
    <row r="107" spans="1:3" x14ac:dyDescent="0.25">
      <c r="A107" s="10">
        <v>2002</v>
      </c>
      <c r="B107" s="10">
        <v>10</v>
      </c>
      <c r="C107" s="15">
        <v>11839.6664526452</v>
      </c>
    </row>
    <row r="108" spans="1:3" x14ac:dyDescent="0.25">
      <c r="A108" s="10">
        <v>2002</v>
      </c>
      <c r="B108" s="10">
        <v>11</v>
      </c>
      <c r="C108" s="15">
        <v>12083.496262821</v>
      </c>
    </row>
    <row r="109" spans="1:3" x14ac:dyDescent="0.25">
      <c r="A109" s="10">
        <v>2002</v>
      </c>
      <c r="B109" s="10">
        <v>12</v>
      </c>
      <c r="C109" s="15">
        <v>13730.108121084701</v>
      </c>
    </row>
    <row r="110" spans="1:3" x14ac:dyDescent="0.25">
      <c r="A110" s="10">
        <v>2003</v>
      </c>
      <c r="B110" s="10">
        <v>1</v>
      </c>
      <c r="C110" s="15">
        <v>20119.022598568499</v>
      </c>
    </row>
    <row r="111" spans="1:3" x14ac:dyDescent="0.25">
      <c r="A111" s="10">
        <v>2003</v>
      </c>
      <c r="B111" s="10">
        <v>2</v>
      </c>
      <c r="C111" s="15">
        <v>14005.1632842074</v>
      </c>
    </row>
    <row r="112" spans="1:3" x14ac:dyDescent="0.25">
      <c r="A112" s="10">
        <v>2003</v>
      </c>
      <c r="B112" s="10">
        <v>3</v>
      </c>
      <c r="C112" s="15">
        <v>13296.702368497599</v>
      </c>
    </row>
    <row r="113" spans="1:3" x14ac:dyDescent="0.25">
      <c r="A113" s="10">
        <v>2003</v>
      </c>
      <c r="B113" s="10">
        <v>4</v>
      </c>
      <c r="C113" s="15">
        <v>12117.0088516298</v>
      </c>
    </row>
    <row r="114" spans="1:3" x14ac:dyDescent="0.25">
      <c r="A114" s="10">
        <v>2003</v>
      </c>
      <c r="B114" s="10">
        <v>5</v>
      </c>
      <c r="C114" s="15">
        <v>11757.015207676401</v>
      </c>
    </row>
    <row r="115" spans="1:3" x14ac:dyDescent="0.25">
      <c r="A115" s="10">
        <v>2003</v>
      </c>
      <c r="B115" s="10">
        <v>6</v>
      </c>
      <c r="C115" s="15">
        <v>11817.737533522301</v>
      </c>
    </row>
    <row r="116" spans="1:3" x14ac:dyDescent="0.25">
      <c r="A116" s="10">
        <v>2003</v>
      </c>
      <c r="B116" s="10">
        <v>7</v>
      </c>
      <c r="C116" s="15">
        <v>8983.6153207561692</v>
      </c>
    </row>
    <row r="117" spans="1:3" x14ac:dyDescent="0.25">
      <c r="A117" s="10">
        <v>2003</v>
      </c>
      <c r="B117" s="10">
        <v>8</v>
      </c>
      <c r="C117" s="15">
        <v>13455.0390152688</v>
      </c>
    </row>
    <row r="118" spans="1:3" x14ac:dyDescent="0.25">
      <c r="A118" s="10">
        <v>2003</v>
      </c>
      <c r="B118" s="10">
        <v>9</v>
      </c>
      <c r="C118" s="15">
        <v>11932.6716747552</v>
      </c>
    </row>
    <row r="119" spans="1:3" x14ac:dyDescent="0.25">
      <c r="A119" s="10">
        <v>2003</v>
      </c>
      <c r="B119" s="10">
        <v>10</v>
      </c>
      <c r="C119" s="15">
        <v>11974.8906221814</v>
      </c>
    </row>
    <row r="120" spans="1:3" x14ac:dyDescent="0.25">
      <c r="A120" s="10">
        <v>2003</v>
      </c>
      <c r="B120" s="10">
        <v>11</v>
      </c>
      <c r="C120" s="15">
        <v>15632.1258940839</v>
      </c>
    </row>
    <row r="121" spans="1:3" x14ac:dyDescent="0.25">
      <c r="A121" s="10">
        <v>2003</v>
      </c>
      <c r="B121" s="10">
        <v>12</v>
      </c>
      <c r="C121" s="15">
        <v>13964.934714122701</v>
      </c>
    </row>
    <row r="122" spans="1:3" x14ac:dyDescent="0.25">
      <c r="A122" s="10">
        <v>2004</v>
      </c>
      <c r="B122" s="10">
        <v>1</v>
      </c>
      <c r="C122" s="15">
        <v>24793.379082405601</v>
      </c>
    </row>
    <row r="123" spans="1:3" x14ac:dyDescent="0.25">
      <c r="A123" s="10">
        <v>2004</v>
      </c>
      <c r="B123" s="10">
        <v>2</v>
      </c>
      <c r="C123" s="15">
        <v>19828.6488552193</v>
      </c>
    </row>
    <row r="124" spans="1:3" x14ac:dyDescent="0.25">
      <c r="A124" s="10">
        <v>2004</v>
      </c>
      <c r="B124" s="10">
        <v>3</v>
      </c>
      <c r="C124" s="15">
        <v>17945.614234551402</v>
      </c>
    </row>
    <row r="125" spans="1:3" x14ac:dyDescent="0.25">
      <c r="A125" s="10">
        <v>2004</v>
      </c>
      <c r="B125" s="10">
        <v>4</v>
      </c>
      <c r="C125" s="15">
        <v>16821.121870575102</v>
      </c>
    </row>
    <row r="126" spans="1:3" x14ac:dyDescent="0.25">
      <c r="A126" s="10">
        <v>2004</v>
      </c>
      <c r="B126" s="10">
        <v>5</v>
      </c>
      <c r="C126" s="15">
        <v>20002.901193073001</v>
      </c>
    </row>
    <row r="127" spans="1:3" x14ac:dyDescent="0.25">
      <c r="A127" s="10">
        <v>2004</v>
      </c>
      <c r="B127" s="10">
        <v>6</v>
      </c>
      <c r="C127" s="15">
        <v>18914.729998835501</v>
      </c>
    </row>
    <row r="128" spans="1:3" x14ac:dyDescent="0.25">
      <c r="A128" s="10">
        <v>2004</v>
      </c>
      <c r="B128" s="10">
        <v>7</v>
      </c>
      <c r="C128" s="15">
        <v>18902.187108986302</v>
      </c>
    </row>
    <row r="129" spans="1:3" x14ac:dyDescent="0.25">
      <c r="A129" s="10">
        <v>2004</v>
      </c>
      <c r="B129" s="10">
        <v>8</v>
      </c>
      <c r="C129" s="15">
        <v>19528.312473699101</v>
      </c>
    </row>
    <row r="130" spans="1:3" x14ac:dyDescent="0.25">
      <c r="A130" s="10">
        <v>2004</v>
      </c>
      <c r="B130" s="10">
        <v>9</v>
      </c>
      <c r="C130" s="15">
        <v>20505.915755218499</v>
      </c>
    </row>
    <row r="131" spans="1:3" x14ac:dyDescent="0.25">
      <c r="A131" s="10">
        <v>2004</v>
      </c>
      <c r="B131" s="10">
        <v>10</v>
      </c>
      <c r="C131" s="15">
        <v>22310.145554327501</v>
      </c>
    </row>
    <row r="132" spans="1:3" x14ac:dyDescent="0.25">
      <c r="A132" s="10">
        <v>2004</v>
      </c>
      <c r="B132" s="10">
        <v>11</v>
      </c>
      <c r="C132" s="15">
        <v>20877.599956757102</v>
      </c>
    </row>
    <row r="133" spans="1:3" x14ac:dyDescent="0.25">
      <c r="A133" s="10">
        <v>2004</v>
      </c>
      <c r="B133" s="10">
        <v>12</v>
      </c>
      <c r="C133" s="15">
        <v>22694.225087372499</v>
      </c>
    </row>
    <row r="134" spans="1:3" x14ac:dyDescent="0.25">
      <c r="A134" s="10">
        <v>2005</v>
      </c>
      <c r="B134" s="10">
        <v>1</v>
      </c>
      <c r="C134" s="15">
        <v>35948.602118708499</v>
      </c>
    </row>
    <row r="135" spans="1:3" x14ac:dyDescent="0.25">
      <c r="A135" s="10">
        <v>2005</v>
      </c>
      <c r="B135" s="10">
        <v>2</v>
      </c>
      <c r="C135" s="15">
        <v>17393.204975619901</v>
      </c>
    </row>
    <row r="136" spans="1:3" x14ac:dyDescent="0.25">
      <c r="A136" s="10">
        <v>2005</v>
      </c>
      <c r="B136" s="10">
        <v>3</v>
      </c>
      <c r="C136" s="15">
        <v>23504.884735805601</v>
      </c>
    </row>
    <row r="137" spans="1:3" x14ac:dyDescent="0.25">
      <c r="A137" s="10">
        <v>2005</v>
      </c>
      <c r="B137" s="10">
        <v>4</v>
      </c>
      <c r="C137" s="15">
        <v>25293.543831238399</v>
      </c>
    </row>
    <row r="138" spans="1:3" x14ac:dyDescent="0.25">
      <c r="A138" s="10">
        <v>2005</v>
      </c>
      <c r="B138" s="10">
        <v>5</v>
      </c>
      <c r="C138" s="15">
        <v>23830.2272469708</v>
      </c>
    </row>
    <row r="139" spans="1:3" x14ac:dyDescent="0.25">
      <c r="A139" s="10">
        <v>2005</v>
      </c>
      <c r="B139" s="10">
        <v>6</v>
      </c>
      <c r="C139" s="15">
        <v>23458.288435590101</v>
      </c>
    </row>
    <row r="140" spans="1:3" x14ac:dyDescent="0.25">
      <c r="A140" s="10">
        <v>2005</v>
      </c>
      <c r="B140" s="10">
        <v>7</v>
      </c>
      <c r="C140" s="15">
        <v>26366.520539652</v>
      </c>
    </row>
    <row r="141" spans="1:3" x14ac:dyDescent="0.25">
      <c r="A141" s="10">
        <v>2005</v>
      </c>
      <c r="B141" s="10">
        <v>8</v>
      </c>
      <c r="C141" s="15">
        <v>23644.774065321701</v>
      </c>
    </row>
    <row r="142" spans="1:3" x14ac:dyDescent="0.25">
      <c r="A142" s="10">
        <v>2005</v>
      </c>
      <c r="B142" s="10">
        <v>9</v>
      </c>
      <c r="C142" s="15">
        <v>23013.673532331999</v>
      </c>
    </row>
    <row r="143" spans="1:3" x14ac:dyDescent="0.25">
      <c r="A143" s="10">
        <v>2005</v>
      </c>
      <c r="B143" s="10">
        <v>10</v>
      </c>
      <c r="C143" s="15">
        <v>26241.509871968199</v>
      </c>
    </row>
    <row r="144" spans="1:3" x14ac:dyDescent="0.25">
      <c r="A144" s="10">
        <v>2005</v>
      </c>
      <c r="B144" s="10">
        <v>11</v>
      </c>
      <c r="C144" s="15">
        <v>25942.2357666887</v>
      </c>
    </row>
    <row r="145" spans="1:3" x14ac:dyDescent="0.25">
      <c r="A145" s="10">
        <v>2005</v>
      </c>
      <c r="B145" s="10">
        <v>12</v>
      </c>
      <c r="C145" s="15">
        <v>23892.382308817701</v>
      </c>
    </row>
    <row r="146" spans="1:3" x14ac:dyDescent="0.25">
      <c r="A146" s="10">
        <v>2006</v>
      </c>
      <c r="B146" s="10">
        <v>1</v>
      </c>
      <c r="C146" s="15">
        <v>25716.843437516502</v>
      </c>
    </row>
    <row r="147" spans="1:3" x14ac:dyDescent="0.25">
      <c r="A147" s="10">
        <v>2006</v>
      </c>
      <c r="B147" s="10">
        <v>2</v>
      </c>
      <c r="C147" s="15">
        <v>34227.4899218153</v>
      </c>
    </row>
    <row r="148" spans="1:3" x14ac:dyDescent="0.25">
      <c r="A148" s="10">
        <v>2006</v>
      </c>
      <c r="B148" s="10">
        <v>3</v>
      </c>
      <c r="C148" s="15">
        <v>30363.103647485499</v>
      </c>
    </row>
    <row r="149" spans="1:3" x14ac:dyDescent="0.25">
      <c r="A149" s="10">
        <v>2006</v>
      </c>
      <c r="B149" s="10">
        <v>4</v>
      </c>
      <c r="C149" s="15">
        <v>32585.479734638899</v>
      </c>
    </row>
    <row r="150" spans="1:3" x14ac:dyDescent="0.25">
      <c r="A150" s="10">
        <v>2006</v>
      </c>
      <c r="B150" s="10">
        <v>5</v>
      </c>
      <c r="C150" s="15">
        <v>26980.895136623501</v>
      </c>
    </row>
    <row r="151" spans="1:3" x14ac:dyDescent="0.25">
      <c r="A151" s="10">
        <v>2006</v>
      </c>
      <c r="B151" s="10">
        <v>6</v>
      </c>
      <c r="C151" s="15">
        <v>32388.341332529901</v>
      </c>
    </row>
    <row r="152" spans="1:3" x14ac:dyDescent="0.25">
      <c r="A152" s="10">
        <v>2006</v>
      </c>
      <c r="B152" s="10">
        <v>7</v>
      </c>
      <c r="C152" s="15">
        <v>36186.616329606499</v>
      </c>
    </row>
    <row r="153" spans="1:3" x14ac:dyDescent="0.25">
      <c r="A153" s="10">
        <v>2006</v>
      </c>
      <c r="B153" s="10">
        <v>8</v>
      </c>
      <c r="C153" s="15">
        <v>34717.881683140098</v>
      </c>
    </row>
    <row r="154" spans="1:3" x14ac:dyDescent="0.25">
      <c r="A154" s="10">
        <v>2006</v>
      </c>
      <c r="B154" s="10">
        <v>9</v>
      </c>
      <c r="C154" s="15">
        <v>38252.0646533006</v>
      </c>
    </row>
    <row r="155" spans="1:3" x14ac:dyDescent="0.25">
      <c r="A155" s="10">
        <v>2006</v>
      </c>
      <c r="B155" s="10">
        <v>10</v>
      </c>
      <c r="C155" s="15">
        <v>36562.352638035503</v>
      </c>
    </row>
    <row r="156" spans="1:3" x14ac:dyDescent="0.25">
      <c r="A156" s="10">
        <v>2006</v>
      </c>
      <c r="B156" s="10">
        <v>11</v>
      </c>
      <c r="C156" s="15">
        <v>38349.686700195198</v>
      </c>
    </row>
    <row r="157" spans="1:3" x14ac:dyDescent="0.25">
      <c r="A157" s="10">
        <v>2006</v>
      </c>
      <c r="B157" s="10">
        <v>12</v>
      </c>
      <c r="C157" s="15">
        <v>41804.681062168398</v>
      </c>
    </row>
    <row r="158" spans="1:3" x14ac:dyDescent="0.25">
      <c r="A158" s="10">
        <v>2007</v>
      </c>
      <c r="B158" s="10">
        <v>1</v>
      </c>
      <c r="C158" s="15">
        <v>29352.0646459899</v>
      </c>
    </row>
    <row r="159" spans="1:3" x14ac:dyDescent="0.25">
      <c r="A159" s="10">
        <v>2007</v>
      </c>
      <c r="B159" s="10">
        <v>2</v>
      </c>
      <c r="C159" s="15">
        <v>42075.528098528703</v>
      </c>
    </row>
    <row r="160" spans="1:3" x14ac:dyDescent="0.25">
      <c r="A160" s="10">
        <v>2007</v>
      </c>
      <c r="B160" s="10">
        <v>3</v>
      </c>
      <c r="C160" s="15">
        <v>42334.680433648202</v>
      </c>
    </row>
    <row r="161" spans="1:3" x14ac:dyDescent="0.25">
      <c r="A161" s="10">
        <v>2007</v>
      </c>
      <c r="B161" s="10">
        <v>4</v>
      </c>
      <c r="C161" s="15">
        <v>38996.212675004601</v>
      </c>
    </row>
    <row r="162" spans="1:3" x14ac:dyDescent="0.25">
      <c r="A162" s="10">
        <v>2007</v>
      </c>
      <c r="B162" s="10">
        <v>5</v>
      </c>
      <c r="C162" s="15">
        <v>39940.515180282899</v>
      </c>
    </row>
    <row r="163" spans="1:3" x14ac:dyDescent="0.25">
      <c r="A163" s="10">
        <v>2007</v>
      </c>
      <c r="B163" s="10">
        <v>6</v>
      </c>
      <c r="C163" s="15">
        <v>44984.645013691501</v>
      </c>
    </row>
    <row r="164" spans="1:3" x14ac:dyDescent="0.25">
      <c r="A164" s="10">
        <v>2007</v>
      </c>
      <c r="B164" s="10">
        <v>7</v>
      </c>
      <c r="C164" s="15">
        <v>40521.561650511998</v>
      </c>
    </row>
    <row r="165" spans="1:3" x14ac:dyDescent="0.25">
      <c r="A165" s="10">
        <v>2007</v>
      </c>
      <c r="B165" s="10">
        <v>8</v>
      </c>
      <c r="C165" s="15">
        <v>44588.016509614703</v>
      </c>
    </row>
    <row r="166" spans="1:3" x14ac:dyDescent="0.25">
      <c r="A166" s="10">
        <v>2007</v>
      </c>
      <c r="B166" s="10">
        <v>9</v>
      </c>
      <c r="C166" s="15">
        <v>43455.1852953364</v>
      </c>
    </row>
    <row r="167" spans="1:3" x14ac:dyDescent="0.25">
      <c r="A167" s="10">
        <v>2007</v>
      </c>
      <c r="B167" s="10">
        <v>10</v>
      </c>
      <c r="C167" s="15">
        <v>46450.451927498099</v>
      </c>
    </row>
    <row r="168" spans="1:3" x14ac:dyDescent="0.25">
      <c r="A168" s="10">
        <v>2007</v>
      </c>
      <c r="B168" s="10">
        <v>11</v>
      </c>
      <c r="C168" s="15">
        <v>47602.4902499854</v>
      </c>
    </row>
    <row r="169" spans="1:3" x14ac:dyDescent="0.25">
      <c r="A169" s="10">
        <v>2007</v>
      </c>
      <c r="B169" s="10">
        <v>12</v>
      </c>
      <c r="C169" s="15">
        <v>50995.009734572101</v>
      </c>
    </row>
    <row r="170" spans="1:3" x14ac:dyDescent="0.25">
      <c r="A170" s="10">
        <v>2008</v>
      </c>
      <c r="B170" s="10">
        <v>1</v>
      </c>
      <c r="C170" s="15">
        <v>53775.6225013004</v>
      </c>
    </row>
    <row r="171" spans="1:3" x14ac:dyDescent="0.25">
      <c r="A171" s="10">
        <v>2008</v>
      </c>
      <c r="B171" s="10">
        <v>2</v>
      </c>
      <c r="C171" s="15">
        <v>40170.870876745197</v>
      </c>
    </row>
    <row r="172" spans="1:3" x14ac:dyDescent="0.25">
      <c r="A172" s="10">
        <v>2008</v>
      </c>
      <c r="B172" s="10">
        <v>3</v>
      </c>
      <c r="C172" s="15">
        <v>47483.610535716703</v>
      </c>
    </row>
    <row r="173" spans="1:3" x14ac:dyDescent="0.25">
      <c r="A173" s="10">
        <v>2008</v>
      </c>
      <c r="B173" s="10">
        <v>4</v>
      </c>
      <c r="C173" s="15">
        <v>50196.909275424499</v>
      </c>
    </row>
    <row r="174" spans="1:3" x14ac:dyDescent="0.25">
      <c r="A174" s="10">
        <v>2008</v>
      </c>
      <c r="B174" s="10">
        <v>5</v>
      </c>
      <c r="C174" s="15">
        <v>49923.238677842302</v>
      </c>
    </row>
    <row r="175" spans="1:3" x14ac:dyDescent="0.25">
      <c r="A175" s="10">
        <v>2008</v>
      </c>
      <c r="B175" s="10">
        <v>6</v>
      </c>
      <c r="C175" s="15">
        <v>46406.890510550897</v>
      </c>
    </row>
    <row r="176" spans="1:3" x14ac:dyDescent="0.25">
      <c r="A176" s="10">
        <v>2008</v>
      </c>
      <c r="B176" s="10">
        <v>7</v>
      </c>
      <c r="C176" s="15">
        <v>56603.838900001101</v>
      </c>
    </row>
    <row r="177" spans="1:3" x14ac:dyDescent="0.25">
      <c r="A177" s="10">
        <v>2008</v>
      </c>
      <c r="B177" s="10">
        <v>8</v>
      </c>
      <c r="C177" s="15">
        <v>50097.6576671535</v>
      </c>
    </row>
    <row r="178" spans="1:3" x14ac:dyDescent="0.25">
      <c r="A178" s="10">
        <v>2008</v>
      </c>
      <c r="B178" s="10">
        <v>9</v>
      </c>
      <c r="C178" s="15">
        <v>51356.007309007102</v>
      </c>
    </row>
    <row r="179" spans="1:3" x14ac:dyDescent="0.25">
      <c r="A179" s="10">
        <v>2008</v>
      </c>
      <c r="B179" s="10">
        <v>10</v>
      </c>
      <c r="C179" s="15">
        <v>48250.401149651698</v>
      </c>
    </row>
    <row r="180" spans="1:3" x14ac:dyDescent="0.25">
      <c r="A180" s="10">
        <v>2008</v>
      </c>
      <c r="B180" s="10">
        <v>11</v>
      </c>
      <c r="C180" s="15">
        <v>33734.5240366894</v>
      </c>
    </row>
    <row r="181" spans="1:3" x14ac:dyDescent="0.25">
      <c r="A181" s="10">
        <v>2008</v>
      </c>
      <c r="B181" s="10">
        <v>12</v>
      </c>
      <c r="C181" s="15">
        <v>27636.230077054599</v>
      </c>
    </row>
    <row r="182" spans="1:3" x14ac:dyDescent="0.25">
      <c r="A182" s="10">
        <v>2009</v>
      </c>
      <c r="B182" s="10">
        <v>1</v>
      </c>
      <c r="C182" s="15">
        <v>34839.498165418401</v>
      </c>
    </row>
    <row r="183" spans="1:3" x14ac:dyDescent="0.25">
      <c r="A183" s="10">
        <v>2009</v>
      </c>
      <c r="B183" s="10">
        <v>2</v>
      </c>
      <c r="C183" s="15">
        <v>23797.680275694602</v>
      </c>
    </row>
    <row r="184" spans="1:3" x14ac:dyDescent="0.25">
      <c r="A184" s="10">
        <v>2009</v>
      </c>
      <c r="B184" s="10">
        <v>3</v>
      </c>
      <c r="C184" s="15">
        <v>37104.627636811201</v>
      </c>
    </row>
    <row r="185" spans="1:3" x14ac:dyDescent="0.25">
      <c r="A185" s="10">
        <v>2009</v>
      </c>
      <c r="B185" s="10">
        <v>4</v>
      </c>
      <c r="C185" s="15">
        <v>36557.776126595803</v>
      </c>
    </row>
    <row r="186" spans="1:3" x14ac:dyDescent="0.25">
      <c r="A186" s="10">
        <v>2009</v>
      </c>
      <c r="B186" s="10">
        <v>5</v>
      </c>
      <c r="C186" s="15">
        <v>40443.789030415399</v>
      </c>
    </row>
    <row r="187" spans="1:3" x14ac:dyDescent="0.25">
      <c r="A187" s="10">
        <v>2009</v>
      </c>
      <c r="B187" s="10">
        <v>6</v>
      </c>
      <c r="C187" s="15">
        <v>40325.281687596398</v>
      </c>
    </row>
    <row r="188" spans="1:3" x14ac:dyDescent="0.25">
      <c r="A188" s="10">
        <v>2009</v>
      </c>
      <c r="B188" s="10">
        <v>7</v>
      </c>
      <c r="C188" s="15">
        <v>44830.658461520397</v>
      </c>
    </row>
    <row r="189" spans="1:3" x14ac:dyDescent="0.25">
      <c r="A189" s="10">
        <v>2009</v>
      </c>
      <c r="B189" s="10">
        <v>8</v>
      </c>
      <c r="C189" s="15">
        <v>41540.383689271301</v>
      </c>
    </row>
    <row r="190" spans="1:3" x14ac:dyDescent="0.25">
      <c r="A190" s="10">
        <v>2009</v>
      </c>
      <c r="B190" s="10">
        <v>9</v>
      </c>
      <c r="C190" s="15">
        <v>45623.469897263902</v>
      </c>
    </row>
    <row r="191" spans="1:3" x14ac:dyDescent="0.25">
      <c r="A191" s="10">
        <v>2009</v>
      </c>
      <c r="B191" s="10">
        <v>10</v>
      </c>
      <c r="C191" s="15">
        <v>50279.225329116198</v>
      </c>
    </row>
    <row r="192" spans="1:3" x14ac:dyDescent="0.25">
      <c r="A192" s="10">
        <v>2009</v>
      </c>
      <c r="B192" s="10">
        <v>11</v>
      </c>
      <c r="C192" s="15">
        <v>47880.003432802303</v>
      </c>
    </row>
    <row r="193" spans="1:3" x14ac:dyDescent="0.25">
      <c r="A193" s="10">
        <v>2009</v>
      </c>
      <c r="B193" s="10">
        <v>12</v>
      </c>
      <c r="C193" s="15">
        <v>54445.5770863574</v>
      </c>
    </row>
    <row r="194" spans="1:3" x14ac:dyDescent="0.25">
      <c r="A194" s="10">
        <v>2010</v>
      </c>
      <c r="B194" s="10">
        <v>1</v>
      </c>
      <c r="C194" s="15">
        <v>50159.955502963698</v>
      </c>
    </row>
    <row r="195" spans="1:3" x14ac:dyDescent="0.25">
      <c r="A195" s="10">
        <v>2010</v>
      </c>
      <c r="B195" s="10">
        <v>2</v>
      </c>
      <c r="C195" s="15">
        <v>48614.2558702877</v>
      </c>
    </row>
    <row r="196" spans="1:3" x14ac:dyDescent="0.25">
      <c r="A196" s="10">
        <v>2010</v>
      </c>
      <c r="B196" s="10">
        <v>3</v>
      </c>
      <c r="C196" s="15">
        <v>48951.6363688493</v>
      </c>
    </row>
    <row r="197" spans="1:3" x14ac:dyDescent="0.25">
      <c r="A197" s="10">
        <v>2010</v>
      </c>
      <c r="B197" s="10">
        <v>4</v>
      </c>
      <c r="C197" s="15">
        <v>55329.009239299798</v>
      </c>
    </row>
    <row r="198" spans="1:3" x14ac:dyDescent="0.25">
      <c r="A198" s="10">
        <v>2010</v>
      </c>
      <c r="B198" s="10">
        <v>5</v>
      </c>
      <c r="C198" s="15">
        <v>56528.991366763599</v>
      </c>
    </row>
    <row r="199" spans="1:3" x14ac:dyDescent="0.25">
      <c r="A199" s="10">
        <v>2010</v>
      </c>
      <c r="B199" s="10">
        <v>6</v>
      </c>
      <c r="C199" s="15">
        <v>59361.687209581301</v>
      </c>
    </row>
    <row r="200" spans="1:3" x14ac:dyDescent="0.25">
      <c r="A200" s="10">
        <v>2010</v>
      </c>
      <c r="B200" s="10">
        <v>7</v>
      </c>
      <c r="C200" s="15">
        <v>55749.856360996797</v>
      </c>
    </row>
    <row r="201" spans="1:3" x14ac:dyDescent="0.25">
      <c r="A201" s="10">
        <v>2010</v>
      </c>
      <c r="B201" s="10">
        <v>8</v>
      </c>
      <c r="C201" s="15">
        <v>63175.0816511132</v>
      </c>
    </row>
    <row r="202" spans="1:3" x14ac:dyDescent="0.25">
      <c r="A202" s="10">
        <v>2010</v>
      </c>
      <c r="B202" s="10">
        <v>9</v>
      </c>
      <c r="C202" s="15">
        <v>63345.026002292099</v>
      </c>
    </row>
    <row r="203" spans="1:3" x14ac:dyDescent="0.25">
      <c r="A203" s="10">
        <v>2010</v>
      </c>
      <c r="B203" s="10">
        <v>10</v>
      </c>
      <c r="C203" s="15">
        <v>59890.509964260098</v>
      </c>
    </row>
    <row r="204" spans="1:3" x14ac:dyDescent="0.25">
      <c r="A204" s="10">
        <v>2010</v>
      </c>
      <c r="B204" s="10">
        <v>11</v>
      </c>
      <c r="C204" s="15">
        <v>65692.180385300599</v>
      </c>
    </row>
    <row r="205" spans="1:3" x14ac:dyDescent="0.25">
      <c r="A205" s="10">
        <v>2010</v>
      </c>
      <c r="B205" s="10">
        <v>12</v>
      </c>
      <c r="C205" s="15">
        <v>68677.783721899599</v>
      </c>
    </row>
    <row r="206" spans="1:3" x14ac:dyDescent="0.25">
      <c r="A206" s="10">
        <v>2011</v>
      </c>
      <c r="B206" s="10">
        <v>1</v>
      </c>
      <c r="C206" s="15">
        <v>67146.214740270298</v>
      </c>
    </row>
    <row r="207" spans="1:3" x14ac:dyDescent="0.25">
      <c r="A207" s="10">
        <v>2011</v>
      </c>
      <c r="B207" s="10">
        <v>2</v>
      </c>
      <c r="C207" s="15">
        <v>49435.264993724602</v>
      </c>
    </row>
    <row r="208" spans="1:3" x14ac:dyDescent="0.25">
      <c r="A208" s="10">
        <v>2011</v>
      </c>
      <c r="B208" s="10">
        <v>3</v>
      </c>
      <c r="C208" s="15">
        <v>65547.928303680601</v>
      </c>
    </row>
    <row r="209" spans="1:3" x14ac:dyDescent="0.25">
      <c r="A209" s="10">
        <v>2011</v>
      </c>
      <c r="B209" s="10">
        <v>4</v>
      </c>
      <c r="C209" s="15">
        <v>71820.732569984903</v>
      </c>
    </row>
    <row r="210" spans="1:3" x14ac:dyDescent="0.25">
      <c r="A210" s="10">
        <v>2011</v>
      </c>
      <c r="B210" s="10">
        <v>5</v>
      </c>
      <c r="C210" s="15">
        <v>74711.396559909394</v>
      </c>
    </row>
    <row r="211" spans="1:3" x14ac:dyDescent="0.25">
      <c r="A211" s="10">
        <v>2011</v>
      </c>
      <c r="B211" s="10">
        <v>6</v>
      </c>
      <c r="C211" s="15">
        <v>74853.999212899507</v>
      </c>
    </row>
    <row r="212" spans="1:3" x14ac:dyDescent="0.25">
      <c r="A212" s="10">
        <v>2011</v>
      </c>
      <c r="B212" s="10">
        <v>7</v>
      </c>
      <c r="C212" s="15">
        <v>69735.627255008803</v>
      </c>
    </row>
    <row r="213" spans="1:3" x14ac:dyDescent="0.25">
      <c r="A213" s="10">
        <v>2011</v>
      </c>
      <c r="B213" s="10">
        <v>8</v>
      </c>
      <c r="C213" s="15">
        <v>74115.270219619502</v>
      </c>
    </row>
    <row r="214" spans="1:3" x14ac:dyDescent="0.25">
      <c r="A214" s="10">
        <v>2011</v>
      </c>
      <c r="B214" s="10">
        <v>9</v>
      </c>
      <c r="C214" s="15">
        <v>69616.176084676903</v>
      </c>
    </row>
    <row r="215" spans="1:3" x14ac:dyDescent="0.25">
      <c r="A215" s="10">
        <v>2011</v>
      </c>
      <c r="B215" s="10">
        <v>10</v>
      </c>
      <c r="C215" s="15">
        <v>65970.213568543099</v>
      </c>
    </row>
    <row r="216" spans="1:3" x14ac:dyDescent="0.25">
      <c r="A216" s="10">
        <v>2011</v>
      </c>
      <c r="B216" s="10">
        <v>11</v>
      </c>
      <c r="C216" s="15">
        <v>65163.608448596598</v>
      </c>
    </row>
    <row r="217" spans="1:3" x14ac:dyDescent="0.25">
      <c r="A217" s="10">
        <v>2011</v>
      </c>
      <c r="B217" s="10">
        <v>12</v>
      </c>
      <c r="C217" s="15">
        <v>57874.666418236797</v>
      </c>
    </row>
    <row r="218" spans="1:3" x14ac:dyDescent="0.25">
      <c r="A218" s="10">
        <v>2012</v>
      </c>
      <c r="B218" s="10">
        <v>1</v>
      </c>
      <c r="C218" s="15">
        <v>62469.703018189801</v>
      </c>
    </row>
    <row r="219" spans="1:3" x14ac:dyDescent="0.25">
      <c r="A219" s="10">
        <v>2012</v>
      </c>
      <c r="B219" s="10">
        <v>2</v>
      </c>
      <c r="C219" s="15">
        <v>61568.899167382799</v>
      </c>
    </row>
    <row r="220" spans="1:3" x14ac:dyDescent="0.25">
      <c r="A220" s="10">
        <v>2012</v>
      </c>
      <c r="B220" s="10">
        <v>3</v>
      </c>
      <c r="C220" s="15">
        <v>63212.204982943098</v>
      </c>
    </row>
    <row r="221" spans="1:3" x14ac:dyDescent="0.25">
      <c r="A221" s="10">
        <v>2012</v>
      </c>
      <c r="B221" s="10">
        <v>4</v>
      </c>
      <c r="C221" s="15">
        <v>54093.591018493702</v>
      </c>
    </row>
    <row r="222" spans="1:3" x14ac:dyDescent="0.25">
      <c r="A222" s="10">
        <v>2012</v>
      </c>
      <c r="B222" s="10">
        <v>5</v>
      </c>
      <c r="C222" s="15">
        <v>54165.712198202898</v>
      </c>
    </row>
    <row r="223" spans="1:3" x14ac:dyDescent="0.25">
      <c r="A223" s="10">
        <v>2012</v>
      </c>
      <c r="B223" s="10">
        <v>6</v>
      </c>
      <c r="C223" s="15">
        <v>48502.662437812098</v>
      </c>
    </row>
    <row r="224" spans="1:3" x14ac:dyDescent="0.25">
      <c r="A224" s="10">
        <v>2012</v>
      </c>
      <c r="B224" s="10">
        <v>7</v>
      </c>
      <c r="C224" s="15">
        <v>63673.797709981598</v>
      </c>
    </row>
    <row r="225" spans="1:3" x14ac:dyDescent="0.25">
      <c r="A225" s="10">
        <v>2012</v>
      </c>
      <c r="B225" s="10">
        <v>8</v>
      </c>
      <c r="C225" s="15">
        <v>70315.236718586501</v>
      </c>
    </row>
    <row r="226" spans="1:3" x14ac:dyDescent="0.25">
      <c r="A226" s="10">
        <v>2012</v>
      </c>
      <c r="B226" s="10">
        <v>9</v>
      </c>
      <c r="C226" s="15">
        <v>61153.517255995997</v>
      </c>
    </row>
    <row r="227" spans="1:3" x14ac:dyDescent="0.25">
      <c r="A227" s="10">
        <v>2012</v>
      </c>
      <c r="B227" s="10">
        <v>10</v>
      </c>
      <c r="C227" s="15">
        <v>68423.4072485652</v>
      </c>
    </row>
    <row r="228" spans="1:3" x14ac:dyDescent="0.25">
      <c r="A228" s="10">
        <v>2012</v>
      </c>
      <c r="B228" s="10">
        <v>11</v>
      </c>
      <c r="C228" s="15">
        <v>68934.409763337797</v>
      </c>
    </row>
    <row r="229" spans="1:3" x14ac:dyDescent="0.25">
      <c r="A229" s="10">
        <v>2012</v>
      </c>
      <c r="B229" s="10">
        <v>12</v>
      </c>
      <c r="C229" s="15">
        <v>69490.500087541703</v>
      </c>
    </row>
    <row r="230" spans="1:3" x14ac:dyDescent="0.25">
      <c r="A230" s="10">
        <v>2013</v>
      </c>
      <c r="B230" s="10">
        <v>1</v>
      </c>
      <c r="C230" s="15">
        <v>64078.225069382097</v>
      </c>
    </row>
    <row r="231" spans="1:3" x14ac:dyDescent="0.25">
      <c r="A231" s="10">
        <v>2013</v>
      </c>
      <c r="B231" s="10">
        <v>2</v>
      </c>
      <c r="C231" s="15">
        <v>57397.1337858158</v>
      </c>
    </row>
    <row r="232" spans="1:3" x14ac:dyDescent="0.25">
      <c r="A232" s="10">
        <v>2013</v>
      </c>
      <c r="B232" s="10">
        <v>3</v>
      </c>
      <c r="C232" s="15">
        <v>73476.544521776304</v>
      </c>
    </row>
    <row r="233" spans="1:3" x14ac:dyDescent="0.25">
      <c r="A233" s="10">
        <v>2013</v>
      </c>
      <c r="B233" s="10">
        <v>4</v>
      </c>
      <c r="C233" s="15">
        <v>71666.109528853005</v>
      </c>
    </row>
    <row r="234" spans="1:3" x14ac:dyDescent="0.25">
      <c r="A234" s="10">
        <v>2013</v>
      </c>
      <c r="B234" s="10">
        <v>5</v>
      </c>
      <c r="C234" s="15">
        <v>73870.091178176095</v>
      </c>
    </row>
    <row r="235" spans="1:3" x14ac:dyDescent="0.25">
      <c r="A235" s="10">
        <v>2013</v>
      </c>
      <c r="B235" s="10">
        <v>6</v>
      </c>
      <c r="C235" s="15">
        <v>59534.045081878998</v>
      </c>
    </row>
    <row r="236" spans="1:3" x14ac:dyDescent="0.25">
      <c r="A236" s="10">
        <v>2013</v>
      </c>
      <c r="B236" s="10">
        <v>7</v>
      </c>
      <c r="C236" s="15">
        <v>68153.6465467745</v>
      </c>
    </row>
    <row r="237" spans="1:3" x14ac:dyDescent="0.25">
      <c r="A237" s="10">
        <v>2013</v>
      </c>
      <c r="B237" s="10">
        <v>8</v>
      </c>
      <c r="C237" s="15">
        <v>62413.848462950198</v>
      </c>
    </row>
    <row r="238" spans="1:3" x14ac:dyDescent="0.25">
      <c r="A238" s="10">
        <v>2013</v>
      </c>
      <c r="B238" s="10">
        <v>9</v>
      </c>
      <c r="C238" s="15">
        <v>62943.128149546603</v>
      </c>
    </row>
    <row r="239" spans="1:3" x14ac:dyDescent="0.25">
      <c r="A239" s="10">
        <v>2013</v>
      </c>
      <c r="B239" s="10">
        <v>10</v>
      </c>
      <c r="C239" s="15">
        <v>64329.999856469498</v>
      </c>
    </row>
    <row r="240" spans="1:3" x14ac:dyDescent="0.25">
      <c r="A240" s="10">
        <v>2013</v>
      </c>
      <c r="B240" s="10">
        <v>11</v>
      </c>
      <c r="C240" s="15">
        <v>54515.582901117603</v>
      </c>
    </row>
    <row r="241" spans="1:3" x14ac:dyDescent="0.25">
      <c r="A241" s="10">
        <v>2013</v>
      </c>
      <c r="B241" s="10">
        <v>12</v>
      </c>
      <c r="C241" s="15">
        <v>52528.969764960697</v>
      </c>
    </row>
    <row r="242" spans="1:3" x14ac:dyDescent="0.25">
      <c r="A242" s="10">
        <v>2014</v>
      </c>
      <c r="B242" s="10">
        <v>1</v>
      </c>
      <c r="C242" s="15">
        <v>56051.655629103298</v>
      </c>
    </row>
    <row r="243" spans="1:3" x14ac:dyDescent="0.25">
      <c r="A243" s="10">
        <v>2014</v>
      </c>
      <c r="B243" s="10">
        <v>2</v>
      </c>
      <c r="C243" s="15">
        <v>55789.501544983999</v>
      </c>
    </row>
    <row r="244" spans="1:3" x14ac:dyDescent="0.25">
      <c r="A244" s="10">
        <v>2014</v>
      </c>
      <c r="B244" s="10">
        <v>3</v>
      </c>
      <c r="C244" s="15">
        <v>52616.998738234601</v>
      </c>
    </row>
    <row r="245" spans="1:3" x14ac:dyDescent="0.25">
      <c r="A245" s="10">
        <v>2014</v>
      </c>
      <c r="B245" s="10">
        <v>4</v>
      </c>
      <c r="C245" s="15">
        <v>55030.393740624902</v>
      </c>
    </row>
    <row r="246" spans="1:3" x14ac:dyDescent="0.25">
      <c r="A246" s="10">
        <v>2014</v>
      </c>
      <c r="B246" s="10">
        <v>5</v>
      </c>
      <c r="C246" s="15">
        <v>47335.090102884802</v>
      </c>
    </row>
    <row r="247" spans="1:3" x14ac:dyDescent="0.25">
      <c r="A247" s="10">
        <v>2014</v>
      </c>
      <c r="B247" s="10">
        <v>6</v>
      </c>
      <c r="C247" s="15">
        <v>45904.680354599601</v>
      </c>
    </row>
    <row r="248" spans="1:3" x14ac:dyDescent="0.25">
      <c r="A248" s="10">
        <v>2014</v>
      </c>
      <c r="B248" s="10">
        <v>7</v>
      </c>
      <c r="C248" s="15">
        <v>45972.646024636502</v>
      </c>
    </row>
    <row r="249" spans="1:3" x14ac:dyDescent="0.25">
      <c r="A249" s="10">
        <v>2014</v>
      </c>
      <c r="B249" s="10">
        <v>8</v>
      </c>
      <c r="C249" s="15">
        <v>41965.030595799501</v>
      </c>
    </row>
    <row r="250" spans="1:3" x14ac:dyDescent="0.25">
      <c r="A250" s="10">
        <v>2014</v>
      </c>
      <c r="B250" s="10">
        <v>9</v>
      </c>
      <c r="C250" s="15">
        <v>48636.535129238997</v>
      </c>
    </row>
    <row r="251" spans="1:3" x14ac:dyDescent="0.25">
      <c r="A251" s="10">
        <v>2014</v>
      </c>
      <c r="B251" s="10">
        <v>10</v>
      </c>
      <c r="C251" s="15">
        <v>50695.788661860301</v>
      </c>
    </row>
    <row r="252" spans="1:3" x14ac:dyDescent="0.25">
      <c r="A252" s="10">
        <v>2014</v>
      </c>
      <c r="B252" s="10">
        <v>11</v>
      </c>
      <c r="C252" s="15">
        <v>49334.613905199098</v>
      </c>
    </row>
    <row r="253" spans="1:3" x14ac:dyDescent="0.25">
      <c r="A253" s="10">
        <v>2014</v>
      </c>
      <c r="B253" s="10">
        <v>12</v>
      </c>
      <c r="C253" s="15">
        <v>48198.459265227997</v>
      </c>
    </row>
    <row r="254" spans="1:3" x14ac:dyDescent="0.25">
      <c r="A254" s="10">
        <v>2015</v>
      </c>
      <c r="B254" s="10">
        <v>1</v>
      </c>
      <c r="C254" s="15">
        <v>46477.856935967699</v>
      </c>
    </row>
    <row r="255" spans="1:3" x14ac:dyDescent="0.25">
      <c r="A255" s="10">
        <v>2015</v>
      </c>
      <c r="B255" s="10">
        <v>2</v>
      </c>
      <c r="C255" s="15">
        <v>48382.937726110104</v>
      </c>
    </row>
    <row r="256" spans="1:3" x14ac:dyDescent="0.25">
      <c r="A256" s="10">
        <v>2015</v>
      </c>
      <c r="B256" s="10">
        <v>3</v>
      </c>
      <c r="C256" s="15">
        <v>45646.678320100298</v>
      </c>
    </row>
    <row r="257" spans="1:3" x14ac:dyDescent="0.25">
      <c r="A257" s="10">
        <v>2015</v>
      </c>
      <c r="B257" s="10">
        <v>4</v>
      </c>
      <c r="C257" s="15">
        <v>41721.853329641301</v>
      </c>
    </row>
    <row r="258" spans="1:3" x14ac:dyDescent="0.25">
      <c r="A258" s="10">
        <v>2015</v>
      </c>
      <c r="B258" s="10">
        <v>5</v>
      </c>
      <c r="C258" s="15">
        <v>43619.917432346898</v>
      </c>
    </row>
    <row r="259" spans="1:3" x14ac:dyDescent="0.25">
      <c r="A259" s="10">
        <v>2015</v>
      </c>
      <c r="B259" s="10">
        <v>6</v>
      </c>
      <c r="C259" s="15">
        <v>47898.930567304502</v>
      </c>
    </row>
    <row r="260" spans="1:3" x14ac:dyDescent="0.25">
      <c r="A260" s="10">
        <v>2015</v>
      </c>
      <c r="B260" s="10">
        <v>7</v>
      </c>
      <c r="C260" s="15">
        <v>42309.152016315697</v>
      </c>
    </row>
    <row r="261" spans="1:3" x14ac:dyDescent="0.25">
      <c r="A261" s="10">
        <v>2015</v>
      </c>
      <c r="B261" s="10">
        <v>8</v>
      </c>
      <c r="C261" s="15">
        <v>45260.708902999897</v>
      </c>
    </row>
    <row r="262" spans="1:3" x14ac:dyDescent="0.25">
      <c r="A262" s="10">
        <v>2015</v>
      </c>
      <c r="B262" s="10">
        <v>9</v>
      </c>
      <c r="C262" s="15">
        <v>45723.119275109799</v>
      </c>
    </row>
    <row r="263" spans="1:3" x14ac:dyDescent="0.25">
      <c r="A263" s="10">
        <v>2015</v>
      </c>
      <c r="B263" s="10">
        <v>10</v>
      </c>
      <c r="C263" s="15">
        <v>39395.217060926101</v>
      </c>
    </row>
    <row r="264" spans="1:3" x14ac:dyDescent="0.25">
      <c r="A264" s="10">
        <v>2015</v>
      </c>
      <c r="B264" s="10">
        <v>11</v>
      </c>
      <c r="C264" s="15">
        <v>40837.662599210598</v>
      </c>
    </row>
    <row r="265" spans="1:3" x14ac:dyDescent="0.25">
      <c r="A265" s="10">
        <v>2015</v>
      </c>
      <c r="B265" s="10">
        <v>12</v>
      </c>
      <c r="C265" s="15">
        <v>39680.085426068697</v>
      </c>
    </row>
    <row r="266" spans="1:3" x14ac:dyDescent="0.25">
      <c r="A266" s="10">
        <v>2016</v>
      </c>
      <c r="B266" s="10">
        <v>1</v>
      </c>
      <c r="C266" s="15">
        <v>39366.559798885799</v>
      </c>
    </row>
    <row r="267" spans="1:3" x14ac:dyDescent="0.25">
      <c r="A267" s="10">
        <v>2016</v>
      </c>
      <c r="B267" s="10">
        <v>2</v>
      </c>
      <c r="C267" s="15">
        <v>38186.221531564603</v>
      </c>
    </row>
    <row r="268" spans="1:3" x14ac:dyDescent="0.25">
      <c r="A268" s="10">
        <v>2016</v>
      </c>
      <c r="B268" s="10">
        <v>3</v>
      </c>
      <c r="C268" s="15">
        <v>40701.395122104201</v>
      </c>
    </row>
    <row r="269" spans="1:3" x14ac:dyDescent="0.25">
      <c r="A269" s="10">
        <v>2016</v>
      </c>
      <c r="B269" s="10">
        <v>4</v>
      </c>
      <c r="C269" s="15">
        <v>42534.928278416599</v>
      </c>
    </row>
    <row r="270" spans="1:3" x14ac:dyDescent="0.25">
      <c r="A270" s="10">
        <v>2016</v>
      </c>
      <c r="B270" s="10">
        <v>5</v>
      </c>
      <c r="C270" s="15">
        <v>37639.652163318402</v>
      </c>
    </row>
    <row r="271" spans="1:3" x14ac:dyDescent="0.25">
      <c r="A271" s="10">
        <v>2016</v>
      </c>
      <c r="B271" s="10">
        <v>6</v>
      </c>
      <c r="C271" s="15">
        <v>37884.898765370403</v>
      </c>
    </row>
    <row r="272" spans="1:3" x14ac:dyDescent="0.25">
      <c r="A272" s="10">
        <v>2016</v>
      </c>
      <c r="B272" s="10">
        <v>7</v>
      </c>
      <c r="C272" s="15">
        <v>39719.580040667701</v>
      </c>
    </row>
    <row r="273" spans="1:3" x14ac:dyDescent="0.25">
      <c r="A273" s="10">
        <v>2016</v>
      </c>
      <c r="B273" s="10">
        <v>8</v>
      </c>
      <c r="C273" s="15">
        <v>38030.512308089201</v>
      </c>
    </row>
    <row r="274" spans="1:3" x14ac:dyDescent="0.25">
      <c r="A274" s="10">
        <v>2016</v>
      </c>
      <c r="B274" s="10">
        <v>9</v>
      </c>
      <c r="C274" s="15">
        <v>35879.186180938203</v>
      </c>
    </row>
    <row r="275" spans="1:3" x14ac:dyDescent="0.25">
      <c r="A275" s="10">
        <v>2016</v>
      </c>
      <c r="B275" s="10">
        <v>10</v>
      </c>
      <c r="C275" s="15">
        <v>34530.769938506601</v>
      </c>
    </row>
    <row r="276" spans="1:3" x14ac:dyDescent="0.25">
      <c r="A276" s="10">
        <v>2016</v>
      </c>
      <c r="B276" s="10">
        <v>11</v>
      </c>
      <c r="C276" s="15">
        <v>41543.307916480597</v>
      </c>
    </row>
    <row r="277" spans="1:3" x14ac:dyDescent="0.25">
      <c r="A277" s="10">
        <v>2016</v>
      </c>
      <c r="B277" s="10">
        <v>12</v>
      </c>
      <c r="C277" s="15">
        <v>48958.782819155902</v>
      </c>
    </row>
    <row r="278" spans="1:3" x14ac:dyDescent="0.25">
      <c r="A278" s="10">
        <v>2017</v>
      </c>
      <c r="B278" s="10">
        <v>1</v>
      </c>
      <c r="C278" s="15">
        <v>45412.244800547</v>
      </c>
    </row>
    <row r="279" spans="1:3" x14ac:dyDescent="0.25">
      <c r="A279" s="10">
        <v>2017</v>
      </c>
      <c r="B279" s="10">
        <v>2</v>
      </c>
      <c r="C279" s="15">
        <v>29031.480278096398</v>
      </c>
    </row>
    <row r="280" spans="1:3" x14ac:dyDescent="0.25">
      <c r="A280" s="10">
        <v>2017</v>
      </c>
      <c r="B280" s="10">
        <v>3</v>
      </c>
      <c r="C280" s="15">
        <v>34230.996446807301</v>
      </c>
    </row>
    <row r="281" spans="1:3" x14ac:dyDescent="0.25">
      <c r="A281" s="10">
        <v>2017</v>
      </c>
      <c r="B281" s="10">
        <v>4</v>
      </c>
      <c r="C281" s="15">
        <v>37111.6417972778</v>
      </c>
    </row>
    <row r="282" spans="1:3" x14ac:dyDescent="0.25">
      <c r="A282" s="10">
        <v>2017</v>
      </c>
      <c r="B282" s="10">
        <v>5</v>
      </c>
      <c r="C282" s="15">
        <v>42056.331617670498</v>
      </c>
    </row>
    <row r="283" spans="1:3" x14ac:dyDescent="0.25">
      <c r="A283" s="10">
        <v>2017</v>
      </c>
      <c r="B283" s="10">
        <v>6</v>
      </c>
      <c r="C283" s="15">
        <v>42593.971547791603</v>
      </c>
    </row>
    <row r="284" spans="1:3" x14ac:dyDescent="0.25">
      <c r="A284" s="10">
        <v>2017</v>
      </c>
      <c r="B284" s="10">
        <v>7</v>
      </c>
      <c r="C284" s="15">
        <v>40177.488968011901</v>
      </c>
    </row>
    <row r="285" spans="1:3" x14ac:dyDescent="0.25">
      <c r="A285" s="10">
        <v>2017</v>
      </c>
      <c r="B285" s="10">
        <v>8</v>
      </c>
      <c r="C285" s="15">
        <v>38862.731641992097</v>
      </c>
    </row>
    <row r="286" spans="1:3" x14ac:dyDescent="0.25">
      <c r="A286" s="10">
        <v>2017</v>
      </c>
      <c r="B286" s="10">
        <v>9</v>
      </c>
      <c r="C286" s="15">
        <v>42442.909568156203</v>
      </c>
    </row>
    <row r="287" spans="1:3" x14ac:dyDescent="0.25">
      <c r="A287" s="10">
        <v>2017</v>
      </c>
      <c r="B287" s="10">
        <v>10</v>
      </c>
      <c r="C287" s="15">
        <v>40249.303724113299</v>
      </c>
    </row>
    <row r="288" spans="1:3" x14ac:dyDescent="0.25">
      <c r="A288" s="10">
        <v>2017</v>
      </c>
      <c r="B288" s="10">
        <v>11</v>
      </c>
      <c r="C288" s="15">
        <v>40292.361138446402</v>
      </c>
    </row>
    <row r="289" spans="1:3" x14ac:dyDescent="0.25">
      <c r="A289" s="10">
        <v>2017</v>
      </c>
      <c r="B289" s="10">
        <v>12</v>
      </c>
      <c r="C289" s="15">
        <v>42582.976644620801</v>
      </c>
    </row>
    <row r="290" spans="1:3" x14ac:dyDescent="0.25">
      <c r="A290" s="10">
        <v>2018</v>
      </c>
      <c r="B290" s="10">
        <v>1</v>
      </c>
      <c r="C290" s="15">
        <v>37248.3083929145</v>
      </c>
    </row>
    <row r="291" spans="1:3" x14ac:dyDescent="0.25">
      <c r="A291" s="10">
        <v>2018</v>
      </c>
      <c r="B291" s="10">
        <v>2</v>
      </c>
      <c r="C291" s="15">
        <v>42239.113794995603</v>
      </c>
    </row>
    <row r="292" spans="1:3" x14ac:dyDescent="0.25">
      <c r="A292" s="10">
        <v>2018</v>
      </c>
      <c r="B292" s="10">
        <v>3</v>
      </c>
      <c r="C292" s="15">
        <v>45514.485708344298</v>
      </c>
    </row>
    <row r="293" spans="1:3" x14ac:dyDescent="0.25">
      <c r="A293" s="10">
        <v>2018</v>
      </c>
      <c r="B293" s="10">
        <v>4</v>
      </c>
      <c r="C293" s="15">
        <v>44606.331567936701</v>
      </c>
    </row>
    <row r="294" spans="1:3" x14ac:dyDescent="0.25">
      <c r="A294" s="10">
        <v>2018</v>
      </c>
      <c r="B294" s="10">
        <v>5</v>
      </c>
      <c r="C294" s="15">
        <v>43805.940191779002</v>
      </c>
    </row>
    <row r="295" spans="1:3" x14ac:dyDescent="0.25">
      <c r="A295" s="10">
        <v>2018</v>
      </c>
      <c r="B295" s="10">
        <v>6</v>
      </c>
      <c r="C295" s="15">
        <v>38502.513397318602</v>
      </c>
    </row>
    <row r="296" spans="1:3" x14ac:dyDescent="0.25">
      <c r="A296" s="10">
        <v>2018</v>
      </c>
      <c r="B296" s="10">
        <v>7</v>
      </c>
      <c r="C296" s="15">
        <v>42146.527036136897</v>
      </c>
    </row>
    <row r="297" spans="1:3" x14ac:dyDescent="0.25">
      <c r="A297" s="10">
        <v>2018</v>
      </c>
      <c r="B297" s="10">
        <v>8</v>
      </c>
      <c r="C297" s="15">
        <v>42482.296617227999</v>
      </c>
    </row>
    <row r="298" spans="1:3" x14ac:dyDescent="0.25">
      <c r="A298" s="10">
        <v>2018</v>
      </c>
      <c r="B298" s="10">
        <v>9</v>
      </c>
      <c r="C298" s="15">
        <v>34478.898630876603</v>
      </c>
    </row>
    <row r="299" spans="1:3" x14ac:dyDescent="0.25">
      <c r="A299" s="10">
        <v>2018</v>
      </c>
      <c r="B299" s="10">
        <v>10</v>
      </c>
      <c r="C299" s="15">
        <v>34313.565745772103</v>
      </c>
    </row>
    <row r="300" spans="1:3" x14ac:dyDescent="0.25">
      <c r="A300" s="10">
        <v>2018</v>
      </c>
      <c r="B300" s="10">
        <v>11</v>
      </c>
      <c r="C300" s="15">
        <v>32626.1103244529</v>
      </c>
    </row>
    <row r="301" spans="1:3" x14ac:dyDescent="0.25">
      <c r="A301" s="10">
        <v>2018</v>
      </c>
      <c r="B301" s="10">
        <v>12</v>
      </c>
      <c r="C301" s="15">
        <v>28948.8250322811</v>
      </c>
    </row>
    <row r="302" spans="1:3" x14ac:dyDescent="0.25">
      <c r="A302" s="10">
        <v>2019</v>
      </c>
      <c r="B302" s="10">
        <v>1</v>
      </c>
      <c r="C302" s="15">
        <v>28263.429422887901</v>
      </c>
    </row>
    <row r="303" spans="1:3" x14ac:dyDescent="0.25">
      <c r="A303" s="10">
        <v>2019</v>
      </c>
      <c r="B303" s="10">
        <v>2</v>
      </c>
      <c r="C303" s="15">
        <v>35957.407332746901</v>
      </c>
    </row>
    <row r="304" spans="1:3" x14ac:dyDescent="0.25">
      <c r="A304" s="10">
        <v>2019</v>
      </c>
      <c r="B304" s="10">
        <v>3</v>
      </c>
      <c r="C304" s="15">
        <v>25882.807084667798</v>
      </c>
    </row>
    <row r="305" spans="1:3" x14ac:dyDescent="0.25">
      <c r="A305" s="10">
        <v>2019</v>
      </c>
      <c r="B305" s="10">
        <v>4</v>
      </c>
      <c r="C305" s="15">
        <v>28391.4526751052</v>
      </c>
    </row>
    <row r="306" spans="1:3" x14ac:dyDescent="0.25">
      <c r="A306" s="10">
        <v>2019</v>
      </c>
      <c r="B306" s="10">
        <v>5</v>
      </c>
      <c r="C306" s="15">
        <v>27942.155160514802</v>
      </c>
    </row>
    <row r="307" spans="1:3" x14ac:dyDescent="0.25">
      <c r="A307" s="10">
        <v>2019</v>
      </c>
      <c r="B307" s="10">
        <v>6</v>
      </c>
      <c r="C307" s="15">
        <v>25221.720533130301</v>
      </c>
    </row>
    <row r="308" spans="1:3" x14ac:dyDescent="0.25">
      <c r="A308" s="10">
        <v>2019</v>
      </c>
      <c r="B308" s="10">
        <v>7</v>
      </c>
      <c r="C308" s="15">
        <v>20723.425383722701</v>
      </c>
    </row>
    <row r="309" spans="1:3" x14ac:dyDescent="0.25">
      <c r="A309" s="10">
        <v>2019</v>
      </c>
      <c r="B309" s="10">
        <v>8</v>
      </c>
      <c r="C309" s="15">
        <v>25012.213709157499</v>
      </c>
    </row>
    <row r="310" spans="1:3" x14ac:dyDescent="0.25">
      <c r="A310" s="10">
        <v>2019</v>
      </c>
      <c r="B310" s="10">
        <v>9</v>
      </c>
      <c r="C310" s="15">
        <v>23884.660432957298</v>
      </c>
    </row>
    <row r="311" spans="1:3" x14ac:dyDescent="0.25">
      <c r="A311" s="10">
        <v>2019</v>
      </c>
      <c r="B311" s="10">
        <v>10</v>
      </c>
      <c r="C311" s="15">
        <v>27761.645019089901</v>
      </c>
    </row>
    <row r="312" spans="1:3" x14ac:dyDescent="0.25">
      <c r="A312" s="10">
        <v>2019</v>
      </c>
      <c r="B312" s="10">
        <v>11</v>
      </c>
      <c r="C312" s="15">
        <v>24686.531495184801</v>
      </c>
    </row>
    <row r="313" spans="1:3" x14ac:dyDescent="0.25">
      <c r="A313" s="10">
        <v>2019</v>
      </c>
      <c r="B313" s="10">
        <v>12</v>
      </c>
      <c r="C313" s="15">
        <v>21062.539642519299</v>
      </c>
    </row>
    <row r="314" spans="1:3" x14ac:dyDescent="0.25">
      <c r="A314" s="10">
        <v>2020</v>
      </c>
      <c r="B314" s="10">
        <v>1</v>
      </c>
      <c r="C314" s="15">
        <v>32513.441821032698</v>
      </c>
    </row>
    <row r="315" spans="1:3" x14ac:dyDescent="0.25">
      <c r="A315" s="10">
        <v>2020</v>
      </c>
      <c r="B315" s="10">
        <v>2</v>
      </c>
      <c r="C315" s="15">
        <v>31260.611647555499</v>
      </c>
    </row>
    <row r="316" spans="1:3" x14ac:dyDescent="0.25">
      <c r="A316" s="10">
        <v>2020</v>
      </c>
      <c r="B316" s="10">
        <v>3</v>
      </c>
      <c r="C316" s="15">
        <v>14133.5764760073</v>
      </c>
    </row>
    <row r="317" spans="1:3" x14ac:dyDescent="0.25">
      <c r="A317" s="10">
        <v>2020</v>
      </c>
      <c r="B317" s="10">
        <v>4</v>
      </c>
      <c r="C317" s="15">
        <v>-1126.27991450237</v>
      </c>
    </row>
    <row r="318" spans="1:3" x14ac:dyDescent="0.25">
      <c r="A318" s="10">
        <v>2020</v>
      </c>
      <c r="B318" s="10">
        <v>5</v>
      </c>
      <c r="C318" s="15">
        <v>5618.6212822707203</v>
      </c>
    </row>
    <row r="319" spans="1:3" x14ac:dyDescent="0.25">
      <c r="A319" s="10">
        <v>2020</v>
      </c>
      <c r="B319" s="10">
        <v>6</v>
      </c>
      <c r="C319" s="15">
        <v>14709.8345629138</v>
      </c>
    </row>
    <row r="320" spans="1:3" x14ac:dyDescent="0.25">
      <c r="A320" s="10">
        <v>2020</v>
      </c>
      <c r="B320" s="10">
        <v>7</v>
      </c>
      <c r="C320" s="15">
        <v>20404.4859523632</v>
      </c>
    </row>
    <row r="321" spans="1:3" x14ac:dyDescent="0.25">
      <c r="A321" s="10">
        <v>2020</v>
      </c>
      <c r="B321" s="10">
        <v>8</v>
      </c>
      <c r="C321" s="15">
        <v>21293.330503072099</v>
      </c>
    </row>
    <row r="322" spans="1:3" x14ac:dyDescent="0.25">
      <c r="A322" s="10">
        <v>2020</v>
      </c>
      <c r="B322" s="10">
        <v>9</v>
      </c>
      <c r="C322" s="15">
        <v>27006.007297323798</v>
      </c>
    </row>
    <row r="323" spans="1:3" x14ac:dyDescent="0.25">
      <c r="A323" s="10">
        <v>2020</v>
      </c>
      <c r="B323" s="10">
        <v>10</v>
      </c>
      <c r="C323" s="15">
        <v>26032.524570645299</v>
      </c>
    </row>
    <row r="324" spans="1:3" x14ac:dyDescent="0.25">
      <c r="A324" s="10">
        <v>2020</v>
      </c>
      <c r="B324" s="10">
        <v>11</v>
      </c>
      <c r="C324" s="15">
        <v>30527.491543016899</v>
      </c>
    </row>
    <row r="325" spans="1:3" x14ac:dyDescent="0.25">
      <c r="A325" s="10">
        <v>2020</v>
      </c>
      <c r="B325" s="10">
        <v>12</v>
      </c>
      <c r="C325" s="15">
        <v>35010.499439430903</v>
      </c>
    </row>
    <row r="326" spans="1:3" x14ac:dyDescent="0.25">
      <c r="A326" s="10">
        <v>2021</v>
      </c>
      <c r="B326" s="10">
        <v>1</v>
      </c>
      <c r="C326" s="15">
        <v>37646.959067348304</v>
      </c>
    </row>
    <row r="327" spans="1:3" x14ac:dyDescent="0.25">
      <c r="A327" s="10">
        <v>2021</v>
      </c>
      <c r="B327" s="10">
        <v>2</v>
      </c>
      <c r="C327" s="15">
        <v>25644.675186117202</v>
      </c>
    </row>
    <row r="328" spans="1:3" x14ac:dyDescent="0.25">
      <c r="A328" s="10">
        <v>2021</v>
      </c>
      <c r="B328" s="10">
        <v>3</v>
      </c>
      <c r="C328" s="15">
        <v>36379.430783133903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745E-AD26-4BB4-9905-3E6D6DCBE061}">
  <dimension ref="A1:I360"/>
  <sheetViews>
    <sheetView workbookViewId="0">
      <selection activeCell="I2" sqref="I2:I360"/>
    </sheetView>
  </sheetViews>
  <sheetFormatPr baseColWidth="10" defaultColWidth="11.42578125" defaultRowHeight="15" x14ac:dyDescent="0.25"/>
  <cols>
    <col min="3" max="3" width="11.42578125" style="16"/>
  </cols>
  <sheetData>
    <row r="1" spans="1:9" ht="42.75" x14ac:dyDescent="0.25">
      <c r="A1" s="9" t="s">
        <v>38</v>
      </c>
      <c r="B1" s="9" t="s">
        <v>34</v>
      </c>
      <c r="C1" s="14" t="s">
        <v>41</v>
      </c>
      <c r="G1" s="20" t="s">
        <v>38</v>
      </c>
      <c r="H1" s="20" t="s">
        <v>34</v>
      </c>
      <c r="I1" s="20" t="s">
        <v>35</v>
      </c>
    </row>
    <row r="2" spans="1:9" x14ac:dyDescent="0.25">
      <c r="A2" s="10">
        <v>1994</v>
      </c>
      <c r="B2" s="10">
        <v>1</v>
      </c>
      <c r="C2" s="15">
        <v>51232.887591694598</v>
      </c>
      <c r="G2" s="21">
        <v>1994</v>
      </c>
      <c r="H2" s="21">
        <v>1</v>
      </c>
      <c r="I2" s="21">
        <v>53543.001067696998</v>
      </c>
    </row>
    <row r="3" spans="1:9" x14ac:dyDescent="0.25">
      <c r="A3" s="10">
        <v>1994</v>
      </c>
      <c r="B3" s="10">
        <v>2</v>
      </c>
      <c r="C3" s="15">
        <v>10891.073108001399</v>
      </c>
      <c r="G3" s="21">
        <v>1994</v>
      </c>
      <c r="H3" s="21">
        <v>2</v>
      </c>
      <c r="I3" s="21">
        <v>12741.7002445869</v>
      </c>
    </row>
    <row r="4" spans="1:9" x14ac:dyDescent="0.25">
      <c r="A4" s="10">
        <v>1994</v>
      </c>
      <c r="B4" s="10">
        <v>3</v>
      </c>
      <c r="C4" s="15">
        <v>29022.413365194399</v>
      </c>
      <c r="G4" s="21">
        <v>1994</v>
      </c>
      <c r="H4" s="21">
        <v>3</v>
      </c>
      <c r="I4" s="21">
        <v>27905.496326626599</v>
      </c>
    </row>
    <row r="5" spans="1:9" x14ac:dyDescent="0.25">
      <c r="A5" s="10">
        <v>1994</v>
      </c>
      <c r="B5" s="10">
        <v>4</v>
      </c>
      <c r="C5" s="15">
        <v>34485.267653146097</v>
      </c>
      <c r="G5" s="21">
        <v>1994</v>
      </c>
      <c r="H5" s="21">
        <v>4</v>
      </c>
      <c r="I5" s="21">
        <v>34427.3460995637</v>
      </c>
    </row>
    <row r="6" spans="1:9" x14ac:dyDescent="0.25">
      <c r="A6" s="10">
        <v>1994</v>
      </c>
      <c r="B6" s="10">
        <v>5</v>
      </c>
      <c r="C6" s="15">
        <v>30552.287136219999</v>
      </c>
      <c r="G6" s="21">
        <v>1994</v>
      </c>
      <c r="H6" s="21">
        <v>5</v>
      </c>
      <c r="I6" s="21">
        <v>29648.823169294301</v>
      </c>
    </row>
    <row r="7" spans="1:9" x14ac:dyDescent="0.25">
      <c r="A7" s="10">
        <v>1994</v>
      </c>
      <c r="B7" s="10">
        <v>6</v>
      </c>
      <c r="C7" s="15">
        <v>32339.6767468295</v>
      </c>
      <c r="G7" s="21">
        <v>1994</v>
      </c>
      <c r="H7" s="21">
        <v>6</v>
      </c>
      <c r="I7" s="21">
        <v>31831.112402781699</v>
      </c>
    </row>
    <row r="8" spans="1:9" x14ac:dyDescent="0.25">
      <c r="A8" s="10">
        <v>1994</v>
      </c>
      <c r="B8" s="10">
        <v>7</v>
      </c>
      <c r="C8" s="15">
        <v>32896.253720372697</v>
      </c>
      <c r="G8" s="21">
        <v>1994</v>
      </c>
      <c r="H8" s="21">
        <v>7</v>
      </c>
      <c r="I8" s="21">
        <v>32792.934317793799</v>
      </c>
    </row>
    <row r="9" spans="1:9" x14ac:dyDescent="0.25">
      <c r="A9" s="10">
        <v>1994</v>
      </c>
      <c r="B9" s="10">
        <v>8</v>
      </c>
      <c r="C9" s="15">
        <v>35086.198810018097</v>
      </c>
      <c r="G9" s="21">
        <v>1994</v>
      </c>
      <c r="H9" s="21">
        <v>8</v>
      </c>
      <c r="I9" s="21">
        <v>34841.138501378198</v>
      </c>
    </row>
    <row r="10" spans="1:9" x14ac:dyDescent="0.25">
      <c r="A10" s="10">
        <v>1994</v>
      </c>
      <c r="B10" s="10">
        <v>9</v>
      </c>
      <c r="C10" s="15">
        <v>36347.602257373102</v>
      </c>
      <c r="G10" s="21">
        <v>1994</v>
      </c>
      <c r="H10" s="21">
        <v>9</v>
      </c>
      <c r="I10" s="21">
        <v>36101.499905500197</v>
      </c>
    </row>
    <row r="11" spans="1:9" x14ac:dyDescent="0.25">
      <c r="A11" s="10">
        <v>1994</v>
      </c>
      <c r="B11" s="10">
        <v>10</v>
      </c>
      <c r="C11" s="15">
        <v>34197.535801777398</v>
      </c>
      <c r="G11" s="21">
        <v>1994</v>
      </c>
      <c r="H11" s="21">
        <v>10</v>
      </c>
      <c r="I11" s="21">
        <v>34138.985403236999</v>
      </c>
    </row>
    <row r="12" spans="1:9" x14ac:dyDescent="0.25">
      <c r="A12" s="10">
        <v>1994</v>
      </c>
      <c r="B12" s="10">
        <v>11</v>
      </c>
      <c r="C12" s="15">
        <v>33762.928512142797</v>
      </c>
      <c r="G12" s="21">
        <v>1994</v>
      </c>
      <c r="H12" s="21">
        <v>11</v>
      </c>
      <c r="I12" s="21">
        <v>33627.973837191901</v>
      </c>
    </row>
    <row r="13" spans="1:9" x14ac:dyDescent="0.25">
      <c r="A13" s="10">
        <v>1994</v>
      </c>
      <c r="B13" s="10">
        <v>12</v>
      </c>
      <c r="C13" s="15">
        <v>33101.270882362303</v>
      </c>
      <c r="G13" s="21">
        <v>1994</v>
      </c>
      <c r="H13" s="21">
        <v>12</v>
      </c>
      <c r="I13" s="21">
        <v>32925.261398476003</v>
      </c>
    </row>
    <row r="14" spans="1:9" x14ac:dyDescent="0.25">
      <c r="A14" s="10">
        <v>1995</v>
      </c>
      <c r="B14" s="10">
        <v>1</v>
      </c>
      <c r="C14" s="15">
        <v>24684.908065179901</v>
      </c>
      <c r="G14" s="21">
        <v>1995</v>
      </c>
      <c r="H14" s="21">
        <v>1</v>
      </c>
      <c r="I14" s="21">
        <v>26668.9829304989</v>
      </c>
    </row>
    <row r="15" spans="1:9" x14ac:dyDescent="0.25">
      <c r="A15" s="10">
        <v>1995</v>
      </c>
      <c r="B15" s="10">
        <v>2</v>
      </c>
      <c r="C15" s="15">
        <v>35363.137631225603</v>
      </c>
      <c r="G15" s="21">
        <v>1995</v>
      </c>
      <c r="H15" s="21">
        <v>2</v>
      </c>
      <c r="I15" s="21">
        <v>37010.830197194497</v>
      </c>
    </row>
    <row r="16" spans="1:9" x14ac:dyDescent="0.25">
      <c r="A16" s="10">
        <v>1995</v>
      </c>
      <c r="B16" s="10">
        <v>3</v>
      </c>
      <c r="C16" s="15">
        <v>31057.7782306714</v>
      </c>
      <c r="G16" s="21">
        <v>1995</v>
      </c>
      <c r="H16" s="21">
        <v>3</v>
      </c>
      <c r="I16" s="21">
        <v>30063.335200080201</v>
      </c>
    </row>
    <row r="17" spans="1:9" x14ac:dyDescent="0.25">
      <c r="A17" s="10">
        <v>1995</v>
      </c>
      <c r="B17" s="10">
        <v>4</v>
      </c>
      <c r="C17" s="15">
        <v>25151.4826942041</v>
      </c>
      <c r="G17" s="21">
        <v>1995</v>
      </c>
      <c r="H17" s="21">
        <v>4</v>
      </c>
      <c r="I17" s="21">
        <v>25233.2349277063</v>
      </c>
    </row>
    <row r="18" spans="1:9" x14ac:dyDescent="0.25">
      <c r="A18" s="10">
        <v>1995</v>
      </c>
      <c r="B18" s="10">
        <v>5</v>
      </c>
      <c r="C18" s="15">
        <v>26162.2863333245</v>
      </c>
      <c r="G18" s="21">
        <v>1995</v>
      </c>
      <c r="H18" s="21">
        <v>5</v>
      </c>
      <c r="I18" s="21">
        <v>25230.5590877875</v>
      </c>
    </row>
    <row r="19" spans="1:9" x14ac:dyDescent="0.25">
      <c r="A19" s="10">
        <v>1995</v>
      </c>
      <c r="B19" s="10">
        <v>6</v>
      </c>
      <c r="C19" s="15">
        <v>19684.065628737</v>
      </c>
      <c r="G19" s="21">
        <v>1995</v>
      </c>
      <c r="H19" s="21">
        <v>6</v>
      </c>
      <c r="I19" s="21">
        <v>19211.439188078599</v>
      </c>
    </row>
    <row r="20" spans="1:9" x14ac:dyDescent="0.25">
      <c r="A20" s="10">
        <v>1995</v>
      </c>
      <c r="B20" s="10">
        <v>7</v>
      </c>
      <c r="C20" s="15">
        <v>19877.589139691099</v>
      </c>
      <c r="G20" s="21">
        <v>1995</v>
      </c>
      <c r="H20" s="21">
        <v>7</v>
      </c>
      <c r="I20" s="21">
        <v>19817.4687232777</v>
      </c>
    </row>
    <row r="21" spans="1:9" x14ac:dyDescent="0.25">
      <c r="A21" s="10">
        <v>1995</v>
      </c>
      <c r="B21" s="10">
        <v>8</v>
      </c>
      <c r="C21" s="15">
        <v>17237.234699526001</v>
      </c>
      <c r="G21" s="21">
        <v>1995</v>
      </c>
      <c r="H21" s="21">
        <v>8</v>
      </c>
      <c r="I21" s="21">
        <v>17031.544417507401</v>
      </c>
    </row>
    <row r="22" spans="1:9" x14ac:dyDescent="0.25">
      <c r="A22" s="10">
        <v>1995</v>
      </c>
      <c r="B22" s="10">
        <v>9</v>
      </c>
      <c r="C22" s="15">
        <v>17280.932349901799</v>
      </c>
      <c r="G22" s="21">
        <v>1995</v>
      </c>
      <c r="H22" s="21">
        <v>9</v>
      </c>
      <c r="I22" s="21">
        <v>17199.828762619502</v>
      </c>
    </row>
    <row r="23" spans="1:9" x14ac:dyDescent="0.25">
      <c r="A23" s="10">
        <v>1995</v>
      </c>
      <c r="B23" s="10">
        <v>10</v>
      </c>
      <c r="C23" s="15">
        <v>18286.110137641899</v>
      </c>
      <c r="G23" s="21">
        <v>1995</v>
      </c>
      <c r="H23" s="21">
        <v>10</v>
      </c>
      <c r="I23" s="21">
        <v>18160.311026961401</v>
      </c>
    </row>
    <row r="24" spans="1:9" x14ac:dyDescent="0.25">
      <c r="A24" s="10">
        <v>1995</v>
      </c>
      <c r="B24" s="10">
        <v>11</v>
      </c>
      <c r="C24" s="15">
        <v>18475.134254326</v>
      </c>
      <c r="G24" s="21">
        <v>1995</v>
      </c>
      <c r="H24" s="21">
        <v>11</v>
      </c>
      <c r="I24" s="21">
        <v>18396.752973544601</v>
      </c>
    </row>
    <row r="25" spans="1:9" x14ac:dyDescent="0.25">
      <c r="A25" s="10">
        <v>1995</v>
      </c>
      <c r="B25" s="10">
        <v>12</v>
      </c>
      <c r="C25" s="15">
        <v>21848.157019816201</v>
      </c>
      <c r="G25" s="21">
        <v>1995</v>
      </c>
      <c r="H25" s="21">
        <v>12</v>
      </c>
      <c r="I25" s="21">
        <v>21830.478938926099</v>
      </c>
    </row>
    <row r="26" spans="1:9" x14ac:dyDescent="0.25">
      <c r="A26" s="10">
        <v>1996</v>
      </c>
      <c r="B26" s="10">
        <v>1</v>
      </c>
      <c r="C26" s="15">
        <v>19359.581567941201</v>
      </c>
      <c r="G26" s="21">
        <v>1996</v>
      </c>
      <c r="H26" s="21">
        <v>1</v>
      </c>
      <c r="I26" s="21">
        <v>20657.9230599279</v>
      </c>
    </row>
    <row r="27" spans="1:9" x14ac:dyDescent="0.25">
      <c r="A27" s="10">
        <v>1996</v>
      </c>
      <c r="B27" s="10">
        <v>2</v>
      </c>
      <c r="C27" s="15">
        <v>23221.042722046899</v>
      </c>
      <c r="G27" s="21">
        <v>1996</v>
      </c>
      <c r="H27" s="21">
        <v>2</v>
      </c>
      <c r="I27" s="21">
        <v>23052.5008438</v>
      </c>
    </row>
    <row r="28" spans="1:9" x14ac:dyDescent="0.25">
      <c r="A28" s="10">
        <v>1996</v>
      </c>
      <c r="B28" s="10">
        <v>3</v>
      </c>
      <c r="C28" s="15">
        <v>23519.513173411</v>
      </c>
      <c r="G28" s="21">
        <v>1996</v>
      </c>
      <c r="H28" s="21">
        <v>3</v>
      </c>
      <c r="I28" s="21">
        <v>23103.0861487722</v>
      </c>
    </row>
    <row r="29" spans="1:9" x14ac:dyDescent="0.25">
      <c r="A29" s="10">
        <v>1996</v>
      </c>
      <c r="B29" s="10">
        <v>4</v>
      </c>
      <c r="C29" s="15">
        <v>24625.178550015899</v>
      </c>
      <c r="G29" s="21">
        <v>1996</v>
      </c>
      <c r="H29" s="21">
        <v>4</v>
      </c>
      <c r="I29" s="21">
        <v>24499.3642496797</v>
      </c>
    </row>
    <row r="30" spans="1:9" x14ac:dyDescent="0.25">
      <c r="A30" s="10">
        <v>1996</v>
      </c>
      <c r="B30" s="10">
        <v>5</v>
      </c>
      <c r="C30" s="15">
        <v>24943.035346784302</v>
      </c>
      <c r="G30" s="21">
        <v>1996</v>
      </c>
      <c r="H30" s="21">
        <v>5</v>
      </c>
      <c r="I30" s="21">
        <v>24296.1303341729</v>
      </c>
    </row>
    <row r="31" spans="1:9" x14ac:dyDescent="0.25">
      <c r="A31" s="10">
        <v>1996</v>
      </c>
      <c r="B31" s="10">
        <v>6</v>
      </c>
      <c r="C31" s="15">
        <v>26202.452675630098</v>
      </c>
      <c r="G31" s="21">
        <v>1996</v>
      </c>
      <c r="H31" s="21">
        <v>6</v>
      </c>
      <c r="I31" s="21">
        <v>26069.623000350301</v>
      </c>
    </row>
    <row r="32" spans="1:9" x14ac:dyDescent="0.25">
      <c r="A32" s="10">
        <v>1996</v>
      </c>
      <c r="B32" s="10">
        <v>7</v>
      </c>
      <c r="C32" s="15">
        <v>25916.562755536001</v>
      </c>
      <c r="G32" s="21">
        <v>1996</v>
      </c>
      <c r="H32" s="21">
        <v>7</v>
      </c>
      <c r="I32" s="21">
        <v>25657.919356460101</v>
      </c>
    </row>
    <row r="33" spans="1:9" x14ac:dyDescent="0.25">
      <c r="A33" s="10">
        <v>1996</v>
      </c>
      <c r="B33" s="10">
        <v>8</v>
      </c>
      <c r="C33" s="15">
        <v>26998.934985312299</v>
      </c>
      <c r="G33" s="21">
        <v>1996</v>
      </c>
      <c r="H33" s="21">
        <v>8</v>
      </c>
      <c r="I33" s="21">
        <v>26898.4203588893</v>
      </c>
    </row>
    <row r="34" spans="1:9" x14ac:dyDescent="0.25">
      <c r="A34" s="10">
        <v>1996</v>
      </c>
      <c r="B34" s="10">
        <v>9</v>
      </c>
      <c r="C34" s="15">
        <v>24289.683239193499</v>
      </c>
      <c r="G34" s="21">
        <v>1996</v>
      </c>
      <c r="H34" s="21">
        <v>9</v>
      </c>
      <c r="I34" s="21">
        <v>24222.742696435598</v>
      </c>
    </row>
    <row r="35" spans="1:9" x14ac:dyDescent="0.25">
      <c r="A35" s="10">
        <v>1996</v>
      </c>
      <c r="B35" s="10">
        <v>10</v>
      </c>
      <c r="C35" s="15">
        <v>26831.137546848899</v>
      </c>
      <c r="G35" s="21">
        <v>1996</v>
      </c>
      <c r="H35" s="21">
        <v>10</v>
      </c>
      <c r="I35" s="21">
        <v>26624.8208412848</v>
      </c>
    </row>
    <row r="36" spans="1:9" x14ac:dyDescent="0.25">
      <c r="A36" s="10">
        <v>1996</v>
      </c>
      <c r="B36" s="10">
        <v>11</v>
      </c>
      <c r="C36" s="15">
        <v>28067.316845100599</v>
      </c>
      <c r="G36" s="21">
        <v>1996</v>
      </c>
      <c r="H36" s="21">
        <v>11</v>
      </c>
      <c r="I36" s="21">
        <v>28170.134020265999</v>
      </c>
    </row>
    <row r="37" spans="1:9" x14ac:dyDescent="0.25">
      <c r="A37" s="10">
        <v>1996</v>
      </c>
      <c r="B37" s="10">
        <v>12</v>
      </c>
      <c r="C37" s="15">
        <v>27976.918733042399</v>
      </c>
      <c r="G37" s="21">
        <v>1996</v>
      </c>
      <c r="H37" s="21">
        <v>12</v>
      </c>
      <c r="I37" s="21">
        <v>27916.946508393099</v>
      </c>
    </row>
    <row r="38" spans="1:9" x14ac:dyDescent="0.25">
      <c r="A38" s="10">
        <v>1997</v>
      </c>
      <c r="B38" s="10">
        <v>1</v>
      </c>
      <c r="C38" s="15">
        <v>27997.9071397556</v>
      </c>
      <c r="G38" s="21">
        <v>1997</v>
      </c>
      <c r="H38" s="21">
        <v>1</v>
      </c>
      <c r="I38" s="21">
        <v>28755.852182558599</v>
      </c>
    </row>
    <row r="39" spans="1:9" x14ac:dyDescent="0.25">
      <c r="A39" s="10">
        <v>1997</v>
      </c>
      <c r="B39" s="10">
        <v>2</v>
      </c>
      <c r="C39" s="15">
        <v>30049.7457719497</v>
      </c>
      <c r="G39" s="21">
        <v>1997</v>
      </c>
      <c r="H39" s="21">
        <v>2</v>
      </c>
      <c r="I39" s="21">
        <v>30919.853361714999</v>
      </c>
    </row>
    <row r="40" spans="1:9" x14ac:dyDescent="0.25">
      <c r="A40" s="10">
        <v>1997</v>
      </c>
      <c r="B40" s="10">
        <v>3</v>
      </c>
      <c r="C40" s="15">
        <v>31410.766795036201</v>
      </c>
      <c r="G40" s="21">
        <v>1997</v>
      </c>
      <c r="H40" s="21">
        <v>3</v>
      </c>
      <c r="I40" s="21">
        <v>31301.883511852899</v>
      </c>
    </row>
    <row r="41" spans="1:9" x14ac:dyDescent="0.25">
      <c r="A41" s="10">
        <v>1997</v>
      </c>
      <c r="B41" s="10">
        <v>4</v>
      </c>
      <c r="C41" s="15">
        <v>33709.537657973298</v>
      </c>
      <c r="G41" s="21">
        <v>1997</v>
      </c>
      <c r="H41" s="21">
        <v>4</v>
      </c>
      <c r="I41" s="21">
        <v>33614.648719645098</v>
      </c>
    </row>
    <row r="42" spans="1:9" x14ac:dyDescent="0.25">
      <c r="A42" s="10">
        <v>1997</v>
      </c>
      <c r="B42" s="10">
        <v>5</v>
      </c>
      <c r="C42" s="15">
        <v>34924.063878253102</v>
      </c>
      <c r="G42" s="21">
        <v>1997</v>
      </c>
      <c r="H42" s="21">
        <v>5</v>
      </c>
      <c r="I42" s="21">
        <v>34642.725528176801</v>
      </c>
    </row>
    <row r="43" spans="1:9" x14ac:dyDescent="0.25">
      <c r="A43" s="10">
        <v>1997</v>
      </c>
      <c r="B43" s="10">
        <v>6</v>
      </c>
      <c r="C43" s="15">
        <v>35702.632790125303</v>
      </c>
      <c r="G43" s="21">
        <v>1997</v>
      </c>
      <c r="H43" s="21">
        <v>6</v>
      </c>
      <c r="I43" s="21">
        <v>35558.169427659603</v>
      </c>
    </row>
    <row r="44" spans="1:9" x14ac:dyDescent="0.25">
      <c r="A44" s="10">
        <v>1997</v>
      </c>
      <c r="B44" s="10">
        <v>7</v>
      </c>
      <c r="C44" s="15">
        <v>37488.629514122702</v>
      </c>
      <c r="G44" s="21">
        <v>1997</v>
      </c>
      <c r="H44" s="21">
        <v>7</v>
      </c>
      <c r="I44" s="21">
        <v>37274.201060460597</v>
      </c>
    </row>
    <row r="45" spans="1:9" x14ac:dyDescent="0.25">
      <c r="A45" s="10">
        <v>1997</v>
      </c>
      <c r="B45" s="10">
        <v>8</v>
      </c>
      <c r="C45" s="15">
        <v>37567.464457924703</v>
      </c>
      <c r="G45" s="21">
        <v>1997</v>
      </c>
      <c r="H45" s="21">
        <v>8</v>
      </c>
      <c r="I45" s="21">
        <v>37593.960467638302</v>
      </c>
    </row>
    <row r="46" spans="1:9" x14ac:dyDescent="0.25">
      <c r="A46" s="10">
        <v>1997</v>
      </c>
      <c r="B46" s="10">
        <v>9</v>
      </c>
      <c r="C46" s="15">
        <v>39883.083176939697</v>
      </c>
      <c r="G46" s="21">
        <v>1997</v>
      </c>
      <c r="H46" s="21">
        <v>9</v>
      </c>
      <c r="I46" s="21">
        <v>39712.612961562503</v>
      </c>
    </row>
    <row r="47" spans="1:9" x14ac:dyDescent="0.25">
      <c r="A47" s="10">
        <v>1997</v>
      </c>
      <c r="B47" s="10">
        <v>10</v>
      </c>
      <c r="C47" s="15">
        <v>47321.156246856197</v>
      </c>
      <c r="G47" s="21">
        <v>1997</v>
      </c>
      <c r="H47" s="21">
        <v>10</v>
      </c>
      <c r="I47" s="21">
        <v>47147.088354062304</v>
      </c>
    </row>
    <row r="48" spans="1:9" x14ac:dyDescent="0.25">
      <c r="A48" s="10">
        <v>1997</v>
      </c>
      <c r="B48" s="10">
        <v>11</v>
      </c>
      <c r="C48" s="15">
        <v>41895.847796779402</v>
      </c>
      <c r="G48" s="21">
        <v>1997</v>
      </c>
      <c r="H48" s="21">
        <v>11</v>
      </c>
      <c r="I48" s="21">
        <v>42138.052372239901</v>
      </c>
    </row>
    <row r="49" spans="1:9" x14ac:dyDescent="0.25">
      <c r="A49" s="10">
        <v>1997</v>
      </c>
      <c r="B49" s="10">
        <v>12</v>
      </c>
      <c r="C49" s="15">
        <v>26986.022681159899</v>
      </c>
      <c r="G49" s="21">
        <v>1997</v>
      </c>
      <c r="H49" s="21">
        <v>12</v>
      </c>
      <c r="I49" s="21">
        <v>26859.166171189401</v>
      </c>
    </row>
    <row r="50" spans="1:9" x14ac:dyDescent="0.25">
      <c r="A50" s="10">
        <v>1998</v>
      </c>
      <c r="B50" s="10">
        <v>1</v>
      </c>
      <c r="C50" s="15">
        <v>32008.012520799199</v>
      </c>
      <c r="G50" s="21">
        <v>1998</v>
      </c>
      <c r="H50" s="21">
        <v>1</v>
      </c>
      <c r="I50" s="21">
        <v>32453.4243796056</v>
      </c>
    </row>
    <row r="51" spans="1:9" x14ac:dyDescent="0.25">
      <c r="A51" s="10">
        <v>1998</v>
      </c>
      <c r="B51" s="10">
        <v>2</v>
      </c>
      <c r="C51" s="15">
        <v>38165.876110850797</v>
      </c>
      <c r="G51" s="21">
        <v>1998</v>
      </c>
      <c r="H51" s="21">
        <v>2</v>
      </c>
      <c r="I51" s="21">
        <v>38731.3541629233</v>
      </c>
    </row>
    <row r="52" spans="1:9" x14ac:dyDescent="0.25">
      <c r="A52" s="10">
        <v>1998</v>
      </c>
      <c r="B52" s="10">
        <v>3</v>
      </c>
      <c r="C52" s="15">
        <v>39450.626497418998</v>
      </c>
      <c r="G52" s="21">
        <v>1998</v>
      </c>
      <c r="H52" s="21">
        <v>3</v>
      </c>
      <c r="I52" s="21">
        <v>39454.699832464801</v>
      </c>
    </row>
    <row r="53" spans="1:9" x14ac:dyDescent="0.25">
      <c r="A53" s="10">
        <v>1998</v>
      </c>
      <c r="B53" s="10">
        <v>4</v>
      </c>
      <c r="C53" s="15">
        <v>40470.310256279598</v>
      </c>
      <c r="G53" s="21">
        <v>1998</v>
      </c>
      <c r="H53" s="21">
        <v>4</v>
      </c>
      <c r="I53" s="21">
        <v>40378.822691354799</v>
      </c>
    </row>
    <row r="54" spans="1:9" x14ac:dyDescent="0.25">
      <c r="A54" s="10">
        <v>1998</v>
      </c>
      <c r="B54" s="10">
        <v>5</v>
      </c>
      <c r="C54" s="15">
        <v>39622.410375869898</v>
      </c>
      <c r="G54" s="21">
        <v>1998</v>
      </c>
      <c r="H54" s="21">
        <v>5</v>
      </c>
      <c r="I54" s="21">
        <v>39666.953352001197</v>
      </c>
    </row>
    <row r="55" spans="1:9" x14ac:dyDescent="0.25">
      <c r="A55" s="10">
        <v>1998</v>
      </c>
      <c r="B55" s="10">
        <v>6</v>
      </c>
      <c r="C55" s="15">
        <v>41546.029648067401</v>
      </c>
      <c r="G55" s="21">
        <v>1998</v>
      </c>
      <c r="H55" s="21">
        <v>6</v>
      </c>
      <c r="I55" s="21">
        <v>41382.077614482303</v>
      </c>
    </row>
    <row r="56" spans="1:9" x14ac:dyDescent="0.25">
      <c r="A56" s="10">
        <v>1998</v>
      </c>
      <c r="B56" s="10">
        <v>7</v>
      </c>
      <c r="C56" s="15">
        <v>39615.119712663101</v>
      </c>
      <c r="G56" s="21">
        <v>1998</v>
      </c>
      <c r="H56" s="21">
        <v>7</v>
      </c>
      <c r="I56" s="21">
        <v>39424.852459736503</v>
      </c>
    </row>
    <row r="57" spans="1:9" x14ac:dyDescent="0.25">
      <c r="A57" s="10">
        <v>1998</v>
      </c>
      <c r="B57" s="10">
        <v>8</v>
      </c>
      <c r="C57" s="15">
        <v>44579.476561980598</v>
      </c>
      <c r="G57" s="21">
        <v>1998</v>
      </c>
      <c r="H57" s="21">
        <v>8</v>
      </c>
      <c r="I57" s="21">
        <v>44598.313651425298</v>
      </c>
    </row>
    <row r="58" spans="1:9" x14ac:dyDescent="0.25">
      <c r="A58" s="10">
        <v>1998</v>
      </c>
      <c r="B58" s="10">
        <v>9</v>
      </c>
      <c r="C58" s="15">
        <v>40362.801400035198</v>
      </c>
      <c r="G58" s="21">
        <v>1998</v>
      </c>
      <c r="H58" s="21">
        <v>9</v>
      </c>
      <c r="I58" s="21">
        <v>40181.529507292602</v>
      </c>
    </row>
    <row r="59" spans="1:9" x14ac:dyDescent="0.25">
      <c r="A59" s="10">
        <v>1998</v>
      </c>
      <c r="B59" s="10">
        <v>10</v>
      </c>
      <c r="C59" s="15">
        <v>34553.348871679496</v>
      </c>
      <c r="G59" s="21">
        <v>1998</v>
      </c>
      <c r="H59" s="21">
        <v>10</v>
      </c>
      <c r="I59" s="21">
        <v>34494.477101799603</v>
      </c>
    </row>
    <row r="60" spans="1:9" x14ac:dyDescent="0.25">
      <c r="A60" s="10">
        <v>1998</v>
      </c>
      <c r="B60" s="10">
        <v>11</v>
      </c>
      <c r="C60" s="15">
        <v>28532.054164942099</v>
      </c>
      <c r="G60" s="21">
        <v>1998</v>
      </c>
      <c r="H60" s="21">
        <v>11</v>
      </c>
      <c r="I60" s="21">
        <v>28660.491485877301</v>
      </c>
    </row>
    <row r="61" spans="1:9" x14ac:dyDescent="0.25">
      <c r="A61" s="10">
        <v>1998</v>
      </c>
      <c r="B61" s="10">
        <v>12</v>
      </c>
      <c r="C61" s="15">
        <v>16258.0081083803</v>
      </c>
      <c r="G61" s="21">
        <v>1998</v>
      </c>
      <c r="H61" s="21">
        <v>12</v>
      </c>
      <c r="I61" s="21">
        <v>16141.002880053</v>
      </c>
    </row>
    <row r="62" spans="1:9" x14ac:dyDescent="0.25">
      <c r="A62" s="10">
        <v>1999</v>
      </c>
      <c r="B62" s="10">
        <v>1</v>
      </c>
      <c r="C62" s="15">
        <v>24375.9308181983</v>
      </c>
      <c r="G62" s="21">
        <v>1999</v>
      </c>
      <c r="H62" s="21">
        <v>1</v>
      </c>
      <c r="I62" s="21">
        <v>24869.818216154599</v>
      </c>
    </row>
    <row r="63" spans="1:9" x14ac:dyDescent="0.25">
      <c r="A63" s="10">
        <v>1999</v>
      </c>
      <c r="B63" s="10">
        <v>2</v>
      </c>
      <c r="C63" s="15">
        <v>21336.195295971698</v>
      </c>
      <c r="G63" s="21">
        <v>1999</v>
      </c>
      <c r="H63" s="21">
        <v>2</v>
      </c>
      <c r="I63" s="21">
        <v>21778.7781523864</v>
      </c>
    </row>
    <row r="64" spans="1:9" x14ac:dyDescent="0.25">
      <c r="A64" s="10">
        <v>1999</v>
      </c>
      <c r="B64" s="10">
        <v>3</v>
      </c>
      <c r="C64" s="15">
        <v>18540.542060141299</v>
      </c>
      <c r="G64" s="21">
        <v>1999</v>
      </c>
      <c r="H64" s="21">
        <v>3</v>
      </c>
      <c r="I64" s="21">
        <v>18441.3529287333</v>
      </c>
    </row>
    <row r="65" spans="1:9" x14ac:dyDescent="0.25">
      <c r="A65" s="10">
        <v>1999</v>
      </c>
      <c r="B65" s="10">
        <v>4</v>
      </c>
      <c r="C65" s="15">
        <v>19059.424920588899</v>
      </c>
      <c r="G65" s="21">
        <v>1999</v>
      </c>
      <c r="H65" s="21">
        <v>4</v>
      </c>
      <c r="I65" s="21">
        <v>18972.583376479</v>
      </c>
    </row>
    <row r="66" spans="1:9" x14ac:dyDescent="0.25">
      <c r="A66" s="10">
        <v>1999</v>
      </c>
      <c r="B66" s="10">
        <v>5</v>
      </c>
      <c r="C66" s="15">
        <v>21864.421494402999</v>
      </c>
      <c r="G66" s="21">
        <v>1999</v>
      </c>
      <c r="H66" s="21">
        <v>5</v>
      </c>
      <c r="I66" s="21">
        <v>21938.534187275702</v>
      </c>
    </row>
    <row r="67" spans="1:9" x14ac:dyDescent="0.25">
      <c r="A67" s="10">
        <v>1999</v>
      </c>
      <c r="B67" s="10">
        <v>6</v>
      </c>
      <c r="C67" s="15">
        <v>22005.069014492401</v>
      </c>
      <c r="G67" s="21">
        <v>1999</v>
      </c>
      <c r="H67" s="21">
        <v>6</v>
      </c>
      <c r="I67" s="21">
        <v>21873.248561659901</v>
      </c>
    </row>
    <row r="68" spans="1:9" x14ac:dyDescent="0.25">
      <c r="A68" s="10">
        <v>1999</v>
      </c>
      <c r="B68" s="10">
        <v>7</v>
      </c>
      <c r="C68" s="15">
        <v>22659.6926888405</v>
      </c>
      <c r="G68" s="21">
        <v>1999</v>
      </c>
      <c r="H68" s="21">
        <v>7</v>
      </c>
      <c r="I68" s="21">
        <v>22615.8365427875</v>
      </c>
    </row>
    <row r="69" spans="1:9" x14ac:dyDescent="0.25">
      <c r="A69" s="10">
        <v>1999</v>
      </c>
      <c r="B69" s="10">
        <v>8</v>
      </c>
      <c r="C69" s="15">
        <v>25358.828543326901</v>
      </c>
      <c r="G69" s="21">
        <v>1999</v>
      </c>
      <c r="H69" s="21">
        <v>8</v>
      </c>
      <c r="I69" s="21">
        <v>25301.518278748899</v>
      </c>
    </row>
    <row r="70" spans="1:9" x14ac:dyDescent="0.25">
      <c r="A70" s="10">
        <v>1999</v>
      </c>
      <c r="B70" s="10">
        <v>9</v>
      </c>
      <c r="C70" s="15">
        <v>25151.0098096572</v>
      </c>
      <c r="G70" s="21">
        <v>1999</v>
      </c>
      <c r="H70" s="21">
        <v>9</v>
      </c>
      <c r="I70" s="21">
        <v>24972.617531568099</v>
      </c>
    </row>
    <row r="71" spans="1:9" x14ac:dyDescent="0.25">
      <c r="A71" s="10">
        <v>1999</v>
      </c>
      <c r="B71" s="10">
        <v>10</v>
      </c>
      <c r="C71" s="15">
        <v>28678.566958680702</v>
      </c>
      <c r="G71" s="21">
        <v>1999</v>
      </c>
      <c r="H71" s="21">
        <v>10</v>
      </c>
      <c r="I71" s="21">
        <v>28751.8001973188</v>
      </c>
    </row>
    <row r="72" spans="1:9" x14ac:dyDescent="0.25">
      <c r="A72" s="10">
        <v>1999</v>
      </c>
      <c r="B72" s="10">
        <v>11</v>
      </c>
      <c r="C72" s="15">
        <v>29303.821208496702</v>
      </c>
      <c r="G72" s="21">
        <v>1999</v>
      </c>
      <c r="H72" s="21">
        <v>11</v>
      </c>
      <c r="I72" s="21">
        <v>29278.1819612486</v>
      </c>
    </row>
    <row r="73" spans="1:9" x14ac:dyDescent="0.25">
      <c r="A73" s="10">
        <v>1999</v>
      </c>
      <c r="B73" s="10">
        <v>12</v>
      </c>
      <c r="C73" s="15">
        <v>33549.042321277797</v>
      </c>
      <c r="G73" s="21">
        <v>1999</v>
      </c>
      <c r="H73" s="21">
        <v>12</v>
      </c>
      <c r="I73" s="21">
        <v>33412.206478327003</v>
      </c>
    </row>
    <row r="74" spans="1:9" x14ac:dyDescent="0.25">
      <c r="A74" s="10">
        <v>2000</v>
      </c>
      <c r="B74" s="10">
        <v>1</v>
      </c>
      <c r="C74" s="15">
        <v>34412.762382099099</v>
      </c>
      <c r="G74" s="21">
        <v>2000</v>
      </c>
      <c r="H74" s="21">
        <v>1</v>
      </c>
      <c r="I74" s="21">
        <v>34898.754211186802</v>
      </c>
    </row>
    <row r="75" spans="1:9" x14ac:dyDescent="0.25">
      <c r="A75" s="10">
        <v>2000</v>
      </c>
      <c r="B75" s="10">
        <v>2</v>
      </c>
      <c r="C75" s="15">
        <v>25761.4063792007</v>
      </c>
      <c r="G75" s="21">
        <v>2000</v>
      </c>
      <c r="H75" s="21">
        <v>2</v>
      </c>
      <c r="I75" s="21">
        <v>24758.904026936001</v>
      </c>
    </row>
    <row r="76" spans="1:9" x14ac:dyDescent="0.25">
      <c r="A76" s="10">
        <v>2000</v>
      </c>
      <c r="B76" s="10">
        <v>3</v>
      </c>
      <c r="C76" s="15">
        <v>31193.125813824699</v>
      </c>
      <c r="G76" s="21">
        <v>2000</v>
      </c>
      <c r="H76" s="21">
        <v>3</v>
      </c>
      <c r="I76" s="21">
        <v>31075.8636412339</v>
      </c>
    </row>
    <row r="77" spans="1:9" x14ac:dyDescent="0.25">
      <c r="A77" s="10">
        <v>2000</v>
      </c>
      <c r="B77" s="10">
        <v>4</v>
      </c>
      <c r="C77" s="15">
        <v>28553.897832729999</v>
      </c>
      <c r="G77" s="21">
        <v>2000</v>
      </c>
      <c r="H77" s="21">
        <v>4</v>
      </c>
      <c r="I77" s="21">
        <v>28691.183233638902</v>
      </c>
    </row>
    <row r="78" spans="1:9" x14ac:dyDescent="0.25">
      <c r="A78" s="10">
        <v>2000</v>
      </c>
      <c r="B78" s="10">
        <v>5</v>
      </c>
      <c r="C78" s="15">
        <v>25849.818142462798</v>
      </c>
      <c r="G78" s="21">
        <v>2000</v>
      </c>
      <c r="H78" s="21">
        <v>5</v>
      </c>
      <c r="I78" s="21">
        <v>25717.952213856301</v>
      </c>
    </row>
    <row r="79" spans="1:9" x14ac:dyDescent="0.25">
      <c r="A79" s="10">
        <v>2000</v>
      </c>
      <c r="B79" s="10">
        <v>6</v>
      </c>
      <c r="C79" s="15">
        <v>24976.1089293404</v>
      </c>
      <c r="G79" s="21">
        <v>2000</v>
      </c>
      <c r="H79" s="21">
        <v>6</v>
      </c>
      <c r="I79" s="21">
        <v>24860.917108635502</v>
      </c>
    </row>
    <row r="80" spans="1:9" x14ac:dyDescent="0.25">
      <c r="A80" s="10">
        <v>2000</v>
      </c>
      <c r="B80" s="10">
        <v>7</v>
      </c>
      <c r="C80" s="15">
        <v>26289.204735600699</v>
      </c>
      <c r="G80" s="21">
        <v>2000</v>
      </c>
      <c r="H80" s="21">
        <v>7</v>
      </c>
      <c r="I80" s="21">
        <v>26338.908398657899</v>
      </c>
    </row>
    <row r="81" spans="1:9" x14ac:dyDescent="0.25">
      <c r="A81" s="10">
        <v>2000</v>
      </c>
      <c r="B81" s="10">
        <v>8</v>
      </c>
      <c r="C81" s="15">
        <v>24713.0979314549</v>
      </c>
      <c r="G81" s="21">
        <v>2000</v>
      </c>
      <c r="H81" s="21">
        <v>8</v>
      </c>
      <c r="I81" s="21">
        <v>24564.344417395099</v>
      </c>
    </row>
    <row r="82" spans="1:9" x14ac:dyDescent="0.25">
      <c r="A82" s="10">
        <v>2000</v>
      </c>
      <c r="B82" s="10">
        <v>9</v>
      </c>
      <c r="C82" s="15">
        <v>27076.425918708399</v>
      </c>
      <c r="G82" s="21">
        <v>2000</v>
      </c>
      <c r="H82" s="21">
        <v>9</v>
      </c>
      <c r="I82" s="21">
        <v>27027.757211754</v>
      </c>
    </row>
    <row r="83" spans="1:9" x14ac:dyDescent="0.25">
      <c r="A83" s="10">
        <v>2000</v>
      </c>
      <c r="B83" s="10">
        <v>10</v>
      </c>
      <c r="C83" s="15">
        <v>25267.433774312402</v>
      </c>
      <c r="G83" s="21">
        <v>2000</v>
      </c>
      <c r="H83" s="21">
        <v>10</v>
      </c>
      <c r="I83" s="21">
        <v>25241.4720318252</v>
      </c>
    </row>
    <row r="84" spans="1:9" x14ac:dyDescent="0.25">
      <c r="A84" s="10">
        <v>2000</v>
      </c>
      <c r="B84" s="10">
        <v>11</v>
      </c>
      <c r="C84" s="15">
        <v>25193.272230064598</v>
      </c>
      <c r="G84" s="21">
        <v>2000</v>
      </c>
      <c r="H84" s="21">
        <v>11</v>
      </c>
      <c r="I84" s="21">
        <v>25123.165664505199</v>
      </c>
    </row>
    <row r="85" spans="1:9" x14ac:dyDescent="0.25">
      <c r="A85" s="10">
        <v>2000</v>
      </c>
      <c r="B85" s="10">
        <v>12</v>
      </c>
      <c r="C85" s="15">
        <v>28367.093128092602</v>
      </c>
      <c r="G85" s="21">
        <v>2000</v>
      </c>
      <c r="H85" s="21">
        <v>12</v>
      </c>
      <c r="I85" s="21">
        <v>28449.366002375398</v>
      </c>
    </row>
    <row r="86" spans="1:9" x14ac:dyDescent="0.25">
      <c r="A86" s="10">
        <v>2001</v>
      </c>
      <c r="B86" s="10">
        <v>1</v>
      </c>
      <c r="C86" s="15">
        <v>21021.7515582015</v>
      </c>
      <c r="G86" s="21">
        <v>2001</v>
      </c>
      <c r="H86" s="21">
        <v>1</v>
      </c>
      <c r="I86" s="21">
        <v>21267.2572317944</v>
      </c>
    </row>
    <row r="87" spans="1:9" x14ac:dyDescent="0.25">
      <c r="A87" s="10">
        <v>2001</v>
      </c>
      <c r="B87" s="10">
        <v>2</v>
      </c>
      <c r="C87" s="15">
        <v>20036.820675659099</v>
      </c>
      <c r="G87" s="21">
        <v>2001</v>
      </c>
      <c r="H87" s="21">
        <v>2</v>
      </c>
      <c r="I87" s="21">
        <v>20529.2097088052</v>
      </c>
    </row>
    <row r="88" spans="1:9" x14ac:dyDescent="0.25">
      <c r="A88" s="10">
        <v>2001</v>
      </c>
      <c r="B88" s="10">
        <v>3</v>
      </c>
      <c r="C88" s="15">
        <v>24070.1423824946</v>
      </c>
      <c r="G88" s="21">
        <v>2001</v>
      </c>
      <c r="H88" s="21">
        <v>3</v>
      </c>
      <c r="I88" s="21">
        <v>24042.322348367801</v>
      </c>
    </row>
    <row r="89" spans="1:9" x14ac:dyDescent="0.25">
      <c r="A89" s="10">
        <v>2001</v>
      </c>
      <c r="B89" s="10">
        <v>4</v>
      </c>
      <c r="C89" s="15">
        <v>24640.1936092949</v>
      </c>
      <c r="G89" s="21">
        <v>2001</v>
      </c>
      <c r="H89" s="21">
        <v>4</v>
      </c>
      <c r="I89" s="21">
        <v>24650.752198678001</v>
      </c>
    </row>
    <row r="90" spans="1:9" x14ac:dyDescent="0.25">
      <c r="A90" s="10">
        <v>2001</v>
      </c>
      <c r="B90" s="10">
        <v>5</v>
      </c>
      <c r="C90" s="15">
        <v>24414.1264850236</v>
      </c>
      <c r="G90" s="21">
        <v>2001</v>
      </c>
      <c r="H90" s="21">
        <v>5</v>
      </c>
      <c r="I90" s="21">
        <v>24299.867178119501</v>
      </c>
    </row>
    <row r="91" spans="1:9" x14ac:dyDescent="0.25">
      <c r="A91" s="10">
        <v>2001</v>
      </c>
      <c r="B91" s="10">
        <v>6</v>
      </c>
      <c r="C91" s="15">
        <v>23323.990238292899</v>
      </c>
      <c r="G91" s="21">
        <v>2001</v>
      </c>
      <c r="H91" s="21">
        <v>6</v>
      </c>
      <c r="I91" s="21">
        <v>23320.3497527195</v>
      </c>
    </row>
    <row r="92" spans="1:9" x14ac:dyDescent="0.25">
      <c r="A92" s="10">
        <v>2001</v>
      </c>
      <c r="B92" s="10">
        <v>7</v>
      </c>
      <c r="C92" s="15">
        <v>21087.5818265298</v>
      </c>
      <c r="G92" s="21">
        <v>2001</v>
      </c>
      <c r="H92" s="21">
        <v>7</v>
      </c>
      <c r="I92" s="21">
        <v>20989.673115089001</v>
      </c>
    </row>
    <row r="93" spans="1:9" x14ac:dyDescent="0.25">
      <c r="A93" s="10">
        <v>2001</v>
      </c>
      <c r="B93" s="10">
        <v>8</v>
      </c>
      <c r="C93" s="15">
        <v>14149.3188055796</v>
      </c>
      <c r="G93" s="21">
        <v>2001</v>
      </c>
      <c r="H93" s="21">
        <v>8</v>
      </c>
      <c r="I93" s="21">
        <v>14014.8503463659</v>
      </c>
    </row>
    <row r="94" spans="1:9" x14ac:dyDescent="0.25">
      <c r="A94" s="10">
        <v>2001</v>
      </c>
      <c r="B94" s="10">
        <v>9</v>
      </c>
      <c r="C94" s="15">
        <v>15160.0546830644</v>
      </c>
      <c r="G94" s="21">
        <v>2001</v>
      </c>
      <c r="H94" s="21">
        <v>9</v>
      </c>
      <c r="I94" s="21">
        <v>15246.382175954799</v>
      </c>
    </row>
    <row r="95" spans="1:9" x14ac:dyDescent="0.25">
      <c r="A95" s="10">
        <v>2001</v>
      </c>
      <c r="B95" s="10">
        <v>10</v>
      </c>
      <c r="C95" s="15">
        <v>14395.754478159301</v>
      </c>
      <c r="G95" s="21">
        <v>2001</v>
      </c>
      <c r="H95" s="21">
        <v>10</v>
      </c>
      <c r="I95" s="21">
        <v>14274.0474830975</v>
      </c>
    </row>
    <row r="96" spans="1:9" x14ac:dyDescent="0.25">
      <c r="A96" s="10">
        <v>2001</v>
      </c>
      <c r="B96" s="10">
        <v>11</v>
      </c>
      <c r="C96" s="15">
        <v>13215.399295642401</v>
      </c>
      <c r="G96" s="21">
        <v>2001</v>
      </c>
      <c r="H96" s="21">
        <v>11</v>
      </c>
      <c r="I96" s="21">
        <v>13099.3329297937</v>
      </c>
    </row>
    <row r="97" spans="1:9" x14ac:dyDescent="0.25">
      <c r="A97" s="10">
        <v>2001</v>
      </c>
      <c r="B97" s="10">
        <v>12</v>
      </c>
      <c r="C97" s="15">
        <v>11970.527973824799</v>
      </c>
      <c r="G97" s="21">
        <v>2001</v>
      </c>
      <c r="H97" s="21">
        <v>12</v>
      </c>
      <c r="I97" s="21">
        <v>12048.916892642401</v>
      </c>
    </row>
    <row r="98" spans="1:9" x14ac:dyDescent="0.25">
      <c r="A98" s="10">
        <v>2002</v>
      </c>
      <c r="B98" s="10">
        <v>1</v>
      </c>
      <c r="C98" s="15">
        <v>12598.591855610501</v>
      </c>
      <c r="G98" s="21">
        <v>2002</v>
      </c>
      <c r="H98" s="21">
        <v>1</v>
      </c>
      <c r="I98" s="21">
        <v>12793.3789842323</v>
      </c>
    </row>
    <row r="99" spans="1:9" x14ac:dyDescent="0.25">
      <c r="A99" s="10">
        <v>2002</v>
      </c>
      <c r="B99" s="10">
        <v>2</v>
      </c>
      <c r="C99" s="15">
        <v>12701.617248463999</v>
      </c>
      <c r="G99" s="21">
        <v>2002</v>
      </c>
      <c r="H99" s="21">
        <v>2</v>
      </c>
      <c r="I99" s="21">
        <v>13321.032292894201</v>
      </c>
    </row>
    <row r="100" spans="1:9" x14ac:dyDescent="0.25">
      <c r="A100" s="10">
        <v>2002</v>
      </c>
      <c r="B100" s="10">
        <v>3</v>
      </c>
      <c r="C100" s="15">
        <v>11775.3667169111</v>
      </c>
      <c r="G100" s="21">
        <v>2002</v>
      </c>
      <c r="H100" s="21">
        <v>3</v>
      </c>
      <c r="I100" s="21">
        <v>11827.999773018601</v>
      </c>
    </row>
    <row r="101" spans="1:9" x14ac:dyDescent="0.25">
      <c r="A101" s="10">
        <v>2002</v>
      </c>
      <c r="B101" s="10">
        <v>4</v>
      </c>
      <c r="C101" s="15">
        <v>13652.7996266722</v>
      </c>
      <c r="G101" s="21">
        <v>2002</v>
      </c>
      <c r="H101" s="21">
        <v>4</v>
      </c>
      <c r="I101" s="21">
        <v>13536.503026350099</v>
      </c>
    </row>
    <row r="102" spans="1:9" x14ac:dyDescent="0.25">
      <c r="A102" s="10">
        <v>2002</v>
      </c>
      <c r="B102" s="10">
        <v>5</v>
      </c>
      <c r="C102" s="15">
        <v>11790.981534251699</v>
      </c>
      <c r="G102" s="21">
        <v>2002</v>
      </c>
      <c r="H102" s="21">
        <v>5</v>
      </c>
      <c r="I102" s="21">
        <v>11672.724158737001</v>
      </c>
    </row>
    <row r="103" spans="1:9" x14ac:dyDescent="0.25">
      <c r="A103" s="10">
        <v>2002</v>
      </c>
      <c r="B103" s="10">
        <v>6</v>
      </c>
      <c r="C103" s="15">
        <v>13271.391840070301</v>
      </c>
      <c r="G103" s="21">
        <v>2002</v>
      </c>
      <c r="H103" s="21">
        <v>6</v>
      </c>
      <c r="I103" s="21">
        <v>13382.877301267299</v>
      </c>
    </row>
    <row r="104" spans="1:9" x14ac:dyDescent="0.25">
      <c r="A104" s="10">
        <v>2002</v>
      </c>
      <c r="B104" s="10">
        <v>7</v>
      </c>
      <c r="C104" s="15">
        <v>12638.1154166249</v>
      </c>
      <c r="G104" s="21">
        <v>2002</v>
      </c>
      <c r="H104" s="21">
        <v>7</v>
      </c>
      <c r="I104" s="21">
        <v>12388.817324355699</v>
      </c>
    </row>
    <row r="105" spans="1:9" x14ac:dyDescent="0.25">
      <c r="A105" s="10">
        <v>2002</v>
      </c>
      <c r="B105" s="10">
        <v>8</v>
      </c>
      <c r="C105" s="15">
        <v>12177.639323130201</v>
      </c>
      <c r="G105" s="21">
        <v>2002</v>
      </c>
      <c r="H105" s="21">
        <v>8</v>
      </c>
      <c r="I105" s="21">
        <v>12167.1031472877</v>
      </c>
    </row>
    <row r="106" spans="1:9" x14ac:dyDescent="0.25">
      <c r="A106" s="10">
        <v>2002</v>
      </c>
      <c r="B106" s="10">
        <v>9</v>
      </c>
      <c r="C106" s="15">
        <v>13117.859673265801</v>
      </c>
      <c r="G106" s="21">
        <v>2002</v>
      </c>
      <c r="H106" s="21">
        <v>9</v>
      </c>
      <c r="I106" s="21">
        <v>13124.113596216899</v>
      </c>
    </row>
    <row r="107" spans="1:9" x14ac:dyDescent="0.25">
      <c r="A107" s="10">
        <v>2002</v>
      </c>
      <c r="B107" s="10">
        <v>10</v>
      </c>
      <c r="C107" s="15">
        <v>12143.6488634503</v>
      </c>
      <c r="G107" s="21">
        <v>2002</v>
      </c>
      <c r="H107" s="21">
        <v>10</v>
      </c>
      <c r="I107" s="21">
        <v>12030.7938256091</v>
      </c>
    </row>
    <row r="108" spans="1:9" x14ac:dyDescent="0.25">
      <c r="A108" s="10">
        <v>2002</v>
      </c>
      <c r="B108" s="10">
        <v>11</v>
      </c>
      <c r="C108" s="15">
        <v>12332.114049935</v>
      </c>
      <c r="G108" s="21">
        <v>2002</v>
      </c>
      <c r="H108" s="21">
        <v>11</v>
      </c>
      <c r="I108" s="21">
        <v>12329.132966195701</v>
      </c>
    </row>
    <row r="109" spans="1:9" x14ac:dyDescent="0.25">
      <c r="A109" s="10">
        <v>2002</v>
      </c>
      <c r="B109" s="10">
        <v>12</v>
      </c>
      <c r="C109" s="15">
        <v>14593.4710541434</v>
      </c>
      <c r="G109" s="21">
        <v>2002</v>
      </c>
      <c r="H109" s="21">
        <v>12</v>
      </c>
      <c r="I109" s="21">
        <v>14559.8300416577</v>
      </c>
    </row>
    <row r="110" spans="1:9" x14ac:dyDescent="0.25">
      <c r="A110" s="10">
        <v>2003</v>
      </c>
      <c r="B110" s="10">
        <v>1</v>
      </c>
      <c r="C110" s="15">
        <v>16391.069038318201</v>
      </c>
      <c r="G110" s="21">
        <v>2003</v>
      </c>
      <c r="H110" s="21">
        <v>1</v>
      </c>
      <c r="I110" s="21">
        <v>16516.478385310402</v>
      </c>
    </row>
    <row r="111" spans="1:9" x14ac:dyDescent="0.25">
      <c r="A111" s="10">
        <v>2003</v>
      </c>
      <c r="B111" s="10">
        <v>2</v>
      </c>
      <c r="C111" s="15">
        <v>14833.741915381301</v>
      </c>
      <c r="G111" s="21">
        <v>2003</v>
      </c>
      <c r="H111" s="21">
        <v>2</v>
      </c>
      <c r="I111" s="21">
        <v>15500.939490459699</v>
      </c>
    </row>
    <row r="112" spans="1:9" x14ac:dyDescent="0.25">
      <c r="A112" s="10">
        <v>2003</v>
      </c>
      <c r="B112" s="10">
        <v>3</v>
      </c>
      <c r="C112" s="15">
        <v>13578.344344523901</v>
      </c>
      <c r="G112" s="21">
        <v>2003</v>
      </c>
      <c r="H112" s="21">
        <v>3</v>
      </c>
      <c r="I112" s="21">
        <v>13627.1979390411</v>
      </c>
    </row>
    <row r="113" spans="1:9" x14ac:dyDescent="0.25">
      <c r="A113" s="10">
        <v>2003</v>
      </c>
      <c r="B113" s="10">
        <v>4</v>
      </c>
      <c r="C113" s="15">
        <v>12479.6188236939</v>
      </c>
      <c r="G113" s="21">
        <v>2003</v>
      </c>
      <c r="H113" s="21">
        <v>4</v>
      </c>
      <c r="I113" s="21">
        <v>12354.8573607013</v>
      </c>
    </row>
    <row r="114" spans="1:9" x14ac:dyDescent="0.25">
      <c r="A114" s="10">
        <v>2003</v>
      </c>
      <c r="B114" s="10">
        <v>5</v>
      </c>
      <c r="C114" s="15">
        <v>12317.2251280415</v>
      </c>
      <c r="G114" s="21">
        <v>2003</v>
      </c>
      <c r="H114" s="21">
        <v>5</v>
      </c>
      <c r="I114" s="21">
        <v>12303.893950355599</v>
      </c>
    </row>
    <row r="115" spans="1:9" x14ac:dyDescent="0.25">
      <c r="A115" s="10">
        <v>2003</v>
      </c>
      <c r="B115" s="10">
        <v>6</v>
      </c>
      <c r="C115" s="15">
        <v>12010.931547882201</v>
      </c>
      <c r="G115" s="21">
        <v>2003</v>
      </c>
      <c r="H115" s="21">
        <v>6</v>
      </c>
      <c r="I115" s="21">
        <v>12011.7311384366</v>
      </c>
    </row>
    <row r="116" spans="1:9" x14ac:dyDescent="0.25">
      <c r="A116" s="10">
        <v>2003</v>
      </c>
      <c r="B116" s="10">
        <v>7</v>
      </c>
      <c r="C116" s="15">
        <v>9077.2747283606204</v>
      </c>
      <c r="G116" s="21">
        <v>2003</v>
      </c>
      <c r="H116" s="21">
        <v>7</v>
      </c>
      <c r="I116" s="21">
        <v>8823.4226606966804</v>
      </c>
    </row>
    <row r="117" spans="1:9" x14ac:dyDescent="0.25">
      <c r="A117" s="10">
        <v>2003</v>
      </c>
      <c r="B117" s="10">
        <v>8</v>
      </c>
      <c r="C117" s="15">
        <v>13379.911935358799</v>
      </c>
      <c r="G117" s="21">
        <v>2003</v>
      </c>
      <c r="H117" s="21">
        <v>8</v>
      </c>
      <c r="I117" s="21">
        <v>13503.2193956996</v>
      </c>
    </row>
    <row r="118" spans="1:9" x14ac:dyDescent="0.25">
      <c r="A118" s="10">
        <v>2003</v>
      </c>
      <c r="B118" s="10">
        <v>9</v>
      </c>
      <c r="C118" s="15">
        <v>12114.4647817319</v>
      </c>
      <c r="G118" s="21">
        <v>2003</v>
      </c>
      <c r="H118" s="21">
        <v>9</v>
      </c>
      <c r="I118" s="21">
        <v>12037.272287222</v>
      </c>
    </row>
    <row r="119" spans="1:9" x14ac:dyDescent="0.25">
      <c r="A119" s="10">
        <v>2003</v>
      </c>
      <c r="B119" s="10">
        <v>10</v>
      </c>
      <c r="C119" s="15">
        <v>12232.6587046444</v>
      </c>
      <c r="G119" s="21">
        <v>2003</v>
      </c>
      <c r="H119" s="21">
        <v>10</v>
      </c>
      <c r="I119" s="21">
        <v>12126.262695167999</v>
      </c>
    </row>
    <row r="120" spans="1:9" x14ac:dyDescent="0.25">
      <c r="A120" s="10">
        <v>2003</v>
      </c>
      <c r="B120" s="10">
        <v>11</v>
      </c>
      <c r="C120" s="15">
        <v>15822.913797240401</v>
      </c>
      <c r="G120" s="21">
        <v>2003</v>
      </c>
      <c r="H120" s="21">
        <v>11</v>
      </c>
      <c r="I120" s="21">
        <v>15960.6933340374</v>
      </c>
    </row>
    <row r="121" spans="1:9" x14ac:dyDescent="0.25">
      <c r="A121" s="10">
        <v>2003</v>
      </c>
      <c r="B121" s="10">
        <v>12</v>
      </c>
      <c r="C121" s="15">
        <v>14709.9563955458</v>
      </c>
      <c r="G121" s="21">
        <v>2003</v>
      </c>
      <c r="H121" s="21">
        <v>12</v>
      </c>
      <c r="I121" s="21">
        <v>14574.322634027099</v>
      </c>
    </row>
    <row r="122" spans="1:9" x14ac:dyDescent="0.25">
      <c r="A122" s="10">
        <v>2004</v>
      </c>
      <c r="B122" s="10">
        <v>1</v>
      </c>
      <c r="C122" s="15">
        <v>21004.500797611301</v>
      </c>
      <c r="G122" s="21">
        <v>2004</v>
      </c>
      <c r="H122" s="21">
        <v>1</v>
      </c>
      <c r="I122" s="21">
        <v>21140.0539719808</v>
      </c>
    </row>
    <row r="123" spans="1:9" x14ac:dyDescent="0.25">
      <c r="A123" s="10">
        <v>2004</v>
      </c>
      <c r="B123" s="10">
        <v>2</v>
      </c>
      <c r="C123" s="15">
        <v>20253.314709243699</v>
      </c>
      <c r="G123" s="21">
        <v>2004</v>
      </c>
      <c r="H123" s="21">
        <v>2</v>
      </c>
      <c r="I123" s="21">
        <v>19576.970906266</v>
      </c>
    </row>
    <row r="124" spans="1:9" x14ac:dyDescent="0.25">
      <c r="A124" s="10">
        <v>2004</v>
      </c>
      <c r="B124" s="10">
        <v>3</v>
      </c>
      <c r="C124" s="15">
        <v>18482.698638222799</v>
      </c>
      <c r="G124" s="21">
        <v>2004</v>
      </c>
      <c r="H124" s="21">
        <v>3</v>
      </c>
      <c r="I124" s="21">
        <v>18317.132681048701</v>
      </c>
    </row>
    <row r="125" spans="1:9" x14ac:dyDescent="0.25">
      <c r="A125" s="10">
        <v>2004</v>
      </c>
      <c r="B125" s="10">
        <v>4</v>
      </c>
      <c r="C125" s="15">
        <v>17238.121642689701</v>
      </c>
      <c r="G125" s="21">
        <v>2004</v>
      </c>
      <c r="H125" s="21">
        <v>4</v>
      </c>
      <c r="I125" s="21">
        <v>17110.181962074199</v>
      </c>
    </row>
    <row r="126" spans="1:9" x14ac:dyDescent="0.25">
      <c r="A126" s="10">
        <v>2004</v>
      </c>
      <c r="B126" s="10">
        <v>5</v>
      </c>
      <c r="C126" s="15">
        <v>20773.735538343499</v>
      </c>
      <c r="G126" s="21">
        <v>2004</v>
      </c>
      <c r="H126" s="21">
        <v>5</v>
      </c>
      <c r="I126" s="21">
        <v>20876.635805844799</v>
      </c>
    </row>
    <row r="127" spans="1:9" x14ac:dyDescent="0.25">
      <c r="A127" s="10">
        <v>2004</v>
      </c>
      <c r="B127" s="10">
        <v>6</v>
      </c>
      <c r="C127" s="15">
        <v>19055.112181040698</v>
      </c>
      <c r="G127" s="21">
        <v>2004</v>
      </c>
      <c r="H127" s="21">
        <v>6</v>
      </c>
      <c r="I127" s="21">
        <v>18963.8154007667</v>
      </c>
    </row>
    <row r="128" spans="1:9" x14ac:dyDescent="0.25">
      <c r="A128" s="10">
        <v>2004</v>
      </c>
      <c r="B128" s="10">
        <v>7</v>
      </c>
      <c r="C128" s="15">
        <v>18748.769307523002</v>
      </c>
      <c r="G128" s="21">
        <v>2004</v>
      </c>
      <c r="H128" s="21">
        <v>7</v>
      </c>
      <c r="I128" s="21">
        <v>18606.678550257799</v>
      </c>
    </row>
    <row r="129" spans="1:9" x14ac:dyDescent="0.25">
      <c r="A129" s="10">
        <v>2004</v>
      </c>
      <c r="B129" s="10">
        <v>8</v>
      </c>
      <c r="C129" s="15">
        <v>19364.698526403499</v>
      </c>
      <c r="G129" s="21">
        <v>2004</v>
      </c>
      <c r="H129" s="21">
        <v>8</v>
      </c>
      <c r="I129" s="21">
        <v>19399.242196704799</v>
      </c>
    </row>
    <row r="130" spans="1:9" x14ac:dyDescent="0.25">
      <c r="A130" s="10">
        <v>2004</v>
      </c>
      <c r="B130" s="10">
        <v>9</v>
      </c>
      <c r="C130" s="15">
        <v>20484.4018699189</v>
      </c>
      <c r="G130" s="21">
        <v>2004</v>
      </c>
      <c r="H130" s="21">
        <v>9</v>
      </c>
      <c r="I130" s="21">
        <v>20438.400981438201</v>
      </c>
    </row>
    <row r="131" spans="1:9" x14ac:dyDescent="0.25">
      <c r="A131" s="10">
        <v>2004</v>
      </c>
      <c r="B131" s="10">
        <v>10</v>
      </c>
      <c r="C131" s="15">
        <v>22301.9382490014</v>
      </c>
      <c r="G131" s="21">
        <v>2004</v>
      </c>
      <c r="H131" s="21">
        <v>10</v>
      </c>
      <c r="I131" s="21">
        <v>22440.6432517004</v>
      </c>
    </row>
    <row r="132" spans="1:9" x14ac:dyDescent="0.25">
      <c r="A132" s="10">
        <v>2004</v>
      </c>
      <c r="B132" s="10">
        <v>11</v>
      </c>
      <c r="C132" s="15">
        <v>21168.354676772899</v>
      </c>
      <c r="G132" s="21">
        <v>2004</v>
      </c>
      <c r="H132" s="21">
        <v>11</v>
      </c>
      <c r="I132" s="21">
        <v>21113.213332384799</v>
      </c>
    </row>
    <row r="133" spans="1:9" x14ac:dyDescent="0.25">
      <c r="A133" s="10">
        <v>2004</v>
      </c>
      <c r="B133" s="10">
        <v>12</v>
      </c>
      <c r="C133" s="15">
        <v>23185.771882659701</v>
      </c>
      <c r="G133" s="21">
        <v>2004</v>
      </c>
      <c r="H133" s="21">
        <v>12</v>
      </c>
      <c r="I133" s="21">
        <v>23081.0927290945</v>
      </c>
    </row>
    <row r="134" spans="1:9" x14ac:dyDescent="0.25">
      <c r="A134" s="10">
        <v>2005</v>
      </c>
      <c r="B134" s="10">
        <v>1</v>
      </c>
      <c r="C134" s="15">
        <v>32347.7187458355</v>
      </c>
      <c r="G134" s="21">
        <v>2005</v>
      </c>
      <c r="H134" s="21">
        <v>1</v>
      </c>
      <c r="I134" s="21">
        <v>32572.2301419449</v>
      </c>
    </row>
    <row r="135" spans="1:9" x14ac:dyDescent="0.25">
      <c r="A135" s="10">
        <v>2005</v>
      </c>
      <c r="B135" s="10">
        <v>2</v>
      </c>
      <c r="C135" s="15">
        <v>19217.000664098101</v>
      </c>
      <c r="G135" s="21">
        <v>2005</v>
      </c>
      <c r="H135" s="21">
        <v>2</v>
      </c>
      <c r="I135" s="21">
        <v>19603.230193985</v>
      </c>
    </row>
    <row r="136" spans="1:9" x14ac:dyDescent="0.25">
      <c r="A136" s="10">
        <v>2005</v>
      </c>
      <c r="B136" s="10">
        <v>3</v>
      </c>
      <c r="C136" s="15">
        <v>24073.928706283499</v>
      </c>
      <c r="G136" s="21">
        <v>2005</v>
      </c>
      <c r="H136" s="21">
        <v>3</v>
      </c>
      <c r="I136" s="21">
        <v>23968.0777730339</v>
      </c>
    </row>
    <row r="137" spans="1:9" x14ac:dyDescent="0.25">
      <c r="A137" s="10">
        <v>2005</v>
      </c>
      <c r="B137" s="10">
        <v>4</v>
      </c>
      <c r="C137" s="15">
        <v>25669.833103633999</v>
      </c>
      <c r="G137" s="21">
        <v>2005</v>
      </c>
      <c r="H137" s="21">
        <v>4</v>
      </c>
      <c r="I137" s="21">
        <v>25674.638929025601</v>
      </c>
    </row>
    <row r="138" spans="1:9" x14ac:dyDescent="0.25">
      <c r="A138" s="10">
        <v>2005</v>
      </c>
      <c r="B138" s="10">
        <v>5</v>
      </c>
      <c r="C138" s="15">
        <v>24985.623880510801</v>
      </c>
      <c r="G138" s="21">
        <v>2005</v>
      </c>
      <c r="H138" s="21">
        <v>5</v>
      </c>
      <c r="I138" s="21">
        <v>24987.612892280398</v>
      </c>
    </row>
    <row r="139" spans="1:9" x14ac:dyDescent="0.25">
      <c r="A139" s="10">
        <v>2005</v>
      </c>
      <c r="B139" s="10">
        <v>6</v>
      </c>
      <c r="C139" s="15">
        <v>23461.983995995401</v>
      </c>
      <c r="G139" s="21">
        <v>2005</v>
      </c>
      <c r="H139" s="21">
        <v>6</v>
      </c>
      <c r="I139" s="21">
        <v>23425.738304326998</v>
      </c>
    </row>
    <row r="140" spans="1:9" x14ac:dyDescent="0.25">
      <c r="A140" s="10">
        <v>2005</v>
      </c>
      <c r="B140" s="10">
        <v>7</v>
      </c>
      <c r="C140" s="15">
        <v>25671.687577725101</v>
      </c>
      <c r="G140" s="21">
        <v>2005</v>
      </c>
      <c r="H140" s="21">
        <v>7</v>
      </c>
      <c r="I140" s="21">
        <v>25676.078199669399</v>
      </c>
    </row>
    <row r="141" spans="1:9" x14ac:dyDescent="0.25">
      <c r="A141" s="10">
        <v>2005</v>
      </c>
      <c r="B141" s="10">
        <v>8</v>
      </c>
      <c r="C141" s="15">
        <v>23386.757851976901</v>
      </c>
      <c r="G141" s="21">
        <v>2005</v>
      </c>
      <c r="H141" s="21">
        <v>8</v>
      </c>
      <c r="I141" s="21">
        <v>23323.51692029</v>
      </c>
    </row>
    <row r="142" spans="1:9" x14ac:dyDescent="0.25">
      <c r="A142" s="10">
        <v>2005</v>
      </c>
      <c r="B142" s="10">
        <v>9</v>
      </c>
      <c r="C142" s="15">
        <v>22613.385397406499</v>
      </c>
      <c r="G142" s="21">
        <v>2005</v>
      </c>
      <c r="H142" s="21">
        <v>9</v>
      </c>
      <c r="I142" s="21">
        <v>22581.369272722899</v>
      </c>
    </row>
    <row r="143" spans="1:9" x14ac:dyDescent="0.25">
      <c r="A143" s="10">
        <v>2005</v>
      </c>
      <c r="B143" s="10">
        <v>10</v>
      </c>
      <c r="C143" s="15">
        <v>25668.836623869502</v>
      </c>
      <c r="G143" s="21">
        <v>2005</v>
      </c>
      <c r="H143" s="21">
        <v>10</v>
      </c>
      <c r="I143" s="21">
        <v>25819.921339350101</v>
      </c>
    </row>
    <row r="144" spans="1:9" x14ac:dyDescent="0.25">
      <c r="A144" s="10">
        <v>2005</v>
      </c>
      <c r="B144" s="10">
        <v>11</v>
      </c>
      <c r="C144" s="15">
        <v>26615.0649904202</v>
      </c>
      <c r="G144" s="21">
        <v>2005</v>
      </c>
      <c r="H144" s="21">
        <v>11</v>
      </c>
      <c r="I144" s="21">
        <v>26593.925677805</v>
      </c>
    </row>
    <row r="145" spans="1:9" x14ac:dyDescent="0.25">
      <c r="A145" s="10">
        <v>2005</v>
      </c>
      <c r="B145" s="10">
        <v>12</v>
      </c>
      <c r="C145" s="15">
        <v>24018.641585759498</v>
      </c>
      <c r="G145" s="21">
        <v>2005</v>
      </c>
      <c r="H145" s="21">
        <v>12</v>
      </c>
      <c r="I145" s="21">
        <v>24050.306120744299</v>
      </c>
    </row>
    <row r="146" spans="1:9" x14ac:dyDescent="0.25">
      <c r="A146" s="10">
        <v>2006</v>
      </c>
      <c r="B146" s="10">
        <v>1</v>
      </c>
      <c r="C146" s="15">
        <v>22836.512806925599</v>
      </c>
      <c r="G146" s="21">
        <v>2006</v>
      </c>
      <c r="H146" s="21">
        <v>1</v>
      </c>
      <c r="I146" s="21">
        <v>22925.653894025199</v>
      </c>
    </row>
    <row r="147" spans="1:9" x14ac:dyDescent="0.25">
      <c r="A147" s="10">
        <v>2006</v>
      </c>
      <c r="B147" s="10">
        <v>2</v>
      </c>
      <c r="C147" s="15">
        <v>37122.137113260003</v>
      </c>
      <c r="G147" s="21">
        <v>2006</v>
      </c>
      <c r="H147" s="21">
        <v>2</v>
      </c>
      <c r="I147" s="21">
        <v>37263.7451518858</v>
      </c>
    </row>
    <row r="148" spans="1:9" x14ac:dyDescent="0.25">
      <c r="A148" s="10">
        <v>2006</v>
      </c>
      <c r="B148" s="10">
        <v>3</v>
      </c>
      <c r="C148" s="15">
        <v>30859.725366031998</v>
      </c>
      <c r="G148" s="21">
        <v>2006</v>
      </c>
      <c r="H148" s="21">
        <v>3</v>
      </c>
      <c r="I148" s="21">
        <v>30787.957564769698</v>
      </c>
    </row>
    <row r="149" spans="1:9" x14ac:dyDescent="0.25">
      <c r="A149" s="10">
        <v>2006</v>
      </c>
      <c r="B149" s="10">
        <v>4</v>
      </c>
      <c r="C149" s="15">
        <v>32834.848986924102</v>
      </c>
      <c r="G149" s="21">
        <v>2006</v>
      </c>
      <c r="H149" s="21">
        <v>4</v>
      </c>
      <c r="I149" s="21">
        <v>32977.575449419899</v>
      </c>
    </row>
    <row r="150" spans="1:9" x14ac:dyDescent="0.25">
      <c r="A150" s="10">
        <v>2006</v>
      </c>
      <c r="B150" s="10">
        <v>5</v>
      </c>
      <c r="C150" s="15">
        <v>28173.775025752999</v>
      </c>
      <c r="G150" s="21">
        <v>2006</v>
      </c>
      <c r="H150" s="21">
        <v>5</v>
      </c>
      <c r="I150" s="21">
        <v>28078.932906016202</v>
      </c>
    </row>
    <row r="151" spans="1:9" x14ac:dyDescent="0.25">
      <c r="A151" s="10">
        <v>2006</v>
      </c>
      <c r="B151" s="10">
        <v>6</v>
      </c>
      <c r="C151" s="15">
        <v>32264.994386695002</v>
      </c>
      <c r="G151" s="21">
        <v>2006</v>
      </c>
      <c r="H151" s="21">
        <v>6</v>
      </c>
      <c r="I151" s="21">
        <v>32282.538796356399</v>
      </c>
    </row>
    <row r="152" spans="1:9" x14ac:dyDescent="0.25">
      <c r="A152" s="10">
        <v>2006</v>
      </c>
      <c r="B152" s="10">
        <v>7</v>
      </c>
      <c r="C152" s="15">
        <v>35020.346378435097</v>
      </c>
      <c r="G152" s="21">
        <v>2006</v>
      </c>
      <c r="H152" s="21">
        <v>7</v>
      </c>
      <c r="I152" s="21">
        <v>35072.830314724102</v>
      </c>
    </row>
    <row r="153" spans="1:9" x14ac:dyDescent="0.25">
      <c r="A153" s="10">
        <v>2006</v>
      </c>
      <c r="B153" s="10">
        <v>8</v>
      </c>
      <c r="C153" s="15">
        <v>34243.111212645897</v>
      </c>
      <c r="G153" s="21">
        <v>2006</v>
      </c>
      <c r="H153" s="21">
        <v>8</v>
      </c>
      <c r="I153" s="21">
        <v>34185.580344826303</v>
      </c>
    </row>
    <row r="154" spans="1:9" x14ac:dyDescent="0.25">
      <c r="A154" s="10">
        <v>2006</v>
      </c>
      <c r="B154" s="10">
        <v>9</v>
      </c>
      <c r="C154" s="15">
        <v>37417.347786522601</v>
      </c>
      <c r="G154" s="21">
        <v>2006</v>
      </c>
      <c r="H154" s="21">
        <v>9</v>
      </c>
      <c r="I154" s="21">
        <v>37503.598259847196</v>
      </c>
    </row>
    <row r="155" spans="1:9" x14ac:dyDescent="0.25">
      <c r="A155" s="10">
        <v>2006</v>
      </c>
      <c r="B155" s="10">
        <v>10</v>
      </c>
      <c r="C155" s="15">
        <v>35498.493144898603</v>
      </c>
      <c r="G155" s="21">
        <v>2006</v>
      </c>
      <c r="H155" s="21">
        <v>10</v>
      </c>
      <c r="I155" s="21">
        <v>35554.426614304</v>
      </c>
    </row>
    <row r="156" spans="1:9" x14ac:dyDescent="0.25">
      <c r="A156" s="10">
        <v>2006</v>
      </c>
      <c r="B156" s="10">
        <v>11</v>
      </c>
      <c r="C156" s="15">
        <v>39407.598641260898</v>
      </c>
      <c r="G156" s="21">
        <v>2006</v>
      </c>
      <c r="H156" s="21">
        <v>11</v>
      </c>
      <c r="I156" s="21">
        <v>39414.875182987198</v>
      </c>
    </row>
    <row r="157" spans="1:9" x14ac:dyDescent="0.25">
      <c r="A157" s="10">
        <v>2006</v>
      </c>
      <c r="B157" s="10">
        <v>12</v>
      </c>
      <c r="C157" s="15">
        <v>41485.322728623403</v>
      </c>
      <c r="G157" s="21">
        <v>2006</v>
      </c>
      <c r="H157" s="21">
        <v>12</v>
      </c>
      <c r="I157" s="21">
        <v>41668.549628581401</v>
      </c>
    </row>
    <row r="158" spans="1:9" x14ac:dyDescent="0.25">
      <c r="A158" s="10">
        <v>2007</v>
      </c>
      <c r="B158" s="10">
        <v>1</v>
      </c>
      <c r="C158" s="15">
        <v>27602.004863869501</v>
      </c>
      <c r="G158" s="21">
        <v>2007</v>
      </c>
      <c r="H158" s="21">
        <v>1</v>
      </c>
      <c r="I158" s="21">
        <v>27585.036411559999</v>
      </c>
    </row>
    <row r="159" spans="1:9" x14ac:dyDescent="0.25">
      <c r="A159" s="10">
        <v>2007</v>
      </c>
      <c r="B159" s="10">
        <v>2</v>
      </c>
      <c r="C159" s="15">
        <v>45931.861116278204</v>
      </c>
      <c r="G159" s="21">
        <v>2007</v>
      </c>
      <c r="H159" s="21">
        <v>2</v>
      </c>
      <c r="I159" s="21">
        <v>45760.9774601885</v>
      </c>
    </row>
    <row r="160" spans="1:9" x14ac:dyDescent="0.25">
      <c r="A160" s="10">
        <v>2007</v>
      </c>
      <c r="B160" s="10">
        <v>3</v>
      </c>
      <c r="C160" s="15">
        <v>42631.597508039202</v>
      </c>
      <c r="G160" s="21">
        <v>2007</v>
      </c>
      <c r="H160" s="21">
        <v>3</v>
      </c>
      <c r="I160" s="21">
        <v>42731.480682123998</v>
      </c>
    </row>
    <row r="161" spans="1:9" x14ac:dyDescent="0.25">
      <c r="A161" s="10">
        <v>2007</v>
      </c>
      <c r="B161" s="10">
        <v>4</v>
      </c>
      <c r="C161" s="15">
        <v>39195.440586354598</v>
      </c>
      <c r="G161" s="21">
        <v>2007</v>
      </c>
      <c r="H161" s="21">
        <v>4</v>
      </c>
      <c r="I161" s="21">
        <v>39274.840651556799</v>
      </c>
    </row>
    <row r="162" spans="1:9" x14ac:dyDescent="0.25">
      <c r="A162" s="10">
        <v>2007</v>
      </c>
      <c r="B162" s="10">
        <v>5</v>
      </c>
      <c r="C162" s="15">
        <v>41047.667451754802</v>
      </c>
      <c r="G162" s="21">
        <v>2007</v>
      </c>
      <c r="H162" s="21">
        <v>5</v>
      </c>
      <c r="I162" s="21">
        <v>40972.546047662203</v>
      </c>
    </row>
    <row r="163" spans="1:9" x14ac:dyDescent="0.25">
      <c r="A163" s="10">
        <v>2007</v>
      </c>
      <c r="B163" s="10">
        <v>6</v>
      </c>
      <c r="C163" s="15">
        <v>44624.454093186003</v>
      </c>
      <c r="G163" s="21">
        <v>2007</v>
      </c>
      <c r="H163" s="21">
        <v>6</v>
      </c>
      <c r="I163" s="21">
        <v>44804.242886337299</v>
      </c>
    </row>
    <row r="164" spans="1:9" x14ac:dyDescent="0.25">
      <c r="A164" s="10">
        <v>2007</v>
      </c>
      <c r="B164" s="10">
        <v>7</v>
      </c>
      <c r="C164" s="15">
        <v>38942.166047043102</v>
      </c>
      <c r="G164" s="21">
        <v>2007</v>
      </c>
      <c r="H164" s="21">
        <v>7</v>
      </c>
      <c r="I164" s="21">
        <v>38938.148836371802</v>
      </c>
    </row>
    <row r="165" spans="1:9" x14ac:dyDescent="0.25">
      <c r="A165" s="10">
        <v>2007</v>
      </c>
      <c r="B165" s="10">
        <v>8</v>
      </c>
      <c r="C165" s="15">
        <v>43943.330693135598</v>
      </c>
      <c r="G165" s="21">
        <v>2007</v>
      </c>
      <c r="H165" s="21">
        <v>8</v>
      </c>
      <c r="I165" s="21">
        <v>43867.285114785103</v>
      </c>
    </row>
    <row r="166" spans="1:9" x14ac:dyDescent="0.25">
      <c r="A166" s="10">
        <v>2007</v>
      </c>
      <c r="B166" s="10">
        <v>9</v>
      </c>
      <c r="C166" s="15">
        <v>42238.494214666302</v>
      </c>
      <c r="G166" s="21">
        <v>2007</v>
      </c>
      <c r="H166" s="21">
        <v>9</v>
      </c>
      <c r="I166" s="21">
        <v>42436.820772720101</v>
      </c>
    </row>
    <row r="167" spans="1:9" x14ac:dyDescent="0.25">
      <c r="A167" s="10">
        <v>2007</v>
      </c>
      <c r="B167" s="10">
        <v>10</v>
      </c>
      <c r="C167" s="15">
        <v>44960.489099041501</v>
      </c>
      <c r="G167" s="21">
        <v>2007</v>
      </c>
      <c r="H167" s="21">
        <v>10</v>
      </c>
      <c r="I167" s="21">
        <v>44908.071762932799</v>
      </c>
    </row>
    <row r="168" spans="1:9" x14ac:dyDescent="0.25">
      <c r="A168" s="10">
        <v>2007</v>
      </c>
      <c r="B168" s="10">
        <v>11</v>
      </c>
      <c r="C168" s="15">
        <v>49133.926642205297</v>
      </c>
      <c r="G168" s="21">
        <v>2007</v>
      </c>
      <c r="H168" s="21">
        <v>11</v>
      </c>
      <c r="I168" s="21">
        <v>49144.2492191891</v>
      </c>
    </row>
    <row r="169" spans="1:9" x14ac:dyDescent="0.25">
      <c r="A169" s="10">
        <v>2007</v>
      </c>
      <c r="B169" s="10">
        <v>12</v>
      </c>
      <c r="C169" s="15">
        <v>50391.873723236902</v>
      </c>
      <c r="G169" s="21">
        <v>2007</v>
      </c>
      <c r="H169" s="21">
        <v>12</v>
      </c>
      <c r="I169" s="21">
        <v>50599.929501069302</v>
      </c>
    </row>
    <row r="170" spans="1:9" x14ac:dyDescent="0.25">
      <c r="A170" s="10">
        <v>2008</v>
      </c>
      <c r="B170" s="10">
        <v>1</v>
      </c>
      <c r="C170" s="15">
        <v>52962.018887235201</v>
      </c>
      <c r="G170" s="21">
        <v>2008</v>
      </c>
      <c r="H170" s="21">
        <v>1</v>
      </c>
      <c r="I170" s="21">
        <v>52925.648290079102</v>
      </c>
    </row>
    <row r="171" spans="1:9" x14ac:dyDescent="0.25">
      <c r="A171" s="10">
        <v>2008</v>
      </c>
      <c r="B171" s="10">
        <v>2</v>
      </c>
      <c r="C171" s="15">
        <v>44071.380837495599</v>
      </c>
      <c r="G171" s="21">
        <v>2008</v>
      </c>
      <c r="H171" s="21">
        <v>2</v>
      </c>
      <c r="I171" s="21">
        <v>42326.106579175597</v>
      </c>
    </row>
    <row r="172" spans="1:9" x14ac:dyDescent="0.25">
      <c r="A172" s="10">
        <v>2008</v>
      </c>
      <c r="B172" s="10">
        <v>3</v>
      </c>
      <c r="C172" s="15">
        <v>47734.636379271498</v>
      </c>
      <c r="G172" s="21">
        <v>2008</v>
      </c>
      <c r="H172" s="21">
        <v>3</v>
      </c>
      <c r="I172" s="21">
        <v>47977.897441030902</v>
      </c>
    </row>
    <row r="173" spans="1:9" x14ac:dyDescent="0.25">
      <c r="A173" s="10">
        <v>2008</v>
      </c>
      <c r="B173" s="10">
        <v>4</v>
      </c>
      <c r="C173" s="15">
        <v>50337.499661403599</v>
      </c>
      <c r="G173" s="21">
        <v>2008</v>
      </c>
      <c r="H173" s="21">
        <v>4</v>
      </c>
      <c r="I173" s="21">
        <v>50345.016290904801</v>
      </c>
    </row>
    <row r="174" spans="1:9" x14ac:dyDescent="0.25">
      <c r="A174" s="10">
        <v>2008</v>
      </c>
      <c r="B174" s="10">
        <v>5</v>
      </c>
      <c r="C174" s="15">
        <v>50518.896564590897</v>
      </c>
      <c r="G174" s="21">
        <v>2008</v>
      </c>
      <c r="H174" s="21">
        <v>5</v>
      </c>
      <c r="I174" s="21">
        <v>50570.593011830897</v>
      </c>
    </row>
    <row r="175" spans="1:9" x14ac:dyDescent="0.25">
      <c r="A175" s="10">
        <v>2008</v>
      </c>
      <c r="B175" s="10">
        <v>6</v>
      </c>
      <c r="C175" s="15">
        <v>45908.078611250399</v>
      </c>
      <c r="G175" s="21">
        <v>2008</v>
      </c>
      <c r="H175" s="21">
        <v>6</v>
      </c>
      <c r="I175" s="21">
        <v>46107.257077057198</v>
      </c>
    </row>
    <row r="176" spans="1:9" x14ac:dyDescent="0.25">
      <c r="A176" s="10">
        <v>2008</v>
      </c>
      <c r="B176" s="10">
        <v>7</v>
      </c>
      <c r="C176" s="15">
        <v>54933.133556037901</v>
      </c>
      <c r="G176" s="21">
        <v>2008</v>
      </c>
      <c r="H176" s="21">
        <v>7</v>
      </c>
      <c r="I176" s="21">
        <v>54840.5161584987</v>
      </c>
    </row>
    <row r="177" spans="1:9" x14ac:dyDescent="0.25">
      <c r="A177" s="10">
        <v>2008</v>
      </c>
      <c r="B177" s="10">
        <v>8</v>
      </c>
      <c r="C177" s="15">
        <v>49180.855535174298</v>
      </c>
      <c r="G177" s="21">
        <v>2008</v>
      </c>
      <c r="H177" s="21">
        <v>8</v>
      </c>
      <c r="I177" s="21">
        <v>49324.395564986298</v>
      </c>
    </row>
    <row r="178" spans="1:9" x14ac:dyDescent="0.25">
      <c r="A178" s="10">
        <v>2008</v>
      </c>
      <c r="B178" s="10">
        <v>9</v>
      </c>
      <c r="C178" s="15">
        <v>50187.490163370501</v>
      </c>
      <c r="G178" s="21">
        <v>2008</v>
      </c>
      <c r="H178" s="21">
        <v>9</v>
      </c>
      <c r="I178" s="21">
        <v>50147.303288984898</v>
      </c>
    </row>
    <row r="179" spans="1:9" x14ac:dyDescent="0.25">
      <c r="A179" s="10">
        <v>2008</v>
      </c>
      <c r="B179" s="10">
        <v>10</v>
      </c>
      <c r="C179" s="15">
        <v>46703.090236812102</v>
      </c>
      <c r="G179" s="21">
        <v>2008</v>
      </c>
      <c r="H179" s="21">
        <v>10</v>
      </c>
      <c r="I179" s="21">
        <v>46634.847273158499</v>
      </c>
    </row>
    <row r="180" spans="1:9" x14ac:dyDescent="0.25">
      <c r="A180" s="10">
        <v>2008</v>
      </c>
      <c r="B180" s="10">
        <v>11</v>
      </c>
      <c r="C180" s="15">
        <v>35109.152863654097</v>
      </c>
      <c r="G180" s="21">
        <v>2008</v>
      </c>
      <c r="H180" s="21">
        <v>11</v>
      </c>
      <c r="I180" s="21">
        <v>35330.186189181397</v>
      </c>
    </row>
    <row r="181" spans="1:9" x14ac:dyDescent="0.25">
      <c r="A181" s="10">
        <v>2008</v>
      </c>
      <c r="B181" s="10">
        <v>12</v>
      </c>
      <c r="C181" s="15">
        <v>27144.277450505499</v>
      </c>
      <c r="G181" s="21">
        <v>2008</v>
      </c>
      <c r="H181" s="21">
        <v>12</v>
      </c>
      <c r="I181" s="21">
        <v>27148.1087814817</v>
      </c>
    </row>
    <row r="182" spans="1:9" x14ac:dyDescent="0.25">
      <c r="A182" s="10">
        <v>2009</v>
      </c>
      <c r="B182" s="10">
        <v>1</v>
      </c>
      <c r="C182" s="15">
        <v>34624.750310463503</v>
      </c>
      <c r="G182" s="21">
        <v>2009</v>
      </c>
      <c r="H182" s="21">
        <v>1</v>
      </c>
      <c r="I182" s="21">
        <v>34693.314276080098</v>
      </c>
    </row>
    <row r="183" spans="1:9" x14ac:dyDescent="0.25">
      <c r="A183" s="10">
        <v>2009</v>
      </c>
      <c r="B183" s="10">
        <v>2</v>
      </c>
      <c r="C183" s="15">
        <v>28349.323163655601</v>
      </c>
      <c r="G183" s="21">
        <v>2009</v>
      </c>
      <c r="H183" s="21">
        <v>2</v>
      </c>
      <c r="I183" s="21">
        <v>28041.2296562068</v>
      </c>
    </row>
    <row r="184" spans="1:9" x14ac:dyDescent="0.25">
      <c r="A184" s="10">
        <v>2009</v>
      </c>
      <c r="B184" s="10">
        <v>3</v>
      </c>
      <c r="C184" s="15">
        <v>37491.719863846403</v>
      </c>
      <c r="G184" s="21">
        <v>2009</v>
      </c>
      <c r="H184" s="21">
        <v>3</v>
      </c>
      <c r="I184" s="21">
        <v>37620.211173820797</v>
      </c>
    </row>
    <row r="185" spans="1:9" x14ac:dyDescent="0.25">
      <c r="A185" s="10">
        <v>2009</v>
      </c>
      <c r="B185" s="10">
        <v>4</v>
      </c>
      <c r="C185" s="15">
        <v>36631.1479553436</v>
      </c>
      <c r="G185" s="21">
        <v>2009</v>
      </c>
      <c r="H185" s="21">
        <v>4</v>
      </c>
      <c r="I185" s="21">
        <v>36659.339278472697</v>
      </c>
    </row>
    <row r="186" spans="1:9" x14ac:dyDescent="0.25">
      <c r="A186" s="10">
        <v>2009</v>
      </c>
      <c r="B186" s="10">
        <v>5</v>
      </c>
      <c r="C186" s="15">
        <v>40605.646330727497</v>
      </c>
      <c r="G186" s="21">
        <v>2009</v>
      </c>
      <c r="H186" s="21">
        <v>5</v>
      </c>
      <c r="I186" s="21">
        <v>40764.939598748599</v>
      </c>
    </row>
    <row r="187" spans="1:9" x14ac:dyDescent="0.25">
      <c r="A187" s="10">
        <v>2009</v>
      </c>
      <c r="B187" s="10">
        <v>6</v>
      </c>
      <c r="C187" s="15">
        <v>39954.271183250799</v>
      </c>
      <c r="G187" s="21">
        <v>2009</v>
      </c>
      <c r="H187" s="21">
        <v>6</v>
      </c>
      <c r="I187" s="21">
        <v>40043.1100555995</v>
      </c>
    </row>
    <row r="188" spans="1:9" x14ac:dyDescent="0.25">
      <c r="A188" s="10">
        <v>2009</v>
      </c>
      <c r="B188" s="10">
        <v>7</v>
      </c>
      <c r="C188" s="15">
        <v>43169.805668372799</v>
      </c>
      <c r="G188" s="21">
        <v>2009</v>
      </c>
      <c r="H188" s="21">
        <v>7</v>
      </c>
      <c r="I188" s="21">
        <v>43091.946467427901</v>
      </c>
    </row>
    <row r="189" spans="1:9" x14ac:dyDescent="0.25">
      <c r="A189" s="10">
        <v>2009</v>
      </c>
      <c r="B189" s="10">
        <v>8</v>
      </c>
      <c r="C189" s="15">
        <v>40460.758641487999</v>
      </c>
      <c r="G189" s="21">
        <v>2009</v>
      </c>
      <c r="H189" s="21">
        <v>8</v>
      </c>
      <c r="I189" s="21">
        <v>40589.401506273003</v>
      </c>
    </row>
    <row r="190" spans="1:9" x14ac:dyDescent="0.25">
      <c r="A190" s="10">
        <v>2009</v>
      </c>
      <c r="B190" s="10">
        <v>9</v>
      </c>
      <c r="C190" s="15">
        <v>44519.452587743901</v>
      </c>
      <c r="G190" s="21">
        <v>2009</v>
      </c>
      <c r="H190" s="21">
        <v>9</v>
      </c>
      <c r="I190" s="21">
        <v>44469.895695177198</v>
      </c>
    </row>
    <row r="191" spans="1:9" x14ac:dyDescent="0.25">
      <c r="A191" s="10">
        <v>2009</v>
      </c>
      <c r="B191" s="10">
        <v>10</v>
      </c>
      <c r="C191" s="15">
        <v>48709.730941642199</v>
      </c>
      <c r="G191" s="21">
        <v>2009</v>
      </c>
      <c r="H191" s="21">
        <v>10</v>
      </c>
      <c r="I191" s="21">
        <v>48726.447751570697</v>
      </c>
    </row>
    <row r="192" spans="1:9" x14ac:dyDescent="0.25">
      <c r="A192" s="10">
        <v>2009</v>
      </c>
      <c r="B192" s="10">
        <v>11</v>
      </c>
      <c r="C192" s="15">
        <v>49336.648510593099</v>
      </c>
      <c r="G192" s="21">
        <v>2009</v>
      </c>
      <c r="H192" s="21">
        <v>11</v>
      </c>
      <c r="I192" s="21">
        <v>49398.362046476002</v>
      </c>
    </row>
    <row r="193" spans="1:9" x14ac:dyDescent="0.25">
      <c r="A193" s="10">
        <v>2009</v>
      </c>
      <c r="B193" s="10">
        <v>12</v>
      </c>
      <c r="C193" s="15">
        <v>53930.823148338401</v>
      </c>
      <c r="G193" s="21">
        <v>2009</v>
      </c>
      <c r="H193" s="21">
        <v>12</v>
      </c>
      <c r="I193" s="21">
        <v>53915.730309598403</v>
      </c>
    </row>
    <row r="194" spans="1:9" x14ac:dyDescent="0.25">
      <c r="A194" s="10">
        <v>2010</v>
      </c>
      <c r="B194" s="10">
        <v>1</v>
      </c>
      <c r="C194" s="15">
        <v>50282.612486753002</v>
      </c>
      <c r="G194" s="21">
        <v>2010</v>
      </c>
      <c r="H194" s="21">
        <v>1</v>
      </c>
      <c r="I194" s="21">
        <v>50398.516909757796</v>
      </c>
    </row>
    <row r="195" spans="1:9" x14ac:dyDescent="0.25">
      <c r="A195" s="10">
        <v>2010</v>
      </c>
      <c r="B195" s="10">
        <v>2</v>
      </c>
      <c r="C195" s="15">
        <v>52909.270459093801</v>
      </c>
      <c r="G195" s="21">
        <v>2010</v>
      </c>
      <c r="H195" s="21">
        <v>2</v>
      </c>
      <c r="I195" s="21">
        <v>52925.428137727002</v>
      </c>
    </row>
    <row r="196" spans="1:9" x14ac:dyDescent="0.25">
      <c r="A196" s="10">
        <v>2010</v>
      </c>
      <c r="B196" s="10">
        <v>3</v>
      </c>
      <c r="C196" s="15">
        <v>49391.288090383001</v>
      </c>
      <c r="G196" s="21">
        <v>2010</v>
      </c>
      <c r="H196" s="21">
        <v>3</v>
      </c>
      <c r="I196" s="21">
        <v>49332.105447546201</v>
      </c>
    </row>
    <row r="197" spans="1:9" x14ac:dyDescent="0.25">
      <c r="A197" s="10">
        <v>2010</v>
      </c>
      <c r="B197" s="10">
        <v>4</v>
      </c>
      <c r="C197" s="15">
        <v>55269.128362814299</v>
      </c>
      <c r="G197" s="21">
        <v>2010</v>
      </c>
      <c r="H197" s="21">
        <v>4</v>
      </c>
      <c r="I197" s="21">
        <v>55255.731270540797</v>
      </c>
    </row>
    <row r="198" spans="1:9" x14ac:dyDescent="0.25">
      <c r="A198" s="10">
        <v>2010</v>
      </c>
      <c r="B198" s="10">
        <v>5</v>
      </c>
      <c r="C198" s="15">
        <v>56265.325644251498</v>
      </c>
      <c r="G198" s="21">
        <v>2010</v>
      </c>
      <c r="H198" s="21">
        <v>5</v>
      </c>
      <c r="I198" s="21">
        <v>56397.488117868998</v>
      </c>
    </row>
    <row r="199" spans="1:9" x14ac:dyDescent="0.25">
      <c r="A199" s="10">
        <v>2010</v>
      </c>
      <c r="B199" s="10">
        <v>6</v>
      </c>
      <c r="C199" s="15">
        <v>59109.868506047998</v>
      </c>
      <c r="G199" s="21">
        <v>2010</v>
      </c>
      <c r="H199" s="21">
        <v>6</v>
      </c>
      <c r="I199" s="21">
        <v>59176.743393868099</v>
      </c>
    </row>
    <row r="200" spans="1:9" x14ac:dyDescent="0.25">
      <c r="A200" s="10">
        <v>2010</v>
      </c>
      <c r="B200" s="10">
        <v>7</v>
      </c>
      <c r="C200" s="15">
        <v>54419.256164240498</v>
      </c>
      <c r="G200" s="21">
        <v>2010</v>
      </c>
      <c r="H200" s="21">
        <v>7</v>
      </c>
      <c r="I200" s="21">
        <v>54456.491414847304</v>
      </c>
    </row>
    <row r="201" spans="1:9" x14ac:dyDescent="0.25">
      <c r="A201" s="10">
        <v>2010</v>
      </c>
      <c r="B201" s="10">
        <v>8</v>
      </c>
      <c r="C201" s="15">
        <v>62061.582891234102</v>
      </c>
      <c r="G201" s="21">
        <v>2010</v>
      </c>
      <c r="H201" s="21">
        <v>8</v>
      </c>
      <c r="I201" s="21">
        <v>62068.367125339697</v>
      </c>
    </row>
    <row r="202" spans="1:9" x14ac:dyDescent="0.25">
      <c r="A202" s="10">
        <v>2010</v>
      </c>
      <c r="B202" s="10">
        <v>9</v>
      </c>
      <c r="C202" s="15">
        <v>62534.131969248898</v>
      </c>
      <c r="G202" s="21">
        <v>2010</v>
      </c>
      <c r="H202" s="21">
        <v>9</v>
      </c>
      <c r="I202" s="21">
        <v>62468.6021795837</v>
      </c>
    </row>
    <row r="203" spans="1:9" x14ac:dyDescent="0.25">
      <c r="A203" s="10">
        <v>2010</v>
      </c>
      <c r="B203" s="10">
        <v>10</v>
      </c>
      <c r="C203" s="15">
        <v>58608.535436196304</v>
      </c>
      <c r="G203" s="21">
        <v>2010</v>
      </c>
      <c r="H203" s="21">
        <v>10</v>
      </c>
      <c r="I203" s="21">
        <v>58710.426091690599</v>
      </c>
    </row>
    <row r="204" spans="1:9" x14ac:dyDescent="0.25">
      <c r="A204" s="10">
        <v>2010</v>
      </c>
      <c r="B204" s="10">
        <v>11</v>
      </c>
      <c r="C204" s="15">
        <v>66728.7702831559</v>
      </c>
      <c r="G204" s="21">
        <v>2010</v>
      </c>
      <c r="H204" s="21">
        <v>11</v>
      </c>
      <c r="I204" s="21">
        <v>66642.962423896694</v>
      </c>
    </row>
    <row r="205" spans="1:9" x14ac:dyDescent="0.25">
      <c r="A205" s="10">
        <v>2010</v>
      </c>
      <c r="B205" s="10">
        <v>12</v>
      </c>
      <c r="C205" s="15">
        <v>68365.244324375599</v>
      </c>
      <c r="G205" s="21">
        <v>2010</v>
      </c>
      <c r="H205" s="21">
        <v>12</v>
      </c>
      <c r="I205" s="21">
        <v>68330.584066866504</v>
      </c>
    </row>
    <row r="206" spans="1:9" x14ac:dyDescent="0.25">
      <c r="A206" s="10">
        <v>2011</v>
      </c>
      <c r="B206" s="10">
        <v>1</v>
      </c>
      <c r="C206" s="15">
        <v>67531.259624697705</v>
      </c>
      <c r="G206" s="21">
        <v>2011</v>
      </c>
      <c r="H206" s="21">
        <v>1</v>
      </c>
      <c r="I206" s="21">
        <v>67600.328369009396</v>
      </c>
    </row>
    <row r="207" spans="1:9" x14ac:dyDescent="0.25">
      <c r="A207" s="10">
        <v>2011</v>
      </c>
      <c r="B207" s="10">
        <v>2</v>
      </c>
      <c r="C207" s="15">
        <v>52832.915909566698</v>
      </c>
      <c r="G207" s="21">
        <v>2011</v>
      </c>
      <c r="H207" s="21">
        <v>2</v>
      </c>
      <c r="I207" s="21">
        <v>53170.696563375102</v>
      </c>
    </row>
    <row r="208" spans="1:9" x14ac:dyDescent="0.25">
      <c r="A208" s="10">
        <v>2011</v>
      </c>
      <c r="B208" s="10">
        <v>3</v>
      </c>
      <c r="C208" s="15">
        <v>65933.607247741806</v>
      </c>
      <c r="G208" s="21">
        <v>2011</v>
      </c>
      <c r="H208" s="21">
        <v>3</v>
      </c>
      <c r="I208" s="21">
        <v>65808.911540003202</v>
      </c>
    </row>
    <row r="209" spans="1:9" x14ac:dyDescent="0.25">
      <c r="A209" s="10">
        <v>2011</v>
      </c>
      <c r="B209" s="10">
        <v>4</v>
      </c>
      <c r="C209" s="15">
        <v>71632.015854427795</v>
      </c>
      <c r="G209" s="21">
        <v>2011</v>
      </c>
      <c r="H209" s="21">
        <v>4</v>
      </c>
      <c r="I209" s="21">
        <v>71689.977538364998</v>
      </c>
    </row>
    <row r="210" spans="1:9" x14ac:dyDescent="0.25">
      <c r="A210" s="10">
        <v>2011</v>
      </c>
      <c r="B210" s="10">
        <v>5</v>
      </c>
      <c r="C210" s="15">
        <v>74445.725893260795</v>
      </c>
      <c r="G210" s="21">
        <v>2011</v>
      </c>
      <c r="H210" s="21">
        <v>5</v>
      </c>
      <c r="I210" s="21">
        <v>74443.0434324245</v>
      </c>
    </row>
    <row r="211" spans="1:9" x14ac:dyDescent="0.25">
      <c r="A211" s="10">
        <v>2011</v>
      </c>
      <c r="B211" s="10">
        <v>6</v>
      </c>
      <c r="C211" s="15">
        <v>74747.184601399407</v>
      </c>
      <c r="G211" s="21">
        <v>2011</v>
      </c>
      <c r="H211" s="21">
        <v>6</v>
      </c>
      <c r="I211" s="21">
        <v>74773.193204827796</v>
      </c>
    </row>
    <row r="212" spans="1:9" x14ac:dyDescent="0.25">
      <c r="A212" s="10">
        <v>2011</v>
      </c>
      <c r="B212" s="10">
        <v>7</v>
      </c>
      <c r="C212" s="15">
        <v>68770.528736614404</v>
      </c>
      <c r="G212" s="21">
        <v>2011</v>
      </c>
      <c r="H212" s="21">
        <v>7</v>
      </c>
      <c r="I212" s="21">
        <v>68911.817074236198</v>
      </c>
    </row>
    <row r="213" spans="1:9" x14ac:dyDescent="0.25">
      <c r="A213" s="10">
        <v>2011</v>
      </c>
      <c r="B213" s="10">
        <v>8</v>
      </c>
      <c r="C213" s="15">
        <v>73079.3270944658</v>
      </c>
      <c r="G213" s="21">
        <v>2011</v>
      </c>
      <c r="H213" s="21">
        <v>8</v>
      </c>
      <c r="I213" s="21">
        <v>72959.090427931398</v>
      </c>
    </row>
    <row r="214" spans="1:9" x14ac:dyDescent="0.25">
      <c r="A214" s="10">
        <v>2011</v>
      </c>
      <c r="B214" s="10">
        <v>9</v>
      </c>
      <c r="C214" s="15">
        <v>69120.942976942199</v>
      </c>
      <c r="G214" s="21">
        <v>2011</v>
      </c>
      <c r="H214" s="21">
        <v>9</v>
      </c>
      <c r="I214" s="21">
        <v>69035.165288112694</v>
      </c>
    </row>
    <row r="215" spans="1:9" x14ac:dyDescent="0.25">
      <c r="A215" s="10">
        <v>2011</v>
      </c>
      <c r="B215" s="10">
        <v>10</v>
      </c>
      <c r="C215" s="15">
        <v>65044.630374688597</v>
      </c>
      <c r="G215" s="21">
        <v>2011</v>
      </c>
      <c r="H215" s="21">
        <v>10</v>
      </c>
      <c r="I215" s="21">
        <v>65140.143166199501</v>
      </c>
    </row>
    <row r="216" spans="1:9" x14ac:dyDescent="0.25">
      <c r="A216" s="10">
        <v>2011</v>
      </c>
      <c r="B216" s="10">
        <v>11</v>
      </c>
      <c r="C216" s="15">
        <v>65697.619472408696</v>
      </c>
      <c r="G216" s="21">
        <v>2011</v>
      </c>
      <c r="H216" s="21">
        <v>11</v>
      </c>
      <c r="I216" s="21">
        <v>65592.779478021694</v>
      </c>
    </row>
    <row r="217" spans="1:9" x14ac:dyDescent="0.25">
      <c r="A217" s="10">
        <v>2011</v>
      </c>
      <c r="B217" s="10">
        <v>12</v>
      </c>
      <c r="C217" s="15">
        <v>57706.323745229798</v>
      </c>
      <c r="G217" s="21">
        <v>2011</v>
      </c>
      <c r="H217" s="21">
        <v>12</v>
      </c>
      <c r="I217" s="21">
        <v>57760.498151136198</v>
      </c>
    </row>
    <row r="218" spans="1:9" x14ac:dyDescent="0.25">
      <c r="A218" s="10">
        <v>2012</v>
      </c>
      <c r="B218" s="10">
        <v>1</v>
      </c>
      <c r="C218" s="15">
        <v>62922.782369410103</v>
      </c>
      <c r="G218" s="21">
        <v>2012</v>
      </c>
      <c r="H218" s="21">
        <v>1</v>
      </c>
      <c r="I218" s="21">
        <v>62858.144699110497</v>
      </c>
    </row>
    <row r="219" spans="1:9" x14ac:dyDescent="0.25">
      <c r="A219" s="10">
        <v>2012</v>
      </c>
      <c r="B219" s="10">
        <v>2</v>
      </c>
      <c r="C219" s="15">
        <v>63495.232298212199</v>
      </c>
      <c r="G219" s="21">
        <v>2012</v>
      </c>
      <c r="H219" s="21">
        <v>2</v>
      </c>
      <c r="I219" s="21">
        <v>62652.969822628802</v>
      </c>
    </row>
    <row r="220" spans="1:9" x14ac:dyDescent="0.25">
      <c r="A220" s="10">
        <v>2012</v>
      </c>
      <c r="B220" s="10">
        <v>3</v>
      </c>
      <c r="C220" s="15">
        <v>63472.828530954001</v>
      </c>
      <c r="G220" s="21">
        <v>2012</v>
      </c>
      <c r="H220" s="21">
        <v>3</v>
      </c>
      <c r="I220" s="21">
        <v>63413.576785725301</v>
      </c>
    </row>
    <row r="221" spans="1:9" x14ac:dyDescent="0.25">
      <c r="A221" s="10">
        <v>2012</v>
      </c>
      <c r="B221" s="10">
        <v>4</v>
      </c>
      <c r="C221" s="15">
        <v>53866.064795324499</v>
      </c>
      <c r="G221" s="21">
        <v>2012</v>
      </c>
      <c r="H221" s="21">
        <v>4</v>
      </c>
      <c r="I221" s="21">
        <v>53889.584135044897</v>
      </c>
    </row>
    <row r="222" spans="1:9" x14ac:dyDescent="0.25">
      <c r="A222" s="10">
        <v>2012</v>
      </c>
      <c r="B222" s="10">
        <v>5</v>
      </c>
      <c r="C222" s="15">
        <v>53927.1565706658</v>
      </c>
      <c r="G222" s="21">
        <v>2012</v>
      </c>
      <c r="H222" s="21">
        <v>5</v>
      </c>
      <c r="I222" s="21">
        <v>53791.9762397331</v>
      </c>
    </row>
    <row r="223" spans="1:9" x14ac:dyDescent="0.25">
      <c r="A223" s="10">
        <v>2012</v>
      </c>
      <c r="B223" s="10">
        <v>6</v>
      </c>
      <c r="C223" s="15">
        <v>48408.385678745602</v>
      </c>
      <c r="G223" s="21">
        <v>2012</v>
      </c>
      <c r="H223" s="21">
        <v>6</v>
      </c>
      <c r="I223" s="21">
        <v>48505.458490359197</v>
      </c>
    </row>
    <row r="224" spans="1:9" x14ac:dyDescent="0.25">
      <c r="A224" s="10">
        <v>2012</v>
      </c>
      <c r="B224" s="10">
        <v>7</v>
      </c>
      <c r="C224" s="15">
        <v>63214.380459934298</v>
      </c>
      <c r="G224" s="21">
        <v>2012</v>
      </c>
      <c r="H224" s="21">
        <v>7</v>
      </c>
      <c r="I224" s="21">
        <v>63225.924301626503</v>
      </c>
    </row>
    <row r="225" spans="1:9" x14ac:dyDescent="0.25">
      <c r="A225" s="10">
        <v>2012</v>
      </c>
      <c r="B225" s="10">
        <v>8</v>
      </c>
      <c r="C225" s="15">
        <v>69481.096230553696</v>
      </c>
      <c r="G225" s="21">
        <v>2012</v>
      </c>
      <c r="H225" s="21">
        <v>8</v>
      </c>
      <c r="I225" s="21">
        <v>69344.465843551094</v>
      </c>
    </row>
    <row r="226" spans="1:9" x14ac:dyDescent="0.25">
      <c r="A226" s="10">
        <v>2012</v>
      </c>
      <c r="B226" s="10">
        <v>9</v>
      </c>
      <c r="C226" s="15">
        <v>60785.094631151696</v>
      </c>
      <c r="G226" s="21">
        <v>2012</v>
      </c>
      <c r="H226" s="21">
        <v>9</v>
      </c>
      <c r="I226" s="21">
        <v>60917.792384181601</v>
      </c>
    </row>
    <row r="227" spans="1:9" x14ac:dyDescent="0.25">
      <c r="A227" s="10">
        <v>2012</v>
      </c>
      <c r="B227" s="10">
        <v>10</v>
      </c>
      <c r="C227" s="15">
        <v>67971.169850672595</v>
      </c>
      <c r="G227" s="21">
        <v>2012</v>
      </c>
      <c r="H227" s="21">
        <v>10</v>
      </c>
      <c r="I227" s="21">
        <v>67841.867665725906</v>
      </c>
    </row>
    <row r="228" spans="1:9" x14ac:dyDescent="0.25">
      <c r="A228" s="10">
        <v>2012</v>
      </c>
      <c r="B228" s="10">
        <v>11</v>
      </c>
      <c r="C228" s="15">
        <v>68970.031677796695</v>
      </c>
      <c r="G228" s="21">
        <v>2012</v>
      </c>
      <c r="H228" s="21">
        <v>11</v>
      </c>
      <c r="I228" s="21">
        <v>68856.962414554597</v>
      </c>
    </row>
    <row r="229" spans="1:9" x14ac:dyDescent="0.25">
      <c r="A229" s="10">
        <v>2012</v>
      </c>
      <c r="B229" s="10">
        <v>12</v>
      </c>
      <c r="C229" s="15">
        <v>69493.819925733696</v>
      </c>
      <c r="G229" s="21">
        <v>2012</v>
      </c>
      <c r="H229" s="21">
        <v>12</v>
      </c>
      <c r="I229" s="21">
        <v>69667.459275631001</v>
      </c>
    </row>
    <row r="230" spans="1:9" x14ac:dyDescent="0.25">
      <c r="A230" s="10">
        <v>2013</v>
      </c>
      <c r="B230" s="10">
        <v>1</v>
      </c>
      <c r="C230" s="15">
        <v>64453.912170610398</v>
      </c>
      <c r="G230" s="21">
        <v>2013</v>
      </c>
      <c r="H230" s="21">
        <v>1</v>
      </c>
      <c r="I230" s="21">
        <v>64296.231555358499</v>
      </c>
    </row>
    <row r="231" spans="1:9" x14ac:dyDescent="0.25">
      <c r="A231" s="10">
        <v>2013</v>
      </c>
      <c r="B231" s="10">
        <v>2</v>
      </c>
      <c r="C231" s="15">
        <v>59078.076154125702</v>
      </c>
      <c r="G231" s="21">
        <v>2013</v>
      </c>
      <c r="H231" s="21">
        <v>2</v>
      </c>
      <c r="I231" s="21">
        <v>59750.428314227</v>
      </c>
    </row>
    <row r="232" spans="1:9" x14ac:dyDescent="0.25">
      <c r="A232" s="10">
        <v>2013</v>
      </c>
      <c r="B232" s="10">
        <v>3</v>
      </c>
      <c r="C232" s="15">
        <v>73596.809007983393</v>
      </c>
      <c r="G232" s="21">
        <v>2013</v>
      </c>
      <c r="H232" s="21">
        <v>3</v>
      </c>
      <c r="I232" s="21">
        <v>73644.1037271596</v>
      </c>
    </row>
    <row r="233" spans="1:9" x14ac:dyDescent="0.25">
      <c r="A233" s="10">
        <v>2013</v>
      </c>
      <c r="B233" s="10">
        <v>4</v>
      </c>
      <c r="C233" s="15">
        <v>71597.211821691497</v>
      </c>
      <c r="G233" s="21">
        <v>2013</v>
      </c>
      <c r="H233" s="21">
        <v>4</v>
      </c>
      <c r="I233" s="21">
        <v>71497.730271656197</v>
      </c>
    </row>
    <row r="234" spans="1:9" x14ac:dyDescent="0.25">
      <c r="A234" s="10">
        <v>2013</v>
      </c>
      <c r="B234" s="10">
        <v>5</v>
      </c>
      <c r="C234" s="15">
        <v>73738.673443915104</v>
      </c>
      <c r="G234" s="21">
        <v>2013</v>
      </c>
      <c r="H234" s="21">
        <v>5</v>
      </c>
      <c r="I234" s="21">
        <v>73594.850214132399</v>
      </c>
    </row>
    <row r="235" spans="1:9" x14ac:dyDescent="0.25">
      <c r="A235" s="10">
        <v>2013</v>
      </c>
      <c r="B235" s="10">
        <v>6</v>
      </c>
      <c r="C235" s="15">
        <v>59511.339159552903</v>
      </c>
      <c r="G235" s="21">
        <v>2013</v>
      </c>
      <c r="H235" s="21">
        <v>6</v>
      </c>
      <c r="I235" s="21">
        <v>59695.963352677303</v>
      </c>
    </row>
    <row r="236" spans="1:9" x14ac:dyDescent="0.25">
      <c r="A236" s="10">
        <v>2013</v>
      </c>
      <c r="B236" s="10">
        <v>7</v>
      </c>
      <c r="C236" s="15">
        <v>67943.560020999299</v>
      </c>
      <c r="G236" s="21">
        <v>2013</v>
      </c>
      <c r="H236" s="21">
        <v>7</v>
      </c>
      <c r="I236" s="21">
        <v>67819.316190639205</v>
      </c>
    </row>
    <row r="237" spans="1:9" x14ac:dyDescent="0.25">
      <c r="A237" s="10">
        <v>2013</v>
      </c>
      <c r="B237" s="10">
        <v>8</v>
      </c>
      <c r="C237" s="15">
        <v>61761.672554638397</v>
      </c>
      <c r="G237" s="21">
        <v>2013</v>
      </c>
      <c r="H237" s="21">
        <v>8</v>
      </c>
      <c r="I237" s="21">
        <v>61707.073656467401</v>
      </c>
    </row>
    <row r="238" spans="1:9" x14ac:dyDescent="0.25">
      <c r="A238" s="10">
        <v>2013</v>
      </c>
      <c r="B238" s="10">
        <v>9</v>
      </c>
      <c r="C238" s="15">
        <v>62779.060175853701</v>
      </c>
      <c r="G238" s="21">
        <v>2013</v>
      </c>
      <c r="H238" s="21">
        <v>9</v>
      </c>
      <c r="I238" s="21">
        <v>62768.755773562203</v>
      </c>
    </row>
    <row r="239" spans="1:9" x14ac:dyDescent="0.25">
      <c r="A239" s="10">
        <v>2013</v>
      </c>
      <c r="B239" s="10">
        <v>10</v>
      </c>
      <c r="C239" s="15">
        <v>63867.727750924598</v>
      </c>
      <c r="G239" s="21">
        <v>2013</v>
      </c>
      <c r="H239" s="21">
        <v>10</v>
      </c>
      <c r="I239" s="21">
        <v>63828.705878798202</v>
      </c>
    </row>
    <row r="240" spans="1:9" x14ac:dyDescent="0.25">
      <c r="A240" s="10">
        <v>2013</v>
      </c>
      <c r="B240" s="10">
        <v>11</v>
      </c>
      <c r="C240" s="15">
        <v>54464.443546239498</v>
      </c>
      <c r="G240" s="21">
        <v>2013</v>
      </c>
      <c r="H240" s="21">
        <v>11</v>
      </c>
      <c r="I240" s="21">
        <v>54435.320460194998</v>
      </c>
    </row>
    <row r="241" spans="1:9" x14ac:dyDescent="0.25">
      <c r="A241" s="10">
        <v>2013</v>
      </c>
      <c r="B241" s="10">
        <v>12</v>
      </c>
      <c r="C241" s="15">
        <v>52548.0437351152</v>
      </c>
      <c r="G241" s="21">
        <v>2013</v>
      </c>
      <c r="H241" s="21">
        <v>12</v>
      </c>
      <c r="I241" s="21">
        <v>52566.7508431967</v>
      </c>
    </row>
    <row r="242" spans="1:9" x14ac:dyDescent="0.25">
      <c r="A242" s="10">
        <v>2014</v>
      </c>
      <c r="B242" s="10">
        <v>1</v>
      </c>
      <c r="C242" s="15">
        <v>56380.307869416698</v>
      </c>
      <c r="G242" s="21">
        <v>2014</v>
      </c>
      <c r="H242" s="21">
        <v>1</v>
      </c>
      <c r="I242" s="21">
        <v>56268.738366562298</v>
      </c>
    </row>
    <row r="243" spans="1:9" x14ac:dyDescent="0.25">
      <c r="A243" s="10">
        <v>2014</v>
      </c>
      <c r="B243" s="10">
        <v>2</v>
      </c>
      <c r="C243" s="15">
        <v>57085.8633097848</v>
      </c>
      <c r="G243" s="21">
        <v>2014</v>
      </c>
      <c r="H243" s="21">
        <v>2</v>
      </c>
      <c r="I243" s="21">
        <v>57822.132225621201</v>
      </c>
    </row>
    <row r="244" spans="1:9" x14ac:dyDescent="0.25">
      <c r="A244" s="10">
        <v>2014</v>
      </c>
      <c r="B244" s="10">
        <v>3</v>
      </c>
      <c r="C244" s="15">
        <v>52577.826388321097</v>
      </c>
      <c r="G244" s="21">
        <v>2014</v>
      </c>
      <c r="H244" s="21">
        <v>3</v>
      </c>
      <c r="I244" s="21">
        <v>52620.581756904197</v>
      </c>
    </row>
    <row r="245" spans="1:9" x14ac:dyDescent="0.25">
      <c r="A245" s="10">
        <v>2014</v>
      </c>
      <c r="B245" s="10">
        <v>4</v>
      </c>
      <c r="C245" s="15">
        <v>54964.756754665701</v>
      </c>
      <c r="G245" s="21">
        <v>2014</v>
      </c>
      <c r="H245" s="21">
        <v>4</v>
      </c>
      <c r="I245" s="21">
        <v>54848.707427100599</v>
      </c>
    </row>
    <row r="246" spans="1:9" x14ac:dyDescent="0.25">
      <c r="A246" s="10">
        <v>2014</v>
      </c>
      <c r="B246" s="10">
        <v>5</v>
      </c>
      <c r="C246" s="15">
        <v>47198.7785613507</v>
      </c>
      <c r="G246" s="21">
        <v>2014</v>
      </c>
      <c r="H246" s="21">
        <v>5</v>
      </c>
      <c r="I246" s="21">
        <v>47157.943975771603</v>
      </c>
    </row>
    <row r="247" spans="1:9" x14ac:dyDescent="0.25">
      <c r="A247" s="10">
        <v>2014</v>
      </c>
      <c r="B247" s="10">
        <v>6</v>
      </c>
      <c r="C247" s="15">
        <v>45983.3648907479</v>
      </c>
      <c r="G247" s="21">
        <v>2014</v>
      </c>
      <c r="H247" s="21">
        <v>6</v>
      </c>
      <c r="I247" s="21">
        <v>46036.758277581699</v>
      </c>
    </row>
    <row r="248" spans="1:9" x14ac:dyDescent="0.25">
      <c r="A248" s="10">
        <v>2014</v>
      </c>
      <c r="B248" s="10">
        <v>7</v>
      </c>
      <c r="C248" s="15">
        <v>45881.497213204799</v>
      </c>
      <c r="G248" s="21">
        <v>2014</v>
      </c>
      <c r="H248" s="21">
        <v>7</v>
      </c>
      <c r="I248" s="21">
        <v>45728.752835685998</v>
      </c>
    </row>
    <row r="249" spans="1:9" x14ac:dyDescent="0.25">
      <c r="A249" s="10">
        <v>2014</v>
      </c>
      <c r="B249" s="10">
        <v>8</v>
      </c>
      <c r="C249" s="15">
        <v>41566.583019014201</v>
      </c>
      <c r="G249" s="21">
        <v>2014</v>
      </c>
      <c r="H249" s="21">
        <v>8</v>
      </c>
      <c r="I249" s="21">
        <v>41594.090528164699</v>
      </c>
    </row>
    <row r="250" spans="1:9" x14ac:dyDescent="0.25">
      <c r="A250" s="10">
        <v>2014</v>
      </c>
      <c r="B250" s="10">
        <v>9</v>
      </c>
      <c r="C250" s="15">
        <v>48602.597146326698</v>
      </c>
      <c r="G250" s="21">
        <v>2014</v>
      </c>
      <c r="H250" s="21">
        <v>9</v>
      </c>
      <c r="I250" s="21">
        <v>48455.910671912301</v>
      </c>
    </row>
    <row r="251" spans="1:9" x14ac:dyDescent="0.25">
      <c r="A251" s="10">
        <v>2014</v>
      </c>
      <c r="B251" s="10">
        <v>10</v>
      </c>
      <c r="C251" s="15">
        <v>50184.640286106704</v>
      </c>
      <c r="G251" s="21">
        <v>2014</v>
      </c>
      <c r="H251" s="21">
        <v>10</v>
      </c>
      <c r="I251" s="21">
        <v>50224.327865237399</v>
      </c>
    </row>
    <row r="252" spans="1:9" x14ac:dyDescent="0.25">
      <c r="A252" s="10">
        <v>2014</v>
      </c>
      <c r="B252" s="10">
        <v>11</v>
      </c>
      <c r="C252" s="15">
        <v>49199.520751214302</v>
      </c>
      <c r="G252" s="21">
        <v>2014</v>
      </c>
      <c r="H252" s="21">
        <v>11</v>
      </c>
      <c r="I252" s="21">
        <v>49274.865218158797</v>
      </c>
    </row>
    <row r="253" spans="1:9" x14ac:dyDescent="0.25">
      <c r="A253" s="10">
        <v>2014</v>
      </c>
      <c r="B253" s="10">
        <v>12</v>
      </c>
      <c r="C253" s="15">
        <v>48242.815752784598</v>
      </c>
      <c r="G253" s="21">
        <v>2014</v>
      </c>
      <c r="H253" s="21">
        <v>12</v>
      </c>
      <c r="I253" s="21">
        <v>48128.3618421914</v>
      </c>
    </row>
    <row r="254" spans="1:9" x14ac:dyDescent="0.25">
      <c r="A254" s="10">
        <v>2015</v>
      </c>
      <c r="B254" s="10">
        <v>1</v>
      </c>
      <c r="C254" s="15">
        <v>46825.396642550797</v>
      </c>
      <c r="G254" s="21">
        <v>2015</v>
      </c>
      <c r="H254" s="21">
        <v>1</v>
      </c>
      <c r="I254" s="21">
        <v>46896.218274669103</v>
      </c>
    </row>
    <row r="255" spans="1:9" x14ac:dyDescent="0.25">
      <c r="A255" s="10">
        <v>2015</v>
      </c>
      <c r="B255" s="10">
        <v>2</v>
      </c>
      <c r="C255" s="15">
        <v>49143.971577201097</v>
      </c>
      <c r="G255" s="21">
        <v>2015</v>
      </c>
      <c r="H255" s="21">
        <v>2</v>
      </c>
      <c r="I255" s="21">
        <v>49864.121100811797</v>
      </c>
    </row>
    <row r="256" spans="1:9" x14ac:dyDescent="0.25">
      <c r="A256" s="10">
        <v>2015</v>
      </c>
      <c r="B256" s="10">
        <v>3</v>
      </c>
      <c r="C256" s="15">
        <v>45653.846105078497</v>
      </c>
      <c r="G256" s="21">
        <v>2015</v>
      </c>
      <c r="H256" s="21">
        <v>3</v>
      </c>
      <c r="I256" s="21">
        <v>45608.901669420498</v>
      </c>
    </row>
    <row r="257" spans="1:9" x14ac:dyDescent="0.25">
      <c r="A257" s="10">
        <v>2015</v>
      </c>
      <c r="B257" s="10">
        <v>4</v>
      </c>
      <c r="C257" s="15">
        <v>41762.435576157201</v>
      </c>
      <c r="G257" s="21">
        <v>2015</v>
      </c>
      <c r="H257" s="21">
        <v>4</v>
      </c>
      <c r="I257" s="21">
        <v>41633.948924743898</v>
      </c>
    </row>
    <row r="258" spans="1:9" x14ac:dyDescent="0.25">
      <c r="A258" s="10">
        <v>2015</v>
      </c>
      <c r="B258" s="10">
        <v>5</v>
      </c>
      <c r="C258" s="15">
        <v>43521.173907633602</v>
      </c>
      <c r="G258" s="21">
        <v>2015</v>
      </c>
      <c r="H258" s="21">
        <v>5</v>
      </c>
      <c r="I258" s="21">
        <v>43589.725019259698</v>
      </c>
    </row>
    <row r="259" spans="1:9" x14ac:dyDescent="0.25">
      <c r="A259" s="10">
        <v>2015</v>
      </c>
      <c r="B259" s="10">
        <v>6</v>
      </c>
      <c r="C259" s="15">
        <v>48038.2250835745</v>
      </c>
      <c r="G259" s="21">
        <v>2015</v>
      </c>
      <c r="H259" s="21">
        <v>6</v>
      </c>
      <c r="I259" s="21">
        <v>47944.402311381098</v>
      </c>
    </row>
    <row r="260" spans="1:9" x14ac:dyDescent="0.25">
      <c r="A260" s="10">
        <v>2015</v>
      </c>
      <c r="B260" s="10">
        <v>7</v>
      </c>
      <c r="C260" s="15">
        <v>42291.975407176702</v>
      </c>
      <c r="G260" s="21">
        <v>2015</v>
      </c>
      <c r="H260" s="21">
        <v>7</v>
      </c>
      <c r="I260" s="21">
        <v>42097.575147616699</v>
      </c>
    </row>
    <row r="261" spans="1:9" x14ac:dyDescent="0.25">
      <c r="A261" s="10">
        <v>2015</v>
      </c>
      <c r="B261" s="10">
        <v>8</v>
      </c>
      <c r="C261" s="15">
        <v>45094.633173401002</v>
      </c>
      <c r="G261" s="21">
        <v>2015</v>
      </c>
      <c r="H261" s="21">
        <v>8</v>
      </c>
      <c r="I261" s="21">
        <v>45099.073253726398</v>
      </c>
    </row>
    <row r="262" spans="1:9" x14ac:dyDescent="0.25">
      <c r="A262" s="10">
        <v>2015</v>
      </c>
      <c r="B262" s="10">
        <v>9</v>
      </c>
      <c r="C262" s="15">
        <v>45650.574054388002</v>
      </c>
      <c r="G262" s="21">
        <v>2015</v>
      </c>
      <c r="H262" s="21">
        <v>9</v>
      </c>
      <c r="I262" s="21">
        <v>45471.475389405903</v>
      </c>
    </row>
    <row r="263" spans="1:9" x14ac:dyDescent="0.25">
      <c r="A263" s="10">
        <v>2015</v>
      </c>
      <c r="B263" s="10">
        <v>10</v>
      </c>
      <c r="C263" s="15">
        <v>38804.015189413803</v>
      </c>
      <c r="G263" s="21">
        <v>2015</v>
      </c>
      <c r="H263" s="21">
        <v>10</v>
      </c>
      <c r="I263" s="21">
        <v>39031.990201943001</v>
      </c>
    </row>
    <row r="264" spans="1:9" x14ac:dyDescent="0.25">
      <c r="A264" s="10">
        <v>2015</v>
      </c>
      <c r="B264" s="10">
        <v>11</v>
      </c>
      <c r="C264" s="15">
        <v>40714.788585085102</v>
      </c>
      <c r="G264" s="21">
        <v>2015</v>
      </c>
      <c r="H264" s="21">
        <v>11</v>
      </c>
      <c r="I264" s="21">
        <v>40682.681803071901</v>
      </c>
    </row>
    <row r="265" spans="1:9" x14ac:dyDescent="0.25">
      <c r="A265" s="10">
        <v>2015</v>
      </c>
      <c r="B265" s="10">
        <v>12</v>
      </c>
      <c r="C265" s="15">
        <v>39690.422271444797</v>
      </c>
      <c r="G265" s="21">
        <v>2015</v>
      </c>
      <c r="H265" s="21">
        <v>12</v>
      </c>
      <c r="I265" s="21">
        <v>39565.030352800102</v>
      </c>
    </row>
    <row r="266" spans="1:9" x14ac:dyDescent="0.25">
      <c r="A266" s="10">
        <v>2016</v>
      </c>
      <c r="B266" s="10">
        <v>1</v>
      </c>
      <c r="C266" s="15">
        <v>39787.550802439298</v>
      </c>
      <c r="G266" s="21">
        <v>2016</v>
      </c>
      <c r="H266" s="21">
        <v>1</v>
      </c>
      <c r="I266" s="21">
        <v>40052.322031529598</v>
      </c>
    </row>
    <row r="267" spans="1:9" x14ac:dyDescent="0.25">
      <c r="A267" s="10">
        <v>2016</v>
      </c>
      <c r="B267" s="10">
        <v>2</v>
      </c>
      <c r="C267" s="15">
        <v>37697.7263678444</v>
      </c>
      <c r="G267" s="21">
        <v>2016</v>
      </c>
      <c r="H267" s="21">
        <v>2</v>
      </c>
      <c r="I267" s="21">
        <v>36994.402003772499</v>
      </c>
    </row>
    <row r="268" spans="1:9" x14ac:dyDescent="0.25">
      <c r="A268" s="10">
        <v>2016</v>
      </c>
      <c r="B268" s="10">
        <v>3</v>
      </c>
      <c r="C268" s="15">
        <v>40936.114392351497</v>
      </c>
      <c r="G268" s="21">
        <v>2016</v>
      </c>
      <c r="H268" s="21">
        <v>3</v>
      </c>
      <c r="I268" s="21">
        <v>40797.275653283097</v>
      </c>
    </row>
    <row r="269" spans="1:9" x14ac:dyDescent="0.25">
      <c r="A269" s="10">
        <v>2016</v>
      </c>
      <c r="B269" s="10">
        <v>4</v>
      </c>
      <c r="C269" s="15">
        <v>42665.033901884199</v>
      </c>
      <c r="G269" s="21">
        <v>2016</v>
      </c>
      <c r="H269" s="21">
        <v>4</v>
      </c>
      <c r="I269" s="21">
        <v>42623.290758937001</v>
      </c>
    </row>
    <row r="270" spans="1:9" x14ac:dyDescent="0.25">
      <c r="A270" s="10">
        <v>2016</v>
      </c>
      <c r="B270" s="10">
        <v>5</v>
      </c>
      <c r="C270" s="15">
        <v>37762.352924759703</v>
      </c>
      <c r="G270" s="21">
        <v>2016</v>
      </c>
      <c r="H270" s="21">
        <v>5</v>
      </c>
      <c r="I270" s="21">
        <v>37695.164137516898</v>
      </c>
    </row>
    <row r="271" spans="1:9" x14ac:dyDescent="0.25">
      <c r="A271" s="10">
        <v>2016</v>
      </c>
      <c r="B271" s="10">
        <v>6</v>
      </c>
      <c r="C271" s="15">
        <v>38041.302049005397</v>
      </c>
      <c r="G271" s="21">
        <v>2016</v>
      </c>
      <c r="H271" s="21">
        <v>6</v>
      </c>
      <c r="I271" s="21">
        <v>37900.870509444198</v>
      </c>
    </row>
    <row r="272" spans="1:9" x14ac:dyDescent="0.25">
      <c r="A272" s="10">
        <v>2016</v>
      </c>
      <c r="B272" s="10">
        <v>7</v>
      </c>
      <c r="C272" s="15">
        <v>39640.197449108302</v>
      </c>
      <c r="G272" s="21">
        <v>2016</v>
      </c>
      <c r="H272" s="21">
        <v>7</v>
      </c>
      <c r="I272" s="21">
        <v>39637.0413423754</v>
      </c>
    </row>
    <row r="273" spans="1:9" x14ac:dyDescent="0.25">
      <c r="A273" s="10">
        <v>2016</v>
      </c>
      <c r="B273" s="10">
        <v>8</v>
      </c>
      <c r="C273" s="15">
        <v>38154.522411517202</v>
      </c>
      <c r="G273" s="21">
        <v>2016</v>
      </c>
      <c r="H273" s="21">
        <v>8</v>
      </c>
      <c r="I273" s="21">
        <v>37913.197353026997</v>
      </c>
    </row>
    <row r="274" spans="1:9" x14ac:dyDescent="0.25">
      <c r="A274" s="10">
        <v>2016</v>
      </c>
      <c r="B274" s="10">
        <v>9</v>
      </c>
      <c r="C274" s="15">
        <v>35725.5588412133</v>
      </c>
      <c r="G274" s="21">
        <v>2016</v>
      </c>
      <c r="H274" s="21">
        <v>9</v>
      </c>
      <c r="I274" s="21">
        <v>35519.369071351</v>
      </c>
    </row>
    <row r="275" spans="1:9" x14ac:dyDescent="0.25">
      <c r="A275" s="10">
        <v>2016</v>
      </c>
      <c r="B275" s="10">
        <v>10</v>
      </c>
      <c r="C275" s="15">
        <v>33804.022816291297</v>
      </c>
      <c r="G275" s="21">
        <v>2016</v>
      </c>
      <c r="H275" s="21">
        <v>10</v>
      </c>
      <c r="I275" s="21">
        <v>34132.206823073902</v>
      </c>
    </row>
    <row r="276" spans="1:9" x14ac:dyDescent="0.25">
      <c r="A276" s="10">
        <v>2016</v>
      </c>
      <c r="B276" s="10">
        <v>11</v>
      </c>
      <c r="C276" s="15">
        <v>41197.147324382699</v>
      </c>
      <c r="G276" s="21">
        <v>2016</v>
      </c>
      <c r="H276" s="21">
        <v>11</v>
      </c>
      <c r="I276" s="21">
        <v>41054.4673421306</v>
      </c>
    </row>
    <row r="277" spans="1:9" x14ac:dyDescent="0.25">
      <c r="A277" s="10">
        <v>2016</v>
      </c>
      <c r="B277" s="10">
        <v>12</v>
      </c>
      <c r="C277" s="15">
        <v>48921.180636981197</v>
      </c>
      <c r="G277" s="21">
        <v>2016</v>
      </c>
      <c r="H277" s="21">
        <v>12</v>
      </c>
      <c r="I277" s="21">
        <v>48881.0162328234</v>
      </c>
    </row>
    <row r="278" spans="1:9" x14ac:dyDescent="0.25">
      <c r="A278" s="10">
        <v>2017</v>
      </c>
      <c r="B278" s="10">
        <v>1</v>
      </c>
      <c r="C278" s="15">
        <v>46136.756518830298</v>
      </c>
      <c r="G278" s="21">
        <v>2017</v>
      </c>
      <c r="H278" s="21">
        <v>1</v>
      </c>
      <c r="I278" s="21">
        <v>46606.154767300002</v>
      </c>
    </row>
    <row r="279" spans="1:9" x14ac:dyDescent="0.25">
      <c r="A279" s="10">
        <v>2017</v>
      </c>
      <c r="B279" s="10">
        <v>2</v>
      </c>
      <c r="C279" s="15">
        <v>28530.953916519</v>
      </c>
      <c r="G279" s="21">
        <v>2017</v>
      </c>
      <c r="H279" s="21">
        <v>2</v>
      </c>
      <c r="I279" s="21">
        <v>29291.5145795834</v>
      </c>
    </row>
    <row r="280" spans="1:9" x14ac:dyDescent="0.25">
      <c r="A280" s="10">
        <v>2017</v>
      </c>
      <c r="B280" s="10">
        <v>3</v>
      </c>
      <c r="C280" s="15">
        <v>34806.423618019398</v>
      </c>
      <c r="G280" s="21">
        <v>2017</v>
      </c>
      <c r="H280" s="21">
        <v>3</v>
      </c>
      <c r="I280" s="21">
        <v>34581.839821213202</v>
      </c>
    </row>
    <row r="281" spans="1:9" x14ac:dyDescent="0.25">
      <c r="A281" s="10">
        <v>2017</v>
      </c>
      <c r="B281" s="10">
        <v>4</v>
      </c>
      <c r="C281" s="15">
        <v>37354.946614795801</v>
      </c>
      <c r="G281" s="21">
        <v>2017</v>
      </c>
      <c r="H281" s="21">
        <v>4</v>
      </c>
      <c r="I281" s="21">
        <v>37394.411995842398</v>
      </c>
    </row>
    <row r="282" spans="1:9" x14ac:dyDescent="0.25">
      <c r="A282" s="10">
        <v>2017</v>
      </c>
      <c r="B282" s="10">
        <v>5</v>
      </c>
      <c r="C282" s="15">
        <v>42226.5243409264</v>
      </c>
      <c r="G282" s="21">
        <v>2017</v>
      </c>
      <c r="H282" s="21">
        <v>5</v>
      </c>
      <c r="I282" s="21">
        <v>42010.6638996451</v>
      </c>
    </row>
    <row r="283" spans="1:9" x14ac:dyDescent="0.25">
      <c r="A283" s="10">
        <v>2017</v>
      </c>
      <c r="B283" s="10">
        <v>6</v>
      </c>
      <c r="C283" s="15">
        <v>42981.108907453003</v>
      </c>
      <c r="G283" s="21">
        <v>2017</v>
      </c>
      <c r="H283" s="21">
        <v>6</v>
      </c>
      <c r="I283" s="21">
        <v>42740.122214359901</v>
      </c>
    </row>
    <row r="284" spans="1:9" x14ac:dyDescent="0.25">
      <c r="A284" s="10">
        <v>2017</v>
      </c>
      <c r="B284" s="10">
        <v>7</v>
      </c>
      <c r="C284" s="15">
        <v>40258.058610598397</v>
      </c>
      <c r="G284" s="21">
        <v>2017</v>
      </c>
      <c r="H284" s="21">
        <v>7</v>
      </c>
      <c r="I284" s="21">
        <v>40192.500838310298</v>
      </c>
    </row>
    <row r="285" spans="1:9" x14ac:dyDescent="0.25">
      <c r="A285" s="10">
        <v>2017</v>
      </c>
      <c r="B285" s="10">
        <v>8</v>
      </c>
      <c r="C285" s="15">
        <v>38941.130471178898</v>
      </c>
      <c r="G285" s="21">
        <v>2017</v>
      </c>
      <c r="H285" s="21">
        <v>8</v>
      </c>
      <c r="I285" s="21">
        <v>38665.822608335096</v>
      </c>
    </row>
    <row r="286" spans="1:9" x14ac:dyDescent="0.25">
      <c r="A286" s="10">
        <v>2017</v>
      </c>
      <c r="B286" s="10">
        <v>9</v>
      </c>
      <c r="C286" s="15">
        <v>42131.952860420803</v>
      </c>
      <c r="G286" s="21">
        <v>2017</v>
      </c>
      <c r="H286" s="21">
        <v>9</v>
      </c>
      <c r="I286" s="21">
        <v>42000.8917749256</v>
      </c>
    </row>
    <row r="287" spans="1:9" x14ac:dyDescent="0.25">
      <c r="A287" s="10">
        <v>2017</v>
      </c>
      <c r="B287" s="10">
        <v>10</v>
      </c>
      <c r="C287" s="15">
        <v>39472.4667938864</v>
      </c>
      <c r="G287" s="21">
        <v>2017</v>
      </c>
      <c r="H287" s="21">
        <v>10</v>
      </c>
      <c r="I287" s="21">
        <v>39671.378853697803</v>
      </c>
    </row>
    <row r="288" spans="1:9" x14ac:dyDescent="0.25">
      <c r="A288" s="10">
        <v>2017</v>
      </c>
      <c r="B288" s="10">
        <v>11</v>
      </c>
      <c r="C288" s="15">
        <v>39511.220066703398</v>
      </c>
      <c r="G288" s="21">
        <v>2017</v>
      </c>
      <c r="H288" s="21">
        <v>11</v>
      </c>
      <c r="I288" s="21">
        <v>39387.868925709598</v>
      </c>
    </row>
    <row r="289" spans="1:9" x14ac:dyDescent="0.25">
      <c r="A289" s="10">
        <v>2017</v>
      </c>
      <c r="B289" s="10">
        <v>12</v>
      </c>
      <c r="C289" s="15">
        <v>42487.360013660204</v>
      </c>
      <c r="G289" s="21">
        <v>2017</v>
      </c>
      <c r="H289" s="21">
        <v>12</v>
      </c>
      <c r="I289" s="21">
        <v>42378.353841267301</v>
      </c>
    </row>
    <row r="290" spans="1:9" x14ac:dyDescent="0.25">
      <c r="A290" s="10">
        <v>2018</v>
      </c>
      <c r="B290" s="10">
        <v>1</v>
      </c>
      <c r="C290" s="15">
        <v>38258.888613967298</v>
      </c>
      <c r="G290" s="21">
        <v>2018</v>
      </c>
      <c r="H290" s="21">
        <v>1</v>
      </c>
      <c r="I290" s="21">
        <v>39505.163903590597</v>
      </c>
    </row>
    <row r="291" spans="1:9" x14ac:dyDescent="0.25">
      <c r="A291" s="10">
        <v>2018</v>
      </c>
      <c r="B291" s="10">
        <v>2</v>
      </c>
      <c r="C291" s="15">
        <v>41327.570893258802</v>
      </c>
      <c r="G291" s="21">
        <v>2018</v>
      </c>
      <c r="H291" s="21">
        <v>2</v>
      </c>
      <c r="I291" s="21">
        <v>42050.425046231598</v>
      </c>
    </row>
    <row r="292" spans="1:9" x14ac:dyDescent="0.25">
      <c r="A292" s="10">
        <v>2018</v>
      </c>
      <c r="B292" s="10">
        <v>3</v>
      </c>
      <c r="C292" s="15">
        <v>46516.069480386897</v>
      </c>
      <c r="G292" s="21">
        <v>2018</v>
      </c>
      <c r="H292" s="21">
        <v>3</v>
      </c>
      <c r="I292" s="21">
        <v>46002.190694654797</v>
      </c>
    </row>
    <row r="293" spans="1:9" x14ac:dyDescent="0.25">
      <c r="A293" s="10">
        <v>2018</v>
      </c>
      <c r="B293" s="10">
        <v>4</v>
      </c>
      <c r="C293" s="15">
        <v>44975.584670571698</v>
      </c>
      <c r="G293" s="21">
        <v>2018</v>
      </c>
      <c r="H293" s="21">
        <v>4</v>
      </c>
      <c r="I293" s="21">
        <v>44997.880417728004</v>
      </c>
    </row>
    <row r="294" spans="1:9" x14ac:dyDescent="0.25">
      <c r="A294" s="10">
        <v>2018</v>
      </c>
      <c r="B294" s="10">
        <v>5</v>
      </c>
      <c r="C294" s="15">
        <v>43873.218283802496</v>
      </c>
      <c r="G294" s="21">
        <v>2018</v>
      </c>
      <c r="H294" s="21">
        <v>5</v>
      </c>
      <c r="I294" s="21">
        <v>43520.107894090899</v>
      </c>
    </row>
    <row r="295" spans="1:9" x14ac:dyDescent="0.25">
      <c r="A295" s="10">
        <v>2018</v>
      </c>
      <c r="B295" s="10">
        <v>6</v>
      </c>
      <c r="C295" s="15">
        <v>39077.134422322801</v>
      </c>
      <c r="G295" s="21">
        <v>2018</v>
      </c>
      <c r="H295" s="21">
        <v>6</v>
      </c>
      <c r="I295" s="21">
        <v>38585.2049969781</v>
      </c>
    </row>
    <row r="296" spans="1:9" x14ac:dyDescent="0.25">
      <c r="A296" s="10">
        <v>2018</v>
      </c>
      <c r="B296" s="10">
        <v>7</v>
      </c>
      <c r="C296" s="15">
        <v>42541.443965536302</v>
      </c>
      <c r="G296" s="21">
        <v>2018</v>
      </c>
      <c r="H296" s="21">
        <v>7</v>
      </c>
      <c r="I296" s="21">
        <v>42475.790609169802</v>
      </c>
    </row>
    <row r="297" spans="1:9" x14ac:dyDescent="0.25">
      <c r="A297" s="10">
        <v>2018</v>
      </c>
      <c r="B297" s="10">
        <v>8</v>
      </c>
      <c r="C297" s="15">
        <v>42480.906685977599</v>
      </c>
      <c r="G297" s="21">
        <v>2018</v>
      </c>
      <c r="H297" s="21">
        <v>8</v>
      </c>
      <c r="I297" s="21">
        <v>42336.596501656903</v>
      </c>
    </row>
    <row r="298" spans="1:9" x14ac:dyDescent="0.25">
      <c r="A298" s="10">
        <v>2018</v>
      </c>
      <c r="B298" s="10">
        <v>9</v>
      </c>
      <c r="C298" s="15">
        <v>34001.859059821101</v>
      </c>
      <c r="G298" s="21">
        <v>2018</v>
      </c>
      <c r="H298" s="21">
        <v>9</v>
      </c>
      <c r="I298" s="21">
        <v>33926.227715612702</v>
      </c>
    </row>
    <row r="299" spans="1:9" x14ac:dyDescent="0.25">
      <c r="A299" s="10">
        <v>2018</v>
      </c>
      <c r="B299" s="10">
        <v>10</v>
      </c>
      <c r="C299" s="15">
        <v>33391.517245884002</v>
      </c>
      <c r="G299" s="21">
        <v>2018</v>
      </c>
      <c r="H299" s="21">
        <v>10</v>
      </c>
      <c r="I299" s="21">
        <v>33386.050648899698</v>
      </c>
    </row>
    <row r="300" spans="1:9" x14ac:dyDescent="0.25">
      <c r="A300" s="10">
        <v>2018</v>
      </c>
      <c r="B300" s="10">
        <v>11</v>
      </c>
      <c r="C300" s="15">
        <v>31428.653353081099</v>
      </c>
      <c r="G300" s="21">
        <v>2018</v>
      </c>
      <c r="H300" s="21">
        <v>11</v>
      </c>
      <c r="I300" s="21">
        <v>31219.859271438399</v>
      </c>
    </row>
    <row r="301" spans="1:9" x14ac:dyDescent="0.25">
      <c r="A301" s="10">
        <v>2018</v>
      </c>
      <c r="B301" s="10">
        <v>12</v>
      </c>
      <c r="C301" s="15">
        <v>28876.450928904698</v>
      </c>
      <c r="G301" s="21">
        <v>2018</v>
      </c>
      <c r="H301" s="21">
        <v>12</v>
      </c>
      <c r="I301" s="21">
        <v>28433.280984696099</v>
      </c>
    </row>
    <row r="302" spans="1:9" x14ac:dyDescent="0.25">
      <c r="A302" s="10">
        <v>2019</v>
      </c>
      <c r="B302" s="10">
        <v>1</v>
      </c>
      <c r="C302" s="15">
        <v>29386.383739750399</v>
      </c>
      <c r="G302" s="21">
        <v>2019</v>
      </c>
      <c r="H302" s="21">
        <v>1</v>
      </c>
      <c r="I302" s="21">
        <v>32060.203654243702</v>
      </c>
    </row>
    <row r="303" spans="1:9" x14ac:dyDescent="0.25">
      <c r="A303" s="10">
        <v>2019</v>
      </c>
      <c r="B303" s="10">
        <v>2</v>
      </c>
      <c r="C303" s="15">
        <v>34792.655394510497</v>
      </c>
      <c r="G303" s="21">
        <v>2019</v>
      </c>
      <c r="H303" s="21">
        <v>2</v>
      </c>
      <c r="I303" s="21">
        <v>35351.046213709298</v>
      </c>
    </row>
    <row r="304" spans="1:9" x14ac:dyDescent="0.25">
      <c r="A304" s="10">
        <v>2019</v>
      </c>
      <c r="B304" s="10">
        <v>3</v>
      </c>
      <c r="C304" s="15">
        <v>27489.5680748179</v>
      </c>
      <c r="G304" s="21">
        <v>2019</v>
      </c>
      <c r="H304" s="21">
        <v>3</v>
      </c>
      <c r="I304" s="21">
        <v>26556.251518806799</v>
      </c>
    </row>
    <row r="305" spans="1:9" x14ac:dyDescent="0.25">
      <c r="A305" s="10">
        <v>2019</v>
      </c>
      <c r="B305" s="10">
        <v>4</v>
      </c>
      <c r="C305" s="15">
        <v>28808.165509022299</v>
      </c>
      <c r="G305" s="21">
        <v>2019</v>
      </c>
      <c r="H305" s="21">
        <v>4</v>
      </c>
      <c r="I305" s="21">
        <v>28834.711893229101</v>
      </c>
    </row>
    <row r="306" spans="1:9" x14ac:dyDescent="0.25">
      <c r="A306" s="10">
        <v>2019</v>
      </c>
      <c r="B306" s="10">
        <v>5</v>
      </c>
      <c r="C306" s="15">
        <v>27804.956230409702</v>
      </c>
      <c r="G306" s="21">
        <v>2019</v>
      </c>
      <c r="H306" s="21">
        <v>5</v>
      </c>
      <c r="I306" s="21">
        <v>27287.874901176201</v>
      </c>
    </row>
    <row r="307" spans="1:9" x14ac:dyDescent="0.25">
      <c r="A307" s="10">
        <v>2019</v>
      </c>
      <c r="B307" s="10">
        <v>6</v>
      </c>
      <c r="C307" s="15">
        <v>25961.5098073761</v>
      </c>
      <c r="G307" s="21">
        <v>2019</v>
      </c>
      <c r="H307" s="21">
        <v>6</v>
      </c>
      <c r="I307" s="21">
        <v>25060.359053025899</v>
      </c>
    </row>
    <row r="308" spans="1:9" x14ac:dyDescent="0.25">
      <c r="A308" s="10">
        <v>2019</v>
      </c>
      <c r="B308" s="10">
        <v>7</v>
      </c>
      <c r="C308" s="15">
        <v>21403.4950633277</v>
      </c>
      <c r="G308" s="21">
        <v>2019</v>
      </c>
      <c r="H308" s="21">
        <v>7</v>
      </c>
      <c r="I308" s="21">
        <v>21393.247007875401</v>
      </c>
    </row>
    <row r="309" spans="1:9" x14ac:dyDescent="0.25">
      <c r="A309" s="10">
        <v>2019</v>
      </c>
      <c r="B309" s="10">
        <v>8</v>
      </c>
      <c r="C309" s="15">
        <v>24883.1913559358</v>
      </c>
      <c r="G309" s="21">
        <v>2019</v>
      </c>
      <c r="H309" s="21">
        <v>8</v>
      </c>
      <c r="I309" s="21">
        <v>25046.597562528201</v>
      </c>
    </row>
    <row r="310" spans="1:9" x14ac:dyDescent="0.25">
      <c r="A310" s="10">
        <v>2019</v>
      </c>
      <c r="B310" s="10">
        <v>9</v>
      </c>
      <c r="C310" s="15">
        <v>23362.896020957101</v>
      </c>
      <c r="G310" s="21">
        <v>2019</v>
      </c>
      <c r="H310" s="21">
        <v>9</v>
      </c>
      <c r="I310" s="21">
        <v>23145.174935464602</v>
      </c>
    </row>
    <row r="311" spans="1:9" x14ac:dyDescent="0.25">
      <c r="A311" s="10">
        <v>2019</v>
      </c>
      <c r="B311" s="10">
        <v>10</v>
      </c>
      <c r="C311" s="15">
        <v>26661.0280382538</v>
      </c>
      <c r="G311" s="21">
        <v>2019</v>
      </c>
      <c r="H311" s="21">
        <v>10</v>
      </c>
      <c r="I311" s="21">
        <v>26377.9015534063</v>
      </c>
    </row>
    <row r="312" spans="1:9" x14ac:dyDescent="0.25">
      <c r="A312" s="10">
        <v>2019</v>
      </c>
      <c r="B312" s="10">
        <v>11</v>
      </c>
      <c r="C312" s="15">
        <v>23167.647226402401</v>
      </c>
      <c r="G312" s="21">
        <v>2019</v>
      </c>
      <c r="H312" s="21">
        <v>11</v>
      </c>
      <c r="I312" s="21">
        <v>22884.744213268899</v>
      </c>
    </row>
    <row r="313" spans="1:9" x14ac:dyDescent="0.25">
      <c r="A313" s="10">
        <v>2019</v>
      </c>
      <c r="B313" s="10">
        <v>12</v>
      </c>
      <c r="C313" s="15">
        <v>21123.9061372662</v>
      </c>
      <c r="G313" s="21">
        <v>2019</v>
      </c>
      <c r="H313" s="21">
        <v>12</v>
      </c>
      <c r="I313" s="21">
        <v>20492.2972198022</v>
      </c>
    </row>
    <row r="314" spans="1:9" x14ac:dyDescent="0.25">
      <c r="A314" s="10">
        <v>2020</v>
      </c>
      <c r="B314" s="10">
        <v>1</v>
      </c>
      <c r="C314" s="15">
        <v>33648.667182038596</v>
      </c>
      <c r="G314" s="21">
        <v>2020</v>
      </c>
      <c r="H314" s="21">
        <v>1</v>
      </c>
      <c r="I314" s="21">
        <v>37974.2431990572</v>
      </c>
    </row>
    <row r="315" spans="1:9" x14ac:dyDescent="0.25">
      <c r="A315" s="10">
        <v>2020</v>
      </c>
      <c r="B315" s="10">
        <v>2</v>
      </c>
      <c r="C315" s="15">
        <v>29104.449388081601</v>
      </c>
      <c r="G315" s="21">
        <v>2020</v>
      </c>
      <c r="H315" s="21">
        <v>2</v>
      </c>
      <c r="I315" s="21">
        <v>28260.0164124939</v>
      </c>
    </row>
    <row r="316" spans="1:9" x14ac:dyDescent="0.25">
      <c r="A316" s="10">
        <v>2020</v>
      </c>
      <c r="B316" s="10">
        <v>3</v>
      </c>
      <c r="C316" s="15">
        <v>16342.536279649799</v>
      </c>
      <c r="G316" s="21">
        <v>2020</v>
      </c>
      <c r="H316" s="21">
        <v>3</v>
      </c>
      <c r="I316" s="21">
        <v>14602.049548982101</v>
      </c>
    </row>
    <row r="317" spans="1:9" x14ac:dyDescent="0.25">
      <c r="A317" s="10">
        <v>2020</v>
      </c>
      <c r="B317" s="10">
        <v>4</v>
      </c>
      <c r="C317" s="15">
        <v>-767.56880789481102</v>
      </c>
      <c r="G317" s="21">
        <v>2020</v>
      </c>
      <c r="H317" s="21">
        <v>4</v>
      </c>
      <c r="I317" s="21">
        <v>-848.16841686872306</v>
      </c>
    </row>
    <row r="318" spans="1:9" x14ac:dyDescent="0.25">
      <c r="A318" s="10">
        <v>2020</v>
      </c>
      <c r="B318" s="10">
        <v>5</v>
      </c>
      <c r="C318" s="15">
        <v>5241.4335888775404</v>
      </c>
      <c r="G318" s="21">
        <v>2020</v>
      </c>
      <c r="H318" s="21">
        <v>5</v>
      </c>
      <c r="I318" s="21">
        <v>4914.28278763245</v>
      </c>
    </row>
    <row r="319" spans="1:9" x14ac:dyDescent="0.25">
      <c r="A319" s="10">
        <v>2020</v>
      </c>
      <c r="B319" s="10">
        <v>6</v>
      </c>
      <c r="C319" s="15">
        <v>15736.168005285899</v>
      </c>
      <c r="G319" s="21">
        <v>2020</v>
      </c>
      <c r="H319" s="21">
        <v>6</v>
      </c>
      <c r="I319" s="21">
        <v>14075.2582501294</v>
      </c>
    </row>
    <row r="320" spans="1:9" x14ac:dyDescent="0.25">
      <c r="A320" s="10">
        <v>2020</v>
      </c>
      <c r="B320" s="10">
        <v>7</v>
      </c>
      <c r="C320" s="15">
        <v>21275.028553728</v>
      </c>
      <c r="G320" s="21">
        <v>2020</v>
      </c>
      <c r="H320" s="21">
        <v>7</v>
      </c>
      <c r="I320" s="21">
        <v>21572.456748879998</v>
      </c>
    </row>
    <row r="321" spans="1:9" x14ac:dyDescent="0.25">
      <c r="A321" s="10">
        <v>2020</v>
      </c>
      <c r="B321" s="10">
        <v>8</v>
      </c>
      <c r="C321" s="15">
        <v>21034.926659160199</v>
      </c>
      <c r="G321" s="21">
        <v>2020</v>
      </c>
      <c r="H321" s="21">
        <v>8</v>
      </c>
      <c r="I321" s="21">
        <v>21332.683764710699</v>
      </c>
    </row>
    <row r="322" spans="1:9" x14ac:dyDescent="0.25">
      <c r="A322" s="10">
        <v>2020</v>
      </c>
      <c r="B322" s="10">
        <v>9</v>
      </c>
      <c r="C322" s="15">
        <v>26467.7202583773</v>
      </c>
      <c r="G322" s="21">
        <v>2020</v>
      </c>
      <c r="H322" s="21">
        <v>9</v>
      </c>
      <c r="I322" s="21">
        <v>26095.0756371102</v>
      </c>
    </row>
    <row r="323" spans="1:9" x14ac:dyDescent="0.25">
      <c r="A323" s="10">
        <v>2020</v>
      </c>
      <c r="B323" s="10">
        <v>10</v>
      </c>
      <c r="C323" s="15">
        <v>24720.106825037401</v>
      </c>
      <c r="G323" s="21">
        <v>2020</v>
      </c>
      <c r="H323" s="21">
        <v>10</v>
      </c>
      <c r="I323" s="21">
        <v>24494.544666379901</v>
      </c>
    </row>
    <row r="324" spans="1:9" x14ac:dyDescent="0.25">
      <c r="A324" s="10">
        <v>2020</v>
      </c>
      <c r="B324" s="10">
        <v>11</v>
      </c>
      <c r="C324" s="15">
        <v>28803.106335837401</v>
      </c>
      <c r="G324" s="21">
        <v>2020</v>
      </c>
      <c r="H324" s="21">
        <v>11</v>
      </c>
      <c r="I324" s="21">
        <v>28245.134040880399</v>
      </c>
    </row>
    <row r="325" spans="1:9" x14ac:dyDescent="0.25">
      <c r="A325" s="10">
        <v>2020</v>
      </c>
      <c r="B325" s="10">
        <v>12</v>
      </c>
      <c r="C325" s="15">
        <v>43975.664657075104</v>
      </c>
      <c r="G325" s="21">
        <v>2020</v>
      </c>
      <c r="H325" s="21">
        <v>12</v>
      </c>
      <c r="I325" s="21">
        <v>34441.314689807397</v>
      </c>
    </row>
    <row r="326" spans="1:9" x14ac:dyDescent="0.25">
      <c r="A326" s="10">
        <v>2021</v>
      </c>
      <c r="B326" s="10">
        <v>1</v>
      </c>
      <c r="C326" s="15">
        <v>41585.908812121299</v>
      </c>
      <c r="G326" s="21">
        <v>2021</v>
      </c>
      <c r="H326" s="21">
        <v>1</v>
      </c>
      <c r="I326" s="21">
        <v>44395.992643764897</v>
      </c>
    </row>
    <row r="327" spans="1:9" x14ac:dyDescent="0.25">
      <c r="A327" s="10">
        <v>2021</v>
      </c>
      <c r="B327" s="10">
        <v>2</v>
      </c>
      <c r="C327" s="15">
        <v>28911.7135978841</v>
      </c>
      <c r="G327" s="21">
        <v>2021</v>
      </c>
      <c r="H327" s="21">
        <v>2</v>
      </c>
      <c r="I327" s="21">
        <v>24729.011299790702</v>
      </c>
    </row>
    <row r="328" spans="1:9" x14ac:dyDescent="0.25">
      <c r="G328" s="21">
        <v>2021</v>
      </c>
      <c r="H328" s="21">
        <v>3</v>
      </c>
      <c r="I328" s="21">
        <v>36625.813850365499</v>
      </c>
    </row>
    <row r="329" spans="1:9" x14ac:dyDescent="0.25">
      <c r="G329" s="21">
        <v>2021</v>
      </c>
      <c r="H329" s="21">
        <v>4</v>
      </c>
      <c r="I329" s="21">
        <v>28421.1543780514</v>
      </c>
    </row>
    <row r="330" spans="1:9" x14ac:dyDescent="0.25">
      <c r="G330" s="21">
        <v>2021</v>
      </c>
      <c r="H330" s="21">
        <v>5</v>
      </c>
      <c r="I330" s="21">
        <v>35567.417470000299</v>
      </c>
    </row>
    <row r="331" spans="1:9" x14ac:dyDescent="0.25">
      <c r="G331" s="21">
        <v>2021</v>
      </c>
      <c r="H331" s="21">
        <v>6</v>
      </c>
      <c r="I331" s="21">
        <v>38495.691459454902</v>
      </c>
    </row>
    <row r="332" spans="1:9" x14ac:dyDescent="0.25">
      <c r="G332" s="21">
        <v>2021</v>
      </c>
      <c r="H332" s="21">
        <v>7</v>
      </c>
      <c r="I332" s="21">
        <v>33481.7434646654</v>
      </c>
    </row>
    <row r="333" spans="1:9" x14ac:dyDescent="0.25">
      <c r="G333" s="21">
        <v>2021</v>
      </c>
      <c r="H333" s="21">
        <v>8</v>
      </c>
      <c r="I333" s="21">
        <v>32400.351840192201</v>
      </c>
    </row>
    <row r="334" spans="1:9" x14ac:dyDescent="0.25">
      <c r="G334" s="21">
        <v>2021</v>
      </c>
      <c r="H334" s="21">
        <v>9</v>
      </c>
      <c r="I334" s="21">
        <v>37435.276700130598</v>
      </c>
    </row>
    <row r="335" spans="1:9" x14ac:dyDescent="0.25">
      <c r="G335" s="21">
        <v>2021</v>
      </c>
      <c r="H335" s="21">
        <v>10</v>
      </c>
      <c r="I335" s="21">
        <v>38296.512924144001</v>
      </c>
    </row>
    <row r="336" spans="1:9" x14ac:dyDescent="0.25">
      <c r="G336" s="21">
        <v>2021</v>
      </c>
      <c r="H336" s="21">
        <v>11</v>
      </c>
      <c r="I336" s="21">
        <v>40645.998357951001</v>
      </c>
    </row>
    <row r="337" spans="7:9" x14ac:dyDescent="0.25">
      <c r="G337" s="21">
        <v>2021</v>
      </c>
      <c r="H337" s="21">
        <v>12</v>
      </c>
      <c r="I337" s="21">
        <v>44068.8013738597</v>
      </c>
    </row>
    <row r="338" spans="7:9" x14ac:dyDescent="0.25">
      <c r="G338" s="21">
        <v>2022</v>
      </c>
      <c r="H338" s="21">
        <v>1</v>
      </c>
      <c r="I338" s="21">
        <v>38877.240052162997</v>
      </c>
    </row>
    <row r="339" spans="7:9" x14ac:dyDescent="0.25">
      <c r="G339" s="21">
        <v>2022</v>
      </c>
      <c r="H339" s="21">
        <v>2</v>
      </c>
      <c r="I339" s="21">
        <v>41156.461605982702</v>
      </c>
    </row>
    <row r="340" spans="7:9" x14ac:dyDescent="0.25">
      <c r="G340" s="21">
        <v>2022</v>
      </c>
      <c r="H340" s="21">
        <v>3</v>
      </c>
      <c r="I340" s="21">
        <v>41717.703961610699</v>
      </c>
    </row>
    <row r="341" spans="7:9" x14ac:dyDescent="0.25">
      <c r="G341" s="21">
        <v>2022</v>
      </c>
      <c r="H341" s="21">
        <v>4</v>
      </c>
      <c r="I341" s="21">
        <v>44077.350789939803</v>
      </c>
    </row>
    <row r="342" spans="7:9" x14ac:dyDescent="0.25">
      <c r="G342" s="21">
        <v>2022</v>
      </c>
      <c r="H342" s="21">
        <v>5</v>
      </c>
      <c r="I342" s="21">
        <v>45866.972615887302</v>
      </c>
    </row>
    <row r="343" spans="7:9" x14ac:dyDescent="0.25">
      <c r="G343" s="21">
        <v>2022</v>
      </c>
      <c r="H343" s="21">
        <v>6</v>
      </c>
      <c r="I343" s="21">
        <v>46497.199086859197</v>
      </c>
    </row>
    <row r="344" spans="7:9" x14ac:dyDescent="0.25">
      <c r="G344" s="21">
        <v>2022</v>
      </c>
      <c r="H344" s="21">
        <v>7</v>
      </c>
      <c r="I344" s="21">
        <v>47064.046403811801</v>
      </c>
    </row>
    <row r="345" spans="7:9" x14ac:dyDescent="0.25">
      <c r="G345" s="21">
        <v>2022</v>
      </c>
      <c r="H345" s="21">
        <v>8</v>
      </c>
      <c r="I345" s="21">
        <v>46793.884737155597</v>
      </c>
    </row>
    <row r="346" spans="7:9" x14ac:dyDescent="0.25">
      <c r="G346" s="21">
        <v>2022</v>
      </c>
      <c r="H346" s="21">
        <v>9</v>
      </c>
      <c r="I346" s="21">
        <v>46013.059783674202</v>
      </c>
    </row>
    <row r="347" spans="7:9" x14ac:dyDescent="0.25">
      <c r="G347" s="21">
        <v>2022</v>
      </c>
      <c r="H347" s="21">
        <v>10</v>
      </c>
      <c r="I347" s="21">
        <v>49981.404288942002</v>
      </c>
    </row>
    <row r="348" spans="7:9" x14ac:dyDescent="0.25">
      <c r="G348" s="21">
        <v>2022</v>
      </c>
      <c r="H348" s="21">
        <v>11</v>
      </c>
      <c r="I348" s="21">
        <v>47395.3577280272</v>
      </c>
    </row>
    <row r="349" spans="7:9" x14ac:dyDescent="0.25">
      <c r="G349" s="21">
        <v>2022</v>
      </c>
      <c r="H349" s="21">
        <v>12</v>
      </c>
      <c r="I349" s="21">
        <v>42570.097783808698</v>
      </c>
    </row>
    <row r="350" spans="7:9" x14ac:dyDescent="0.25">
      <c r="G350" s="21">
        <v>2023</v>
      </c>
      <c r="H350" s="21">
        <v>1</v>
      </c>
      <c r="I350" s="21">
        <v>46253.4588987639</v>
      </c>
    </row>
    <row r="351" spans="7:9" x14ac:dyDescent="0.25">
      <c r="G351" s="21">
        <v>2023</v>
      </c>
      <c r="H351" s="21">
        <v>2</v>
      </c>
      <c r="I351" s="21">
        <v>50429.611352407897</v>
      </c>
    </row>
    <row r="352" spans="7:9" x14ac:dyDescent="0.25">
      <c r="G352" s="21">
        <v>2023</v>
      </c>
      <c r="H352" s="21">
        <v>3</v>
      </c>
      <c r="I352" s="21">
        <v>53796.080542467302</v>
      </c>
    </row>
    <row r="353" spans="7:9" x14ac:dyDescent="0.25">
      <c r="G353" s="21">
        <v>2023</v>
      </c>
      <c r="H353" s="21">
        <v>4</v>
      </c>
      <c r="I353" s="21">
        <v>55578.740805367197</v>
      </c>
    </row>
    <row r="354" spans="7:9" x14ac:dyDescent="0.25">
      <c r="G354" s="21">
        <v>2023</v>
      </c>
      <c r="H354" s="21">
        <v>5</v>
      </c>
      <c r="I354" s="21">
        <v>51385.253137461397</v>
      </c>
    </row>
    <row r="355" spans="7:9" x14ac:dyDescent="0.25">
      <c r="G355" s="21">
        <v>2023</v>
      </c>
      <c r="H355" s="21">
        <v>6</v>
      </c>
      <c r="I355" s="21">
        <v>51587.224025845397</v>
      </c>
    </row>
    <row r="356" spans="7:9" x14ac:dyDescent="0.25">
      <c r="G356" s="21">
        <v>2023</v>
      </c>
      <c r="H356" s="21">
        <v>7</v>
      </c>
      <c r="I356" s="21">
        <v>52133.503545557003</v>
      </c>
    </row>
    <row r="357" spans="7:9" x14ac:dyDescent="0.25">
      <c r="G357" s="21">
        <v>2023</v>
      </c>
      <c r="H357" s="21">
        <v>8</v>
      </c>
      <c r="I357" s="21">
        <v>56050.072883940004</v>
      </c>
    </row>
    <row r="358" spans="7:9" x14ac:dyDescent="0.25">
      <c r="G358" s="21">
        <v>2023</v>
      </c>
      <c r="H358" s="21">
        <v>9</v>
      </c>
      <c r="I358" s="21">
        <v>52072.906098305102</v>
      </c>
    </row>
    <row r="359" spans="7:9" x14ac:dyDescent="0.25">
      <c r="G359" s="21">
        <v>2023</v>
      </c>
      <c r="H359" s="21">
        <v>10</v>
      </c>
      <c r="I359" s="21">
        <v>48278.442054791602</v>
      </c>
    </row>
    <row r="360" spans="7:9" x14ac:dyDescent="0.25">
      <c r="G360" s="21">
        <v>2023</v>
      </c>
      <c r="H360" s="21">
        <v>11</v>
      </c>
      <c r="I360" s="21">
        <v>50561.962864889399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9793-6F4B-4D21-921F-F88088DCC7FF}">
  <dimension ref="A1:BI372"/>
  <sheetViews>
    <sheetView topLeftCell="AN1" workbookViewId="0">
      <selection activeCell="AS20" sqref="AS20:AX20"/>
    </sheetView>
  </sheetViews>
  <sheetFormatPr baseColWidth="10" defaultColWidth="11.42578125" defaultRowHeight="15" x14ac:dyDescent="0.25"/>
  <cols>
    <col min="9" max="9" width="11.85546875" bestFit="1" customWidth="1"/>
    <col min="14" max="14" width="11.42578125" style="19"/>
  </cols>
  <sheetData>
    <row r="1" spans="1:61" ht="42.75" x14ac:dyDescent="0.25">
      <c r="A1" t="s">
        <v>37</v>
      </c>
      <c r="B1" s="9" t="s">
        <v>34</v>
      </c>
      <c r="C1" s="9" t="s">
        <v>35</v>
      </c>
      <c r="L1" s="9" t="s">
        <v>38</v>
      </c>
      <c r="M1" s="9" t="s">
        <v>34</v>
      </c>
      <c r="N1" s="17" t="s">
        <v>41</v>
      </c>
      <c r="Q1" s="14" t="s">
        <v>38</v>
      </c>
      <c r="R1" s="14" t="s">
        <v>34</v>
      </c>
      <c r="S1" s="14" t="s">
        <v>35</v>
      </c>
      <c r="U1" s="14" t="s">
        <v>38</v>
      </c>
      <c r="V1" s="14" t="s">
        <v>34</v>
      </c>
      <c r="W1" s="14" t="s">
        <v>35</v>
      </c>
      <c r="Z1" s="14" t="s">
        <v>38</v>
      </c>
      <c r="AA1" s="14" t="s">
        <v>34</v>
      </c>
      <c r="AB1" s="14" t="s">
        <v>35</v>
      </c>
      <c r="AD1" s="17" t="s">
        <v>38</v>
      </c>
      <c r="AE1" s="17" t="s">
        <v>34</v>
      </c>
      <c r="AF1" s="17" t="s">
        <v>35</v>
      </c>
      <c r="AH1" s="9" t="s">
        <v>38</v>
      </c>
      <c r="AI1" s="9" t="s">
        <v>34</v>
      </c>
      <c r="AJ1" s="9" t="s">
        <v>35</v>
      </c>
      <c r="AL1" s="14" t="s">
        <v>38</v>
      </c>
      <c r="AM1" s="14" t="s">
        <v>34</v>
      </c>
      <c r="AN1" s="14" t="s">
        <v>35</v>
      </c>
      <c r="AQ1" s="17" t="s">
        <v>38</v>
      </c>
      <c r="AR1" s="17" t="s">
        <v>34</v>
      </c>
      <c r="AS1" s="17" t="s">
        <v>35</v>
      </c>
      <c r="AU1" s="9" t="s">
        <v>38</v>
      </c>
      <c r="AV1" s="9" t="s">
        <v>34</v>
      </c>
      <c r="AW1" s="9" t="s">
        <v>35</v>
      </c>
      <c r="AY1" s="14" t="s">
        <v>38</v>
      </c>
      <c r="AZ1" s="14" t="s">
        <v>34</v>
      </c>
      <c r="BA1" s="14" t="s">
        <v>35</v>
      </c>
      <c r="BC1" s="14" t="s">
        <v>38</v>
      </c>
      <c r="BD1" s="14" t="s">
        <v>34</v>
      </c>
      <c r="BE1" s="14" t="s">
        <v>35</v>
      </c>
      <c r="BG1" s="14" t="s">
        <v>38</v>
      </c>
      <c r="BH1" s="14" t="s">
        <v>34</v>
      </c>
      <c r="BI1" s="14" t="s">
        <v>35</v>
      </c>
    </row>
    <row r="2" spans="1:61" x14ac:dyDescent="0.25">
      <c r="A2" s="10">
        <v>1994</v>
      </c>
      <c r="B2" s="10">
        <v>1</v>
      </c>
      <c r="C2" s="11">
        <v>53679.565562803698</v>
      </c>
      <c r="L2" s="10">
        <v>1994</v>
      </c>
      <c r="M2" s="10">
        <v>1</v>
      </c>
      <c r="N2" s="18">
        <v>51232.887591694598</v>
      </c>
      <c r="Q2" s="15">
        <v>1994</v>
      </c>
      <c r="R2" s="15">
        <v>1</v>
      </c>
      <c r="S2" s="15">
        <v>51257.237956851903</v>
      </c>
      <c r="U2" s="15">
        <v>1994</v>
      </c>
      <c r="V2" s="15">
        <v>1</v>
      </c>
      <c r="W2" s="15">
        <v>53545.625462707598</v>
      </c>
      <c r="Z2" s="15">
        <v>1994</v>
      </c>
      <c r="AA2" s="15">
        <v>1</v>
      </c>
      <c r="AB2" s="15">
        <v>53563.726212670103</v>
      </c>
      <c r="AD2" s="18">
        <v>1994</v>
      </c>
      <c r="AE2" s="18">
        <v>1</v>
      </c>
      <c r="AF2" s="18">
        <v>53562.469347038401</v>
      </c>
      <c r="AH2" s="10">
        <v>1994</v>
      </c>
      <c r="AI2" s="10">
        <v>1</v>
      </c>
      <c r="AJ2" s="18">
        <v>53548.982233560899</v>
      </c>
      <c r="AL2" s="15">
        <v>1994</v>
      </c>
      <c r="AM2" s="15">
        <v>1</v>
      </c>
      <c r="AN2" s="15">
        <v>53550.471784174799</v>
      </c>
      <c r="AQ2" s="18">
        <v>1994</v>
      </c>
      <c r="AR2" s="18">
        <v>1</v>
      </c>
      <c r="AS2" s="18">
        <v>53604.2918910546</v>
      </c>
      <c r="AU2" s="10">
        <v>1994</v>
      </c>
      <c r="AV2" s="10">
        <v>1</v>
      </c>
      <c r="AW2" s="15">
        <v>53658.051200426402</v>
      </c>
      <c r="AY2" s="15">
        <v>1994</v>
      </c>
      <c r="AZ2" s="15">
        <v>1</v>
      </c>
      <c r="BA2" s="15">
        <v>53654.840923863201</v>
      </c>
      <c r="BC2" s="15">
        <v>1994</v>
      </c>
      <c r="BD2" s="15">
        <v>1</v>
      </c>
      <c r="BE2" s="15">
        <v>53671.160083122697</v>
      </c>
      <c r="BG2" s="15">
        <v>1994</v>
      </c>
      <c r="BH2" s="15">
        <v>1</v>
      </c>
      <c r="BI2" s="15">
        <v>53658.918374438799</v>
      </c>
    </row>
    <row r="3" spans="1:61" x14ac:dyDescent="0.25">
      <c r="A3" s="10">
        <v>1994</v>
      </c>
      <c r="B3" s="10">
        <v>2</v>
      </c>
      <c r="C3" s="11">
        <v>11648.1181086414</v>
      </c>
      <c r="L3" s="10">
        <v>1994</v>
      </c>
      <c r="M3" s="10">
        <v>2</v>
      </c>
      <c r="N3" s="18">
        <v>10891.073108001399</v>
      </c>
      <c r="Q3" s="15">
        <v>1994</v>
      </c>
      <c r="R3" s="15">
        <v>2</v>
      </c>
      <c r="S3" s="15">
        <v>10777.3713573522</v>
      </c>
      <c r="U3" s="15">
        <v>1994</v>
      </c>
      <c r="V3" s="15">
        <v>2</v>
      </c>
      <c r="W3" s="15">
        <v>12737.5368439678</v>
      </c>
      <c r="Z3" s="15">
        <v>1994</v>
      </c>
      <c r="AA3" s="15">
        <v>2</v>
      </c>
      <c r="AB3" s="15">
        <v>12784.326831779799</v>
      </c>
      <c r="AD3" s="18">
        <v>1994</v>
      </c>
      <c r="AE3" s="18">
        <v>2</v>
      </c>
      <c r="AF3" s="18">
        <v>12885.2294603683</v>
      </c>
      <c r="AH3" s="10">
        <v>1994</v>
      </c>
      <c r="AI3" s="10">
        <v>2</v>
      </c>
      <c r="AJ3" s="18">
        <v>12890.5528721474</v>
      </c>
      <c r="AL3" s="15">
        <v>1994</v>
      </c>
      <c r="AM3" s="15">
        <v>2</v>
      </c>
      <c r="AN3" s="15">
        <v>12911.217345184101</v>
      </c>
      <c r="AQ3" s="18">
        <v>1994</v>
      </c>
      <c r="AR3" s="18">
        <v>2</v>
      </c>
      <c r="AS3" s="18">
        <v>12922.3231628092</v>
      </c>
      <c r="AU3" s="10">
        <v>1994</v>
      </c>
      <c r="AV3" s="10">
        <v>2</v>
      </c>
      <c r="AW3" s="15">
        <v>12918.6800875114</v>
      </c>
      <c r="AY3" s="15">
        <v>1994</v>
      </c>
      <c r="AZ3" s="15">
        <v>2</v>
      </c>
      <c r="BA3" s="15">
        <v>12904.3762159302</v>
      </c>
      <c r="BC3" s="15">
        <v>1994</v>
      </c>
      <c r="BD3" s="15">
        <v>2</v>
      </c>
      <c r="BE3" s="15">
        <v>12899.5196211846</v>
      </c>
      <c r="BG3" s="15">
        <v>1994</v>
      </c>
      <c r="BH3" s="15">
        <v>2</v>
      </c>
      <c r="BI3" s="15">
        <v>12896.538722683899</v>
      </c>
    </row>
    <row r="4" spans="1:61" ht="28.5" x14ac:dyDescent="0.25">
      <c r="A4" s="10">
        <v>1994</v>
      </c>
      <c r="B4" s="10">
        <v>3</v>
      </c>
      <c r="C4" s="11">
        <v>28006.494043935101</v>
      </c>
      <c r="G4" s="12" t="s">
        <v>38</v>
      </c>
      <c r="H4" s="12" t="s">
        <v>34</v>
      </c>
      <c r="I4" s="12" t="s">
        <v>39</v>
      </c>
      <c r="L4" s="10">
        <v>1994</v>
      </c>
      <c r="M4" s="10">
        <v>3</v>
      </c>
      <c r="N4" s="18">
        <v>29022.413365194399</v>
      </c>
      <c r="Q4" s="15">
        <v>1994</v>
      </c>
      <c r="R4" s="15">
        <v>3</v>
      </c>
      <c r="S4" s="15">
        <v>28985.395415291801</v>
      </c>
      <c r="U4" s="15">
        <v>1994</v>
      </c>
      <c r="V4" s="15">
        <v>3</v>
      </c>
      <c r="W4" s="15">
        <v>27905.251118228702</v>
      </c>
      <c r="Z4" s="15">
        <v>1994</v>
      </c>
      <c r="AA4" s="15">
        <v>3</v>
      </c>
      <c r="AB4" s="15">
        <v>27894.210337145902</v>
      </c>
      <c r="AD4" s="18">
        <v>1994</v>
      </c>
      <c r="AE4" s="18">
        <v>3</v>
      </c>
      <c r="AF4" s="18">
        <v>27881.319273402099</v>
      </c>
      <c r="AH4" s="10">
        <v>1994</v>
      </c>
      <c r="AI4" s="10">
        <v>3</v>
      </c>
      <c r="AJ4" s="18">
        <v>27887.471295617201</v>
      </c>
      <c r="AL4" s="15">
        <v>1994</v>
      </c>
      <c r="AM4" s="15">
        <v>3</v>
      </c>
      <c r="AN4" s="15">
        <v>27884.592178014402</v>
      </c>
      <c r="AQ4" s="18">
        <v>1994</v>
      </c>
      <c r="AR4" s="18">
        <v>3</v>
      </c>
      <c r="AS4" s="18">
        <v>27856.422783440001</v>
      </c>
      <c r="AU4" s="10">
        <v>1994</v>
      </c>
      <c r="AV4" s="10">
        <v>3</v>
      </c>
      <c r="AW4" s="15">
        <v>27827.416535100099</v>
      </c>
      <c r="AY4" s="15">
        <v>1994</v>
      </c>
      <c r="AZ4" s="15">
        <v>3</v>
      </c>
      <c r="BA4" s="15">
        <v>27832.478939953598</v>
      </c>
      <c r="BC4" s="15">
        <v>1994</v>
      </c>
      <c r="BD4" s="15">
        <v>3</v>
      </c>
      <c r="BE4" s="15">
        <v>27824.699035490299</v>
      </c>
      <c r="BG4" s="15">
        <v>1994</v>
      </c>
      <c r="BH4" s="15">
        <v>3</v>
      </c>
      <c r="BI4" s="15">
        <v>27832.004967659399</v>
      </c>
    </row>
    <row r="5" spans="1:61" x14ac:dyDescent="0.25">
      <c r="A5" s="10">
        <v>1994</v>
      </c>
      <c r="B5" s="10">
        <v>4</v>
      </c>
      <c r="C5" s="11">
        <v>34477.010485817402</v>
      </c>
      <c r="G5" s="7">
        <v>1994</v>
      </c>
      <c r="H5" s="7">
        <v>1</v>
      </c>
      <c r="I5" s="13">
        <v>52579.677619105103</v>
      </c>
      <c r="L5" s="10">
        <v>1994</v>
      </c>
      <c r="M5" s="10">
        <v>4</v>
      </c>
      <c r="N5" s="18">
        <v>34485.267653146097</v>
      </c>
      <c r="Q5" s="15">
        <v>1994</v>
      </c>
      <c r="R5" s="15">
        <v>4</v>
      </c>
      <c r="S5" s="15">
        <v>34408.628689537501</v>
      </c>
      <c r="U5" s="15">
        <v>1994</v>
      </c>
      <c r="V5" s="15">
        <v>4</v>
      </c>
      <c r="W5" s="15">
        <v>34426.589989083499</v>
      </c>
      <c r="Z5" s="15">
        <v>1994</v>
      </c>
      <c r="AA5" s="15">
        <v>4</v>
      </c>
      <c r="AB5" s="15">
        <v>34415.125748323801</v>
      </c>
      <c r="AD5" s="18">
        <v>1994</v>
      </c>
      <c r="AE5" s="18">
        <v>4</v>
      </c>
      <c r="AF5" s="18">
        <v>34412.818745138902</v>
      </c>
      <c r="AH5" s="10">
        <v>1994</v>
      </c>
      <c r="AI5" s="10">
        <v>4</v>
      </c>
      <c r="AJ5" s="18">
        <v>34411.367899124001</v>
      </c>
      <c r="AL5" s="15">
        <v>1994</v>
      </c>
      <c r="AM5" s="15">
        <v>4</v>
      </c>
      <c r="AN5" s="15">
        <v>34408.771374729098</v>
      </c>
      <c r="AQ5" s="18">
        <v>1994</v>
      </c>
      <c r="AR5" s="18">
        <v>4</v>
      </c>
      <c r="AS5" s="18">
        <v>34411.120275776397</v>
      </c>
      <c r="AU5" s="10">
        <v>1994</v>
      </c>
      <c r="AV5" s="10">
        <v>4</v>
      </c>
      <c r="AW5" s="15">
        <v>34420.150210485299</v>
      </c>
      <c r="AY5" s="15">
        <v>1994</v>
      </c>
      <c r="AZ5" s="15">
        <v>4</v>
      </c>
      <c r="BA5" s="15">
        <v>34417.546720703802</v>
      </c>
      <c r="BC5" s="15">
        <v>1994</v>
      </c>
      <c r="BD5" s="15">
        <v>4</v>
      </c>
      <c r="BE5" s="15">
        <v>34419.336795791998</v>
      </c>
      <c r="BG5" s="15">
        <v>1994</v>
      </c>
      <c r="BH5" s="15">
        <v>4</v>
      </c>
      <c r="BI5" s="15">
        <v>34417.1588538672</v>
      </c>
    </row>
    <row r="6" spans="1:61" x14ac:dyDescent="0.25">
      <c r="A6" s="10">
        <v>1994</v>
      </c>
      <c r="B6" s="10">
        <v>5</v>
      </c>
      <c r="C6" s="11">
        <v>29624.754084358701</v>
      </c>
      <c r="G6" s="7">
        <v>1994</v>
      </c>
      <c r="H6" s="7">
        <v>2</v>
      </c>
      <c r="I6" s="13">
        <v>11313.9318863475</v>
      </c>
      <c r="L6" s="10">
        <v>1994</v>
      </c>
      <c r="M6" s="10">
        <v>5</v>
      </c>
      <c r="N6" s="18">
        <v>30552.287136219999</v>
      </c>
      <c r="Q6" s="15">
        <v>1994</v>
      </c>
      <c r="R6" s="15">
        <v>5</v>
      </c>
      <c r="S6" s="15">
        <v>30499.954730232701</v>
      </c>
      <c r="U6" s="15">
        <v>1994</v>
      </c>
      <c r="V6" s="15">
        <v>5</v>
      </c>
      <c r="W6" s="15">
        <v>29647.687287546702</v>
      </c>
      <c r="Z6" s="15">
        <v>1994</v>
      </c>
      <c r="AA6" s="15">
        <v>5</v>
      </c>
      <c r="AB6" s="15">
        <v>29638.704611538</v>
      </c>
      <c r="AD6" s="18">
        <v>1994</v>
      </c>
      <c r="AE6" s="18">
        <v>5</v>
      </c>
      <c r="AF6" s="18">
        <v>29643.936670023399</v>
      </c>
      <c r="AH6" s="10">
        <v>1994</v>
      </c>
      <c r="AI6" s="10">
        <v>5</v>
      </c>
      <c r="AJ6" s="18">
        <v>29641.557759456198</v>
      </c>
      <c r="AL6" s="15">
        <v>1994</v>
      </c>
      <c r="AM6" s="15">
        <v>5</v>
      </c>
      <c r="AN6" s="15">
        <v>29640.203162130299</v>
      </c>
      <c r="AQ6" s="18">
        <v>1994</v>
      </c>
      <c r="AR6" s="18">
        <v>5</v>
      </c>
      <c r="AS6" s="18">
        <v>29648.212363426199</v>
      </c>
      <c r="AU6" s="10">
        <v>1994</v>
      </c>
      <c r="AV6" s="10">
        <v>5</v>
      </c>
      <c r="AW6" s="15">
        <v>29663.432999187298</v>
      </c>
      <c r="AY6" s="15">
        <v>1994</v>
      </c>
      <c r="AZ6" s="15">
        <v>5</v>
      </c>
      <c r="BA6" s="15">
        <v>29658.622839296098</v>
      </c>
      <c r="BC6" s="15">
        <v>1994</v>
      </c>
      <c r="BD6" s="15">
        <v>5</v>
      </c>
      <c r="BE6" s="15">
        <v>29661.715395708001</v>
      </c>
      <c r="BG6" s="15">
        <v>1994</v>
      </c>
      <c r="BH6" s="15">
        <v>5</v>
      </c>
      <c r="BI6" s="15">
        <v>29657.750273428599</v>
      </c>
    </row>
    <row r="7" spans="1:61" x14ac:dyDescent="0.25">
      <c r="A7" s="10">
        <v>1994</v>
      </c>
      <c r="B7" s="10">
        <v>6</v>
      </c>
      <c r="C7" s="11">
        <v>31874.391053743599</v>
      </c>
      <c r="G7" s="7">
        <v>1994</v>
      </c>
      <c r="H7" s="7">
        <v>3</v>
      </c>
      <c r="I7" s="13">
        <v>29368.552420592801</v>
      </c>
      <c r="L7" s="10">
        <v>1994</v>
      </c>
      <c r="M7" s="10">
        <v>6</v>
      </c>
      <c r="N7" s="18">
        <v>32339.6767468295</v>
      </c>
      <c r="Q7" s="15">
        <v>1994</v>
      </c>
      <c r="R7" s="15">
        <v>6</v>
      </c>
      <c r="S7" s="15">
        <v>32270.310914771799</v>
      </c>
      <c r="U7" s="15">
        <v>1994</v>
      </c>
      <c r="V7" s="15">
        <v>6</v>
      </c>
      <c r="W7" s="15">
        <v>31832.7871102832</v>
      </c>
      <c r="Z7" s="15">
        <v>1994</v>
      </c>
      <c r="AA7" s="15">
        <v>6</v>
      </c>
      <c r="AB7" s="15">
        <v>31842.3438064945</v>
      </c>
      <c r="AD7" s="18">
        <v>1994</v>
      </c>
      <c r="AE7" s="18">
        <v>6</v>
      </c>
      <c r="AF7" s="18">
        <v>31830.245606660901</v>
      </c>
      <c r="AH7" s="10">
        <v>1994</v>
      </c>
      <c r="AI7" s="10">
        <v>6</v>
      </c>
      <c r="AJ7" s="18">
        <v>31836.246663591399</v>
      </c>
      <c r="AL7" s="15">
        <v>1994</v>
      </c>
      <c r="AM7" s="15">
        <v>6</v>
      </c>
      <c r="AN7" s="15">
        <v>31837.244449604299</v>
      </c>
      <c r="AQ7" s="18">
        <v>1994</v>
      </c>
      <c r="AR7" s="18">
        <v>6</v>
      </c>
      <c r="AS7" s="18">
        <v>31814.063674823701</v>
      </c>
      <c r="AU7" s="10">
        <v>1994</v>
      </c>
      <c r="AV7" s="10">
        <v>6</v>
      </c>
      <c r="AW7" s="15">
        <v>31779.127951750899</v>
      </c>
      <c r="AY7" s="15">
        <v>1994</v>
      </c>
      <c r="AZ7" s="15">
        <v>6</v>
      </c>
      <c r="BA7" s="15">
        <v>31788.502654092099</v>
      </c>
      <c r="BC7" s="15">
        <v>1994</v>
      </c>
      <c r="BD7" s="15">
        <v>6</v>
      </c>
      <c r="BE7" s="15">
        <v>31780.578173153201</v>
      </c>
      <c r="BG7" s="15">
        <v>1994</v>
      </c>
      <c r="BH7" s="15">
        <v>6</v>
      </c>
      <c r="BI7" s="15">
        <v>31789.6093260245</v>
      </c>
    </row>
    <row r="8" spans="1:61" x14ac:dyDescent="0.25">
      <c r="A8" s="10">
        <v>1994</v>
      </c>
      <c r="B8" s="10">
        <v>7</v>
      </c>
      <c r="C8" s="11">
        <v>32731.781507881002</v>
      </c>
      <c r="G8" s="7">
        <v>1994</v>
      </c>
      <c r="H8" s="7">
        <v>4</v>
      </c>
      <c r="I8" s="13">
        <v>33585.224018510002</v>
      </c>
      <c r="L8" s="10">
        <v>1994</v>
      </c>
      <c r="M8" s="10">
        <v>7</v>
      </c>
      <c r="N8" s="18">
        <v>32896.253720372697</v>
      </c>
      <c r="Q8" s="15">
        <v>1994</v>
      </c>
      <c r="R8" s="15">
        <v>7</v>
      </c>
      <c r="S8" s="15">
        <v>32865.005800081301</v>
      </c>
      <c r="U8" s="15">
        <v>1994</v>
      </c>
      <c r="V8" s="15">
        <v>7</v>
      </c>
      <c r="W8" s="15">
        <v>32791.498951900299</v>
      </c>
      <c r="Z8" s="15">
        <v>1994</v>
      </c>
      <c r="AA8" s="15">
        <v>7</v>
      </c>
      <c r="AB8" s="15">
        <v>32782.949292891899</v>
      </c>
      <c r="AD8" s="18">
        <v>1994</v>
      </c>
      <c r="AE8" s="18">
        <v>7</v>
      </c>
      <c r="AF8" s="18">
        <v>32792.431305087499</v>
      </c>
      <c r="AH8" s="10">
        <v>1994</v>
      </c>
      <c r="AI8" s="10">
        <v>7</v>
      </c>
      <c r="AJ8" s="18">
        <v>32788.352327682798</v>
      </c>
      <c r="AL8" s="15">
        <v>1994</v>
      </c>
      <c r="AM8" s="15">
        <v>7</v>
      </c>
      <c r="AN8" s="15">
        <v>32787.454090398998</v>
      </c>
      <c r="AQ8" s="18">
        <v>1994</v>
      </c>
      <c r="AR8" s="18">
        <v>7</v>
      </c>
      <c r="AS8" s="18">
        <v>32802.966506215103</v>
      </c>
      <c r="AU8" s="10">
        <v>1994</v>
      </c>
      <c r="AV8" s="10">
        <v>7</v>
      </c>
      <c r="AW8" s="15">
        <v>32827.529657439001</v>
      </c>
      <c r="AY8" s="15">
        <v>1994</v>
      </c>
      <c r="AZ8" s="15">
        <v>7</v>
      </c>
      <c r="BA8" s="15">
        <v>32820.354447097503</v>
      </c>
      <c r="BC8" s="15">
        <v>1994</v>
      </c>
      <c r="BD8" s="15">
        <v>7</v>
      </c>
      <c r="BE8" s="15">
        <v>32825.657185182798</v>
      </c>
      <c r="BG8" s="15">
        <v>1994</v>
      </c>
      <c r="BH8" s="15">
        <v>7</v>
      </c>
      <c r="BI8" s="15">
        <v>32819.252924836503</v>
      </c>
    </row>
    <row r="9" spans="1:61" x14ac:dyDescent="0.25">
      <c r="A9" s="10">
        <v>1994</v>
      </c>
      <c r="B9" s="10">
        <v>8</v>
      </c>
      <c r="C9" s="11">
        <v>34874.228320617898</v>
      </c>
      <c r="G9" s="7">
        <v>1994</v>
      </c>
      <c r="H9" s="7">
        <v>5</v>
      </c>
      <c r="I9" s="13">
        <v>30104.878637749702</v>
      </c>
      <c r="L9" s="10">
        <v>1994</v>
      </c>
      <c r="M9" s="10">
        <v>8</v>
      </c>
      <c r="N9" s="18">
        <v>35086.198810018097</v>
      </c>
      <c r="Q9" s="15">
        <v>1994</v>
      </c>
      <c r="R9" s="15">
        <v>8</v>
      </c>
      <c r="S9" s="15">
        <v>35027.520140806402</v>
      </c>
      <c r="U9" s="15">
        <v>1994</v>
      </c>
      <c r="V9" s="15">
        <v>8</v>
      </c>
      <c r="W9" s="15">
        <v>34842.434526033103</v>
      </c>
      <c r="Z9" s="15">
        <v>1994</v>
      </c>
      <c r="AA9" s="15">
        <v>8</v>
      </c>
      <c r="AB9" s="15">
        <v>34849.825559296703</v>
      </c>
      <c r="AD9" s="18">
        <v>1994</v>
      </c>
      <c r="AE9" s="18">
        <v>8</v>
      </c>
      <c r="AF9" s="18">
        <v>34839.030595319004</v>
      </c>
      <c r="AH9" s="10">
        <v>1994</v>
      </c>
      <c r="AI9" s="10">
        <v>8</v>
      </c>
      <c r="AJ9" s="18">
        <v>34844.268172043703</v>
      </c>
      <c r="AL9" s="15">
        <v>1994</v>
      </c>
      <c r="AM9" s="15">
        <v>8</v>
      </c>
      <c r="AN9" s="15">
        <v>34845.044018939298</v>
      </c>
      <c r="AQ9" s="18">
        <v>1994</v>
      </c>
      <c r="AR9" s="18">
        <v>8</v>
      </c>
      <c r="AS9" s="18">
        <v>34824.771199333998</v>
      </c>
      <c r="AU9" s="10">
        <v>1994</v>
      </c>
      <c r="AV9" s="10">
        <v>8</v>
      </c>
      <c r="AW9" s="15">
        <v>34794.902951534801</v>
      </c>
      <c r="AY9" s="15">
        <v>1994</v>
      </c>
      <c r="AZ9" s="15">
        <v>8</v>
      </c>
      <c r="BA9" s="15">
        <v>34802.635018856803</v>
      </c>
      <c r="BC9" s="15">
        <v>1994</v>
      </c>
      <c r="BD9" s="15">
        <v>8</v>
      </c>
      <c r="BE9" s="15">
        <v>34795.7550728735</v>
      </c>
      <c r="BG9" s="15">
        <v>1994</v>
      </c>
      <c r="BH9" s="15">
        <v>8</v>
      </c>
      <c r="BI9" s="15">
        <v>34803.4343846173</v>
      </c>
    </row>
    <row r="10" spans="1:61" x14ac:dyDescent="0.25">
      <c r="A10" s="10">
        <v>1994</v>
      </c>
      <c r="B10" s="10">
        <v>9</v>
      </c>
      <c r="C10" s="11">
        <v>36139.792316734798</v>
      </c>
      <c r="G10" s="7">
        <v>1994</v>
      </c>
      <c r="H10" s="7">
        <v>6</v>
      </c>
      <c r="I10" s="13">
        <v>32012.778628857501</v>
      </c>
      <c r="L10" s="10">
        <v>1994</v>
      </c>
      <c r="M10" s="10">
        <v>9</v>
      </c>
      <c r="N10" s="18">
        <v>36347.602257373102</v>
      </c>
      <c r="Q10" s="15">
        <v>1994</v>
      </c>
      <c r="R10" s="15">
        <v>9</v>
      </c>
      <c r="S10" s="15">
        <v>36297.406381776003</v>
      </c>
      <c r="U10" s="15">
        <v>1994</v>
      </c>
      <c r="V10" s="15">
        <v>9</v>
      </c>
      <c r="W10" s="15">
        <v>36102.744332463102</v>
      </c>
      <c r="Z10" s="15">
        <v>1994</v>
      </c>
      <c r="AA10" s="15">
        <v>9</v>
      </c>
      <c r="AB10" s="15">
        <v>36109.595116230899</v>
      </c>
      <c r="AD10" s="18">
        <v>1994</v>
      </c>
      <c r="AE10" s="18">
        <v>9</v>
      </c>
      <c r="AF10" s="18">
        <v>36098.504470892804</v>
      </c>
      <c r="AH10" s="10">
        <v>1994</v>
      </c>
      <c r="AI10" s="10">
        <v>9</v>
      </c>
      <c r="AJ10" s="18">
        <v>36103.557117074699</v>
      </c>
      <c r="AL10" s="15">
        <v>1994</v>
      </c>
      <c r="AM10" s="15">
        <v>9</v>
      </c>
      <c r="AN10" s="15">
        <v>36104.221410159698</v>
      </c>
      <c r="AQ10" s="18">
        <v>1994</v>
      </c>
      <c r="AR10" s="18">
        <v>9</v>
      </c>
      <c r="AS10" s="18">
        <v>36084.555136843999</v>
      </c>
      <c r="AU10" s="10">
        <v>1994</v>
      </c>
      <c r="AV10" s="10">
        <v>9</v>
      </c>
      <c r="AW10" s="15">
        <v>36055.790122030499</v>
      </c>
      <c r="AY10" s="15">
        <v>1994</v>
      </c>
      <c r="AZ10" s="15">
        <v>9</v>
      </c>
      <c r="BA10" s="15">
        <v>36063.244815147598</v>
      </c>
      <c r="BC10" s="15">
        <v>1994</v>
      </c>
      <c r="BD10" s="15">
        <v>9</v>
      </c>
      <c r="BE10" s="15">
        <v>36056.6220595056</v>
      </c>
      <c r="BG10" s="15">
        <v>1994</v>
      </c>
      <c r="BH10" s="15">
        <v>9</v>
      </c>
      <c r="BI10" s="15">
        <v>36064.022595449002</v>
      </c>
    </row>
    <row r="11" spans="1:61" x14ac:dyDescent="0.25">
      <c r="A11" s="10">
        <v>1994</v>
      </c>
      <c r="B11" s="10">
        <v>10</v>
      </c>
      <c r="C11" s="11">
        <v>34094.1003050531</v>
      </c>
      <c r="G11" s="7">
        <v>1994</v>
      </c>
      <c r="H11" s="7">
        <v>7</v>
      </c>
      <c r="I11" s="13">
        <v>32835.043023411599</v>
      </c>
      <c r="L11" s="10">
        <v>1994</v>
      </c>
      <c r="M11" s="10">
        <v>10</v>
      </c>
      <c r="N11" s="18">
        <v>34197.535801777398</v>
      </c>
      <c r="Q11" s="15">
        <v>1994</v>
      </c>
      <c r="R11" s="15">
        <v>10</v>
      </c>
      <c r="S11" s="15">
        <v>34200.483296571401</v>
      </c>
      <c r="U11" s="15">
        <v>1994</v>
      </c>
      <c r="V11" s="15">
        <v>10</v>
      </c>
      <c r="W11" s="15">
        <v>34137.0267447769</v>
      </c>
      <c r="Z11" s="15">
        <v>1994</v>
      </c>
      <c r="AA11" s="15">
        <v>10</v>
      </c>
      <c r="AB11" s="15">
        <v>34123.9901492512</v>
      </c>
      <c r="AD11" s="18">
        <v>1994</v>
      </c>
      <c r="AE11" s="18">
        <v>10</v>
      </c>
      <c r="AF11" s="18">
        <v>34134.079785204704</v>
      </c>
      <c r="AH11" s="10">
        <v>1994</v>
      </c>
      <c r="AI11" s="10">
        <v>10</v>
      </c>
      <c r="AJ11" s="18">
        <v>34128.187035090101</v>
      </c>
      <c r="AL11" s="15">
        <v>1994</v>
      </c>
      <c r="AM11" s="15">
        <v>10</v>
      </c>
      <c r="AN11" s="15">
        <v>34126.493753664203</v>
      </c>
      <c r="AQ11" s="18">
        <v>1994</v>
      </c>
      <c r="AR11" s="18">
        <v>10</v>
      </c>
      <c r="AS11" s="18">
        <v>34148.337073393202</v>
      </c>
      <c r="AU11" s="10">
        <v>1994</v>
      </c>
      <c r="AV11" s="10">
        <v>10</v>
      </c>
      <c r="AW11" s="15">
        <v>34183.492717272697</v>
      </c>
      <c r="AY11" s="15">
        <v>1994</v>
      </c>
      <c r="AZ11" s="15">
        <v>10</v>
      </c>
      <c r="BA11" s="15">
        <v>34173.5705195107</v>
      </c>
      <c r="BC11" s="15">
        <v>1994</v>
      </c>
      <c r="BD11" s="15">
        <v>10</v>
      </c>
      <c r="BE11" s="15">
        <v>34181.289046233796</v>
      </c>
      <c r="BG11" s="15">
        <v>1994</v>
      </c>
      <c r="BH11" s="15">
        <v>10</v>
      </c>
      <c r="BI11" s="15">
        <v>34172.189809337098</v>
      </c>
    </row>
    <row r="12" spans="1:61" x14ac:dyDescent="0.25">
      <c r="A12" s="10">
        <v>1994</v>
      </c>
      <c r="B12" s="10">
        <v>11</v>
      </c>
      <c r="C12" s="11">
        <v>33750.841410856301</v>
      </c>
      <c r="G12" s="7">
        <v>1994</v>
      </c>
      <c r="H12" s="7">
        <v>8</v>
      </c>
      <c r="I12" s="13">
        <v>34848.046660038701</v>
      </c>
      <c r="L12" s="10">
        <v>1994</v>
      </c>
      <c r="M12" s="10">
        <v>11</v>
      </c>
      <c r="N12" s="18">
        <v>33762.928512142797</v>
      </c>
      <c r="Q12" s="15">
        <v>1994</v>
      </c>
      <c r="R12" s="15">
        <v>11</v>
      </c>
      <c r="S12" s="15">
        <v>33962.483276019098</v>
      </c>
      <c r="U12" s="15">
        <v>1994</v>
      </c>
      <c r="V12" s="15">
        <v>11</v>
      </c>
      <c r="W12" s="15">
        <v>33627.860706932297</v>
      </c>
      <c r="Z12" s="15">
        <v>1994</v>
      </c>
      <c r="AA12" s="15">
        <v>11</v>
      </c>
      <c r="AB12" s="15">
        <v>33619.660092430997</v>
      </c>
      <c r="AD12" s="18">
        <v>1994</v>
      </c>
      <c r="AE12" s="18">
        <v>11</v>
      </c>
      <c r="AF12" s="18">
        <v>33612.187507914801</v>
      </c>
      <c r="AH12" s="10">
        <v>1994</v>
      </c>
      <c r="AI12" s="10">
        <v>11</v>
      </c>
      <c r="AJ12" s="18">
        <v>33609.445420413998</v>
      </c>
      <c r="AL12" s="15">
        <v>1994</v>
      </c>
      <c r="AM12" s="15">
        <v>11</v>
      </c>
      <c r="AN12" s="15">
        <v>33606.845267493001</v>
      </c>
      <c r="AQ12" s="18">
        <v>1994</v>
      </c>
      <c r="AR12" s="18">
        <v>11</v>
      </c>
      <c r="AS12" s="18">
        <v>33614.129292028403</v>
      </c>
      <c r="AU12" s="10">
        <v>1994</v>
      </c>
      <c r="AV12" s="10">
        <v>11</v>
      </c>
      <c r="AW12" s="15">
        <v>33628.218462904202</v>
      </c>
      <c r="AY12" s="15">
        <v>1994</v>
      </c>
      <c r="AZ12" s="15">
        <v>11</v>
      </c>
      <c r="BA12" s="15">
        <v>33626.301981795099</v>
      </c>
      <c r="BC12" s="15">
        <v>1994</v>
      </c>
      <c r="BD12" s="15">
        <v>11</v>
      </c>
      <c r="BE12" s="15">
        <v>33630.1940483496</v>
      </c>
      <c r="BG12" s="15">
        <v>1994</v>
      </c>
      <c r="BH12" s="15">
        <v>11</v>
      </c>
      <c r="BI12" s="15">
        <v>33626.888707254002</v>
      </c>
    </row>
    <row r="13" spans="1:61" x14ac:dyDescent="0.25">
      <c r="A13" s="10">
        <v>1994</v>
      </c>
      <c r="B13" s="10">
        <v>12</v>
      </c>
      <c r="C13" s="11">
        <v>33000.707336776097</v>
      </c>
      <c r="G13" s="7">
        <v>1994</v>
      </c>
      <c r="H13" s="7">
        <v>9</v>
      </c>
      <c r="I13" s="13">
        <v>36087.011581754203</v>
      </c>
      <c r="L13" s="10">
        <v>1994</v>
      </c>
      <c r="M13" s="10">
        <v>12</v>
      </c>
      <c r="N13" s="18">
        <v>33101.270882362303</v>
      </c>
      <c r="Q13" s="15">
        <v>1994</v>
      </c>
      <c r="R13" s="15">
        <v>12</v>
      </c>
      <c r="S13" s="15">
        <v>33148.372110368102</v>
      </c>
      <c r="U13" s="15">
        <v>1994</v>
      </c>
      <c r="V13" s="15">
        <v>12</v>
      </c>
      <c r="W13" s="15">
        <v>32925.620957560997</v>
      </c>
      <c r="Z13" s="15">
        <v>1994</v>
      </c>
      <c r="AA13" s="15">
        <v>12</v>
      </c>
      <c r="AB13" s="15">
        <v>32924.001595977803</v>
      </c>
      <c r="AD13" s="18">
        <v>1994</v>
      </c>
      <c r="AE13" s="18">
        <v>12</v>
      </c>
      <c r="AF13" s="18">
        <v>32916.1103001308</v>
      </c>
      <c r="AH13" s="10">
        <v>1994</v>
      </c>
      <c r="AI13" s="10">
        <v>12</v>
      </c>
      <c r="AJ13" s="18">
        <v>32917.397969691403</v>
      </c>
      <c r="AL13" s="15">
        <v>1994</v>
      </c>
      <c r="AM13" s="15">
        <v>12</v>
      </c>
      <c r="AN13" s="15">
        <v>32916.462362808103</v>
      </c>
      <c r="AQ13" s="18">
        <v>1994</v>
      </c>
      <c r="AR13" s="18">
        <v>12</v>
      </c>
      <c r="AS13" s="18">
        <v>32909.853546286897</v>
      </c>
      <c r="AU13" s="10">
        <v>1994</v>
      </c>
      <c r="AV13" s="10">
        <v>12</v>
      </c>
      <c r="AW13" s="15">
        <v>32902.096706419201</v>
      </c>
      <c r="AY13" s="15">
        <v>1994</v>
      </c>
      <c r="AZ13" s="15">
        <v>12</v>
      </c>
      <c r="BA13" s="15">
        <v>32904.439430915001</v>
      </c>
      <c r="BC13" s="15">
        <v>1994</v>
      </c>
      <c r="BD13" s="15">
        <v>12</v>
      </c>
      <c r="BE13" s="15">
        <v>32902.695717276198</v>
      </c>
      <c r="BG13" s="15">
        <v>1994</v>
      </c>
      <c r="BH13" s="15">
        <v>12</v>
      </c>
      <c r="BI13" s="15">
        <v>32904.828626189599</v>
      </c>
    </row>
    <row r="14" spans="1:61" x14ac:dyDescent="0.25">
      <c r="A14" s="10">
        <v>1995</v>
      </c>
      <c r="B14" s="10">
        <v>1</v>
      </c>
      <c r="C14" s="11">
        <v>26828.7578617295</v>
      </c>
      <c r="G14" s="7">
        <v>1994</v>
      </c>
      <c r="H14" s="7">
        <v>10</v>
      </c>
      <c r="I14" s="13">
        <v>34141.537509539303</v>
      </c>
      <c r="L14" s="10">
        <v>1995</v>
      </c>
      <c r="M14" s="10">
        <v>1</v>
      </c>
      <c r="N14" s="18">
        <v>24684.908065179901</v>
      </c>
      <c r="Q14" s="15">
        <v>1995</v>
      </c>
      <c r="R14" s="15">
        <v>1</v>
      </c>
      <c r="S14" s="15">
        <v>24678.542412275801</v>
      </c>
      <c r="U14" s="15">
        <v>1995</v>
      </c>
      <c r="V14" s="15">
        <v>1</v>
      </c>
      <c r="W14" s="15">
        <v>26672.6128362821</v>
      </c>
      <c r="Z14" s="15">
        <v>1995</v>
      </c>
      <c r="AA14" s="15">
        <v>1</v>
      </c>
      <c r="AB14" s="15">
        <v>26697.690253696201</v>
      </c>
      <c r="AD14" s="18">
        <v>1995</v>
      </c>
      <c r="AE14" s="18">
        <v>1</v>
      </c>
      <c r="AF14" s="18">
        <v>26690.1546659222</v>
      </c>
      <c r="AH14" s="10">
        <v>1995</v>
      </c>
      <c r="AI14" s="10">
        <v>1</v>
      </c>
      <c r="AJ14" s="18">
        <v>26682.841030944299</v>
      </c>
      <c r="AL14" s="15">
        <v>1995</v>
      </c>
      <c r="AM14" s="15">
        <v>1</v>
      </c>
      <c r="AN14" s="15">
        <v>26685.4294208596</v>
      </c>
      <c r="AQ14" s="18">
        <v>1995</v>
      </c>
      <c r="AR14" s="18">
        <v>1</v>
      </c>
      <c r="AS14" s="18">
        <v>26715.9858635698</v>
      </c>
      <c r="AU14" s="10">
        <v>1995</v>
      </c>
      <c r="AV14" s="10">
        <v>1</v>
      </c>
      <c r="AW14" s="15">
        <v>26736.788924958899</v>
      </c>
      <c r="AY14" s="15">
        <v>1995</v>
      </c>
      <c r="AZ14" s="15">
        <v>1</v>
      </c>
      <c r="BA14" s="15">
        <v>26741.099459387598</v>
      </c>
      <c r="BC14" s="15">
        <v>1995</v>
      </c>
      <c r="BD14" s="15">
        <v>1</v>
      </c>
      <c r="BE14" s="15">
        <v>26749.507338452</v>
      </c>
      <c r="BG14" s="15">
        <v>1995</v>
      </c>
      <c r="BH14" s="15">
        <v>1</v>
      </c>
      <c r="BI14" s="15">
        <v>26745.547487015399</v>
      </c>
    </row>
    <row r="15" spans="1:61" x14ac:dyDescent="0.25">
      <c r="A15" s="10">
        <v>1995</v>
      </c>
      <c r="B15" s="10">
        <v>2</v>
      </c>
      <c r="C15" s="11">
        <v>36015.047052999398</v>
      </c>
      <c r="G15" s="7">
        <v>1994</v>
      </c>
      <c r="H15" s="7">
        <v>11</v>
      </c>
      <c r="I15" s="13">
        <v>33833.425232461501</v>
      </c>
      <c r="L15" s="10">
        <v>1995</v>
      </c>
      <c r="M15" s="10">
        <v>2</v>
      </c>
      <c r="N15" s="18">
        <v>35363.137631225603</v>
      </c>
      <c r="Q15" s="15">
        <v>1995</v>
      </c>
      <c r="R15" s="15">
        <v>2</v>
      </c>
      <c r="S15" s="15">
        <v>35244.5399026534</v>
      </c>
      <c r="U15" s="15">
        <v>1995</v>
      </c>
      <c r="V15" s="15">
        <v>2</v>
      </c>
      <c r="W15" s="15">
        <v>37007.130483616798</v>
      </c>
      <c r="Z15" s="15">
        <v>1995</v>
      </c>
      <c r="AA15" s="15">
        <v>2</v>
      </c>
      <c r="AB15" s="15">
        <v>37050.024897236399</v>
      </c>
      <c r="AD15" s="18">
        <v>1995</v>
      </c>
      <c r="AE15" s="18">
        <v>2</v>
      </c>
      <c r="AF15" s="18">
        <v>37141.209238462601</v>
      </c>
      <c r="AH15" s="10">
        <v>1995</v>
      </c>
      <c r="AI15" s="10">
        <v>2</v>
      </c>
      <c r="AJ15" s="18">
        <v>37146.344392076397</v>
      </c>
      <c r="AL15" s="15">
        <v>1995</v>
      </c>
      <c r="AM15" s="15">
        <v>2</v>
      </c>
      <c r="AN15" s="15">
        <v>37165.141832038302</v>
      </c>
      <c r="AQ15" s="18">
        <v>1995</v>
      </c>
      <c r="AR15" s="18">
        <v>2</v>
      </c>
      <c r="AS15" s="18">
        <v>37174.038698788099</v>
      </c>
      <c r="AU15" s="10">
        <v>1995</v>
      </c>
      <c r="AV15" s="10">
        <v>2</v>
      </c>
      <c r="AW15" s="15">
        <v>37168.987995403899</v>
      </c>
      <c r="AY15" s="15">
        <v>1995</v>
      </c>
      <c r="AZ15" s="15">
        <v>2</v>
      </c>
      <c r="BA15" s="15">
        <v>37156.4553000819</v>
      </c>
      <c r="BC15" s="15">
        <v>1995</v>
      </c>
      <c r="BD15" s="15">
        <v>2</v>
      </c>
      <c r="BE15" s="15">
        <v>37151.643056799599</v>
      </c>
      <c r="BG15" s="15">
        <v>1995</v>
      </c>
      <c r="BH15" s="15">
        <v>2</v>
      </c>
      <c r="BI15" s="15">
        <v>37149.3864640959</v>
      </c>
    </row>
    <row r="16" spans="1:61" x14ac:dyDescent="0.25">
      <c r="A16" s="10">
        <v>1995</v>
      </c>
      <c r="B16" s="10">
        <v>3</v>
      </c>
      <c r="C16" s="11">
        <v>30137.0420307434</v>
      </c>
      <c r="G16" s="7">
        <v>1994</v>
      </c>
      <c r="H16" s="7">
        <v>12</v>
      </c>
      <c r="I16" s="13">
        <v>32987.326358732898</v>
      </c>
      <c r="L16" s="10">
        <v>1995</v>
      </c>
      <c r="M16" s="10">
        <v>3</v>
      </c>
      <c r="N16" s="18">
        <v>31057.7782306714</v>
      </c>
      <c r="Q16" s="15">
        <v>1995</v>
      </c>
      <c r="R16" s="15">
        <v>3</v>
      </c>
      <c r="S16" s="15">
        <v>31010.195838260199</v>
      </c>
      <c r="U16" s="15">
        <v>1995</v>
      </c>
      <c r="V16" s="15">
        <v>3</v>
      </c>
      <c r="W16" s="15">
        <v>30063.373509322399</v>
      </c>
      <c r="Z16" s="15">
        <v>1995</v>
      </c>
      <c r="AA16" s="15">
        <v>3</v>
      </c>
      <c r="AB16" s="15">
        <v>30056.534559008502</v>
      </c>
      <c r="AD16" s="18">
        <v>1995</v>
      </c>
      <c r="AE16" s="18">
        <v>3</v>
      </c>
      <c r="AF16" s="18">
        <v>30045.040853087099</v>
      </c>
      <c r="AH16" s="10">
        <v>1995</v>
      </c>
      <c r="AI16" s="10">
        <v>3</v>
      </c>
      <c r="AJ16" s="18">
        <v>30051.725357121399</v>
      </c>
      <c r="AL16" s="15">
        <v>1995</v>
      </c>
      <c r="AM16" s="15">
        <v>3</v>
      </c>
      <c r="AN16" s="15">
        <v>30049.806076860401</v>
      </c>
      <c r="AQ16" s="18">
        <v>1995</v>
      </c>
      <c r="AR16" s="18">
        <v>3</v>
      </c>
      <c r="AS16" s="18">
        <v>30020.7543355706</v>
      </c>
      <c r="AU16" s="10">
        <v>1995</v>
      </c>
      <c r="AV16" s="10">
        <v>3</v>
      </c>
      <c r="AW16" s="15">
        <v>29988.3669690106</v>
      </c>
      <c r="AY16" s="15">
        <v>1995</v>
      </c>
      <c r="AZ16" s="15">
        <v>3</v>
      </c>
      <c r="BA16" s="15">
        <v>29994.385512074201</v>
      </c>
      <c r="BC16" s="15">
        <v>1995</v>
      </c>
      <c r="BD16" s="15">
        <v>3</v>
      </c>
      <c r="BE16" s="15">
        <v>29985.917799013299</v>
      </c>
      <c r="BG16" s="15">
        <v>1995</v>
      </c>
      <c r="BH16" s="15">
        <v>3</v>
      </c>
      <c r="BI16" s="15">
        <v>29994.041996423199</v>
      </c>
    </row>
    <row r="17" spans="1:61" x14ac:dyDescent="0.25">
      <c r="A17" s="10">
        <v>1995</v>
      </c>
      <c r="B17" s="10">
        <v>4</v>
      </c>
      <c r="C17" s="11">
        <v>25188.491464875598</v>
      </c>
      <c r="G17" s="7">
        <v>1995</v>
      </c>
      <c r="H17" s="7">
        <v>1</v>
      </c>
      <c r="I17" s="13">
        <v>25970.001561943602</v>
      </c>
      <c r="L17" s="10">
        <v>1995</v>
      </c>
      <c r="M17" s="10">
        <v>4</v>
      </c>
      <c r="N17" s="18">
        <v>25151.4826942041</v>
      </c>
      <c r="Q17" s="15">
        <v>1995</v>
      </c>
      <c r="R17" s="15">
        <v>4</v>
      </c>
      <c r="S17" s="15">
        <v>25102.934795738202</v>
      </c>
      <c r="U17" s="15">
        <v>1995</v>
      </c>
      <c r="V17" s="15">
        <v>4</v>
      </c>
      <c r="W17" s="15">
        <v>25230.301089002201</v>
      </c>
      <c r="Z17" s="15">
        <v>1995</v>
      </c>
      <c r="AA17" s="15">
        <v>4</v>
      </c>
      <c r="AB17" s="15">
        <v>25207.625788903199</v>
      </c>
      <c r="AD17" s="18">
        <v>1995</v>
      </c>
      <c r="AE17" s="18">
        <v>4</v>
      </c>
      <c r="AF17" s="18">
        <v>25222.593521819101</v>
      </c>
      <c r="AH17" s="10">
        <v>1995</v>
      </c>
      <c r="AI17" s="10">
        <v>4</v>
      </c>
      <c r="AJ17" s="18">
        <v>25214.170149302001</v>
      </c>
      <c r="AL17" s="15">
        <v>1995</v>
      </c>
      <c r="AM17" s="15">
        <v>4</v>
      </c>
      <c r="AN17" s="15">
        <v>25210.716101612099</v>
      </c>
      <c r="AQ17" s="18">
        <v>1995</v>
      </c>
      <c r="AR17" s="18">
        <v>4</v>
      </c>
      <c r="AS17" s="18">
        <v>25240.5004106081</v>
      </c>
      <c r="AU17" s="10">
        <v>1995</v>
      </c>
      <c r="AV17" s="10">
        <v>4</v>
      </c>
      <c r="AW17" s="15">
        <v>25290.926713248002</v>
      </c>
      <c r="AY17" s="15">
        <v>1995</v>
      </c>
      <c r="AZ17" s="15">
        <v>4</v>
      </c>
      <c r="BA17" s="15">
        <v>25276.660083426301</v>
      </c>
      <c r="BC17" s="15">
        <v>1995</v>
      </c>
      <c r="BD17" s="15">
        <v>4</v>
      </c>
      <c r="BE17" s="15">
        <v>25287.635101043699</v>
      </c>
      <c r="BG17" s="15">
        <v>1995</v>
      </c>
      <c r="BH17" s="15">
        <v>4</v>
      </c>
      <c r="BI17" s="15">
        <v>25274.658135367099</v>
      </c>
    </row>
    <row r="18" spans="1:61" x14ac:dyDescent="0.25">
      <c r="A18" s="10">
        <v>1995</v>
      </c>
      <c r="B18" s="10">
        <v>5</v>
      </c>
      <c r="C18" s="11">
        <v>25268.4095093535</v>
      </c>
      <c r="G18" s="7">
        <v>1995</v>
      </c>
      <c r="H18" s="7">
        <v>2</v>
      </c>
      <c r="I18" s="13">
        <v>35693.637445954999</v>
      </c>
      <c r="L18" s="10">
        <v>1995</v>
      </c>
      <c r="M18" s="10">
        <v>5</v>
      </c>
      <c r="N18" s="18">
        <v>26162.2863333245</v>
      </c>
      <c r="Q18" s="15">
        <v>1995</v>
      </c>
      <c r="R18" s="15">
        <v>5</v>
      </c>
      <c r="S18" s="15">
        <v>26090.7272109519</v>
      </c>
      <c r="U18" s="15">
        <v>1995</v>
      </c>
      <c r="V18" s="15">
        <v>5</v>
      </c>
      <c r="W18" s="15">
        <v>25231.579395066299</v>
      </c>
      <c r="Z18" s="15">
        <v>1995</v>
      </c>
      <c r="AA18" s="15">
        <v>5</v>
      </c>
      <c r="AB18" s="15">
        <v>25235.993870995699</v>
      </c>
      <c r="AD18" s="18">
        <v>1995</v>
      </c>
      <c r="AE18" s="18">
        <v>5</v>
      </c>
      <c r="AF18" s="18">
        <v>25226.949565261999</v>
      </c>
      <c r="AH18" s="10">
        <v>1995</v>
      </c>
      <c r="AI18" s="10">
        <v>5</v>
      </c>
      <c r="AJ18" s="18">
        <v>25231.705073146499</v>
      </c>
      <c r="AL18" s="15">
        <v>1995</v>
      </c>
      <c r="AM18" s="15">
        <v>5</v>
      </c>
      <c r="AN18" s="15">
        <v>25231.927367980501</v>
      </c>
      <c r="AQ18" s="18">
        <v>1995</v>
      </c>
      <c r="AR18" s="18">
        <v>5</v>
      </c>
      <c r="AS18" s="18">
        <v>25212.9123596067</v>
      </c>
      <c r="AU18" s="10">
        <v>1995</v>
      </c>
      <c r="AV18" s="10">
        <v>5</v>
      </c>
      <c r="AW18" s="15">
        <v>25186.250887343798</v>
      </c>
      <c r="AY18" s="15">
        <v>1995</v>
      </c>
      <c r="AZ18" s="15">
        <v>5</v>
      </c>
      <c r="BA18" s="15">
        <v>25192.963546254599</v>
      </c>
      <c r="BC18" s="15">
        <v>1995</v>
      </c>
      <c r="BD18" s="15">
        <v>5</v>
      </c>
      <c r="BE18" s="15">
        <v>25186.718107094399</v>
      </c>
      <c r="BG18" s="15">
        <v>1995</v>
      </c>
      <c r="BH18" s="15">
        <v>5</v>
      </c>
      <c r="BI18" s="15">
        <v>25193.5781187389</v>
      </c>
    </row>
    <row r="19" spans="1:61" x14ac:dyDescent="0.25">
      <c r="A19" s="10">
        <v>1995</v>
      </c>
      <c r="B19" s="10">
        <v>6</v>
      </c>
      <c r="C19" s="11">
        <v>19250.1490280914</v>
      </c>
      <c r="G19" s="7">
        <v>1995</v>
      </c>
      <c r="H19" s="7">
        <v>3</v>
      </c>
      <c r="I19" s="13">
        <v>31314.549042876999</v>
      </c>
      <c r="L19" s="10">
        <v>1995</v>
      </c>
      <c r="M19" s="10">
        <v>6</v>
      </c>
      <c r="N19" s="18">
        <v>19684.065628737</v>
      </c>
      <c r="Q19" s="15">
        <v>1995</v>
      </c>
      <c r="R19" s="15">
        <v>6</v>
      </c>
      <c r="S19" s="15">
        <v>19619.897298338499</v>
      </c>
      <c r="U19" s="15">
        <v>1995</v>
      </c>
      <c r="V19" s="15">
        <v>6</v>
      </c>
      <c r="W19" s="15">
        <v>19212.969841935199</v>
      </c>
      <c r="Z19" s="15">
        <v>1995</v>
      </c>
      <c r="AA19" s="15">
        <v>6</v>
      </c>
      <c r="AB19" s="15">
        <v>19221.724923523801</v>
      </c>
      <c r="AD19" s="18">
        <v>1995</v>
      </c>
      <c r="AE19" s="18">
        <v>6</v>
      </c>
      <c r="AF19" s="18">
        <v>19210.7805422733</v>
      </c>
      <c r="AH19" s="10">
        <v>1995</v>
      </c>
      <c r="AI19" s="10">
        <v>6</v>
      </c>
      <c r="AJ19" s="18">
        <v>19216.410937944998</v>
      </c>
      <c r="AL19" s="15">
        <v>1995</v>
      </c>
      <c r="AM19" s="15">
        <v>6</v>
      </c>
      <c r="AN19" s="15">
        <v>19217.340823233601</v>
      </c>
      <c r="AQ19" s="18">
        <v>1995</v>
      </c>
      <c r="AR19" s="18">
        <v>6</v>
      </c>
      <c r="AS19" s="18">
        <v>19195.597739509802</v>
      </c>
      <c r="AU19" s="10">
        <v>1995</v>
      </c>
      <c r="AV19" s="10">
        <v>6</v>
      </c>
      <c r="AW19" s="15">
        <v>19162.945525826301</v>
      </c>
      <c r="AY19" s="15">
        <v>1995</v>
      </c>
      <c r="AZ19" s="15">
        <v>6</v>
      </c>
      <c r="BA19" s="15">
        <v>19171.633503408801</v>
      </c>
      <c r="BC19" s="15">
        <v>1995</v>
      </c>
      <c r="BD19" s="15">
        <v>6</v>
      </c>
      <c r="BE19" s="15">
        <v>19164.197111665901</v>
      </c>
      <c r="BG19" s="15">
        <v>1995</v>
      </c>
      <c r="BH19" s="15">
        <v>6</v>
      </c>
      <c r="BI19" s="15">
        <v>19172.628353137599</v>
      </c>
    </row>
    <row r="20" spans="1:61" x14ac:dyDescent="0.25">
      <c r="A20" s="10">
        <v>1995</v>
      </c>
      <c r="B20" s="10">
        <v>7</v>
      </c>
      <c r="C20" s="11">
        <v>19750.671402749998</v>
      </c>
      <c r="G20" s="7">
        <v>1995</v>
      </c>
      <c r="H20" s="7">
        <v>4</v>
      </c>
      <c r="I20" s="13">
        <v>24460.5308472818</v>
      </c>
      <c r="L20" s="10">
        <v>1995</v>
      </c>
      <c r="M20" s="10">
        <v>7</v>
      </c>
      <c r="N20" s="18">
        <v>19877.589139691099</v>
      </c>
      <c r="Q20" s="15">
        <v>1995</v>
      </c>
      <c r="R20" s="15">
        <v>7</v>
      </c>
      <c r="S20" s="15">
        <v>19853.6927784451</v>
      </c>
      <c r="U20" s="15">
        <v>1995</v>
      </c>
      <c r="V20" s="15">
        <v>7</v>
      </c>
      <c r="W20" s="15">
        <v>19815.7797954253</v>
      </c>
      <c r="Z20" s="15">
        <v>1995</v>
      </c>
      <c r="AA20" s="15">
        <v>7</v>
      </c>
      <c r="AB20" s="15">
        <v>19805.6278115315</v>
      </c>
      <c r="AD20" s="18">
        <v>1995</v>
      </c>
      <c r="AE20" s="18">
        <v>7</v>
      </c>
      <c r="AF20" s="18">
        <v>19817.0142194049</v>
      </c>
      <c r="AH20" s="10">
        <v>1995</v>
      </c>
      <c r="AI20" s="10">
        <v>7</v>
      </c>
      <c r="AJ20" s="18">
        <v>19811.899556513301</v>
      </c>
      <c r="AL20" s="15">
        <v>1995</v>
      </c>
      <c r="AM20" s="15">
        <v>7</v>
      </c>
      <c r="AN20" s="15">
        <v>19810.808145862102</v>
      </c>
      <c r="AQ20" s="18">
        <v>1995</v>
      </c>
      <c r="AR20" s="18">
        <v>7</v>
      </c>
      <c r="AS20" s="18">
        <v>19830.250755352201</v>
      </c>
      <c r="AU20" s="10">
        <v>1995</v>
      </c>
      <c r="AV20" s="10">
        <v>7</v>
      </c>
      <c r="AW20" s="15">
        <v>19860.6325761195</v>
      </c>
      <c r="AY20" s="15">
        <v>1995</v>
      </c>
      <c r="AZ20" s="15">
        <v>7</v>
      </c>
      <c r="BA20" s="15">
        <v>19851.960214613599</v>
      </c>
      <c r="BC20" s="15">
        <v>1995</v>
      </c>
      <c r="BD20" s="15">
        <v>7</v>
      </c>
      <c r="BE20" s="15">
        <v>19858.595128799101</v>
      </c>
      <c r="BG20" s="15">
        <v>1995</v>
      </c>
      <c r="BH20" s="15">
        <v>7</v>
      </c>
      <c r="BI20" s="15">
        <v>19850.7052665048</v>
      </c>
    </row>
    <row r="21" spans="1:61" x14ac:dyDescent="0.25">
      <c r="A21" s="10">
        <v>1995</v>
      </c>
      <c r="B21" s="10">
        <v>8</v>
      </c>
      <c r="C21" s="11">
        <v>17069.561339493499</v>
      </c>
      <c r="G21" s="7">
        <v>1995</v>
      </c>
      <c r="H21" s="7">
        <v>5</v>
      </c>
      <c r="I21" s="13">
        <v>25636.917321946399</v>
      </c>
      <c r="L21" s="10">
        <v>1995</v>
      </c>
      <c r="M21" s="10">
        <v>8</v>
      </c>
      <c r="N21" s="18">
        <v>17237.234699526001</v>
      </c>
      <c r="Q21" s="15">
        <v>1995</v>
      </c>
      <c r="R21" s="15">
        <v>8</v>
      </c>
      <c r="S21" s="15">
        <v>17175.483196544301</v>
      </c>
      <c r="U21" s="15">
        <v>1995</v>
      </c>
      <c r="V21" s="15">
        <v>8</v>
      </c>
      <c r="W21" s="15">
        <v>17033.102330981801</v>
      </c>
      <c r="Z21" s="15">
        <v>1995</v>
      </c>
      <c r="AA21" s="15">
        <v>8</v>
      </c>
      <c r="AB21" s="15">
        <v>17042.5291246407</v>
      </c>
      <c r="AD21" s="18">
        <v>1995</v>
      </c>
      <c r="AE21" s="18">
        <v>8</v>
      </c>
      <c r="AF21" s="18">
        <v>17029.967046528302</v>
      </c>
      <c r="AH21" s="10">
        <v>1995</v>
      </c>
      <c r="AI21" s="10">
        <v>8</v>
      </c>
      <c r="AJ21" s="18">
        <v>17035.798178784102</v>
      </c>
      <c r="AL21" s="15">
        <v>1995</v>
      </c>
      <c r="AM21" s="15">
        <v>8</v>
      </c>
      <c r="AN21" s="15">
        <v>17036.890274054502</v>
      </c>
      <c r="AQ21" s="18">
        <v>1995</v>
      </c>
      <c r="AR21" s="18">
        <v>8</v>
      </c>
      <c r="AS21" s="18">
        <v>17014.575976307598</v>
      </c>
      <c r="AU21" s="10">
        <v>1995</v>
      </c>
      <c r="AV21" s="10">
        <v>8</v>
      </c>
      <c r="AW21" s="15">
        <v>16980.8855502527</v>
      </c>
      <c r="AY21" s="15">
        <v>1995</v>
      </c>
      <c r="AZ21" s="15">
        <v>8</v>
      </c>
      <c r="BA21" s="15">
        <v>16989.778362746201</v>
      </c>
      <c r="BC21" s="15">
        <v>1995</v>
      </c>
      <c r="BD21" s="15">
        <v>8</v>
      </c>
      <c r="BE21" s="15">
        <v>16982.088908007099</v>
      </c>
      <c r="BG21" s="15">
        <v>1995</v>
      </c>
      <c r="BH21" s="15">
        <v>8</v>
      </c>
      <c r="BI21" s="15">
        <v>16990.766157957602</v>
      </c>
    </row>
    <row r="22" spans="1:61" x14ac:dyDescent="0.25">
      <c r="A22" s="10">
        <v>1995</v>
      </c>
      <c r="B22" s="10">
        <v>9</v>
      </c>
      <c r="C22" s="11">
        <v>17191.393011837699</v>
      </c>
      <c r="G22" s="7">
        <v>1995</v>
      </c>
      <c r="H22" s="7">
        <v>6</v>
      </c>
      <c r="I22" s="13">
        <v>19382.374835795101</v>
      </c>
      <c r="L22" s="10">
        <v>1995</v>
      </c>
      <c r="M22" s="10">
        <v>9</v>
      </c>
      <c r="N22" s="18">
        <v>17280.932349901799</v>
      </c>
      <c r="Q22" s="15">
        <v>1995</v>
      </c>
      <c r="R22" s="15">
        <v>9</v>
      </c>
      <c r="S22" s="15">
        <v>17232.385059298998</v>
      </c>
      <c r="U22" s="15">
        <v>1995</v>
      </c>
      <c r="V22" s="15">
        <v>9</v>
      </c>
      <c r="W22" s="15">
        <v>17199.6972763802</v>
      </c>
      <c r="Z22" s="15">
        <v>1995</v>
      </c>
      <c r="AA22" s="15">
        <v>9</v>
      </c>
      <c r="AB22" s="15">
        <v>17198.841945363201</v>
      </c>
      <c r="AD22" s="18">
        <v>1995</v>
      </c>
      <c r="AE22" s="18">
        <v>9</v>
      </c>
      <c r="AF22" s="18">
        <v>17196.106393079201</v>
      </c>
      <c r="AH22" s="10">
        <v>1995</v>
      </c>
      <c r="AI22" s="10">
        <v>9</v>
      </c>
      <c r="AJ22" s="18">
        <v>17196.349362724999</v>
      </c>
      <c r="AL22" s="15">
        <v>1995</v>
      </c>
      <c r="AM22" s="15">
        <v>9</v>
      </c>
      <c r="AN22" s="15">
        <v>17196.213542909201</v>
      </c>
      <c r="AQ22" s="18">
        <v>1995</v>
      </c>
      <c r="AR22" s="18">
        <v>9</v>
      </c>
      <c r="AS22" s="18">
        <v>17195.112152873498</v>
      </c>
      <c r="AU22" s="10">
        <v>1995</v>
      </c>
      <c r="AV22" s="10">
        <v>9</v>
      </c>
      <c r="AW22" s="15">
        <v>17194.384485571401</v>
      </c>
      <c r="AY22" s="15">
        <v>1995</v>
      </c>
      <c r="AZ22" s="15">
        <v>9</v>
      </c>
      <c r="BA22" s="15">
        <v>17194.189801723202</v>
      </c>
      <c r="BC22" s="15">
        <v>1995</v>
      </c>
      <c r="BD22" s="15">
        <v>9</v>
      </c>
      <c r="BE22" s="15">
        <v>17193.8593712607</v>
      </c>
      <c r="BG22" s="15">
        <v>1995</v>
      </c>
      <c r="BH22" s="15">
        <v>9</v>
      </c>
      <c r="BI22" s="15">
        <v>17194.009385040201</v>
      </c>
    </row>
    <row r="23" spans="1:61" x14ac:dyDescent="0.25">
      <c r="A23" s="10">
        <v>1995</v>
      </c>
      <c r="B23" s="10">
        <v>10</v>
      </c>
      <c r="C23" s="11">
        <v>18166.1297823971</v>
      </c>
      <c r="G23" s="7">
        <v>1995</v>
      </c>
      <c r="H23" s="7">
        <v>7</v>
      </c>
      <c r="I23" s="13">
        <v>19848.352937440901</v>
      </c>
      <c r="L23" s="10">
        <v>1995</v>
      </c>
      <c r="M23" s="10">
        <v>10</v>
      </c>
      <c r="N23" s="18">
        <v>18286.110137641899</v>
      </c>
      <c r="Q23" s="15">
        <v>1995</v>
      </c>
      <c r="R23" s="15">
        <v>10</v>
      </c>
      <c r="S23" s="15">
        <v>18258.328307078202</v>
      </c>
      <c r="U23" s="15">
        <v>1995</v>
      </c>
      <c r="V23" s="15">
        <v>10</v>
      </c>
      <c r="W23" s="15">
        <v>18160.248458297701</v>
      </c>
      <c r="Z23" s="15">
        <v>1995</v>
      </c>
      <c r="AA23" s="15">
        <v>10</v>
      </c>
      <c r="AB23" s="15">
        <v>18159.201059079802</v>
      </c>
      <c r="AD23" s="18">
        <v>1995</v>
      </c>
      <c r="AE23" s="18">
        <v>10</v>
      </c>
      <c r="AF23" s="18">
        <v>18156.612392688901</v>
      </c>
      <c r="AH23" s="10">
        <v>1995</v>
      </c>
      <c r="AI23" s="10">
        <v>10</v>
      </c>
      <c r="AJ23" s="18">
        <v>18156.953455202802</v>
      </c>
      <c r="AL23" s="15">
        <v>1995</v>
      </c>
      <c r="AM23" s="15">
        <v>10</v>
      </c>
      <c r="AN23" s="15">
        <v>18156.7305640882</v>
      </c>
      <c r="AQ23" s="18">
        <v>1995</v>
      </c>
      <c r="AR23" s="18">
        <v>10</v>
      </c>
      <c r="AS23" s="18">
        <v>18155.0736624704</v>
      </c>
      <c r="AU23" s="10">
        <v>1995</v>
      </c>
      <c r="AV23" s="10">
        <v>10</v>
      </c>
      <c r="AW23" s="15">
        <v>18153.531669745102</v>
      </c>
      <c r="AY23" s="15">
        <v>1995</v>
      </c>
      <c r="AZ23" s="15">
        <v>10</v>
      </c>
      <c r="BA23" s="15">
        <v>18153.687452010101</v>
      </c>
      <c r="BC23" s="15">
        <v>1995</v>
      </c>
      <c r="BD23" s="15">
        <v>10</v>
      </c>
      <c r="BE23" s="15">
        <v>18153.209866815301</v>
      </c>
      <c r="BG23" s="15">
        <v>1995</v>
      </c>
      <c r="BH23" s="15">
        <v>10</v>
      </c>
      <c r="BI23" s="15">
        <v>18153.598063618501</v>
      </c>
    </row>
    <row r="24" spans="1:61" x14ac:dyDescent="0.25">
      <c r="A24" s="10">
        <v>1995</v>
      </c>
      <c r="B24" s="10">
        <v>11</v>
      </c>
      <c r="C24" s="11">
        <v>18517.905567812999</v>
      </c>
      <c r="G24" s="7">
        <v>1995</v>
      </c>
      <c r="H24" s="7">
        <v>8</v>
      </c>
      <c r="I24" s="13">
        <v>17008.497822244</v>
      </c>
      <c r="L24" s="10">
        <v>1995</v>
      </c>
      <c r="M24" s="10">
        <v>11</v>
      </c>
      <c r="N24" s="18">
        <v>18475.134254326</v>
      </c>
      <c r="Q24" s="15">
        <v>1995</v>
      </c>
      <c r="R24" s="15">
        <v>11</v>
      </c>
      <c r="S24" s="15">
        <v>18704.4280222712</v>
      </c>
      <c r="U24" s="15">
        <v>1995</v>
      </c>
      <c r="V24" s="15">
        <v>11</v>
      </c>
      <c r="W24" s="15">
        <v>18396.512597553701</v>
      </c>
      <c r="Z24" s="15">
        <v>1995</v>
      </c>
      <c r="AA24" s="15">
        <v>11</v>
      </c>
      <c r="AB24" s="15">
        <v>18387.539446061801</v>
      </c>
      <c r="AD24" s="18">
        <v>1995</v>
      </c>
      <c r="AE24" s="18">
        <v>11</v>
      </c>
      <c r="AF24" s="18">
        <v>18381.136048829801</v>
      </c>
      <c r="AH24" s="10">
        <v>1995</v>
      </c>
      <c r="AI24" s="10">
        <v>11</v>
      </c>
      <c r="AJ24" s="18">
        <v>18377.475954201502</v>
      </c>
      <c r="AL24" s="15">
        <v>1995</v>
      </c>
      <c r="AM24" s="15">
        <v>11</v>
      </c>
      <c r="AN24" s="15">
        <v>18374.769089858401</v>
      </c>
      <c r="AQ24" s="18">
        <v>1995</v>
      </c>
      <c r="AR24" s="18">
        <v>11</v>
      </c>
      <c r="AS24" s="18">
        <v>18385.612761906701</v>
      </c>
      <c r="AU24" s="10">
        <v>1995</v>
      </c>
      <c r="AV24" s="10">
        <v>11</v>
      </c>
      <c r="AW24" s="15">
        <v>18404.742697751601</v>
      </c>
      <c r="AY24" s="15">
        <v>1995</v>
      </c>
      <c r="AZ24" s="15">
        <v>11</v>
      </c>
      <c r="BA24" s="15">
        <v>18401.726808820102</v>
      </c>
      <c r="BC24" s="15">
        <v>1995</v>
      </c>
      <c r="BD24" s="15">
        <v>11</v>
      </c>
      <c r="BE24" s="15">
        <v>18406.883243892102</v>
      </c>
      <c r="BG24" s="15">
        <v>1995</v>
      </c>
      <c r="BH24" s="15">
        <v>11</v>
      </c>
      <c r="BI24" s="15">
        <v>18402.294902970702</v>
      </c>
    </row>
    <row r="25" spans="1:61" x14ac:dyDescent="0.25">
      <c r="A25" s="10">
        <v>1995</v>
      </c>
      <c r="B25" s="10">
        <v>12</v>
      </c>
      <c r="C25" s="11">
        <v>21836.7341506212</v>
      </c>
      <c r="G25" s="7">
        <v>1995</v>
      </c>
      <c r="H25" s="7">
        <v>9</v>
      </c>
      <c r="I25" s="13">
        <v>17090.3991838699</v>
      </c>
      <c r="L25" s="10">
        <v>1995</v>
      </c>
      <c r="M25" s="10">
        <v>12</v>
      </c>
      <c r="N25" s="18">
        <v>21848.157019816201</v>
      </c>
      <c r="Q25" s="15">
        <v>1995</v>
      </c>
      <c r="R25" s="15">
        <v>12</v>
      </c>
      <c r="S25" s="15">
        <v>21941.256926286602</v>
      </c>
      <c r="U25" s="15">
        <v>1995</v>
      </c>
      <c r="V25" s="15">
        <v>12</v>
      </c>
      <c r="W25" s="15">
        <v>21828.858247800799</v>
      </c>
      <c r="Z25" s="15">
        <v>1995</v>
      </c>
      <c r="AA25" s="15">
        <v>12</v>
      </c>
      <c r="AB25" s="15">
        <v>21816.368136532499</v>
      </c>
      <c r="AD25" s="18">
        <v>1995</v>
      </c>
      <c r="AE25" s="18">
        <v>12</v>
      </c>
      <c r="AF25" s="18">
        <v>21822.992082654</v>
      </c>
      <c r="AH25" s="10">
        <v>1995</v>
      </c>
      <c r="AI25" s="10">
        <v>12</v>
      </c>
      <c r="AJ25" s="18">
        <v>21817.798032573901</v>
      </c>
      <c r="AL25" s="15">
        <v>1995</v>
      </c>
      <c r="AM25" s="15">
        <v>12</v>
      </c>
      <c r="AN25" s="15">
        <v>21815.871266706799</v>
      </c>
      <c r="AQ25" s="18">
        <v>1995</v>
      </c>
      <c r="AR25" s="18">
        <v>12</v>
      </c>
      <c r="AS25" s="18">
        <v>21834.455497877101</v>
      </c>
      <c r="AU25" s="10">
        <v>1995</v>
      </c>
      <c r="AV25" s="10">
        <v>12</v>
      </c>
      <c r="AW25" s="15">
        <v>21864.913709745098</v>
      </c>
      <c r="AY25" s="15">
        <v>1995</v>
      </c>
      <c r="AZ25" s="15">
        <v>12</v>
      </c>
      <c r="BA25" s="15">
        <v>21856.5934975317</v>
      </c>
      <c r="BC25" s="15">
        <v>1995</v>
      </c>
      <c r="BD25" s="15">
        <v>12</v>
      </c>
      <c r="BE25" s="15">
        <v>21863.342562558999</v>
      </c>
      <c r="BG25" s="15">
        <v>1995</v>
      </c>
      <c r="BH25" s="15">
        <v>12</v>
      </c>
      <c r="BI25" s="15">
        <v>21855.547559954299</v>
      </c>
    </row>
    <row r="26" spans="1:61" x14ac:dyDescent="0.25">
      <c r="A26" s="10">
        <v>1996</v>
      </c>
      <c r="B26" s="10">
        <v>1</v>
      </c>
      <c r="C26" s="11">
        <v>20812.427736692902</v>
      </c>
      <c r="G26" s="7">
        <v>1995</v>
      </c>
      <c r="H26" s="7">
        <v>10</v>
      </c>
      <c r="I26" s="13">
        <v>18145.546385096</v>
      </c>
      <c r="L26" s="10">
        <v>1996</v>
      </c>
      <c r="M26" s="10">
        <v>1</v>
      </c>
      <c r="N26" s="18">
        <v>19359.581567941201</v>
      </c>
      <c r="Q26" s="15">
        <v>1996</v>
      </c>
      <c r="R26" s="15">
        <v>1</v>
      </c>
      <c r="S26" s="15">
        <v>19317.746999456202</v>
      </c>
      <c r="U26" s="15">
        <v>1996</v>
      </c>
      <c r="V26" s="15">
        <v>1</v>
      </c>
      <c r="W26" s="15">
        <v>20661.588690693599</v>
      </c>
      <c r="Z26" s="15">
        <v>1996</v>
      </c>
      <c r="AA26" s="15">
        <v>1</v>
      </c>
      <c r="AB26" s="15">
        <v>20686.646825706899</v>
      </c>
      <c r="AD26" s="18">
        <v>1996</v>
      </c>
      <c r="AE26" s="18">
        <v>1</v>
      </c>
      <c r="AF26" s="18">
        <v>20676.557064074801</v>
      </c>
      <c r="AH26" s="10">
        <v>1996</v>
      </c>
      <c r="AI26" s="10">
        <v>1</v>
      </c>
      <c r="AJ26" s="18">
        <v>20675.734140869099</v>
      </c>
      <c r="AL26" s="15">
        <v>1996</v>
      </c>
      <c r="AM26" s="15">
        <v>1</v>
      </c>
      <c r="AN26" s="15">
        <v>20678.553092657501</v>
      </c>
      <c r="AQ26" s="18">
        <v>1996</v>
      </c>
      <c r="AR26" s="18">
        <v>1</v>
      </c>
      <c r="AS26" s="18">
        <v>20683.917391805699</v>
      </c>
      <c r="AU26" s="10">
        <v>1996</v>
      </c>
      <c r="AV26" s="10">
        <v>1</v>
      </c>
      <c r="AW26" s="15">
        <v>20673.893375189498</v>
      </c>
      <c r="AY26" s="15">
        <v>1996</v>
      </c>
      <c r="AZ26" s="15">
        <v>1</v>
      </c>
      <c r="BA26" s="15">
        <v>20683.389856880302</v>
      </c>
      <c r="BC26" s="15">
        <v>1996</v>
      </c>
      <c r="BD26" s="15">
        <v>1</v>
      </c>
      <c r="BE26" s="15">
        <v>20683.695761473798</v>
      </c>
      <c r="BG26" s="15">
        <v>1996</v>
      </c>
      <c r="BH26" s="15">
        <v>1</v>
      </c>
      <c r="BI26" s="15">
        <v>20687.2290016552</v>
      </c>
    </row>
    <row r="27" spans="1:61" x14ac:dyDescent="0.25">
      <c r="A27" s="10">
        <v>1996</v>
      </c>
      <c r="B27" s="10">
        <v>2</v>
      </c>
      <c r="C27" s="11">
        <v>24545.575135297498</v>
      </c>
      <c r="G27" s="7">
        <v>1995</v>
      </c>
      <c r="H27" s="7">
        <v>11</v>
      </c>
      <c r="I27" s="13">
        <v>18586.838592691802</v>
      </c>
      <c r="L27" s="10">
        <v>1996</v>
      </c>
      <c r="M27" s="10">
        <v>2</v>
      </c>
      <c r="N27" s="18">
        <v>23221.042722046899</v>
      </c>
      <c r="Q27" s="15">
        <v>1996</v>
      </c>
      <c r="R27" s="15">
        <v>2</v>
      </c>
      <c r="S27" s="15">
        <v>24046.984884985901</v>
      </c>
      <c r="U27" s="15">
        <v>1996</v>
      </c>
      <c r="V27" s="15">
        <v>2</v>
      </c>
      <c r="W27" s="15">
        <v>23056.607510603</v>
      </c>
      <c r="Z27" s="15">
        <v>1996</v>
      </c>
      <c r="AA27" s="15">
        <v>2</v>
      </c>
      <c r="AB27" s="15">
        <v>22974.512806410599</v>
      </c>
      <c r="AD27" s="18">
        <v>1996</v>
      </c>
      <c r="AE27" s="18">
        <v>2</v>
      </c>
      <c r="AF27" s="18">
        <v>22838.223961026601</v>
      </c>
      <c r="AH27" s="10">
        <v>1996</v>
      </c>
      <c r="AI27" s="10">
        <v>2</v>
      </c>
      <c r="AJ27" s="18">
        <v>22830.6431400037</v>
      </c>
      <c r="AL27" s="15">
        <v>1996</v>
      </c>
      <c r="AM27" s="15">
        <v>2</v>
      </c>
      <c r="AN27" s="15">
        <v>22798.874274299102</v>
      </c>
      <c r="AQ27" s="18">
        <v>1996</v>
      </c>
      <c r="AR27" s="18">
        <v>2</v>
      </c>
      <c r="AS27" s="18">
        <v>22780.747148219001</v>
      </c>
      <c r="AU27" s="10">
        <v>1996</v>
      </c>
      <c r="AV27" s="10">
        <v>2</v>
      </c>
      <c r="AW27" s="15">
        <v>22792.5043972561</v>
      </c>
      <c r="AY27" s="15">
        <v>1996</v>
      </c>
      <c r="AZ27" s="15">
        <v>2</v>
      </c>
      <c r="BA27" s="15">
        <v>22808.194378543001</v>
      </c>
      <c r="BC27" s="15">
        <v>1996</v>
      </c>
      <c r="BD27" s="15">
        <v>2</v>
      </c>
      <c r="BE27" s="15">
        <v>22815.410225289201</v>
      </c>
      <c r="BG27" s="15">
        <v>1996</v>
      </c>
      <c r="BH27" s="15">
        <v>2</v>
      </c>
      <c r="BI27" s="15">
        <v>22817.638128179398</v>
      </c>
    </row>
    <row r="28" spans="1:61" x14ac:dyDescent="0.25">
      <c r="A28" s="10">
        <v>1996</v>
      </c>
      <c r="B28" s="10">
        <v>3</v>
      </c>
      <c r="C28" s="11">
        <v>23017.590478003302</v>
      </c>
      <c r="G28" s="7">
        <v>1995</v>
      </c>
      <c r="H28" s="7">
        <v>12</v>
      </c>
      <c r="I28" s="13">
        <v>21808.319956347001</v>
      </c>
      <c r="L28" s="10">
        <v>1996</v>
      </c>
      <c r="M28" s="10">
        <v>3</v>
      </c>
      <c r="N28" s="18">
        <v>23519.513173411</v>
      </c>
      <c r="Q28" s="15">
        <v>1996</v>
      </c>
      <c r="R28" s="15">
        <v>3</v>
      </c>
      <c r="S28" s="15">
        <v>23498.4352837099</v>
      </c>
      <c r="U28" s="15">
        <v>1996</v>
      </c>
      <c r="V28" s="15">
        <v>3</v>
      </c>
      <c r="W28" s="15">
        <v>23099.981006214399</v>
      </c>
      <c r="Z28" s="15">
        <v>1996</v>
      </c>
      <c r="AA28" s="15">
        <v>3</v>
      </c>
      <c r="AB28" s="15">
        <v>23078.556827412998</v>
      </c>
      <c r="AD28" s="18">
        <v>1996</v>
      </c>
      <c r="AE28" s="18">
        <v>3</v>
      </c>
      <c r="AF28" s="18">
        <v>23096.181400400401</v>
      </c>
      <c r="AH28" s="10">
        <v>1996</v>
      </c>
      <c r="AI28" s="10">
        <v>3</v>
      </c>
      <c r="AJ28" s="18">
        <v>23090.436859871101</v>
      </c>
      <c r="AL28" s="15">
        <v>1996</v>
      </c>
      <c r="AM28" s="15">
        <v>3</v>
      </c>
      <c r="AN28" s="15">
        <v>23087.694772392701</v>
      </c>
      <c r="AQ28" s="18">
        <v>1996</v>
      </c>
      <c r="AR28" s="18">
        <v>3</v>
      </c>
      <c r="AS28" s="18">
        <v>23108.1141094083</v>
      </c>
      <c r="AU28" s="10">
        <v>1996</v>
      </c>
      <c r="AV28" s="10">
        <v>3</v>
      </c>
      <c r="AW28" s="15">
        <v>23146.754513066098</v>
      </c>
      <c r="AY28" s="15">
        <v>1996</v>
      </c>
      <c r="AZ28" s="15">
        <v>3</v>
      </c>
      <c r="BA28" s="15">
        <v>23133.927586963098</v>
      </c>
      <c r="BC28" s="15">
        <v>1996</v>
      </c>
      <c r="BD28" s="15">
        <v>3</v>
      </c>
      <c r="BE28" s="15">
        <v>23141.667764049402</v>
      </c>
      <c r="BG28" s="15">
        <v>1996</v>
      </c>
      <c r="BH28" s="15">
        <v>3</v>
      </c>
      <c r="BI28" s="15">
        <v>23131.4112182305</v>
      </c>
    </row>
    <row r="29" spans="1:61" x14ac:dyDescent="0.25">
      <c r="A29" s="10">
        <v>1996</v>
      </c>
      <c r="B29" s="10">
        <v>4</v>
      </c>
      <c r="C29" s="11">
        <v>24536.801584531298</v>
      </c>
      <c r="G29" s="7">
        <v>1996</v>
      </c>
      <c r="H29" s="7">
        <v>1</v>
      </c>
      <c r="I29" s="13">
        <v>20500.359704242001</v>
      </c>
      <c r="L29" s="10">
        <v>1996</v>
      </c>
      <c r="M29" s="10">
        <v>4</v>
      </c>
      <c r="N29" s="18">
        <v>24625.178550015899</v>
      </c>
      <c r="Q29" s="15">
        <v>1996</v>
      </c>
      <c r="R29" s="15">
        <v>4</v>
      </c>
      <c r="S29" s="15">
        <v>24545.985176307298</v>
      </c>
      <c r="U29" s="15">
        <v>1996</v>
      </c>
      <c r="V29" s="15">
        <v>4</v>
      </c>
      <c r="W29" s="15">
        <v>24500.167741411798</v>
      </c>
      <c r="Z29" s="15">
        <v>1996</v>
      </c>
      <c r="AA29" s="15">
        <v>4</v>
      </c>
      <c r="AB29" s="15">
        <v>24502.4437355759</v>
      </c>
      <c r="AD29" s="18">
        <v>1996</v>
      </c>
      <c r="AE29" s="18">
        <v>4</v>
      </c>
      <c r="AF29" s="18">
        <v>24495.2301725816</v>
      </c>
      <c r="AH29" s="10">
        <v>1996</v>
      </c>
      <c r="AI29" s="10">
        <v>4</v>
      </c>
      <c r="AJ29" s="18">
        <v>24499.006502556698</v>
      </c>
      <c r="AL29" s="15">
        <v>1996</v>
      </c>
      <c r="AM29" s="15">
        <v>4</v>
      </c>
      <c r="AN29" s="15">
        <v>24498.817374631399</v>
      </c>
      <c r="AQ29" s="18">
        <v>1996</v>
      </c>
      <c r="AR29" s="18">
        <v>4</v>
      </c>
      <c r="AS29" s="18">
        <v>24483.1797907785</v>
      </c>
      <c r="AU29" s="10">
        <v>1996</v>
      </c>
      <c r="AV29" s="10">
        <v>4</v>
      </c>
      <c r="AW29" s="15">
        <v>24461.917529023602</v>
      </c>
      <c r="AY29" s="15">
        <v>1996</v>
      </c>
      <c r="AZ29" s="15">
        <v>4</v>
      </c>
      <c r="BA29" s="15">
        <v>24467.342020379001</v>
      </c>
      <c r="BC29" s="15">
        <v>1996</v>
      </c>
      <c r="BD29" s="15">
        <v>4</v>
      </c>
      <c r="BE29" s="15">
        <v>24462.358930651601</v>
      </c>
      <c r="BG29" s="15">
        <v>1996</v>
      </c>
      <c r="BH29" s="15">
        <v>4</v>
      </c>
      <c r="BI29" s="15">
        <v>24467.864208069201</v>
      </c>
    </row>
    <row r="30" spans="1:61" x14ac:dyDescent="0.25">
      <c r="A30" s="10">
        <v>1996</v>
      </c>
      <c r="B30" s="10">
        <v>5</v>
      </c>
      <c r="C30" s="11">
        <v>24336.167891504501</v>
      </c>
      <c r="G30" s="7">
        <v>1996</v>
      </c>
      <c r="H30" s="7">
        <v>2</v>
      </c>
      <c r="I30" s="13">
        <v>24539.409172212901</v>
      </c>
      <c r="L30" s="10">
        <v>1996</v>
      </c>
      <c r="M30" s="10">
        <v>5</v>
      </c>
      <c r="N30" s="18">
        <v>24943.035346784302</v>
      </c>
      <c r="Q30" s="15">
        <v>1996</v>
      </c>
      <c r="R30" s="15">
        <v>5</v>
      </c>
      <c r="S30" s="15">
        <v>24874.207293062002</v>
      </c>
      <c r="U30" s="15">
        <v>1996</v>
      </c>
      <c r="V30" s="15">
        <v>5</v>
      </c>
      <c r="W30" s="15">
        <v>24297.5719444762</v>
      </c>
      <c r="Z30" s="15">
        <v>1996</v>
      </c>
      <c r="AA30" s="15">
        <v>5</v>
      </c>
      <c r="AB30" s="15">
        <v>24305.3557286205</v>
      </c>
      <c r="AD30" s="18">
        <v>1996</v>
      </c>
      <c r="AE30" s="18">
        <v>5</v>
      </c>
      <c r="AF30" s="18">
        <v>24294.826719094199</v>
      </c>
      <c r="AH30" s="10">
        <v>1996</v>
      </c>
      <c r="AI30" s="10">
        <v>5</v>
      </c>
      <c r="AJ30" s="18">
        <v>24300.725698707</v>
      </c>
      <c r="AL30" s="15">
        <v>1996</v>
      </c>
      <c r="AM30" s="15">
        <v>5</v>
      </c>
      <c r="AN30" s="15">
        <v>24301.4827112243</v>
      </c>
      <c r="AQ30" s="18">
        <v>1996</v>
      </c>
      <c r="AR30" s="18">
        <v>5</v>
      </c>
      <c r="AS30" s="18">
        <v>24278.490409483598</v>
      </c>
      <c r="AU30" s="10">
        <v>1996</v>
      </c>
      <c r="AV30" s="10">
        <v>5</v>
      </c>
      <c r="AW30" s="15">
        <v>24244.868480509602</v>
      </c>
      <c r="AY30" s="15">
        <v>1996</v>
      </c>
      <c r="AZ30" s="15">
        <v>5</v>
      </c>
      <c r="BA30" s="15">
        <v>24253.577303276401</v>
      </c>
      <c r="BC30" s="15">
        <v>1996</v>
      </c>
      <c r="BD30" s="15">
        <v>5</v>
      </c>
      <c r="BE30" s="15">
        <v>24245.826040116601</v>
      </c>
      <c r="BG30" s="15">
        <v>1996</v>
      </c>
      <c r="BH30" s="15">
        <v>5</v>
      </c>
      <c r="BI30" s="15">
        <v>24254.478321844101</v>
      </c>
    </row>
    <row r="31" spans="1:61" x14ac:dyDescent="0.25">
      <c r="A31" s="10">
        <v>1996</v>
      </c>
      <c r="B31" s="10">
        <v>6</v>
      </c>
      <c r="C31" s="11">
        <v>25977.923398277399</v>
      </c>
      <c r="G31" s="7">
        <v>1996</v>
      </c>
      <c r="H31" s="7">
        <v>3</v>
      </c>
      <c r="I31" s="13">
        <v>23791.280637456799</v>
      </c>
      <c r="L31" s="10">
        <v>1996</v>
      </c>
      <c r="M31" s="10">
        <v>6</v>
      </c>
      <c r="N31" s="18">
        <v>26202.452675630098</v>
      </c>
      <c r="Q31" s="15">
        <v>1996</v>
      </c>
      <c r="R31" s="15">
        <v>6</v>
      </c>
      <c r="S31" s="15">
        <v>26187.572999694399</v>
      </c>
      <c r="U31" s="15">
        <v>1996</v>
      </c>
      <c r="V31" s="15">
        <v>6</v>
      </c>
      <c r="W31" s="15">
        <v>26067.107109728098</v>
      </c>
      <c r="Z31" s="15">
        <v>1996</v>
      </c>
      <c r="AA31" s="15">
        <v>6</v>
      </c>
      <c r="AB31" s="15">
        <v>26051.996432837899</v>
      </c>
      <c r="AD31" s="18">
        <v>1996</v>
      </c>
      <c r="AE31" s="18">
        <v>6</v>
      </c>
      <c r="AF31" s="18">
        <v>26069.336662263198</v>
      </c>
      <c r="AH31" s="10">
        <v>1996</v>
      </c>
      <c r="AI31" s="10">
        <v>6</v>
      </c>
      <c r="AJ31" s="18">
        <v>26061.730676896899</v>
      </c>
      <c r="AL31" s="15">
        <v>1996</v>
      </c>
      <c r="AM31" s="15">
        <v>6</v>
      </c>
      <c r="AN31" s="15">
        <v>26060.113391184401</v>
      </c>
      <c r="AQ31" s="18">
        <v>1996</v>
      </c>
      <c r="AR31" s="18">
        <v>6</v>
      </c>
      <c r="AS31" s="18">
        <v>26089.072892420802</v>
      </c>
      <c r="AU31" s="10">
        <v>1996</v>
      </c>
      <c r="AV31" s="10">
        <v>6</v>
      </c>
      <c r="AW31" s="15">
        <v>26134.3973893886</v>
      </c>
      <c r="AY31" s="15">
        <v>1996</v>
      </c>
      <c r="AZ31" s="15">
        <v>6</v>
      </c>
      <c r="BA31" s="15">
        <v>26121.467783096901</v>
      </c>
      <c r="BC31" s="15">
        <v>1996</v>
      </c>
      <c r="BD31" s="15">
        <v>6</v>
      </c>
      <c r="BE31" s="15">
        <v>26131.387123231601</v>
      </c>
      <c r="BG31" s="15">
        <v>1996</v>
      </c>
      <c r="BH31" s="15">
        <v>6</v>
      </c>
      <c r="BI31" s="15">
        <v>26119.609381022601</v>
      </c>
    </row>
    <row r="32" spans="1:61" x14ac:dyDescent="0.25">
      <c r="A32" s="10">
        <v>1996</v>
      </c>
      <c r="B32" s="10">
        <v>7</v>
      </c>
      <c r="C32" s="11">
        <v>25707.051888231399</v>
      </c>
      <c r="G32" s="7">
        <v>1996</v>
      </c>
      <c r="H32" s="7">
        <v>4</v>
      </c>
      <c r="I32" s="13">
        <v>24011.712038633701</v>
      </c>
      <c r="L32" s="10">
        <v>1996</v>
      </c>
      <c r="M32" s="10">
        <v>7</v>
      </c>
      <c r="N32" s="18">
        <v>25916.562755536001</v>
      </c>
      <c r="Q32" s="15">
        <v>1996</v>
      </c>
      <c r="R32" s="15">
        <v>7</v>
      </c>
      <c r="S32" s="15">
        <v>25856.496610390699</v>
      </c>
      <c r="U32" s="15">
        <v>1996</v>
      </c>
      <c r="V32" s="15">
        <v>7</v>
      </c>
      <c r="W32" s="15">
        <v>25659.6855762675</v>
      </c>
      <c r="Z32" s="15">
        <v>1996</v>
      </c>
      <c r="AA32" s="15">
        <v>7</v>
      </c>
      <c r="AB32" s="15">
        <v>25669.9753611655</v>
      </c>
      <c r="AD32" s="18">
        <v>1996</v>
      </c>
      <c r="AE32" s="18">
        <v>7</v>
      </c>
      <c r="AF32" s="18">
        <v>25656.4317506302</v>
      </c>
      <c r="AH32" s="10">
        <v>1996</v>
      </c>
      <c r="AI32" s="10">
        <v>7</v>
      </c>
      <c r="AJ32" s="18">
        <v>25662.692146071899</v>
      </c>
      <c r="AL32" s="15">
        <v>1996</v>
      </c>
      <c r="AM32" s="15">
        <v>7</v>
      </c>
      <c r="AN32" s="15">
        <v>25663.8133619855</v>
      </c>
      <c r="AQ32" s="18">
        <v>1996</v>
      </c>
      <c r="AR32" s="18">
        <v>7</v>
      </c>
      <c r="AS32" s="18">
        <v>25639.721274674099</v>
      </c>
      <c r="AU32" s="10">
        <v>1996</v>
      </c>
      <c r="AV32" s="10">
        <v>7</v>
      </c>
      <c r="AW32" s="15">
        <v>25603.176101054902</v>
      </c>
      <c r="AY32" s="15">
        <v>1996</v>
      </c>
      <c r="AZ32" s="15">
        <v>7</v>
      </c>
      <c r="BA32" s="15">
        <v>25612.994143397598</v>
      </c>
      <c r="BC32" s="15">
        <v>1996</v>
      </c>
      <c r="BD32" s="15">
        <v>7</v>
      </c>
      <c r="BE32" s="15">
        <v>25604.708316089502</v>
      </c>
      <c r="BG32" s="15">
        <v>1996</v>
      </c>
      <c r="BH32" s="15">
        <v>7</v>
      </c>
      <c r="BI32" s="15">
        <v>25614.161232721799</v>
      </c>
    </row>
    <row r="33" spans="1:61" x14ac:dyDescent="0.25">
      <c r="A33" s="10">
        <v>1996</v>
      </c>
      <c r="B33" s="10">
        <v>8</v>
      </c>
      <c r="C33" s="11">
        <v>26884.192176887602</v>
      </c>
      <c r="G33" s="7">
        <v>1996</v>
      </c>
      <c r="H33" s="7">
        <v>5</v>
      </c>
      <c r="I33" s="13">
        <v>24527.351951096902</v>
      </c>
      <c r="L33" s="10">
        <v>1996</v>
      </c>
      <c r="M33" s="10">
        <v>8</v>
      </c>
      <c r="N33" s="18">
        <v>26998.934985312299</v>
      </c>
      <c r="Q33" s="15">
        <v>1996</v>
      </c>
      <c r="R33" s="15">
        <v>8</v>
      </c>
      <c r="S33" s="15">
        <v>26952.955078421299</v>
      </c>
      <c r="U33" s="15">
        <v>1996</v>
      </c>
      <c r="V33" s="15">
        <v>8</v>
      </c>
      <c r="W33" s="15">
        <v>26898.370005898701</v>
      </c>
      <c r="Z33" s="15">
        <v>1996</v>
      </c>
      <c r="AA33" s="15">
        <v>8</v>
      </c>
      <c r="AB33" s="15">
        <v>26898.665478338899</v>
      </c>
      <c r="AD33" s="18">
        <v>1996</v>
      </c>
      <c r="AE33" s="18">
        <v>8</v>
      </c>
      <c r="AF33" s="18">
        <v>26895.9703438982</v>
      </c>
      <c r="AH33" s="10">
        <v>1996</v>
      </c>
      <c r="AI33" s="10">
        <v>8</v>
      </c>
      <c r="AJ33" s="18">
        <v>26896.460143488799</v>
      </c>
      <c r="AL33" s="15">
        <v>1996</v>
      </c>
      <c r="AM33" s="15">
        <v>8</v>
      </c>
      <c r="AN33" s="15">
        <v>26896.651237286402</v>
      </c>
      <c r="AQ33" s="18">
        <v>1996</v>
      </c>
      <c r="AR33" s="18">
        <v>8</v>
      </c>
      <c r="AS33" s="18">
        <v>26894.957083305799</v>
      </c>
      <c r="AU33" s="10">
        <v>1996</v>
      </c>
      <c r="AV33" s="10">
        <v>8</v>
      </c>
      <c r="AW33" s="15">
        <v>26892.633816700101</v>
      </c>
      <c r="AY33" s="15">
        <v>1996</v>
      </c>
      <c r="AZ33" s="15">
        <v>8</v>
      </c>
      <c r="BA33" s="15">
        <v>26892.8294562829</v>
      </c>
      <c r="BC33" s="15">
        <v>1996</v>
      </c>
      <c r="BD33" s="15">
        <v>8</v>
      </c>
      <c r="BE33" s="15">
        <v>26892.1218164807</v>
      </c>
      <c r="BG33" s="15">
        <v>1996</v>
      </c>
      <c r="BH33" s="15">
        <v>8</v>
      </c>
      <c r="BI33" s="15">
        <v>26892.669508814801</v>
      </c>
    </row>
    <row r="34" spans="1:61" x14ac:dyDescent="0.25">
      <c r="A34" s="10">
        <v>1996</v>
      </c>
      <c r="B34" s="10">
        <v>9</v>
      </c>
      <c r="C34" s="11">
        <v>24236.983934067099</v>
      </c>
      <c r="G34" s="7">
        <v>1996</v>
      </c>
      <c r="H34" s="7">
        <v>6</v>
      </c>
      <c r="I34" s="13">
        <v>26163.0876099661</v>
      </c>
      <c r="L34" s="10">
        <v>1996</v>
      </c>
      <c r="M34" s="10">
        <v>9</v>
      </c>
      <c r="N34" s="18">
        <v>24289.683239193499</v>
      </c>
      <c r="Q34" s="15">
        <v>1996</v>
      </c>
      <c r="R34" s="15">
        <v>9</v>
      </c>
      <c r="S34" s="15">
        <v>24220.7971120845</v>
      </c>
      <c r="U34" s="15">
        <v>1996</v>
      </c>
      <c r="V34" s="15">
        <v>9</v>
      </c>
      <c r="W34" s="15">
        <v>24223.213982501598</v>
      </c>
      <c r="Z34" s="15">
        <v>1996</v>
      </c>
      <c r="AA34" s="15">
        <v>9</v>
      </c>
      <c r="AB34" s="15">
        <v>24226.199546100699</v>
      </c>
      <c r="AD34" s="18">
        <v>1996</v>
      </c>
      <c r="AE34" s="18">
        <v>9</v>
      </c>
      <c r="AF34" s="18">
        <v>24216.422129064402</v>
      </c>
      <c r="AH34" s="10">
        <v>1996</v>
      </c>
      <c r="AI34" s="10">
        <v>9</v>
      </c>
      <c r="AJ34" s="18">
        <v>24218.383816933801</v>
      </c>
      <c r="AL34" s="15">
        <v>1996</v>
      </c>
      <c r="AM34" s="15">
        <v>9</v>
      </c>
      <c r="AN34" s="15">
        <v>24218.657886266399</v>
      </c>
      <c r="AQ34" s="18">
        <v>1996</v>
      </c>
      <c r="AR34" s="18">
        <v>9</v>
      </c>
      <c r="AS34" s="18">
        <v>24211.056166701099</v>
      </c>
      <c r="AU34" s="10">
        <v>1996</v>
      </c>
      <c r="AV34" s="10">
        <v>9</v>
      </c>
      <c r="AW34" s="15">
        <v>24199.975186387499</v>
      </c>
      <c r="AY34" s="15">
        <v>1996</v>
      </c>
      <c r="AZ34" s="15">
        <v>9</v>
      </c>
      <c r="BA34" s="15">
        <v>24202.734394405801</v>
      </c>
      <c r="BC34" s="15">
        <v>1996</v>
      </c>
      <c r="BD34" s="15">
        <v>9</v>
      </c>
      <c r="BE34" s="15">
        <v>24200.132565202999</v>
      </c>
      <c r="BG34" s="15">
        <v>1996</v>
      </c>
      <c r="BH34" s="15">
        <v>9</v>
      </c>
      <c r="BI34" s="15">
        <v>24202.985595620699</v>
      </c>
    </row>
    <row r="35" spans="1:61" x14ac:dyDescent="0.25">
      <c r="A35" s="10">
        <v>1996</v>
      </c>
      <c r="B35" s="10">
        <v>10</v>
      </c>
      <c r="C35" s="11">
        <v>26688.515244054099</v>
      </c>
      <c r="G35" s="7">
        <v>1996</v>
      </c>
      <c r="H35" s="7">
        <v>7</v>
      </c>
      <c r="I35" s="13">
        <v>25690.037574947499</v>
      </c>
      <c r="L35" s="10">
        <v>1996</v>
      </c>
      <c r="M35" s="10">
        <v>10</v>
      </c>
      <c r="N35" s="18">
        <v>26831.137546848899</v>
      </c>
      <c r="Q35" s="15">
        <v>1996</v>
      </c>
      <c r="R35" s="15">
        <v>10</v>
      </c>
      <c r="S35" s="15">
        <v>26773.578230397299</v>
      </c>
      <c r="U35" s="15">
        <v>1996</v>
      </c>
      <c r="V35" s="15">
        <v>10</v>
      </c>
      <c r="W35" s="15">
        <v>26626.766559581501</v>
      </c>
      <c r="Z35" s="15">
        <v>1996</v>
      </c>
      <c r="AA35" s="15">
        <v>10</v>
      </c>
      <c r="AB35" s="15">
        <v>26638.139428590399</v>
      </c>
      <c r="AD35" s="18">
        <v>1996</v>
      </c>
      <c r="AE35" s="18">
        <v>10</v>
      </c>
      <c r="AF35" s="18">
        <v>26620.861212380201</v>
      </c>
      <c r="AH35" s="10">
        <v>1996</v>
      </c>
      <c r="AI35" s="10">
        <v>10</v>
      </c>
      <c r="AJ35" s="18">
        <v>26627.664591800301</v>
      </c>
      <c r="AL35" s="15">
        <v>1996</v>
      </c>
      <c r="AM35" s="15">
        <v>10</v>
      </c>
      <c r="AN35" s="15">
        <v>26628.897861162401</v>
      </c>
      <c r="AQ35" s="18">
        <v>1996</v>
      </c>
      <c r="AR35" s="18">
        <v>10</v>
      </c>
      <c r="AS35" s="18">
        <v>26602.743230210599</v>
      </c>
      <c r="AU35" s="10">
        <v>1996</v>
      </c>
      <c r="AV35" s="10">
        <v>10</v>
      </c>
      <c r="AW35" s="15">
        <v>26562.911775846002</v>
      </c>
      <c r="AY35" s="15">
        <v>1996</v>
      </c>
      <c r="AZ35" s="15">
        <v>10</v>
      </c>
      <c r="BA35" s="15">
        <v>26573.680257726399</v>
      </c>
      <c r="BC35" s="15">
        <v>1996</v>
      </c>
      <c r="BD35" s="15">
        <v>10</v>
      </c>
      <c r="BE35" s="15">
        <v>26564.673804465601</v>
      </c>
      <c r="BG35" s="15">
        <v>1996</v>
      </c>
      <c r="BH35" s="15">
        <v>10</v>
      </c>
      <c r="BI35" s="15">
        <v>26574.9867093252</v>
      </c>
    </row>
    <row r="36" spans="1:61" x14ac:dyDescent="0.25">
      <c r="A36" s="10">
        <v>1996</v>
      </c>
      <c r="B36" s="10">
        <v>11</v>
      </c>
      <c r="C36" s="11">
        <v>28237.0012264084</v>
      </c>
      <c r="G36" s="7">
        <v>1996</v>
      </c>
      <c r="H36" s="7">
        <v>8</v>
      </c>
      <c r="I36" s="13">
        <v>26856.5946555353</v>
      </c>
      <c r="L36" s="10">
        <v>1996</v>
      </c>
      <c r="M36" s="10">
        <v>11</v>
      </c>
      <c r="N36" s="18">
        <v>28067.316845100599</v>
      </c>
      <c r="Q36" s="15">
        <v>1996</v>
      </c>
      <c r="R36" s="15">
        <v>11</v>
      </c>
      <c r="S36" s="15">
        <v>28353.523737740401</v>
      </c>
      <c r="U36" s="15">
        <v>1996</v>
      </c>
      <c r="V36" s="15">
        <v>11</v>
      </c>
      <c r="W36" s="15">
        <v>28168.0123961639</v>
      </c>
      <c r="Z36" s="15">
        <v>1996</v>
      </c>
      <c r="AA36" s="15">
        <v>11</v>
      </c>
      <c r="AB36" s="15">
        <v>28147.3463522196</v>
      </c>
      <c r="AD36" s="18">
        <v>1996</v>
      </c>
      <c r="AE36" s="18">
        <v>11</v>
      </c>
      <c r="AF36" s="18">
        <v>28153.454916540701</v>
      </c>
      <c r="AH36" s="10">
        <v>1996</v>
      </c>
      <c r="AI36" s="10">
        <v>11</v>
      </c>
      <c r="AJ36" s="18">
        <v>28142.820360729998</v>
      </c>
      <c r="AL36" s="15">
        <v>1996</v>
      </c>
      <c r="AM36" s="15">
        <v>11</v>
      </c>
      <c r="AN36" s="15">
        <v>28138.689799693599</v>
      </c>
      <c r="AQ36" s="18">
        <v>1996</v>
      </c>
      <c r="AR36" s="18">
        <v>11</v>
      </c>
      <c r="AS36" s="18">
        <v>28175.984658781501</v>
      </c>
      <c r="AU36" s="10">
        <v>1996</v>
      </c>
      <c r="AV36" s="10">
        <v>11</v>
      </c>
      <c r="AW36" s="15">
        <v>28235.226970414598</v>
      </c>
      <c r="AY36" s="15">
        <v>1996</v>
      </c>
      <c r="AZ36" s="15">
        <v>11</v>
      </c>
      <c r="BA36" s="15">
        <v>28221.641334178599</v>
      </c>
      <c r="BC36" s="15">
        <v>1996</v>
      </c>
      <c r="BD36" s="15">
        <v>11</v>
      </c>
      <c r="BE36" s="15">
        <v>28235.9316846203</v>
      </c>
      <c r="BG36" s="15">
        <v>1996</v>
      </c>
      <c r="BH36" s="15">
        <v>11</v>
      </c>
      <c r="BI36" s="15">
        <v>28221.024825253098</v>
      </c>
    </row>
    <row r="37" spans="1:61" x14ac:dyDescent="0.25">
      <c r="A37" s="10">
        <v>1996</v>
      </c>
      <c r="B37" s="10">
        <v>12</v>
      </c>
      <c r="C37" s="11">
        <v>27992.264934212901</v>
      </c>
      <c r="G37" s="7">
        <v>1996</v>
      </c>
      <c r="H37" s="7">
        <v>9</v>
      </c>
      <c r="I37" s="13">
        <v>24032.167546532601</v>
      </c>
      <c r="L37" s="10">
        <v>1996</v>
      </c>
      <c r="M37" s="10">
        <v>12</v>
      </c>
      <c r="N37" s="18">
        <v>27976.918733042399</v>
      </c>
      <c r="Q37" s="15">
        <v>1996</v>
      </c>
      <c r="R37" s="15">
        <v>12</v>
      </c>
      <c r="S37" s="15">
        <v>28085.213623546701</v>
      </c>
      <c r="U37" s="15">
        <v>1996</v>
      </c>
      <c r="V37" s="15">
        <v>12</v>
      </c>
      <c r="W37" s="15">
        <v>27917.390763116298</v>
      </c>
      <c r="Z37" s="15">
        <v>1996</v>
      </c>
      <c r="AA37" s="15">
        <v>12</v>
      </c>
      <c r="AB37" s="15">
        <v>27917.103297890299</v>
      </c>
      <c r="AD37" s="18">
        <v>1996</v>
      </c>
      <c r="AE37" s="18">
        <v>12</v>
      </c>
      <c r="AF37" s="18">
        <v>27909.435984575099</v>
      </c>
      <c r="AH37" s="10">
        <v>1996</v>
      </c>
      <c r="AI37" s="10">
        <v>12</v>
      </c>
      <c r="AJ37" s="18">
        <v>27910.6255990563</v>
      </c>
      <c r="AL37" s="15">
        <v>1996</v>
      </c>
      <c r="AM37" s="15">
        <v>12</v>
      </c>
      <c r="AN37" s="15">
        <v>27909.9715554744</v>
      </c>
      <c r="AQ37" s="18">
        <v>1996</v>
      </c>
      <c r="AR37" s="18">
        <v>12</v>
      </c>
      <c r="AS37" s="18">
        <v>27904.040585320501</v>
      </c>
      <c r="AU37" s="10">
        <v>1996</v>
      </c>
      <c r="AV37" s="10">
        <v>12</v>
      </c>
      <c r="AW37" s="15">
        <v>27896.126579918298</v>
      </c>
      <c r="AY37" s="15">
        <v>1996</v>
      </c>
      <c r="AZ37" s="15">
        <v>12</v>
      </c>
      <c r="BA37" s="15">
        <v>27898.698817136701</v>
      </c>
      <c r="BC37" s="15">
        <v>1996</v>
      </c>
      <c r="BD37" s="15">
        <v>12</v>
      </c>
      <c r="BE37" s="15">
        <v>27896.970869323901</v>
      </c>
      <c r="BG37" s="15">
        <v>1996</v>
      </c>
      <c r="BH37" s="15">
        <v>12</v>
      </c>
      <c r="BI37" s="15">
        <v>27899.1674459844</v>
      </c>
    </row>
    <row r="38" spans="1:61" x14ac:dyDescent="0.25">
      <c r="A38" s="10">
        <v>1997</v>
      </c>
      <c r="B38" s="10">
        <v>1</v>
      </c>
      <c r="C38" s="11">
        <v>28819.742514351099</v>
      </c>
      <c r="G38" s="7">
        <v>1996</v>
      </c>
      <c r="H38" s="7">
        <v>10</v>
      </c>
      <c r="I38" s="13">
        <v>26579.6484890961</v>
      </c>
      <c r="L38" s="10">
        <v>1997</v>
      </c>
      <c r="M38" s="10">
        <v>1</v>
      </c>
      <c r="N38" s="18">
        <v>27997.9071397556</v>
      </c>
      <c r="Q38" s="15">
        <v>1997</v>
      </c>
      <c r="R38" s="15">
        <v>1</v>
      </c>
      <c r="S38" s="15">
        <v>27961.458176133201</v>
      </c>
      <c r="U38" s="15">
        <v>1997</v>
      </c>
      <c r="V38" s="15">
        <v>1</v>
      </c>
      <c r="W38" s="15">
        <v>28756.986770897998</v>
      </c>
      <c r="Z38" s="15">
        <v>1997</v>
      </c>
      <c r="AA38" s="15">
        <v>1</v>
      </c>
      <c r="AB38" s="15">
        <v>28769.551154370401</v>
      </c>
      <c r="AD38" s="18">
        <v>1997</v>
      </c>
      <c r="AE38" s="18">
        <v>1</v>
      </c>
      <c r="AF38" s="18">
        <v>28781.135519793399</v>
      </c>
      <c r="AH38" s="10">
        <v>1997</v>
      </c>
      <c r="AI38" s="10">
        <v>1</v>
      </c>
      <c r="AJ38" s="18">
        <v>28779.096377865499</v>
      </c>
      <c r="AL38" s="15">
        <v>1997</v>
      </c>
      <c r="AM38" s="15">
        <v>1</v>
      </c>
      <c r="AN38" s="15">
        <v>28781.5029158082</v>
      </c>
      <c r="AQ38" s="18">
        <v>1997</v>
      </c>
      <c r="AR38" s="18">
        <v>1</v>
      </c>
      <c r="AS38" s="18">
        <v>28792.734253992199</v>
      </c>
      <c r="AU38" s="10">
        <v>1997</v>
      </c>
      <c r="AV38" s="10">
        <v>1</v>
      </c>
      <c r="AW38" s="15">
        <v>28799.338889157701</v>
      </c>
      <c r="AY38" s="15">
        <v>1997</v>
      </c>
      <c r="AZ38" s="15">
        <v>1</v>
      </c>
      <c r="BA38" s="15">
        <v>28800.109192884702</v>
      </c>
      <c r="BC38" s="15">
        <v>1997</v>
      </c>
      <c r="BD38" s="15">
        <v>1</v>
      </c>
      <c r="BE38" s="15">
        <v>28802.7527080892</v>
      </c>
      <c r="BG38" s="15">
        <v>1997</v>
      </c>
      <c r="BH38" s="15">
        <v>1</v>
      </c>
      <c r="BI38" s="15">
        <v>28801.278824124602</v>
      </c>
    </row>
    <row r="39" spans="1:61" x14ac:dyDescent="0.25">
      <c r="A39" s="10">
        <v>1997</v>
      </c>
      <c r="B39" s="10">
        <v>2</v>
      </c>
      <c r="C39" s="11">
        <v>30158.296780989302</v>
      </c>
      <c r="G39" s="7">
        <v>1996</v>
      </c>
      <c r="H39" s="7">
        <v>11</v>
      </c>
      <c r="I39" s="13">
        <v>28309.8625069421</v>
      </c>
      <c r="L39" s="10">
        <v>1997</v>
      </c>
      <c r="M39" s="10">
        <v>2</v>
      </c>
      <c r="N39" s="18">
        <v>30049.7457719497</v>
      </c>
      <c r="Q39" s="15">
        <v>1997</v>
      </c>
      <c r="R39" s="15">
        <v>2</v>
      </c>
      <c r="S39" s="15">
        <v>29822.109629500999</v>
      </c>
      <c r="U39" s="15">
        <v>1997</v>
      </c>
      <c r="V39" s="15">
        <v>2</v>
      </c>
      <c r="W39" s="15">
        <v>30917.644553793802</v>
      </c>
      <c r="Z39" s="15">
        <v>1997</v>
      </c>
      <c r="AA39" s="15">
        <v>2</v>
      </c>
      <c r="AB39" s="15">
        <v>30951.321230602702</v>
      </c>
      <c r="AD39" s="18">
        <v>1997</v>
      </c>
      <c r="AE39" s="18">
        <v>2</v>
      </c>
      <c r="AF39" s="18">
        <v>31017.804027902799</v>
      </c>
      <c r="AH39" s="10">
        <v>1997</v>
      </c>
      <c r="AI39" s="10">
        <v>2</v>
      </c>
      <c r="AJ39" s="18">
        <v>31021.989042618301</v>
      </c>
      <c r="AL39" s="15">
        <v>1997</v>
      </c>
      <c r="AM39" s="15">
        <v>2</v>
      </c>
      <c r="AN39" s="15">
        <v>31035.772457839299</v>
      </c>
      <c r="AQ39" s="18">
        <v>1997</v>
      </c>
      <c r="AR39" s="18">
        <v>2</v>
      </c>
      <c r="AS39" s="18">
        <v>31040.304098672899</v>
      </c>
      <c r="AU39" s="10">
        <v>1997</v>
      </c>
      <c r="AV39" s="10">
        <v>2</v>
      </c>
      <c r="AW39" s="15">
        <v>31032.320942439601</v>
      </c>
      <c r="AY39" s="15">
        <v>1997</v>
      </c>
      <c r="AZ39" s="15">
        <v>2</v>
      </c>
      <c r="BA39" s="15">
        <v>31025.1008660199</v>
      </c>
      <c r="BC39" s="15">
        <v>1997</v>
      </c>
      <c r="BD39" s="15">
        <v>2</v>
      </c>
      <c r="BE39" s="15">
        <v>31020.862286578202</v>
      </c>
      <c r="BG39" s="15">
        <v>1997</v>
      </c>
      <c r="BH39" s="15">
        <v>2</v>
      </c>
      <c r="BI39" s="15">
        <v>31020.438332866601</v>
      </c>
    </row>
    <row r="40" spans="1:61" x14ac:dyDescent="0.25">
      <c r="A40" s="10">
        <v>1997</v>
      </c>
      <c r="B40" s="10">
        <v>3</v>
      </c>
      <c r="C40" s="11">
        <v>31205.233817068802</v>
      </c>
      <c r="G40" s="7">
        <v>1996</v>
      </c>
      <c r="H40" s="7">
        <v>12</v>
      </c>
      <c r="I40" s="13">
        <v>27782.585854809298</v>
      </c>
      <c r="L40" s="10">
        <v>1997</v>
      </c>
      <c r="M40" s="10">
        <v>3</v>
      </c>
      <c r="N40" s="18">
        <v>31410.766795036201</v>
      </c>
      <c r="Q40" s="15">
        <v>1997</v>
      </c>
      <c r="R40" s="15">
        <v>3</v>
      </c>
      <c r="S40" s="15">
        <v>31391.249714646401</v>
      </c>
      <c r="U40" s="15">
        <v>1997</v>
      </c>
      <c r="V40" s="15">
        <v>3</v>
      </c>
      <c r="W40" s="15">
        <v>31299.506046757298</v>
      </c>
      <c r="Z40" s="15">
        <v>1997</v>
      </c>
      <c r="AA40" s="15">
        <v>3</v>
      </c>
      <c r="AB40" s="15">
        <v>31284.578281550799</v>
      </c>
      <c r="AD40" s="18">
        <v>1997</v>
      </c>
      <c r="AE40" s="18">
        <v>3</v>
      </c>
      <c r="AF40" s="18">
        <v>31302.8653512823</v>
      </c>
      <c r="AH40" s="10">
        <v>1997</v>
      </c>
      <c r="AI40" s="10">
        <v>3</v>
      </c>
      <c r="AJ40" s="18">
        <v>31297.398871140202</v>
      </c>
      <c r="AL40" s="15">
        <v>1997</v>
      </c>
      <c r="AM40" s="15">
        <v>3</v>
      </c>
      <c r="AN40" s="15">
        <v>31295.698869478401</v>
      </c>
      <c r="AQ40" s="18">
        <v>1997</v>
      </c>
      <c r="AR40" s="18">
        <v>3</v>
      </c>
      <c r="AS40" s="18">
        <v>31316.043687857498</v>
      </c>
      <c r="AU40" s="10">
        <v>1997</v>
      </c>
      <c r="AV40" s="10">
        <v>3</v>
      </c>
      <c r="AW40" s="15">
        <v>31350.5125411804</v>
      </c>
      <c r="AY40" s="15">
        <v>1997</v>
      </c>
      <c r="AZ40" s="15">
        <v>3</v>
      </c>
      <c r="BA40" s="15">
        <v>31339.862100424001</v>
      </c>
      <c r="BC40" s="15">
        <v>1997</v>
      </c>
      <c r="BD40" s="15">
        <v>3</v>
      </c>
      <c r="BE40" s="15">
        <v>31347.078776103899</v>
      </c>
      <c r="BG40" s="15">
        <v>1997</v>
      </c>
      <c r="BH40" s="15">
        <v>3</v>
      </c>
      <c r="BI40" s="15">
        <v>31337.998903930598</v>
      </c>
    </row>
    <row r="41" spans="1:61" x14ac:dyDescent="0.25">
      <c r="A41" s="10">
        <v>1997</v>
      </c>
      <c r="B41" s="10">
        <v>4</v>
      </c>
      <c r="C41" s="11">
        <v>33628.878125036303</v>
      </c>
      <c r="G41" s="7">
        <v>1997</v>
      </c>
      <c r="H41" s="7">
        <v>1</v>
      </c>
      <c r="I41" s="13">
        <v>29281.289069432802</v>
      </c>
      <c r="L41" s="10">
        <v>1997</v>
      </c>
      <c r="M41" s="10">
        <v>4</v>
      </c>
      <c r="N41" s="18">
        <v>33709.537657973298</v>
      </c>
      <c r="Q41" s="15">
        <v>1997</v>
      </c>
      <c r="R41" s="15">
        <v>4</v>
      </c>
      <c r="S41" s="15">
        <v>33650.172744650001</v>
      </c>
      <c r="U41" s="15">
        <v>1997</v>
      </c>
      <c r="V41" s="15">
        <v>4</v>
      </c>
      <c r="W41" s="15">
        <v>33615.469255448901</v>
      </c>
      <c r="Z41" s="15">
        <v>1997</v>
      </c>
      <c r="AA41" s="15">
        <v>4</v>
      </c>
      <c r="AB41" s="15">
        <v>33619.566423678698</v>
      </c>
      <c r="AD41" s="18">
        <v>1997</v>
      </c>
      <c r="AE41" s="18">
        <v>4</v>
      </c>
      <c r="AF41" s="18">
        <v>33615.545196303799</v>
      </c>
      <c r="AH41" s="10">
        <v>1997</v>
      </c>
      <c r="AI41" s="10">
        <v>4</v>
      </c>
      <c r="AJ41" s="18">
        <v>33619.116187783999</v>
      </c>
      <c r="AL41" s="15">
        <v>1997</v>
      </c>
      <c r="AM41" s="15">
        <v>4</v>
      </c>
      <c r="AN41" s="15">
        <v>33619.446335881898</v>
      </c>
      <c r="AQ41" s="18">
        <v>1997</v>
      </c>
      <c r="AR41" s="18">
        <v>4</v>
      </c>
      <c r="AS41" s="18">
        <v>33605.328620657703</v>
      </c>
      <c r="AU41" s="10">
        <v>1997</v>
      </c>
      <c r="AV41" s="10">
        <v>4</v>
      </c>
      <c r="AW41" s="15">
        <v>33584.958560747298</v>
      </c>
      <c r="AY41" s="15">
        <v>1997</v>
      </c>
      <c r="AZ41" s="15">
        <v>4</v>
      </c>
      <c r="BA41" s="15">
        <v>33590.201742742902</v>
      </c>
      <c r="BC41" s="15">
        <v>1997</v>
      </c>
      <c r="BD41" s="15">
        <v>4</v>
      </c>
      <c r="BE41" s="15">
        <v>33585.469902385397</v>
      </c>
      <c r="BG41" s="15">
        <v>1997</v>
      </c>
      <c r="BH41" s="15">
        <v>4</v>
      </c>
      <c r="BI41" s="15">
        <v>33590.710422839104</v>
      </c>
    </row>
    <row r="42" spans="1:61" x14ac:dyDescent="0.25">
      <c r="A42" s="10">
        <v>1997</v>
      </c>
      <c r="B42" s="10">
        <v>5</v>
      </c>
      <c r="C42" s="11">
        <v>34627.046034871302</v>
      </c>
      <c r="G42" s="7">
        <v>1997</v>
      </c>
      <c r="H42" s="7">
        <v>2</v>
      </c>
      <c r="I42" s="13">
        <v>29915.967391374299</v>
      </c>
      <c r="L42" s="10">
        <v>1997</v>
      </c>
      <c r="M42" s="10">
        <v>5</v>
      </c>
      <c r="N42" s="18">
        <v>34924.063878253102</v>
      </c>
      <c r="Q42" s="15">
        <v>1997</v>
      </c>
      <c r="R42" s="15">
        <v>5</v>
      </c>
      <c r="S42" s="15">
        <v>34884.456001488797</v>
      </c>
      <c r="U42" s="15">
        <v>1997</v>
      </c>
      <c r="V42" s="15">
        <v>5</v>
      </c>
      <c r="W42" s="15">
        <v>34642.615356173497</v>
      </c>
      <c r="Z42" s="15">
        <v>1997</v>
      </c>
      <c r="AA42" s="15">
        <v>5</v>
      </c>
      <c r="AB42" s="15">
        <v>34641.8013737539</v>
      </c>
      <c r="AD42" s="18">
        <v>1997</v>
      </c>
      <c r="AE42" s="18">
        <v>5</v>
      </c>
      <c r="AF42" s="18">
        <v>34643.259347565203</v>
      </c>
      <c r="AH42" s="10">
        <v>1997</v>
      </c>
      <c r="AI42" s="10">
        <v>5</v>
      </c>
      <c r="AJ42" s="18">
        <v>34643.776535065103</v>
      </c>
      <c r="AL42" s="15">
        <v>1997</v>
      </c>
      <c r="AM42" s="15">
        <v>5</v>
      </c>
      <c r="AN42" s="15">
        <v>34643.711451130301</v>
      </c>
      <c r="AQ42" s="18">
        <v>1997</v>
      </c>
      <c r="AR42" s="18">
        <v>5</v>
      </c>
      <c r="AS42" s="18">
        <v>34641.5767385367</v>
      </c>
      <c r="AU42" s="10">
        <v>1997</v>
      </c>
      <c r="AV42" s="10">
        <v>5</v>
      </c>
      <c r="AW42" s="15">
        <v>34639.301371543697</v>
      </c>
      <c r="AY42" s="15">
        <v>1997</v>
      </c>
      <c r="AZ42" s="15">
        <v>5</v>
      </c>
      <c r="BA42" s="15">
        <v>34639.453378148399</v>
      </c>
      <c r="BC42" s="15">
        <v>1997</v>
      </c>
      <c r="BD42" s="15">
        <v>5</v>
      </c>
      <c r="BE42" s="15">
        <v>34638.736844480001</v>
      </c>
      <c r="BG42" s="15">
        <v>1997</v>
      </c>
      <c r="BH42" s="15">
        <v>5</v>
      </c>
      <c r="BI42" s="15">
        <v>34639.2719853378</v>
      </c>
    </row>
    <row r="43" spans="1:61" x14ac:dyDescent="0.25">
      <c r="A43" s="10">
        <v>1997</v>
      </c>
      <c r="B43" s="10">
        <v>6</v>
      </c>
      <c r="C43" s="11">
        <v>35527.176263025998</v>
      </c>
      <c r="G43" s="7">
        <v>1997</v>
      </c>
      <c r="H43" s="7">
        <v>3</v>
      </c>
      <c r="I43" s="13">
        <v>31509.7698557324</v>
      </c>
      <c r="L43" s="10">
        <v>1997</v>
      </c>
      <c r="M43" s="10">
        <v>6</v>
      </c>
      <c r="N43" s="18">
        <v>35702.632790125303</v>
      </c>
      <c r="Q43" s="15">
        <v>1997</v>
      </c>
      <c r="R43" s="15">
        <v>6</v>
      </c>
      <c r="S43" s="15">
        <v>35674.359235907898</v>
      </c>
      <c r="U43" s="15">
        <v>1997</v>
      </c>
      <c r="V43" s="15">
        <v>6</v>
      </c>
      <c r="W43" s="15">
        <v>35557.4755660761</v>
      </c>
      <c r="Z43" s="15">
        <v>1997</v>
      </c>
      <c r="AA43" s="15">
        <v>6</v>
      </c>
      <c r="AB43" s="15">
        <v>35553.347164152103</v>
      </c>
      <c r="AD43" s="18">
        <v>1997</v>
      </c>
      <c r="AE43" s="18">
        <v>6</v>
      </c>
      <c r="AF43" s="18">
        <v>35557.512946071001</v>
      </c>
      <c r="AH43" s="10">
        <v>1997</v>
      </c>
      <c r="AI43" s="10">
        <v>6</v>
      </c>
      <c r="AJ43" s="18">
        <v>35555.874391391</v>
      </c>
      <c r="AL43" s="15">
        <v>1997</v>
      </c>
      <c r="AM43" s="15">
        <v>6</v>
      </c>
      <c r="AN43" s="15">
        <v>35555.485863005997</v>
      </c>
      <c r="AQ43" s="18">
        <v>1997</v>
      </c>
      <c r="AR43" s="18">
        <v>6</v>
      </c>
      <c r="AS43" s="18">
        <v>35561.700837193603</v>
      </c>
      <c r="AU43" s="10">
        <v>1997</v>
      </c>
      <c r="AV43" s="10">
        <v>6</v>
      </c>
      <c r="AW43" s="15">
        <v>35571.917128086898</v>
      </c>
      <c r="AY43" s="15">
        <v>1997</v>
      </c>
      <c r="AZ43" s="15">
        <v>6</v>
      </c>
      <c r="BA43" s="15">
        <v>35568.680680511097</v>
      </c>
      <c r="BC43" s="15">
        <v>1997</v>
      </c>
      <c r="BD43" s="15">
        <v>6</v>
      </c>
      <c r="BE43" s="15">
        <v>35570.776464790797</v>
      </c>
      <c r="BG43" s="15">
        <v>1997</v>
      </c>
      <c r="BH43" s="15">
        <v>6</v>
      </c>
      <c r="BI43" s="15">
        <v>35568.092615599802</v>
      </c>
    </row>
    <row r="44" spans="1:61" x14ac:dyDescent="0.25">
      <c r="A44" s="10">
        <v>1997</v>
      </c>
      <c r="B44" s="10">
        <v>7</v>
      </c>
      <c r="C44" s="11">
        <v>37316.758093747201</v>
      </c>
      <c r="G44" s="7">
        <v>1997</v>
      </c>
      <c r="H44" s="7">
        <v>4</v>
      </c>
      <c r="I44" s="13">
        <v>33340.725431919498</v>
      </c>
      <c r="L44" s="10">
        <v>1997</v>
      </c>
      <c r="M44" s="10">
        <v>7</v>
      </c>
      <c r="N44" s="18">
        <v>37488.629514122702</v>
      </c>
      <c r="Q44" s="15">
        <v>1997</v>
      </c>
      <c r="R44" s="15">
        <v>7</v>
      </c>
      <c r="S44" s="15">
        <v>37437.5207662303</v>
      </c>
      <c r="U44" s="15">
        <v>1997</v>
      </c>
      <c r="V44" s="15">
        <v>7</v>
      </c>
      <c r="W44" s="15">
        <v>37275.652109005801</v>
      </c>
      <c r="Z44" s="15">
        <v>1997</v>
      </c>
      <c r="AA44" s="15">
        <v>7</v>
      </c>
      <c r="AB44" s="15">
        <v>37284.185910337597</v>
      </c>
      <c r="AD44" s="18">
        <v>1997</v>
      </c>
      <c r="AE44" s="18">
        <v>7</v>
      </c>
      <c r="AF44" s="18">
        <v>37271.286415006602</v>
      </c>
      <c r="AH44" s="10">
        <v>1997</v>
      </c>
      <c r="AI44" s="10">
        <v>7</v>
      </c>
      <c r="AJ44" s="18">
        <v>37276.485097963203</v>
      </c>
      <c r="AL44" s="15">
        <v>1997</v>
      </c>
      <c r="AM44" s="15">
        <v>7</v>
      </c>
      <c r="AN44" s="15">
        <v>37277.447331454903</v>
      </c>
      <c r="AQ44" s="18">
        <v>1997</v>
      </c>
      <c r="AR44" s="18">
        <v>7</v>
      </c>
      <c r="AS44" s="18">
        <v>37257.482314064298</v>
      </c>
      <c r="AU44" s="10">
        <v>1997</v>
      </c>
      <c r="AV44" s="10">
        <v>7</v>
      </c>
      <c r="AW44" s="15">
        <v>37227.206818565399</v>
      </c>
      <c r="AY44" s="15">
        <v>1997</v>
      </c>
      <c r="AZ44" s="15">
        <v>7</v>
      </c>
      <c r="BA44" s="15">
        <v>37235.262659882203</v>
      </c>
      <c r="BC44" s="15">
        <v>1997</v>
      </c>
      <c r="BD44" s="15">
        <v>7</v>
      </c>
      <c r="BE44" s="15">
        <v>37228.366277641202</v>
      </c>
      <c r="BG44" s="15">
        <v>1997</v>
      </c>
      <c r="BH44" s="15">
        <v>7</v>
      </c>
      <c r="BI44" s="15">
        <v>37236.197932666</v>
      </c>
    </row>
    <row r="45" spans="1:61" x14ac:dyDescent="0.25">
      <c r="A45" s="10">
        <v>1997</v>
      </c>
      <c r="B45" s="10">
        <v>8</v>
      </c>
      <c r="C45" s="11">
        <v>37524.798564595199</v>
      </c>
      <c r="G45" s="7">
        <v>1997</v>
      </c>
      <c r="H45" s="7">
        <v>5</v>
      </c>
      <c r="I45" s="13">
        <v>34711.555509294703</v>
      </c>
      <c r="L45" s="10">
        <v>1997</v>
      </c>
      <c r="M45" s="10">
        <v>8</v>
      </c>
      <c r="N45" s="18">
        <v>37567.464457924703</v>
      </c>
      <c r="Q45" s="15">
        <v>1997</v>
      </c>
      <c r="R45" s="15">
        <v>8</v>
      </c>
      <c r="S45" s="15">
        <v>37545.099389855903</v>
      </c>
      <c r="U45" s="15">
        <v>1997</v>
      </c>
      <c r="V45" s="15">
        <v>8</v>
      </c>
      <c r="W45" s="15">
        <v>37592.1070510887</v>
      </c>
      <c r="Z45" s="15">
        <v>1997</v>
      </c>
      <c r="AA45" s="15">
        <v>8</v>
      </c>
      <c r="AB45" s="15">
        <v>37582.081857421799</v>
      </c>
      <c r="AD45" s="18">
        <v>1997</v>
      </c>
      <c r="AE45" s="18">
        <v>8</v>
      </c>
      <c r="AF45" s="18">
        <v>37588.635360209897</v>
      </c>
      <c r="AH45" s="10">
        <v>1997</v>
      </c>
      <c r="AI45" s="10">
        <v>8</v>
      </c>
      <c r="AJ45" s="18">
        <v>37583.074498024602</v>
      </c>
      <c r="AL45" s="15">
        <v>1997</v>
      </c>
      <c r="AM45" s="15">
        <v>8</v>
      </c>
      <c r="AN45" s="15">
        <v>37582.227145529898</v>
      </c>
      <c r="AQ45" s="18">
        <v>1997</v>
      </c>
      <c r="AR45" s="18">
        <v>8</v>
      </c>
      <c r="AS45" s="18">
        <v>37603.869498938802</v>
      </c>
      <c r="AU45" s="10">
        <v>1997</v>
      </c>
      <c r="AV45" s="10">
        <v>8</v>
      </c>
      <c r="AW45" s="15">
        <v>37637.094006755302</v>
      </c>
      <c r="AY45" s="15">
        <v>1997</v>
      </c>
      <c r="AZ45" s="15">
        <v>8</v>
      </c>
      <c r="BA45" s="15">
        <v>37627.452690040103</v>
      </c>
      <c r="BC45" s="15">
        <v>1997</v>
      </c>
      <c r="BD45" s="15">
        <v>8</v>
      </c>
      <c r="BE45" s="15">
        <v>37634.670584166997</v>
      </c>
      <c r="BG45" s="15">
        <v>1997</v>
      </c>
      <c r="BH45" s="15">
        <v>8</v>
      </c>
      <c r="BI45" s="15">
        <v>37626.011711204701</v>
      </c>
    </row>
    <row r="46" spans="1:61" x14ac:dyDescent="0.25">
      <c r="A46" s="10">
        <v>1997</v>
      </c>
      <c r="B46" s="10">
        <v>9</v>
      </c>
      <c r="C46" s="11">
        <v>39823.203291081001</v>
      </c>
      <c r="G46" s="7">
        <v>1997</v>
      </c>
      <c r="H46" s="7">
        <v>6</v>
      </c>
      <c r="I46" s="13">
        <v>35595.705882341899</v>
      </c>
      <c r="L46" s="10">
        <v>1997</v>
      </c>
      <c r="M46" s="10">
        <v>9</v>
      </c>
      <c r="N46" s="18">
        <v>39883.083176939697</v>
      </c>
      <c r="Q46" s="15">
        <v>1997</v>
      </c>
      <c r="R46" s="15">
        <v>9</v>
      </c>
      <c r="S46" s="15">
        <v>39782.118587153302</v>
      </c>
      <c r="U46" s="15">
        <v>1997</v>
      </c>
      <c r="V46" s="15">
        <v>9</v>
      </c>
      <c r="W46" s="15">
        <v>39715.663500315299</v>
      </c>
      <c r="Z46" s="15">
        <v>1997</v>
      </c>
      <c r="AA46" s="15">
        <v>9</v>
      </c>
      <c r="AB46" s="15">
        <v>39733.865931858498</v>
      </c>
      <c r="AD46" s="18">
        <v>1997</v>
      </c>
      <c r="AE46" s="18">
        <v>9</v>
      </c>
      <c r="AF46" s="18">
        <v>39700.541013870003</v>
      </c>
      <c r="AH46" s="10">
        <v>1997</v>
      </c>
      <c r="AI46" s="10">
        <v>9</v>
      </c>
      <c r="AJ46" s="18">
        <v>39710.542423428204</v>
      </c>
      <c r="AL46" s="15">
        <v>1997</v>
      </c>
      <c r="AM46" s="15">
        <v>9</v>
      </c>
      <c r="AN46" s="15">
        <v>39712.380463308997</v>
      </c>
      <c r="AQ46" s="18">
        <v>1997</v>
      </c>
      <c r="AR46" s="18">
        <v>9</v>
      </c>
      <c r="AS46" s="18">
        <v>39673.965977435902</v>
      </c>
      <c r="AU46" s="10">
        <v>1997</v>
      </c>
      <c r="AV46" s="10">
        <v>9</v>
      </c>
      <c r="AW46" s="15">
        <v>39615.219987509903</v>
      </c>
      <c r="AY46" s="15">
        <v>1997</v>
      </c>
      <c r="AZ46" s="15">
        <v>9</v>
      </c>
      <c r="BA46" s="15">
        <v>39631.349314510197</v>
      </c>
      <c r="BC46" s="15">
        <v>1997</v>
      </c>
      <c r="BD46" s="15">
        <v>9</v>
      </c>
      <c r="BE46" s="15">
        <v>39618.202248468799</v>
      </c>
      <c r="BG46" s="15">
        <v>1997</v>
      </c>
      <c r="BH46" s="15">
        <v>9</v>
      </c>
      <c r="BI46" s="15">
        <v>39633.448921403004</v>
      </c>
    </row>
    <row r="47" spans="1:61" x14ac:dyDescent="0.25">
      <c r="A47" s="10">
        <v>1997</v>
      </c>
      <c r="B47" s="10">
        <v>10</v>
      </c>
      <c r="C47" s="11">
        <v>47217.393013894303</v>
      </c>
      <c r="G47" s="7">
        <v>1997</v>
      </c>
      <c r="H47" s="7">
        <v>7</v>
      </c>
      <c r="I47" s="13">
        <v>37288.078203294797</v>
      </c>
      <c r="L47" s="10">
        <v>1997</v>
      </c>
      <c r="M47" s="10">
        <v>10</v>
      </c>
      <c r="N47" s="18">
        <v>47321.156246856197</v>
      </c>
      <c r="Q47" s="15">
        <v>1997</v>
      </c>
      <c r="R47" s="15">
        <v>10</v>
      </c>
      <c r="S47" s="15">
        <v>47269.739989829002</v>
      </c>
      <c r="U47" s="15">
        <v>1997</v>
      </c>
      <c r="V47" s="15">
        <v>10</v>
      </c>
      <c r="W47" s="15">
        <v>47149.0564472392</v>
      </c>
      <c r="Z47" s="15">
        <v>1997</v>
      </c>
      <c r="AA47" s="15">
        <v>10</v>
      </c>
      <c r="AB47" s="15">
        <v>47160.7474352266</v>
      </c>
      <c r="AD47" s="18">
        <v>1997</v>
      </c>
      <c r="AE47" s="18">
        <v>10</v>
      </c>
      <c r="AF47" s="18">
        <v>47141.126206036301</v>
      </c>
      <c r="AH47" s="10">
        <v>1997</v>
      </c>
      <c r="AI47" s="10">
        <v>10</v>
      </c>
      <c r="AJ47" s="18">
        <v>47147.752137913201</v>
      </c>
      <c r="AL47" s="15">
        <v>1997</v>
      </c>
      <c r="AM47" s="15">
        <v>10</v>
      </c>
      <c r="AN47" s="15">
        <v>47149.066291934003</v>
      </c>
      <c r="AQ47" s="18">
        <v>1997</v>
      </c>
      <c r="AR47" s="18">
        <v>10</v>
      </c>
      <c r="AS47" s="18">
        <v>47123.701429181601</v>
      </c>
      <c r="AU47" s="10">
        <v>1997</v>
      </c>
      <c r="AV47" s="10">
        <v>10</v>
      </c>
      <c r="AW47" s="15">
        <v>47084.639629036501</v>
      </c>
      <c r="AY47" s="15">
        <v>1997</v>
      </c>
      <c r="AZ47" s="15">
        <v>10</v>
      </c>
      <c r="BA47" s="15">
        <v>47095.273611697099</v>
      </c>
      <c r="BC47" s="15">
        <v>1997</v>
      </c>
      <c r="BD47" s="15">
        <v>10</v>
      </c>
      <c r="BE47" s="15">
        <v>47086.467174956299</v>
      </c>
      <c r="BG47" s="15">
        <v>1997</v>
      </c>
      <c r="BH47" s="15">
        <v>10</v>
      </c>
      <c r="BI47" s="15">
        <v>47096.603213866103</v>
      </c>
    </row>
    <row r="48" spans="1:61" x14ac:dyDescent="0.25">
      <c r="A48" s="10">
        <v>1997</v>
      </c>
      <c r="B48" s="10">
        <v>11</v>
      </c>
      <c r="C48" s="11">
        <v>42145.689042678903</v>
      </c>
      <c r="G48" s="7">
        <v>1997</v>
      </c>
      <c r="H48" s="7">
        <v>8</v>
      </c>
      <c r="I48" s="13">
        <v>37537.022976072702</v>
      </c>
      <c r="L48" s="10">
        <v>1997</v>
      </c>
      <c r="M48" s="10">
        <v>11</v>
      </c>
      <c r="N48" s="18">
        <v>41895.847796779402</v>
      </c>
      <c r="Q48" s="15">
        <v>1997</v>
      </c>
      <c r="R48" s="15">
        <v>11</v>
      </c>
      <c r="S48" s="15">
        <v>42183.7414351677</v>
      </c>
      <c r="U48" s="15">
        <v>1997</v>
      </c>
      <c r="V48" s="15">
        <v>11</v>
      </c>
      <c r="W48" s="15">
        <v>42134.217669414</v>
      </c>
      <c r="Z48" s="15">
        <v>1997</v>
      </c>
      <c r="AA48" s="15">
        <v>11</v>
      </c>
      <c r="AB48" s="15">
        <v>42104.3798005149</v>
      </c>
      <c r="AD48" s="18">
        <v>1997</v>
      </c>
      <c r="AE48" s="18">
        <v>11</v>
      </c>
      <c r="AF48" s="18">
        <v>42122.265409437998</v>
      </c>
      <c r="AH48" s="10">
        <v>1997</v>
      </c>
      <c r="AI48" s="10">
        <v>11</v>
      </c>
      <c r="AJ48" s="18">
        <v>42106.063293289102</v>
      </c>
      <c r="AL48" s="15">
        <v>1997</v>
      </c>
      <c r="AM48" s="15">
        <v>11</v>
      </c>
      <c r="AN48" s="15">
        <v>42101.173518029202</v>
      </c>
      <c r="AQ48" s="18">
        <v>1997</v>
      </c>
      <c r="AR48" s="18">
        <v>11</v>
      </c>
      <c r="AS48" s="18">
        <v>42160.212628360197</v>
      </c>
      <c r="AU48" s="10">
        <v>1997</v>
      </c>
      <c r="AV48" s="10">
        <v>11</v>
      </c>
      <c r="AW48" s="15">
        <v>42252.173819870201</v>
      </c>
      <c r="AY48" s="15">
        <v>1997</v>
      </c>
      <c r="AZ48" s="15">
        <v>11</v>
      </c>
      <c r="BA48" s="15">
        <v>42229.384318123201</v>
      </c>
      <c r="BC48" s="15">
        <v>1997</v>
      </c>
      <c r="BD48" s="15">
        <v>11</v>
      </c>
      <c r="BE48" s="15">
        <v>42250.8990404582</v>
      </c>
      <c r="BG48" s="15">
        <v>1997</v>
      </c>
      <c r="BH48" s="15">
        <v>11</v>
      </c>
      <c r="BI48" s="15">
        <v>42227.498967105697</v>
      </c>
    </row>
    <row r="49" spans="1:61" x14ac:dyDescent="0.25">
      <c r="A49" s="10">
        <v>1997</v>
      </c>
      <c r="B49" s="10">
        <v>12</v>
      </c>
      <c r="C49" s="11">
        <v>27014.525287447599</v>
      </c>
      <c r="G49" s="7">
        <v>1997</v>
      </c>
      <c r="H49" s="7">
        <v>9</v>
      </c>
      <c r="I49" s="13">
        <v>39472.4665544483</v>
      </c>
      <c r="L49" s="10">
        <v>1997</v>
      </c>
      <c r="M49" s="10">
        <v>12</v>
      </c>
      <c r="N49" s="18">
        <v>26986.022681159899</v>
      </c>
      <c r="Q49" s="15">
        <v>1997</v>
      </c>
      <c r="R49" s="15">
        <v>12</v>
      </c>
      <c r="S49" s="15">
        <v>27121.673500006498</v>
      </c>
      <c r="U49" s="15">
        <v>1997</v>
      </c>
      <c r="V49" s="15">
        <v>12</v>
      </c>
      <c r="W49" s="15">
        <v>26861.533959894099</v>
      </c>
      <c r="Z49" s="15">
        <v>1997</v>
      </c>
      <c r="AA49" s="15">
        <v>12</v>
      </c>
      <c r="AB49" s="15">
        <v>26872.481946360102</v>
      </c>
      <c r="AD49" s="18">
        <v>1997</v>
      </c>
      <c r="AE49" s="18">
        <v>12</v>
      </c>
      <c r="AF49" s="18">
        <v>26847.954406410801</v>
      </c>
      <c r="AH49" s="10">
        <v>1997</v>
      </c>
      <c r="AI49" s="10">
        <v>12</v>
      </c>
      <c r="AJ49" s="18">
        <v>26855.115670570998</v>
      </c>
      <c r="AL49" s="15">
        <v>1997</v>
      </c>
      <c r="AM49" s="15">
        <v>12</v>
      </c>
      <c r="AN49" s="15">
        <v>26855.636592758401</v>
      </c>
      <c r="AQ49" s="18">
        <v>1997</v>
      </c>
      <c r="AR49" s="18">
        <v>12</v>
      </c>
      <c r="AS49" s="18">
        <v>26826.761800223499</v>
      </c>
      <c r="AU49" s="10">
        <v>1997</v>
      </c>
      <c r="AV49" s="10">
        <v>12</v>
      </c>
      <c r="AW49" s="15">
        <v>26783.007594201401</v>
      </c>
      <c r="AY49" s="15">
        <v>1997</v>
      </c>
      <c r="AZ49" s="15">
        <v>12</v>
      </c>
      <c r="BA49" s="15">
        <v>26795.766944598501</v>
      </c>
      <c r="BC49" s="15">
        <v>1997</v>
      </c>
      <c r="BD49" s="15">
        <v>12</v>
      </c>
      <c r="BE49" s="15">
        <v>26786.132179381901</v>
      </c>
      <c r="BG49" s="15">
        <v>1997</v>
      </c>
      <c r="BH49" s="15">
        <v>12</v>
      </c>
      <c r="BI49" s="15">
        <v>26797.649388886901</v>
      </c>
    </row>
    <row r="50" spans="1:61" x14ac:dyDescent="0.25">
      <c r="A50" s="10">
        <v>1998</v>
      </c>
      <c r="B50" s="10">
        <v>1</v>
      </c>
      <c r="C50" s="11">
        <v>32333.2600206198</v>
      </c>
      <c r="G50" s="7">
        <v>1997</v>
      </c>
      <c r="H50" s="7">
        <v>10</v>
      </c>
      <c r="I50" s="13">
        <v>47116.671589099002</v>
      </c>
      <c r="L50" s="10">
        <v>1998</v>
      </c>
      <c r="M50" s="10">
        <v>1</v>
      </c>
      <c r="N50" s="18">
        <v>32008.012520799199</v>
      </c>
      <c r="Q50" s="15">
        <v>1998</v>
      </c>
      <c r="R50" s="15">
        <v>1</v>
      </c>
      <c r="S50" s="15">
        <v>31995.282269129999</v>
      </c>
      <c r="U50" s="15">
        <v>1998</v>
      </c>
      <c r="V50" s="15">
        <v>1</v>
      </c>
      <c r="W50" s="15">
        <v>32450.578607671399</v>
      </c>
      <c r="Z50" s="15">
        <v>1998</v>
      </c>
      <c r="AA50" s="15">
        <v>1</v>
      </c>
      <c r="AB50" s="15">
        <v>32442.790143881899</v>
      </c>
      <c r="AD50" s="18">
        <v>1998</v>
      </c>
      <c r="AE50" s="18">
        <v>1</v>
      </c>
      <c r="AF50" s="18">
        <v>32484.023627991999</v>
      </c>
      <c r="AH50" s="10">
        <v>1998</v>
      </c>
      <c r="AI50" s="10">
        <v>1</v>
      </c>
      <c r="AJ50" s="18">
        <v>32474.933739040502</v>
      </c>
      <c r="AL50" s="15">
        <v>1998</v>
      </c>
      <c r="AM50" s="15">
        <v>1</v>
      </c>
      <c r="AN50" s="15">
        <v>32476.2382851613</v>
      </c>
      <c r="AQ50" s="18">
        <v>1998</v>
      </c>
      <c r="AR50" s="18">
        <v>1</v>
      </c>
      <c r="AS50" s="18">
        <v>32516.137557683101</v>
      </c>
      <c r="AU50" s="10">
        <v>1998</v>
      </c>
      <c r="AV50" s="10">
        <v>1</v>
      </c>
      <c r="AW50" s="15">
        <v>32572.8279595483</v>
      </c>
      <c r="AY50" s="15">
        <v>1998</v>
      </c>
      <c r="AZ50" s="15">
        <v>1</v>
      </c>
      <c r="BA50" s="15">
        <v>32555.990313867602</v>
      </c>
      <c r="BC50" s="15">
        <v>1998</v>
      </c>
      <c r="BD50" s="15">
        <v>1</v>
      </c>
      <c r="BE50" s="15">
        <v>32568.5966302181</v>
      </c>
      <c r="BG50" s="15">
        <v>1998</v>
      </c>
      <c r="BH50" s="15">
        <v>1</v>
      </c>
      <c r="BI50" s="15">
        <v>32553.502688128101</v>
      </c>
    </row>
    <row r="51" spans="1:61" x14ac:dyDescent="0.25">
      <c r="A51" s="10">
        <v>1998</v>
      </c>
      <c r="B51" s="10">
        <v>2</v>
      </c>
      <c r="C51" s="11">
        <v>38005.810605379898</v>
      </c>
      <c r="G51" s="7">
        <v>1997</v>
      </c>
      <c r="H51" s="7">
        <v>11</v>
      </c>
      <c r="I51" s="13">
        <v>42271.572149120897</v>
      </c>
      <c r="L51" s="10">
        <v>1998</v>
      </c>
      <c r="M51" s="10">
        <v>2</v>
      </c>
      <c r="N51" s="18">
        <v>38165.876110850797</v>
      </c>
      <c r="Q51" s="15">
        <v>1998</v>
      </c>
      <c r="R51" s="15">
        <v>2</v>
      </c>
      <c r="S51" s="15">
        <v>37860.631570620397</v>
      </c>
      <c r="U51" s="15">
        <v>1998</v>
      </c>
      <c r="V51" s="15">
        <v>2</v>
      </c>
      <c r="W51" s="15">
        <v>38729.499571177497</v>
      </c>
      <c r="Z51" s="15">
        <v>1998</v>
      </c>
      <c r="AA51" s="15">
        <v>2</v>
      </c>
      <c r="AB51" s="15">
        <v>38756.346133038598</v>
      </c>
      <c r="AD51" s="18">
        <v>1998</v>
      </c>
      <c r="AE51" s="18">
        <v>2</v>
      </c>
      <c r="AF51" s="18">
        <v>38841.534197239402</v>
      </c>
      <c r="AH51" s="10">
        <v>1998</v>
      </c>
      <c r="AI51" s="10">
        <v>2</v>
      </c>
      <c r="AJ51" s="18">
        <v>38844.383991173003</v>
      </c>
      <c r="AL51" s="15">
        <v>1998</v>
      </c>
      <c r="AM51" s="15">
        <v>2</v>
      </c>
      <c r="AN51" s="15">
        <v>38855.213039622002</v>
      </c>
      <c r="AQ51" s="18">
        <v>1998</v>
      </c>
      <c r="AR51" s="18">
        <v>2</v>
      </c>
      <c r="AS51" s="18">
        <v>38860.397684874297</v>
      </c>
      <c r="AU51" s="10">
        <v>1998</v>
      </c>
      <c r="AV51" s="10">
        <v>2</v>
      </c>
      <c r="AW51" s="15">
        <v>38855.490833963202</v>
      </c>
      <c r="AY51" s="15">
        <v>1998</v>
      </c>
      <c r="AZ51" s="15">
        <v>2</v>
      </c>
      <c r="BA51" s="15">
        <v>38850.045424903699</v>
      </c>
      <c r="BC51" s="15">
        <v>1998</v>
      </c>
      <c r="BD51" s="15">
        <v>2</v>
      </c>
      <c r="BE51" s="15">
        <v>38847.212052340103</v>
      </c>
      <c r="BG51" s="15">
        <v>1998</v>
      </c>
      <c r="BH51" s="15">
        <v>2</v>
      </c>
      <c r="BI51" s="15">
        <v>38846.477539863001</v>
      </c>
    </row>
    <row r="52" spans="1:61" x14ac:dyDescent="0.25">
      <c r="A52" s="10">
        <v>1998</v>
      </c>
      <c r="B52" s="10">
        <v>3</v>
      </c>
      <c r="C52" s="11">
        <v>39430.796343285801</v>
      </c>
      <c r="G52" s="7">
        <v>1997</v>
      </c>
      <c r="H52" s="7">
        <v>12</v>
      </c>
      <c r="I52" s="13">
        <v>26478.541386972902</v>
      </c>
      <c r="L52" s="10">
        <v>1998</v>
      </c>
      <c r="M52" s="10">
        <v>3</v>
      </c>
      <c r="N52" s="18">
        <v>39450.626497418998</v>
      </c>
      <c r="Q52" s="15">
        <v>1998</v>
      </c>
      <c r="R52" s="15">
        <v>3</v>
      </c>
      <c r="S52" s="15">
        <v>39415.727142200798</v>
      </c>
      <c r="U52" s="15">
        <v>1998</v>
      </c>
      <c r="V52" s="15">
        <v>3</v>
      </c>
      <c r="W52" s="15">
        <v>39454.7572490272</v>
      </c>
      <c r="Z52" s="15">
        <v>1998</v>
      </c>
      <c r="AA52" s="15">
        <v>3</v>
      </c>
      <c r="AB52" s="15">
        <v>39456.277044256502</v>
      </c>
      <c r="AD52" s="18">
        <v>1998</v>
      </c>
      <c r="AE52" s="18">
        <v>3</v>
      </c>
      <c r="AF52" s="18">
        <v>39458.489797042297</v>
      </c>
      <c r="AH52" s="10">
        <v>1998</v>
      </c>
      <c r="AI52" s="10">
        <v>3</v>
      </c>
      <c r="AJ52" s="18">
        <v>39459.338024235098</v>
      </c>
      <c r="AL52" s="15">
        <v>1998</v>
      </c>
      <c r="AM52" s="15">
        <v>3</v>
      </c>
      <c r="AN52" s="15">
        <v>39459.794021695401</v>
      </c>
      <c r="AQ52" s="18">
        <v>1998</v>
      </c>
      <c r="AR52" s="18">
        <v>3</v>
      </c>
      <c r="AS52" s="18">
        <v>39456.982995657097</v>
      </c>
      <c r="AU52" s="10">
        <v>1998</v>
      </c>
      <c r="AV52" s="10">
        <v>3</v>
      </c>
      <c r="AW52" s="15">
        <v>39452.430175327798</v>
      </c>
      <c r="AY52" s="15">
        <v>1998</v>
      </c>
      <c r="AZ52" s="15">
        <v>3</v>
      </c>
      <c r="BA52" s="15">
        <v>39453.278488351803</v>
      </c>
      <c r="BC52" s="15">
        <v>1998</v>
      </c>
      <c r="BD52" s="15">
        <v>3</v>
      </c>
      <c r="BE52" s="15">
        <v>39452.095186046201</v>
      </c>
      <c r="BG52" s="15">
        <v>1998</v>
      </c>
      <c r="BH52" s="15">
        <v>3</v>
      </c>
      <c r="BI52" s="15">
        <v>39453.192949115699</v>
      </c>
    </row>
    <row r="53" spans="1:61" x14ac:dyDescent="0.25">
      <c r="A53" s="10">
        <v>1998</v>
      </c>
      <c r="B53" s="10">
        <v>4</v>
      </c>
      <c r="C53" s="11">
        <v>40394.678274155798</v>
      </c>
      <c r="G53" s="7">
        <v>1998</v>
      </c>
      <c r="H53" s="7">
        <v>1</v>
      </c>
      <c r="I53" s="13">
        <v>33533.370714124299</v>
      </c>
      <c r="L53" s="10">
        <v>1998</v>
      </c>
      <c r="M53" s="10">
        <v>4</v>
      </c>
      <c r="N53" s="18">
        <v>40470.310256279598</v>
      </c>
      <c r="Q53" s="15">
        <v>1998</v>
      </c>
      <c r="R53" s="15">
        <v>4</v>
      </c>
      <c r="S53" s="15">
        <v>40427.068734963097</v>
      </c>
      <c r="U53" s="15">
        <v>1998</v>
      </c>
      <c r="V53" s="15">
        <v>4</v>
      </c>
      <c r="W53" s="15">
        <v>40379.882962619202</v>
      </c>
      <c r="Z53" s="15">
        <v>1998</v>
      </c>
      <c r="AA53" s="15">
        <v>4</v>
      </c>
      <c r="AB53" s="15">
        <v>40386.986955012602</v>
      </c>
      <c r="AD53" s="18">
        <v>1998</v>
      </c>
      <c r="AE53" s="18">
        <v>4</v>
      </c>
      <c r="AF53" s="18">
        <v>40380.405187646</v>
      </c>
      <c r="AH53" s="10">
        <v>1998</v>
      </c>
      <c r="AI53" s="10">
        <v>4</v>
      </c>
      <c r="AJ53" s="18">
        <v>40384.527039832799</v>
      </c>
      <c r="AL53" s="15">
        <v>1998</v>
      </c>
      <c r="AM53" s="15">
        <v>4</v>
      </c>
      <c r="AN53" s="15">
        <v>40385.515215217201</v>
      </c>
      <c r="AQ53" s="18">
        <v>1998</v>
      </c>
      <c r="AR53" s="18">
        <v>4</v>
      </c>
      <c r="AS53" s="18">
        <v>40370.034549944598</v>
      </c>
      <c r="AU53" s="10">
        <v>1998</v>
      </c>
      <c r="AV53" s="10">
        <v>4</v>
      </c>
      <c r="AW53" s="15">
        <v>40346.2447864606</v>
      </c>
      <c r="AY53" s="15">
        <v>1998</v>
      </c>
      <c r="AZ53" s="15">
        <v>4</v>
      </c>
      <c r="BA53" s="15">
        <v>40352.425614524102</v>
      </c>
      <c r="BC53" s="15">
        <v>1998</v>
      </c>
      <c r="BD53" s="15">
        <v>4</v>
      </c>
      <c r="BE53" s="15">
        <v>40346.957673635698</v>
      </c>
      <c r="BG53" s="15">
        <v>1998</v>
      </c>
      <c r="BH53" s="15">
        <v>4</v>
      </c>
      <c r="BI53" s="15">
        <v>40353.049454154199</v>
      </c>
    </row>
    <row r="54" spans="1:61" x14ac:dyDescent="0.25">
      <c r="A54" s="10">
        <v>1998</v>
      </c>
      <c r="B54" s="10">
        <v>5</v>
      </c>
      <c r="C54" s="11">
        <v>39597.431637871901</v>
      </c>
      <c r="G54" s="7">
        <v>1998</v>
      </c>
      <c r="H54" s="7">
        <v>2</v>
      </c>
      <c r="I54" s="13">
        <v>37829.491644077098</v>
      </c>
      <c r="L54" s="10">
        <v>1998</v>
      </c>
      <c r="M54" s="10">
        <v>5</v>
      </c>
      <c r="N54" s="18">
        <v>39622.410375869898</v>
      </c>
      <c r="Q54" s="15">
        <v>1998</v>
      </c>
      <c r="R54" s="15">
        <v>5</v>
      </c>
      <c r="S54" s="15">
        <v>39613.906461928898</v>
      </c>
      <c r="U54" s="15">
        <v>1998</v>
      </c>
      <c r="V54" s="15">
        <v>5</v>
      </c>
      <c r="W54" s="15">
        <v>39665.122200410202</v>
      </c>
      <c r="Z54" s="15">
        <v>1998</v>
      </c>
      <c r="AA54" s="15">
        <v>5</v>
      </c>
      <c r="AB54" s="15">
        <v>39654.669960541003</v>
      </c>
      <c r="AD54" s="18">
        <v>1998</v>
      </c>
      <c r="AE54" s="18">
        <v>5</v>
      </c>
      <c r="AF54" s="18">
        <v>39666.101955399703</v>
      </c>
      <c r="AH54" s="10">
        <v>1998</v>
      </c>
      <c r="AI54" s="10">
        <v>5</v>
      </c>
      <c r="AJ54" s="18">
        <v>39660.664359673799</v>
      </c>
      <c r="AL54" s="15">
        <v>1998</v>
      </c>
      <c r="AM54" s="15">
        <v>5</v>
      </c>
      <c r="AN54" s="15">
        <v>39659.672814683698</v>
      </c>
      <c r="AQ54" s="18">
        <v>1998</v>
      </c>
      <c r="AR54" s="18">
        <v>5</v>
      </c>
      <c r="AS54" s="18">
        <v>39680.606839143198</v>
      </c>
      <c r="AU54" s="10">
        <v>1998</v>
      </c>
      <c r="AV54" s="10">
        <v>5</v>
      </c>
      <c r="AW54" s="15">
        <v>39713.078174395203</v>
      </c>
      <c r="AY54" s="15">
        <v>1998</v>
      </c>
      <c r="AZ54" s="15">
        <v>5</v>
      </c>
      <c r="BA54" s="15">
        <v>39703.714794141502</v>
      </c>
      <c r="BC54" s="15">
        <v>1998</v>
      </c>
      <c r="BD54" s="15">
        <v>5</v>
      </c>
      <c r="BE54" s="15">
        <v>39710.7829819213</v>
      </c>
      <c r="BG54" s="15">
        <v>1998</v>
      </c>
      <c r="BH54" s="15">
        <v>5</v>
      </c>
      <c r="BI54" s="15">
        <v>39702.316416411697</v>
      </c>
    </row>
    <row r="55" spans="1:61" x14ac:dyDescent="0.25">
      <c r="A55" s="10">
        <v>1998</v>
      </c>
      <c r="B55" s="10">
        <v>6</v>
      </c>
      <c r="C55" s="11">
        <v>41416.486494726101</v>
      </c>
      <c r="G55" s="7">
        <v>1998</v>
      </c>
      <c r="H55" s="7">
        <v>3</v>
      </c>
      <c r="I55" s="13">
        <v>39349.175249930202</v>
      </c>
      <c r="L55" s="10">
        <v>1998</v>
      </c>
      <c r="M55" s="10">
        <v>6</v>
      </c>
      <c r="N55" s="18">
        <v>41546.029648067401</v>
      </c>
      <c r="Q55" s="15">
        <v>1998</v>
      </c>
      <c r="R55" s="15">
        <v>6</v>
      </c>
      <c r="S55" s="15">
        <v>41505.950501060899</v>
      </c>
      <c r="U55" s="15">
        <v>1998</v>
      </c>
      <c r="V55" s="15">
        <v>6</v>
      </c>
      <c r="W55" s="15">
        <v>41383.222342697503</v>
      </c>
      <c r="Z55" s="15">
        <v>1998</v>
      </c>
      <c r="AA55" s="15">
        <v>6</v>
      </c>
      <c r="AB55" s="15">
        <v>41390.063709916103</v>
      </c>
      <c r="AD55" s="18">
        <v>1998</v>
      </c>
      <c r="AE55" s="18">
        <v>6</v>
      </c>
      <c r="AF55" s="18">
        <v>41378.328368504503</v>
      </c>
      <c r="AH55" s="10">
        <v>1998</v>
      </c>
      <c r="AI55" s="10">
        <v>6</v>
      </c>
      <c r="AJ55" s="18">
        <v>41382.5928982232</v>
      </c>
      <c r="AL55" s="15">
        <v>1998</v>
      </c>
      <c r="AM55" s="15">
        <v>6</v>
      </c>
      <c r="AN55" s="15">
        <v>41383.405395344103</v>
      </c>
      <c r="AQ55" s="18">
        <v>1998</v>
      </c>
      <c r="AR55" s="18">
        <v>6</v>
      </c>
      <c r="AS55" s="18">
        <v>41367.087494569801</v>
      </c>
      <c r="AU55" s="10">
        <v>1998</v>
      </c>
      <c r="AV55" s="10">
        <v>6</v>
      </c>
      <c r="AW55" s="15">
        <v>41342.445365446503</v>
      </c>
      <c r="AY55" s="15">
        <v>1998</v>
      </c>
      <c r="AZ55" s="15">
        <v>6</v>
      </c>
      <c r="BA55" s="15">
        <v>41348.8973973924</v>
      </c>
      <c r="BC55" s="15">
        <v>1998</v>
      </c>
      <c r="BD55" s="15">
        <v>6</v>
      </c>
      <c r="BE55" s="15">
        <v>41343.245342584101</v>
      </c>
      <c r="BG55" s="15">
        <v>1998</v>
      </c>
      <c r="BH55" s="15">
        <v>6</v>
      </c>
      <c r="BI55" s="15">
        <v>41349.596799459003</v>
      </c>
    </row>
    <row r="56" spans="1:61" x14ac:dyDescent="0.25">
      <c r="A56" s="10">
        <v>1998</v>
      </c>
      <c r="B56" s="10">
        <v>7</v>
      </c>
      <c r="C56" s="11">
        <v>39474.991213417299</v>
      </c>
      <c r="G56" s="7">
        <v>1998</v>
      </c>
      <c r="H56" s="7">
        <v>4</v>
      </c>
      <c r="I56" s="13">
        <v>40301.732705454699</v>
      </c>
      <c r="L56" s="10">
        <v>1998</v>
      </c>
      <c r="M56" s="10">
        <v>7</v>
      </c>
      <c r="N56" s="18">
        <v>39615.119712663101</v>
      </c>
      <c r="Q56" s="15">
        <v>1998</v>
      </c>
      <c r="R56" s="15">
        <v>7</v>
      </c>
      <c r="S56" s="15">
        <v>39572.133816144</v>
      </c>
      <c r="U56" s="15">
        <v>1998</v>
      </c>
      <c r="V56" s="15">
        <v>7</v>
      </c>
      <c r="W56" s="15">
        <v>39426.282702981698</v>
      </c>
      <c r="Z56" s="15">
        <v>1998</v>
      </c>
      <c r="AA56" s="15">
        <v>7</v>
      </c>
      <c r="AB56" s="15">
        <v>39434.548037474597</v>
      </c>
      <c r="AD56" s="18">
        <v>1998</v>
      </c>
      <c r="AE56" s="18">
        <v>7</v>
      </c>
      <c r="AF56" s="18">
        <v>39416.1370042044</v>
      </c>
      <c r="AH56" s="10">
        <v>1998</v>
      </c>
      <c r="AI56" s="10">
        <v>7</v>
      </c>
      <c r="AJ56" s="18">
        <v>39421.197422803903</v>
      </c>
      <c r="AL56" s="15">
        <v>1998</v>
      </c>
      <c r="AM56" s="15">
        <v>7</v>
      </c>
      <c r="AN56" s="15">
        <v>39422.1019938096</v>
      </c>
      <c r="AQ56" s="18">
        <v>1998</v>
      </c>
      <c r="AR56" s="18">
        <v>7</v>
      </c>
      <c r="AS56" s="18">
        <v>39402.623351612099</v>
      </c>
      <c r="AU56" s="10">
        <v>1998</v>
      </c>
      <c r="AV56" s="10">
        <v>7</v>
      </c>
      <c r="AW56" s="15">
        <v>39373.1688711272</v>
      </c>
      <c r="AY56" s="15">
        <v>1998</v>
      </c>
      <c r="AZ56" s="15">
        <v>7</v>
      </c>
      <c r="BA56" s="15">
        <v>39380.990590872701</v>
      </c>
      <c r="BC56" s="15">
        <v>1998</v>
      </c>
      <c r="BD56" s="15">
        <v>7</v>
      </c>
      <c r="BE56" s="15">
        <v>39374.272958253401</v>
      </c>
      <c r="BG56" s="15">
        <v>1998</v>
      </c>
      <c r="BH56" s="15">
        <v>7</v>
      </c>
      <c r="BI56" s="15">
        <v>39381.904102997803</v>
      </c>
    </row>
    <row r="57" spans="1:61" x14ac:dyDescent="0.25">
      <c r="A57" s="10">
        <v>1998</v>
      </c>
      <c r="B57" s="10">
        <v>8</v>
      </c>
      <c r="C57" s="11">
        <v>44538.024304717401</v>
      </c>
      <c r="G57" s="7">
        <v>1998</v>
      </c>
      <c r="H57" s="7">
        <v>5</v>
      </c>
      <c r="I57" s="13">
        <v>39603.7539085182</v>
      </c>
      <c r="L57" s="10">
        <v>1998</v>
      </c>
      <c r="M57" s="10">
        <v>8</v>
      </c>
      <c r="N57" s="18">
        <v>44579.476561980598</v>
      </c>
      <c r="Q57" s="15">
        <v>1998</v>
      </c>
      <c r="R57" s="15">
        <v>8</v>
      </c>
      <c r="S57" s="15">
        <v>44556.691585430301</v>
      </c>
      <c r="U57" s="15">
        <v>1998</v>
      </c>
      <c r="V57" s="15">
        <v>8</v>
      </c>
      <c r="W57" s="15">
        <v>44596.555840947301</v>
      </c>
      <c r="Z57" s="15">
        <v>1998</v>
      </c>
      <c r="AA57" s="15">
        <v>8</v>
      </c>
      <c r="AB57" s="15">
        <v>44587.5384722784</v>
      </c>
      <c r="AD57" s="18">
        <v>1998</v>
      </c>
      <c r="AE57" s="18">
        <v>8</v>
      </c>
      <c r="AF57" s="18">
        <v>44586.638247941803</v>
      </c>
      <c r="AH57" s="10">
        <v>1998</v>
      </c>
      <c r="AI57" s="10">
        <v>8</v>
      </c>
      <c r="AJ57" s="18">
        <v>44581.487065333902</v>
      </c>
      <c r="AL57" s="15">
        <v>1998</v>
      </c>
      <c r="AM57" s="15">
        <v>8</v>
      </c>
      <c r="AN57" s="15">
        <v>44580.843158297699</v>
      </c>
      <c r="AQ57" s="18">
        <v>1998</v>
      </c>
      <c r="AR57" s="18">
        <v>8</v>
      </c>
      <c r="AS57" s="18">
        <v>44601.129579939203</v>
      </c>
      <c r="AU57" s="10">
        <v>1998</v>
      </c>
      <c r="AV57" s="10">
        <v>8</v>
      </c>
      <c r="AW57" s="15">
        <v>44632.402713683601</v>
      </c>
      <c r="AY57" s="15">
        <v>1998</v>
      </c>
      <c r="AZ57" s="15">
        <v>8</v>
      </c>
      <c r="BA57" s="15">
        <v>44623.039479862797</v>
      </c>
      <c r="BC57" s="15">
        <v>1998</v>
      </c>
      <c r="BD57" s="15">
        <v>8</v>
      </c>
      <c r="BE57" s="15">
        <v>44629.7511935519</v>
      </c>
      <c r="BG57" s="15">
        <v>1998</v>
      </c>
      <c r="BH57" s="15">
        <v>8</v>
      </c>
      <c r="BI57" s="15">
        <v>44621.619767103097</v>
      </c>
    </row>
    <row r="58" spans="1:61" x14ac:dyDescent="0.25">
      <c r="A58" s="10">
        <v>1998</v>
      </c>
      <c r="B58" s="10">
        <v>9</v>
      </c>
      <c r="C58" s="11">
        <v>40310.634652594497</v>
      </c>
      <c r="G58" s="7">
        <v>1998</v>
      </c>
      <c r="H58" s="7">
        <v>6</v>
      </c>
      <c r="I58" s="13">
        <v>41359.509313157403</v>
      </c>
      <c r="L58" s="10">
        <v>1998</v>
      </c>
      <c r="M58" s="10">
        <v>9</v>
      </c>
      <c r="N58" s="18">
        <v>40362.801400035198</v>
      </c>
      <c r="Q58" s="15">
        <v>1998</v>
      </c>
      <c r="R58" s="15">
        <v>9</v>
      </c>
      <c r="S58" s="15">
        <v>40262.769372436604</v>
      </c>
      <c r="U58" s="15">
        <v>1998</v>
      </c>
      <c r="V58" s="15">
        <v>9</v>
      </c>
      <c r="W58" s="15">
        <v>40184.786507789198</v>
      </c>
      <c r="Z58" s="15">
        <v>1998</v>
      </c>
      <c r="AA58" s="15">
        <v>9</v>
      </c>
      <c r="AB58" s="15">
        <v>40203.893593501198</v>
      </c>
      <c r="AD58" s="18">
        <v>1998</v>
      </c>
      <c r="AE58" s="18">
        <v>9</v>
      </c>
      <c r="AF58" s="18">
        <v>40161.079309337802</v>
      </c>
      <c r="AH58" s="10">
        <v>1998</v>
      </c>
      <c r="AI58" s="10">
        <v>9</v>
      </c>
      <c r="AJ58" s="18">
        <v>40171.585074425398</v>
      </c>
      <c r="AL58" s="15">
        <v>1998</v>
      </c>
      <c r="AM58" s="15">
        <v>9</v>
      </c>
      <c r="AN58" s="15">
        <v>40173.4532340105</v>
      </c>
      <c r="AQ58" s="18">
        <v>1998</v>
      </c>
      <c r="AR58" s="18">
        <v>9</v>
      </c>
      <c r="AS58" s="18">
        <v>40132.989298061497</v>
      </c>
      <c r="AU58" s="10">
        <v>1998</v>
      </c>
      <c r="AV58" s="10">
        <v>9</v>
      </c>
      <c r="AW58" s="15">
        <v>40071.1990660722</v>
      </c>
      <c r="AY58" s="15">
        <v>1998</v>
      </c>
      <c r="AZ58" s="15">
        <v>9</v>
      </c>
      <c r="BA58" s="15">
        <v>40088.163704180297</v>
      </c>
      <c r="BC58" s="15">
        <v>1998</v>
      </c>
      <c r="BD58" s="15">
        <v>9</v>
      </c>
      <c r="BE58" s="15">
        <v>40074.328613645499</v>
      </c>
      <c r="BG58" s="15">
        <v>1998</v>
      </c>
      <c r="BH58" s="15">
        <v>9</v>
      </c>
      <c r="BI58" s="15">
        <v>40090.4132146224</v>
      </c>
    </row>
    <row r="59" spans="1:61" x14ac:dyDescent="0.25">
      <c r="A59" s="10">
        <v>1998</v>
      </c>
      <c r="B59" s="10">
        <v>10</v>
      </c>
      <c r="C59" s="11">
        <v>34516.567263508499</v>
      </c>
      <c r="G59" s="7">
        <v>1998</v>
      </c>
      <c r="H59" s="7">
        <v>7</v>
      </c>
      <c r="I59" s="13">
        <v>39405.342782383297</v>
      </c>
      <c r="L59" s="10">
        <v>1998</v>
      </c>
      <c r="M59" s="10">
        <v>10</v>
      </c>
      <c r="N59" s="18">
        <v>34553.348871679496</v>
      </c>
      <c r="Q59" s="15">
        <v>1998</v>
      </c>
      <c r="R59" s="15">
        <v>10</v>
      </c>
      <c r="S59" s="15">
        <v>34522.421344565701</v>
      </c>
      <c r="U59" s="15">
        <v>1998</v>
      </c>
      <c r="V59" s="15">
        <v>10</v>
      </c>
      <c r="W59" s="15">
        <v>34494.640186029901</v>
      </c>
      <c r="Z59" s="15">
        <v>1998</v>
      </c>
      <c r="AA59" s="15">
        <v>10</v>
      </c>
      <c r="AB59" s="15">
        <v>34495.503963502102</v>
      </c>
      <c r="AD59" s="18">
        <v>1998</v>
      </c>
      <c r="AE59" s="18">
        <v>10</v>
      </c>
      <c r="AF59" s="18">
        <v>34483.792308089302</v>
      </c>
      <c r="AH59" s="10">
        <v>1998</v>
      </c>
      <c r="AI59" s="10">
        <v>10</v>
      </c>
      <c r="AJ59" s="18">
        <v>34484.329468212301</v>
      </c>
      <c r="AL59" s="15">
        <v>1998</v>
      </c>
      <c r="AM59" s="15">
        <v>10</v>
      </c>
      <c r="AN59" s="15">
        <v>34484.447795337597</v>
      </c>
      <c r="AQ59" s="18">
        <v>1998</v>
      </c>
      <c r="AR59" s="18">
        <v>10</v>
      </c>
      <c r="AS59" s="18">
        <v>34482.332566796802</v>
      </c>
      <c r="AU59" s="10">
        <v>1998</v>
      </c>
      <c r="AV59" s="10">
        <v>10</v>
      </c>
      <c r="AW59" s="15">
        <v>34478.967427477903</v>
      </c>
      <c r="AY59" s="15">
        <v>1998</v>
      </c>
      <c r="AZ59" s="15">
        <v>10</v>
      </c>
      <c r="BA59" s="15">
        <v>34479.720005111099</v>
      </c>
      <c r="BC59" s="15">
        <v>1998</v>
      </c>
      <c r="BD59" s="15">
        <v>10</v>
      </c>
      <c r="BE59" s="15">
        <v>34478.8534411</v>
      </c>
      <c r="BG59" s="15">
        <v>1998</v>
      </c>
      <c r="BH59" s="15">
        <v>10</v>
      </c>
      <c r="BI59" s="15">
        <v>34479.785237053002</v>
      </c>
    </row>
    <row r="60" spans="1:61" x14ac:dyDescent="0.25">
      <c r="A60" s="10">
        <v>1998</v>
      </c>
      <c r="B60" s="10">
        <v>11</v>
      </c>
      <c r="C60" s="11">
        <v>28744.052807195199</v>
      </c>
      <c r="G60" s="7">
        <v>1998</v>
      </c>
      <c r="H60" s="7">
        <v>8</v>
      </c>
      <c r="I60" s="13">
        <v>44554.808194012403</v>
      </c>
      <c r="L60" s="10">
        <v>1998</v>
      </c>
      <c r="M60" s="10">
        <v>11</v>
      </c>
      <c r="N60" s="18">
        <v>28532.054164942099</v>
      </c>
      <c r="Q60" s="15">
        <v>1998</v>
      </c>
      <c r="R60" s="15">
        <v>11</v>
      </c>
      <c r="S60" s="15">
        <v>28797.041708574601</v>
      </c>
      <c r="U60" s="15">
        <v>1998</v>
      </c>
      <c r="V60" s="15">
        <v>11</v>
      </c>
      <c r="W60" s="15">
        <v>28658.694427935799</v>
      </c>
      <c r="Z60" s="15">
        <v>1998</v>
      </c>
      <c r="AA60" s="15">
        <v>11</v>
      </c>
      <c r="AB60" s="15">
        <v>28641.029828918701</v>
      </c>
      <c r="AD60" s="18">
        <v>1998</v>
      </c>
      <c r="AE60" s="18">
        <v>11</v>
      </c>
      <c r="AF60" s="18">
        <v>28644.811272969298</v>
      </c>
      <c r="AH60" s="10">
        <v>1998</v>
      </c>
      <c r="AI60" s="10">
        <v>11</v>
      </c>
      <c r="AJ60" s="18">
        <v>28635.216295411301</v>
      </c>
      <c r="AL60" s="15">
        <v>1998</v>
      </c>
      <c r="AM60" s="15">
        <v>11</v>
      </c>
      <c r="AN60" s="15">
        <v>28631.6722619131</v>
      </c>
      <c r="AQ60" s="18">
        <v>1998</v>
      </c>
      <c r="AR60" s="18">
        <v>11</v>
      </c>
      <c r="AS60" s="18">
        <v>28665.4702591645</v>
      </c>
      <c r="AU60" s="10">
        <v>1998</v>
      </c>
      <c r="AV60" s="10">
        <v>11</v>
      </c>
      <c r="AW60" s="15">
        <v>28718.3648241755</v>
      </c>
      <c r="AY60" s="15">
        <v>1998</v>
      </c>
      <c r="AZ60" s="15">
        <v>11</v>
      </c>
      <c r="BA60" s="15">
        <v>28706.3820569364</v>
      </c>
      <c r="BC60" s="15">
        <v>1998</v>
      </c>
      <c r="BD60" s="15">
        <v>11</v>
      </c>
      <c r="BE60" s="15">
        <v>28719.181628245002</v>
      </c>
      <c r="BG60" s="15">
        <v>1998</v>
      </c>
      <c r="BH60" s="15">
        <v>11</v>
      </c>
      <c r="BI60" s="15">
        <v>28705.926174912202</v>
      </c>
    </row>
    <row r="61" spans="1:61" x14ac:dyDescent="0.25">
      <c r="A61" s="10">
        <v>1998</v>
      </c>
      <c r="B61" s="10">
        <v>12</v>
      </c>
      <c r="C61" s="11">
        <v>16305.9639703622</v>
      </c>
      <c r="G61" s="7">
        <v>1998</v>
      </c>
      <c r="H61" s="7">
        <v>9</v>
      </c>
      <c r="I61" s="13">
        <v>39929.055878990002</v>
      </c>
      <c r="L61" s="10">
        <v>1998</v>
      </c>
      <c r="M61" s="10">
        <v>12</v>
      </c>
      <c r="N61" s="18">
        <v>16258.0081083803</v>
      </c>
      <c r="Q61" s="15">
        <v>1998</v>
      </c>
      <c r="R61" s="15">
        <v>12</v>
      </c>
      <c r="S61" s="15">
        <v>16410.005049707099</v>
      </c>
      <c r="U61" s="15">
        <v>1998</v>
      </c>
      <c r="V61" s="15">
        <v>12</v>
      </c>
      <c r="W61" s="15">
        <v>16143.4995942854</v>
      </c>
      <c r="Z61" s="15">
        <v>1998</v>
      </c>
      <c r="AA61" s="15">
        <v>12</v>
      </c>
      <c r="AB61" s="15">
        <v>16155.1754420575</v>
      </c>
      <c r="AD61" s="18">
        <v>1998</v>
      </c>
      <c r="AE61" s="18">
        <v>12</v>
      </c>
      <c r="AF61" s="18">
        <v>16131.280107128099</v>
      </c>
      <c r="AH61" s="10">
        <v>1998</v>
      </c>
      <c r="AI61" s="10">
        <v>12</v>
      </c>
      <c r="AJ61" s="18">
        <v>16138.808477889601</v>
      </c>
      <c r="AL61" s="15">
        <v>1998</v>
      </c>
      <c r="AM61" s="15">
        <v>12</v>
      </c>
      <c r="AN61" s="15">
        <v>16139.4045350668</v>
      </c>
      <c r="AQ61" s="18">
        <v>1998</v>
      </c>
      <c r="AR61" s="18">
        <v>12</v>
      </c>
      <c r="AS61" s="18">
        <v>16109.056747205101</v>
      </c>
      <c r="AU61" s="10">
        <v>1998</v>
      </c>
      <c r="AV61" s="10">
        <v>12</v>
      </c>
      <c r="AW61" s="15">
        <v>16062.625559185</v>
      </c>
      <c r="AY61" s="15">
        <v>1998</v>
      </c>
      <c r="AZ61" s="15">
        <v>12</v>
      </c>
      <c r="BA61" s="15">
        <v>16076.292806081799</v>
      </c>
      <c r="BC61" s="15">
        <v>1998</v>
      </c>
      <c r="BD61" s="15">
        <v>12</v>
      </c>
      <c r="BE61" s="15">
        <v>16066.0906019427</v>
      </c>
      <c r="BG61" s="15">
        <v>1998</v>
      </c>
      <c r="BH61" s="15">
        <v>12</v>
      </c>
      <c r="BI61" s="15">
        <v>16078.3032077894</v>
      </c>
    </row>
    <row r="62" spans="1:61" x14ac:dyDescent="0.25">
      <c r="A62" s="10">
        <v>1999</v>
      </c>
      <c r="B62" s="10">
        <v>1</v>
      </c>
      <c r="C62" s="11">
        <v>24584.0222652792</v>
      </c>
      <c r="G62" s="7">
        <v>1998</v>
      </c>
      <c r="H62" s="7">
        <v>10</v>
      </c>
      <c r="I62" s="13">
        <v>34451.325388473801</v>
      </c>
      <c r="L62" s="10">
        <v>1999</v>
      </c>
      <c r="M62" s="10">
        <v>1</v>
      </c>
      <c r="N62" s="18">
        <v>24375.9308181983</v>
      </c>
      <c r="Q62" s="15">
        <v>1999</v>
      </c>
      <c r="R62" s="15">
        <v>1</v>
      </c>
      <c r="S62" s="15">
        <v>24385.775023435101</v>
      </c>
      <c r="U62" s="15">
        <v>1999</v>
      </c>
      <c r="V62" s="15">
        <v>1</v>
      </c>
      <c r="W62" s="15">
        <v>24863.9402853707</v>
      </c>
      <c r="Z62" s="15">
        <v>1999</v>
      </c>
      <c r="AA62" s="15">
        <v>1</v>
      </c>
      <c r="AB62" s="15">
        <v>24842.9007732758</v>
      </c>
      <c r="AD62" s="18">
        <v>1999</v>
      </c>
      <c r="AE62" s="18">
        <v>1</v>
      </c>
      <c r="AF62" s="18">
        <v>24917.199703953898</v>
      </c>
      <c r="AH62" s="10">
        <v>1999</v>
      </c>
      <c r="AI62" s="10">
        <v>1</v>
      </c>
      <c r="AJ62" s="18">
        <v>24900.7379270249</v>
      </c>
      <c r="AL62" s="15">
        <v>1999</v>
      </c>
      <c r="AM62" s="15">
        <v>1</v>
      </c>
      <c r="AN62" s="15">
        <v>24901.863269766</v>
      </c>
      <c r="AQ62" s="18">
        <v>1999</v>
      </c>
      <c r="AR62" s="18">
        <v>1</v>
      </c>
      <c r="AS62" s="18">
        <v>24972.4529687426</v>
      </c>
      <c r="AU62" s="10">
        <v>1999</v>
      </c>
      <c r="AV62" s="10">
        <v>1</v>
      </c>
      <c r="AW62" s="15">
        <v>25077.037700446501</v>
      </c>
      <c r="AY62" s="15">
        <v>1999</v>
      </c>
      <c r="AZ62" s="15">
        <v>1</v>
      </c>
      <c r="BA62" s="15">
        <v>25045.008002622199</v>
      </c>
      <c r="BC62" s="15">
        <v>1999</v>
      </c>
      <c r="BD62" s="15">
        <v>1</v>
      </c>
      <c r="BE62" s="15">
        <v>25067.776658216</v>
      </c>
      <c r="BG62" s="15">
        <v>1999</v>
      </c>
      <c r="BH62" s="15">
        <v>1</v>
      </c>
      <c r="BI62" s="15">
        <v>25039.829233753499</v>
      </c>
    </row>
    <row r="63" spans="1:61" x14ac:dyDescent="0.25">
      <c r="A63" s="10">
        <v>1999</v>
      </c>
      <c r="B63" s="10">
        <v>2</v>
      </c>
      <c r="C63" s="11">
        <v>21030.048291584</v>
      </c>
      <c r="G63" s="7">
        <v>1998</v>
      </c>
      <c r="H63" s="7">
        <v>11</v>
      </c>
      <c r="I63" s="13">
        <v>28810.476946008901</v>
      </c>
      <c r="L63" s="10">
        <v>1999</v>
      </c>
      <c r="M63" s="10">
        <v>2</v>
      </c>
      <c r="N63" s="18">
        <v>21336.195295971698</v>
      </c>
      <c r="Q63" s="15">
        <v>1999</v>
      </c>
      <c r="R63" s="15">
        <v>2</v>
      </c>
      <c r="S63" s="15">
        <v>20963.299801670601</v>
      </c>
      <c r="U63" s="15">
        <v>1999</v>
      </c>
      <c r="V63" s="15">
        <v>2</v>
      </c>
      <c r="W63" s="15">
        <v>21777.0022254629</v>
      </c>
      <c r="Z63" s="15">
        <v>1999</v>
      </c>
      <c r="AA63" s="15">
        <v>2</v>
      </c>
      <c r="AB63" s="15">
        <v>21798.789383554598</v>
      </c>
      <c r="AD63" s="18">
        <v>1999</v>
      </c>
      <c r="AE63" s="18">
        <v>2</v>
      </c>
      <c r="AF63" s="18">
        <v>21912.7097549422</v>
      </c>
      <c r="AH63" s="10">
        <v>1999</v>
      </c>
      <c r="AI63" s="10">
        <v>2</v>
      </c>
      <c r="AJ63" s="18">
        <v>21914.707036896401</v>
      </c>
      <c r="AL63" s="15">
        <v>1999</v>
      </c>
      <c r="AM63" s="15">
        <v>2</v>
      </c>
      <c r="AN63" s="15">
        <v>21923.5260956368</v>
      </c>
      <c r="AQ63" s="18">
        <v>1999</v>
      </c>
      <c r="AR63" s="18">
        <v>2</v>
      </c>
      <c r="AS63" s="18">
        <v>21928.959160961</v>
      </c>
      <c r="AU63" s="10">
        <v>1999</v>
      </c>
      <c r="AV63" s="10">
        <v>2</v>
      </c>
      <c r="AW63" s="15">
        <v>21925.974327521399</v>
      </c>
      <c r="AY63" s="15">
        <v>1999</v>
      </c>
      <c r="AZ63" s="15">
        <v>2</v>
      </c>
      <c r="BA63" s="15">
        <v>21921.757764397898</v>
      </c>
      <c r="BC63" s="15">
        <v>1999</v>
      </c>
      <c r="BD63" s="15">
        <v>2</v>
      </c>
      <c r="BE63" s="15">
        <v>21919.822171062999</v>
      </c>
      <c r="BG63" s="15">
        <v>1999</v>
      </c>
      <c r="BH63" s="15">
        <v>2</v>
      </c>
      <c r="BI63" s="15">
        <v>21918.821130170702</v>
      </c>
    </row>
    <row r="64" spans="1:61" x14ac:dyDescent="0.25">
      <c r="A64" s="10">
        <v>1999</v>
      </c>
      <c r="B64" s="10">
        <v>3</v>
      </c>
      <c r="C64" s="11">
        <v>18489.4024690562</v>
      </c>
      <c r="G64" s="7">
        <v>1998</v>
      </c>
      <c r="H64" s="7">
        <v>12</v>
      </c>
      <c r="I64" s="13">
        <v>15515.276633199601</v>
      </c>
      <c r="L64" s="10">
        <v>1999</v>
      </c>
      <c r="M64" s="10">
        <v>3</v>
      </c>
      <c r="N64" s="18">
        <v>18540.542060141299</v>
      </c>
      <c r="Q64" s="15">
        <v>1999</v>
      </c>
      <c r="R64" s="15">
        <v>3</v>
      </c>
      <c r="S64" s="15">
        <v>18492.428137221599</v>
      </c>
      <c r="U64" s="15">
        <v>1999</v>
      </c>
      <c r="V64" s="15">
        <v>3</v>
      </c>
      <c r="W64" s="15">
        <v>18443.391411297001</v>
      </c>
      <c r="Z64" s="15">
        <v>1999</v>
      </c>
      <c r="AA64" s="15">
        <v>3</v>
      </c>
      <c r="AB64" s="15">
        <v>18457.299150955499</v>
      </c>
      <c r="AD64" s="18">
        <v>1999</v>
      </c>
      <c r="AE64" s="18">
        <v>3</v>
      </c>
      <c r="AF64" s="18">
        <v>18446.034871846401</v>
      </c>
      <c r="AH64" s="10">
        <v>1999</v>
      </c>
      <c r="AI64" s="10">
        <v>3</v>
      </c>
      <c r="AJ64" s="18">
        <v>18453.380211803898</v>
      </c>
      <c r="AL64" s="15">
        <v>1999</v>
      </c>
      <c r="AM64" s="15">
        <v>3</v>
      </c>
      <c r="AN64" s="15">
        <v>18455.319465419601</v>
      </c>
      <c r="AQ64" s="18">
        <v>1999</v>
      </c>
      <c r="AR64" s="18">
        <v>3</v>
      </c>
      <c r="AS64" s="18">
        <v>18427.935449498498</v>
      </c>
      <c r="AU64" s="10">
        <v>1999</v>
      </c>
      <c r="AV64" s="10">
        <v>3</v>
      </c>
      <c r="AW64" s="15">
        <v>18384.969471411401</v>
      </c>
      <c r="AY64" s="15">
        <v>1999</v>
      </c>
      <c r="AZ64" s="15">
        <v>3</v>
      </c>
      <c r="BA64" s="15">
        <v>18396.482193353499</v>
      </c>
      <c r="BC64" s="15">
        <v>1999</v>
      </c>
      <c r="BD64" s="15">
        <v>3</v>
      </c>
      <c r="BE64" s="15">
        <v>18386.753772054701</v>
      </c>
      <c r="BG64" s="15">
        <v>1999</v>
      </c>
      <c r="BH64" s="15">
        <v>3</v>
      </c>
      <c r="BI64" s="15">
        <v>18397.761854508499</v>
      </c>
    </row>
    <row r="65" spans="1:61" x14ac:dyDescent="0.25">
      <c r="A65" s="10">
        <v>1999</v>
      </c>
      <c r="B65" s="10">
        <v>4</v>
      </c>
      <c r="C65" s="11">
        <v>19003.2652033019</v>
      </c>
      <c r="G65" s="7">
        <v>1999</v>
      </c>
      <c r="H65" s="7">
        <v>1</v>
      </c>
      <c r="I65" s="13">
        <v>26295.595395589498</v>
      </c>
      <c r="L65" s="10">
        <v>1999</v>
      </c>
      <c r="M65" s="10">
        <v>4</v>
      </c>
      <c r="N65" s="18">
        <v>19059.424920588899</v>
      </c>
      <c r="Q65" s="15">
        <v>1999</v>
      </c>
      <c r="R65" s="15">
        <v>4</v>
      </c>
      <c r="S65" s="15">
        <v>19021.5654272424</v>
      </c>
      <c r="U65" s="15">
        <v>1999</v>
      </c>
      <c r="V65" s="15">
        <v>4</v>
      </c>
      <c r="W65" s="15">
        <v>18973.8969236624</v>
      </c>
      <c r="Z65" s="15">
        <v>1999</v>
      </c>
      <c r="AA65" s="15">
        <v>4</v>
      </c>
      <c r="AB65" s="15">
        <v>18983.0260267511</v>
      </c>
      <c r="AD65" s="18">
        <v>1999</v>
      </c>
      <c r="AE65" s="18">
        <v>4</v>
      </c>
      <c r="AF65" s="18">
        <v>18971.648059259602</v>
      </c>
      <c r="AH65" s="10">
        <v>1999</v>
      </c>
      <c r="AI65" s="10">
        <v>4</v>
      </c>
      <c r="AJ65" s="18">
        <v>18976.5341548576</v>
      </c>
      <c r="AL65" s="15">
        <v>1999</v>
      </c>
      <c r="AM65" s="15">
        <v>4</v>
      </c>
      <c r="AN65" s="15">
        <v>18977.855786722001</v>
      </c>
      <c r="AQ65" s="18">
        <v>1999</v>
      </c>
      <c r="AR65" s="18">
        <v>4</v>
      </c>
      <c r="AS65" s="18">
        <v>18959.698938184101</v>
      </c>
      <c r="AU65" s="10">
        <v>1999</v>
      </c>
      <c r="AV65" s="10">
        <v>4</v>
      </c>
      <c r="AW65" s="15">
        <v>18931.2768835438</v>
      </c>
      <c r="AY65" s="15">
        <v>1999</v>
      </c>
      <c r="AZ65" s="15">
        <v>4</v>
      </c>
      <c r="BA65" s="15">
        <v>18938.768927496301</v>
      </c>
      <c r="BC65" s="15">
        <v>1999</v>
      </c>
      <c r="BD65" s="15">
        <v>4</v>
      </c>
      <c r="BE65" s="15">
        <v>18932.281299804399</v>
      </c>
      <c r="BG65" s="15">
        <v>1999</v>
      </c>
      <c r="BH65" s="15">
        <v>4</v>
      </c>
      <c r="BI65" s="15">
        <v>18939.5434250256</v>
      </c>
    </row>
    <row r="66" spans="1:61" x14ac:dyDescent="0.25">
      <c r="A66" s="10">
        <v>1999</v>
      </c>
      <c r="B66" s="10">
        <v>5</v>
      </c>
      <c r="C66" s="11">
        <v>21876.255935237699</v>
      </c>
      <c r="G66" s="7">
        <v>1999</v>
      </c>
      <c r="H66" s="7">
        <v>2</v>
      </c>
      <c r="I66" s="13">
        <v>20871.775578606401</v>
      </c>
      <c r="L66" s="10">
        <v>1999</v>
      </c>
      <c r="M66" s="10">
        <v>5</v>
      </c>
      <c r="N66" s="18">
        <v>21864.421494402999</v>
      </c>
      <c r="Q66" s="15">
        <v>1999</v>
      </c>
      <c r="R66" s="15">
        <v>5</v>
      </c>
      <c r="S66" s="15">
        <v>21865.967408701901</v>
      </c>
      <c r="U66" s="15">
        <v>1999</v>
      </c>
      <c r="V66" s="15">
        <v>5</v>
      </c>
      <c r="W66" s="15">
        <v>21936.675757165802</v>
      </c>
      <c r="Z66" s="15">
        <v>1999</v>
      </c>
      <c r="AA66" s="15">
        <v>5</v>
      </c>
      <c r="AB66" s="15">
        <v>21926.257749103999</v>
      </c>
      <c r="AD66" s="18">
        <v>1999</v>
      </c>
      <c r="AE66" s="18">
        <v>5</v>
      </c>
      <c r="AF66" s="18">
        <v>21932.826568532601</v>
      </c>
      <c r="AH66" s="10">
        <v>1999</v>
      </c>
      <c r="AI66" s="10">
        <v>5</v>
      </c>
      <c r="AJ66" s="18">
        <v>21927.115911540499</v>
      </c>
      <c r="AL66" s="15">
        <v>1999</v>
      </c>
      <c r="AM66" s="15">
        <v>5</v>
      </c>
      <c r="AN66" s="15">
        <v>21926.174365380801</v>
      </c>
      <c r="AQ66" s="18">
        <v>1999</v>
      </c>
      <c r="AR66" s="18">
        <v>5</v>
      </c>
      <c r="AS66" s="18">
        <v>21948.277101080301</v>
      </c>
      <c r="AU66" s="10">
        <v>1999</v>
      </c>
      <c r="AV66" s="10">
        <v>5</v>
      </c>
      <c r="AW66" s="15">
        <v>21982.183311844899</v>
      </c>
      <c r="AY66" s="15">
        <v>1999</v>
      </c>
      <c r="AZ66" s="15">
        <v>5</v>
      </c>
      <c r="BA66" s="15">
        <v>21972.4852937633</v>
      </c>
      <c r="BC66" s="15">
        <v>1999</v>
      </c>
      <c r="BD66" s="15">
        <v>5</v>
      </c>
      <c r="BE66" s="15">
        <v>21979.897687377299</v>
      </c>
      <c r="BG66" s="15">
        <v>1999</v>
      </c>
      <c r="BH66" s="15">
        <v>5</v>
      </c>
      <c r="BI66" s="15">
        <v>21971.05775294</v>
      </c>
    </row>
    <row r="67" spans="1:61" x14ac:dyDescent="0.25">
      <c r="A67" s="10">
        <v>1999</v>
      </c>
      <c r="B67" s="10">
        <v>6</v>
      </c>
      <c r="C67" s="11">
        <v>21922.994916320102</v>
      </c>
      <c r="G67" s="7">
        <v>1999</v>
      </c>
      <c r="H67" s="7">
        <v>3</v>
      </c>
      <c r="I67" s="13">
        <v>18346.753088991201</v>
      </c>
      <c r="L67" s="10">
        <v>1999</v>
      </c>
      <c r="M67" s="10">
        <v>6</v>
      </c>
      <c r="N67" s="18">
        <v>22005.069014492401</v>
      </c>
      <c r="Q67" s="15">
        <v>1999</v>
      </c>
      <c r="R67" s="15">
        <v>6</v>
      </c>
      <c r="S67" s="15">
        <v>21977.449132953501</v>
      </c>
      <c r="U67" s="15">
        <v>1999</v>
      </c>
      <c r="V67" s="15">
        <v>6</v>
      </c>
      <c r="W67" s="15">
        <v>21874.494011053699</v>
      </c>
      <c r="Z67" s="15">
        <v>1999</v>
      </c>
      <c r="AA67" s="15">
        <v>6</v>
      </c>
      <c r="AB67" s="15">
        <v>21881.6877458257</v>
      </c>
      <c r="AD67" s="18">
        <v>1999</v>
      </c>
      <c r="AE67" s="18">
        <v>6</v>
      </c>
      <c r="AF67" s="18">
        <v>21863.829052266599</v>
      </c>
      <c r="AH67" s="10">
        <v>1999</v>
      </c>
      <c r="AI67" s="10">
        <v>6</v>
      </c>
      <c r="AJ67" s="18">
        <v>21868.108738381001</v>
      </c>
      <c r="AL67" s="15">
        <v>1999</v>
      </c>
      <c r="AM67" s="15">
        <v>6</v>
      </c>
      <c r="AN67" s="15">
        <v>21868.9188276758</v>
      </c>
      <c r="AQ67" s="18">
        <v>1999</v>
      </c>
      <c r="AR67" s="18">
        <v>6</v>
      </c>
      <c r="AS67" s="18">
        <v>21852.490301505699</v>
      </c>
      <c r="AU67" s="10">
        <v>1999</v>
      </c>
      <c r="AV67" s="10">
        <v>6</v>
      </c>
      <c r="AW67" s="15">
        <v>21827.477640978199</v>
      </c>
      <c r="AY67" s="15">
        <v>1999</v>
      </c>
      <c r="AZ67" s="15">
        <v>6</v>
      </c>
      <c r="BA67" s="15">
        <v>21834.153204191502</v>
      </c>
      <c r="BC67" s="15">
        <v>1999</v>
      </c>
      <c r="BD67" s="15">
        <v>6</v>
      </c>
      <c r="BE67" s="15">
        <v>21828.4607176264</v>
      </c>
      <c r="BG67" s="15">
        <v>1999</v>
      </c>
      <c r="BH67" s="15">
        <v>6</v>
      </c>
      <c r="BI67" s="15">
        <v>21834.9443953585</v>
      </c>
    </row>
    <row r="68" spans="1:61" x14ac:dyDescent="0.25">
      <c r="A68" s="10">
        <v>1999</v>
      </c>
      <c r="B68" s="10">
        <v>7</v>
      </c>
      <c r="C68" s="11">
        <v>22625.457348403899</v>
      </c>
      <c r="G68" s="7">
        <v>1999</v>
      </c>
      <c r="H68" s="7">
        <v>4</v>
      </c>
      <c r="I68" s="13">
        <v>18887.5113048534</v>
      </c>
      <c r="L68" s="10">
        <v>1999</v>
      </c>
      <c r="M68" s="10">
        <v>7</v>
      </c>
      <c r="N68" s="18">
        <v>22659.6926888405</v>
      </c>
      <c r="Q68" s="15">
        <v>1999</v>
      </c>
      <c r="R68" s="15">
        <v>7</v>
      </c>
      <c r="S68" s="15">
        <v>22653.409438892399</v>
      </c>
      <c r="U68" s="15">
        <v>1999</v>
      </c>
      <c r="V68" s="15">
        <v>7</v>
      </c>
      <c r="W68" s="15">
        <v>22615.511587492201</v>
      </c>
      <c r="Z68" s="15">
        <v>1999</v>
      </c>
      <c r="AA68" s="15">
        <v>7</v>
      </c>
      <c r="AB68" s="15">
        <v>22612.840758091901</v>
      </c>
      <c r="AD68" s="18">
        <v>1999</v>
      </c>
      <c r="AE68" s="18">
        <v>7</v>
      </c>
      <c r="AF68" s="18">
        <v>22597.324171766199</v>
      </c>
      <c r="AH68" s="10">
        <v>1999</v>
      </c>
      <c r="AI68" s="10">
        <v>7</v>
      </c>
      <c r="AJ68" s="18">
        <v>22596.237110612201</v>
      </c>
      <c r="AL68" s="15">
        <v>1999</v>
      </c>
      <c r="AM68" s="15">
        <v>7</v>
      </c>
      <c r="AN68" s="15">
        <v>22595.861576772699</v>
      </c>
      <c r="AQ68" s="18">
        <v>1999</v>
      </c>
      <c r="AR68" s="18">
        <v>7</v>
      </c>
      <c r="AS68" s="18">
        <v>22599.742003464198</v>
      </c>
      <c r="AU68" s="10">
        <v>1999</v>
      </c>
      <c r="AV68" s="10">
        <v>7</v>
      </c>
      <c r="AW68" s="15">
        <v>22606.228137286598</v>
      </c>
      <c r="AY68" s="15">
        <v>1999</v>
      </c>
      <c r="AZ68" s="15">
        <v>7</v>
      </c>
      <c r="BA68" s="15">
        <v>22604.203428792702</v>
      </c>
      <c r="BC68" s="15">
        <v>1999</v>
      </c>
      <c r="BD68" s="15">
        <v>7</v>
      </c>
      <c r="BE68" s="15">
        <v>22605.525421650102</v>
      </c>
      <c r="BG68" s="15">
        <v>1999</v>
      </c>
      <c r="BH68" s="15">
        <v>7</v>
      </c>
      <c r="BI68" s="15">
        <v>22603.9153471434</v>
      </c>
    </row>
    <row r="69" spans="1:61" x14ac:dyDescent="0.25">
      <c r="A69" s="10">
        <v>1999</v>
      </c>
      <c r="B69" s="10">
        <v>8</v>
      </c>
      <c r="C69" s="11">
        <v>25317.701538733301</v>
      </c>
      <c r="G69" s="7">
        <v>1999</v>
      </c>
      <c r="H69" s="7">
        <v>5</v>
      </c>
      <c r="I69" s="13">
        <v>21857.170844553501</v>
      </c>
      <c r="L69" s="10">
        <v>1999</v>
      </c>
      <c r="M69" s="10">
        <v>8</v>
      </c>
      <c r="N69" s="18">
        <v>25358.828543326901</v>
      </c>
      <c r="Q69" s="15">
        <v>1999</v>
      </c>
      <c r="R69" s="15">
        <v>8</v>
      </c>
      <c r="S69" s="15">
        <v>25330.562951402298</v>
      </c>
      <c r="U69" s="15">
        <v>1999</v>
      </c>
      <c r="V69" s="15">
        <v>8</v>
      </c>
      <c r="W69" s="15">
        <v>25301.565435717599</v>
      </c>
      <c r="Z69" s="15">
        <v>1999</v>
      </c>
      <c r="AA69" s="15">
        <v>8</v>
      </c>
      <c r="AB69" s="15">
        <v>25303.085675358201</v>
      </c>
      <c r="AD69" s="18">
        <v>1999</v>
      </c>
      <c r="AE69" s="18">
        <v>8</v>
      </c>
      <c r="AF69" s="18">
        <v>25277.258830159699</v>
      </c>
      <c r="AH69" s="10">
        <v>1999</v>
      </c>
      <c r="AI69" s="10">
        <v>8</v>
      </c>
      <c r="AJ69" s="18">
        <v>25277.763065081399</v>
      </c>
      <c r="AL69" s="15">
        <v>1999</v>
      </c>
      <c r="AM69" s="15">
        <v>8</v>
      </c>
      <c r="AN69" s="15">
        <v>25278.231026926002</v>
      </c>
      <c r="AQ69" s="18">
        <v>1999</v>
      </c>
      <c r="AR69" s="18">
        <v>8</v>
      </c>
      <c r="AS69" s="18">
        <v>25276.875936143399</v>
      </c>
      <c r="AU69" s="10">
        <v>1999</v>
      </c>
      <c r="AV69" s="10">
        <v>8</v>
      </c>
      <c r="AW69" s="15">
        <v>25275.114679776401</v>
      </c>
      <c r="AY69" s="15">
        <v>1999</v>
      </c>
      <c r="AZ69" s="15">
        <v>8</v>
      </c>
      <c r="BA69" s="15">
        <v>25274.727271801399</v>
      </c>
      <c r="BC69" s="15">
        <v>1999</v>
      </c>
      <c r="BD69" s="15">
        <v>8</v>
      </c>
      <c r="BE69" s="15">
        <v>25274.048593573199</v>
      </c>
      <c r="BG69" s="15">
        <v>1999</v>
      </c>
      <c r="BH69" s="15">
        <v>8</v>
      </c>
      <c r="BI69" s="15">
        <v>25274.583971578701</v>
      </c>
    </row>
    <row r="70" spans="1:61" x14ac:dyDescent="0.25">
      <c r="A70" s="10">
        <v>1999</v>
      </c>
      <c r="B70" s="10">
        <v>9</v>
      </c>
      <c r="C70" s="11">
        <v>25138.0443195847</v>
      </c>
      <c r="G70" s="7">
        <v>1999</v>
      </c>
      <c r="H70" s="7">
        <v>6</v>
      </c>
      <c r="I70" s="13">
        <v>21824.864807445701</v>
      </c>
      <c r="L70" s="10">
        <v>1999</v>
      </c>
      <c r="M70" s="10">
        <v>9</v>
      </c>
      <c r="N70" s="18">
        <v>25151.0098096572</v>
      </c>
      <c r="Q70" s="15">
        <v>1999</v>
      </c>
      <c r="R70" s="15">
        <v>9</v>
      </c>
      <c r="S70" s="15">
        <v>25070.316087382998</v>
      </c>
      <c r="U70" s="15">
        <v>1999</v>
      </c>
      <c r="V70" s="15">
        <v>9</v>
      </c>
      <c r="W70" s="15">
        <v>24976.1178811711</v>
      </c>
      <c r="Z70" s="15">
        <v>1999</v>
      </c>
      <c r="AA70" s="15">
        <v>9</v>
      </c>
      <c r="AB70" s="15">
        <v>24995.482352705199</v>
      </c>
      <c r="AD70" s="18">
        <v>1999</v>
      </c>
      <c r="AE70" s="18">
        <v>9</v>
      </c>
      <c r="AF70" s="18">
        <v>24936.730342478098</v>
      </c>
      <c r="AH70" s="10">
        <v>1999</v>
      </c>
      <c r="AI70" s="10">
        <v>9</v>
      </c>
      <c r="AJ70" s="18">
        <v>24947.509227676499</v>
      </c>
      <c r="AL70" s="15">
        <v>1999</v>
      </c>
      <c r="AM70" s="15">
        <v>9</v>
      </c>
      <c r="AN70" s="15">
        <v>24949.147956210301</v>
      </c>
      <c r="AQ70" s="18">
        <v>1999</v>
      </c>
      <c r="AR70" s="18">
        <v>9</v>
      </c>
      <c r="AS70" s="18">
        <v>24907.1734154308</v>
      </c>
      <c r="AU70" s="10">
        <v>1999</v>
      </c>
      <c r="AV70" s="10">
        <v>9</v>
      </c>
      <c r="AW70" s="15">
        <v>24843.566779282901</v>
      </c>
      <c r="AY70" s="15">
        <v>1999</v>
      </c>
      <c r="AZ70" s="15">
        <v>9</v>
      </c>
      <c r="BA70" s="15">
        <v>24861.118352625301</v>
      </c>
      <c r="BC70" s="15">
        <v>1999</v>
      </c>
      <c r="BD70" s="15">
        <v>9</v>
      </c>
      <c r="BE70" s="15">
        <v>24846.907272061901</v>
      </c>
      <c r="BG70" s="15">
        <v>1999</v>
      </c>
      <c r="BH70" s="15">
        <v>9</v>
      </c>
      <c r="BI70" s="15">
        <v>24863.614566985201</v>
      </c>
    </row>
    <row r="71" spans="1:61" x14ac:dyDescent="0.25">
      <c r="A71" s="10">
        <v>1999</v>
      </c>
      <c r="B71" s="10">
        <v>10</v>
      </c>
      <c r="C71" s="11">
        <v>28729.383471467801</v>
      </c>
      <c r="G71" s="7">
        <v>1999</v>
      </c>
      <c r="H71" s="7">
        <v>7</v>
      </c>
      <c r="I71" s="13">
        <v>22559.218693804101</v>
      </c>
      <c r="L71" s="10">
        <v>1999</v>
      </c>
      <c r="M71" s="10">
        <v>10</v>
      </c>
      <c r="N71" s="18">
        <v>28678.566958680702</v>
      </c>
      <c r="Q71" s="15">
        <v>1999</v>
      </c>
      <c r="R71" s="15">
        <v>10</v>
      </c>
      <c r="S71" s="15">
        <v>28691.192852129701</v>
      </c>
      <c r="U71" s="15">
        <v>1999</v>
      </c>
      <c r="V71" s="15">
        <v>10</v>
      </c>
      <c r="W71" s="15">
        <v>28749.848965417801</v>
      </c>
      <c r="Z71" s="15">
        <v>1999</v>
      </c>
      <c r="AA71" s="15">
        <v>10</v>
      </c>
      <c r="AB71" s="15">
        <v>28737.476340854599</v>
      </c>
      <c r="AD71" s="18">
        <v>1999</v>
      </c>
      <c r="AE71" s="18">
        <v>10</v>
      </c>
      <c r="AF71" s="18">
        <v>28728.953388603</v>
      </c>
      <c r="AH71" s="10">
        <v>1999</v>
      </c>
      <c r="AI71" s="10">
        <v>10</v>
      </c>
      <c r="AJ71" s="18">
        <v>28722.201019420801</v>
      </c>
      <c r="AL71" s="15">
        <v>1999</v>
      </c>
      <c r="AM71" s="15">
        <v>10</v>
      </c>
      <c r="AN71" s="15">
        <v>28720.712050111699</v>
      </c>
      <c r="AQ71" s="18">
        <v>1999</v>
      </c>
      <c r="AR71" s="18">
        <v>10</v>
      </c>
      <c r="AS71" s="18">
        <v>28746.198068621499</v>
      </c>
      <c r="AU71" s="10">
        <v>1999</v>
      </c>
      <c r="AV71" s="10">
        <v>10</v>
      </c>
      <c r="AW71" s="15">
        <v>28785.8013222113</v>
      </c>
      <c r="AY71" s="15">
        <v>1999</v>
      </c>
      <c r="AZ71" s="15">
        <v>10</v>
      </c>
      <c r="BA71" s="15">
        <v>28774.6180006174</v>
      </c>
      <c r="BC71" s="15">
        <v>1999</v>
      </c>
      <c r="BD71" s="15">
        <v>10</v>
      </c>
      <c r="BE71" s="15">
        <v>28783.313066435301</v>
      </c>
      <c r="BG71" s="15">
        <v>1999</v>
      </c>
      <c r="BH71" s="15">
        <v>10</v>
      </c>
      <c r="BI71" s="15">
        <v>28773.2292060363</v>
      </c>
    </row>
    <row r="72" spans="1:61" x14ac:dyDescent="0.25">
      <c r="A72" s="10">
        <v>1999</v>
      </c>
      <c r="B72" s="10">
        <v>11</v>
      </c>
      <c r="C72" s="11">
        <v>29406.3887555209</v>
      </c>
      <c r="G72" s="7">
        <v>1999</v>
      </c>
      <c r="H72" s="7">
        <v>8</v>
      </c>
      <c r="I72" s="13">
        <v>25269.246359509401</v>
      </c>
      <c r="L72" s="10">
        <v>1999</v>
      </c>
      <c r="M72" s="10">
        <v>11</v>
      </c>
      <c r="N72" s="18">
        <v>29303.821208496702</v>
      </c>
      <c r="Q72" s="15">
        <v>1999</v>
      </c>
      <c r="R72" s="15">
        <v>11</v>
      </c>
      <c r="S72" s="15">
        <v>29468.305616689198</v>
      </c>
      <c r="U72" s="15">
        <v>1999</v>
      </c>
      <c r="V72" s="15">
        <v>11</v>
      </c>
      <c r="W72" s="15">
        <v>29278.4987226351</v>
      </c>
      <c r="Z72" s="15">
        <v>1999</v>
      </c>
      <c r="AA72" s="15">
        <v>11</v>
      </c>
      <c r="AB72" s="15">
        <v>29275.783264785499</v>
      </c>
      <c r="AD72" s="18">
        <v>1999</v>
      </c>
      <c r="AE72" s="18">
        <v>11</v>
      </c>
      <c r="AF72" s="18">
        <v>29259.358046226302</v>
      </c>
      <c r="AH72" s="10">
        <v>1999</v>
      </c>
      <c r="AI72" s="10">
        <v>11</v>
      </c>
      <c r="AJ72" s="18">
        <v>29257.7629772689</v>
      </c>
      <c r="AL72" s="15">
        <v>1999</v>
      </c>
      <c r="AM72" s="15">
        <v>11</v>
      </c>
      <c r="AN72" s="15">
        <v>29256.357544803599</v>
      </c>
      <c r="AQ72" s="18">
        <v>1999</v>
      </c>
      <c r="AR72" s="18">
        <v>11</v>
      </c>
      <c r="AS72" s="18">
        <v>29260.530396471699</v>
      </c>
      <c r="AU72" s="10">
        <v>1999</v>
      </c>
      <c r="AV72" s="10">
        <v>11</v>
      </c>
      <c r="AW72" s="15">
        <v>29267.658972835499</v>
      </c>
      <c r="AY72" s="15">
        <v>1999</v>
      </c>
      <c r="AZ72" s="15">
        <v>11</v>
      </c>
      <c r="BA72" s="15">
        <v>29267.301861759799</v>
      </c>
      <c r="BC72" s="15">
        <v>1999</v>
      </c>
      <c r="BD72" s="15">
        <v>11</v>
      </c>
      <c r="BE72" s="15">
        <v>29269.5121912758</v>
      </c>
      <c r="BG72" s="15">
        <v>1999</v>
      </c>
      <c r="BH72" s="15">
        <v>11</v>
      </c>
      <c r="BI72" s="15">
        <v>29268.022237785401</v>
      </c>
    </row>
    <row r="73" spans="1:61" x14ac:dyDescent="0.25">
      <c r="A73" s="10">
        <v>1999</v>
      </c>
      <c r="B73" s="10">
        <v>12</v>
      </c>
      <c r="C73" s="11">
        <v>33567.698002999197</v>
      </c>
      <c r="G73" s="7">
        <v>1999</v>
      </c>
      <c r="H73" s="7">
        <v>9</v>
      </c>
      <c r="I73" s="13">
        <v>24715.779307927802</v>
      </c>
      <c r="L73" s="10">
        <v>1999</v>
      </c>
      <c r="M73" s="10">
        <v>12</v>
      </c>
      <c r="N73" s="18">
        <v>33549.042321277797</v>
      </c>
      <c r="Q73" s="15">
        <v>1999</v>
      </c>
      <c r="R73" s="15">
        <v>12</v>
      </c>
      <c r="S73" s="15">
        <v>33699.990146972101</v>
      </c>
      <c r="U73" s="15">
        <v>1999</v>
      </c>
      <c r="V73" s="15">
        <v>12</v>
      </c>
      <c r="W73" s="15">
        <v>33414.579433175299</v>
      </c>
      <c r="Z73" s="15">
        <v>1999</v>
      </c>
      <c r="AA73" s="15">
        <v>12</v>
      </c>
      <c r="AB73" s="15">
        <v>33426.474646817602</v>
      </c>
      <c r="AD73" s="18">
        <v>1999</v>
      </c>
      <c r="AE73" s="18">
        <v>12</v>
      </c>
      <c r="AF73" s="18">
        <v>33398.461945175099</v>
      </c>
      <c r="AH73" s="10">
        <v>1999</v>
      </c>
      <c r="AI73" s="10">
        <v>12</v>
      </c>
      <c r="AJ73" s="18">
        <v>33405.6610781903</v>
      </c>
      <c r="AL73" s="15">
        <v>1999</v>
      </c>
      <c r="AM73" s="15">
        <v>12</v>
      </c>
      <c r="AN73" s="15">
        <v>33406.402701275198</v>
      </c>
      <c r="AQ73" s="18">
        <v>1999</v>
      </c>
      <c r="AR73" s="18">
        <v>12</v>
      </c>
      <c r="AS73" s="18">
        <v>33377.665448138701</v>
      </c>
      <c r="AU73" s="10">
        <v>1999</v>
      </c>
      <c r="AV73" s="10">
        <v>12</v>
      </c>
      <c r="AW73" s="15">
        <v>33333.4881442146</v>
      </c>
      <c r="AY73" s="15">
        <v>1999</v>
      </c>
      <c r="AZ73" s="15">
        <v>12</v>
      </c>
      <c r="BA73" s="15">
        <v>33346.414393059204</v>
      </c>
      <c r="BC73" s="15">
        <v>1999</v>
      </c>
      <c r="BD73" s="15">
        <v>12</v>
      </c>
      <c r="BE73" s="15">
        <v>33336.6936002164</v>
      </c>
      <c r="BG73" s="15">
        <v>1999</v>
      </c>
      <c r="BH73" s="15">
        <v>12</v>
      </c>
      <c r="BI73" s="15">
        <v>33348.250169697501</v>
      </c>
    </row>
    <row r="74" spans="1:61" x14ac:dyDescent="0.25">
      <c r="A74" s="10">
        <v>2000</v>
      </c>
      <c r="B74" s="10">
        <v>1</v>
      </c>
      <c r="C74" s="11">
        <v>34534.604598002501</v>
      </c>
      <c r="G74" s="7">
        <v>1999</v>
      </c>
      <c r="H74" s="7">
        <v>10</v>
      </c>
      <c r="I74" s="13">
        <v>28709.8060428096</v>
      </c>
      <c r="L74" s="10">
        <v>2000</v>
      </c>
      <c r="M74" s="10">
        <v>1</v>
      </c>
      <c r="N74" s="18">
        <v>34412.762382099099</v>
      </c>
      <c r="Q74" s="15">
        <v>2000</v>
      </c>
      <c r="R74" s="15">
        <v>1</v>
      </c>
      <c r="S74" s="15">
        <v>34408.568843242901</v>
      </c>
      <c r="U74" s="15">
        <v>2000</v>
      </c>
      <c r="V74" s="15">
        <v>1</v>
      </c>
      <c r="W74" s="15">
        <v>34892.8799302763</v>
      </c>
      <c r="Z74" s="15">
        <v>2000</v>
      </c>
      <c r="AA74" s="15">
        <v>1</v>
      </c>
      <c r="AB74" s="15">
        <v>34873.7198666193</v>
      </c>
      <c r="AD74" s="18">
        <v>2000</v>
      </c>
      <c r="AE74" s="18">
        <v>1</v>
      </c>
      <c r="AF74" s="18">
        <v>35025.355585839403</v>
      </c>
      <c r="AH74" s="10">
        <v>2000</v>
      </c>
      <c r="AI74" s="10">
        <v>1</v>
      </c>
      <c r="AJ74" s="18">
        <v>35010.5999793882</v>
      </c>
      <c r="AL74" s="15">
        <v>2000</v>
      </c>
      <c r="AM74" s="15">
        <v>1</v>
      </c>
      <c r="AN74" s="15">
        <v>35012.8103735322</v>
      </c>
      <c r="AQ74" s="18">
        <v>2000</v>
      </c>
      <c r="AR74" s="18">
        <v>1</v>
      </c>
      <c r="AS74" s="18">
        <v>35078.101583666903</v>
      </c>
      <c r="AU74" s="10">
        <v>2000</v>
      </c>
      <c r="AV74" s="10">
        <v>1</v>
      </c>
      <c r="AW74" s="15">
        <v>35173.372201101301</v>
      </c>
      <c r="AY74" s="15">
        <v>2000</v>
      </c>
      <c r="AZ74" s="15">
        <v>1</v>
      </c>
      <c r="BA74" s="15">
        <v>35143.747533854097</v>
      </c>
      <c r="BC74" s="15">
        <v>2000</v>
      </c>
      <c r="BD74" s="15">
        <v>1</v>
      </c>
      <c r="BE74" s="15">
        <v>35164.435680105802</v>
      </c>
      <c r="BG74" s="15">
        <v>2000</v>
      </c>
      <c r="BH74" s="15">
        <v>1</v>
      </c>
      <c r="BI74" s="15">
        <v>35138.539786073001</v>
      </c>
    </row>
    <row r="75" spans="1:61" x14ac:dyDescent="0.25">
      <c r="A75" s="10">
        <v>2000</v>
      </c>
      <c r="B75" s="10">
        <v>2</v>
      </c>
      <c r="C75" s="11">
        <v>26328.7851812837</v>
      </c>
      <c r="G75" s="7">
        <v>1999</v>
      </c>
      <c r="H75" s="7">
        <v>11</v>
      </c>
      <c r="I75" s="13">
        <v>29399.7720963762</v>
      </c>
      <c r="L75" s="10">
        <v>2000</v>
      </c>
      <c r="M75" s="10">
        <v>2</v>
      </c>
      <c r="N75" s="18">
        <v>25761.4063792007</v>
      </c>
      <c r="Q75" s="15">
        <v>2000</v>
      </c>
      <c r="R75" s="15">
        <v>2</v>
      </c>
      <c r="S75" s="15">
        <v>26360.020102333299</v>
      </c>
      <c r="U75" s="15">
        <v>2000</v>
      </c>
      <c r="V75" s="15">
        <v>2</v>
      </c>
      <c r="W75" s="15">
        <v>24763.921733898602</v>
      </c>
      <c r="Z75" s="15">
        <v>2000</v>
      </c>
      <c r="AA75" s="15">
        <v>2</v>
      </c>
      <c r="AB75" s="15">
        <v>24660.9840444603</v>
      </c>
      <c r="AD75" s="18">
        <v>2000</v>
      </c>
      <c r="AE75" s="18">
        <v>2</v>
      </c>
      <c r="AF75" s="18">
        <v>24584.173022677202</v>
      </c>
      <c r="AH75" s="10">
        <v>2000</v>
      </c>
      <c r="AI75" s="10">
        <v>2</v>
      </c>
      <c r="AJ75" s="18">
        <v>24572.4803273252</v>
      </c>
      <c r="AL75" s="15">
        <v>2000</v>
      </c>
      <c r="AM75" s="15">
        <v>2</v>
      </c>
      <c r="AN75" s="15">
        <v>24531.796530598302</v>
      </c>
      <c r="AQ75" s="18">
        <v>2000</v>
      </c>
      <c r="AR75" s="18">
        <v>2</v>
      </c>
      <c r="AS75" s="18">
        <v>24516.057131921501</v>
      </c>
      <c r="AU75" s="10">
        <v>2000</v>
      </c>
      <c r="AV75" s="10">
        <v>2</v>
      </c>
      <c r="AW75" s="15">
        <v>24537.734923178199</v>
      </c>
      <c r="AY75" s="15">
        <v>2000</v>
      </c>
      <c r="AZ75" s="15">
        <v>2</v>
      </c>
      <c r="BA75" s="15">
        <v>24558.646075349399</v>
      </c>
      <c r="BC75" s="15">
        <v>2000</v>
      </c>
      <c r="BD75" s="15">
        <v>2</v>
      </c>
      <c r="BE75" s="15">
        <v>24570.2449552619</v>
      </c>
      <c r="BG75" s="15">
        <v>2000</v>
      </c>
      <c r="BH75" s="15">
        <v>2</v>
      </c>
      <c r="BI75" s="15">
        <v>24571.193590303301</v>
      </c>
    </row>
    <row r="76" spans="1:61" x14ac:dyDescent="0.25">
      <c r="A76" s="10">
        <v>2000</v>
      </c>
      <c r="B76" s="10">
        <v>3</v>
      </c>
      <c r="C76" s="11">
        <v>31116.886577847301</v>
      </c>
      <c r="G76" s="7">
        <v>1999</v>
      </c>
      <c r="H76" s="7">
        <v>12</v>
      </c>
      <c r="I76" s="13">
        <v>32575.8751231436</v>
      </c>
      <c r="L76" s="10">
        <v>2000</v>
      </c>
      <c r="M76" s="10">
        <v>3</v>
      </c>
      <c r="N76" s="18">
        <v>31193.125813824699</v>
      </c>
      <c r="Q76" s="15">
        <v>2000</v>
      </c>
      <c r="R76" s="15">
        <v>3</v>
      </c>
      <c r="S76" s="15">
        <v>31141.269393256101</v>
      </c>
      <c r="U76" s="15">
        <v>2000</v>
      </c>
      <c r="V76" s="15">
        <v>3</v>
      </c>
      <c r="W76" s="15">
        <v>31077.8180956258</v>
      </c>
      <c r="Z76" s="15">
        <v>2000</v>
      </c>
      <c r="AA76" s="15">
        <v>3</v>
      </c>
      <c r="AB76" s="15">
        <v>31092.6714004942</v>
      </c>
      <c r="AD76" s="18">
        <v>2000</v>
      </c>
      <c r="AE76" s="18">
        <v>3</v>
      </c>
      <c r="AF76" s="18">
        <v>31073.312316593499</v>
      </c>
      <c r="AH76" s="10">
        <v>2000</v>
      </c>
      <c r="AI76" s="10">
        <v>3</v>
      </c>
      <c r="AJ76" s="18">
        <v>31080.476969117</v>
      </c>
      <c r="AL76" s="15">
        <v>2000</v>
      </c>
      <c r="AM76" s="15">
        <v>3</v>
      </c>
      <c r="AN76" s="15">
        <v>31082.774875352901</v>
      </c>
      <c r="AQ76" s="18">
        <v>2000</v>
      </c>
      <c r="AR76" s="18">
        <v>3</v>
      </c>
      <c r="AS76" s="18">
        <v>31056.7085193526</v>
      </c>
      <c r="AU76" s="10">
        <v>2000</v>
      </c>
      <c r="AV76" s="10">
        <v>3</v>
      </c>
      <c r="AW76" s="15">
        <v>31014.9670448283</v>
      </c>
      <c r="AY76" s="15">
        <v>2000</v>
      </c>
      <c r="AZ76" s="15">
        <v>3</v>
      </c>
      <c r="BA76" s="15">
        <v>31026.101547165999</v>
      </c>
      <c r="BC76" s="15">
        <v>2000</v>
      </c>
      <c r="BD76" s="15">
        <v>3</v>
      </c>
      <c r="BE76" s="15">
        <v>31016.6510143544</v>
      </c>
      <c r="BG76" s="15">
        <v>2000</v>
      </c>
      <c r="BH76" s="15">
        <v>3</v>
      </c>
      <c r="BI76" s="15">
        <v>31027.198936451001</v>
      </c>
    </row>
    <row r="77" spans="1:61" x14ac:dyDescent="0.25">
      <c r="A77" s="10">
        <v>2000</v>
      </c>
      <c r="B77" s="10">
        <v>4</v>
      </c>
      <c r="C77" s="11">
        <v>28596.016753476601</v>
      </c>
      <c r="G77" s="7">
        <v>2000</v>
      </c>
      <c r="H77" s="7">
        <v>1</v>
      </c>
      <c r="I77" s="13">
        <v>36637.265439269802</v>
      </c>
      <c r="L77" s="10">
        <v>2000</v>
      </c>
      <c r="M77" s="10">
        <v>4</v>
      </c>
      <c r="N77" s="18">
        <v>28553.897832729999</v>
      </c>
      <c r="Q77" s="15">
        <v>2000</v>
      </c>
      <c r="R77" s="15">
        <v>4</v>
      </c>
      <c r="S77" s="15">
        <v>28556.931095138701</v>
      </c>
      <c r="U77" s="15">
        <v>2000</v>
      </c>
      <c r="V77" s="15">
        <v>4</v>
      </c>
      <c r="W77" s="15">
        <v>28688.7131360604</v>
      </c>
      <c r="Z77" s="15">
        <v>2000</v>
      </c>
      <c r="AA77" s="15">
        <v>4</v>
      </c>
      <c r="AB77" s="15">
        <v>28676.2957621895</v>
      </c>
      <c r="AD77" s="18">
        <v>2000</v>
      </c>
      <c r="AE77" s="18">
        <v>4</v>
      </c>
      <c r="AF77" s="18">
        <v>28677.077334570899</v>
      </c>
      <c r="AH77" s="10">
        <v>2000</v>
      </c>
      <c r="AI77" s="10">
        <v>4</v>
      </c>
      <c r="AJ77" s="18">
        <v>28669.5180912791</v>
      </c>
      <c r="AL77" s="15">
        <v>2000</v>
      </c>
      <c r="AM77" s="15">
        <v>4</v>
      </c>
      <c r="AN77" s="15">
        <v>28668.658199920399</v>
      </c>
      <c r="AQ77" s="18">
        <v>2000</v>
      </c>
      <c r="AR77" s="18">
        <v>4</v>
      </c>
      <c r="AS77" s="18">
        <v>28698.496827073599</v>
      </c>
      <c r="AU77" s="10">
        <v>2000</v>
      </c>
      <c r="AV77" s="10">
        <v>4</v>
      </c>
      <c r="AW77" s="15">
        <v>28743.288077049201</v>
      </c>
      <c r="AY77" s="15">
        <v>2000</v>
      </c>
      <c r="AZ77" s="15">
        <v>4</v>
      </c>
      <c r="BA77" s="15">
        <v>28730.563589987301</v>
      </c>
      <c r="BC77" s="15">
        <v>2000</v>
      </c>
      <c r="BD77" s="15">
        <v>4</v>
      </c>
      <c r="BE77" s="15">
        <v>28740.407301118801</v>
      </c>
      <c r="BG77" s="15">
        <v>2000</v>
      </c>
      <c r="BH77" s="15">
        <v>4</v>
      </c>
      <c r="BI77" s="15">
        <v>28728.614267155699</v>
      </c>
    </row>
    <row r="78" spans="1:61" x14ac:dyDescent="0.25">
      <c r="A78" s="10">
        <v>2000</v>
      </c>
      <c r="B78" s="10">
        <v>5</v>
      </c>
      <c r="C78" s="11">
        <v>25775.889876221601</v>
      </c>
      <c r="G78" s="7">
        <v>2000</v>
      </c>
      <c r="H78" s="7">
        <v>2</v>
      </c>
      <c r="I78" s="13">
        <v>26448.373794387498</v>
      </c>
      <c r="L78" s="10">
        <v>2000</v>
      </c>
      <c r="M78" s="10">
        <v>5</v>
      </c>
      <c r="N78" s="18">
        <v>25849.818142462798</v>
      </c>
      <c r="Q78" s="15">
        <v>2000</v>
      </c>
      <c r="R78" s="15">
        <v>5</v>
      </c>
      <c r="S78" s="15">
        <v>25814.474655976301</v>
      </c>
      <c r="U78" s="15">
        <v>2000</v>
      </c>
      <c r="V78" s="15">
        <v>5</v>
      </c>
      <c r="W78" s="15">
        <v>25719.761793899001</v>
      </c>
      <c r="Z78" s="15">
        <v>2000</v>
      </c>
      <c r="AA78" s="15">
        <v>5</v>
      </c>
      <c r="AB78" s="15">
        <v>25731.3404658855</v>
      </c>
      <c r="AD78" s="18">
        <v>2000</v>
      </c>
      <c r="AE78" s="18">
        <v>5</v>
      </c>
      <c r="AF78" s="18">
        <v>25692.9329472602</v>
      </c>
      <c r="AH78" s="10">
        <v>2000</v>
      </c>
      <c r="AI78" s="10">
        <v>5</v>
      </c>
      <c r="AJ78" s="18">
        <v>25699.1303500135</v>
      </c>
      <c r="AL78" s="15">
        <v>2000</v>
      </c>
      <c r="AM78" s="15">
        <v>5</v>
      </c>
      <c r="AN78" s="15">
        <v>25700.5784231502</v>
      </c>
      <c r="AQ78" s="18">
        <v>2000</v>
      </c>
      <c r="AR78" s="18">
        <v>5</v>
      </c>
      <c r="AS78" s="18">
        <v>25677.201404437401</v>
      </c>
      <c r="AU78" s="10">
        <v>2000</v>
      </c>
      <c r="AV78" s="10">
        <v>5</v>
      </c>
      <c r="AW78" s="15">
        <v>25640.859112381098</v>
      </c>
      <c r="AY78" s="15">
        <v>2000</v>
      </c>
      <c r="AZ78" s="15">
        <v>5</v>
      </c>
      <c r="BA78" s="15">
        <v>25650.6795405919</v>
      </c>
      <c r="BC78" s="15">
        <v>2000</v>
      </c>
      <c r="BD78" s="15">
        <v>5</v>
      </c>
      <c r="BE78" s="15">
        <v>25642.474577653498</v>
      </c>
      <c r="BG78" s="15">
        <v>2000</v>
      </c>
      <c r="BH78" s="15">
        <v>5</v>
      </c>
      <c r="BI78" s="15">
        <v>25651.824485401499</v>
      </c>
    </row>
    <row r="79" spans="1:61" x14ac:dyDescent="0.25">
      <c r="A79" s="10">
        <v>2000</v>
      </c>
      <c r="B79" s="10">
        <v>6</v>
      </c>
      <c r="C79" s="11">
        <v>24921.9785106825</v>
      </c>
      <c r="G79" s="7">
        <v>2000</v>
      </c>
      <c r="H79" s="7">
        <v>3</v>
      </c>
      <c r="I79" s="13">
        <v>30991.384694324799</v>
      </c>
      <c r="L79" s="10">
        <v>2000</v>
      </c>
      <c r="M79" s="10">
        <v>6</v>
      </c>
      <c r="N79" s="18">
        <v>24976.1089293404</v>
      </c>
      <c r="Q79" s="15">
        <v>2000</v>
      </c>
      <c r="R79" s="15">
        <v>6</v>
      </c>
      <c r="S79" s="15">
        <v>24955.7076585547</v>
      </c>
      <c r="U79" s="15">
        <v>2000</v>
      </c>
      <c r="V79" s="15">
        <v>6</v>
      </c>
      <c r="W79" s="15">
        <v>24862.317621302998</v>
      </c>
      <c r="Z79" s="15">
        <v>2000</v>
      </c>
      <c r="AA79" s="15">
        <v>6</v>
      </c>
      <c r="AB79" s="15">
        <v>24870.322420295899</v>
      </c>
      <c r="AD79" s="18">
        <v>2000</v>
      </c>
      <c r="AE79" s="18">
        <v>6</v>
      </c>
      <c r="AF79" s="18">
        <v>24829.929362285198</v>
      </c>
      <c r="AH79" s="10">
        <v>2000</v>
      </c>
      <c r="AI79" s="10">
        <v>6</v>
      </c>
      <c r="AJ79" s="18">
        <v>24834.4931763026</v>
      </c>
      <c r="AL79" s="15">
        <v>2000</v>
      </c>
      <c r="AM79" s="15">
        <v>6</v>
      </c>
      <c r="AN79" s="15">
        <v>24835.306744244401</v>
      </c>
      <c r="AQ79" s="18">
        <v>2000</v>
      </c>
      <c r="AR79" s="18">
        <v>6</v>
      </c>
      <c r="AS79" s="18">
        <v>24817.685712625698</v>
      </c>
      <c r="AU79" s="10">
        <v>2000</v>
      </c>
      <c r="AV79" s="10">
        <v>6</v>
      </c>
      <c r="AW79" s="15">
        <v>24790.853404335699</v>
      </c>
      <c r="AY79" s="15">
        <v>2000</v>
      </c>
      <c r="AZ79" s="15">
        <v>6</v>
      </c>
      <c r="BA79" s="15">
        <v>24798.081329243301</v>
      </c>
      <c r="BC79" s="15">
        <v>2000</v>
      </c>
      <c r="BD79" s="15">
        <v>6</v>
      </c>
      <c r="BE79" s="15">
        <v>24792.001204167798</v>
      </c>
      <c r="BG79" s="15">
        <v>2000</v>
      </c>
      <c r="BH79" s="15">
        <v>6</v>
      </c>
      <c r="BI79" s="15">
        <v>24799.017098313801</v>
      </c>
    </row>
    <row r="80" spans="1:61" x14ac:dyDescent="0.25">
      <c r="A80" s="10">
        <v>2000</v>
      </c>
      <c r="B80" s="10">
        <v>7</v>
      </c>
      <c r="C80" s="11">
        <v>26369.243506969699</v>
      </c>
      <c r="G80" s="7">
        <v>2000</v>
      </c>
      <c r="H80" s="7">
        <v>4</v>
      </c>
      <c r="I80" s="13">
        <v>28573.836959069002</v>
      </c>
      <c r="L80" s="10">
        <v>2000</v>
      </c>
      <c r="M80" s="10">
        <v>7</v>
      </c>
      <c r="N80" s="18">
        <v>26289.204735600699</v>
      </c>
      <c r="Q80" s="15">
        <v>2000</v>
      </c>
      <c r="R80" s="15">
        <v>7</v>
      </c>
      <c r="S80" s="15">
        <v>26321.984190412099</v>
      </c>
      <c r="U80" s="15">
        <v>2000</v>
      </c>
      <c r="V80" s="15">
        <v>7</v>
      </c>
      <c r="W80" s="15">
        <v>26337.2267679344</v>
      </c>
      <c r="Z80" s="15">
        <v>2000</v>
      </c>
      <c r="AA80" s="15">
        <v>7</v>
      </c>
      <c r="AB80" s="15">
        <v>26324.639691311</v>
      </c>
      <c r="AD80" s="18">
        <v>2000</v>
      </c>
      <c r="AE80" s="18">
        <v>7</v>
      </c>
      <c r="AF80" s="18">
        <v>26360.0898525968</v>
      </c>
      <c r="AH80" s="10">
        <v>2000</v>
      </c>
      <c r="AI80" s="10">
        <v>7</v>
      </c>
      <c r="AJ80" s="18">
        <v>26353.7835850015</v>
      </c>
      <c r="AL80" s="15">
        <v>2000</v>
      </c>
      <c r="AM80" s="15">
        <v>7</v>
      </c>
      <c r="AN80" s="15">
        <v>26352.205018001201</v>
      </c>
      <c r="AQ80" s="18">
        <v>2000</v>
      </c>
      <c r="AR80" s="18">
        <v>7</v>
      </c>
      <c r="AS80" s="18">
        <v>26375.741226100399</v>
      </c>
      <c r="AU80" s="10">
        <v>2000</v>
      </c>
      <c r="AV80" s="10">
        <v>7</v>
      </c>
      <c r="AW80" s="15">
        <v>26412.924424089098</v>
      </c>
      <c r="AY80" s="15">
        <v>2000</v>
      </c>
      <c r="AZ80" s="15">
        <v>7</v>
      </c>
      <c r="BA80" s="15">
        <v>26402.355238378899</v>
      </c>
      <c r="BC80" s="15">
        <v>2000</v>
      </c>
      <c r="BD80" s="15">
        <v>7</v>
      </c>
      <c r="BE80" s="15">
        <v>26410.5035311629</v>
      </c>
      <c r="BG80" s="15">
        <v>2000</v>
      </c>
      <c r="BH80" s="15">
        <v>7</v>
      </c>
      <c r="BI80" s="15">
        <v>26401.090630435901</v>
      </c>
    </row>
    <row r="81" spans="1:61" x14ac:dyDescent="0.25">
      <c r="A81" s="10">
        <v>2000</v>
      </c>
      <c r="B81" s="10">
        <v>8</v>
      </c>
      <c r="C81" s="11">
        <v>24659.607687664298</v>
      </c>
      <c r="G81" s="7">
        <v>2000</v>
      </c>
      <c r="H81" s="7">
        <v>5</v>
      </c>
      <c r="I81" s="13">
        <v>25615.696778141399</v>
      </c>
      <c r="L81" s="10">
        <v>2000</v>
      </c>
      <c r="M81" s="10">
        <v>8</v>
      </c>
      <c r="N81" s="18">
        <v>24713.0979314549</v>
      </c>
      <c r="Q81" s="15">
        <v>2000</v>
      </c>
      <c r="R81" s="15">
        <v>8</v>
      </c>
      <c r="S81" s="15">
        <v>24677.736479132702</v>
      </c>
      <c r="U81" s="15">
        <v>2000</v>
      </c>
      <c r="V81" s="15">
        <v>8</v>
      </c>
      <c r="W81" s="15">
        <v>24566.3124603865</v>
      </c>
      <c r="Z81" s="15">
        <v>2000</v>
      </c>
      <c r="AA81" s="15">
        <v>8</v>
      </c>
      <c r="AB81" s="15">
        <v>24578.872969468001</v>
      </c>
      <c r="AD81" s="18">
        <v>2000</v>
      </c>
      <c r="AE81" s="18">
        <v>8</v>
      </c>
      <c r="AF81" s="18">
        <v>24509.905395001198</v>
      </c>
      <c r="AH81" s="10">
        <v>2000</v>
      </c>
      <c r="AI81" s="10">
        <v>8</v>
      </c>
      <c r="AJ81" s="18">
        <v>24516.472975246099</v>
      </c>
      <c r="AL81" s="15">
        <v>2000</v>
      </c>
      <c r="AM81" s="15">
        <v>8</v>
      </c>
      <c r="AN81" s="15">
        <v>24518.0106270572</v>
      </c>
      <c r="AQ81" s="18">
        <v>2000</v>
      </c>
      <c r="AR81" s="18">
        <v>8</v>
      </c>
      <c r="AS81" s="18">
        <v>24493.276600384699</v>
      </c>
      <c r="AU81" s="10">
        <v>2000</v>
      </c>
      <c r="AV81" s="10">
        <v>8</v>
      </c>
      <c r="AW81" s="15">
        <v>24456.3689734568</v>
      </c>
      <c r="AY81" s="15">
        <v>2000</v>
      </c>
      <c r="AZ81" s="15">
        <v>8</v>
      </c>
      <c r="BA81" s="15">
        <v>24465.3410971216</v>
      </c>
      <c r="BC81" s="15">
        <v>2000</v>
      </c>
      <c r="BD81" s="15">
        <v>8</v>
      </c>
      <c r="BE81" s="15">
        <v>24456.737011050001</v>
      </c>
      <c r="BG81" s="15">
        <v>2000</v>
      </c>
      <c r="BH81" s="15">
        <v>8</v>
      </c>
      <c r="BI81" s="15">
        <v>24466.597220186301</v>
      </c>
    </row>
    <row r="82" spans="1:61" x14ac:dyDescent="0.25">
      <c r="A82" s="10">
        <v>2000</v>
      </c>
      <c r="B82" s="10">
        <v>9</v>
      </c>
      <c r="C82" s="11">
        <v>27141.031404728099</v>
      </c>
      <c r="G82" s="7">
        <v>2000</v>
      </c>
      <c r="H82" s="7">
        <v>6</v>
      </c>
      <c r="I82" s="13">
        <v>24763.0705792554</v>
      </c>
      <c r="L82" s="10">
        <v>2000</v>
      </c>
      <c r="M82" s="10">
        <v>9</v>
      </c>
      <c r="N82" s="18">
        <v>27076.425918708399</v>
      </c>
      <c r="Q82" s="15">
        <v>2000</v>
      </c>
      <c r="R82" s="15">
        <v>9</v>
      </c>
      <c r="S82" s="15">
        <v>27054.8734925399</v>
      </c>
      <c r="U82" s="15">
        <v>2000</v>
      </c>
      <c r="V82" s="15">
        <v>9</v>
      </c>
      <c r="W82" s="15">
        <v>27028.886783183902</v>
      </c>
      <c r="Z82" s="15">
        <v>2000</v>
      </c>
      <c r="AA82" s="15">
        <v>9</v>
      </c>
      <c r="AB82" s="15">
        <v>27032.979182842198</v>
      </c>
      <c r="AD82" s="18">
        <v>2000</v>
      </c>
      <c r="AE82" s="18">
        <v>9</v>
      </c>
      <c r="AF82" s="18">
        <v>26963.356188270402</v>
      </c>
      <c r="AH82" s="10">
        <v>2000</v>
      </c>
      <c r="AI82" s="10">
        <v>9</v>
      </c>
      <c r="AJ82" s="18">
        <v>26966.008822849199</v>
      </c>
      <c r="AL82" s="15">
        <v>2000</v>
      </c>
      <c r="AM82" s="15">
        <v>9</v>
      </c>
      <c r="AN82" s="15">
        <v>26965.755002418598</v>
      </c>
      <c r="AQ82" s="18">
        <v>2000</v>
      </c>
      <c r="AR82" s="18">
        <v>9</v>
      </c>
      <c r="AS82" s="18">
        <v>26954.375140137701</v>
      </c>
      <c r="AU82" s="10">
        <v>2000</v>
      </c>
      <c r="AV82" s="10">
        <v>9</v>
      </c>
      <c r="AW82" s="15">
        <v>26938.893161402899</v>
      </c>
      <c r="AY82" s="15">
        <v>2000</v>
      </c>
      <c r="AZ82" s="15">
        <v>9</v>
      </c>
      <c r="BA82" s="15">
        <v>26942.8402144875</v>
      </c>
      <c r="BC82" s="15">
        <v>2000</v>
      </c>
      <c r="BD82" s="15">
        <v>9</v>
      </c>
      <c r="BE82" s="15">
        <v>26939.250750401799</v>
      </c>
      <c r="BG82" s="15">
        <v>2000</v>
      </c>
      <c r="BH82" s="15">
        <v>9</v>
      </c>
      <c r="BI82" s="15">
        <v>26943.751435004</v>
      </c>
    </row>
    <row r="83" spans="1:61" x14ac:dyDescent="0.25">
      <c r="A83" s="10">
        <v>2000</v>
      </c>
      <c r="B83" s="10">
        <v>10</v>
      </c>
      <c r="C83" s="11">
        <v>25307.616255654499</v>
      </c>
      <c r="G83" s="7">
        <v>2000</v>
      </c>
      <c r="H83" s="7">
        <v>7</v>
      </c>
      <c r="I83" s="13">
        <v>26322.323192723201</v>
      </c>
      <c r="L83" s="10">
        <v>2000</v>
      </c>
      <c r="M83" s="10">
        <v>10</v>
      </c>
      <c r="N83" s="18">
        <v>25267.433774312402</v>
      </c>
      <c r="Q83" s="15">
        <v>2000</v>
      </c>
      <c r="R83" s="15">
        <v>10</v>
      </c>
      <c r="S83" s="15">
        <v>25284.4838840253</v>
      </c>
      <c r="U83" s="15">
        <v>2000</v>
      </c>
      <c r="V83" s="15">
        <v>10</v>
      </c>
      <c r="W83" s="15">
        <v>25241.295665027901</v>
      </c>
      <c r="Z83" s="15">
        <v>2000</v>
      </c>
      <c r="AA83" s="15">
        <v>10</v>
      </c>
      <c r="AB83" s="15">
        <v>25237.935625135098</v>
      </c>
      <c r="AD83" s="18">
        <v>2000</v>
      </c>
      <c r="AE83" s="18">
        <v>10</v>
      </c>
      <c r="AF83" s="18">
        <v>25186.672716674599</v>
      </c>
      <c r="AH83" s="10">
        <v>2000</v>
      </c>
      <c r="AI83" s="10">
        <v>10</v>
      </c>
      <c r="AJ83" s="18">
        <v>25185.2734789321</v>
      </c>
      <c r="AL83" s="15">
        <v>2000</v>
      </c>
      <c r="AM83" s="15">
        <v>10</v>
      </c>
      <c r="AN83" s="15">
        <v>25184.409784862099</v>
      </c>
      <c r="AQ83" s="18">
        <v>2000</v>
      </c>
      <c r="AR83" s="18">
        <v>10</v>
      </c>
      <c r="AS83" s="18">
        <v>25188.764558296301</v>
      </c>
      <c r="AU83" s="10">
        <v>2000</v>
      </c>
      <c r="AV83" s="10">
        <v>10</v>
      </c>
      <c r="AW83" s="15">
        <v>25197.070500519501</v>
      </c>
      <c r="AY83" s="15">
        <v>2000</v>
      </c>
      <c r="AZ83" s="15">
        <v>10</v>
      </c>
      <c r="BA83" s="15">
        <v>25194.371541139099</v>
      </c>
      <c r="BC83" s="15">
        <v>2000</v>
      </c>
      <c r="BD83" s="15">
        <v>10</v>
      </c>
      <c r="BE83" s="15">
        <v>25196.039759798001</v>
      </c>
      <c r="BG83" s="15">
        <v>2000</v>
      </c>
      <c r="BH83" s="15">
        <v>10</v>
      </c>
      <c r="BI83" s="15">
        <v>25194.321188198799</v>
      </c>
    </row>
    <row r="84" spans="1:61" x14ac:dyDescent="0.25">
      <c r="A84" s="10">
        <v>2000</v>
      </c>
      <c r="B84" s="10">
        <v>11</v>
      </c>
      <c r="C84" s="11">
        <v>25254.382477497398</v>
      </c>
      <c r="G84" s="7">
        <v>2000</v>
      </c>
      <c r="H84" s="7">
        <v>8</v>
      </c>
      <c r="I84" s="13">
        <v>24514.5574871315</v>
      </c>
      <c r="L84" s="10">
        <v>2000</v>
      </c>
      <c r="M84" s="10">
        <v>11</v>
      </c>
      <c r="N84" s="18">
        <v>25193.272230064598</v>
      </c>
      <c r="Q84" s="15">
        <v>2000</v>
      </c>
      <c r="R84" s="15">
        <v>11</v>
      </c>
      <c r="S84" s="15">
        <v>25288.848412712501</v>
      </c>
      <c r="U84" s="15">
        <v>2000</v>
      </c>
      <c r="V84" s="15">
        <v>11</v>
      </c>
      <c r="W84" s="15">
        <v>25123.9518671939</v>
      </c>
      <c r="Z84" s="15">
        <v>2000</v>
      </c>
      <c r="AA84" s="15">
        <v>11</v>
      </c>
      <c r="AB84" s="15">
        <v>25124.412523690698</v>
      </c>
      <c r="AD84" s="18">
        <v>2000</v>
      </c>
      <c r="AE84" s="18">
        <v>11</v>
      </c>
      <c r="AF84" s="18">
        <v>25072.827754238198</v>
      </c>
      <c r="AH84" s="10">
        <v>2000</v>
      </c>
      <c r="AI84" s="10">
        <v>11</v>
      </c>
      <c r="AJ84" s="18">
        <v>25073.435917411101</v>
      </c>
      <c r="AL84" s="15">
        <v>2000</v>
      </c>
      <c r="AM84" s="15">
        <v>11</v>
      </c>
      <c r="AN84" s="15">
        <v>25072.513288002199</v>
      </c>
      <c r="AQ84" s="18">
        <v>2000</v>
      </c>
      <c r="AR84" s="18">
        <v>11</v>
      </c>
      <c r="AS84" s="18">
        <v>25068.4027500989</v>
      </c>
      <c r="AU84" s="10">
        <v>2000</v>
      </c>
      <c r="AV84" s="10">
        <v>11</v>
      </c>
      <c r="AW84" s="15">
        <v>25063.333719499598</v>
      </c>
      <c r="AY84" s="15">
        <v>2000</v>
      </c>
      <c r="AZ84" s="15">
        <v>11</v>
      </c>
      <c r="BA84" s="15">
        <v>25065.5950888888</v>
      </c>
      <c r="BC84" s="15">
        <v>2000</v>
      </c>
      <c r="BD84" s="15">
        <v>11</v>
      </c>
      <c r="BE84" s="15">
        <v>25064.759495313501</v>
      </c>
      <c r="BG84" s="15">
        <v>2000</v>
      </c>
      <c r="BH84" s="15">
        <v>11</v>
      </c>
      <c r="BI84" s="15">
        <v>25066.472773961599</v>
      </c>
    </row>
    <row r="85" spans="1:61" x14ac:dyDescent="0.25">
      <c r="A85" s="10">
        <v>2000</v>
      </c>
      <c r="B85" s="10">
        <v>12</v>
      </c>
      <c r="C85" s="11">
        <v>28474.7866422201</v>
      </c>
      <c r="G85" s="7">
        <v>2000</v>
      </c>
      <c r="H85" s="7">
        <v>9</v>
      </c>
      <c r="I85" s="13">
        <v>26784.504311070599</v>
      </c>
      <c r="L85" s="10">
        <v>2000</v>
      </c>
      <c r="M85" s="10">
        <v>12</v>
      </c>
      <c r="N85" s="18">
        <v>28367.093128092602</v>
      </c>
      <c r="Q85" s="15">
        <v>2000</v>
      </c>
      <c r="R85" s="15">
        <v>12</v>
      </c>
      <c r="S85" s="15">
        <v>28533.121723815701</v>
      </c>
      <c r="U85" s="15">
        <v>2000</v>
      </c>
      <c r="V85" s="15">
        <v>12</v>
      </c>
      <c r="W85" s="15">
        <v>28447.805120398902</v>
      </c>
      <c r="Z85" s="15">
        <v>2000</v>
      </c>
      <c r="AA85" s="15">
        <v>12</v>
      </c>
      <c r="AB85" s="15">
        <v>28434.8659238006</v>
      </c>
      <c r="AD85" s="18">
        <v>2000</v>
      </c>
      <c r="AE85" s="18">
        <v>12</v>
      </c>
      <c r="AF85" s="18">
        <v>28398.114633744099</v>
      </c>
      <c r="AH85" s="10">
        <v>2000</v>
      </c>
      <c r="AI85" s="10">
        <v>12</v>
      </c>
      <c r="AJ85" s="18">
        <v>28391.9511650288</v>
      </c>
      <c r="AL85" s="15">
        <v>2000</v>
      </c>
      <c r="AM85" s="15">
        <v>12</v>
      </c>
      <c r="AN85" s="15">
        <v>28389.696131508299</v>
      </c>
      <c r="AQ85" s="18">
        <v>2000</v>
      </c>
      <c r="AR85" s="18">
        <v>12</v>
      </c>
      <c r="AS85" s="18">
        <v>28411.4778344347</v>
      </c>
      <c r="AU85" s="10">
        <v>2000</v>
      </c>
      <c r="AV85" s="10">
        <v>12</v>
      </c>
      <c r="AW85" s="15">
        <v>28445.3056034119</v>
      </c>
      <c r="AY85" s="15">
        <v>2000</v>
      </c>
      <c r="AZ85" s="15">
        <v>12</v>
      </c>
      <c r="BA85" s="15">
        <v>28437.088356338001</v>
      </c>
      <c r="BC85" s="15">
        <v>2000</v>
      </c>
      <c r="BD85" s="15">
        <v>12</v>
      </c>
      <c r="BE85" s="15">
        <v>28444.872194525899</v>
      </c>
      <c r="BG85" s="15">
        <v>2000</v>
      </c>
      <c r="BH85" s="15">
        <v>12</v>
      </c>
      <c r="BI85" s="15">
        <v>28436.2263916228</v>
      </c>
    </row>
    <row r="86" spans="1:61" x14ac:dyDescent="0.25">
      <c r="A86" s="10">
        <v>2001</v>
      </c>
      <c r="B86" s="10">
        <v>1</v>
      </c>
      <c r="C86" s="11">
        <v>20972.173180129299</v>
      </c>
      <c r="G86" s="7">
        <v>2000</v>
      </c>
      <c r="H86" s="7">
        <v>10</v>
      </c>
      <c r="I86" s="13">
        <v>25157.662026217498</v>
      </c>
      <c r="L86" s="10">
        <v>2001</v>
      </c>
      <c r="M86" s="10">
        <v>1</v>
      </c>
      <c r="N86" s="18">
        <v>21021.7515582015</v>
      </c>
      <c r="Q86" s="15">
        <v>2001</v>
      </c>
      <c r="R86" s="15">
        <v>1</v>
      </c>
      <c r="S86" s="15">
        <v>20967.546329187498</v>
      </c>
      <c r="U86" s="15">
        <v>2001</v>
      </c>
      <c r="V86" s="15">
        <v>1</v>
      </c>
      <c r="W86" s="15">
        <v>21265.149042001001</v>
      </c>
      <c r="Z86" s="15">
        <v>2001</v>
      </c>
      <c r="AA86" s="15">
        <v>1</v>
      </c>
      <c r="AB86" s="15">
        <v>21271.607668682002</v>
      </c>
      <c r="AD86" s="18">
        <v>2001</v>
      </c>
      <c r="AE86" s="18">
        <v>1</v>
      </c>
      <c r="AF86" s="18">
        <v>21643.3031327924</v>
      </c>
      <c r="AH86" s="10">
        <v>2001</v>
      </c>
      <c r="AI86" s="10">
        <v>1</v>
      </c>
      <c r="AJ86" s="18">
        <v>21642.654111136799</v>
      </c>
      <c r="AL86" s="15">
        <v>2001</v>
      </c>
      <c r="AM86" s="15">
        <v>1</v>
      </c>
      <c r="AN86" s="15">
        <v>21648.2329424626</v>
      </c>
      <c r="AQ86" s="18">
        <v>2001</v>
      </c>
      <c r="AR86" s="18">
        <v>1</v>
      </c>
      <c r="AS86" s="18">
        <v>21660.521459117699</v>
      </c>
      <c r="AU86" s="10">
        <v>2001</v>
      </c>
      <c r="AV86" s="10">
        <v>1</v>
      </c>
      <c r="AW86" s="15">
        <v>21672.219242479601</v>
      </c>
      <c r="AY86" s="15">
        <v>2001</v>
      </c>
      <c r="AZ86" s="15">
        <v>1</v>
      </c>
      <c r="BA86" s="15">
        <v>21666.363389613602</v>
      </c>
      <c r="BC86" s="15">
        <v>2001</v>
      </c>
      <c r="BD86" s="15">
        <v>1</v>
      </c>
      <c r="BE86" s="15">
        <v>21668.672352243299</v>
      </c>
      <c r="BG86" s="15">
        <v>2001</v>
      </c>
      <c r="BH86" s="15">
        <v>1</v>
      </c>
      <c r="BI86" s="15">
        <v>21663.8693439784</v>
      </c>
    </row>
    <row r="87" spans="1:61" x14ac:dyDescent="0.25">
      <c r="A87" s="10">
        <v>2001</v>
      </c>
      <c r="B87" s="10">
        <v>2</v>
      </c>
      <c r="C87" s="11">
        <v>19625.39994015</v>
      </c>
      <c r="G87" s="7">
        <v>2000</v>
      </c>
      <c r="H87" s="7">
        <v>11</v>
      </c>
      <c r="I87" s="13">
        <v>25132.223578911799</v>
      </c>
      <c r="L87" s="10">
        <v>2001</v>
      </c>
      <c r="M87" s="10">
        <v>2</v>
      </c>
      <c r="N87" s="18">
        <v>20036.820675659099</v>
      </c>
      <c r="Q87" s="15">
        <v>2001</v>
      </c>
      <c r="R87" s="15">
        <v>2</v>
      </c>
      <c r="S87" s="15">
        <v>19632.410065019802</v>
      </c>
      <c r="U87" s="15">
        <v>2001</v>
      </c>
      <c r="V87" s="15">
        <v>2</v>
      </c>
      <c r="W87" s="15">
        <v>20526.838236076201</v>
      </c>
      <c r="Z87" s="15">
        <v>2001</v>
      </c>
      <c r="AA87" s="15">
        <v>2</v>
      </c>
      <c r="AB87" s="15">
        <v>20549.330979626098</v>
      </c>
      <c r="AD87" s="18">
        <v>2001</v>
      </c>
      <c r="AE87" s="18">
        <v>2</v>
      </c>
      <c r="AF87" s="18">
        <v>20660.9492217363</v>
      </c>
      <c r="AH87" s="10">
        <v>2001</v>
      </c>
      <c r="AI87" s="10">
        <v>2</v>
      </c>
      <c r="AJ87" s="18">
        <v>20661.8111216527</v>
      </c>
      <c r="AL87" s="15">
        <v>2001</v>
      </c>
      <c r="AM87" s="15">
        <v>2</v>
      </c>
      <c r="AN87" s="15">
        <v>20671.254513298602</v>
      </c>
      <c r="AQ87" s="18">
        <v>2001</v>
      </c>
      <c r="AR87" s="18">
        <v>2</v>
      </c>
      <c r="AS87" s="18">
        <v>20682.3265231523</v>
      </c>
      <c r="AU87" s="10">
        <v>2001</v>
      </c>
      <c r="AV87" s="10">
        <v>2</v>
      </c>
      <c r="AW87" s="15">
        <v>20685.409748173199</v>
      </c>
      <c r="AY87" s="15">
        <v>2001</v>
      </c>
      <c r="AZ87" s="15">
        <v>2</v>
      </c>
      <c r="BA87" s="15">
        <v>20680.1791344255</v>
      </c>
      <c r="BC87" s="15">
        <v>2001</v>
      </c>
      <c r="BD87" s="15">
        <v>2</v>
      </c>
      <c r="BE87" s="15">
        <v>20679.853216094001</v>
      </c>
      <c r="BG87" s="15">
        <v>2001</v>
      </c>
      <c r="BH87" s="15">
        <v>2</v>
      </c>
      <c r="BI87" s="15">
        <v>20676.7164722989</v>
      </c>
    </row>
    <row r="88" spans="1:61" x14ac:dyDescent="0.25">
      <c r="A88" s="10">
        <v>2001</v>
      </c>
      <c r="B88" s="10">
        <v>3</v>
      </c>
      <c r="C88" s="11">
        <v>24037.837154151199</v>
      </c>
      <c r="G88" s="7">
        <v>2000</v>
      </c>
      <c r="H88" s="7">
        <v>12</v>
      </c>
      <c r="I88" s="13">
        <v>27523.396260078</v>
      </c>
      <c r="L88" s="10">
        <v>2001</v>
      </c>
      <c r="M88" s="10">
        <v>3</v>
      </c>
      <c r="N88" s="18">
        <v>24070.1423824946</v>
      </c>
      <c r="Q88" s="15">
        <v>2001</v>
      </c>
      <c r="R88" s="15">
        <v>3</v>
      </c>
      <c r="S88" s="15">
        <v>24058.844311818601</v>
      </c>
      <c r="U88" s="15">
        <v>2001</v>
      </c>
      <c r="V88" s="15">
        <v>3</v>
      </c>
      <c r="W88" s="15">
        <v>24042.486226384099</v>
      </c>
      <c r="Z88" s="15">
        <v>2001</v>
      </c>
      <c r="AA88" s="15">
        <v>3</v>
      </c>
      <c r="AB88" s="15">
        <v>24044.349567856301</v>
      </c>
      <c r="AD88" s="18">
        <v>2001</v>
      </c>
      <c r="AE88" s="18">
        <v>3</v>
      </c>
      <c r="AF88" s="18">
        <v>24003.766299483101</v>
      </c>
      <c r="AH88" s="10">
        <v>2001</v>
      </c>
      <c r="AI88" s="10">
        <v>3</v>
      </c>
      <c r="AJ88" s="18">
        <v>24004.3708428071</v>
      </c>
      <c r="AL88" s="15">
        <v>2001</v>
      </c>
      <c r="AM88" s="15">
        <v>3</v>
      </c>
      <c r="AN88" s="15">
        <v>24004.730075854</v>
      </c>
      <c r="AQ88" s="18">
        <v>2001</v>
      </c>
      <c r="AR88" s="18">
        <v>3</v>
      </c>
      <c r="AS88" s="18">
        <v>24002.7164506849</v>
      </c>
      <c r="AU88" s="10">
        <v>2001</v>
      </c>
      <c r="AV88" s="10">
        <v>3</v>
      </c>
      <c r="AW88" s="15">
        <v>23997.8889515874</v>
      </c>
      <c r="AY88" s="15">
        <v>2001</v>
      </c>
      <c r="AZ88" s="15">
        <v>3</v>
      </c>
      <c r="BA88" s="15">
        <v>23999.908132403802</v>
      </c>
      <c r="BC88" s="15">
        <v>2001</v>
      </c>
      <c r="BD88" s="15">
        <v>3</v>
      </c>
      <c r="BE88" s="15">
        <v>23998.997299992399</v>
      </c>
      <c r="BG88" s="15">
        <v>2001</v>
      </c>
      <c r="BH88" s="15">
        <v>3</v>
      </c>
      <c r="BI88" s="15">
        <v>23999.8937132832</v>
      </c>
    </row>
    <row r="89" spans="1:61" x14ac:dyDescent="0.25">
      <c r="A89" s="10">
        <v>2001</v>
      </c>
      <c r="B89" s="10">
        <v>4</v>
      </c>
      <c r="C89" s="11">
        <v>24629.7649924254</v>
      </c>
      <c r="G89" s="7">
        <v>2001</v>
      </c>
      <c r="H89" s="7">
        <v>1</v>
      </c>
      <c r="I89" s="13">
        <v>23508.627781154999</v>
      </c>
      <c r="L89" s="10">
        <v>2001</v>
      </c>
      <c r="M89" s="10">
        <v>4</v>
      </c>
      <c r="N89" s="18">
        <v>24640.1936092949</v>
      </c>
      <c r="Q89" s="15">
        <v>2001</v>
      </c>
      <c r="R89" s="15">
        <v>4</v>
      </c>
      <c r="S89" s="15">
        <v>24636.0777768632</v>
      </c>
      <c r="U89" s="15">
        <v>2001</v>
      </c>
      <c r="V89" s="15">
        <v>4</v>
      </c>
      <c r="W89" s="15">
        <v>24650.2633111424</v>
      </c>
      <c r="Z89" s="15">
        <v>2001</v>
      </c>
      <c r="AA89" s="15">
        <v>4</v>
      </c>
      <c r="AB89" s="15">
        <v>24647.946263807298</v>
      </c>
      <c r="AD89" s="18">
        <v>2001</v>
      </c>
      <c r="AE89" s="18">
        <v>4</v>
      </c>
      <c r="AF89" s="18">
        <v>24606.185857964399</v>
      </c>
      <c r="AH89" s="10">
        <v>2001</v>
      </c>
      <c r="AI89" s="10">
        <v>4</v>
      </c>
      <c r="AJ89" s="18">
        <v>24604.620748479199</v>
      </c>
      <c r="AL89" s="15">
        <v>2001</v>
      </c>
      <c r="AM89" s="15">
        <v>4</v>
      </c>
      <c r="AN89" s="15">
        <v>24604.458984615099</v>
      </c>
      <c r="AQ89" s="18">
        <v>2001</v>
      </c>
      <c r="AR89" s="18">
        <v>4</v>
      </c>
      <c r="AS89" s="18">
        <v>24610.6127299293</v>
      </c>
      <c r="AU89" s="10">
        <v>2001</v>
      </c>
      <c r="AV89" s="10">
        <v>4</v>
      </c>
      <c r="AW89" s="15">
        <v>24618.9947800154</v>
      </c>
      <c r="AY89" s="15">
        <v>2001</v>
      </c>
      <c r="AZ89" s="15">
        <v>4</v>
      </c>
      <c r="BA89" s="15">
        <v>24617.066912320199</v>
      </c>
      <c r="BC89" s="15">
        <v>2001</v>
      </c>
      <c r="BD89" s="15">
        <v>4</v>
      </c>
      <c r="BE89" s="15">
        <v>24619.009945748901</v>
      </c>
      <c r="BG89" s="15">
        <v>2001</v>
      </c>
      <c r="BH89" s="15">
        <v>4</v>
      </c>
      <c r="BI89" s="15">
        <v>24616.618580931499</v>
      </c>
    </row>
    <row r="90" spans="1:61" x14ac:dyDescent="0.25">
      <c r="A90" s="10">
        <v>2001</v>
      </c>
      <c r="B90" s="10">
        <v>5</v>
      </c>
      <c r="C90" s="11">
        <v>24359.182321631601</v>
      </c>
      <c r="G90" s="7">
        <v>2001</v>
      </c>
      <c r="H90" s="7">
        <v>2</v>
      </c>
      <c r="I90" s="13">
        <v>19445.8827091647</v>
      </c>
      <c r="L90" s="10">
        <v>2001</v>
      </c>
      <c r="M90" s="10">
        <v>5</v>
      </c>
      <c r="N90" s="18">
        <v>24414.1264850236</v>
      </c>
      <c r="Q90" s="15">
        <v>2001</v>
      </c>
      <c r="R90" s="15">
        <v>5</v>
      </c>
      <c r="S90" s="15">
        <v>24392.041640232699</v>
      </c>
      <c r="U90" s="15">
        <v>2001</v>
      </c>
      <c r="V90" s="15">
        <v>5</v>
      </c>
      <c r="W90" s="15">
        <v>24301.4315407719</v>
      </c>
      <c r="Z90" s="15">
        <v>2001</v>
      </c>
      <c r="AA90" s="15">
        <v>5</v>
      </c>
      <c r="AB90" s="15">
        <v>24310.639633554099</v>
      </c>
      <c r="AD90" s="18">
        <v>2001</v>
      </c>
      <c r="AE90" s="18">
        <v>5</v>
      </c>
      <c r="AF90" s="18">
        <v>24248.8367277328</v>
      </c>
      <c r="AH90" s="10">
        <v>2001</v>
      </c>
      <c r="AI90" s="10">
        <v>5</v>
      </c>
      <c r="AJ90" s="18">
        <v>24253.879470850799</v>
      </c>
      <c r="AL90" s="15">
        <v>2001</v>
      </c>
      <c r="AM90" s="15">
        <v>5</v>
      </c>
      <c r="AN90" s="15">
        <v>24254.821751902098</v>
      </c>
      <c r="AQ90" s="18">
        <v>2001</v>
      </c>
      <c r="AR90" s="18">
        <v>5</v>
      </c>
      <c r="AS90" s="18">
        <v>24235.414589037999</v>
      </c>
      <c r="AU90" s="10">
        <v>2001</v>
      </c>
      <c r="AV90" s="10">
        <v>5</v>
      </c>
      <c r="AW90" s="15">
        <v>24205.404392312699</v>
      </c>
      <c r="AY90" s="15">
        <v>2001</v>
      </c>
      <c r="AZ90" s="15">
        <v>5</v>
      </c>
      <c r="BA90" s="15">
        <v>24213.7460114676</v>
      </c>
      <c r="BC90" s="15">
        <v>2001</v>
      </c>
      <c r="BD90" s="15">
        <v>5</v>
      </c>
      <c r="BE90" s="15">
        <v>24207.029767427699</v>
      </c>
      <c r="BG90" s="15">
        <v>2001</v>
      </c>
      <c r="BH90" s="15">
        <v>5</v>
      </c>
      <c r="BI90" s="15">
        <v>24214.790487410799</v>
      </c>
    </row>
    <row r="91" spans="1:61" x14ac:dyDescent="0.25">
      <c r="A91" s="10">
        <v>2001</v>
      </c>
      <c r="B91" s="10">
        <v>6</v>
      </c>
      <c r="C91" s="11">
        <v>23337.578200191601</v>
      </c>
      <c r="G91" s="7">
        <v>2001</v>
      </c>
      <c r="H91" s="7">
        <v>3</v>
      </c>
      <c r="I91" s="13">
        <v>23922.241828699502</v>
      </c>
      <c r="L91" s="10">
        <v>2001</v>
      </c>
      <c r="M91" s="10">
        <v>6</v>
      </c>
      <c r="N91" s="18">
        <v>23323.990238292899</v>
      </c>
      <c r="Q91" s="15">
        <v>2001</v>
      </c>
      <c r="R91" s="15">
        <v>6</v>
      </c>
      <c r="S91" s="15">
        <v>23330.6033582444</v>
      </c>
      <c r="U91" s="15">
        <v>2001</v>
      </c>
      <c r="V91" s="15">
        <v>6</v>
      </c>
      <c r="W91" s="15">
        <v>23320.072683034399</v>
      </c>
      <c r="Z91" s="15">
        <v>2001</v>
      </c>
      <c r="AA91" s="15">
        <v>6</v>
      </c>
      <c r="AB91" s="15">
        <v>23317.665858458698</v>
      </c>
      <c r="AD91" s="18">
        <v>2001</v>
      </c>
      <c r="AE91" s="18">
        <v>6</v>
      </c>
      <c r="AF91" s="18">
        <v>23264.897451553101</v>
      </c>
      <c r="AH91" s="10">
        <v>2001</v>
      </c>
      <c r="AI91" s="10">
        <v>6</v>
      </c>
      <c r="AJ91" s="18">
        <v>23263.7082855997</v>
      </c>
      <c r="AL91" s="15">
        <v>2001</v>
      </c>
      <c r="AM91" s="15">
        <v>6</v>
      </c>
      <c r="AN91" s="15">
        <v>23263.240136033401</v>
      </c>
      <c r="AQ91" s="18">
        <v>2001</v>
      </c>
      <c r="AR91" s="18">
        <v>6</v>
      </c>
      <c r="AS91" s="18">
        <v>23267.374384430299</v>
      </c>
      <c r="AU91" s="10">
        <v>2001</v>
      </c>
      <c r="AV91" s="10">
        <v>6</v>
      </c>
      <c r="AW91" s="15">
        <v>23274.459828107902</v>
      </c>
      <c r="AY91" s="15">
        <v>2001</v>
      </c>
      <c r="AZ91" s="15">
        <v>6</v>
      </c>
      <c r="BA91" s="15">
        <v>23272.220214894602</v>
      </c>
      <c r="BC91" s="15">
        <v>2001</v>
      </c>
      <c r="BD91" s="15">
        <v>6</v>
      </c>
      <c r="BE91" s="15">
        <v>23273.668501327302</v>
      </c>
      <c r="BG91" s="15">
        <v>2001</v>
      </c>
      <c r="BH91" s="15">
        <v>6</v>
      </c>
      <c r="BI91" s="15">
        <v>23272.025783141198</v>
      </c>
    </row>
    <row r="92" spans="1:61" x14ac:dyDescent="0.25">
      <c r="A92" s="10">
        <v>2001</v>
      </c>
      <c r="B92" s="10">
        <v>7</v>
      </c>
      <c r="C92" s="11">
        <v>21163.5853569672</v>
      </c>
      <c r="G92" s="7">
        <v>2001</v>
      </c>
      <c r="H92" s="7">
        <v>4</v>
      </c>
      <c r="I92" s="13">
        <v>24506.5905749431</v>
      </c>
      <c r="L92" s="10">
        <v>2001</v>
      </c>
      <c r="M92" s="10">
        <v>7</v>
      </c>
      <c r="N92" s="18">
        <v>21087.5818265298</v>
      </c>
      <c r="Q92" s="15">
        <v>2001</v>
      </c>
      <c r="R92" s="15">
        <v>7</v>
      </c>
      <c r="S92" s="15">
        <v>21113.888243298701</v>
      </c>
      <c r="U92" s="15">
        <v>2001</v>
      </c>
      <c r="V92" s="15">
        <v>7</v>
      </c>
      <c r="W92" s="15">
        <v>20990.388909746402</v>
      </c>
      <c r="Z92" s="15">
        <v>2001</v>
      </c>
      <c r="AA92" s="15">
        <v>7</v>
      </c>
      <c r="AB92" s="15">
        <v>20990.172144687702</v>
      </c>
      <c r="AD92" s="18">
        <v>2001</v>
      </c>
      <c r="AE92" s="18">
        <v>7</v>
      </c>
      <c r="AF92" s="18">
        <v>21051.312615798299</v>
      </c>
      <c r="AH92" s="10">
        <v>2001</v>
      </c>
      <c r="AI92" s="10">
        <v>7</v>
      </c>
      <c r="AJ92" s="18">
        <v>21052.2031254664</v>
      </c>
      <c r="AL92" s="15">
        <v>2001</v>
      </c>
      <c r="AM92" s="15">
        <v>7</v>
      </c>
      <c r="AN92" s="15">
        <v>21051.840608256301</v>
      </c>
      <c r="AQ92" s="18">
        <v>2001</v>
      </c>
      <c r="AR92" s="18">
        <v>7</v>
      </c>
      <c r="AS92" s="18">
        <v>21047.539318167899</v>
      </c>
      <c r="AU92" s="10">
        <v>2001</v>
      </c>
      <c r="AV92" s="10">
        <v>7</v>
      </c>
      <c r="AW92" s="15">
        <v>21042.753721368499</v>
      </c>
      <c r="AY92" s="15">
        <v>2001</v>
      </c>
      <c r="AZ92" s="15">
        <v>7</v>
      </c>
      <c r="BA92" s="15">
        <v>21043.489827377402</v>
      </c>
      <c r="BC92" s="15">
        <v>2001</v>
      </c>
      <c r="BD92" s="15">
        <v>7</v>
      </c>
      <c r="BE92" s="15">
        <v>21042.200373862499</v>
      </c>
      <c r="BG92" s="15">
        <v>2001</v>
      </c>
      <c r="BH92" s="15">
        <v>7</v>
      </c>
      <c r="BI92" s="15">
        <v>21043.8761763156</v>
      </c>
    </row>
    <row r="93" spans="1:61" x14ac:dyDescent="0.25">
      <c r="A93" s="10">
        <v>2001</v>
      </c>
      <c r="B93" s="10">
        <v>8</v>
      </c>
      <c r="C93" s="11">
        <v>14131.7235365285</v>
      </c>
      <c r="G93" s="7">
        <v>2001</v>
      </c>
      <c r="H93" s="7">
        <v>5</v>
      </c>
      <c r="I93" s="13">
        <v>24154.2743094898</v>
      </c>
      <c r="L93" s="10">
        <v>2001</v>
      </c>
      <c r="M93" s="10">
        <v>8</v>
      </c>
      <c r="N93" s="18">
        <v>14149.3188055796</v>
      </c>
      <c r="Q93" s="15">
        <v>2001</v>
      </c>
      <c r="R93" s="15">
        <v>8</v>
      </c>
      <c r="S93" s="15">
        <v>14129.0662619659</v>
      </c>
      <c r="U93" s="15">
        <v>2001</v>
      </c>
      <c r="V93" s="15">
        <v>8</v>
      </c>
      <c r="W93" s="15">
        <v>14016.7850334138</v>
      </c>
      <c r="Z93" s="15">
        <v>2001</v>
      </c>
      <c r="AA93" s="15">
        <v>8</v>
      </c>
      <c r="AB93" s="15">
        <v>14028.418761704799</v>
      </c>
      <c r="AD93" s="18">
        <v>2001</v>
      </c>
      <c r="AE93" s="18">
        <v>8</v>
      </c>
      <c r="AF93" s="18">
        <v>13931.398973363801</v>
      </c>
      <c r="AH93" s="10">
        <v>2001</v>
      </c>
      <c r="AI93" s="10">
        <v>8</v>
      </c>
      <c r="AJ93" s="18">
        <v>13937.573487633301</v>
      </c>
      <c r="AL93" s="15">
        <v>2001</v>
      </c>
      <c r="AM93" s="15">
        <v>8</v>
      </c>
      <c r="AN93" s="15">
        <v>13938.8099899678</v>
      </c>
      <c r="AQ93" s="18">
        <v>2001</v>
      </c>
      <c r="AR93" s="18">
        <v>8</v>
      </c>
      <c r="AS93" s="18">
        <v>13915.2336564665</v>
      </c>
      <c r="AU93" s="10">
        <v>2001</v>
      </c>
      <c r="AV93" s="10">
        <v>8</v>
      </c>
      <c r="AW93" s="15">
        <v>13881.4623194701</v>
      </c>
      <c r="AY93" s="15">
        <v>2001</v>
      </c>
      <c r="AZ93" s="15">
        <v>8</v>
      </c>
      <c r="BA93" s="15">
        <v>13888.9700132824</v>
      </c>
      <c r="BC93" s="15">
        <v>2001</v>
      </c>
      <c r="BD93" s="15">
        <v>8</v>
      </c>
      <c r="BE93" s="15">
        <v>13880.8865069772</v>
      </c>
      <c r="BG93" s="15">
        <v>2001</v>
      </c>
      <c r="BH93" s="15">
        <v>8</v>
      </c>
      <c r="BI93" s="15">
        <v>13890.270355203</v>
      </c>
    </row>
    <row r="94" spans="1:61" x14ac:dyDescent="0.25">
      <c r="A94" s="10">
        <v>2001</v>
      </c>
      <c r="B94" s="10">
        <v>9</v>
      </c>
      <c r="C94" s="11">
        <v>15305.791417558899</v>
      </c>
      <c r="G94" s="7">
        <v>2001</v>
      </c>
      <c r="H94" s="7">
        <v>6</v>
      </c>
      <c r="I94" s="13">
        <v>23164.9717235401</v>
      </c>
      <c r="L94" s="10">
        <v>2001</v>
      </c>
      <c r="M94" s="10">
        <v>9</v>
      </c>
      <c r="N94" s="18">
        <v>15160.0546830644</v>
      </c>
      <c r="Q94" s="15">
        <v>2001</v>
      </c>
      <c r="R94" s="15">
        <v>9</v>
      </c>
      <c r="S94" s="15">
        <v>15195.408288184601</v>
      </c>
      <c r="U94" s="15">
        <v>2001</v>
      </c>
      <c r="V94" s="15">
        <v>9</v>
      </c>
      <c r="W94" s="15">
        <v>15244.971390098301</v>
      </c>
      <c r="Z94" s="15">
        <v>2001</v>
      </c>
      <c r="AA94" s="15">
        <v>9</v>
      </c>
      <c r="AB94" s="15">
        <v>15233.146141367</v>
      </c>
      <c r="AD94" s="18">
        <v>2001</v>
      </c>
      <c r="AE94" s="18">
        <v>9</v>
      </c>
      <c r="AF94" s="18">
        <v>15153.9536702038</v>
      </c>
      <c r="AH94" s="10">
        <v>2001</v>
      </c>
      <c r="AI94" s="10">
        <v>9</v>
      </c>
      <c r="AJ94" s="18">
        <v>15148.0578727298</v>
      </c>
      <c r="AL94" s="15">
        <v>2001</v>
      </c>
      <c r="AM94" s="15">
        <v>9</v>
      </c>
      <c r="AN94" s="15">
        <v>15145.927115198199</v>
      </c>
      <c r="AQ94" s="18">
        <v>2001</v>
      </c>
      <c r="AR94" s="18">
        <v>9</v>
      </c>
      <c r="AS94" s="18">
        <v>15166.924325804801</v>
      </c>
      <c r="AU94" s="10">
        <v>2001</v>
      </c>
      <c r="AV94" s="10">
        <v>9</v>
      </c>
      <c r="AW94" s="15">
        <v>15202.9478606017</v>
      </c>
      <c r="AY94" s="15">
        <v>2001</v>
      </c>
      <c r="AZ94" s="15">
        <v>9</v>
      </c>
      <c r="BA94" s="15">
        <v>15191.7603176129</v>
      </c>
      <c r="BC94" s="15">
        <v>2001</v>
      </c>
      <c r="BD94" s="15">
        <v>9</v>
      </c>
      <c r="BE94" s="15">
        <v>15199.369548548801</v>
      </c>
      <c r="BG94" s="15">
        <v>2001</v>
      </c>
      <c r="BH94" s="15">
        <v>9</v>
      </c>
      <c r="BI94" s="15">
        <v>15190.9450847026</v>
      </c>
    </row>
    <row r="95" spans="1:61" x14ac:dyDescent="0.25">
      <c r="A95" s="10">
        <v>2001</v>
      </c>
      <c r="B95" s="10">
        <v>10</v>
      </c>
      <c r="C95" s="11">
        <v>14433.964943642501</v>
      </c>
      <c r="G95" s="7">
        <v>2001</v>
      </c>
      <c r="H95" s="7">
        <v>7</v>
      </c>
      <c r="I95" s="13">
        <v>21038.526421619099</v>
      </c>
      <c r="L95" s="10">
        <v>2001</v>
      </c>
      <c r="M95" s="10">
        <v>10</v>
      </c>
      <c r="N95" s="18">
        <v>14395.754478159301</v>
      </c>
      <c r="Q95" s="15">
        <v>2001</v>
      </c>
      <c r="R95" s="15">
        <v>10</v>
      </c>
      <c r="S95" s="15">
        <v>14415.6088346207</v>
      </c>
      <c r="U95" s="15">
        <v>2001</v>
      </c>
      <c r="V95" s="15">
        <v>10</v>
      </c>
      <c r="W95" s="15">
        <v>14275.587510646499</v>
      </c>
      <c r="Z95" s="15">
        <v>2001</v>
      </c>
      <c r="AA95" s="15">
        <v>10</v>
      </c>
      <c r="AB95" s="15">
        <v>14281.119870909401</v>
      </c>
      <c r="AD95" s="18">
        <v>2001</v>
      </c>
      <c r="AE95" s="18">
        <v>10</v>
      </c>
      <c r="AF95" s="18">
        <v>14183.334347993001</v>
      </c>
      <c r="AH95" s="10">
        <v>2001</v>
      </c>
      <c r="AI95" s="10">
        <v>10</v>
      </c>
      <c r="AJ95" s="18">
        <v>14187.1619342298</v>
      </c>
      <c r="AL95" s="15">
        <v>2001</v>
      </c>
      <c r="AM95" s="15">
        <v>10</v>
      </c>
      <c r="AN95" s="15">
        <v>14186.9493386006</v>
      </c>
      <c r="AQ95" s="18">
        <v>2001</v>
      </c>
      <c r="AR95" s="18">
        <v>10</v>
      </c>
      <c r="AS95" s="18">
        <v>14170.754661733199</v>
      </c>
      <c r="AU95" s="10">
        <v>2001</v>
      </c>
      <c r="AV95" s="10">
        <v>10</v>
      </c>
      <c r="AW95" s="15">
        <v>14149.4149664295</v>
      </c>
      <c r="AY95" s="15">
        <v>2001</v>
      </c>
      <c r="AZ95" s="15">
        <v>10</v>
      </c>
      <c r="BA95" s="15">
        <v>14154.149583767399</v>
      </c>
      <c r="BC95" s="15">
        <v>2001</v>
      </c>
      <c r="BD95" s="15">
        <v>10</v>
      </c>
      <c r="BE95" s="15">
        <v>14148.986505062099</v>
      </c>
      <c r="BG95" s="15">
        <v>2001</v>
      </c>
      <c r="BH95" s="15">
        <v>10</v>
      </c>
      <c r="BI95" s="15">
        <v>14155.390035486</v>
      </c>
    </row>
    <row r="96" spans="1:61" x14ac:dyDescent="0.25">
      <c r="A96" s="10">
        <v>2001</v>
      </c>
      <c r="B96" s="10">
        <v>11</v>
      </c>
      <c r="C96" s="11">
        <v>13250.328484152</v>
      </c>
      <c r="G96" s="7">
        <v>2001</v>
      </c>
      <c r="H96" s="7">
        <v>8</v>
      </c>
      <c r="I96" s="13">
        <v>13928.687837208599</v>
      </c>
      <c r="L96" s="10">
        <v>2001</v>
      </c>
      <c r="M96" s="10">
        <v>11</v>
      </c>
      <c r="N96" s="18">
        <v>13215.399295642401</v>
      </c>
      <c r="Q96" s="15">
        <v>2001</v>
      </c>
      <c r="R96" s="15">
        <v>11</v>
      </c>
      <c r="S96" s="15">
        <v>13241.371020525299</v>
      </c>
      <c r="U96" s="15">
        <v>2001</v>
      </c>
      <c r="V96" s="15">
        <v>11</v>
      </c>
      <c r="W96" s="15">
        <v>13100.6408978613</v>
      </c>
      <c r="Z96" s="15">
        <v>2001</v>
      </c>
      <c r="AA96" s="15">
        <v>11</v>
      </c>
      <c r="AB96" s="15">
        <v>13104.588078635999</v>
      </c>
      <c r="AD96" s="18">
        <v>2001</v>
      </c>
      <c r="AE96" s="18">
        <v>11</v>
      </c>
      <c r="AF96" s="18">
        <v>13008.7634741809</v>
      </c>
      <c r="AH96" s="10">
        <v>2001</v>
      </c>
      <c r="AI96" s="10">
        <v>11</v>
      </c>
      <c r="AJ96" s="18">
        <v>13011.7064673246</v>
      </c>
      <c r="AL96" s="15">
        <v>2001</v>
      </c>
      <c r="AM96" s="15">
        <v>11</v>
      </c>
      <c r="AN96" s="15">
        <v>13011.268662041</v>
      </c>
      <c r="AQ96" s="18">
        <v>2001</v>
      </c>
      <c r="AR96" s="18">
        <v>11</v>
      </c>
      <c r="AS96" s="18">
        <v>12998.368802171</v>
      </c>
      <c r="AU96" s="10">
        <v>2001</v>
      </c>
      <c r="AV96" s="10">
        <v>11</v>
      </c>
      <c r="AW96" s="15">
        <v>12981.386527333199</v>
      </c>
      <c r="AY96" s="15">
        <v>2001</v>
      </c>
      <c r="AZ96" s="15">
        <v>11</v>
      </c>
      <c r="BA96" s="15">
        <v>12985.4998226638</v>
      </c>
      <c r="BC96" s="15">
        <v>2001</v>
      </c>
      <c r="BD96" s="15">
        <v>11</v>
      </c>
      <c r="BE96" s="15">
        <v>12981.483442171901</v>
      </c>
      <c r="BG96" s="15">
        <v>2001</v>
      </c>
      <c r="BH96" s="15">
        <v>11</v>
      </c>
      <c r="BI96" s="15">
        <v>12986.5797701142</v>
      </c>
    </row>
    <row r="97" spans="1:61" x14ac:dyDescent="0.25">
      <c r="A97" s="10">
        <v>2001</v>
      </c>
      <c r="B97" s="10">
        <v>12</v>
      </c>
      <c r="C97" s="11">
        <v>12089.4992617689</v>
      </c>
      <c r="G97" s="7">
        <v>2001</v>
      </c>
      <c r="H97" s="7">
        <v>9</v>
      </c>
      <c r="I97" s="13">
        <v>15034.879313387601</v>
      </c>
      <c r="L97" s="10">
        <v>2001</v>
      </c>
      <c r="M97" s="10">
        <v>12</v>
      </c>
      <c r="N97" s="18">
        <v>11970.527973824799</v>
      </c>
      <c r="Q97" s="15">
        <v>2001</v>
      </c>
      <c r="R97" s="15">
        <v>12</v>
      </c>
      <c r="S97" s="15">
        <v>12112.491941876</v>
      </c>
      <c r="U97" s="15">
        <v>2001</v>
      </c>
      <c r="V97" s="15">
        <v>12</v>
      </c>
      <c r="W97" s="15">
        <v>12047.129462268</v>
      </c>
      <c r="Z97" s="15">
        <v>2001</v>
      </c>
      <c r="AA97" s="15">
        <v>12</v>
      </c>
      <c r="AB97" s="15">
        <v>12031.0082473969</v>
      </c>
      <c r="AD97" s="18">
        <v>2001</v>
      </c>
      <c r="AE97" s="18">
        <v>12</v>
      </c>
      <c r="AF97" s="18">
        <v>11947.599283130699</v>
      </c>
      <c r="AH97" s="10">
        <v>2001</v>
      </c>
      <c r="AI97" s="10">
        <v>12</v>
      </c>
      <c r="AJ97" s="18">
        <v>11940.094011319299</v>
      </c>
      <c r="AL97" s="15">
        <v>2001</v>
      </c>
      <c r="AM97" s="15">
        <v>12</v>
      </c>
      <c r="AN97" s="15">
        <v>11937.0676290217</v>
      </c>
      <c r="AQ97" s="18">
        <v>2001</v>
      </c>
      <c r="AR97" s="18">
        <v>12</v>
      </c>
      <c r="AS97" s="18">
        <v>11963.238637128101</v>
      </c>
      <c r="AU97" s="10">
        <v>2001</v>
      </c>
      <c r="AV97" s="10">
        <v>12</v>
      </c>
      <c r="AW97" s="15">
        <v>12005.5082378312</v>
      </c>
      <c r="AY97" s="15">
        <v>2001</v>
      </c>
      <c r="AZ97" s="15">
        <v>12</v>
      </c>
      <c r="BA97" s="15">
        <v>11994.6229470906</v>
      </c>
      <c r="BC97" s="15">
        <v>2001</v>
      </c>
      <c r="BD97" s="15">
        <v>12</v>
      </c>
      <c r="BE97" s="15">
        <v>12004.192978277</v>
      </c>
      <c r="BG97" s="15">
        <v>2001</v>
      </c>
      <c r="BH97" s="15">
        <v>12</v>
      </c>
      <c r="BI97" s="15">
        <v>11993.6893835629</v>
      </c>
    </row>
    <row r="98" spans="1:61" x14ac:dyDescent="0.25">
      <c r="A98" s="10">
        <v>2002</v>
      </c>
      <c r="B98" s="10">
        <v>1</v>
      </c>
      <c r="C98" s="11">
        <v>12530.077211575899</v>
      </c>
      <c r="G98" s="7">
        <v>2001</v>
      </c>
      <c r="H98" s="7">
        <v>10</v>
      </c>
      <c r="I98" s="13">
        <v>14167.5277490106</v>
      </c>
      <c r="L98" s="10">
        <v>2002</v>
      </c>
      <c r="M98" s="10">
        <v>1</v>
      </c>
      <c r="N98" s="18">
        <v>12598.591855610501</v>
      </c>
      <c r="Q98" s="15">
        <v>2002</v>
      </c>
      <c r="R98" s="15">
        <v>1</v>
      </c>
      <c r="S98" s="15">
        <v>12540.567354576</v>
      </c>
      <c r="U98" s="15">
        <v>2002</v>
      </c>
      <c r="V98" s="15">
        <v>1</v>
      </c>
      <c r="W98" s="15">
        <v>12791.982319835501</v>
      </c>
      <c r="Z98" s="15">
        <v>2002</v>
      </c>
      <c r="AA98" s="15">
        <v>1</v>
      </c>
      <c r="AB98" s="15">
        <v>12801.4894143569</v>
      </c>
      <c r="AD98" s="18">
        <v>2002</v>
      </c>
      <c r="AE98" s="18">
        <v>1</v>
      </c>
      <c r="AF98" s="18">
        <v>13491.4231470788</v>
      </c>
      <c r="AH98" s="10">
        <v>2002</v>
      </c>
      <c r="AI98" s="10">
        <v>1</v>
      </c>
      <c r="AJ98" s="18">
        <v>13493.8141766389</v>
      </c>
      <c r="AL98" s="15">
        <v>2002</v>
      </c>
      <c r="AM98" s="15">
        <v>1</v>
      </c>
      <c r="AN98" s="15">
        <v>13499.516913654699</v>
      </c>
      <c r="AQ98" s="18">
        <v>2002</v>
      </c>
      <c r="AR98" s="18">
        <v>1</v>
      </c>
      <c r="AS98" s="18">
        <v>13499.1963367892</v>
      </c>
      <c r="AU98" s="10">
        <v>2002</v>
      </c>
      <c r="AV98" s="10">
        <v>1</v>
      </c>
      <c r="AW98" s="15">
        <v>13489.277010174501</v>
      </c>
      <c r="AY98" s="15">
        <v>2002</v>
      </c>
      <c r="AZ98" s="15">
        <v>1</v>
      </c>
      <c r="BA98" s="15">
        <v>13491.522998119</v>
      </c>
      <c r="BC98" s="15">
        <v>2002</v>
      </c>
      <c r="BD98" s="15">
        <v>1</v>
      </c>
      <c r="BE98" s="15">
        <v>13489.5830903732</v>
      </c>
      <c r="BG98" s="15">
        <v>2002</v>
      </c>
      <c r="BH98" s="15">
        <v>1</v>
      </c>
      <c r="BI98" s="15">
        <v>13489.870262381301</v>
      </c>
    </row>
    <row r="99" spans="1:61" x14ac:dyDescent="0.25">
      <c r="A99" s="10">
        <v>2002</v>
      </c>
      <c r="B99" s="10">
        <v>2</v>
      </c>
      <c r="C99" s="11">
        <v>12083.763004447301</v>
      </c>
      <c r="G99" s="7">
        <v>2001</v>
      </c>
      <c r="H99" s="7">
        <v>11</v>
      </c>
      <c r="I99" s="13">
        <v>13012.7578341059</v>
      </c>
      <c r="L99" s="10">
        <v>2002</v>
      </c>
      <c r="M99" s="10">
        <v>2</v>
      </c>
      <c r="N99" s="18">
        <v>12701.617248463999</v>
      </c>
      <c r="Q99" s="15">
        <v>2002</v>
      </c>
      <c r="R99" s="15">
        <v>2</v>
      </c>
      <c r="S99" s="15">
        <v>12243.958956062699</v>
      </c>
      <c r="U99" s="15">
        <v>2002</v>
      </c>
      <c r="V99" s="15">
        <v>2</v>
      </c>
      <c r="W99" s="15">
        <v>13317.9098348802</v>
      </c>
      <c r="Z99" s="15">
        <v>2002</v>
      </c>
      <c r="AA99" s="15">
        <v>2</v>
      </c>
      <c r="AB99" s="15">
        <v>13351.5119248342</v>
      </c>
      <c r="AD99" s="18">
        <v>2002</v>
      </c>
      <c r="AE99" s="18">
        <v>2</v>
      </c>
      <c r="AF99" s="18">
        <v>13407.8735184453</v>
      </c>
      <c r="AH99" s="10">
        <v>2002</v>
      </c>
      <c r="AI99" s="10">
        <v>2</v>
      </c>
      <c r="AJ99" s="18">
        <v>13409.4245018889</v>
      </c>
      <c r="AL99" s="15">
        <v>2002</v>
      </c>
      <c r="AM99" s="15">
        <v>2</v>
      </c>
      <c r="AN99" s="15">
        <v>13423.310744889601</v>
      </c>
      <c r="AQ99" s="18">
        <v>2002</v>
      </c>
      <c r="AR99" s="18">
        <v>2</v>
      </c>
      <c r="AS99" s="18">
        <v>13438.5120052493</v>
      </c>
      <c r="AU99" s="10">
        <v>2002</v>
      </c>
      <c r="AV99" s="10">
        <v>2</v>
      </c>
      <c r="AW99" s="15">
        <v>13434.7425068747</v>
      </c>
      <c r="AY99" s="15">
        <v>2002</v>
      </c>
      <c r="AZ99" s="15">
        <v>2</v>
      </c>
      <c r="BA99" s="15">
        <v>13434.3892860615</v>
      </c>
      <c r="BC99" s="15">
        <v>2002</v>
      </c>
      <c r="BD99" s="15">
        <v>2</v>
      </c>
      <c r="BE99" s="15">
        <v>13433.655511433901</v>
      </c>
      <c r="BG99" s="15">
        <v>2002</v>
      </c>
      <c r="BH99" s="15">
        <v>2</v>
      </c>
      <c r="BI99" s="15">
        <v>13429.4311095378</v>
      </c>
    </row>
    <row r="100" spans="1:61" x14ac:dyDescent="0.25">
      <c r="A100" s="10">
        <v>2002</v>
      </c>
      <c r="B100" s="10">
        <v>3</v>
      </c>
      <c r="C100" s="11">
        <v>11809.0191528946</v>
      </c>
      <c r="G100" s="7">
        <v>2001</v>
      </c>
      <c r="H100" s="7">
        <v>12</v>
      </c>
      <c r="I100" s="13">
        <v>11057.5264774146</v>
      </c>
      <c r="L100" s="10">
        <v>2002</v>
      </c>
      <c r="M100" s="10">
        <v>3</v>
      </c>
      <c r="N100" s="18">
        <v>11775.3667169111</v>
      </c>
      <c r="Q100" s="15">
        <v>2002</v>
      </c>
      <c r="R100" s="15">
        <v>3</v>
      </c>
      <c r="S100" s="15">
        <v>11811.0374368905</v>
      </c>
      <c r="U100" s="15">
        <v>2002</v>
      </c>
      <c r="V100" s="15">
        <v>3</v>
      </c>
      <c r="W100" s="15">
        <v>11826.3805503327</v>
      </c>
      <c r="Z100" s="15">
        <v>2002</v>
      </c>
      <c r="AA100" s="15">
        <v>3</v>
      </c>
      <c r="AB100" s="15">
        <v>11814.234510422</v>
      </c>
      <c r="AD100" s="18">
        <v>2002</v>
      </c>
      <c r="AE100" s="18">
        <v>3</v>
      </c>
      <c r="AF100" s="18">
        <v>11743.4302647898</v>
      </c>
      <c r="AH100" s="10">
        <v>2002</v>
      </c>
      <c r="AI100" s="10">
        <v>3</v>
      </c>
      <c r="AJ100" s="18">
        <v>11737.206557498401</v>
      </c>
      <c r="AL100" s="15">
        <v>2002</v>
      </c>
      <c r="AM100" s="15">
        <v>3</v>
      </c>
      <c r="AN100" s="15">
        <v>11735.279425352999</v>
      </c>
      <c r="AQ100" s="18">
        <v>2002</v>
      </c>
      <c r="AR100" s="18">
        <v>3</v>
      </c>
      <c r="AS100" s="18">
        <v>11757.928945407701</v>
      </c>
      <c r="AU100" s="10">
        <v>2002</v>
      </c>
      <c r="AV100" s="10">
        <v>3</v>
      </c>
      <c r="AW100" s="15">
        <v>11792.580407207601</v>
      </c>
      <c r="AY100" s="15">
        <v>2002</v>
      </c>
      <c r="AZ100" s="15">
        <v>3</v>
      </c>
      <c r="BA100" s="15">
        <v>11784.0846700939</v>
      </c>
      <c r="BC100" s="15">
        <v>2002</v>
      </c>
      <c r="BD100" s="15">
        <v>3</v>
      </c>
      <c r="BE100" s="15">
        <v>11792.072207167799</v>
      </c>
      <c r="BG100" s="15">
        <v>2002</v>
      </c>
      <c r="BH100" s="15">
        <v>3</v>
      </c>
      <c r="BI100" s="15">
        <v>11783.012171455801</v>
      </c>
    </row>
    <row r="101" spans="1:61" x14ac:dyDescent="0.25">
      <c r="A101" s="10">
        <v>2002</v>
      </c>
      <c r="B101" s="10">
        <v>4</v>
      </c>
      <c r="C101" s="11">
        <v>13607.9926300154</v>
      </c>
      <c r="G101" s="7">
        <v>2002</v>
      </c>
      <c r="H101" s="7">
        <v>1</v>
      </c>
      <c r="I101" s="13">
        <v>15582.3377914293</v>
      </c>
      <c r="L101" s="10">
        <v>2002</v>
      </c>
      <c r="M101" s="10">
        <v>4</v>
      </c>
      <c r="N101" s="18">
        <v>13652.7996266722</v>
      </c>
      <c r="Q101" s="15">
        <v>2002</v>
      </c>
      <c r="R101" s="15">
        <v>4</v>
      </c>
      <c r="S101" s="15">
        <v>13649.4773911058</v>
      </c>
      <c r="U101" s="15">
        <v>2002</v>
      </c>
      <c r="V101" s="15">
        <v>4</v>
      </c>
      <c r="W101" s="15">
        <v>13537.859813401899</v>
      </c>
      <c r="Z101" s="15">
        <v>2002</v>
      </c>
      <c r="AA101" s="15">
        <v>4</v>
      </c>
      <c r="AB101" s="15">
        <v>13543.8589761314</v>
      </c>
      <c r="AD101" s="18">
        <v>2002</v>
      </c>
      <c r="AE101" s="18">
        <v>4</v>
      </c>
      <c r="AF101" s="18">
        <v>13454.347384724</v>
      </c>
      <c r="AH101" s="10">
        <v>2002</v>
      </c>
      <c r="AI101" s="10">
        <v>4</v>
      </c>
      <c r="AJ101" s="18">
        <v>13458.0982475524</v>
      </c>
      <c r="AL101" s="15">
        <v>2002</v>
      </c>
      <c r="AM101" s="15">
        <v>4</v>
      </c>
      <c r="AN101" s="15">
        <v>13458.235627075601</v>
      </c>
      <c r="AQ101" s="18">
        <v>2002</v>
      </c>
      <c r="AR101" s="18">
        <v>4</v>
      </c>
      <c r="AS101" s="18">
        <v>13442.9108770572</v>
      </c>
      <c r="AU101" s="10">
        <v>2002</v>
      </c>
      <c r="AV101" s="10">
        <v>4</v>
      </c>
      <c r="AW101" s="15">
        <v>13419.6890991948</v>
      </c>
      <c r="AY101" s="15">
        <v>2002</v>
      </c>
      <c r="AZ101" s="15">
        <v>4</v>
      </c>
      <c r="BA101" s="15">
        <v>13426.6426784667</v>
      </c>
      <c r="BC101" s="15">
        <v>2002</v>
      </c>
      <c r="BD101" s="15">
        <v>4</v>
      </c>
      <c r="BE101" s="15">
        <v>13421.5718000746</v>
      </c>
      <c r="BG101" s="15">
        <v>2002</v>
      </c>
      <c r="BH101" s="15">
        <v>4</v>
      </c>
      <c r="BI101" s="15">
        <v>13427.6488291924</v>
      </c>
    </row>
    <row r="102" spans="1:61" x14ac:dyDescent="0.25">
      <c r="A102" s="10">
        <v>2002</v>
      </c>
      <c r="B102" s="10">
        <v>5</v>
      </c>
      <c r="C102" s="11">
        <v>11754.093478458801</v>
      </c>
      <c r="G102" s="7">
        <v>2002</v>
      </c>
      <c r="H102" s="7">
        <v>2</v>
      </c>
      <c r="I102" s="13">
        <v>11997.426191270901</v>
      </c>
      <c r="L102" s="10">
        <v>2002</v>
      </c>
      <c r="M102" s="10">
        <v>5</v>
      </c>
      <c r="N102" s="18">
        <v>11790.981534251699</v>
      </c>
      <c r="Q102" s="15">
        <v>2002</v>
      </c>
      <c r="R102" s="15">
        <v>5</v>
      </c>
      <c r="S102" s="15">
        <v>11783.080022583699</v>
      </c>
      <c r="U102" s="15">
        <v>2002</v>
      </c>
      <c r="V102" s="15">
        <v>5</v>
      </c>
      <c r="W102" s="15">
        <v>11674.2754713139</v>
      </c>
      <c r="Z102" s="15">
        <v>2002</v>
      </c>
      <c r="AA102" s="15">
        <v>5</v>
      </c>
      <c r="AB102" s="15">
        <v>11681.8003440756</v>
      </c>
      <c r="AD102" s="18">
        <v>2002</v>
      </c>
      <c r="AE102" s="18">
        <v>5</v>
      </c>
      <c r="AF102" s="18">
        <v>11590.789516549299</v>
      </c>
      <c r="AH102" s="10">
        <v>2002</v>
      </c>
      <c r="AI102" s="10">
        <v>5</v>
      </c>
      <c r="AJ102" s="18">
        <v>11595.3136566219</v>
      </c>
      <c r="AL102" s="15">
        <v>2002</v>
      </c>
      <c r="AM102" s="15">
        <v>5</v>
      </c>
      <c r="AN102" s="15">
        <v>11595.682656451399</v>
      </c>
      <c r="AQ102" s="18">
        <v>2002</v>
      </c>
      <c r="AR102" s="18">
        <v>5</v>
      </c>
      <c r="AS102" s="18">
        <v>11577.5279217431</v>
      </c>
      <c r="AU102" s="10">
        <v>2002</v>
      </c>
      <c r="AV102" s="10">
        <v>5</v>
      </c>
      <c r="AW102" s="15">
        <v>11550.8383859655</v>
      </c>
      <c r="AY102" s="15">
        <v>2002</v>
      </c>
      <c r="AZ102" s="15">
        <v>5</v>
      </c>
      <c r="BA102" s="15">
        <v>11558.000494559599</v>
      </c>
      <c r="BC102" s="15">
        <v>2002</v>
      </c>
      <c r="BD102" s="15">
        <v>5</v>
      </c>
      <c r="BE102" s="15">
        <v>11551.9329818201</v>
      </c>
      <c r="BG102" s="15">
        <v>2002</v>
      </c>
      <c r="BH102" s="15">
        <v>5</v>
      </c>
      <c r="BI102" s="15">
        <v>11559.1443264012</v>
      </c>
    </row>
    <row r="103" spans="1:61" x14ac:dyDescent="0.25">
      <c r="A103" s="10">
        <v>2002</v>
      </c>
      <c r="B103" s="10">
        <v>6</v>
      </c>
      <c r="C103" s="11">
        <v>13356.1901755699</v>
      </c>
      <c r="G103" s="7">
        <v>2002</v>
      </c>
      <c r="H103" s="7">
        <v>3</v>
      </c>
      <c r="I103" s="13">
        <v>11647.1303098069</v>
      </c>
      <c r="L103" s="10">
        <v>2002</v>
      </c>
      <c r="M103" s="10">
        <v>6</v>
      </c>
      <c r="N103" s="18">
        <v>13271.391840070301</v>
      </c>
      <c r="Q103" s="15">
        <v>2002</v>
      </c>
      <c r="R103" s="15">
        <v>6</v>
      </c>
      <c r="S103" s="15">
        <v>13306.432198995801</v>
      </c>
      <c r="U103" s="15">
        <v>2002</v>
      </c>
      <c r="V103" s="15">
        <v>6</v>
      </c>
      <c r="W103" s="15">
        <v>13380.7396684133</v>
      </c>
      <c r="Z103" s="15">
        <v>2002</v>
      </c>
      <c r="AA103" s="15">
        <v>6</v>
      </c>
      <c r="AB103" s="15">
        <v>13366.507864301801</v>
      </c>
      <c r="AD103" s="18">
        <v>2002</v>
      </c>
      <c r="AE103" s="18">
        <v>6</v>
      </c>
      <c r="AF103" s="18">
        <v>13299.0169709982</v>
      </c>
      <c r="AH103" s="10">
        <v>2002</v>
      </c>
      <c r="AI103" s="10">
        <v>6</v>
      </c>
      <c r="AJ103" s="18">
        <v>13291.4468387405</v>
      </c>
      <c r="AL103" s="15">
        <v>2002</v>
      </c>
      <c r="AM103" s="15">
        <v>6</v>
      </c>
      <c r="AN103" s="15">
        <v>13289.4679194156</v>
      </c>
      <c r="AQ103" s="18">
        <v>2002</v>
      </c>
      <c r="AR103" s="18">
        <v>6</v>
      </c>
      <c r="AS103" s="18">
        <v>13317.605892151099</v>
      </c>
      <c r="AU103" s="10">
        <v>2002</v>
      </c>
      <c r="AV103" s="10">
        <v>6</v>
      </c>
      <c r="AW103" s="15">
        <v>13363.0903024779</v>
      </c>
      <c r="AY103" s="15">
        <v>2002</v>
      </c>
      <c r="AZ103" s="15">
        <v>6</v>
      </c>
      <c r="BA103" s="15">
        <v>13349.578414139</v>
      </c>
      <c r="BC103" s="15">
        <v>2002</v>
      </c>
      <c r="BD103" s="15">
        <v>6</v>
      </c>
      <c r="BE103" s="15">
        <v>13359.3753832928</v>
      </c>
      <c r="BG103" s="15">
        <v>2002</v>
      </c>
      <c r="BH103" s="15">
        <v>6</v>
      </c>
      <c r="BI103" s="15">
        <v>13348.144780267399</v>
      </c>
    </row>
    <row r="104" spans="1:61" x14ac:dyDescent="0.25">
      <c r="A104" s="10">
        <v>2002</v>
      </c>
      <c r="B104" s="10">
        <v>7</v>
      </c>
      <c r="C104" s="11">
        <v>12706.7253270617</v>
      </c>
      <c r="G104" s="7">
        <v>2002</v>
      </c>
      <c r="H104" s="7">
        <v>4</v>
      </c>
      <c r="I104" s="13">
        <v>13339.3068960561</v>
      </c>
      <c r="L104" s="10">
        <v>2002</v>
      </c>
      <c r="M104" s="10">
        <v>7</v>
      </c>
      <c r="N104" s="18">
        <v>12638.1154166249</v>
      </c>
      <c r="Q104" s="15">
        <v>2002</v>
      </c>
      <c r="R104" s="15">
        <v>7</v>
      </c>
      <c r="S104" s="15">
        <v>12655.118319142201</v>
      </c>
      <c r="U104" s="15">
        <v>2002</v>
      </c>
      <c r="V104" s="15">
        <v>7</v>
      </c>
      <c r="W104" s="15">
        <v>12391.893140615</v>
      </c>
      <c r="Z104" s="15">
        <v>2002</v>
      </c>
      <c r="AA104" s="15">
        <v>7</v>
      </c>
      <c r="AB104" s="15">
        <v>12403.6131015257</v>
      </c>
      <c r="AD104" s="18">
        <v>2002</v>
      </c>
      <c r="AE104" s="18">
        <v>7</v>
      </c>
      <c r="AF104" s="18">
        <v>12490.9184549358</v>
      </c>
      <c r="AH104" s="10">
        <v>2002</v>
      </c>
      <c r="AI104" s="10">
        <v>7</v>
      </c>
      <c r="AJ104" s="18">
        <v>12498.904847080399</v>
      </c>
      <c r="AL104" s="15">
        <v>2002</v>
      </c>
      <c r="AM104" s="15">
        <v>7</v>
      </c>
      <c r="AN104" s="15">
        <v>12499.664370255199</v>
      </c>
      <c r="AQ104" s="18">
        <v>2002</v>
      </c>
      <c r="AR104" s="18">
        <v>7</v>
      </c>
      <c r="AS104" s="18">
        <v>12467.802124786</v>
      </c>
      <c r="AU104" s="10">
        <v>2002</v>
      </c>
      <c r="AV104" s="10">
        <v>7</v>
      </c>
      <c r="AW104" s="15">
        <v>12422.421714346199</v>
      </c>
      <c r="AY104" s="15">
        <v>2002</v>
      </c>
      <c r="AZ104" s="15">
        <v>7</v>
      </c>
      <c r="BA104" s="15">
        <v>12433.5109935741</v>
      </c>
      <c r="BC104" s="15">
        <v>2002</v>
      </c>
      <c r="BD104" s="15">
        <v>7</v>
      </c>
      <c r="BE104" s="15">
        <v>12422.9077760418</v>
      </c>
      <c r="BG104" s="15">
        <v>2002</v>
      </c>
      <c r="BH104" s="15">
        <v>7</v>
      </c>
      <c r="BI104" s="15">
        <v>12435.5360173562</v>
      </c>
    </row>
    <row r="105" spans="1:61" x14ac:dyDescent="0.25">
      <c r="A105" s="10">
        <v>2002</v>
      </c>
      <c r="B105" s="10">
        <v>8</v>
      </c>
      <c r="C105" s="11">
        <v>12243.44428765</v>
      </c>
      <c r="G105" s="7">
        <v>2002</v>
      </c>
      <c r="H105" s="7">
        <v>5</v>
      </c>
      <c r="I105" s="13">
        <v>11469.374019696999</v>
      </c>
      <c r="L105" s="10">
        <v>2002</v>
      </c>
      <c r="M105" s="10">
        <v>8</v>
      </c>
      <c r="N105" s="18">
        <v>12177.639323130201</v>
      </c>
      <c r="Q105" s="15">
        <v>2002</v>
      </c>
      <c r="R105" s="15">
        <v>8</v>
      </c>
      <c r="S105" s="15">
        <v>12183.0877731037</v>
      </c>
      <c r="U105" s="15">
        <v>2002</v>
      </c>
      <c r="V105" s="15">
        <v>8</v>
      </c>
      <c r="W105" s="15">
        <v>12167.1720661741</v>
      </c>
      <c r="Z105" s="15">
        <v>2002</v>
      </c>
      <c r="AA105" s="15">
        <v>8</v>
      </c>
      <c r="AB105" s="15">
        <v>12167.255059982899</v>
      </c>
      <c r="AD105" s="18">
        <v>2002</v>
      </c>
      <c r="AE105" s="18">
        <v>8</v>
      </c>
      <c r="AF105" s="18">
        <v>12059.339187078</v>
      </c>
      <c r="AH105" s="10">
        <v>2002</v>
      </c>
      <c r="AI105" s="10">
        <v>8</v>
      </c>
      <c r="AJ105" s="18">
        <v>12059.278172639401</v>
      </c>
      <c r="AL105" s="15">
        <v>2002</v>
      </c>
      <c r="AM105" s="15">
        <v>8</v>
      </c>
      <c r="AN105" s="15">
        <v>12059.125667865799</v>
      </c>
      <c r="AQ105" s="18">
        <v>2002</v>
      </c>
      <c r="AR105" s="18">
        <v>8</v>
      </c>
      <c r="AS105" s="18">
        <v>12059.147975277299</v>
      </c>
      <c r="AU105" s="10">
        <v>2002</v>
      </c>
      <c r="AV105" s="10">
        <v>8</v>
      </c>
      <c r="AW105" s="15">
        <v>12063.7493115096</v>
      </c>
      <c r="AY105" s="15">
        <v>2002</v>
      </c>
      <c r="AZ105" s="15">
        <v>8</v>
      </c>
      <c r="BA105" s="15">
        <v>12059.423136854501</v>
      </c>
      <c r="BC105" s="15">
        <v>2002</v>
      </c>
      <c r="BD105" s="15">
        <v>8</v>
      </c>
      <c r="BE105" s="15">
        <v>12059.510446083401</v>
      </c>
      <c r="BG105" s="15">
        <v>2002</v>
      </c>
      <c r="BH105" s="15">
        <v>8</v>
      </c>
      <c r="BI105" s="15">
        <v>12059.4626906412</v>
      </c>
    </row>
    <row r="106" spans="1:61" x14ac:dyDescent="0.25">
      <c r="A106" s="10">
        <v>2002</v>
      </c>
      <c r="B106" s="10">
        <v>9</v>
      </c>
      <c r="C106" s="11">
        <v>13242.867151605</v>
      </c>
      <c r="G106" s="7">
        <v>2002</v>
      </c>
      <c r="H106" s="7">
        <v>6</v>
      </c>
      <c r="I106" s="13">
        <v>13165.9580502598</v>
      </c>
      <c r="L106" s="10">
        <v>2002</v>
      </c>
      <c r="M106" s="10">
        <v>9</v>
      </c>
      <c r="N106" s="18">
        <v>13117.859673265801</v>
      </c>
      <c r="Q106" s="15">
        <v>2002</v>
      </c>
      <c r="R106" s="15">
        <v>9</v>
      </c>
      <c r="S106" s="15">
        <v>13151.425727809399</v>
      </c>
      <c r="U106" s="15">
        <v>2002</v>
      </c>
      <c r="V106" s="15">
        <v>9</v>
      </c>
      <c r="W106" s="15">
        <v>13123.8336467834</v>
      </c>
      <c r="Z106" s="15">
        <v>2002</v>
      </c>
      <c r="AA106" s="15">
        <v>9</v>
      </c>
      <c r="AB106" s="15">
        <v>13118.577128405899</v>
      </c>
      <c r="AD106" s="18">
        <v>2002</v>
      </c>
      <c r="AE106" s="18">
        <v>9</v>
      </c>
      <c r="AF106" s="18">
        <v>13009.2888419424</v>
      </c>
      <c r="AH106" s="10">
        <v>2002</v>
      </c>
      <c r="AI106" s="10">
        <v>9</v>
      </c>
      <c r="AJ106" s="18">
        <v>13007.256894059999</v>
      </c>
      <c r="AL106" s="15">
        <v>2002</v>
      </c>
      <c r="AM106" s="15">
        <v>9</v>
      </c>
      <c r="AN106" s="15">
        <v>13005.8557861801</v>
      </c>
      <c r="AQ106" s="18">
        <v>2002</v>
      </c>
      <c r="AR106" s="18">
        <v>9</v>
      </c>
      <c r="AS106" s="18">
        <v>13012.039847333001</v>
      </c>
      <c r="AU106" s="10">
        <v>2002</v>
      </c>
      <c r="AV106" s="10">
        <v>9</v>
      </c>
      <c r="AW106" s="15">
        <v>13027.4622075722</v>
      </c>
      <c r="AY106" s="15">
        <v>2002</v>
      </c>
      <c r="AZ106" s="15">
        <v>9</v>
      </c>
      <c r="BA106" s="15">
        <v>13020.4171611035</v>
      </c>
      <c r="BC106" s="15">
        <v>2002</v>
      </c>
      <c r="BD106" s="15">
        <v>9</v>
      </c>
      <c r="BE106" s="15">
        <v>13022.9470011044</v>
      </c>
      <c r="BG106" s="15">
        <v>2002</v>
      </c>
      <c r="BH106" s="15">
        <v>9</v>
      </c>
      <c r="BI106" s="15">
        <v>13020.395468750099</v>
      </c>
    </row>
    <row r="107" spans="1:61" x14ac:dyDescent="0.25">
      <c r="A107" s="10">
        <v>2002</v>
      </c>
      <c r="B107" s="10">
        <v>10</v>
      </c>
      <c r="C107" s="11">
        <v>12224.8923008237</v>
      </c>
      <c r="G107" s="7">
        <v>2002</v>
      </c>
      <c r="H107" s="7">
        <v>7</v>
      </c>
      <c r="I107" s="13">
        <v>12518.834250645201</v>
      </c>
      <c r="L107" s="10">
        <v>2002</v>
      </c>
      <c r="M107" s="10">
        <v>10</v>
      </c>
      <c r="N107" s="18">
        <v>12143.6488634503</v>
      </c>
      <c r="Q107" s="15">
        <v>2002</v>
      </c>
      <c r="R107" s="15">
        <v>10</v>
      </c>
      <c r="S107" s="15">
        <v>12163.6899251512</v>
      </c>
      <c r="U107" s="15">
        <v>2002</v>
      </c>
      <c r="V107" s="15">
        <v>10</v>
      </c>
      <c r="W107" s="15">
        <v>12032.387640819999</v>
      </c>
      <c r="Z107" s="15">
        <v>2002</v>
      </c>
      <c r="AA107" s="15">
        <v>10</v>
      </c>
      <c r="AB107" s="15">
        <v>12037.5777336924</v>
      </c>
      <c r="AD107" s="18">
        <v>2002</v>
      </c>
      <c r="AE107" s="18">
        <v>10</v>
      </c>
      <c r="AF107" s="18">
        <v>11909.523945913401</v>
      </c>
      <c r="AH107" s="10">
        <v>2002</v>
      </c>
      <c r="AI107" s="10">
        <v>10</v>
      </c>
      <c r="AJ107" s="18">
        <v>11913.4537215276</v>
      </c>
      <c r="AL107" s="15">
        <v>2002</v>
      </c>
      <c r="AM107" s="15">
        <v>10</v>
      </c>
      <c r="AN107" s="15">
        <v>11913.0751085214</v>
      </c>
      <c r="AQ107" s="18">
        <v>2002</v>
      </c>
      <c r="AR107" s="18">
        <v>10</v>
      </c>
      <c r="AS107" s="18">
        <v>11896.230166565299</v>
      </c>
      <c r="AU107" s="10">
        <v>2002</v>
      </c>
      <c r="AV107" s="10">
        <v>10</v>
      </c>
      <c r="AW107" s="15">
        <v>11876.075949257</v>
      </c>
      <c r="AY107" s="15">
        <v>2002</v>
      </c>
      <c r="AZ107" s="15">
        <v>10</v>
      </c>
      <c r="BA107" s="15">
        <v>11879.210012863399</v>
      </c>
      <c r="BC107" s="15">
        <v>2002</v>
      </c>
      <c r="BD107" s="15">
        <v>10</v>
      </c>
      <c r="BE107" s="15">
        <v>11873.915540755401</v>
      </c>
      <c r="BG107" s="15">
        <v>2002</v>
      </c>
      <c r="BH107" s="15">
        <v>10</v>
      </c>
      <c r="BI107" s="15">
        <v>11880.5226905811</v>
      </c>
    </row>
    <row r="108" spans="1:61" x14ac:dyDescent="0.25">
      <c r="A108" s="10">
        <v>2002</v>
      </c>
      <c r="B108" s="10">
        <v>11</v>
      </c>
      <c r="C108" s="11">
        <v>12463.154180834899</v>
      </c>
      <c r="G108" s="7">
        <v>2002</v>
      </c>
      <c r="H108" s="7">
        <v>8</v>
      </c>
      <c r="I108" s="13">
        <v>12064.343633064</v>
      </c>
      <c r="L108" s="10">
        <v>2002</v>
      </c>
      <c r="M108" s="10">
        <v>11</v>
      </c>
      <c r="N108" s="18">
        <v>12332.114049935</v>
      </c>
      <c r="Q108" s="15">
        <v>2002</v>
      </c>
      <c r="R108" s="15">
        <v>11</v>
      </c>
      <c r="S108" s="15">
        <v>12382.3058973235</v>
      </c>
      <c r="U108" s="15">
        <v>2002</v>
      </c>
      <c r="V108" s="15">
        <v>11</v>
      </c>
      <c r="W108" s="15">
        <v>12328.688605899901</v>
      </c>
      <c r="Z108" s="15">
        <v>2002</v>
      </c>
      <c r="AA108" s="15">
        <v>11</v>
      </c>
      <c r="AB108" s="15">
        <v>12320.9048367015</v>
      </c>
      <c r="AD108" s="18">
        <v>2002</v>
      </c>
      <c r="AE108" s="18">
        <v>11</v>
      </c>
      <c r="AF108" s="18">
        <v>12198.5106207684</v>
      </c>
      <c r="AH108" s="10">
        <v>2002</v>
      </c>
      <c r="AI108" s="10">
        <v>11</v>
      </c>
      <c r="AJ108" s="18">
        <v>12195.505570531899</v>
      </c>
      <c r="AL108" s="15">
        <v>2002</v>
      </c>
      <c r="AM108" s="15">
        <v>11</v>
      </c>
      <c r="AN108" s="15">
        <v>12193.5573956187</v>
      </c>
      <c r="AQ108" s="18">
        <v>2002</v>
      </c>
      <c r="AR108" s="18">
        <v>11</v>
      </c>
      <c r="AS108" s="18">
        <v>12202.9086093193</v>
      </c>
      <c r="AU108" s="10">
        <v>2002</v>
      </c>
      <c r="AV108" s="10">
        <v>11</v>
      </c>
      <c r="AW108" s="15">
        <v>12222.154656873799</v>
      </c>
      <c r="AY108" s="15">
        <v>2002</v>
      </c>
      <c r="AZ108" s="15">
        <v>11</v>
      </c>
      <c r="BA108" s="15">
        <v>12215.3728691672</v>
      </c>
      <c r="BC108" s="15">
        <v>2002</v>
      </c>
      <c r="BD108" s="15">
        <v>11</v>
      </c>
      <c r="BE108" s="15">
        <v>12219.149566358599</v>
      </c>
      <c r="BG108" s="15">
        <v>2002</v>
      </c>
      <c r="BH108" s="15">
        <v>11</v>
      </c>
      <c r="BI108" s="15">
        <v>12215.286534729899</v>
      </c>
    </row>
    <row r="109" spans="1:61" x14ac:dyDescent="0.25">
      <c r="A109" s="10">
        <v>2002</v>
      </c>
      <c r="B109" s="10">
        <v>12</v>
      </c>
      <c r="C109" s="11">
        <v>14695.0492178042</v>
      </c>
      <c r="G109" s="7">
        <v>2002</v>
      </c>
      <c r="H109" s="7">
        <v>9</v>
      </c>
      <c r="I109" s="13">
        <v>12969.4223628457</v>
      </c>
      <c r="L109" s="10">
        <v>2002</v>
      </c>
      <c r="M109" s="10">
        <v>12</v>
      </c>
      <c r="N109" s="18">
        <v>14593.4710541434</v>
      </c>
      <c r="Q109" s="15">
        <v>2002</v>
      </c>
      <c r="R109" s="15">
        <v>12</v>
      </c>
      <c r="S109" s="15">
        <v>14676.3644206439</v>
      </c>
      <c r="U109" s="15">
        <v>2002</v>
      </c>
      <c r="V109" s="15">
        <v>12</v>
      </c>
      <c r="W109" s="15">
        <v>14559.8305071248</v>
      </c>
      <c r="Z109" s="15">
        <v>2002</v>
      </c>
      <c r="AA109" s="15">
        <v>12</v>
      </c>
      <c r="AB109" s="15">
        <v>14553.0865480262</v>
      </c>
      <c r="AD109" s="18">
        <v>2002</v>
      </c>
      <c r="AE109" s="18">
        <v>12</v>
      </c>
      <c r="AF109" s="18">
        <v>14413.480185087201</v>
      </c>
      <c r="AH109" s="10">
        <v>2002</v>
      </c>
      <c r="AI109" s="10">
        <v>12</v>
      </c>
      <c r="AJ109" s="18">
        <v>14411.652044864801</v>
      </c>
      <c r="AL109" s="15">
        <v>2002</v>
      </c>
      <c r="AM109" s="15">
        <v>12</v>
      </c>
      <c r="AN109" s="15">
        <v>14409.4514763608</v>
      </c>
      <c r="AQ109" s="18">
        <v>2002</v>
      </c>
      <c r="AR109" s="18">
        <v>12</v>
      </c>
      <c r="AS109" s="18">
        <v>14413.520906661201</v>
      </c>
      <c r="AU109" s="10">
        <v>2002</v>
      </c>
      <c r="AV109" s="10">
        <v>12</v>
      </c>
      <c r="AW109" s="15">
        <v>14423.1625286137</v>
      </c>
      <c r="AY109" s="15">
        <v>2002</v>
      </c>
      <c r="AZ109" s="15">
        <v>12</v>
      </c>
      <c r="BA109" s="15">
        <v>14420.8084082394</v>
      </c>
      <c r="BC109" s="15">
        <v>2002</v>
      </c>
      <c r="BD109" s="15">
        <v>12</v>
      </c>
      <c r="BE109" s="15">
        <v>14422.9590556442</v>
      </c>
      <c r="BG109" s="15">
        <v>2002</v>
      </c>
      <c r="BH109" s="15">
        <v>12</v>
      </c>
      <c r="BI109" s="15">
        <v>14421.1653768658</v>
      </c>
    </row>
    <row r="110" spans="1:61" x14ac:dyDescent="0.25">
      <c r="A110" s="10">
        <v>2003</v>
      </c>
      <c r="B110" s="10">
        <v>1</v>
      </c>
      <c r="C110" s="11">
        <v>16395.338080982699</v>
      </c>
      <c r="G110" s="7">
        <v>2002</v>
      </c>
      <c r="H110" s="7">
        <v>10</v>
      </c>
      <c r="I110" s="13">
        <v>11882.128437350801</v>
      </c>
      <c r="L110" s="10">
        <v>2003</v>
      </c>
      <c r="M110" s="10">
        <v>1</v>
      </c>
      <c r="N110" s="18">
        <v>16391.069038318201</v>
      </c>
      <c r="Q110" s="15">
        <v>2003</v>
      </c>
      <c r="R110" s="15">
        <v>1</v>
      </c>
      <c r="S110" s="15">
        <v>16315.440953564401</v>
      </c>
      <c r="U110" s="15">
        <v>2003</v>
      </c>
      <c r="V110" s="15">
        <v>1</v>
      </c>
      <c r="W110" s="15">
        <v>16515.643007492399</v>
      </c>
      <c r="Z110" s="15">
        <v>2003</v>
      </c>
      <c r="AA110" s="15">
        <v>1</v>
      </c>
      <c r="AB110" s="15">
        <v>16528.1907527945</v>
      </c>
      <c r="AD110" s="18">
        <v>2003</v>
      </c>
      <c r="AE110" s="18">
        <v>1</v>
      </c>
      <c r="AF110" s="18">
        <v>17532.844040010899</v>
      </c>
      <c r="AH110" s="10">
        <v>2003</v>
      </c>
      <c r="AI110" s="10">
        <v>1</v>
      </c>
      <c r="AJ110" s="18">
        <v>17537.276761647401</v>
      </c>
      <c r="AL110" s="15">
        <v>2003</v>
      </c>
      <c r="AM110" s="15">
        <v>1</v>
      </c>
      <c r="AN110" s="15">
        <v>17542.7703962823</v>
      </c>
      <c r="AQ110" s="18">
        <v>2003</v>
      </c>
      <c r="AR110" s="18">
        <v>1</v>
      </c>
      <c r="AS110" s="18">
        <v>17533.421557673701</v>
      </c>
      <c r="AU110" s="10">
        <v>2003</v>
      </c>
      <c r="AV110" s="10">
        <v>1</v>
      </c>
      <c r="AW110" s="15">
        <v>17507.429639800499</v>
      </c>
      <c r="AY110" s="15">
        <v>2003</v>
      </c>
      <c r="AZ110" s="15">
        <v>1</v>
      </c>
      <c r="BA110" s="15">
        <v>17516.293829083501</v>
      </c>
      <c r="BC110" s="15">
        <v>2003</v>
      </c>
      <c r="BD110" s="15">
        <v>1</v>
      </c>
      <c r="BE110" s="15">
        <v>17511.327133848099</v>
      </c>
      <c r="BG110" s="15">
        <v>2003</v>
      </c>
      <c r="BH110" s="15">
        <v>1</v>
      </c>
      <c r="BI110" s="15">
        <v>17515.3569000766</v>
      </c>
    </row>
    <row r="111" spans="1:61" x14ac:dyDescent="0.25">
      <c r="A111" s="10">
        <v>2003</v>
      </c>
      <c r="B111" s="10">
        <v>2</v>
      </c>
      <c r="C111" s="11">
        <v>13736.794647894199</v>
      </c>
      <c r="G111" s="7">
        <v>2002</v>
      </c>
      <c r="H111" s="7">
        <v>11</v>
      </c>
      <c r="I111" s="13">
        <v>12162.249605589601</v>
      </c>
      <c r="L111" s="10">
        <v>2003</v>
      </c>
      <c r="M111" s="10">
        <v>2</v>
      </c>
      <c r="N111" s="18">
        <v>14833.741915381301</v>
      </c>
      <c r="Q111" s="15">
        <v>2003</v>
      </c>
      <c r="R111" s="15">
        <v>2</v>
      </c>
      <c r="S111" s="15">
        <v>14337.5843404398</v>
      </c>
      <c r="U111" s="15">
        <v>2003</v>
      </c>
      <c r="V111" s="15">
        <v>2</v>
      </c>
      <c r="W111" s="15">
        <v>15497.654458901799</v>
      </c>
      <c r="Z111" s="15">
        <v>2003</v>
      </c>
      <c r="AA111" s="15">
        <v>2</v>
      </c>
      <c r="AB111" s="15">
        <v>15543.6827557459</v>
      </c>
      <c r="AD111" s="18">
        <v>2003</v>
      </c>
      <c r="AE111" s="18">
        <v>2</v>
      </c>
      <c r="AF111" s="18">
        <v>15515.284453434901</v>
      </c>
      <c r="AH111" s="10">
        <v>2003</v>
      </c>
      <c r="AI111" s="10">
        <v>2</v>
      </c>
      <c r="AJ111" s="18">
        <v>15518.94762777</v>
      </c>
      <c r="AL111" s="15">
        <v>2003</v>
      </c>
      <c r="AM111" s="15">
        <v>2</v>
      </c>
      <c r="AN111" s="15">
        <v>15537.2413640173</v>
      </c>
      <c r="AQ111" s="18">
        <v>2003</v>
      </c>
      <c r="AR111" s="18">
        <v>2</v>
      </c>
      <c r="AS111" s="18">
        <v>15550.667800023601</v>
      </c>
      <c r="AU111" s="10">
        <v>2003</v>
      </c>
      <c r="AV111" s="10">
        <v>2</v>
      </c>
      <c r="AW111" s="15">
        <v>15525.2003241899</v>
      </c>
      <c r="AY111" s="15">
        <v>2003</v>
      </c>
      <c r="AZ111" s="15">
        <v>2</v>
      </c>
      <c r="BA111" s="15">
        <v>15538.441980453201</v>
      </c>
      <c r="BC111" s="15">
        <v>2003</v>
      </c>
      <c r="BD111" s="15">
        <v>2</v>
      </c>
      <c r="BE111" s="15">
        <v>15535.3863548509</v>
      </c>
      <c r="BG111" s="15">
        <v>2003</v>
      </c>
      <c r="BH111" s="15">
        <v>2</v>
      </c>
      <c r="BI111" s="15">
        <v>15532.3603327734</v>
      </c>
    </row>
    <row r="112" spans="1:61" x14ac:dyDescent="0.25">
      <c r="A112" s="10">
        <v>2003</v>
      </c>
      <c r="B112" s="10">
        <v>3</v>
      </c>
      <c r="C112" s="11">
        <v>13667.9453790394</v>
      </c>
      <c r="G112" s="7">
        <v>2002</v>
      </c>
      <c r="H112" s="7">
        <v>12</v>
      </c>
      <c r="I112" s="13">
        <v>13699.7369748369</v>
      </c>
      <c r="L112" s="10">
        <v>2003</v>
      </c>
      <c r="M112" s="10">
        <v>3</v>
      </c>
      <c r="N112" s="18">
        <v>13578.344344523901</v>
      </c>
      <c r="Q112" s="15">
        <v>2003</v>
      </c>
      <c r="R112" s="15">
        <v>3</v>
      </c>
      <c r="S112" s="15">
        <v>13634.7796757955</v>
      </c>
      <c r="U112" s="15">
        <v>2003</v>
      </c>
      <c r="V112" s="15">
        <v>3</v>
      </c>
      <c r="W112" s="15">
        <v>13625.502945521999</v>
      </c>
      <c r="Z112" s="15">
        <v>2003</v>
      </c>
      <c r="AA112" s="15">
        <v>3</v>
      </c>
      <c r="AB112" s="15">
        <v>13609.963657934701</v>
      </c>
      <c r="AD112" s="18">
        <v>2003</v>
      </c>
      <c r="AE112" s="18">
        <v>3</v>
      </c>
      <c r="AF112" s="18">
        <v>13501.2759239888</v>
      </c>
      <c r="AH112" s="10">
        <v>2003</v>
      </c>
      <c r="AI112" s="10">
        <v>3</v>
      </c>
      <c r="AJ112" s="18">
        <v>13494.1385374211</v>
      </c>
      <c r="AL112" s="15">
        <v>2003</v>
      </c>
      <c r="AM112" s="15">
        <v>3</v>
      </c>
      <c r="AN112" s="15">
        <v>13491.2205449965</v>
      </c>
      <c r="AQ112" s="18">
        <v>2003</v>
      </c>
      <c r="AR112" s="18">
        <v>3</v>
      </c>
      <c r="AS112" s="18">
        <v>13516.120939022399</v>
      </c>
      <c r="AU112" s="10">
        <v>2003</v>
      </c>
      <c r="AV112" s="10">
        <v>3</v>
      </c>
      <c r="AW112" s="15">
        <v>13555.836152457199</v>
      </c>
      <c r="AY112" s="15">
        <v>2003</v>
      </c>
      <c r="AZ112" s="15">
        <v>3</v>
      </c>
      <c r="BA112" s="15">
        <v>13546.1059234779</v>
      </c>
      <c r="BC112" s="15">
        <v>2003</v>
      </c>
      <c r="BD112" s="15">
        <v>3</v>
      </c>
      <c r="BE112" s="15">
        <v>13555.257269076499</v>
      </c>
      <c r="BG112" s="15">
        <v>2003</v>
      </c>
      <c r="BH112" s="15">
        <v>3</v>
      </c>
      <c r="BI112" s="15">
        <v>13545.165854888901</v>
      </c>
    </row>
    <row r="113" spans="1:61" x14ac:dyDescent="0.25">
      <c r="A113" s="10">
        <v>2003</v>
      </c>
      <c r="B113" s="10">
        <v>4</v>
      </c>
      <c r="C113" s="11">
        <v>12482.9111859856</v>
      </c>
      <c r="G113" s="7">
        <v>2003</v>
      </c>
      <c r="H113" s="7">
        <v>1</v>
      </c>
      <c r="I113" s="13">
        <v>19665.461506916599</v>
      </c>
      <c r="L113" s="10">
        <v>2003</v>
      </c>
      <c r="M113" s="10">
        <v>4</v>
      </c>
      <c r="N113" s="18">
        <v>12479.6188236939</v>
      </c>
      <c r="Q113" s="15">
        <v>2003</v>
      </c>
      <c r="R113" s="15">
        <v>4</v>
      </c>
      <c r="S113" s="15">
        <v>12493.3469665582</v>
      </c>
      <c r="U113" s="15">
        <v>2003</v>
      </c>
      <c r="V113" s="15">
        <v>4</v>
      </c>
      <c r="W113" s="15">
        <v>12356.234318544401</v>
      </c>
      <c r="Z113" s="15">
        <v>2003</v>
      </c>
      <c r="AA113" s="15">
        <v>4</v>
      </c>
      <c r="AB113" s="15">
        <v>12359.9979014648</v>
      </c>
      <c r="AD113" s="18">
        <v>2003</v>
      </c>
      <c r="AE113" s="18">
        <v>4</v>
      </c>
      <c r="AF113" s="18">
        <v>12242.244237205199</v>
      </c>
      <c r="AH113" s="10">
        <v>2003</v>
      </c>
      <c r="AI113" s="10">
        <v>4</v>
      </c>
      <c r="AJ113" s="18">
        <v>12245.487590990801</v>
      </c>
      <c r="AL113" s="15">
        <v>2003</v>
      </c>
      <c r="AM113" s="15">
        <v>4</v>
      </c>
      <c r="AN113" s="15">
        <v>12244.871540285299</v>
      </c>
      <c r="AQ113" s="18">
        <v>2003</v>
      </c>
      <c r="AR113" s="18">
        <v>4</v>
      </c>
      <c r="AS113" s="18">
        <v>12230.481586359099</v>
      </c>
      <c r="AU113" s="10">
        <v>2003</v>
      </c>
      <c r="AV113" s="10">
        <v>4</v>
      </c>
      <c r="AW113" s="15">
        <v>12210.849252165901</v>
      </c>
      <c r="AY113" s="15">
        <v>2003</v>
      </c>
      <c r="AZ113" s="15">
        <v>4</v>
      </c>
      <c r="BA113" s="15">
        <v>12216.3162859155</v>
      </c>
      <c r="BC113" s="15">
        <v>2003</v>
      </c>
      <c r="BD113" s="15">
        <v>4</v>
      </c>
      <c r="BE113" s="15">
        <v>12211.881115411899</v>
      </c>
      <c r="BG113" s="15">
        <v>2003</v>
      </c>
      <c r="BH113" s="15">
        <v>4</v>
      </c>
      <c r="BI113" s="15">
        <v>12217.486868563299</v>
      </c>
    </row>
    <row r="114" spans="1:61" x14ac:dyDescent="0.25">
      <c r="A114" s="10">
        <v>2003</v>
      </c>
      <c r="B114" s="10">
        <v>5</v>
      </c>
      <c r="C114" s="11">
        <v>12349.4397876731</v>
      </c>
      <c r="G114" s="7">
        <v>2003</v>
      </c>
      <c r="H114" s="7">
        <v>2</v>
      </c>
      <c r="I114" s="13">
        <v>13910.6793778227</v>
      </c>
      <c r="L114" s="10">
        <v>2003</v>
      </c>
      <c r="M114" s="10">
        <v>5</v>
      </c>
      <c r="N114" s="18">
        <v>12317.2251280415</v>
      </c>
      <c r="Q114" s="15">
        <v>2003</v>
      </c>
      <c r="R114" s="15">
        <v>5</v>
      </c>
      <c r="S114" s="15">
        <v>12342.8792997656</v>
      </c>
      <c r="U114" s="15">
        <v>2003</v>
      </c>
      <c r="V114" s="15">
        <v>5</v>
      </c>
      <c r="W114" s="15">
        <v>12303.631955032601</v>
      </c>
      <c r="Z114" s="15">
        <v>2003</v>
      </c>
      <c r="AA114" s="15">
        <v>5</v>
      </c>
      <c r="AB114" s="15">
        <v>12298.752861372201</v>
      </c>
      <c r="AD114" s="18">
        <v>2003</v>
      </c>
      <c r="AE114" s="18">
        <v>5</v>
      </c>
      <c r="AF114" s="18">
        <v>12201.276293503901</v>
      </c>
      <c r="AH114" s="10">
        <v>2003</v>
      </c>
      <c r="AI114" s="10">
        <v>5</v>
      </c>
      <c r="AJ114" s="18">
        <v>12199.411233533399</v>
      </c>
      <c r="AL114" s="15">
        <v>2003</v>
      </c>
      <c r="AM114" s="15">
        <v>5</v>
      </c>
      <c r="AN114" s="15">
        <v>12198.0833593605</v>
      </c>
      <c r="AQ114" s="18">
        <v>2003</v>
      </c>
      <c r="AR114" s="18">
        <v>5</v>
      </c>
      <c r="AS114" s="18">
        <v>12203.680629829099</v>
      </c>
      <c r="AU114" s="10">
        <v>2003</v>
      </c>
      <c r="AV114" s="10">
        <v>5</v>
      </c>
      <c r="AW114" s="15">
        <v>12216.179536679399</v>
      </c>
      <c r="AY114" s="15">
        <v>2003</v>
      </c>
      <c r="AZ114" s="15">
        <v>5</v>
      </c>
      <c r="BA114" s="15">
        <v>12211.3102125554</v>
      </c>
      <c r="BC114" s="15">
        <v>2003</v>
      </c>
      <c r="BD114" s="15">
        <v>5</v>
      </c>
      <c r="BE114" s="15">
        <v>12213.5985675594</v>
      </c>
      <c r="BG114" s="15">
        <v>2003</v>
      </c>
      <c r="BH114" s="15">
        <v>5</v>
      </c>
      <c r="BI114" s="15">
        <v>12211.281911328701</v>
      </c>
    </row>
    <row r="115" spans="1:61" x14ac:dyDescent="0.25">
      <c r="A115" s="10">
        <v>2003</v>
      </c>
      <c r="B115" s="10">
        <v>6</v>
      </c>
      <c r="C115" s="11">
        <v>12085.9012686606</v>
      </c>
      <c r="G115" s="7">
        <v>2003</v>
      </c>
      <c r="H115" s="7">
        <v>3</v>
      </c>
      <c r="I115" s="13">
        <v>13383.7877415518</v>
      </c>
      <c r="L115" s="10">
        <v>2003</v>
      </c>
      <c r="M115" s="10">
        <v>6</v>
      </c>
      <c r="N115" s="18">
        <v>12010.931547882201</v>
      </c>
      <c r="Q115" s="15">
        <v>2003</v>
      </c>
      <c r="R115" s="15">
        <v>6</v>
      </c>
      <c r="S115" s="15">
        <v>12034.713820703</v>
      </c>
      <c r="U115" s="15">
        <v>2003</v>
      </c>
      <c r="V115" s="15">
        <v>6</v>
      </c>
      <c r="W115" s="15">
        <v>12011.4178402958</v>
      </c>
      <c r="Z115" s="15">
        <v>2003</v>
      </c>
      <c r="AA115" s="15">
        <v>6</v>
      </c>
      <c r="AB115" s="15">
        <v>12006.8598199632</v>
      </c>
      <c r="AD115" s="18">
        <v>2003</v>
      </c>
      <c r="AE115" s="18">
        <v>6</v>
      </c>
      <c r="AF115" s="18">
        <v>11911.9804522338</v>
      </c>
      <c r="AH115" s="10">
        <v>2003</v>
      </c>
      <c r="AI115" s="10">
        <v>6</v>
      </c>
      <c r="AJ115" s="18">
        <v>11910.1085617554</v>
      </c>
      <c r="AL115" s="15">
        <v>2003</v>
      </c>
      <c r="AM115" s="15">
        <v>6</v>
      </c>
      <c r="AN115" s="15">
        <v>11908.9560758676</v>
      </c>
      <c r="AQ115" s="18">
        <v>2003</v>
      </c>
      <c r="AR115" s="18">
        <v>6</v>
      </c>
      <c r="AS115" s="18">
        <v>11914.853066556099</v>
      </c>
      <c r="AU115" s="10">
        <v>2003</v>
      </c>
      <c r="AV115" s="10">
        <v>6</v>
      </c>
      <c r="AW115" s="15">
        <v>11929.0536971294</v>
      </c>
      <c r="AY115" s="15">
        <v>2003</v>
      </c>
      <c r="AZ115" s="15">
        <v>6</v>
      </c>
      <c r="BA115" s="15">
        <v>11922.543963468999</v>
      </c>
      <c r="BC115" s="15">
        <v>2003</v>
      </c>
      <c r="BD115" s="15">
        <v>6</v>
      </c>
      <c r="BE115" s="15">
        <v>11924.860007847001</v>
      </c>
      <c r="BG115" s="15">
        <v>2003</v>
      </c>
      <c r="BH115" s="15">
        <v>6</v>
      </c>
      <c r="BI115" s="15">
        <v>11922.452251524701</v>
      </c>
    </row>
    <row r="116" spans="1:61" x14ac:dyDescent="0.25">
      <c r="A116" s="10">
        <v>2003</v>
      </c>
      <c r="B116" s="10">
        <v>7</v>
      </c>
      <c r="C116" s="11">
        <v>9182.3642051105708</v>
      </c>
      <c r="G116" s="7">
        <v>2003</v>
      </c>
      <c r="H116" s="7">
        <v>4</v>
      </c>
      <c r="I116" s="13">
        <v>12146.420536981699</v>
      </c>
      <c r="L116" s="10">
        <v>2003</v>
      </c>
      <c r="M116" s="10">
        <v>7</v>
      </c>
      <c r="N116" s="18">
        <v>9077.2747283606204</v>
      </c>
      <c r="Q116" s="15">
        <v>2003</v>
      </c>
      <c r="R116" s="15">
        <v>7</v>
      </c>
      <c r="S116" s="15">
        <v>9098.2618016256602</v>
      </c>
      <c r="U116" s="15">
        <v>2003</v>
      </c>
      <c r="V116" s="15">
        <v>7</v>
      </c>
      <c r="W116" s="15">
        <v>8826.6040073882905</v>
      </c>
      <c r="Z116" s="15">
        <v>2003</v>
      </c>
      <c r="AA116" s="15">
        <v>7</v>
      </c>
      <c r="AB116" s="15">
        <v>8838.1950430380293</v>
      </c>
      <c r="AD116" s="18">
        <v>2003</v>
      </c>
      <c r="AE116" s="18">
        <v>7</v>
      </c>
      <c r="AF116" s="18">
        <v>8917.3768750050403</v>
      </c>
      <c r="AH116" s="10">
        <v>2003</v>
      </c>
      <c r="AI116" s="10">
        <v>7</v>
      </c>
      <c r="AJ116" s="18">
        <v>8925.5400524733595</v>
      </c>
      <c r="AL116" s="15">
        <v>2003</v>
      </c>
      <c r="AM116" s="15">
        <v>7</v>
      </c>
      <c r="AN116" s="15">
        <v>8926.1528509335403</v>
      </c>
      <c r="AQ116" s="18">
        <v>2003</v>
      </c>
      <c r="AR116" s="18">
        <v>7</v>
      </c>
      <c r="AS116" s="18">
        <v>8893.33672520236</v>
      </c>
      <c r="AU116" s="10">
        <v>2003</v>
      </c>
      <c r="AV116" s="10">
        <v>7</v>
      </c>
      <c r="AW116" s="15">
        <v>8849.2939017388999</v>
      </c>
      <c r="AY116" s="15">
        <v>2003</v>
      </c>
      <c r="AZ116" s="15">
        <v>7</v>
      </c>
      <c r="BA116" s="15">
        <v>8858.2812502473207</v>
      </c>
      <c r="BC116" s="15">
        <v>2003</v>
      </c>
      <c r="BD116" s="15">
        <v>7</v>
      </c>
      <c r="BE116" s="15">
        <v>8847.4410405138406</v>
      </c>
      <c r="BG116" s="15">
        <v>2003</v>
      </c>
      <c r="BH116" s="15">
        <v>7</v>
      </c>
      <c r="BI116" s="15">
        <v>8860.4206663037603</v>
      </c>
    </row>
    <row r="117" spans="1:61" x14ac:dyDescent="0.25">
      <c r="A117" s="10">
        <v>2003</v>
      </c>
      <c r="B117" s="10">
        <v>8</v>
      </c>
      <c r="C117" s="11">
        <v>13552.625418363599</v>
      </c>
      <c r="G117" s="7">
        <v>2003</v>
      </c>
      <c r="H117" s="7">
        <v>5</v>
      </c>
      <c r="I117" s="13">
        <v>11767.041392937999</v>
      </c>
      <c r="L117" s="10">
        <v>2003</v>
      </c>
      <c r="M117" s="10">
        <v>8</v>
      </c>
      <c r="N117" s="18">
        <v>13379.911935358799</v>
      </c>
      <c r="Q117" s="15">
        <v>2003</v>
      </c>
      <c r="R117" s="15">
        <v>8</v>
      </c>
      <c r="S117" s="15">
        <v>13415.073366638801</v>
      </c>
      <c r="U117" s="15">
        <v>2003</v>
      </c>
      <c r="V117" s="15">
        <v>8</v>
      </c>
      <c r="W117" s="15">
        <v>13501.1789663539</v>
      </c>
      <c r="Z117" s="15">
        <v>2003</v>
      </c>
      <c r="AA117" s="15">
        <v>8</v>
      </c>
      <c r="AB117" s="15">
        <v>13487.785490945</v>
      </c>
      <c r="AD117" s="18">
        <v>2003</v>
      </c>
      <c r="AE117" s="18">
        <v>8</v>
      </c>
      <c r="AF117" s="18">
        <v>13391.1087905966</v>
      </c>
      <c r="AH117" s="10">
        <v>2003</v>
      </c>
      <c r="AI117" s="10">
        <v>8</v>
      </c>
      <c r="AJ117" s="18">
        <v>13383.9256689175</v>
      </c>
      <c r="AL117" s="15">
        <v>2003</v>
      </c>
      <c r="AM117" s="15">
        <v>8</v>
      </c>
      <c r="AN117" s="15">
        <v>13382.143743717899</v>
      </c>
      <c r="AQ117" s="18">
        <v>2003</v>
      </c>
      <c r="AR117" s="18">
        <v>8</v>
      </c>
      <c r="AS117" s="18">
        <v>13409.0400917183</v>
      </c>
      <c r="AU117" s="10">
        <v>2003</v>
      </c>
      <c r="AV117" s="10">
        <v>8</v>
      </c>
      <c r="AW117" s="15">
        <v>13457.744558919299</v>
      </c>
      <c r="AY117" s="15">
        <v>2003</v>
      </c>
      <c r="AZ117" s="15">
        <v>8</v>
      </c>
      <c r="BA117" s="15">
        <v>13439.566398667201</v>
      </c>
      <c r="BC117" s="15">
        <v>2003</v>
      </c>
      <c r="BD117" s="15">
        <v>8</v>
      </c>
      <c r="BE117" s="15">
        <v>13448.9564207086</v>
      </c>
      <c r="BG117" s="15">
        <v>2003</v>
      </c>
      <c r="BH117" s="15">
        <v>8</v>
      </c>
      <c r="BI117" s="15">
        <v>13438.178381210701</v>
      </c>
    </row>
    <row r="118" spans="1:61" x14ac:dyDescent="0.25">
      <c r="A118" s="10">
        <v>2003</v>
      </c>
      <c r="B118" s="10">
        <v>9</v>
      </c>
      <c r="C118" s="11">
        <v>12245.276158340201</v>
      </c>
      <c r="G118" s="7">
        <v>2003</v>
      </c>
      <c r="H118" s="7">
        <v>6</v>
      </c>
      <c r="I118" s="13">
        <v>11877.56635976</v>
      </c>
      <c r="L118" s="10">
        <v>2003</v>
      </c>
      <c r="M118" s="10">
        <v>9</v>
      </c>
      <c r="N118" s="18">
        <v>12114.4647817319</v>
      </c>
      <c r="Q118" s="15">
        <v>2003</v>
      </c>
      <c r="R118" s="15">
        <v>9</v>
      </c>
      <c r="S118" s="15">
        <v>12127.9950020822</v>
      </c>
      <c r="U118" s="15">
        <v>2003</v>
      </c>
      <c r="V118" s="15">
        <v>9</v>
      </c>
      <c r="W118" s="15">
        <v>12038.5874464113</v>
      </c>
      <c r="Z118" s="15">
        <v>2003</v>
      </c>
      <c r="AA118" s="15">
        <v>9</v>
      </c>
      <c r="AB118" s="15">
        <v>12042.8861637071</v>
      </c>
      <c r="AD118" s="18">
        <v>2003</v>
      </c>
      <c r="AE118" s="18">
        <v>9</v>
      </c>
      <c r="AF118" s="18">
        <v>11918.084366897399</v>
      </c>
      <c r="AH118" s="10">
        <v>2003</v>
      </c>
      <c r="AI118" s="10">
        <v>9</v>
      </c>
      <c r="AJ118" s="18">
        <v>11921.393249356601</v>
      </c>
      <c r="AL118" s="15">
        <v>2003</v>
      </c>
      <c r="AM118" s="15">
        <v>9</v>
      </c>
      <c r="AN118" s="15">
        <v>11921.084096578001</v>
      </c>
      <c r="AQ118" s="18">
        <v>2003</v>
      </c>
      <c r="AR118" s="18">
        <v>9</v>
      </c>
      <c r="AS118" s="18">
        <v>11906.9258076439</v>
      </c>
      <c r="AU118" s="10">
        <v>2003</v>
      </c>
      <c r="AV118" s="10">
        <v>9</v>
      </c>
      <c r="AW118" s="15">
        <v>11893.5454266613</v>
      </c>
      <c r="AY118" s="15">
        <v>2003</v>
      </c>
      <c r="AZ118" s="15">
        <v>9</v>
      </c>
      <c r="BA118" s="15">
        <v>11892.6046567024</v>
      </c>
      <c r="BC118" s="15">
        <v>2003</v>
      </c>
      <c r="BD118" s="15">
        <v>9</v>
      </c>
      <c r="BE118" s="15">
        <v>11888.149257729399</v>
      </c>
      <c r="BG118" s="15">
        <v>2003</v>
      </c>
      <c r="BH118" s="15">
        <v>9</v>
      </c>
      <c r="BI118" s="15">
        <v>11893.6938564128</v>
      </c>
    </row>
    <row r="119" spans="1:61" x14ac:dyDescent="0.25">
      <c r="A119" s="10">
        <v>2003</v>
      </c>
      <c r="B119" s="10">
        <v>10</v>
      </c>
      <c r="C119" s="11">
        <v>12357.9086515375</v>
      </c>
      <c r="G119" s="7">
        <v>2003</v>
      </c>
      <c r="H119" s="7">
        <v>7</v>
      </c>
      <c r="I119" s="13">
        <v>9061.8837915924196</v>
      </c>
      <c r="L119" s="10">
        <v>2003</v>
      </c>
      <c r="M119" s="10">
        <v>10</v>
      </c>
      <c r="N119" s="18">
        <v>12232.6587046444</v>
      </c>
      <c r="Q119" s="15">
        <v>2003</v>
      </c>
      <c r="R119" s="15">
        <v>10</v>
      </c>
      <c r="S119" s="15">
        <v>12247.509946333101</v>
      </c>
      <c r="U119" s="15">
        <v>2003</v>
      </c>
      <c r="V119" s="15">
        <v>10</v>
      </c>
      <c r="W119" s="15">
        <v>12127.9905910423</v>
      </c>
      <c r="Z119" s="15">
        <v>2003</v>
      </c>
      <c r="AA119" s="15">
        <v>10</v>
      </c>
      <c r="AB119" s="15">
        <v>12134.190892950301</v>
      </c>
      <c r="AD119" s="18">
        <v>2003</v>
      </c>
      <c r="AE119" s="18">
        <v>10</v>
      </c>
      <c r="AF119" s="18">
        <v>11994.6112562464</v>
      </c>
      <c r="AH119" s="10">
        <v>2003</v>
      </c>
      <c r="AI119" s="10">
        <v>10</v>
      </c>
      <c r="AJ119" s="18">
        <v>11999.095841598501</v>
      </c>
      <c r="AL119" s="15">
        <v>2003</v>
      </c>
      <c r="AM119" s="15">
        <v>10</v>
      </c>
      <c r="AN119" s="15">
        <v>11998.878863899799</v>
      </c>
      <c r="AQ119" s="18">
        <v>2003</v>
      </c>
      <c r="AR119" s="18">
        <v>10</v>
      </c>
      <c r="AS119" s="18">
        <v>11980.020978938801</v>
      </c>
      <c r="AU119" s="10">
        <v>2003</v>
      </c>
      <c r="AV119" s="10">
        <v>10</v>
      </c>
      <c r="AW119" s="15">
        <v>11958.8544737515</v>
      </c>
      <c r="AY119" s="15">
        <v>2003</v>
      </c>
      <c r="AZ119" s="15">
        <v>10</v>
      </c>
      <c r="BA119" s="15">
        <v>11960.6980576022</v>
      </c>
      <c r="BC119" s="15">
        <v>2003</v>
      </c>
      <c r="BD119" s="15">
        <v>10</v>
      </c>
      <c r="BE119" s="15">
        <v>11954.7005119392</v>
      </c>
      <c r="BG119" s="15">
        <v>2003</v>
      </c>
      <c r="BH119" s="15">
        <v>10</v>
      </c>
      <c r="BI119" s="15">
        <v>11962.090040016999</v>
      </c>
    </row>
    <row r="120" spans="1:61" x14ac:dyDescent="0.25">
      <c r="A120" s="10">
        <v>2003</v>
      </c>
      <c r="B120" s="10">
        <v>11</v>
      </c>
      <c r="C120" s="11">
        <v>16052.6932902317</v>
      </c>
      <c r="G120" s="7">
        <v>2003</v>
      </c>
      <c r="H120" s="7">
        <v>8</v>
      </c>
      <c r="I120" s="13">
        <v>13484.7505942182</v>
      </c>
      <c r="L120" s="10">
        <v>2003</v>
      </c>
      <c r="M120" s="10">
        <v>11</v>
      </c>
      <c r="N120" s="18">
        <v>15822.913797240401</v>
      </c>
      <c r="Q120" s="15">
        <v>2003</v>
      </c>
      <c r="R120" s="15">
        <v>11</v>
      </c>
      <c r="S120" s="15">
        <v>15893.0004761533</v>
      </c>
      <c r="U120" s="15">
        <v>2003</v>
      </c>
      <c r="V120" s="15">
        <v>11</v>
      </c>
      <c r="W120" s="15">
        <v>15958.143573168099</v>
      </c>
      <c r="Z120" s="15">
        <v>2003</v>
      </c>
      <c r="AA120" s="15">
        <v>11</v>
      </c>
      <c r="AB120" s="15">
        <v>15938.1249227225</v>
      </c>
      <c r="AD120" s="18">
        <v>2003</v>
      </c>
      <c r="AE120" s="18">
        <v>11</v>
      </c>
      <c r="AF120" s="18">
        <v>15813.133100658401</v>
      </c>
      <c r="AH120" s="10">
        <v>2003</v>
      </c>
      <c r="AI120" s="10">
        <v>11</v>
      </c>
      <c r="AJ120" s="18">
        <v>15803.291909363499</v>
      </c>
      <c r="AL120" s="15">
        <v>2003</v>
      </c>
      <c r="AM120" s="15">
        <v>11</v>
      </c>
      <c r="AN120" s="15">
        <v>15800.037301169999</v>
      </c>
      <c r="AQ120" s="18">
        <v>2003</v>
      </c>
      <c r="AR120" s="18">
        <v>11</v>
      </c>
      <c r="AS120" s="18">
        <v>15835.6284886542</v>
      </c>
      <c r="AU120" s="10">
        <v>2003</v>
      </c>
      <c r="AV120" s="10">
        <v>11</v>
      </c>
      <c r="AW120" s="15">
        <v>15897.452694678999</v>
      </c>
      <c r="AY120" s="15">
        <v>2003</v>
      </c>
      <c r="AZ120" s="15">
        <v>11</v>
      </c>
      <c r="BA120" s="15">
        <v>15877.276988064899</v>
      </c>
      <c r="BC120" s="15">
        <v>2003</v>
      </c>
      <c r="BD120" s="15">
        <v>11</v>
      </c>
      <c r="BE120" s="15">
        <v>15890.049228768499</v>
      </c>
      <c r="BG120" s="15">
        <v>2003</v>
      </c>
      <c r="BH120" s="15">
        <v>11</v>
      </c>
      <c r="BI120" s="15">
        <v>15875.6964757601</v>
      </c>
    </row>
    <row r="121" spans="1:61" x14ac:dyDescent="0.25">
      <c r="A121" s="10">
        <v>2003</v>
      </c>
      <c r="B121" s="10">
        <v>12</v>
      </c>
      <c r="C121" s="11">
        <v>14792.995732794299</v>
      </c>
      <c r="G121" s="7">
        <v>2003</v>
      </c>
      <c r="H121" s="7">
        <v>9</v>
      </c>
      <c r="I121" s="13">
        <v>11981.8805697765</v>
      </c>
      <c r="L121" s="10">
        <v>2003</v>
      </c>
      <c r="M121" s="10">
        <v>12</v>
      </c>
      <c r="N121" s="18">
        <v>14709.9563955458</v>
      </c>
      <c r="Q121" s="15">
        <v>2003</v>
      </c>
      <c r="R121" s="15">
        <v>12</v>
      </c>
      <c r="S121" s="15">
        <v>14755.3055910272</v>
      </c>
      <c r="U121" s="15">
        <v>2003</v>
      </c>
      <c r="V121" s="15">
        <v>12</v>
      </c>
      <c r="W121" s="15">
        <v>14576.1214760931</v>
      </c>
      <c r="Z121" s="15">
        <v>2003</v>
      </c>
      <c r="AA121" s="15">
        <v>12</v>
      </c>
      <c r="AB121" s="15">
        <v>14580.502456763599</v>
      </c>
      <c r="AD121" s="18">
        <v>2003</v>
      </c>
      <c r="AE121" s="18">
        <v>12</v>
      </c>
      <c r="AF121" s="18">
        <v>14409.3129690108</v>
      </c>
      <c r="AH121" s="10">
        <v>2003</v>
      </c>
      <c r="AI121" s="10">
        <v>12</v>
      </c>
      <c r="AJ121" s="18">
        <v>14413.4284586706</v>
      </c>
      <c r="AL121" s="15">
        <v>2003</v>
      </c>
      <c r="AM121" s="15">
        <v>12</v>
      </c>
      <c r="AN121" s="15">
        <v>14412.4717928113</v>
      </c>
      <c r="AQ121" s="18">
        <v>2003</v>
      </c>
      <c r="AR121" s="18">
        <v>12</v>
      </c>
      <c r="AS121" s="18">
        <v>14393.997214884699</v>
      </c>
      <c r="AU121" s="10">
        <v>2003</v>
      </c>
      <c r="AV121" s="10">
        <v>12</v>
      </c>
      <c r="AW121" s="15">
        <v>14371.4021900117</v>
      </c>
      <c r="AY121" s="15">
        <v>2003</v>
      </c>
      <c r="AZ121" s="15">
        <v>12</v>
      </c>
      <c r="BA121" s="15">
        <v>14376.1374877175</v>
      </c>
      <c r="BC121" s="15">
        <v>2003</v>
      </c>
      <c r="BD121" s="15">
        <v>12</v>
      </c>
      <c r="BE121" s="15">
        <v>14370.5639084624</v>
      </c>
      <c r="BG121" s="15">
        <v>2003</v>
      </c>
      <c r="BH121" s="15">
        <v>12</v>
      </c>
      <c r="BI121" s="15">
        <v>14377.7058074821</v>
      </c>
    </row>
    <row r="122" spans="1:61" x14ac:dyDescent="0.25">
      <c r="A122" s="10">
        <v>2004</v>
      </c>
      <c r="B122" s="10">
        <v>1</v>
      </c>
      <c r="C122" s="11">
        <v>21162.799737501598</v>
      </c>
      <c r="G122" s="7">
        <v>2003</v>
      </c>
      <c r="H122" s="7">
        <v>10</v>
      </c>
      <c r="I122" s="13">
        <v>12017.345396454401</v>
      </c>
      <c r="L122" s="10">
        <v>2004</v>
      </c>
      <c r="M122" s="10">
        <v>1</v>
      </c>
      <c r="N122" s="18">
        <v>21004.500797611301</v>
      </c>
      <c r="Q122" s="15">
        <v>2004</v>
      </c>
      <c r="R122" s="15">
        <v>1</v>
      </c>
      <c r="S122" s="15">
        <v>20948.5057783339</v>
      </c>
      <c r="U122" s="15">
        <v>2004</v>
      </c>
      <c r="V122" s="15">
        <v>1</v>
      </c>
      <c r="W122" s="15">
        <v>21138.098602302402</v>
      </c>
      <c r="Z122" s="15">
        <v>2004</v>
      </c>
      <c r="AA122" s="15">
        <v>1</v>
      </c>
      <c r="AB122" s="15">
        <v>21140.407218043401</v>
      </c>
      <c r="AD122" s="18">
        <v>2004</v>
      </c>
      <c r="AE122" s="18">
        <v>1</v>
      </c>
      <c r="AF122" s="18">
        <v>22356.658251526002</v>
      </c>
      <c r="AH122" s="10">
        <v>2004</v>
      </c>
      <c r="AI122" s="10">
        <v>1</v>
      </c>
      <c r="AJ122" s="18">
        <v>22357.106364875101</v>
      </c>
      <c r="AL122" s="15">
        <v>2004</v>
      </c>
      <c r="AM122" s="15">
        <v>1</v>
      </c>
      <c r="AN122" s="15">
        <v>22360.984884813199</v>
      </c>
      <c r="AQ122" s="18">
        <v>2004</v>
      </c>
      <c r="AR122" s="18">
        <v>1</v>
      </c>
      <c r="AS122" s="18">
        <v>22365.306186632901</v>
      </c>
      <c r="AU122" s="10">
        <v>2004</v>
      </c>
      <c r="AV122" s="10">
        <v>1</v>
      </c>
      <c r="AW122" s="15">
        <v>22359.135250172701</v>
      </c>
      <c r="AY122" s="15">
        <v>2004</v>
      </c>
      <c r="AZ122" s="15">
        <v>1</v>
      </c>
      <c r="BA122" s="15">
        <v>22364.336762187198</v>
      </c>
      <c r="BC122" s="15">
        <v>2004</v>
      </c>
      <c r="BD122" s="15">
        <v>1</v>
      </c>
      <c r="BE122" s="15">
        <v>22364.2251153795</v>
      </c>
      <c r="BG122" s="15">
        <v>2004</v>
      </c>
      <c r="BH122" s="15">
        <v>1</v>
      </c>
      <c r="BI122" s="15">
        <v>22362.925464798602</v>
      </c>
    </row>
    <row r="123" spans="1:61" x14ac:dyDescent="0.25">
      <c r="A123" s="10">
        <v>2004</v>
      </c>
      <c r="B123" s="10">
        <v>2</v>
      </c>
      <c r="C123" s="11">
        <v>19566.006384320401</v>
      </c>
      <c r="G123" s="7">
        <v>2003</v>
      </c>
      <c r="H123" s="7">
        <v>11</v>
      </c>
      <c r="I123" s="13">
        <v>15752.6456699258</v>
      </c>
      <c r="L123" s="10">
        <v>2004</v>
      </c>
      <c r="M123" s="10">
        <v>2</v>
      </c>
      <c r="N123" s="18">
        <v>20253.314709243699</v>
      </c>
      <c r="Q123" s="15">
        <v>2004</v>
      </c>
      <c r="R123" s="15">
        <v>2</v>
      </c>
      <c r="S123" s="15">
        <v>20725.134300796599</v>
      </c>
      <c r="U123" s="15">
        <v>2004</v>
      </c>
      <c r="V123" s="15">
        <v>2</v>
      </c>
      <c r="W123" s="15">
        <v>19578.940714109802</v>
      </c>
      <c r="Z123" s="15">
        <v>2004</v>
      </c>
      <c r="AA123" s="15">
        <v>2</v>
      </c>
      <c r="AB123" s="15">
        <v>19501.961372628499</v>
      </c>
      <c r="AD123" s="18">
        <v>2004</v>
      </c>
      <c r="AE123" s="18">
        <v>2</v>
      </c>
      <c r="AF123" s="18">
        <v>19181.897083342101</v>
      </c>
      <c r="AH123" s="10">
        <v>2004</v>
      </c>
      <c r="AI123" s="10">
        <v>2</v>
      </c>
      <c r="AJ123" s="18">
        <v>19168.557350888801</v>
      </c>
      <c r="AL123" s="15">
        <v>2004</v>
      </c>
      <c r="AM123" s="15">
        <v>2</v>
      </c>
      <c r="AN123" s="15">
        <v>19139.9179536921</v>
      </c>
      <c r="AQ123" s="18">
        <v>2004</v>
      </c>
      <c r="AR123" s="18">
        <v>2</v>
      </c>
      <c r="AS123" s="18">
        <v>19149.9426703918</v>
      </c>
      <c r="AU123" s="10">
        <v>2004</v>
      </c>
      <c r="AV123" s="10">
        <v>2</v>
      </c>
      <c r="AW123" s="15">
        <v>19145.206298376601</v>
      </c>
      <c r="AY123" s="15">
        <v>2004</v>
      </c>
      <c r="AZ123" s="15">
        <v>2</v>
      </c>
      <c r="BA123" s="15">
        <v>19202.275819558701</v>
      </c>
      <c r="BC123" s="15">
        <v>2004</v>
      </c>
      <c r="BD123" s="15">
        <v>2</v>
      </c>
      <c r="BE123" s="15">
        <v>19217.424195760101</v>
      </c>
      <c r="BG123" s="15">
        <v>2004</v>
      </c>
      <c r="BH123" s="15">
        <v>2</v>
      </c>
      <c r="BI123" s="15">
        <v>19209.682113928498</v>
      </c>
    </row>
    <row r="124" spans="1:61" x14ac:dyDescent="0.25">
      <c r="A124" s="10">
        <v>2004</v>
      </c>
      <c r="B124" s="10">
        <v>3</v>
      </c>
      <c r="C124" s="11">
        <v>18504.845008972101</v>
      </c>
      <c r="G124" s="7">
        <v>2003</v>
      </c>
      <c r="H124" s="7">
        <v>12</v>
      </c>
      <c r="I124" s="13">
        <v>13883.473951436499</v>
      </c>
      <c r="L124" s="10">
        <v>2004</v>
      </c>
      <c r="M124" s="10">
        <v>3</v>
      </c>
      <c r="N124" s="18">
        <v>18482.698638222799</v>
      </c>
      <c r="Q124" s="15">
        <v>2004</v>
      </c>
      <c r="R124" s="15">
        <v>3</v>
      </c>
      <c r="S124" s="15">
        <v>18507.925271906399</v>
      </c>
      <c r="U124" s="15">
        <v>2004</v>
      </c>
      <c r="V124" s="15">
        <v>3</v>
      </c>
      <c r="W124" s="15">
        <v>18319.026269777602</v>
      </c>
      <c r="Z124" s="15">
        <v>2004</v>
      </c>
      <c r="AA124" s="15">
        <v>3</v>
      </c>
      <c r="AB124" s="15">
        <v>18323.909757438701</v>
      </c>
      <c r="AD124" s="18">
        <v>2004</v>
      </c>
      <c r="AE124" s="18">
        <v>3</v>
      </c>
      <c r="AF124" s="18">
        <v>18172.3807071134</v>
      </c>
      <c r="AH124" s="10">
        <v>2004</v>
      </c>
      <c r="AI124" s="10">
        <v>3</v>
      </c>
      <c r="AJ124" s="18">
        <v>18176.789867516702</v>
      </c>
      <c r="AL124" s="15">
        <v>2004</v>
      </c>
      <c r="AM124" s="15">
        <v>3</v>
      </c>
      <c r="AN124" s="15">
        <v>18175.866047274001</v>
      </c>
      <c r="AQ124" s="18">
        <v>2004</v>
      </c>
      <c r="AR124" s="18">
        <v>3</v>
      </c>
      <c r="AS124" s="18">
        <v>18156.220996640801</v>
      </c>
      <c r="AU124" s="10">
        <v>2004</v>
      </c>
      <c r="AV124" s="10">
        <v>3</v>
      </c>
      <c r="AW124" s="15">
        <v>18131.2575500397</v>
      </c>
      <c r="AY124" s="15">
        <v>2004</v>
      </c>
      <c r="AZ124" s="15">
        <v>3</v>
      </c>
      <c r="BA124" s="15">
        <v>18137.091085828401</v>
      </c>
      <c r="BC124" s="15">
        <v>2004</v>
      </c>
      <c r="BD124" s="15">
        <v>3</v>
      </c>
      <c r="BE124" s="15">
        <v>18131.122185694701</v>
      </c>
      <c r="BG124" s="15">
        <v>2004</v>
      </c>
      <c r="BH124" s="15">
        <v>3</v>
      </c>
      <c r="BI124" s="15">
        <v>18138.721944269499</v>
      </c>
    </row>
    <row r="125" spans="1:61" x14ac:dyDescent="0.25">
      <c r="A125" s="10">
        <v>2004</v>
      </c>
      <c r="B125" s="10">
        <v>4</v>
      </c>
      <c r="C125" s="11">
        <v>17279.183309616401</v>
      </c>
      <c r="G125" s="7">
        <v>2004</v>
      </c>
      <c r="H125" s="7">
        <v>1</v>
      </c>
      <c r="I125" s="13">
        <v>24315.303753608699</v>
      </c>
      <c r="L125" s="10">
        <v>2004</v>
      </c>
      <c r="M125" s="10">
        <v>4</v>
      </c>
      <c r="N125" s="18">
        <v>17238.121642689701</v>
      </c>
      <c r="Q125" s="15">
        <v>2004</v>
      </c>
      <c r="R125" s="15">
        <v>4</v>
      </c>
      <c r="S125" s="15">
        <v>17259.336452403601</v>
      </c>
      <c r="U125" s="15">
        <v>2004</v>
      </c>
      <c r="V125" s="15">
        <v>4</v>
      </c>
      <c r="W125" s="15">
        <v>17111.6426724716</v>
      </c>
      <c r="Z125" s="15">
        <v>2004</v>
      </c>
      <c r="AA125" s="15">
        <v>4</v>
      </c>
      <c r="AB125" s="15">
        <v>17114.962718298601</v>
      </c>
      <c r="AD125" s="18">
        <v>2004</v>
      </c>
      <c r="AE125" s="18">
        <v>4</v>
      </c>
      <c r="AF125" s="18">
        <v>16981.974503252601</v>
      </c>
      <c r="AH125" s="10">
        <v>2004</v>
      </c>
      <c r="AI125" s="10">
        <v>4</v>
      </c>
      <c r="AJ125" s="18">
        <v>16985.2600395181</v>
      </c>
      <c r="AL125" s="15">
        <v>2004</v>
      </c>
      <c r="AM125" s="15">
        <v>4</v>
      </c>
      <c r="AN125" s="15">
        <v>16984.396089316098</v>
      </c>
      <c r="AQ125" s="18">
        <v>2004</v>
      </c>
      <c r="AR125" s="18">
        <v>4</v>
      </c>
      <c r="AS125" s="18">
        <v>16969.4679559461</v>
      </c>
      <c r="AU125" s="10">
        <v>2004</v>
      </c>
      <c r="AV125" s="10">
        <v>4</v>
      </c>
      <c r="AW125" s="15">
        <v>16953.389908561101</v>
      </c>
      <c r="AY125" s="15">
        <v>2004</v>
      </c>
      <c r="AZ125" s="15">
        <v>4</v>
      </c>
      <c r="BA125" s="15">
        <v>16955.135958751998</v>
      </c>
      <c r="BC125" s="15">
        <v>2004</v>
      </c>
      <c r="BD125" s="15">
        <v>4</v>
      </c>
      <c r="BE125" s="15">
        <v>16950.6512660675</v>
      </c>
      <c r="BG125" s="15">
        <v>2004</v>
      </c>
      <c r="BH125" s="15">
        <v>4</v>
      </c>
      <c r="BI125" s="15">
        <v>16956.4219578304</v>
      </c>
    </row>
    <row r="126" spans="1:61" x14ac:dyDescent="0.25">
      <c r="A126" s="10">
        <v>2004</v>
      </c>
      <c r="B126" s="10">
        <v>5</v>
      </c>
      <c r="C126" s="11">
        <v>20879.555103057501</v>
      </c>
      <c r="G126" s="7">
        <v>2004</v>
      </c>
      <c r="H126" s="7">
        <v>2</v>
      </c>
      <c r="I126" s="13">
        <v>20317.244954532802</v>
      </c>
      <c r="L126" s="10">
        <v>2004</v>
      </c>
      <c r="M126" s="10">
        <v>5</v>
      </c>
      <c r="N126" s="18">
        <v>20773.735538343499</v>
      </c>
      <c r="Q126" s="15">
        <v>2004</v>
      </c>
      <c r="R126" s="15">
        <v>5</v>
      </c>
      <c r="S126" s="15">
        <v>20826.054100832102</v>
      </c>
      <c r="U126" s="15">
        <v>2004</v>
      </c>
      <c r="V126" s="15">
        <v>5</v>
      </c>
      <c r="W126" s="15">
        <v>20874.504993348899</v>
      </c>
      <c r="Z126" s="15">
        <v>2004</v>
      </c>
      <c r="AA126" s="15">
        <v>5</v>
      </c>
      <c r="AB126" s="15">
        <v>20857.7353952825</v>
      </c>
      <c r="AD126" s="18">
        <v>2004</v>
      </c>
      <c r="AE126" s="18">
        <v>5</v>
      </c>
      <c r="AF126" s="18">
        <v>20760.7727529002</v>
      </c>
      <c r="AH126" s="10">
        <v>2004</v>
      </c>
      <c r="AI126" s="10">
        <v>5</v>
      </c>
      <c r="AJ126" s="18">
        <v>20752.5897647649</v>
      </c>
      <c r="AL126" s="15">
        <v>2004</v>
      </c>
      <c r="AM126" s="15">
        <v>5</v>
      </c>
      <c r="AN126" s="15">
        <v>20749.821567012699</v>
      </c>
      <c r="AQ126" s="18">
        <v>2004</v>
      </c>
      <c r="AR126" s="18">
        <v>5</v>
      </c>
      <c r="AS126" s="18">
        <v>20779.2818430027</v>
      </c>
      <c r="AU126" s="10">
        <v>2004</v>
      </c>
      <c r="AV126" s="10">
        <v>5</v>
      </c>
      <c r="AW126" s="15">
        <v>20833.1595614834</v>
      </c>
      <c r="AY126" s="15">
        <v>2004</v>
      </c>
      <c r="AZ126" s="15">
        <v>5</v>
      </c>
      <c r="BA126" s="15">
        <v>20813.8098958501</v>
      </c>
      <c r="BC126" s="15">
        <v>2004</v>
      </c>
      <c r="BD126" s="15">
        <v>5</v>
      </c>
      <c r="BE126" s="15">
        <v>20824.382498767001</v>
      </c>
      <c r="BG126" s="15">
        <v>2004</v>
      </c>
      <c r="BH126" s="15">
        <v>5</v>
      </c>
      <c r="BI126" s="15">
        <v>20812.51887779</v>
      </c>
    </row>
    <row r="127" spans="1:61" x14ac:dyDescent="0.25">
      <c r="A127" s="10">
        <v>2004</v>
      </c>
      <c r="B127" s="10">
        <v>6</v>
      </c>
      <c r="C127" s="11">
        <v>19133.600034581101</v>
      </c>
      <c r="G127" s="7">
        <v>2004</v>
      </c>
      <c r="H127" s="7">
        <v>3</v>
      </c>
      <c r="I127" s="13">
        <v>17988.5855223299</v>
      </c>
      <c r="L127" s="10">
        <v>2004</v>
      </c>
      <c r="M127" s="10">
        <v>6</v>
      </c>
      <c r="N127" s="18">
        <v>19055.112181040698</v>
      </c>
      <c r="Q127" s="15">
        <v>2004</v>
      </c>
      <c r="R127" s="15">
        <v>6</v>
      </c>
      <c r="S127" s="15">
        <v>19062.8660332867</v>
      </c>
      <c r="U127" s="15">
        <v>2004</v>
      </c>
      <c r="V127" s="15">
        <v>6</v>
      </c>
      <c r="W127" s="15">
        <v>18965.125717951902</v>
      </c>
      <c r="Z127" s="15">
        <v>2004</v>
      </c>
      <c r="AA127" s="15">
        <v>6</v>
      </c>
      <c r="AB127" s="15">
        <v>18969.650495803598</v>
      </c>
      <c r="AD127" s="18">
        <v>2004</v>
      </c>
      <c r="AE127" s="18">
        <v>6</v>
      </c>
      <c r="AF127" s="18">
        <v>18851.803653008999</v>
      </c>
      <c r="AH127" s="10">
        <v>2004</v>
      </c>
      <c r="AI127" s="10">
        <v>6</v>
      </c>
      <c r="AJ127" s="18">
        <v>18855.157700599299</v>
      </c>
      <c r="AL127" s="15">
        <v>2004</v>
      </c>
      <c r="AM127" s="15">
        <v>6</v>
      </c>
      <c r="AN127" s="15">
        <v>18854.886042681301</v>
      </c>
      <c r="AQ127" s="18">
        <v>2004</v>
      </c>
      <c r="AR127" s="18">
        <v>6</v>
      </c>
      <c r="AS127" s="18">
        <v>18840.582968571998</v>
      </c>
      <c r="AU127" s="10">
        <v>2004</v>
      </c>
      <c r="AV127" s="10">
        <v>6</v>
      </c>
      <c r="AW127" s="15">
        <v>18828.360707505901</v>
      </c>
      <c r="AY127" s="15">
        <v>2004</v>
      </c>
      <c r="AZ127" s="15">
        <v>6</v>
      </c>
      <c r="BA127" s="15">
        <v>18826.037496270499</v>
      </c>
      <c r="BC127" s="15">
        <v>2004</v>
      </c>
      <c r="BD127" s="15">
        <v>6</v>
      </c>
      <c r="BE127" s="15">
        <v>18821.508089866798</v>
      </c>
      <c r="BG127" s="15">
        <v>2004</v>
      </c>
      <c r="BH127" s="15">
        <v>6</v>
      </c>
      <c r="BI127" s="15">
        <v>18827.120446269899</v>
      </c>
    </row>
    <row r="128" spans="1:61" x14ac:dyDescent="0.25">
      <c r="A128" s="10">
        <v>2004</v>
      </c>
      <c r="B128" s="10">
        <v>7</v>
      </c>
      <c r="C128" s="11">
        <v>18948.826217583199</v>
      </c>
      <c r="G128" s="7">
        <v>2004</v>
      </c>
      <c r="H128" s="7">
        <v>4</v>
      </c>
      <c r="I128" s="13">
        <v>16869.144468244602</v>
      </c>
      <c r="L128" s="10">
        <v>2004</v>
      </c>
      <c r="M128" s="10">
        <v>7</v>
      </c>
      <c r="N128" s="18">
        <v>18748.769307523002</v>
      </c>
      <c r="Q128" s="15">
        <v>2004</v>
      </c>
      <c r="R128" s="15">
        <v>7</v>
      </c>
      <c r="S128" s="15">
        <v>18788.4636016652</v>
      </c>
      <c r="U128" s="15">
        <v>2004</v>
      </c>
      <c r="V128" s="15">
        <v>7</v>
      </c>
      <c r="W128" s="15">
        <v>18608.0848568211</v>
      </c>
      <c r="Z128" s="15">
        <v>2004</v>
      </c>
      <c r="AA128" s="15">
        <v>7</v>
      </c>
      <c r="AB128" s="15">
        <v>18608.855607637401</v>
      </c>
      <c r="AD128" s="18">
        <v>2004</v>
      </c>
      <c r="AE128" s="18">
        <v>7</v>
      </c>
      <c r="AF128" s="18">
        <v>18697.477291766001</v>
      </c>
      <c r="AH128" s="10">
        <v>2004</v>
      </c>
      <c r="AI128" s="10">
        <v>7</v>
      </c>
      <c r="AJ128" s="18">
        <v>18699.792125996199</v>
      </c>
      <c r="AL128" s="15">
        <v>2004</v>
      </c>
      <c r="AM128" s="15">
        <v>7</v>
      </c>
      <c r="AN128" s="15">
        <v>18699.187257702299</v>
      </c>
      <c r="AQ128" s="18">
        <v>2004</v>
      </c>
      <c r="AR128" s="18">
        <v>7</v>
      </c>
      <c r="AS128" s="18">
        <v>18688.635393218599</v>
      </c>
      <c r="AU128" s="10">
        <v>2004</v>
      </c>
      <c r="AV128" s="10">
        <v>7</v>
      </c>
      <c r="AW128" s="15">
        <v>18682.932390221798</v>
      </c>
      <c r="AY128" s="15">
        <v>2004</v>
      </c>
      <c r="AZ128" s="15">
        <v>7</v>
      </c>
      <c r="BA128" s="15">
        <v>18678.486117234999</v>
      </c>
      <c r="BC128" s="15">
        <v>2004</v>
      </c>
      <c r="BD128" s="15">
        <v>7</v>
      </c>
      <c r="BE128" s="15">
        <v>18675.317993311</v>
      </c>
      <c r="BG128" s="15">
        <v>2004</v>
      </c>
      <c r="BH128" s="15">
        <v>7</v>
      </c>
      <c r="BI128" s="15">
        <v>18679.405908645102</v>
      </c>
    </row>
    <row r="129" spans="1:61" x14ac:dyDescent="0.25">
      <c r="A129" s="10">
        <v>2004</v>
      </c>
      <c r="B129" s="10">
        <v>8</v>
      </c>
      <c r="C129" s="11">
        <v>19547.732526631298</v>
      </c>
      <c r="G129" s="7">
        <v>2004</v>
      </c>
      <c r="H129" s="7">
        <v>5</v>
      </c>
      <c r="I129" s="13">
        <v>20012.844110426198</v>
      </c>
      <c r="L129" s="10">
        <v>2004</v>
      </c>
      <c r="M129" s="10">
        <v>8</v>
      </c>
      <c r="N129" s="18">
        <v>19364.698526403499</v>
      </c>
      <c r="Q129" s="15">
        <v>2004</v>
      </c>
      <c r="R129" s="15">
        <v>8</v>
      </c>
      <c r="S129" s="15">
        <v>19382.366308576398</v>
      </c>
      <c r="U129" s="15">
        <v>2004</v>
      </c>
      <c r="V129" s="15">
        <v>8</v>
      </c>
      <c r="W129" s="15">
        <v>19398.841565307099</v>
      </c>
      <c r="Z129" s="15">
        <v>2004</v>
      </c>
      <c r="AA129" s="15">
        <v>8</v>
      </c>
      <c r="AB129" s="15">
        <v>19394.595455214599</v>
      </c>
      <c r="AD129" s="18">
        <v>2004</v>
      </c>
      <c r="AE129" s="18">
        <v>8</v>
      </c>
      <c r="AF129" s="18">
        <v>19290.747019575701</v>
      </c>
      <c r="AH129" s="10">
        <v>2004</v>
      </c>
      <c r="AI129" s="10">
        <v>8</v>
      </c>
      <c r="AJ129" s="18">
        <v>19288.892620004</v>
      </c>
      <c r="AL129" s="15">
        <v>2004</v>
      </c>
      <c r="AM129" s="15">
        <v>8</v>
      </c>
      <c r="AN129" s="15">
        <v>19288.005978371199</v>
      </c>
      <c r="AQ129" s="18">
        <v>2004</v>
      </c>
      <c r="AR129" s="18">
        <v>8</v>
      </c>
      <c r="AS129" s="18">
        <v>19294.282516903499</v>
      </c>
      <c r="AU129" s="10">
        <v>2004</v>
      </c>
      <c r="AV129" s="10">
        <v>8</v>
      </c>
      <c r="AW129" s="15">
        <v>19314.328357572402</v>
      </c>
      <c r="AY129" s="15">
        <v>2004</v>
      </c>
      <c r="AZ129" s="15">
        <v>8</v>
      </c>
      <c r="BA129" s="15">
        <v>19302.067150420498</v>
      </c>
      <c r="BC129" s="15">
        <v>2004</v>
      </c>
      <c r="BD129" s="15">
        <v>8</v>
      </c>
      <c r="BE129" s="15">
        <v>19304.444025082401</v>
      </c>
      <c r="BG129" s="15">
        <v>2004</v>
      </c>
      <c r="BH129" s="15">
        <v>8</v>
      </c>
      <c r="BI129" s="15">
        <v>19301.876844012</v>
      </c>
    </row>
    <row r="130" spans="1:61" x14ac:dyDescent="0.25">
      <c r="A130" s="10">
        <v>2004</v>
      </c>
      <c r="B130" s="10">
        <v>9</v>
      </c>
      <c r="C130" s="11">
        <v>20679.586429237399</v>
      </c>
      <c r="G130" s="7">
        <v>2004</v>
      </c>
      <c r="H130" s="7">
        <v>6</v>
      </c>
      <c r="I130" s="13">
        <v>18949.5110947297</v>
      </c>
      <c r="L130" s="10">
        <v>2004</v>
      </c>
      <c r="M130" s="10">
        <v>9</v>
      </c>
      <c r="N130" s="18">
        <v>20484.4018699189</v>
      </c>
      <c r="Q130" s="15">
        <v>2004</v>
      </c>
      <c r="R130" s="15">
        <v>9</v>
      </c>
      <c r="S130" s="15">
        <v>20494.1975862162</v>
      </c>
      <c r="U130" s="15">
        <v>2004</v>
      </c>
      <c r="V130" s="15">
        <v>9</v>
      </c>
      <c r="W130" s="15">
        <v>20439.4782533787</v>
      </c>
      <c r="Z130" s="15">
        <v>2004</v>
      </c>
      <c r="AA130" s="15">
        <v>9</v>
      </c>
      <c r="AB130" s="15">
        <v>20442.9868375472</v>
      </c>
      <c r="AD130" s="18">
        <v>2004</v>
      </c>
      <c r="AE130" s="18">
        <v>9</v>
      </c>
      <c r="AF130" s="18">
        <v>20326.685672914598</v>
      </c>
      <c r="AH130" s="10">
        <v>2004</v>
      </c>
      <c r="AI130" s="10">
        <v>9</v>
      </c>
      <c r="AJ130" s="18">
        <v>20329.4537667435</v>
      </c>
      <c r="AL130" s="15">
        <v>2004</v>
      </c>
      <c r="AM130" s="15">
        <v>9</v>
      </c>
      <c r="AN130" s="15">
        <v>20329.226335192099</v>
      </c>
      <c r="AQ130" s="18">
        <v>2004</v>
      </c>
      <c r="AR130" s="18">
        <v>9</v>
      </c>
      <c r="AS130" s="18">
        <v>20317.4369080785</v>
      </c>
      <c r="AU130" s="10">
        <v>2004</v>
      </c>
      <c r="AV130" s="10">
        <v>9</v>
      </c>
      <c r="AW130" s="15">
        <v>20309.5717606377</v>
      </c>
      <c r="AY130" s="15">
        <v>2004</v>
      </c>
      <c r="AZ130" s="15">
        <v>9</v>
      </c>
      <c r="BA130" s="15">
        <v>20305.471228213501</v>
      </c>
      <c r="BC130" s="15">
        <v>2004</v>
      </c>
      <c r="BD130" s="15">
        <v>9</v>
      </c>
      <c r="BE130" s="15">
        <v>20301.751245994499</v>
      </c>
      <c r="BG130" s="15">
        <v>2004</v>
      </c>
      <c r="BH130" s="15">
        <v>9</v>
      </c>
      <c r="BI130" s="15">
        <v>20306.367206521001</v>
      </c>
    </row>
    <row r="131" spans="1:61" x14ac:dyDescent="0.25">
      <c r="A131" s="10">
        <v>2004</v>
      </c>
      <c r="B131" s="10">
        <v>10</v>
      </c>
      <c r="C131" s="11">
        <v>22590.095148837401</v>
      </c>
      <c r="G131" s="7">
        <v>2004</v>
      </c>
      <c r="H131" s="7">
        <v>7</v>
      </c>
      <c r="I131" s="13">
        <v>19011.277790628199</v>
      </c>
      <c r="L131" s="10">
        <v>2004</v>
      </c>
      <c r="M131" s="10">
        <v>10</v>
      </c>
      <c r="N131" s="18">
        <v>22301.9382490014</v>
      </c>
      <c r="Q131" s="15">
        <v>2004</v>
      </c>
      <c r="R131" s="15">
        <v>10</v>
      </c>
      <c r="S131" s="15">
        <v>22353.857535415002</v>
      </c>
      <c r="U131" s="15">
        <v>2004</v>
      </c>
      <c r="V131" s="15">
        <v>10</v>
      </c>
      <c r="W131" s="15">
        <v>22438.642071883402</v>
      </c>
      <c r="Z131" s="15">
        <v>2004</v>
      </c>
      <c r="AA131" s="15">
        <v>10</v>
      </c>
      <c r="AB131" s="15">
        <v>22423.275470157401</v>
      </c>
      <c r="AD131" s="18">
        <v>2004</v>
      </c>
      <c r="AE131" s="18">
        <v>10</v>
      </c>
      <c r="AF131" s="18">
        <v>22315.106220559501</v>
      </c>
      <c r="AH131" s="10">
        <v>2004</v>
      </c>
      <c r="AI131" s="10">
        <v>10</v>
      </c>
      <c r="AJ131" s="18">
        <v>22307.594329976298</v>
      </c>
      <c r="AL131" s="15">
        <v>2004</v>
      </c>
      <c r="AM131" s="15">
        <v>10</v>
      </c>
      <c r="AN131" s="15">
        <v>22305.2180139513</v>
      </c>
      <c r="AQ131" s="18">
        <v>2004</v>
      </c>
      <c r="AR131" s="18">
        <v>10</v>
      </c>
      <c r="AS131" s="18">
        <v>22332.549323450101</v>
      </c>
      <c r="AU131" s="10">
        <v>2004</v>
      </c>
      <c r="AV131" s="10">
        <v>10</v>
      </c>
      <c r="AW131" s="15">
        <v>22383.631213857199</v>
      </c>
      <c r="AY131" s="15">
        <v>2004</v>
      </c>
      <c r="AZ131" s="15">
        <v>10</v>
      </c>
      <c r="BA131" s="15">
        <v>22364.341652235598</v>
      </c>
      <c r="BC131" s="15">
        <v>2004</v>
      </c>
      <c r="BD131" s="15">
        <v>10</v>
      </c>
      <c r="BE131" s="15">
        <v>22374.093001924099</v>
      </c>
      <c r="BG131" s="15">
        <v>2004</v>
      </c>
      <c r="BH131" s="15">
        <v>10</v>
      </c>
      <c r="BI131" s="15">
        <v>22363.0933204309</v>
      </c>
    </row>
    <row r="132" spans="1:61" x14ac:dyDescent="0.25">
      <c r="A132" s="10">
        <v>2004</v>
      </c>
      <c r="B132" s="10">
        <v>11</v>
      </c>
      <c r="C132" s="11">
        <v>21365.4354939119</v>
      </c>
      <c r="G132" s="7">
        <v>2004</v>
      </c>
      <c r="H132" s="7">
        <v>8</v>
      </c>
      <c r="I132" s="13">
        <v>19562.785561275199</v>
      </c>
      <c r="L132" s="10">
        <v>2004</v>
      </c>
      <c r="M132" s="10">
        <v>11</v>
      </c>
      <c r="N132" s="18">
        <v>21168.354676772899</v>
      </c>
      <c r="Q132" s="15">
        <v>2004</v>
      </c>
      <c r="R132" s="15">
        <v>11</v>
      </c>
      <c r="S132" s="15">
        <v>21194.874573557099</v>
      </c>
      <c r="U132" s="15">
        <v>2004</v>
      </c>
      <c r="V132" s="15">
        <v>11</v>
      </c>
      <c r="W132" s="15">
        <v>21114.3861516205</v>
      </c>
      <c r="Z132" s="15">
        <v>2004</v>
      </c>
      <c r="AA132" s="15">
        <v>11</v>
      </c>
      <c r="AB132" s="15">
        <v>21116.769482752599</v>
      </c>
      <c r="AD132" s="18">
        <v>2004</v>
      </c>
      <c r="AE132" s="18">
        <v>11</v>
      </c>
      <c r="AF132" s="18">
        <v>20967.4495728326</v>
      </c>
      <c r="AH132" s="10">
        <v>2004</v>
      </c>
      <c r="AI132" s="10">
        <v>11</v>
      </c>
      <c r="AJ132" s="18">
        <v>20970.096781146902</v>
      </c>
      <c r="AL132" s="15">
        <v>2004</v>
      </c>
      <c r="AM132" s="15">
        <v>11</v>
      </c>
      <c r="AN132" s="15">
        <v>20969.4284731677</v>
      </c>
      <c r="AQ132" s="18">
        <v>2004</v>
      </c>
      <c r="AR132" s="18">
        <v>11</v>
      </c>
      <c r="AS132" s="18">
        <v>20957.4707942399</v>
      </c>
      <c r="AU132" s="10">
        <v>2004</v>
      </c>
      <c r="AV132" s="10">
        <v>11</v>
      </c>
      <c r="AW132" s="15">
        <v>20947.599039953799</v>
      </c>
      <c r="AY132" s="15">
        <v>2004</v>
      </c>
      <c r="AZ132" s="15">
        <v>11</v>
      </c>
      <c r="BA132" s="15">
        <v>20945.984358863199</v>
      </c>
      <c r="BC132" s="15">
        <v>2004</v>
      </c>
      <c r="BD132" s="15">
        <v>11</v>
      </c>
      <c r="BE132" s="15">
        <v>20942.3987336139</v>
      </c>
      <c r="BG132" s="15">
        <v>2004</v>
      </c>
      <c r="BH132" s="15">
        <v>11</v>
      </c>
      <c r="BI132" s="15">
        <v>20947.011673159199</v>
      </c>
    </row>
    <row r="133" spans="1:61" x14ac:dyDescent="0.25">
      <c r="A133" s="10">
        <v>2004</v>
      </c>
      <c r="B133" s="10">
        <v>12</v>
      </c>
      <c r="C133" s="11">
        <v>23349.726524927799</v>
      </c>
      <c r="G133" s="7">
        <v>2004</v>
      </c>
      <c r="H133" s="7">
        <v>9</v>
      </c>
      <c r="I133" s="13">
        <v>20557.650053027399</v>
      </c>
      <c r="L133" s="10">
        <v>2004</v>
      </c>
      <c r="M133" s="10">
        <v>12</v>
      </c>
      <c r="N133" s="18">
        <v>23185.771882659701</v>
      </c>
      <c r="Q133" s="15">
        <v>2004</v>
      </c>
      <c r="R133" s="15">
        <v>12</v>
      </c>
      <c r="S133" s="15">
        <v>23213.424007876201</v>
      </c>
      <c r="U133" s="15">
        <v>2004</v>
      </c>
      <c r="V133" s="15">
        <v>12</v>
      </c>
      <c r="W133" s="15">
        <v>23082.9913234911</v>
      </c>
      <c r="Z133" s="15">
        <v>2004</v>
      </c>
      <c r="AA133" s="15">
        <v>12</v>
      </c>
      <c r="AB133" s="15">
        <v>23088.461330277602</v>
      </c>
      <c r="AD133" s="18">
        <v>2004</v>
      </c>
      <c r="AE133" s="18">
        <v>12</v>
      </c>
      <c r="AF133" s="18">
        <v>22917.507868189299</v>
      </c>
      <c r="AH133" s="10">
        <v>2004</v>
      </c>
      <c r="AI133" s="10">
        <v>12</v>
      </c>
      <c r="AJ133" s="18">
        <v>22922.240631565801</v>
      </c>
      <c r="AL133" s="15">
        <v>2004</v>
      </c>
      <c r="AM133" s="15">
        <v>12</v>
      </c>
      <c r="AN133" s="15">
        <v>22921.641841578701</v>
      </c>
      <c r="AQ133" s="18">
        <v>2004</v>
      </c>
      <c r="AR133" s="18">
        <v>12</v>
      </c>
      <c r="AS133" s="18">
        <v>22901.182135799401</v>
      </c>
      <c r="AU133" s="10">
        <v>2004</v>
      </c>
      <c r="AV133" s="10">
        <v>12</v>
      </c>
      <c r="AW133" s="15">
        <v>22876.8166873011</v>
      </c>
      <c r="AY133" s="15">
        <v>2004</v>
      </c>
      <c r="AZ133" s="15">
        <v>12</v>
      </c>
      <c r="BA133" s="15">
        <v>22880.765139361702</v>
      </c>
      <c r="BC133" s="15">
        <v>2004</v>
      </c>
      <c r="BD133" s="15">
        <v>12</v>
      </c>
      <c r="BE133" s="15">
        <v>22874.416666179801</v>
      </c>
      <c r="BG133" s="15">
        <v>2004</v>
      </c>
      <c r="BH133" s="15">
        <v>12</v>
      </c>
      <c r="BI133" s="15">
        <v>22882.3674588705</v>
      </c>
    </row>
    <row r="134" spans="1:61" x14ac:dyDescent="0.25">
      <c r="A134" s="10">
        <v>2005</v>
      </c>
      <c r="B134" s="10">
        <v>1</v>
      </c>
      <c r="C134" s="11">
        <v>32712.8259509046</v>
      </c>
      <c r="G134" s="7">
        <v>2004</v>
      </c>
      <c r="H134" s="7">
        <v>10</v>
      </c>
      <c r="I134" s="13">
        <v>22430.862442567599</v>
      </c>
      <c r="L134" s="10">
        <v>2005</v>
      </c>
      <c r="M134" s="10">
        <v>1</v>
      </c>
      <c r="N134" s="18">
        <v>32347.7187458355</v>
      </c>
      <c r="Q134" s="15">
        <v>2005</v>
      </c>
      <c r="R134" s="15">
        <v>1</v>
      </c>
      <c r="S134" s="15">
        <v>32310.116307224002</v>
      </c>
      <c r="U134" s="15">
        <v>2005</v>
      </c>
      <c r="V134" s="15">
        <v>1</v>
      </c>
      <c r="W134" s="15">
        <v>32568.389453067299</v>
      </c>
      <c r="Z134" s="15">
        <v>2005</v>
      </c>
      <c r="AA134" s="15">
        <v>1</v>
      </c>
      <c r="AB134" s="15">
        <v>32559.859380449299</v>
      </c>
      <c r="AD134" s="18">
        <v>2005</v>
      </c>
      <c r="AE134" s="18">
        <v>1</v>
      </c>
      <c r="AF134" s="18">
        <v>33843.0170852968</v>
      </c>
      <c r="AH134" s="10">
        <v>2005</v>
      </c>
      <c r="AI134" s="10">
        <v>1</v>
      </c>
      <c r="AJ134" s="18">
        <v>33836.7130110793</v>
      </c>
      <c r="AL134" s="15">
        <v>2005</v>
      </c>
      <c r="AM134" s="15">
        <v>1</v>
      </c>
      <c r="AN134" s="15">
        <v>33839.218151910303</v>
      </c>
      <c r="AQ134" s="18">
        <v>2005</v>
      </c>
      <c r="AR134" s="18">
        <v>1</v>
      </c>
      <c r="AS134" s="18">
        <v>33869.246505596697</v>
      </c>
      <c r="AU134" s="10">
        <v>2005</v>
      </c>
      <c r="AV134" s="10">
        <v>1</v>
      </c>
      <c r="AW134" s="15">
        <v>33902.362895152699</v>
      </c>
      <c r="AY134" s="15">
        <v>2005</v>
      </c>
      <c r="AZ134" s="15">
        <v>1</v>
      </c>
      <c r="BA134" s="15">
        <v>33896.869614705603</v>
      </c>
      <c r="BC134" s="15">
        <v>2005</v>
      </c>
      <c r="BD134" s="15">
        <v>1</v>
      </c>
      <c r="BE134" s="15">
        <v>33905.541282336802</v>
      </c>
      <c r="BG134" s="15">
        <v>2005</v>
      </c>
      <c r="BH134" s="15">
        <v>1</v>
      </c>
      <c r="BI134" s="15">
        <v>33894.047158127301</v>
      </c>
    </row>
    <row r="135" spans="1:61" x14ac:dyDescent="0.25">
      <c r="A135" s="10">
        <v>2005</v>
      </c>
      <c r="B135" s="10">
        <v>2</v>
      </c>
      <c r="C135" s="11">
        <v>16738.493681592099</v>
      </c>
      <c r="G135" s="7">
        <v>2004</v>
      </c>
      <c r="H135" s="7">
        <v>11</v>
      </c>
      <c r="I135" s="13">
        <v>20958.215866481802</v>
      </c>
      <c r="L135" s="10">
        <v>2005</v>
      </c>
      <c r="M135" s="10">
        <v>2</v>
      </c>
      <c r="N135" s="18">
        <v>19217.000664098101</v>
      </c>
      <c r="Q135" s="15">
        <v>2005</v>
      </c>
      <c r="R135" s="15">
        <v>2</v>
      </c>
      <c r="S135" s="15">
        <v>18739.2401325961</v>
      </c>
      <c r="U135" s="15">
        <v>2005</v>
      </c>
      <c r="V135" s="15">
        <v>2</v>
      </c>
      <c r="W135" s="15">
        <v>19600.8795347614</v>
      </c>
      <c r="Z135" s="15">
        <v>2005</v>
      </c>
      <c r="AA135" s="15">
        <v>2</v>
      </c>
      <c r="AB135" s="15">
        <v>19657.2597817487</v>
      </c>
      <c r="AD135" s="18">
        <v>2005</v>
      </c>
      <c r="AE135" s="18">
        <v>2</v>
      </c>
      <c r="AF135" s="18">
        <v>19464.577734244202</v>
      </c>
      <c r="AH135" s="10">
        <v>2005</v>
      </c>
      <c r="AI135" s="10">
        <v>2</v>
      </c>
      <c r="AJ135" s="18">
        <v>19471.388839495499</v>
      </c>
      <c r="AL135" s="15">
        <v>2005</v>
      </c>
      <c r="AM135" s="15">
        <v>2</v>
      </c>
      <c r="AN135" s="15">
        <v>19491.237513966698</v>
      </c>
      <c r="AQ135" s="18">
        <v>2005</v>
      </c>
      <c r="AR135" s="18">
        <v>2</v>
      </c>
      <c r="AS135" s="18">
        <v>19494.129813900301</v>
      </c>
      <c r="AU135" s="10">
        <v>2005</v>
      </c>
      <c r="AV135" s="10">
        <v>2</v>
      </c>
      <c r="AW135" s="15">
        <v>19393.442046462598</v>
      </c>
      <c r="AY135" s="15">
        <v>2005</v>
      </c>
      <c r="AZ135" s="15">
        <v>2</v>
      </c>
      <c r="BA135" s="15">
        <v>19468.805572157002</v>
      </c>
      <c r="BC135" s="15">
        <v>2005</v>
      </c>
      <c r="BD135" s="15">
        <v>2</v>
      </c>
      <c r="BE135" s="15">
        <v>19461.749467922898</v>
      </c>
      <c r="BG135" s="15">
        <v>2005</v>
      </c>
      <c r="BH135" s="15">
        <v>2</v>
      </c>
      <c r="BI135" s="15">
        <v>19462.999449354698</v>
      </c>
    </row>
    <row r="136" spans="1:61" x14ac:dyDescent="0.25">
      <c r="A136" s="10">
        <v>2005</v>
      </c>
      <c r="B136" s="10">
        <v>3</v>
      </c>
      <c r="C136" s="11">
        <v>24204.469246985602</v>
      </c>
      <c r="G136" s="7">
        <v>2004</v>
      </c>
      <c r="H136" s="7">
        <v>12</v>
      </c>
      <c r="I136" s="13">
        <v>22628.239627983701</v>
      </c>
      <c r="L136" s="10">
        <v>2005</v>
      </c>
      <c r="M136" s="10">
        <v>3</v>
      </c>
      <c r="N136" s="18">
        <v>24073.928706283499</v>
      </c>
      <c r="Q136" s="15">
        <v>2005</v>
      </c>
      <c r="R136" s="15">
        <v>3</v>
      </c>
      <c r="S136" s="15">
        <v>24103.513903654399</v>
      </c>
      <c r="U136" s="15">
        <v>2005</v>
      </c>
      <c r="V136" s="15">
        <v>3</v>
      </c>
      <c r="W136" s="15">
        <v>23969.699087813999</v>
      </c>
      <c r="Z136" s="15">
        <v>2005</v>
      </c>
      <c r="AA136" s="15">
        <v>3</v>
      </c>
      <c r="AB136" s="15">
        <v>23972.701911767701</v>
      </c>
      <c r="AD136" s="18">
        <v>2005</v>
      </c>
      <c r="AE136" s="18">
        <v>3</v>
      </c>
      <c r="AF136" s="18">
        <v>23823.6201274913</v>
      </c>
      <c r="AH136" s="10">
        <v>2005</v>
      </c>
      <c r="AI136" s="10">
        <v>3</v>
      </c>
      <c r="AJ136" s="18">
        <v>23827.230323940101</v>
      </c>
      <c r="AL136" s="15">
        <v>2005</v>
      </c>
      <c r="AM136" s="15">
        <v>3</v>
      </c>
      <c r="AN136" s="15">
        <v>23826.153766982399</v>
      </c>
      <c r="AQ136" s="18">
        <v>2005</v>
      </c>
      <c r="AR136" s="18">
        <v>3</v>
      </c>
      <c r="AS136" s="18">
        <v>23809.564640595399</v>
      </c>
      <c r="AU136" s="10">
        <v>2005</v>
      </c>
      <c r="AV136" s="10">
        <v>3</v>
      </c>
      <c r="AW136" s="15">
        <v>23790.168986319499</v>
      </c>
      <c r="AY136" s="15">
        <v>2005</v>
      </c>
      <c r="AZ136" s="15">
        <v>3</v>
      </c>
      <c r="BA136" s="15">
        <v>23793.839483387299</v>
      </c>
      <c r="BC136" s="15">
        <v>2005</v>
      </c>
      <c r="BD136" s="15">
        <v>3</v>
      </c>
      <c r="BE136" s="15">
        <v>23788.922501309</v>
      </c>
      <c r="BG136" s="15">
        <v>2005</v>
      </c>
      <c r="BH136" s="15">
        <v>3</v>
      </c>
      <c r="BI136" s="15">
        <v>23795.304441711502</v>
      </c>
    </row>
    <row r="137" spans="1:61" x14ac:dyDescent="0.25">
      <c r="A137" s="10">
        <v>2005</v>
      </c>
      <c r="B137" s="10">
        <v>4</v>
      </c>
      <c r="C137" s="11">
        <v>25848.942871233899</v>
      </c>
      <c r="G137" s="7">
        <v>2005</v>
      </c>
      <c r="H137" s="7">
        <v>1</v>
      </c>
      <c r="I137" s="13">
        <v>35326.149548371803</v>
      </c>
      <c r="L137" s="10">
        <v>2005</v>
      </c>
      <c r="M137" s="10">
        <v>4</v>
      </c>
      <c r="N137" s="18">
        <v>25669.833103633999</v>
      </c>
      <c r="Q137" s="15">
        <v>2005</v>
      </c>
      <c r="R137" s="15">
        <v>4</v>
      </c>
      <c r="S137" s="15">
        <v>25711.965416117298</v>
      </c>
      <c r="U137" s="15">
        <v>2005</v>
      </c>
      <c r="V137" s="15">
        <v>4</v>
      </c>
      <c r="W137" s="15">
        <v>25674.401323784099</v>
      </c>
      <c r="Z137" s="15">
        <v>2005</v>
      </c>
      <c r="AA137" s="15">
        <v>4</v>
      </c>
      <c r="AB137" s="15">
        <v>25667.2842418484</v>
      </c>
      <c r="AD137" s="18">
        <v>2005</v>
      </c>
      <c r="AE137" s="18">
        <v>4</v>
      </c>
      <c r="AF137" s="18">
        <v>25550.337556435301</v>
      </c>
      <c r="AH137" s="10">
        <v>2005</v>
      </c>
      <c r="AI137" s="10">
        <v>4</v>
      </c>
      <c r="AJ137" s="18">
        <v>25548.052182659099</v>
      </c>
      <c r="AL137" s="15">
        <v>2005</v>
      </c>
      <c r="AM137" s="15">
        <v>4</v>
      </c>
      <c r="AN137" s="15">
        <v>25546.061923139601</v>
      </c>
      <c r="AQ137" s="18">
        <v>2005</v>
      </c>
      <c r="AR137" s="18">
        <v>4</v>
      </c>
      <c r="AS137" s="18">
        <v>25552.389949966499</v>
      </c>
      <c r="AU137" s="10">
        <v>2005</v>
      </c>
      <c r="AV137" s="10">
        <v>4</v>
      </c>
      <c r="AW137" s="15">
        <v>25568.4997514432</v>
      </c>
      <c r="AY137" s="15">
        <v>2005</v>
      </c>
      <c r="AZ137" s="15">
        <v>4</v>
      </c>
      <c r="BA137" s="15">
        <v>25561.783886519901</v>
      </c>
      <c r="BC137" s="15">
        <v>2005</v>
      </c>
      <c r="BD137" s="15">
        <v>4</v>
      </c>
      <c r="BE137" s="15">
        <v>25564.6093873071</v>
      </c>
      <c r="BG137" s="15">
        <v>2005</v>
      </c>
      <c r="BH137" s="15">
        <v>4</v>
      </c>
      <c r="BI137" s="15">
        <v>25561.898556228702</v>
      </c>
    </row>
    <row r="138" spans="1:61" x14ac:dyDescent="0.25">
      <c r="A138" s="10">
        <v>2005</v>
      </c>
      <c r="B138" s="10">
        <v>5</v>
      </c>
      <c r="C138" s="11">
        <v>25089.3838738792</v>
      </c>
      <c r="G138" s="7">
        <v>2005</v>
      </c>
      <c r="H138" s="7">
        <v>2</v>
      </c>
      <c r="I138" s="13">
        <v>17348.150078574501</v>
      </c>
      <c r="L138" s="10">
        <v>2005</v>
      </c>
      <c r="M138" s="10">
        <v>5</v>
      </c>
      <c r="N138" s="18">
        <v>24985.623880510801</v>
      </c>
      <c r="Q138" s="15">
        <v>2005</v>
      </c>
      <c r="R138" s="15">
        <v>5</v>
      </c>
      <c r="S138" s="15">
        <v>25019.171246418198</v>
      </c>
      <c r="U138" s="15">
        <v>2005</v>
      </c>
      <c r="V138" s="15">
        <v>5</v>
      </c>
      <c r="W138" s="15">
        <v>24987.456508491301</v>
      </c>
      <c r="Z138" s="15">
        <v>2005</v>
      </c>
      <c r="AA138" s="15">
        <v>5</v>
      </c>
      <c r="AB138" s="15">
        <v>24981.885307390901</v>
      </c>
      <c r="AD138" s="18">
        <v>2005</v>
      </c>
      <c r="AE138" s="18">
        <v>5</v>
      </c>
      <c r="AF138" s="18">
        <v>24878.9495757103</v>
      </c>
      <c r="AH138" s="10">
        <v>2005</v>
      </c>
      <c r="AI138" s="10">
        <v>5</v>
      </c>
      <c r="AJ138" s="18">
        <v>24877.1826426958</v>
      </c>
      <c r="AL138" s="15">
        <v>2005</v>
      </c>
      <c r="AM138" s="15">
        <v>5</v>
      </c>
      <c r="AN138" s="15">
        <v>24875.5849725515</v>
      </c>
      <c r="AQ138" s="18">
        <v>2005</v>
      </c>
      <c r="AR138" s="18">
        <v>5</v>
      </c>
      <c r="AS138" s="18">
        <v>24880.3797177056</v>
      </c>
      <c r="AU138" s="10">
        <v>2005</v>
      </c>
      <c r="AV138" s="10">
        <v>5</v>
      </c>
      <c r="AW138" s="15">
        <v>24894.2931810755</v>
      </c>
      <c r="AY138" s="15">
        <v>2005</v>
      </c>
      <c r="AZ138" s="15">
        <v>5</v>
      </c>
      <c r="BA138" s="15">
        <v>24887.6090219998</v>
      </c>
      <c r="BC138" s="15">
        <v>2005</v>
      </c>
      <c r="BD138" s="15">
        <v>5</v>
      </c>
      <c r="BE138" s="15">
        <v>24889.7781361261</v>
      </c>
      <c r="BG138" s="15">
        <v>2005</v>
      </c>
      <c r="BH138" s="15">
        <v>5</v>
      </c>
      <c r="BI138" s="15">
        <v>24887.7223402249</v>
      </c>
    </row>
    <row r="139" spans="1:61" x14ac:dyDescent="0.25">
      <c r="A139" s="10">
        <v>2005</v>
      </c>
      <c r="B139" s="10">
        <v>6</v>
      </c>
      <c r="C139" s="11">
        <v>23604.0125776022</v>
      </c>
      <c r="G139" s="7">
        <v>2005</v>
      </c>
      <c r="H139" s="7">
        <v>3</v>
      </c>
      <c r="I139" s="13">
        <v>23600.405869630798</v>
      </c>
      <c r="L139" s="10">
        <v>2005</v>
      </c>
      <c r="M139" s="10">
        <v>6</v>
      </c>
      <c r="N139" s="18">
        <v>23461.983995995401</v>
      </c>
      <c r="Q139" s="15">
        <v>2005</v>
      </c>
      <c r="R139" s="15">
        <v>6</v>
      </c>
      <c r="S139" s="15">
        <v>23458.970337467301</v>
      </c>
      <c r="U139" s="15">
        <v>2005</v>
      </c>
      <c r="V139" s="15">
        <v>6</v>
      </c>
      <c r="W139" s="15">
        <v>23426.511275843699</v>
      </c>
      <c r="Z139" s="15">
        <v>2005</v>
      </c>
      <c r="AA139" s="15">
        <v>6</v>
      </c>
      <c r="AB139" s="15">
        <v>23429.4714975518</v>
      </c>
      <c r="AD139" s="18">
        <v>2005</v>
      </c>
      <c r="AE139" s="18">
        <v>6</v>
      </c>
      <c r="AF139" s="18">
        <v>23318.2219945131</v>
      </c>
      <c r="AH139" s="10">
        <v>2005</v>
      </c>
      <c r="AI139" s="10">
        <v>6</v>
      </c>
      <c r="AJ139" s="18">
        <v>23320.216967942499</v>
      </c>
      <c r="AL139" s="15">
        <v>2005</v>
      </c>
      <c r="AM139" s="15">
        <v>6</v>
      </c>
      <c r="AN139" s="15">
        <v>23320.267673015602</v>
      </c>
      <c r="AQ139" s="18">
        <v>2005</v>
      </c>
      <c r="AR139" s="18">
        <v>6</v>
      </c>
      <c r="AS139" s="18">
        <v>23312.085182109</v>
      </c>
      <c r="AU139" s="10">
        <v>2005</v>
      </c>
      <c r="AV139" s="10">
        <v>6</v>
      </c>
      <c r="AW139" s="15">
        <v>23341.074496801299</v>
      </c>
      <c r="AY139" s="15">
        <v>2005</v>
      </c>
      <c r="AZ139" s="15">
        <v>6</v>
      </c>
      <c r="BA139" s="15">
        <v>23303.467169427699</v>
      </c>
      <c r="BC139" s="15">
        <v>2005</v>
      </c>
      <c r="BD139" s="15">
        <v>6</v>
      </c>
      <c r="BE139" s="15">
        <v>23300.7960884358</v>
      </c>
      <c r="BG139" s="15">
        <v>2005</v>
      </c>
      <c r="BH139" s="15">
        <v>6</v>
      </c>
      <c r="BI139" s="15">
        <v>23304.0347274167</v>
      </c>
    </row>
    <row r="140" spans="1:61" x14ac:dyDescent="0.25">
      <c r="A140" s="10">
        <v>2005</v>
      </c>
      <c r="B140" s="10">
        <v>7</v>
      </c>
      <c r="C140" s="11">
        <v>25971.264266000799</v>
      </c>
      <c r="G140" s="7">
        <v>2005</v>
      </c>
      <c r="H140" s="7">
        <v>4</v>
      </c>
      <c r="I140" s="13">
        <v>25412.4778251553</v>
      </c>
      <c r="L140" s="10">
        <v>2005</v>
      </c>
      <c r="M140" s="10">
        <v>7</v>
      </c>
      <c r="N140" s="18">
        <v>25671.687577725101</v>
      </c>
      <c r="Q140" s="15">
        <v>2005</v>
      </c>
      <c r="R140" s="15">
        <v>7</v>
      </c>
      <c r="S140" s="15">
        <v>25719.460453304499</v>
      </c>
      <c r="U140" s="15">
        <v>2005</v>
      </c>
      <c r="V140" s="15">
        <v>7</v>
      </c>
      <c r="W140" s="15">
        <v>25675.379173492602</v>
      </c>
      <c r="Z140" s="15">
        <v>2005</v>
      </c>
      <c r="AA140" s="15">
        <v>7</v>
      </c>
      <c r="AB140" s="15">
        <v>25664.874083639101</v>
      </c>
      <c r="AD140" s="18">
        <v>2005</v>
      </c>
      <c r="AE140" s="18">
        <v>7</v>
      </c>
      <c r="AF140" s="18">
        <v>25719.465338329999</v>
      </c>
      <c r="AH140" s="10">
        <v>2005</v>
      </c>
      <c r="AI140" s="10">
        <v>7</v>
      </c>
      <c r="AJ140" s="18">
        <v>25715.307974942501</v>
      </c>
      <c r="AL140" s="15">
        <v>2005</v>
      </c>
      <c r="AM140" s="15">
        <v>7</v>
      </c>
      <c r="AN140" s="15">
        <v>25713.476680168598</v>
      </c>
      <c r="AQ140" s="18">
        <v>2005</v>
      </c>
      <c r="AR140" s="18">
        <v>7</v>
      </c>
      <c r="AS140" s="18">
        <v>25727.760470225399</v>
      </c>
      <c r="AU140" s="10">
        <v>2005</v>
      </c>
      <c r="AV140" s="10">
        <v>7</v>
      </c>
      <c r="AW140" s="15">
        <v>25757.351669539901</v>
      </c>
      <c r="AY140" s="15">
        <v>2005</v>
      </c>
      <c r="AZ140" s="15">
        <v>7</v>
      </c>
      <c r="BA140" s="15">
        <v>25745.199165340899</v>
      </c>
      <c r="BC140" s="15">
        <v>2005</v>
      </c>
      <c r="BD140" s="15">
        <v>7</v>
      </c>
      <c r="BE140" s="15">
        <v>25750.529990384799</v>
      </c>
      <c r="BG140" s="15">
        <v>2005</v>
      </c>
      <c r="BH140" s="15">
        <v>7</v>
      </c>
      <c r="BI140" s="15">
        <v>25744.717227970901</v>
      </c>
    </row>
    <row r="141" spans="1:61" x14ac:dyDescent="0.25">
      <c r="A141" s="10">
        <v>2005</v>
      </c>
      <c r="B141" s="10">
        <v>8</v>
      </c>
      <c r="C141" s="11">
        <v>23571.956411788498</v>
      </c>
      <c r="G141" s="7">
        <v>2005</v>
      </c>
      <c r="H141" s="7">
        <v>5</v>
      </c>
      <c r="I141" s="13">
        <v>23787.723222857501</v>
      </c>
      <c r="L141" s="10">
        <v>2005</v>
      </c>
      <c r="M141" s="10">
        <v>8</v>
      </c>
      <c r="N141" s="18">
        <v>23386.757851976901</v>
      </c>
      <c r="Q141" s="15">
        <v>2005</v>
      </c>
      <c r="R141" s="15">
        <v>8</v>
      </c>
      <c r="S141" s="15">
        <v>23384.544922540001</v>
      </c>
      <c r="U141" s="15">
        <v>2005</v>
      </c>
      <c r="V141" s="15">
        <v>8</v>
      </c>
      <c r="W141" s="15">
        <v>23324.852760009799</v>
      </c>
      <c r="Z141" s="15">
        <v>2005</v>
      </c>
      <c r="AA141" s="15">
        <v>8</v>
      </c>
      <c r="AB141" s="15">
        <v>23330.310931779801</v>
      </c>
      <c r="AD141" s="18">
        <v>2005</v>
      </c>
      <c r="AE141" s="18">
        <v>8</v>
      </c>
      <c r="AF141" s="18">
        <v>23241.172365927399</v>
      </c>
      <c r="AH141" s="10">
        <v>2005</v>
      </c>
      <c r="AI141" s="10">
        <v>8</v>
      </c>
      <c r="AJ141" s="18">
        <v>23244.927564563601</v>
      </c>
      <c r="AL141" s="15">
        <v>2005</v>
      </c>
      <c r="AM141" s="15">
        <v>8</v>
      </c>
      <c r="AN141" s="15">
        <v>23245.027516128401</v>
      </c>
      <c r="AQ141" s="18">
        <v>2005</v>
      </c>
      <c r="AR141" s="18">
        <v>8</v>
      </c>
      <c r="AS141" s="18">
        <v>23229.664776424201</v>
      </c>
      <c r="AU141" s="10">
        <v>2005</v>
      </c>
      <c r="AV141" s="10">
        <v>8</v>
      </c>
      <c r="AW141" s="15">
        <v>23214.383931772401</v>
      </c>
      <c r="AY141" s="15">
        <v>2005</v>
      </c>
      <c r="AZ141" s="15">
        <v>8</v>
      </c>
      <c r="BA141" s="15">
        <v>23213.518975687901</v>
      </c>
      <c r="BC141" s="15">
        <v>2005</v>
      </c>
      <c r="BD141" s="15">
        <v>8</v>
      </c>
      <c r="BE141" s="15">
        <v>23208.518739355899</v>
      </c>
      <c r="BG141" s="15">
        <v>2005</v>
      </c>
      <c r="BH141" s="15">
        <v>8</v>
      </c>
      <c r="BI141" s="15">
        <v>23214.5731868574</v>
      </c>
    </row>
    <row r="142" spans="1:61" x14ac:dyDescent="0.25">
      <c r="A142" s="10">
        <v>2005</v>
      </c>
      <c r="B142" s="10">
        <v>9</v>
      </c>
      <c r="C142" s="11">
        <v>22855.6797508737</v>
      </c>
      <c r="G142" s="7">
        <v>2005</v>
      </c>
      <c r="H142" s="7">
        <v>6</v>
      </c>
      <c r="I142" s="13">
        <v>23466.664012135101</v>
      </c>
      <c r="L142" s="10">
        <v>2005</v>
      </c>
      <c r="M142" s="10">
        <v>9</v>
      </c>
      <c r="N142" s="18">
        <v>22613.385397406499</v>
      </c>
      <c r="Q142" s="15">
        <v>2005</v>
      </c>
      <c r="R142" s="15">
        <v>9</v>
      </c>
      <c r="S142" s="15">
        <v>22612.9469224452</v>
      </c>
      <c r="U142" s="15">
        <v>2005</v>
      </c>
      <c r="V142" s="15">
        <v>9</v>
      </c>
      <c r="W142" s="15">
        <v>22582.401921897701</v>
      </c>
      <c r="Z142" s="15">
        <v>2005</v>
      </c>
      <c r="AA142" s="15">
        <v>9</v>
      </c>
      <c r="AB142" s="15">
        <v>22586.324794907199</v>
      </c>
      <c r="AD142" s="18">
        <v>2005</v>
      </c>
      <c r="AE142" s="18">
        <v>9</v>
      </c>
      <c r="AF142" s="18">
        <v>22497.867359714</v>
      </c>
      <c r="AH142" s="10">
        <v>2005</v>
      </c>
      <c r="AI142" s="10">
        <v>9</v>
      </c>
      <c r="AJ142" s="18">
        <v>22500.720465040798</v>
      </c>
      <c r="AL142" s="15">
        <v>2005</v>
      </c>
      <c r="AM142" s="15">
        <v>9</v>
      </c>
      <c r="AN142" s="15">
        <v>22500.7462669013</v>
      </c>
      <c r="AQ142" s="18">
        <v>2005</v>
      </c>
      <c r="AR142" s="18">
        <v>9</v>
      </c>
      <c r="AS142" s="18">
        <v>22488.997969548898</v>
      </c>
      <c r="AU142" s="10">
        <v>2005</v>
      </c>
      <c r="AV142" s="10">
        <v>9</v>
      </c>
      <c r="AW142" s="15">
        <v>22480.432781269599</v>
      </c>
      <c r="AY142" s="15">
        <v>2005</v>
      </c>
      <c r="AZ142" s="15">
        <v>9</v>
      </c>
      <c r="BA142" s="15">
        <v>22476.719813911801</v>
      </c>
      <c r="BC142" s="15">
        <v>2005</v>
      </c>
      <c r="BD142" s="15">
        <v>9</v>
      </c>
      <c r="BE142" s="15">
        <v>22472.916035651899</v>
      </c>
      <c r="BG142" s="15">
        <v>2005</v>
      </c>
      <c r="BH142" s="15">
        <v>9</v>
      </c>
      <c r="BI142" s="15">
        <v>22477.542597613101</v>
      </c>
    </row>
    <row r="143" spans="1:61" x14ac:dyDescent="0.25">
      <c r="A143" s="10">
        <v>2005</v>
      </c>
      <c r="B143" s="10">
        <v>10</v>
      </c>
      <c r="C143" s="11">
        <v>26006.7466477329</v>
      </c>
      <c r="G143" s="7">
        <v>2005</v>
      </c>
      <c r="H143" s="7">
        <v>7</v>
      </c>
      <c r="I143" s="13">
        <v>26492.636122107699</v>
      </c>
      <c r="L143" s="10">
        <v>2005</v>
      </c>
      <c r="M143" s="10">
        <v>10</v>
      </c>
      <c r="N143" s="18">
        <v>25668.836623869502</v>
      </c>
      <c r="Q143" s="15">
        <v>2005</v>
      </c>
      <c r="R143" s="15">
        <v>10</v>
      </c>
      <c r="S143" s="15">
        <v>25705.409770486302</v>
      </c>
      <c r="U143" s="15">
        <v>2005</v>
      </c>
      <c r="V143" s="15">
        <v>10</v>
      </c>
      <c r="W143" s="15">
        <v>25817.969637836999</v>
      </c>
      <c r="Z143" s="15">
        <v>2005</v>
      </c>
      <c r="AA143" s="15">
        <v>10</v>
      </c>
      <c r="AB143" s="15">
        <v>25803.902434506701</v>
      </c>
      <c r="AD143" s="18">
        <v>2005</v>
      </c>
      <c r="AE143" s="18">
        <v>10</v>
      </c>
      <c r="AF143" s="18">
        <v>25726.059211155902</v>
      </c>
      <c r="AH143" s="10">
        <v>2005</v>
      </c>
      <c r="AI143" s="10">
        <v>10</v>
      </c>
      <c r="AJ143" s="18">
        <v>25719.049658638702</v>
      </c>
      <c r="AL143" s="15">
        <v>2005</v>
      </c>
      <c r="AM143" s="15">
        <v>10</v>
      </c>
      <c r="AN143" s="15">
        <v>25717.0715348829</v>
      </c>
      <c r="AQ143" s="18">
        <v>2005</v>
      </c>
      <c r="AR143" s="18">
        <v>10</v>
      </c>
      <c r="AS143" s="18">
        <v>25742.938931567998</v>
      </c>
      <c r="AU143" s="10">
        <v>2005</v>
      </c>
      <c r="AV143" s="10">
        <v>10</v>
      </c>
      <c r="AW143" s="15">
        <v>25792.5467287256</v>
      </c>
      <c r="AY143" s="15">
        <v>2005</v>
      </c>
      <c r="AZ143" s="15">
        <v>10</v>
      </c>
      <c r="BA143" s="15">
        <v>25772.639386726099</v>
      </c>
      <c r="BC143" s="15">
        <v>2005</v>
      </c>
      <c r="BD143" s="15">
        <v>10</v>
      </c>
      <c r="BE143" s="15">
        <v>25781.7604889381</v>
      </c>
      <c r="BG143" s="15">
        <v>2005</v>
      </c>
      <c r="BH143" s="15">
        <v>10</v>
      </c>
      <c r="BI143" s="15">
        <v>25771.384733305498</v>
      </c>
    </row>
    <row r="144" spans="1:61" x14ac:dyDescent="0.25">
      <c r="A144" s="10">
        <v>2005</v>
      </c>
      <c r="B144" s="10">
        <v>11</v>
      </c>
      <c r="C144" s="11">
        <v>26893.404805408401</v>
      </c>
      <c r="G144" s="7">
        <v>2005</v>
      </c>
      <c r="H144" s="7">
        <v>8</v>
      </c>
      <c r="I144" s="13">
        <v>23679.8040579433</v>
      </c>
      <c r="L144" s="10">
        <v>2005</v>
      </c>
      <c r="M144" s="10">
        <v>11</v>
      </c>
      <c r="N144" s="18">
        <v>26615.0649904202</v>
      </c>
      <c r="Q144" s="15">
        <v>2005</v>
      </c>
      <c r="R144" s="15">
        <v>11</v>
      </c>
      <c r="S144" s="15">
        <v>26626.840645540498</v>
      </c>
      <c r="U144" s="15">
        <v>2005</v>
      </c>
      <c r="V144" s="15">
        <v>11</v>
      </c>
      <c r="W144" s="15">
        <v>26594.873467320402</v>
      </c>
      <c r="Z144" s="15">
        <v>2005</v>
      </c>
      <c r="AA144" s="15">
        <v>11</v>
      </c>
      <c r="AB144" s="15">
        <v>26597.1977360163</v>
      </c>
      <c r="AD144" s="18">
        <v>2005</v>
      </c>
      <c r="AE144" s="18">
        <v>11</v>
      </c>
      <c r="AF144" s="18">
        <v>26485.910537654199</v>
      </c>
      <c r="AH144" s="10">
        <v>2005</v>
      </c>
      <c r="AI144" s="10">
        <v>11</v>
      </c>
      <c r="AJ144" s="18">
        <v>26488.251545978499</v>
      </c>
      <c r="AL144" s="15">
        <v>2005</v>
      </c>
      <c r="AM144" s="15">
        <v>11</v>
      </c>
      <c r="AN144" s="15">
        <v>26487.881371227901</v>
      </c>
      <c r="AQ144" s="18">
        <v>2005</v>
      </c>
      <c r="AR144" s="18">
        <v>11</v>
      </c>
      <c r="AS144" s="18">
        <v>26477.638132902801</v>
      </c>
      <c r="AU144" s="10">
        <v>2005</v>
      </c>
      <c r="AV144" s="10">
        <v>11</v>
      </c>
      <c r="AW144" s="15">
        <v>26472.875869571501</v>
      </c>
      <c r="AY144" s="15">
        <v>2005</v>
      </c>
      <c r="AZ144" s="15">
        <v>11</v>
      </c>
      <c r="BA144" s="15">
        <v>26467.495978075</v>
      </c>
      <c r="BC144" s="15">
        <v>2005</v>
      </c>
      <c r="BD144" s="15">
        <v>11</v>
      </c>
      <c r="BE144" s="15">
        <v>26464.3393552421</v>
      </c>
      <c r="BG144" s="15">
        <v>2005</v>
      </c>
      <c r="BH144" s="15">
        <v>11</v>
      </c>
      <c r="BI144" s="15">
        <v>26468.323708026099</v>
      </c>
    </row>
    <row r="145" spans="1:61" x14ac:dyDescent="0.25">
      <c r="A145" s="10">
        <v>2005</v>
      </c>
      <c r="B145" s="10">
        <v>12</v>
      </c>
      <c r="C145" s="11">
        <v>24361.0885342166</v>
      </c>
      <c r="G145" s="7">
        <v>2005</v>
      </c>
      <c r="H145" s="7">
        <v>9</v>
      </c>
      <c r="I145" s="13">
        <v>23047.245477191002</v>
      </c>
      <c r="L145" s="10">
        <v>2005</v>
      </c>
      <c r="M145" s="10">
        <v>12</v>
      </c>
      <c r="N145" s="18">
        <v>24018.641585759498</v>
      </c>
      <c r="Q145" s="15">
        <v>2005</v>
      </c>
      <c r="R145" s="15">
        <v>12</v>
      </c>
      <c r="S145" s="15">
        <v>24097.4625268526</v>
      </c>
      <c r="U145" s="15">
        <v>2005</v>
      </c>
      <c r="V145" s="15">
        <v>12</v>
      </c>
      <c r="W145" s="15">
        <v>24050.479839703101</v>
      </c>
      <c r="Z145" s="15">
        <v>2005</v>
      </c>
      <c r="AA145" s="15">
        <v>12</v>
      </c>
      <c r="AB145" s="15">
        <v>24048.2059255854</v>
      </c>
      <c r="AD145" s="18">
        <v>2005</v>
      </c>
      <c r="AE145" s="18">
        <v>12</v>
      </c>
      <c r="AF145" s="18">
        <v>23925.273374485099</v>
      </c>
      <c r="AH145" s="10">
        <v>2005</v>
      </c>
      <c r="AI145" s="10">
        <v>12</v>
      </c>
      <c r="AJ145" s="18">
        <v>23925.071329144099</v>
      </c>
      <c r="AL145" s="15">
        <v>2005</v>
      </c>
      <c r="AM145" s="15">
        <v>12</v>
      </c>
      <c r="AN145" s="15">
        <v>23924.216976519099</v>
      </c>
      <c r="AQ145" s="18">
        <v>2005</v>
      </c>
      <c r="AR145" s="18">
        <v>12</v>
      </c>
      <c r="AS145" s="18">
        <v>23923.838262710899</v>
      </c>
      <c r="AU145" s="10">
        <v>2005</v>
      </c>
      <c r="AV145" s="10">
        <v>12</v>
      </c>
      <c r="AW145" s="15">
        <v>23926.614971636402</v>
      </c>
      <c r="AY145" s="15">
        <v>2005</v>
      </c>
      <c r="AZ145" s="15">
        <v>12</v>
      </c>
      <c r="BA145" s="15">
        <v>23924.707641711298</v>
      </c>
      <c r="BC145" s="15">
        <v>2005</v>
      </c>
      <c r="BD145" s="15">
        <v>12</v>
      </c>
      <c r="BE145" s="15">
        <v>23924.944293870001</v>
      </c>
      <c r="BG145" s="15">
        <v>2005</v>
      </c>
      <c r="BH145" s="15">
        <v>12</v>
      </c>
      <c r="BI145" s="15">
        <v>23924.963539832501</v>
      </c>
    </row>
    <row r="146" spans="1:61" x14ac:dyDescent="0.25">
      <c r="A146" s="10">
        <v>2006</v>
      </c>
      <c r="B146" s="10">
        <v>1</v>
      </c>
      <c r="C146" s="11">
        <v>23344.6079197902</v>
      </c>
      <c r="G146" s="7">
        <v>2005</v>
      </c>
      <c r="H146" s="7">
        <v>10</v>
      </c>
      <c r="I146" s="13">
        <v>26334.7083085958</v>
      </c>
      <c r="L146" s="10">
        <v>2006</v>
      </c>
      <c r="M146" s="10">
        <v>1</v>
      </c>
      <c r="N146" s="18">
        <v>22836.512806925599</v>
      </c>
      <c r="Q146" s="15">
        <v>2006</v>
      </c>
      <c r="R146" s="15">
        <v>1</v>
      </c>
      <c r="S146" s="15">
        <v>22791.808705447202</v>
      </c>
      <c r="U146" s="15">
        <v>2006</v>
      </c>
      <c r="V146" s="15">
        <v>1</v>
      </c>
      <c r="W146" s="15">
        <v>22924.025982712901</v>
      </c>
      <c r="Z146" s="15">
        <v>2006</v>
      </c>
      <c r="AA146" s="15">
        <v>1</v>
      </c>
      <c r="AB146" s="15">
        <v>22924.0117842933</v>
      </c>
      <c r="AD146" s="18">
        <v>2006</v>
      </c>
      <c r="AE146" s="18">
        <v>1</v>
      </c>
      <c r="AF146" s="18">
        <v>24013.371289466901</v>
      </c>
      <c r="AH146" s="10">
        <v>2006</v>
      </c>
      <c r="AI146" s="10">
        <v>1</v>
      </c>
      <c r="AJ146" s="18">
        <v>24012.520897575701</v>
      </c>
      <c r="AL146" s="15">
        <v>2006</v>
      </c>
      <c r="AM146" s="15">
        <v>1</v>
      </c>
      <c r="AN146" s="15">
        <v>24015.330278276699</v>
      </c>
      <c r="AQ146" s="18">
        <v>2006</v>
      </c>
      <c r="AR146" s="18">
        <v>1</v>
      </c>
      <c r="AS146" s="18">
        <v>24023.255716264001</v>
      </c>
      <c r="AU146" s="10">
        <v>2006</v>
      </c>
      <c r="AV146" s="10">
        <v>1</v>
      </c>
      <c r="AW146" s="15">
        <v>24027.596387667501</v>
      </c>
      <c r="AY146" s="15">
        <v>2006</v>
      </c>
      <c r="AZ146" s="15">
        <v>1</v>
      </c>
      <c r="BA146" s="15">
        <v>24027.375355896402</v>
      </c>
      <c r="BC146" s="15">
        <v>2006</v>
      </c>
      <c r="BD146" s="15">
        <v>1</v>
      </c>
      <c r="BE146" s="15">
        <v>24028.764653766499</v>
      </c>
      <c r="BG146" s="15">
        <v>2006</v>
      </c>
      <c r="BH146" s="15">
        <v>1</v>
      </c>
      <c r="BI146" s="15">
        <v>24026.029752928502</v>
      </c>
    </row>
    <row r="147" spans="1:61" x14ac:dyDescent="0.25">
      <c r="A147" s="10">
        <v>2006</v>
      </c>
      <c r="B147" s="10">
        <v>2</v>
      </c>
      <c r="C147" s="11">
        <v>33655.744888979701</v>
      </c>
      <c r="G147" s="7">
        <v>2005</v>
      </c>
      <c r="H147" s="7">
        <v>11</v>
      </c>
      <c r="I147" s="13">
        <v>26078.578098135298</v>
      </c>
      <c r="L147" s="10">
        <v>2006</v>
      </c>
      <c r="M147" s="10">
        <v>2</v>
      </c>
      <c r="N147" s="18">
        <v>37122.137113260003</v>
      </c>
      <c r="Q147" s="15">
        <v>2006</v>
      </c>
      <c r="R147" s="15">
        <v>2</v>
      </c>
      <c r="S147" s="15">
        <v>36681.4164584912</v>
      </c>
      <c r="U147" s="15">
        <v>2006</v>
      </c>
      <c r="V147" s="15">
        <v>2</v>
      </c>
      <c r="W147" s="15">
        <v>37262.018555885799</v>
      </c>
      <c r="Z147" s="15">
        <v>2006</v>
      </c>
      <c r="AA147" s="15">
        <v>2</v>
      </c>
      <c r="AB147" s="15">
        <v>37316.643174468001</v>
      </c>
      <c r="AD147" s="18">
        <v>2006</v>
      </c>
      <c r="AE147" s="18">
        <v>2</v>
      </c>
      <c r="AF147" s="18">
        <v>37106.687545250199</v>
      </c>
      <c r="AH147" s="10">
        <v>2006</v>
      </c>
      <c r="AI147" s="10">
        <v>2</v>
      </c>
      <c r="AJ147" s="18">
        <v>37114.020070680599</v>
      </c>
      <c r="AL147" s="15">
        <v>2006</v>
      </c>
      <c r="AM147" s="15">
        <v>2</v>
      </c>
      <c r="AN147" s="15">
        <v>37131.705898440101</v>
      </c>
      <c r="AQ147" s="18">
        <v>2006</v>
      </c>
      <c r="AR147" s="18">
        <v>2</v>
      </c>
      <c r="AS147" s="18">
        <v>37129.034041031598</v>
      </c>
      <c r="AU147" s="10">
        <v>2006</v>
      </c>
      <c r="AV147" s="10">
        <v>2</v>
      </c>
      <c r="AW147" s="15">
        <v>36988.334036500702</v>
      </c>
      <c r="AY147" s="15">
        <v>2006</v>
      </c>
      <c r="AZ147" s="15">
        <v>2</v>
      </c>
      <c r="BA147" s="15">
        <v>37101.067752218201</v>
      </c>
      <c r="BC147" s="15">
        <v>2006</v>
      </c>
      <c r="BD147" s="15">
        <v>2</v>
      </c>
      <c r="BE147" s="15">
        <v>37093.101473562303</v>
      </c>
      <c r="BG147" s="15">
        <v>2006</v>
      </c>
      <c r="BH147" s="15">
        <v>2</v>
      </c>
      <c r="BI147" s="15">
        <v>37096.235627319104</v>
      </c>
    </row>
    <row r="148" spans="1:61" x14ac:dyDescent="0.25">
      <c r="A148" s="10">
        <v>2006</v>
      </c>
      <c r="B148" s="10">
        <v>3</v>
      </c>
      <c r="C148" s="11">
        <v>31138.515619657301</v>
      </c>
      <c r="G148" s="7">
        <v>2005</v>
      </c>
      <c r="H148" s="7">
        <v>12</v>
      </c>
      <c r="I148" s="13">
        <v>23870.2973324507</v>
      </c>
      <c r="L148" s="10">
        <v>2006</v>
      </c>
      <c r="M148" s="10">
        <v>3</v>
      </c>
      <c r="N148" s="18">
        <v>30859.725366031998</v>
      </c>
      <c r="Q148" s="15">
        <v>2006</v>
      </c>
      <c r="R148" s="15">
        <v>3</v>
      </c>
      <c r="S148" s="15">
        <v>30883.010051837799</v>
      </c>
      <c r="U148" s="15">
        <v>2006</v>
      </c>
      <c r="V148" s="15">
        <v>3</v>
      </c>
      <c r="W148" s="15">
        <v>30789.508265525601</v>
      </c>
      <c r="Z148" s="15">
        <v>2006</v>
      </c>
      <c r="AA148" s="15">
        <v>3</v>
      </c>
      <c r="AB148" s="15">
        <v>30793.053376982301</v>
      </c>
      <c r="AD148" s="18">
        <v>2006</v>
      </c>
      <c r="AE148" s="18">
        <v>3</v>
      </c>
      <c r="AF148" s="18">
        <v>30678.111351635202</v>
      </c>
      <c r="AH148" s="10">
        <v>2006</v>
      </c>
      <c r="AI148" s="10">
        <v>3</v>
      </c>
      <c r="AJ148" s="18">
        <v>30681.818585981699</v>
      </c>
      <c r="AL148" s="15">
        <v>2006</v>
      </c>
      <c r="AM148" s="15">
        <v>3</v>
      </c>
      <c r="AN148" s="15">
        <v>30681.0904746538</v>
      </c>
      <c r="AQ148" s="18">
        <v>2006</v>
      </c>
      <c r="AR148" s="18">
        <v>3</v>
      </c>
      <c r="AS148" s="18">
        <v>30664.643271200599</v>
      </c>
      <c r="AU148" s="10">
        <v>2006</v>
      </c>
      <c r="AV148" s="10">
        <v>3</v>
      </c>
      <c r="AW148" s="15">
        <v>30648.732753210301</v>
      </c>
      <c r="AY148" s="15">
        <v>2006</v>
      </c>
      <c r="AZ148" s="15">
        <v>3</v>
      </c>
      <c r="BA148" s="15">
        <v>30648.5437103697</v>
      </c>
      <c r="BC148" s="15">
        <v>2006</v>
      </c>
      <c r="BD148" s="15">
        <v>3</v>
      </c>
      <c r="BE148" s="15">
        <v>30643.525370019601</v>
      </c>
      <c r="BG148" s="15">
        <v>2006</v>
      </c>
      <c r="BH148" s="15">
        <v>3</v>
      </c>
      <c r="BI148" s="15">
        <v>30649.901939773201</v>
      </c>
    </row>
    <row r="149" spans="1:61" x14ac:dyDescent="0.25">
      <c r="A149" s="10">
        <v>2006</v>
      </c>
      <c r="B149" s="10">
        <v>4</v>
      </c>
      <c r="C149" s="11">
        <v>33186.080698560399</v>
      </c>
      <c r="G149" s="7">
        <v>2006</v>
      </c>
      <c r="H149" s="7">
        <v>1</v>
      </c>
      <c r="I149" s="13">
        <v>24935.323471768999</v>
      </c>
      <c r="L149" s="10">
        <v>2006</v>
      </c>
      <c r="M149" s="10">
        <v>4</v>
      </c>
      <c r="N149" s="18">
        <v>32834.848986924102</v>
      </c>
      <c r="Q149" s="15">
        <v>2006</v>
      </c>
      <c r="R149" s="15">
        <v>4</v>
      </c>
      <c r="S149" s="15">
        <v>32893.476418479499</v>
      </c>
      <c r="U149" s="15">
        <v>2006</v>
      </c>
      <c r="V149" s="15">
        <v>4</v>
      </c>
      <c r="W149" s="15">
        <v>32975.470146253101</v>
      </c>
      <c r="Z149" s="15">
        <v>2006</v>
      </c>
      <c r="AA149" s="15">
        <v>4</v>
      </c>
      <c r="AB149" s="15">
        <v>32957.885760074001</v>
      </c>
      <c r="AD149" s="18">
        <v>2006</v>
      </c>
      <c r="AE149" s="18">
        <v>4</v>
      </c>
      <c r="AF149" s="18">
        <v>32879.316999850198</v>
      </c>
      <c r="AH149" s="10">
        <v>2006</v>
      </c>
      <c r="AI149" s="10">
        <v>4</v>
      </c>
      <c r="AJ149" s="18">
        <v>32871.110337279897</v>
      </c>
      <c r="AL149" s="15">
        <v>2006</v>
      </c>
      <c r="AM149" s="15">
        <v>4</v>
      </c>
      <c r="AN149" s="15">
        <v>32868.206364020101</v>
      </c>
      <c r="AQ149" s="18">
        <v>2006</v>
      </c>
      <c r="AR149" s="18">
        <v>4</v>
      </c>
      <c r="AS149" s="18">
        <v>32897.571357284301</v>
      </c>
      <c r="AU149" s="10">
        <v>2006</v>
      </c>
      <c r="AV149" s="10">
        <v>4</v>
      </c>
      <c r="AW149" s="15">
        <v>32949.984042333999</v>
      </c>
      <c r="AY149" s="15">
        <v>2006</v>
      </c>
      <c r="AZ149" s="15">
        <v>4</v>
      </c>
      <c r="BA149" s="15">
        <v>32932.212117518298</v>
      </c>
      <c r="BC149" s="15">
        <v>2006</v>
      </c>
      <c r="BD149" s="15">
        <v>4</v>
      </c>
      <c r="BE149" s="15">
        <v>32942.824003898102</v>
      </c>
      <c r="BG149" s="15">
        <v>2006</v>
      </c>
      <c r="BH149" s="15">
        <v>4</v>
      </c>
      <c r="BI149" s="15">
        <v>32930.965807759203</v>
      </c>
    </row>
    <row r="150" spans="1:61" x14ac:dyDescent="0.25">
      <c r="A150" s="10">
        <v>2006</v>
      </c>
      <c r="B150" s="10">
        <v>5</v>
      </c>
      <c r="C150" s="11">
        <v>28312.350380583299</v>
      </c>
      <c r="G150" s="7">
        <v>2006</v>
      </c>
      <c r="H150" s="7">
        <v>2</v>
      </c>
      <c r="I150" s="13">
        <v>34242.661556779</v>
      </c>
      <c r="L150" s="10">
        <v>2006</v>
      </c>
      <c r="M150" s="10">
        <v>5</v>
      </c>
      <c r="N150" s="18">
        <v>28173.775025752999</v>
      </c>
      <c r="Q150" s="15">
        <v>2006</v>
      </c>
      <c r="R150" s="15">
        <v>5</v>
      </c>
      <c r="S150" s="15">
        <v>28182.8100025891</v>
      </c>
      <c r="U150" s="15">
        <v>2006</v>
      </c>
      <c r="V150" s="15">
        <v>5</v>
      </c>
      <c r="W150" s="15">
        <v>28080.714495698201</v>
      </c>
      <c r="Z150" s="15">
        <v>2006</v>
      </c>
      <c r="AA150" s="15">
        <v>5</v>
      </c>
      <c r="AB150" s="15">
        <v>28086.835769830999</v>
      </c>
      <c r="AD150" s="18">
        <v>2006</v>
      </c>
      <c r="AE150" s="18">
        <v>5</v>
      </c>
      <c r="AF150" s="18">
        <v>27989.757541343901</v>
      </c>
      <c r="AH150" s="10">
        <v>2006</v>
      </c>
      <c r="AI150" s="10">
        <v>5</v>
      </c>
      <c r="AJ150" s="18">
        <v>27994.461284347701</v>
      </c>
      <c r="AL150" s="15">
        <v>2006</v>
      </c>
      <c r="AM150" s="15">
        <v>5</v>
      </c>
      <c r="AN150" s="15">
        <v>27994.257493471399</v>
      </c>
      <c r="AQ150" s="18">
        <v>2006</v>
      </c>
      <c r="AR150" s="18">
        <v>5</v>
      </c>
      <c r="AS150" s="18">
        <v>27974.5053212448</v>
      </c>
      <c r="AU150" s="10">
        <v>2006</v>
      </c>
      <c r="AV150" s="10">
        <v>5</v>
      </c>
      <c r="AW150" s="15">
        <v>27949.297032525999</v>
      </c>
      <c r="AY150" s="15">
        <v>2006</v>
      </c>
      <c r="AZ150" s="15">
        <v>5</v>
      </c>
      <c r="BA150" s="15">
        <v>27954.221177438401</v>
      </c>
      <c r="BC150" s="15">
        <v>2006</v>
      </c>
      <c r="BD150" s="15">
        <v>5</v>
      </c>
      <c r="BE150" s="15">
        <v>27947.9256228427</v>
      </c>
      <c r="BG150" s="15">
        <v>2006</v>
      </c>
      <c r="BH150" s="15">
        <v>5</v>
      </c>
      <c r="BI150" s="15">
        <v>27955.6650969773</v>
      </c>
    </row>
    <row r="151" spans="1:61" x14ac:dyDescent="0.25">
      <c r="A151" s="10">
        <v>2006</v>
      </c>
      <c r="B151" s="10">
        <v>6</v>
      </c>
      <c r="C151" s="11">
        <v>32466.985181235101</v>
      </c>
      <c r="G151" s="7">
        <v>2006</v>
      </c>
      <c r="H151" s="7">
        <v>3</v>
      </c>
      <c r="I151" s="13">
        <v>30503.381427381199</v>
      </c>
      <c r="L151" s="10">
        <v>2006</v>
      </c>
      <c r="M151" s="10">
        <v>6</v>
      </c>
      <c r="N151" s="18">
        <v>32264.994386695002</v>
      </c>
      <c r="Q151" s="15">
        <v>2006</v>
      </c>
      <c r="R151" s="15">
        <v>6</v>
      </c>
      <c r="S151" s="15">
        <v>32245.29812444</v>
      </c>
      <c r="U151" s="15">
        <v>2006</v>
      </c>
      <c r="V151" s="15">
        <v>6</v>
      </c>
      <c r="W151" s="15">
        <v>32282.867733210802</v>
      </c>
      <c r="Z151" s="15">
        <v>2006</v>
      </c>
      <c r="AA151" s="15">
        <v>6</v>
      </c>
      <c r="AB151" s="15">
        <v>32285.310402725601</v>
      </c>
      <c r="AD151" s="18">
        <v>2006</v>
      </c>
      <c r="AE151" s="18">
        <v>6</v>
      </c>
      <c r="AF151" s="18">
        <v>32187.4984360571</v>
      </c>
      <c r="AH151" s="10">
        <v>2006</v>
      </c>
      <c r="AI151" s="10">
        <v>6</v>
      </c>
      <c r="AJ151" s="18">
        <v>32188.5852543617</v>
      </c>
      <c r="AL151" s="15">
        <v>2006</v>
      </c>
      <c r="AM151" s="15">
        <v>6</v>
      </c>
      <c r="AN151" s="15">
        <v>32189.183416566299</v>
      </c>
      <c r="AQ151" s="18">
        <v>2006</v>
      </c>
      <c r="AR151" s="18">
        <v>6</v>
      </c>
      <c r="AS151" s="18">
        <v>32185.605413778601</v>
      </c>
      <c r="AU151" s="10">
        <v>2006</v>
      </c>
      <c r="AV151" s="10">
        <v>6</v>
      </c>
      <c r="AW151" s="15">
        <v>32253.637610117799</v>
      </c>
      <c r="AY151" s="15">
        <v>2006</v>
      </c>
      <c r="AZ151" s="15">
        <v>6</v>
      </c>
      <c r="BA151" s="15">
        <v>32181.007701710001</v>
      </c>
      <c r="BC151" s="15">
        <v>2006</v>
      </c>
      <c r="BD151" s="15">
        <v>6</v>
      </c>
      <c r="BE151" s="15">
        <v>32179.609771929801</v>
      </c>
      <c r="BG151" s="15">
        <v>2006</v>
      </c>
      <c r="BH151" s="15">
        <v>6</v>
      </c>
      <c r="BI151" s="15">
        <v>32181.1036833506</v>
      </c>
    </row>
    <row r="152" spans="1:61" x14ac:dyDescent="0.25">
      <c r="A152" s="10">
        <v>2006</v>
      </c>
      <c r="B152" s="10">
        <v>7</v>
      </c>
      <c r="C152" s="11">
        <v>35373.044799066098</v>
      </c>
      <c r="G152" s="7">
        <v>2006</v>
      </c>
      <c r="H152" s="7">
        <v>4</v>
      </c>
      <c r="I152" s="13">
        <v>32774.173056178399</v>
      </c>
      <c r="L152" s="10">
        <v>2006</v>
      </c>
      <c r="M152" s="10">
        <v>7</v>
      </c>
      <c r="N152" s="18">
        <v>35020.346378435097</v>
      </c>
      <c r="Q152" s="15">
        <v>2006</v>
      </c>
      <c r="R152" s="15">
        <v>7</v>
      </c>
      <c r="S152" s="15">
        <v>35056.0491916807</v>
      </c>
      <c r="U152" s="15">
        <v>2006</v>
      </c>
      <c r="V152" s="15">
        <v>7</v>
      </c>
      <c r="W152" s="15">
        <v>35071.702016533498</v>
      </c>
      <c r="Z152" s="15">
        <v>2006</v>
      </c>
      <c r="AA152" s="15">
        <v>7</v>
      </c>
      <c r="AB152" s="15">
        <v>35059.907470395199</v>
      </c>
      <c r="AD152" s="18">
        <v>2006</v>
      </c>
      <c r="AE152" s="18">
        <v>7</v>
      </c>
      <c r="AF152" s="18">
        <v>35071.774777219704</v>
      </c>
      <c r="AH152" s="10">
        <v>2006</v>
      </c>
      <c r="AI152" s="10">
        <v>7</v>
      </c>
      <c r="AJ152" s="18">
        <v>35066.704358098097</v>
      </c>
      <c r="AL152" s="15">
        <v>2006</v>
      </c>
      <c r="AM152" s="15">
        <v>7</v>
      </c>
      <c r="AN152" s="15">
        <v>35064.762933789003</v>
      </c>
      <c r="AQ152" s="18">
        <v>2006</v>
      </c>
      <c r="AR152" s="18">
        <v>7</v>
      </c>
      <c r="AS152" s="18">
        <v>35082.660725712798</v>
      </c>
      <c r="AU152" s="10">
        <v>2006</v>
      </c>
      <c r="AV152" s="10">
        <v>7</v>
      </c>
      <c r="AW152" s="15">
        <v>35114.972385227004</v>
      </c>
      <c r="AY152" s="15">
        <v>2006</v>
      </c>
      <c r="AZ152" s="15">
        <v>7</v>
      </c>
      <c r="BA152" s="15">
        <v>35104.025850132697</v>
      </c>
      <c r="BC152" s="15">
        <v>2006</v>
      </c>
      <c r="BD152" s="15">
        <v>7</v>
      </c>
      <c r="BE152" s="15">
        <v>35110.567094172096</v>
      </c>
      <c r="BG152" s="15">
        <v>2006</v>
      </c>
      <c r="BH152" s="15">
        <v>7</v>
      </c>
      <c r="BI152" s="15">
        <v>35103.321981144698</v>
      </c>
    </row>
    <row r="153" spans="1:61" x14ac:dyDescent="0.25">
      <c r="A153" s="10">
        <v>2006</v>
      </c>
      <c r="B153" s="10">
        <v>8</v>
      </c>
      <c r="C153" s="11">
        <v>34464.971026702799</v>
      </c>
      <c r="G153" s="7">
        <v>2006</v>
      </c>
      <c r="H153" s="7">
        <v>5</v>
      </c>
      <c r="I153" s="13">
        <v>26932.9173408032</v>
      </c>
      <c r="L153" s="10">
        <v>2006</v>
      </c>
      <c r="M153" s="10">
        <v>8</v>
      </c>
      <c r="N153" s="18">
        <v>34243.111212645897</v>
      </c>
      <c r="Q153" s="15">
        <v>2006</v>
      </c>
      <c r="R153" s="15">
        <v>8</v>
      </c>
      <c r="S153" s="15">
        <v>34235.086826880797</v>
      </c>
      <c r="U153" s="15">
        <v>2006</v>
      </c>
      <c r="V153" s="15">
        <v>8</v>
      </c>
      <c r="W153" s="15">
        <v>34186.911696611998</v>
      </c>
      <c r="Z153" s="15">
        <v>2006</v>
      </c>
      <c r="AA153" s="15">
        <v>8</v>
      </c>
      <c r="AB153" s="15">
        <v>34192.2293352501</v>
      </c>
      <c r="AD153" s="18">
        <v>2006</v>
      </c>
      <c r="AE153" s="18">
        <v>8</v>
      </c>
      <c r="AF153" s="18">
        <v>34132.189214641498</v>
      </c>
      <c r="AH153" s="10">
        <v>2006</v>
      </c>
      <c r="AI153" s="10">
        <v>8</v>
      </c>
      <c r="AJ153" s="18">
        <v>34136.002967458699</v>
      </c>
      <c r="AL153" s="15">
        <v>2006</v>
      </c>
      <c r="AM153" s="15">
        <v>8</v>
      </c>
      <c r="AN153" s="15">
        <v>34136.157450002698</v>
      </c>
      <c r="AQ153" s="18">
        <v>2006</v>
      </c>
      <c r="AR153" s="18">
        <v>8</v>
      </c>
      <c r="AS153" s="18">
        <v>34120.642104996499</v>
      </c>
      <c r="AU153" s="10">
        <v>2006</v>
      </c>
      <c r="AV153" s="10">
        <v>8</v>
      </c>
      <c r="AW153" s="15">
        <v>34102.386044971601</v>
      </c>
      <c r="AY153" s="15">
        <v>2006</v>
      </c>
      <c r="AZ153" s="15">
        <v>8</v>
      </c>
      <c r="BA153" s="15">
        <v>34104.280108571496</v>
      </c>
      <c r="BC153" s="15">
        <v>2006</v>
      </c>
      <c r="BD153" s="15">
        <v>8</v>
      </c>
      <c r="BE153" s="15">
        <v>34099.2161770721</v>
      </c>
      <c r="BG153" s="15">
        <v>2006</v>
      </c>
      <c r="BH153" s="15">
        <v>8</v>
      </c>
      <c r="BI153" s="15">
        <v>34105.335570882497</v>
      </c>
    </row>
    <row r="154" spans="1:61" x14ac:dyDescent="0.25">
      <c r="A154" s="10">
        <v>2006</v>
      </c>
      <c r="B154" s="10">
        <v>9</v>
      </c>
      <c r="C154" s="11">
        <v>37737.256710066496</v>
      </c>
      <c r="G154" s="7">
        <v>2006</v>
      </c>
      <c r="H154" s="7">
        <v>6</v>
      </c>
      <c r="I154" s="13">
        <v>32368.5917899864</v>
      </c>
      <c r="L154" s="10">
        <v>2006</v>
      </c>
      <c r="M154" s="10">
        <v>9</v>
      </c>
      <c r="N154" s="18">
        <v>37417.347786522601</v>
      </c>
      <c r="Q154" s="15">
        <v>2006</v>
      </c>
      <c r="R154" s="15">
        <v>9</v>
      </c>
      <c r="S154" s="15">
        <v>37428.049128957202</v>
      </c>
      <c r="U154" s="15">
        <v>2006</v>
      </c>
      <c r="V154" s="15">
        <v>9</v>
      </c>
      <c r="W154" s="15">
        <v>37502.763162076197</v>
      </c>
      <c r="Z154" s="15">
        <v>2006</v>
      </c>
      <c r="AA154" s="15">
        <v>9</v>
      </c>
      <c r="AB154" s="15">
        <v>37495.9742521425</v>
      </c>
      <c r="AD154" s="18">
        <v>2006</v>
      </c>
      <c r="AE154" s="18">
        <v>9</v>
      </c>
      <c r="AF154" s="18">
        <v>37451.800671984602</v>
      </c>
      <c r="AH154" s="10">
        <v>2006</v>
      </c>
      <c r="AI154" s="10">
        <v>9</v>
      </c>
      <c r="AJ154" s="18">
        <v>37448.715829002598</v>
      </c>
      <c r="AL154" s="15">
        <v>2006</v>
      </c>
      <c r="AM154" s="15">
        <v>9</v>
      </c>
      <c r="AN154" s="15">
        <v>37447.746521852903</v>
      </c>
      <c r="AQ154" s="18">
        <v>2006</v>
      </c>
      <c r="AR154" s="18">
        <v>9</v>
      </c>
      <c r="AS154" s="18">
        <v>37458.973410210601</v>
      </c>
      <c r="AU154" s="10">
        <v>2006</v>
      </c>
      <c r="AV154" s="10">
        <v>9</v>
      </c>
      <c r="AW154" s="15">
        <v>37483.542915346698</v>
      </c>
      <c r="AY154" s="15">
        <v>2006</v>
      </c>
      <c r="AZ154" s="15">
        <v>9</v>
      </c>
      <c r="BA154" s="15">
        <v>37472.026825871297</v>
      </c>
      <c r="BC154" s="15">
        <v>2006</v>
      </c>
      <c r="BD154" s="15">
        <v>9</v>
      </c>
      <c r="BE154" s="15">
        <v>37476.031487136403</v>
      </c>
      <c r="BG154" s="15">
        <v>2006</v>
      </c>
      <c r="BH154" s="15">
        <v>9</v>
      </c>
      <c r="BI154" s="15">
        <v>37471.524871650203</v>
      </c>
    </row>
    <row r="155" spans="1:61" x14ac:dyDescent="0.25">
      <c r="A155" s="10">
        <v>2006</v>
      </c>
      <c r="B155" s="10">
        <v>10</v>
      </c>
      <c r="C155" s="11">
        <v>35819.006186400598</v>
      </c>
      <c r="G155" s="7">
        <v>2006</v>
      </c>
      <c r="H155" s="7">
        <v>7</v>
      </c>
      <c r="I155" s="13">
        <v>36297.833944274003</v>
      </c>
      <c r="L155" s="10">
        <v>2006</v>
      </c>
      <c r="M155" s="10">
        <v>10</v>
      </c>
      <c r="N155" s="18">
        <v>35498.493144898603</v>
      </c>
      <c r="Q155" s="15">
        <v>2006</v>
      </c>
      <c r="R155" s="15">
        <v>10</v>
      </c>
      <c r="S155" s="15">
        <v>35502.8176447601</v>
      </c>
      <c r="U155" s="15">
        <v>2006</v>
      </c>
      <c r="V155" s="15">
        <v>10</v>
      </c>
      <c r="W155" s="15">
        <v>35554.217320624797</v>
      </c>
      <c r="Z155" s="15">
        <v>2006</v>
      </c>
      <c r="AA155" s="15">
        <v>10</v>
      </c>
      <c r="AB155" s="15">
        <v>35551.350937514399</v>
      </c>
      <c r="AD155" s="18">
        <v>2006</v>
      </c>
      <c r="AE155" s="18">
        <v>10</v>
      </c>
      <c r="AF155" s="18">
        <v>35501.1936252085</v>
      </c>
      <c r="AH155" s="10">
        <v>2006</v>
      </c>
      <c r="AI155" s="10">
        <v>10</v>
      </c>
      <c r="AJ155" s="18">
        <v>35500.2439208633</v>
      </c>
      <c r="AL155" s="15">
        <v>2006</v>
      </c>
      <c r="AM155" s="15">
        <v>10</v>
      </c>
      <c r="AN155" s="15">
        <v>35499.749748409202</v>
      </c>
      <c r="AQ155" s="18">
        <v>2006</v>
      </c>
      <c r="AR155" s="18">
        <v>10</v>
      </c>
      <c r="AS155" s="18">
        <v>35502.895555333598</v>
      </c>
      <c r="AU155" s="10">
        <v>2006</v>
      </c>
      <c r="AV155" s="10">
        <v>10</v>
      </c>
      <c r="AW155" s="15">
        <v>35516.444019227798</v>
      </c>
      <c r="AY155" s="15">
        <v>2006</v>
      </c>
      <c r="AZ155" s="15">
        <v>10</v>
      </c>
      <c r="BA155" s="15">
        <v>35506.862272527702</v>
      </c>
      <c r="BC155" s="15">
        <v>2006</v>
      </c>
      <c r="BD155" s="15">
        <v>10</v>
      </c>
      <c r="BE155" s="15">
        <v>35508.072053462201</v>
      </c>
      <c r="BG155" s="15">
        <v>2006</v>
      </c>
      <c r="BH155" s="15">
        <v>10</v>
      </c>
      <c r="BI155" s="15">
        <v>35506.794615260602</v>
      </c>
    </row>
    <row r="156" spans="1:61" x14ac:dyDescent="0.25">
      <c r="A156" s="10">
        <v>2006</v>
      </c>
      <c r="B156" s="10">
        <v>11</v>
      </c>
      <c r="C156" s="11">
        <v>39736.938770713401</v>
      </c>
      <c r="G156" s="7">
        <v>2006</v>
      </c>
      <c r="H156" s="7">
        <v>8</v>
      </c>
      <c r="I156" s="13">
        <v>34739.899628059298</v>
      </c>
      <c r="L156" s="10">
        <v>2006</v>
      </c>
      <c r="M156" s="10">
        <v>11</v>
      </c>
      <c r="N156" s="18">
        <v>39407.598641260898</v>
      </c>
      <c r="Q156" s="15">
        <v>2006</v>
      </c>
      <c r="R156" s="15">
        <v>11</v>
      </c>
      <c r="S156" s="15">
        <v>39400.844758045998</v>
      </c>
      <c r="U156" s="15">
        <v>2006</v>
      </c>
      <c r="V156" s="15">
        <v>11</v>
      </c>
      <c r="W156" s="15">
        <v>39415.691792092599</v>
      </c>
      <c r="Z156" s="15">
        <v>2006</v>
      </c>
      <c r="AA156" s="15">
        <v>11</v>
      </c>
      <c r="AB156" s="15">
        <v>39419.209261556403</v>
      </c>
      <c r="AD156" s="18">
        <v>2006</v>
      </c>
      <c r="AE156" s="18">
        <v>11</v>
      </c>
      <c r="AF156" s="18">
        <v>39360.029294253902</v>
      </c>
      <c r="AH156" s="10">
        <v>2006</v>
      </c>
      <c r="AI156" s="10">
        <v>11</v>
      </c>
      <c r="AJ156" s="18">
        <v>39362.522916181697</v>
      </c>
      <c r="AL156" s="15">
        <v>2006</v>
      </c>
      <c r="AM156" s="15">
        <v>11</v>
      </c>
      <c r="AN156" s="15">
        <v>39362.787074731103</v>
      </c>
      <c r="AQ156" s="18">
        <v>2006</v>
      </c>
      <c r="AR156" s="18">
        <v>11</v>
      </c>
      <c r="AS156" s="18">
        <v>39352.887175600103</v>
      </c>
      <c r="AU156" s="10">
        <v>2006</v>
      </c>
      <c r="AV156" s="10">
        <v>11</v>
      </c>
      <c r="AW156" s="15">
        <v>39347.995489873203</v>
      </c>
      <c r="AY156" s="15">
        <v>2006</v>
      </c>
      <c r="AZ156" s="15">
        <v>11</v>
      </c>
      <c r="BA156" s="15">
        <v>39342.1875625272</v>
      </c>
      <c r="BC156" s="15">
        <v>2006</v>
      </c>
      <c r="BD156" s="15">
        <v>11</v>
      </c>
      <c r="BE156" s="15">
        <v>39338.885067990101</v>
      </c>
      <c r="BG156" s="15">
        <v>2006</v>
      </c>
      <c r="BH156" s="15">
        <v>11</v>
      </c>
      <c r="BI156" s="15">
        <v>39342.819896266898</v>
      </c>
    </row>
    <row r="157" spans="1:61" x14ac:dyDescent="0.25">
      <c r="A157" s="10">
        <v>2006</v>
      </c>
      <c r="B157" s="10">
        <v>12</v>
      </c>
      <c r="C157" s="11">
        <v>41997.185355397603</v>
      </c>
      <c r="G157" s="7">
        <v>2006</v>
      </c>
      <c r="H157" s="7">
        <v>9</v>
      </c>
      <c r="I157" s="13">
        <v>38279.625288338801</v>
      </c>
      <c r="L157" s="10">
        <v>2006</v>
      </c>
      <c r="M157" s="10">
        <v>12</v>
      </c>
      <c r="N157" s="18">
        <v>41485.322728623403</v>
      </c>
      <c r="Q157" s="15">
        <v>2006</v>
      </c>
      <c r="R157" s="15">
        <v>12</v>
      </c>
      <c r="S157" s="15">
        <v>41605.096917886498</v>
      </c>
      <c r="U157" s="15">
        <v>2006</v>
      </c>
      <c r="V157" s="15">
        <v>12</v>
      </c>
      <c r="W157" s="15">
        <v>41666.906437919402</v>
      </c>
      <c r="Z157" s="15">
        <v>2006</v>
      </c>
      <c r="AA157" s="15">
        <v>12</v>
      </c>
      <c r="AB157" s="15">
        <v>41658.202162633403</v>
      </c>
      <c r="AD157" s="18">
        <v>2006</v>
      </c>
      <c r="AE157" s="18">
        <v>12</v>
      </c>
      <c r="AF157" s="18">
        <v>41602.245986436399</v>
      </c>
      <c r="AH157" s="10">
        <v>2006</v>
      </c>
      <c r="AI157" s="10">
        <v>12</v>
      </c>
      <c r="AJ157" s="18">
        <v>41597.169718507103</v>
      </c>
      <c r="AL157" s="15">
        <v>2006</v>
      </c>
      <c r="AM157" s="15">
        <v>12</v>
      </c>
      <c r="AN157" s="15">
        <v>41596.6356045742</v>
      </c>
      <c r="AQ157" s="18">
        <v>2006</v>
      </c>
      <c r="AR157" s="18">
        <v>12</v>
      </c>
      <c r="AS157" s="18">
        <v>41616.9705477104</v>
      </c>
      <c r="AU157" s="10">
        <v>2006</v>
      </c>
      <c r="AV157" s="10">
        <v>12</v>
      </c>
      <c r="AW157" s="15">
        <v>41643.419376595702</v>
      </c>
      <c r="AY157" s="15">
        <v>2006</v>
      </c>
      <c r="AZ157" s="15">
        <v>12</v>
      </c>
      <c r="BA157" s="15">
        <v>41638.9450455931</v>
      </c>
      <c r="BC157" s="15">
        <v>2006</v>
      </c>
      <c r="BD157" s="15">
        <v>12</v>
      </c>
      <c r="BE157" s="15">
        <v>41645.735848688899</v>
      </c>
      <c r="BG157" s="15">
        <v>2006</v>
      </c>
      <c r="BH157" s="15">
        <v>12</v>
      </c>
      <c r="BI157" s="15">
        <v>41637.6461041886</v>
      </c>
    </row>
    <row r="158" spans="1:61" x14ac:dyDescent="0.25">
      <c r="A158" s="10">
        <v>2007</v>
      </c>
      <c r="B158" s="10">
        <v>1</v>
      </c>
      <c r="C158" s="11">
        <v>28158.607764878099</v>
      </c>
      <c r="G158" s="7">
        <v>2006</v>
      </c>
      <c r="H158" s="7">
        <v>10</v>
      </c>
      <c r="I158" s="13">
        <v>36557.994122193399</v>
      </c>
      <c r="L158" s="10">
        <v>2007</v>
      </c>
      <c r="M158" s="10">
        <v>1</v>
      </c>
      <c r="N158" s="18">
        <v>27602.004863869501</v>
      </c>
      <c r="Q158" s="15">
        <v>2007</v>
      </c>
      <c r="R158" s="15">
        <v>1</v>
      </c>
      <c r="S158" s="15">
        <v>27532.6049451951</v>
      </c>
      <c r="U158" s="15">
        <v>2007</v>
      </c>
      <c r="V158" s="15">
        <v>1</v>
      </c>
      <c r="W158" s="15">
        <v>27585.6237694437</v>
      </c>
      <c r="Z158" s="15">
        <v>2007</v>
      </c>
      <c r="AA158" s="15">
        <v>1</v>
      </c>
      <c r="AB158" s="15">
        <v>27596.489292815899</v>
      </c>
      <c r="AD158" s="18">
        <v>2007</v>
      </c>
      <c r="AE158" s="18">
        <v>1</v>
      </c>
      <c r="AF158" s="18">
        <v>28349.306433392601</v>
      </c>
      <c r="AH158" s="10">
        <v>2007</v>
      </c>
      <c r="AI158" s="10">
        <v>1</v>
      </c>
      <c r="AJ158" s="18">
        <v>28354.210637780601</v>
      </c>
      <c r="AL158" s="15">
        <v>2007</v>
      </c>
      <c r="AM158" s="15">
        <v>1</v>
      </c>
      <c r="AN158" s="15">
        <v>28357.5505610455</v>
      </c>
      <c r="AQ158" s="18">
        <v>2007</v>
      </c>
      <c r="AR158" s="18">
        <v>1</v>
      </c>
      <c r="AS158" s="18">
        <v>28342.458281266299</v>
      </c>
      <c r="AU158" s="10">
        <v>2007</v>
      </c>
      <c r="AV158" s="10">
        <v>1</v>
      </c>
      <c r="AW158" s="15">
        <v>28316.172453953201</v>
      </c>
      <c r="AY158" s="15">
        <v>2007</v>
      </c>
      <c r="AZ158" s="15">
        <v>1</v>
      </c>
      <c r="BA158" s="15">
        <v>28321.789428025098</v>
      </c>
      <c r="BC158" s="15">
        <v>2007</v>
      </c>
      <c r="BD158" s="15">
        <v>1</v>
      </c>
      <c r="BE158" s="15">
        <v>28315.511770650999</v>
      </c>
      <c r="BG158" s="15">
        <v>2007</v>
      </c>
      <c r="BH158" s="15">
        <v>1</v>
      </c>
      <c r="BI158" s="15">
        <v>28321.914053822002</v>
      </c>
    </row>
    <row r="159" spans="1:61" x14ac:dyDescent="0.25">
      <c r="A159" s="10">
        <v>2007</v>
      </c>
      <c r="B159" s="10">
        <v>2</v>
      </c>
      <c r="C159" s="11">
        <v>41752.135274046399</v>
      </c>
      <c r="G159" s="7">
        <v>2006</v>
      </c>
      <c r="H159" s="7">
        <v>11</v>
      </c>
      <c r="I159" s="13">
        <v>38484.763716098598</v>
      </c>
      <c r="L159" s="10">
        <v>2007</v>
      </c>
      <c r="M159" s="10">
        <v>2</v>
      </c>
      <c r="N159" s="18">
        <v>45931.861116278204</v>
      </c>
      <c r="Q159" s="15">
        <v>2007</v>
      </c>
      <c r="R159" s="15">
        <v>2</v>
      </c>
      <c r="S159" s="15">
        <v>45612.800065877498</v>
      </c>
      <c r="U159" s="15">
        <v>2007</v>
      </c>
      <c r="V159" s="15">
        <v>2</v>
      </c>
      <c r="W159" s="15">
        <v>45760.211000081101</v>
      </c>
      <c r="Z159" s="15">
        <v>2007</v>
      </c>
      <c r="AA159" s="15">
        <v>2</v>
      </c>
      <c r="AB159" s="15">
        <v>45804.903801212196</v>
      </c>
      <c r="AD159" s="18">
        <v>2007</v>
      </c>
      <c r="AE159" s="18">
        <v>2</v>
      </c>
      <c r="AF159" s="18">
        <v>45629.4576278897</v>
      </c>
      <c r="AH159" s="10">
        <v>2007</v>
      </c>
      <c r="AI159" s="10">
        <v>2</v>
      </c>
      <c r="AJ159" s="18">
        <v>45636.275664744797</v>
      </c>
      <c r="AL159" s="15">
        <v>2007</v>
      </c>
      <c r="AM159" s="15">
        <v>2</v>
      </c>
      <c r="AN159" s="15">
        <v>45649.144763071701</v>
      </c>
      <c r="AQ159" s="18">
        <v>2007</v>
      </c>
      <c r="AR159" s="18">
        <v>2</v>
      </c>
      <c r="AS159" s="18">
        <v>45641.036787018398</v>
      </c>
      <c r="AU159" s="10">
        <v>2007</v>
      </c>
      <c r="AV159" s="10">
        <v>2</v>
      </c>
      <c r="AW159" s="15">
        <v>45484.192018950802</v>
      </c>
      <c r="AY159" s="15">
        <v>2007</v>
      </c>
      <c r="AZ159" s="15">
        <v>2</v>
      </c>
      <c r="BA159" s="15">
        <v>45614.252069492701</v>
      </c>
      <c r="BC159" s="15">
        <v>2007</v>
      </c>
      <c r="BD159" s="15">
        <v>2</v>
      </c>
      <c r="BE159" s="15">
        <v>45606.4550347037</v>
      </c>
      <c r="BG159" s="15">
        <v>2007</v>
      </c>
      <c r="BH159" s="15">
        <v>2</v>
      </c>
      <c r="BI159" s="15">
        <v>45611.123419725198</v>
      </c>
    </row>
    <row r="160" spans="1:61" x14ac:dyDescent="0.25">
      <c r="A160" s="10">
        <v>2007</v>
      </c>
      <c r="B160" s="10">
        <v>3</v>
      </c>
      <c r="C160" s="11">
        <v>43068.200450085897</v>
      </c>
      <c r="G160" s="7">
        <v>2006</v>
      </c>
      <c r="H160" s="7">
        <v>12</v>
      </c>
      <c r="I160" s="13">
        <v>41848.451305414499</v>
      </c>
      <c r="L160" s="10">
        <v>2007</v>
      </c>
      <c r="M160" s="10">
        <v>3</v>
      </c>
      <c r="N160" s="18">
        <v>42631.597508039202</v>
      </c>
      <c r="Q160" s="15">
        <v>2007</v>
      </c>
      <c r="R160" s="15">
        <v>3</v>
      </c>
      <c r="S160" s="15">
        <v>42645.273819498099</v>
      </c>
      <c r="U160" s="15">
        <v>2007</v>
      </c>
      <c r="V160" s="15">
        <v>3</v>
      </c>
      <c r="W160" s="15">
        <v>42730.999228731402</v>
      </c>
      <c r="Z160" s="15">
        <v>2007</v>
      </c>
      <c r="AA160" s="15">
        <v>3</v>
      </c>
      <c r="AB160" s="15">
        <v>42726.491080483</v>
      </c>
      <c r="AD160" s="18">
        <v>2007</v>
      </c>
      <c r="AE160" s="18">
        <v>3</v>
      </c>
      <c r="AF160" s="18">
        <v>42672.751470023402</v>
      </c>
      <c r="AH160" s="10">
        <v>2007</v>
      </c>
      <c r="AI160" s="10">
        <v>3</v>
      </c>
      <c r="AJ160" s="18">
        <v>42670.693024624103</v>
      </c>
      <c r="AL160" s="15">
        <v>2007</v>
      </c>
      <c r="AM160" s="15">
        <v>3</v>
      </c>
      <c r="AN160" s="15">
        <v>42669.970969852402</v>
      </c>
      <c r="AQ160" s="18">
        <v>2007</v>
      </c>
      <c r="AR160" s="18">
        <v>3</v>
      </c>
      <c r="AS160" s="18">
        <v>42677.3285659022</v>
      </c>
      <c r="AU160" s="10">
        <v>2007</v>
      </c>
      <c r="AV160" s="10">
        <v>3</v>
      </c>
      <c r="AW160" s="15">
        <v>42694.040453027897</v>
      </c>
      <c r="AY160" s="15">
        <v>2007</v>
      </c>
      <c r="AZ160" s="15">
        <v>3</v>
      </c>
      <c r="BA160" s="15">
        <v>42685.924287309703</v>
      </c>
      <c r="BC160" s="15">
        <v>2007</v>
      </c>
      <c r="BD160" s="15">
        <v>3</v>
      </c>
      <c r="BE160" s="15">
        <v>42688.557740516502</v>
      </c>
      <c r="BG160" s="15">
        <v>2007</v>
      </c>
      <c r="BH160" s="15">
        <v>3</v>
      </c>
      <c r="BI160" s="15">
        <v>42685.603491380098</v>
      </c>
    </row>
    <row r="161" spans="1:61" x14ac:dyDescent="0.25">
      <c r="A161" s="10">
        <v>2007</v>
      </c>
      <c r="B161" s="10">
        <v>4</v>
      </c>
      <c r="C161" s="11">
        <v>39586.803227168501</v>
      </c>
      <c r="G161" s="7">
        <v>2007</v>
      </c>
      <c r="H161" s="7">
        <v>1</v>
      </c>
      <c r="I161" s="13">
        <v>28480.932190666299</v>
      </c>
      <c r="L161" s="10">
        <v>2007</v>
      </c>
      <c r="M161" s="10">
        <v>4</v>
      </c>
      <c r="N161" s="18">
        <v>39195.440586354598</v>
      </c>
      <c r="Q161" s="15">
        <v>2007</v>
      </c>
      <c r="R161" s="15">
        <v>4</v>
      </c>
      <c r="S161" s="15">
        <v>39211.742242290798</v>
      </c>
      <c r="U161" s="15">
        <v>2007</v>
      </c>
      <c r="V161" s="15">
        <v>4</v>
      </c>
      <c r="W161" s="15">
        <v>39274.417775160699</v>
      </c>
      <c r="Z161" s="15">
        <v>2007</v>
      </c>
      <c r="AA161" s="15">
        <v>4</v>
      </c>
      <c r="AB161" s="15">
        <v>39269.5098172652</v>
      </c>
      <c r="AD161" s="18">
        <v>2007</v>
      </c>
      <c r="AE161" s="18">
        <v>4</v>
      </c>
      <c r="AF161" s="18">
        <v>39214.469968083496</v>
      </c>
      <c r="AH161" s="10">
        <v>2007</v>
      </c>
      <c r="AI161" s="10">
        <v>4</v>
      </c>
      <c r="AJ161" s="18">
        <v>39212.432531863204</v>
      </c>
      <c r="AL161" s="15">
        <v>2007</v>
      </c>
      <c r="AM161" s="15">
        <v>4</v>
      </c>
      <c r="AN161" s="15">
        <v>39211.514055605498</v>
      </c>
      <c r="AQ161" s="18">
        <v>2007</v>
      </c>
      <c r="AR161" s="18">
        <v>4</v>
      </c>
      <c r="AS161" s="18">
        <v>39218.502511103201</v>
      </c>
      <c r="AU161" s="10">
        <v>2007</v>
      </c>
      <c r="AV161" s="10">
        <v>4</v>
      </c>
      <c r="AW161" s="15">
        <v>39234.213635872598</v>
      </c>
      <c r="AY161" s="15">
        <v>2007</v>
      </c>
      <c r="AZ161" s="15">
        <v>4</v>
      </c>
      <c r="BA161" s="15">
        <v>39227.035853925699</v>
      </c>
      <c r="BC161" s="15">
        <v>2007</v>
      </c>
      <c r="BD161" s="15">
        <v>4</v>
      </c>
      <c r="BE161" s="15">
        <v>39229.640450566098</v>
      </c>
      <c r="BG161" s="15">
        <v>2007</v>
      </c>
      <c r="BH161" s="15">
        <v>4</v>
      </c>
      <c r="BI161" s="15">
        <v>39226.7972137338</v>
      </c>
    </row>
    <row r="162" spans="1:61" x14ac:dyDescent="0.25">
      <c r="A162" s="10">
        <v>2007</v>
      </c>
      <c r="B162" s="10">
        <v>5</v>
      </c>
      <c r="C162" s="11">
        <v>41252.226456862802</v>
      </c>
      <c r="G162" s="7">
        <v>2007</v>
      </c>
      <c r="H162" s="7">
        <v>2</v>
      </c>
      <c r="I162" s="13">
        <v>42182.025187674197</v>
      </c>
      <c r="L162" s="10">
        <v>2007</v>
      </c>
      <c r="M162" s="10">
        <v>5</v>
      </c>
      <c r="N162" s="18">
        <v>41047.667451754802</v>
      </c>
      <c r="Q162" s="15">
        <v>2007</v>
      </c>
      <c r="R162" s="15">
        <v>5</v>
      </c>
      <c r="S162" s="15">
        <v>41041.7866954438</v>
      </c>
      <c r="U162" s="15">
        <v>2007</v>
      </c>
      <c r="V162" s="15">
        <v>5</v>
      </c>
      <c r="W162" s="15">
        <v>40974.387180679201</v>
      </c>
      <c r="Z162" s="15">
        <v>2007</v>
      </c>
      <c r="AA162" s="15">
        <v>5</v>
      </c>
      <c r="AB162" s="15">
        <v>40982.089061200597</v>
      </c>
      <c r="AD162" s="18">
        <v>2007</v>
      </c>
      <c r="AE162" s="18">
        <v>5</v>
      </c>
      <c r="AF162" s="18">
        <v>40912.267545980103</v>
      </c>
      <c r="AH162" s="10">
        <v>2007</v>
      </c>
      <c r="AI162" s="10">
        <v>5</v>
      </c>
      <c r="AJ162" s="18">
        <v>40917.527666303198</v>
      </c>
      <c r="AL162" s="15">
        <v>2007</v>
      </c>
      <c r="AM162" s="15">
        <v>5</v>
      </c>
      <c r="AN162" s="15">
        <v>40917.832308094403</v>
      </c>
      <c r="AQ162" s="18">
        <v>2007</v>
      </c>
      <c r="AR162" s="18">
        <v>5</v>
      </c>
      <c r="AS162" s="18">
        <v>40896.608249376797</v>
      </c>
      <c r="AU162" s="10">
        <v>2007</v>
      </c>
      <c r="AV162" s="10">
        <v>5</v>
      </c>
      <c r="AW162" s="15">
        <v>40865.899095503701</v>
      </c>
      <c r="AY162" s="15">
        <v>2007</v>
      </c>
      <c r="AZ162" s="15">
        <v>5</v>
      </c>
      <c r="BA162" s="15">
        <v>40874.10718354</v>
      </c>
      <c r="BC162" s="15">
        <v>2007</v>
      </c>
      <c r="BD162" s="15">
        <v>5</v>
      </c>
      <c r="BE162" s="15">
        <v>40867.145741421999</v>
      </c>
      <c r="BG162" s="15">
        <v>2007</v>
      </c>
      <c r="BH162" s="15">
        <v>5</v>
      </c>
      <c r="BI162" s="15">
        <v>40875.510126760499</v>
      </c>
    </row>
    <row r="163" spans="1:61" x14ac:dyDescent="0.25">
      <c r="A163" s="10">
        <v>2007</v>
      </c>
      <c r="B163" s="10">
        <v>6</v>
      </c>
      <c r="C163" s="11">
        <v>44929.384209578697</v>
      </c>
      <c r="G163" s="7">
        <v>2007</v>
      </c>
      <c r="H163" s="7">
        <v>3</v>
      </c>
      <c r="I163" s="13">
        <v>42551.873279609601</v>
      </c>
      <c r="L163" s="10">
        <v>2007</v>
      </c>
      <c r="M163" s="10">
        <v>6</v>
      </c>
      <c r="N163" s="18">
        <v>44624.454093186003</v>
      </c>
      <c r="Q163" s="15">
        <v>2007</v>
      </c>
      <c r="R163" s="15">
        <v>6</v>
      </c>
      <c r="S163" s="15">
        <v>44603.795324960098</v>
      </c>
      <c r="U163" s="15">
        <v>2007</v>
      </c>
      <c r="V163" s="15">
        <v>6</v>
      </c>
      <c r="W163" s="15">
        <v>44802.291762906803</v>
      </c>
      <c r="Z163" s="15">
        <v>2007</v>
      </c>
      <c r="AA163" s="15">
        <v>6</v>
      </c>
      <c r="AB163" s="15">
        <v>44793.497646548698</v>
      </c>
      <c r="AD163" s="18">
        <v>2007</v>
      </c>
      <c r="AE163" s="18">
        <v>6</v>
      </c>
      <c r="AF163" s="18">
        <v>44730.407082129503</v>
      </c>
      <c r="AH163" s="10">
        <v>2007</v>
      </c>
      <c r="AI163" s="10">
        <v>6</v>
      </c>
      <c r="AJ163" s="18">
        <v>44724.681735546998</v>
      </c>
      <c r="AL163" s="15">
        <v>2007</v>
      </c>
      <c r="AM163" s="15">
        <v>6</v>
      </c>
      <c r="AN163" s="15">
        <v>44724.750389451001</v>
      </c>
      <c r="AQ163" s="18">
        <v>2007</v>
      </c>
      <c r="AR163" s="18">
        <v>6</v>
      </c>
      <c r="AS163" s="18">
        <v>44748.525365211302</v>
      </c>
      <c r="AU163" s="10">
        <v>2007</v>
      </c>
      <c r="AV163" s="10">
        <v>6</v>
      </c>
      <c r="AW163" s="15">
        <v>44889.415966469598</v>
      </c>
      <c r="AY163" s="15">
        <v>2007</v>
      </c>
      <c r="AZ163" s="15">
        <v>6</v>
      </c>
      <c r="BA163" s="15">
        <v>44773.200905555401</v>
      </c>
      <c r="BC163" s="15">
        <v>2007</v>
      </c>
      <c r="BD163" s="15">
        <v>6</v>
      </c>
      <c r="BE163" s="15">
        <v>44780.8535839838</v>
      </c>
      <c r="BG163" s="15">
        <v>2007</v>
      </c>
      <c r="BH163" s="15">
        <v>6</v>
      </c>
      <c r="BI163" s="15">
        <v>44771.534147814302</v>
      </c>
    </row>
    <row r="164" spans="1:61" x14ac:dyDescent="0.25">
      <c r="A164" s="10">
        <v>2007</v>
      </c>
      <c r="B164" s="10">
        <v>7</v>
      </c>
      <c r="C164" s="11">
        <v>39300.291124190902</v>
      </c>
      <c r="G164" s="7">
        <v>2007</v>
      </c>
      <c r="H164" s="7">
        <v>4</v>
      </c>
      <c r="I164" s="13">
        <v>39205.967327857397</v>
      </c>
      <c r="L164" s="10">
        <v>2007</v>
      </c>
      <c r="M164" s="10">
        <v>7</v>
      </c>
      <c r="N164" s="18">
        <v>38942.166047043102</v>
      </c>
      <c r="Q164" s="15">
        <v>2007</v>
      </c>
      <c r="R164" s="15">
        <v>7</v>
      </c>
      <c r="S164" s="15">
        <v>38944.535968304001</v>
      </c>
      <c r="U164" s="15">
        <v>2007</v>
      </c>
      <c r="V164" s="15">
        <v>7</v>
      </c>
      <c r="W164" s="15">
        <v>38938.291946415397</v>
      </c>
      <c r="Z164" s="15">
        <v>2007</v>
      </c>
      <c r="AA164" s="15">
        <v>7</v>
      </c>
      <c r="AB164" s="15">
        <v>38935.108489554601</v>
      </c>
      <c r="AD164" s="18">
        <v>2007</v>
      </c>
      <c r="AE164" s="18">
        <v>7</v>
      </c>
      <c r="AF164" s="18">
        <v>38895.920095395602</v>
      </c>
      <c r="AH164" s="10">
        <v>2007</v>
      </c>
      <c r="AI164" s="10">
        <v>7</v>
      </c>
      <c r="AJ164" s="18">
        <v>38895.583536560604</v>
      </c>
      <c r="AL164" s="15">
        <v>2007</v>
      </c>
      <c r="AM164" s="15">
        <v>7</v>
      </c>
      <c r="AN164" s="15">
        <v>38894.626172035103</v>
      </c>
      <c r="AQ164" s="18">
        <v>2007</v>
      </c>
      <c r="AR164" s="18">
        <v>7</v>
      </c>
      <c r="AS164" s="18">
        <v>38894.561901503097</v>
      </c>
      <c r="AU164" s="10">
        <v>2007</v>
      </c>
      <c r="AV164" s="10">
        <v>7</v>
      </c>
      <c r="AW164" s="15">
        <v>38895.351937409803</v>
      </c>
      <c r="AY164" s="15">
        <v>2007</v>
      </c>
      <c r="AZ164" s="15">
        <v>7</v>
      </c>
      <c r="BA164" s="15">
        <v>38895.920866596003</v>
      </c>
      <c r="BC164" s="15">
        <v>2007</v>
      </c>
      <c r="BD164" s="15">
        <v>7</v>
      </c>
      <c r="BE164" s="15">
        <v>38896.300349360899</v>
      </c>
      <c r="BG164" s="15">
        <v>2007</v>
      </c>
      <c r="BH164" s="15">
        <v>7</v>
      </c>
      <c r="BI164" s="15">
        <v>38896.207523756297</v>
      </c>
    </row>
    <row r="165" spans="1:61" x14ac:dyDescent="0.25">
      <c r="A165" s="10">
        <v>2007</v>
      </c>
      <c r="B165" s="10">
        <v>8</v>
      </c>
      <c r="C165" s="11">
        <v>44188.121875823999</v>
      </c>
      <c r="G165" s="7">
        <v>2007</v>
      </c>
      <c r="H165" s="7">
        <v>5</v>
      </c>
      <c r="I165" s="13">
        <v>39941.563488339598</v>
      </c>
      <c r="L165" s="10">
        <v>2007</v>
      </c>
      <c r="M165" s="10">
        <v>8</v>
      </c>
      <c r="N165" s="18">
        <v>43943.330693135598</v>
      </c>
      <c r="Q165" s="15">
        <v>2007</v>
      </c>
      <c r="R165" s="15">
        <v>8</v>
      </c>
      <c r="S165" s="15">
        <v>43927.979906237197</v>
      </c>
      <c r="U165" s="15">
        <v>2007</v>
      </c>
      <c r="V165" s="15">
        <v>8</v>
      </c>
      <c r="W165" s="15">
        <v>43868.897135808998</v>
      </c>
      <c r="Z165" s="15">
        <v>2007</v>
      </c>
      <c r="AA165" s="15">
        <v>8</v>
      </c>
      <c r="AB165" s="15">
        <v>43875.133641384899</v>
      </c>
      <c r="AD165" s="18">
        <v>2007</v>
      </c>
      <c r="AE165" s="18">
        <v>8</v>
      </c>
      <c r="AF165" s="18">
        <v>43840.8928016051</v>
      </c>
      <c r="AH165" s="10">
        <v>2007</v>
      </c>
      <c r="AI165" s="10">
        <v>8</v>
      </c>
      <c r="AJ165" s="18">
        <v>43845.645873978901</v>
      </c>
      <c r="AL165" s="15">
        <v>2007</v>
      </c>
      <c r="AM165" s="15">
        <v>8</v>
      </c>
      <c r="AN165" s="15">
        <v>43845.893898054703</v>
      </c>
      <c r="AQ165" s="18">
        <v>2007</v>
      </c>
      <c r="AR165" s="18">
        <v>8</v>
      </c>
      <c r="AS165" s="18">
        <v>43826.675529486798</v>
      </c>
      <c r="AU165" s="10">
        <v>2007</v>
      </c>
      <c r="AV165" s="10">
        <v>8</v>
      </c>
      <c r="AW165" s="15">
        <v>43799.187550823597</v>
      </c>
      <c r="AY165" s="15">
        <v>2007</v>
      </c>
      <c r="AZ165" s="15">
        <v>8</v>
      </c>
      <c r="BA165" s="15">
        <v>43806.399836164201</v>
      </c>
      <c r="BC165" s="15">
        <v>2007</v>
      </c>
      <c r="BD165" s="15">
        <v>8</v>
      </c>
      <c r="BE165" s="15">
        <v>43800.127006626499</v>
      </c>
      <c r="BG165" s="15">
        <v>2007</v>
      </c>
      <c r="BH165" s="15">
        <v>8</v>
      </c>
      <c r="BI165" s="15">
        <v>43807.702422148497</v>
      </c>
    </row>
    <row r="166" spans="1:61" x14ac:dyDescent="0.25">
      <c r="A166" s="10">
        <v>2007</v>
      </c>
      <c r="B166" s="10">
        <v>9</v>
      </c>
      <c r="C166" s="11">
        <v>42622.058530399503</v>
      </c>
      <c r="G166" s="7">
        <v>2007</v>
      </c>
      <c r="H166" s="7">
        <v>6</v>
      </c>
      <c r="I166" s="13">
        <v>44984.294223641497</v>
      </c>
      <c r="L166" s="10">
        <v>2007</v>
      </c>
      <c r="M166" s="10">
        <v>9</v>
      </c>
      <c r="N166" s="18">
        <v>42238.494214666302</v>
      </c>
      <c r="Q166" s="15">
        <v>2007</v>
      </c>
      <c r="R166" s="15">
        <v>9</v>
      </c>
      <c r="S166" s="15">
        <v>42266.214736281501</v>
      </c>
      <c r="U166" s="15">
        <v>2007</v>
      </c>
      <c r="V166" s="15">
        <v>9</v>
      </c>
      <c r="W166" s="15">
        <v>42434.030452607098</v>
      </c>
      <c r="Z166" s="15">
        <v>2007</v>
      </c>
      <c r="AA166" s="15">
        <v>9</v>
      </c>
      <c r="AB166" s="15">
        <v>42415.178867386501</v>
      </c>
      <c r="AD166" s="18">
        <v>2007</v>
      </c>
      <c r="AE166" s="18">
        <v>9</v>
      </c>
      <c r="AF166" s="18">
        <v>42413.819659442001</v>
      </c>
      <c r="AH166" s="10">
        <v>2007</v>
      </c>
      <c r="AI166" s="10">
        <v>9</v>
      </c>
      <c r="AJ166" s="18">
        <v>42404.379601328699</v>
      </c>
      <c r="AL166" s="15">
        <v>2007</v>
      </c>
      <c r="AM166" s="15">
        <v>9</v>
      </c>
      <c r="AN166" s="15">
        <v>42402.134521160297</v>
      </c>
      <c r="AQ166" s="18">
        <v>2007</v>
      </c>
      <c r="AR166" s="18">
        <v>9</v>
      </c>
      <c r="AS166" s="18">
        <v>42437.625287970499</v>
      </c>
      <c r="AU166" s="10">
        <v>2007</v>
      </c>
      <c r="AV166" s="10">
        <v>9</v>
      </c>
      <c r="AW166" s="15">
        <v>42496.469072514403</v>
      </c>
      <c r="AY166" s="15">
        <v>2007</v>
      </c>
      <c r="AZ166" s="15">
        <v>9</v>
      </c>
      <c r="BA166" s="15">
        <v>42477.772903079996</v>
      </c>
      <c r="BC166" s="15">
        <v>2007</v>
      </c>
      <c r="BD166" s="15">
        <v>9</v>
      </c>
      <c r="BE166" s="15">
        <v>42490.120275044901</v>
      </c>
      <c r="BG166" s="15">
        <v>2007</v>
      </c>
      <c r="BH166" s="15">
        <v>9</v>
      </c>
      <c r="BI166" s="15">
        <v>42475.943240127701</v>
      </c>
    </row>
    <row r="167" spans="1:61" x14ac:dyDescent="0.25">
      <c r="A167" s="10">
        <v>2007</v>
      </c>
      <c r="B167" s="10">
        <v>10</v>
      </c>
      <c r="C167" s="11">
        <v>45237.5951393051</v>
      </c>
      <c r="G167" s="7">
        <v>2007</v>
      </c>
      <c r="H167" s="7">
        <v>7</v>
      </c>
      <c r="I167" s="13">
        <v>40587.605007382801</v>
      </c>
      <c r="L167" s="10">
        <v>2007</v>
      </c>
      <c r="M167" s="10">
        <v>10</v>
      </c>
      <c r="N167" s="18">
        <v>44960.489099041501</v>
      </c>
      <c r="Q167" s="15">
        <v>2007</v>
      </c>
      <c r="R167" s="15">
        <v>10</v>
      </c>
      <c r="S167" s="15">
        <v>44936.736896155096</v>
      </c>
      <c r="U167" s="15">
        <v>2007</v>
      </c>
      <c r="V167" s="15">
        <v>10</v>
      </c>
      <c r="W167" s="15">
        <v>44909.6339147197</v>
      </c>
      <c r="Z167" s="15">
        <v>2007</v>
      </c>
      <c r="AA167" s="15">
        <v>10</v>
      </c>
      <c r="AB167" s="15">
        <v>44917.610974256699</v>
      </c>
      <c r="AD167" s="18">
        <v>2007</v>
      </c>
      <c r="AE167" s="18">
        <v>10</v>
      </c>
      <c r="AF167" s="18">
        <v>44890.702194780701</v>
      </c>
      <c r="AH167" s="10">
        <v>2007</v>
      </c>
      <c r="AI167" s="10">
        <v>10</v>
      </c>
      <c r="AJ167" s="18">
        <v>44895.758166602398</v>
      </c>
      <c r="AL167" s="15">
        <v>2007</v>
      </c>
      <c r="AM167" s="15">
        <v>10</v>
      </c>
      <c r="AN167" s="15">
        <v>44896.574497018599</v>
      </c>
      <c r="AQ167" s="18">
        <v>2007</v>
      </c>
      <c r="AR167" s="18">
        <v>10</v>
      </c>
      <c r="AS167" s="18">
        <v>44876.9308161589</v>
      </c>
      <c r="AU167" s="10">
        <v>2007</v>
      </c>
      <c r="AV167" s="10">
        <v>10</v>
      </c>
      <c r="AW167" s="15">
        <v>44853.171963015797</v>
      </c>
      <c r="AY167" s="15">
        <v>2007</v>
      </c>
      <c r="AZ167" s="15">
        <v>10</v>
      </c>
      <c r="BA167" s="15">
        <v>44855.328068647897</v>
      </c>
      <c r="BC167" s="15">
        <v>2007</v>
      </c>
      <c r="BD167" s="15">
        <v>10</v>
      </c>
      <c r="BE167" s="15">
        <v>44848.670201949797</v>
      </c>
      <c r="BG167" s="15">
        <v>2007</v>
      </c>
      <c r="BH167" s="15">
        <v>10</v>
      </c>
      <c r="BI167" s="15">
        <v>44856.508351041099</v>
      </c>
    </row>
    <row r="168" spans="1:61" x14ac:dyDescent="0.25">
      <c r="A168" s="10">
        <v>2007</v>
      </c>
      <c r="B168" s="10">
        <v>11</v>
      </c>
      <c r="C168" s="11">
        <v>49462.098211916003</v>
      </c>
      <c r="G168" s="7">
        <v>2007</v>
      </c>
      <c r="H168" s="7">
        <v>8</v>
      </c>
      <c r="I168" s="13">
        <v>44576.178018150298</v>
      </c>
      <c r="L168" s="10">
        <v>2007</v>
      </c>
      <c r="M168" s="10">
        <v>11</v>
      </c>
      <c r="N168" s="18">
        <v>49133.926642205297</v>
      </c>
      <c r="Q168" s="15">
        <v>2007</v>
      </c>
      <c r="R168" s="15">
        <v>11</v>
      </c>
      <c r="S168" s="15">
        <v>49112.074087170004</v>
      </c>
      <c r="U168" s="15">
        <v>2007</v>
      </c>
      <c r="V168" s="15">
        <v>11</v>
      </c>
      <c r="W168" s="15">
        <v>49145.074557594096</v>
      </c>
      <c r="Z168" s="15">
        <v>2007</v>
      </c>
      <c r="AA168" s="15">
        <v>11</v>
      </c>
      <c r="AB168" s="15">
        <v>49150.4259203888</v>
      </c>
      <c r="AD168" s="18">
        <v>2007</v>
      </c>
      <c r="AE168" s="18">
        <v>11</v>
      </c>
      <c r="AF168" s="18">
        <v>49136.423004969001</v>
      </c>
      <c r="AH168" s="10">
        <v>2007</v>
      </c>
      <c r="AI168" s="10">
        <v>11</v>
      </c>
      <c r="AJ168" s="18">
        <v>49139.351906978998</v>
      </c>
      <c r="AL168" s="15">
        <v>2007</v>
      </c>
      <c r="AM168" s="15">
        <v>11</v>
      </c>
      <c r="AN168" s="15">
        <v>49140.175217802898</v>
      </c>
      <c r="AQ168" s="18">
        <v>2007</v>
      </c>
      <c r="AR168" s="18">
        <v>11</v>
      </c>
      <c r="AS168" s="18">
        <v>49129.295600884398</v>
      </c>
      <c r="AU168" s="10">
        <v>2007</v>
      </c>
      <c r="AV168" s="10">
        <v>11</v>
      </c>
      <c r="AW168" s="15">
        <v>49120.790769019797</v>
      </c>
      <c r="AY168" s="15">
        <v>2007</v>
      </c>
      <c r="AZ168" s="15">
        <v>11</v>
      </c>
      <c r="BA168" s="15">
        <v>49116.727327656103</v>
      </c>
      <c r="BC168" s="15">
        <v>2007</v>
      </c>
      <c r="BD168" s="15">
        <v>11</v>
      </c>
      <c r="BE168" s="15">
        <v>49112.869597261502</v>
      </c>
      <c r="BG168" s="15">
        <v>2007</v>
      </c>
      <c r="BH168" s="15">
        <v>11</v>
      </c>
      <c r="BI168" s="15">
        <v>49117.283166701898</v>
      </c>
    </row>
    <row r="169" spans="1:61" x14ac:dyDescent="0.25">
      <c r="A169" s="10">
        <v>2007</v>
      </c>
      <c r="B169" s="10">
        <v>12</v>
      </c>
      <c r="C169" s="11">
        <v>50950.975492317397</v>
      </c>
      <c r="G169" s="7">
        <v>2007</v>
      </c>
      <c r="H169" s="7">
        <v>9</v>
      </c>
      <c r="I169" s="13">
        <v>43444.577813450502</v>
      </c>
      <c r="L169" s="10">
        <v>2007</v>
      </c>
      <c r="M169" s="10">
        <v>12</v>
      </c>
      <c r="N169" s="18">
        <v>50391.873723236902</v>
      </c>
      <c r="Q169" s="15">
        <v>2007</v>
      </c>
      <c r="R169" s="15">
        <v>12</v>
      </c>
      <c r="S169" s="15">
        <v>50539.340813592797</v>
      </c>
      <c r="U169" s="15">
        <v>2007</v>
      </c>
      <c r="V169" s="15">
        <v>12</v>
      </c>
      <c r="W169" s="15">
        <v>50598.160924262302</v>
      </c>
      <c r="Z169" s="15">
        <v>2007</v>
      </c>
      <c r="AA169" s="15">
        <v>12</v>
      </c>
      <c r="AB169" s="15">
        <v>50593.220705742497</v>
      </c>
      <c r="AD169" s="18">
        <v>2007</v>
      </c>
      <c r="AE169" s="18">
        <v>12</v>
      </c>
      <c r="AF169" s="18">
        <v>50586.089782485898</v>
      </c>
      <c r="AH169" s="10">
        <v>2007</v>
      </c>
      <c r="AI169" s="10">
        <v>12</v>
      </c>
      <c r="AJ169" s="18">
        <v>50581.502622850399</v>
      </c>
      <c r="AL169" s="15">
        <v>2007</v>
      </c>
      <c r="AM169" s="15">
        <v>12</v>
      </c>
      <c r="AN169" s="15">
        <v>50582.250477203102</v>
      </c>
      <c r="AQ169" s="18">
        <v>2007</v>
      </c>
      <c r="AR169" s="18">
        <v>12</v>
      </c>
      <c r="AS169" s="18">
        <v>50602.5877858206</v>
      </c>
      <c r="AU169" s="10">
        <v>2007</v>
      </c>
      <c r="AV169" s="10">
        <v>12</v>
      </c>
      <c r="AW169" s="15">
        <v>50619.882421419403</v>
      </c>
      <c r="AY169" s="15">
        <v>2007</v>
      </c>
      <c r="AZ169" s="15">
        <v>12</v>
      </c>
      <c r="BA169" s="15">
        <v>50622.681038312301</v>
      </c>
      <c r="BC169" s="15">
        <v>2007</v>
      </c>
      <c r="BD169" s="15">
        <v>12</v>
      </c>
      <c r="BE169" s="15">
        <v>50628.943959827702</v>
      </c>
      <c r="BG169" s="15">
        <v>2007</v>
      </c>
      <c r="BH169" s="15">
        <v>12</v>
      </c>
      <c r="BI169" s="15">
        <v>50621.012743032399</v>
      </c>
    </row>
    <row r="170" spans="1:61" x14ac:dyDescent="0.25">
      <c r="A170" s="10">
        <v>2008</v>
      </c>
      <c r="B170" s="10">
        <v>1</v>
      </c>
      <c r="C170" s="11">
        <v>53505.581905495303</v>
      </c>
      <c r="G170" s="7">
        <v>2007</v>
      </c>
      <c r="H170" s="7">
        <v>10</v>
      </c>
      <c r="I170" s="13">
        <v>46299.3046176391</v>
      </c>
      <c r="L170" s="10">
        <v>2008</v>
      </c>
      <c r="M170" s="10">
        <v>1</v>
      </c>
      <c r="N170" s="18">
        <v>52962.018887235201</v>
      </c>
      <c r="Q170" s="15">
        <v>2008</v>
      </c>
      <c r="R170" s="15">
        <v>1</v>
      </c>
      <c r="S170" s="15">
        <v>52903.054267136002</v>
      </c>
      <c r="U170" s="15">
        <v>2008</v>
      </c>
      <c r="V170" s="15">
        <v>1</v>
      </c>
      <c r="W170" s="15">
        <v>52926.782948904503</v>
      </c>
      <c r="Z170" s="15">
        <v>2008</v>
      </c>
      <c r="AA170" s="15">
        <v>1</v>
      </c>
      <c r="AB170" s="15">
        <v>52938.582041024703</v>
      </c>
      <c r="AD170" s="18">
        <v>2008</v>
      </c>
      <c r="AE170" s="18">
        <v>1</v>
      </c>
      <c r="AF170" s="18">
        <v>53368.682902266402</v>
      </c>
      <c r="AH170" s="10">
        <v>2008</v>
      </c>
      <c r="AI170" s="10">
        <v>1</v>
      </c>
      <c r="AJ170" s="18">
        <v>53374.459754284297</v>
      </c>
      <c r="AL170" s="15">
        <v>2008</v>
      </c>
      <c r="AM170" s="15">
        <v>1</v>
      </c>
      <c r="AN170" s="15">
        <v>53377.640316688499</v>
      </c>
      <c r="AQ170" s="18">
        <v>2008</v>
      </c>
      <c r="AR170" s="18">
        <v>1</v>
      </c>
      <c r="AS170" s="18">
        <v>53358.5717018613</v>
      </c>
      <c r="AU170" s="10">
        <v>2008</v>
      </c>
      <c r="AV170" s="10">
        <v>1</v>
      </c>
      <c r="AW170" s="15">
        <v>53329.925074706298</v>
      </c>
      <c r="AY170" s="15">
        <v>2008</v>
      </c>
      <c r="AZ170" s="15">
        <v>1</v>
      </c>
      <c r="BA170" s="15">
        <v>53333.878496741803</v>
      </c>
      <c r="BC170" s="15">
        <v>2008</v>
      </c>
      <c r="BD170" s="15">
        <v>1</v>
      </c>
      <c r="BE170" s="15">
        <v>53326.355298451403</v>
      </c>
      <c r="BG170" s="15">
        <v>2008</v>
      </c>
      <c r="BH170" s="15">
        <v>1</v>
      </c>
      <c r="BI170" s="15">
        <v>53334.326426874402</v>
      </c>
    </row>
    <row r="171" spans="1:61" x14ac:dyDescent="0.25">
      <c r="A171" s="10">
        <v>2008</v>
      </c>
      <c r="B171" s="10">
        <v>2</v>
      </c>
      <c r="C171" s="11">
        <v>40612.273529913698</v>
      </c>
      <c r="G171" s="7">
        <v>2007</v>
      </c>
      <c r="H171" s="7">
        <v>11</v>
      </c>
      <c r="I171" s="13">
        <v>47679.373100569603</v>
      </c>
      <c r="L171" s="10">
        <v>2008</v>
      </c>
      <c r="M171" s="10">
        <v>2</v>
      </c>
      <c r="N171" s="18">
        <v>44071.380837495599</v>
      </c>
      <c r="Q171" s="15">
        <v>2008</v>
      </c>
      <c r="R171" s="15">
        <v>2</v>
      </c>
      <c r="S171" s="15">
        <v>44800.788772894703</v>
      </c>
      <c r="U171" s="15">
        <v>2008</v>
      </c>
      <c r="V171" s="15">
        <v>2</v>
      </c>
      <c r="W171" s="15">
        <v>42333.215425200899</v>
      </c>
      <c r="Z171" s="15">
        <v>2008</v>
      </c>
      <c r="AA171" s="15">
        <v>2</v>
      </c>
      <c r="AB171" s="15">
        <v>42249.9536386092</v>
      </c>
      <c r="AD171" s="18">
        <v>2008</v>
      </c>
      <c r="AE171" s="18">
        <v>2</v>
      </c>
      <c r="AF171" s="18">
        <v>41904.807434781003</v>
      </c>
      <c r="AH171" s="10">
        <v>2008</v>
      </c>
      <c r="AI171" s="10">
        <v>2</v>
      </c>
      <c r="AJ171" s="18">
        <v>41898.556875766299</v>
      </c>
      <c r="AL171" s="15">
        <v>2008</v>
      </c>
      <c r="AM171" s="15">
        <v>2</v>
      </c>
      <c r="AN171" s="15">
        <v>41859.295144920303</v>
      </c>
      <c r="AQ171" s="18">
        <v>2008</v>
      </c>
      <c r="AR171" s="18">
        <v>2</v>
      </c>
      <c r="AS171" s="18">
        <v>41823.292666851201</v>
      </c>
      <c r="AU171" s="10">
        <v>2008</v>
      </c>
      <c r="AV171" s="10">
        <v>2</v>
      </c>
      <c r="AW171" s="15">
        <v>41684.613796946898</v>
      </c>
      <c r="AY171" s="15">
        <v>2008</v>
      </c>
      <c r="AZ171" s="15">
        <v>2</v>
      </c>
      <c r="BA171" s="15">
        <v>41842.723924365499</v>
      </c>
      <c r="BC171" s="15">
        <v>2008</v>
      </c>
      <c r="BD171" s="15">
        <v>2</v>
      </c>
      <c r="BE171" s="15">
        <v>41847.220030668097</v>
      </c>
      <c r="BG171" s="15">
        <v>2008</v>
      </c>
      <c r="BH171" s="15">
        <v>2</v>
      </c>
      <c r="BI171" s="15">
        <v>41856.2055342003</v>
      </c>
    </row>
    <row r="172" spans="1:61" x14ac:dyDescent="0.25">
      <c r="A172" s="10">
        <v>2008</v>
      </c>
      <c r="B172" s="10">
        <v>3</v>
      </c>
      <c r="C172" s="11">
        <v>48211.410179090599</v>
      </c>
      <c r="G172" s="7">
        <v>2007</v>
      </c>
      <c r="H172" s="7">
        <v>12</v>
      </c>
      <c r="I172" s="13">
        <v>51022.687044571401</v>
      </c>
      <c r="L172" s="10">
        <v>2008</v>
      </c>
      <c r="M172" s="10">
        <v>3</v>
      </c>
      <c r="N172" s="18">
        <v>47734.636379271498</v>
      </c>
      <c r="Q172" s="15">
        <v>2008</v>
      </c>
      <c r="R172" s="15">
        <v>3</v>
      </c>
      <c r="S172" s="15">
        <v>47741.644905074798</v>
      </c>
      <c r="U172" s="15">
        <v>2008</v>
      </c>
      <c r="V172" s="15">
        <v>3</v>
      </c>
      <c r="W172" s="15">
        <v>47975.3413355417</v>
      </c>
      <c r="Z172" s="15">
        <v>2008</v>
      </c>
      <c r="AA172" s="15">
        <v>3</v>
      </c>
      <c r="AB172" s="15">
        <v>47963.0088868354</v>
      </c>
      <c r="AD172" s="18">
        <v>2008</v>
      </c>
      <c r="AE172" s="18">
        <v>3</v>
      </c>
      <c r="AF172" s="18">
        <v>47967.245779495403</v>
      </c>
      <c r="AH172" s="10">
        <v>2008</v>
      </c>
      <c r="AI172" s="10">
        <v>3</v>
      </c>
      <c r="AJ172" s="18">
        <v>47959.2292732282</v>
      </c>
      <c r="AL172" s="15">
        <v>2008</v>
      </c>
      <c r="AM172" s="15">
        <v>3</v>
      </c>
      <c r="AN172" s="15">
        <v>47958.4930453505</v>
      </c>
      <c r="AQ172" s="18">
        <v>2008</v>
      </c>
      <c r="AR172" s="18">
        <v>3</v>
      </c>
      <c r="AS172" s="18">
        <v>47990.395198049999</v>
      </c>
      <c r="AU172" s="10">
        <v>2008</v>
      </c>
      <c r="AV172" s="10">
        <v>3</v>
      </c>
      <c r="AW172" s="15">
        <v>48042.360065392801</v>
      </c>
      <c r="AY172" s="15">
        <v>2008</v>
      </c>
      <c r="AZ172" s="15">
        <v>3</v>
      </c>
      <c r="BA172" s="15">
        <v>48024.444289874897</v>
      </c>
      <c r="BC172" s="15">
        <v>2008</v>
      </c>
      <c r="BD172" s="15">
        <v>3</v>
      </c>
      <c r="BE172" s="15">
        <v>48034.963966035102</v>
      </c>
      <c r="BG172" s="15">
        <v>2008</v>
      </c>
      <c r="BH172" s="15">
        <v>3</v>
      </c>
      <c r="BI172" s="15">
        <v>48022.3946573598</v>
      </c>
    </row>
    <row r="173" spans="1:61" x14ac:dyDescent="0.25">
      <c r="A173" s="10">
        <v>2008</v>
      </c>
      <c r="B173" s="10">
        <v>4</v>
      </c>
      <c r="C173" s="11">
        <v>50698.816304788597</v>
      </c>
      <c r="G173" s="7">
        <v>2008</v>
      </c>
      <c r="H173" s="7">
        <v>1</v>
      </c>
      <c r="I173" s="13">
        <v>52912.056378453301</v>
      </c>
      <c r="L173" s="10">
        <v>2008</v>
      </c>
      <c r="M173" s="10">
        <v>4</v>
      </c>
      <c r="N173" s="18">
        <v>50337.499661403599</v>
      </c>
      <c r="Q173" s="15">
        <v>2008</v>
      </c>
      <c r="R173" s="15">
        <v>4</v>
      </c>
      <c r="S173" s="15">
        <v>50312.981363324499</v>
      </c>
      <c r="U173" s="15">
        <v>2008</v>
      </c>
      <c r="V173" s="15">
        <v>4</v>
      </c>
      <c r="W173" s="15">
        <v>50346.058401382601</v>
      </c>
      <c r="Z173" s="15">
        <v>2008</v>
      </c>
      <c r="AA173" s="15">
        <v>4</v>
      </c>
      <c r="AB173" s="15">
        <v>50352.999289637301</v>
      </c>
      <c r="AD173" s="18">
        <v>2008</v>
      </c>
      <c r="AE173" s="18">
        <v>4</v>
      </c>
      <c r="AF173" s="18">
        <v>50318.787426397801</v>
      </c>
      <c r="AH173" s="10">
        <v>2008</v>
      </c>
      <c r="AI173" s="10">
        <v>4</v>
      </c>
      <c r="AJ173" s="18">
        <v>50322.275504827601</v>
      </c>
      <c r="AL173" s="15">
        <v>2008</v>
      </c>
      <c r="AM173" s="15">
        <v>4</v>
      </c>
      <c r="AN173" s="15">
        <v>50323.271496506597</v>
      </c>
      <c r="AQ173" s="18">
        <v>2008</v>
      </c>
      <c r="AR173" s="18">
        <v>4</v>
      </c>
      <c r="AS173" s="18">
        <v>50310.456682198797</v>
      </c>
      <c r="AU173" s="10">
        <v>2008</v>
      </c>
      <c r="AV173" s="10">
        <v>4</v>
      </c>
      <c r="AW173" s="15">
        <v>50296.954731585902</v>
      </c>
      <c r="AY173" s="15">
        <v>2008</v>
      </c>
      <c r="AZ173" s="15">
        <v>4</v>
      </c>
      <c r="BA173" s="15">
        <v>50295.688447864399</v>
      </c>
      <c r="BC173" s="15">
        <v>2008</v>
      </c>
      <c r="BD173" s="15">
        <v>4</v>
      </c>
      <c r="BE173" s="15">
        <v>50291.1516699516</v>
      </c>
      <c r="BG173" s="15">
        <v>2008</v>
      </c>
      <c r="BH173" s="15">
        <v>4</v>
      </c>
      <c r="BI173" s="15">
        <v>50296.294814748901</v>
      </c>
    </row>
    <row r="174" spans="1:61" x14ac:dyDescent="0.25">
      <c r="A174" s="10">
        <v>2008</v>
      </c>
      <c r="B174" s="10">
        <v>5</v>
      </c>
      <c r="C174" s="11">
        <v>50814.895853781301</v>
      </c>
      <c r="G174" s="7">
        <v>2008</v>
      </c>
      <c r="H174" s="7">
        <v>2</v>
      </c>
      <c r="I174" s="13">
        <v>40929.236308359599</v>
      </c>
      <c r="L174" s="10">
        <v>2008</v>
      </c>
      <c r="M174" s="10">
        <v>5</v>
      </c>
      <c r="N174" s="18">
        <v>50518.896564590897</v>
      </c>
      <c r="Q174" s="15">
        <v>2008</v>
      </c>
      <c r="R174" s="15">
        <v>5</v>
      </c>
      <c r="S174" s="15">
        <v>50515.630017456497</v>
      </c>
      <c r="U174" s="15">
        <v>2008</v>
      </c>
      <c r="V174" s="15">
        <v>5</v>
      </c>
      <c r="W174" s="15">
        <v>50570.532191076702</v>
      </c>
      <c r="Z174" s="15">
        <v>2008</v>
      </c>
      <c r="AA174" s="15">
        <v>5</v>
      </c>
      <c r="AB174" s="15">
        <v>50568.7115108051</v>
      </c>
      <c r="AD174" s="18">
        <v>2008</v>
      </c>
      <c r="AE174" s="18">
        <v>5</v>
      </c>
      <c r="AF174" s="18">
        <v>50532.9385298665</v>
      </c>
      <c r="AH174" s="10">
        <v>2008</v>
      </c>
      <c r="AI174" s="10">
        <v>5</v>
      </c>
      <c r="AJ174" s="18">
        <v>50532.515186695302</v>
      </c>
      <c r="AL174" s="15">
        <v>2008</v>
      </c>
      <c r="AM174" s="15">
        <v>5</v>
      </c>
      <c r="AN174" s="15">
        <v>50532.214192284802</v>
      </c>
      <c r="AQ174" s="18">
        <v>2008</v>
      </c>
      <c r="AR174" s="18">
        <v>5</v>
      </c>
      <c r="AS174" s="18">
        <v>50533.621174831896</v>
      </c>
      <c r="AU174" s="10">
        <v>2008</v>
      </c>
      <c r="AV174" s="10">
        <v>5</v>
      </c>
      <c r="AW174" s="15">
        <v>50539.8603760322</v>
      </c>
      <c r="AY174" s="15">
        <v>2008</v>
      </c>
      <c r="AZ174" s="15">
        <v>5</v>
      </c>
      <c r="BA174" s="15">
        <v>50535.647097324501</v>
      </c>
      <c r="BC174" s="15">
        <v>2008</v>
      </c>
      <c r="BD174" s="15">
        <v>5</v>
      </c>
      <c r="BE174" s="15">
        <v>50536.258603975097</v>
      </c>
      <c r="BG174" s="15">
        <v>2008</v>
      </c>
      <c r="BH174" s="15">
        <v>5</v>
      </c>
      <c r="BI174" s="15">
        <v>50535.632160243302</v>
      </c>
    </row>
    <row r="175" spans="1:61" x14ac:dyDescent="0.25">
      <c r="A175" s="10">
        <v>2008</v>
      </c>
      <c r="B175" s="10">
        <v>6</v>
      </c>
      <c r="C175" s="11">
        <v>46237.770553632603</v>
      </c>
      <c r="G175" s="7">
        <v>2008</v>
      </c>
      <c r="H175" s="7">
        <v>3</v>
      </c>
      <c r="I175" s="13">
        <v>47877.067938263899</v>
      </c>
      <c r="L175" s="10">
        <v>2008</v>
      </c>
      <c r="M175" s="10">
        <v>6</v>
      </c>
      <c r="N175" s="18">
        <v>45908.078611250399</v>
      </c>
      <c r="Q175" s="15">
        <v>2008</v>
      </c>
      <c r="R175" s="15">
        <v>6</v>
      </c>
      <c r="S175" s="15">
        <v>45874.917079343897</v>
      </c>
      <c r="U175" s="15">
        <v>2008</v>
      </c>
      <c r="V175" s="15">
        <v>6</v>
      </c>
      <c r="W175" s="15">
        <v>46105.122478904297</v>
      </c>
      <c r="Z175" s="15">
        <v>2008</v>
      </c>
      <c r="AA175" s="15">
        <v>6</v>
      </c>
      <c r="AB175" s="15">
        <v>46095.896190825602</v>
      </c>
      <c r="AD175" s="18">
        <v>2008</v>
      </c>
      <c r="AE175" s="18">
        <v>6</v>
      </c>
      <c r="AF175" s="18">
        <v>46050.108770786799</v>
      </c>
      <c r="AH175" s="10">
        <v>2008</v>
      </c>
      <c r="AI175" s="10">
        <v>6</v>
      </c>
      <c r="AJ175" s="18">
        <v>46044.227356935</v>
      </c>
      <c r="AL175" s="15">
        <v>2008</v>
      </c>
      <c r="AM175" s="15">
        <v>6</v>
      </c>
      <c r="AN175" s="15">
        <v>46044.511130276704</v>
      </c>
      <c r="AQ175" s="18">
        <v>2008</v>
      </c>
      <c r="AR175" s="18">
        <v>6</v>
      </c>
      <c r="AS175" s="18">
        <v>46069.402996983903</v>
      </c>
      <c r="AU175" s="10">
        <v>2008</v>
      </c>
      <c r="AV175" s="10">
        <v>6</v>
      </c>
      <c r="AW175" s="15">
        <v>46214.2891175654</v>
      </c>
      <c r="AY175" s="15">
        <v>2008</v>
      </c>
      <c r="AZ175" s="15">
        <v>6</v>
      </c>
      <c r="BA175" s="15">
        <v>46095.128756167003</v>
      </c>
      <c r="BC175" s="15">
        <v>2008</v>
      </c>
      <c r="BD175" s="15">
        <v>6</v>
      </c>
      <c r="BE175" s="15">
        <v>46103.113481880202</v>
      </c>
      <c r="BG175" s="15">
        <v>2008</v>
      </c>
      <c r="BH175" s="15">
        <v>6</v>
      </c>
      <c r="BI175" s="15">
        <v>46093.333024672502</v>
      </c>
    </row>
    <row r="176" spans="1:61" x14ac:dyDescent="0.25">
      <c r="A176" s="10">
        <v>2008</v>
      </c>
      <c r="B176" s="10">
        <v>7</v>
      </c>
      <c r="C176" s="11">
        <v>55276.176671528701</v>
      </c>
      <c r="G176" s="7">
        <v>2008</v>
      </c>
      <c r="H176" s="7">
        <v>4</v>
      </c>
      <c r="I176" s="13">
        <v>50425.773051823897</v>
      </c>
      <c r="L176" s="10">
        <v>2008</v>
      </c>
      <c r="M176" s="10">
        <v>7</v>
      </c>
      <c r="N176" s="18">
        <v>54933.133556037901</v>
      </c>
      <c r="Q176" s="15">
        <v>2008</v>
      </c>
      <c r="R176" s="15">
        <v>7</v>
      </c>
      <c r="S176" s="15">
        <v>54906.139261381002</v>
      </c>
      <c r="U176" s="15">
        <v>2008</v>
      </c>
      <c r="V176" s="15">
        <v>7</v>
      </c>
      <c r="W176" s="15">
        <v>54842.201968159199</v>
      </c>
      <c r="Z176" s="15">
        <v>2008</v>
      </c>
      <c r="AA176" s="15">
        <v>7</v>
      </c>
      <c r="AB176" s="15">
        <v>54848.206293524599</v>
      </c>
      <c r="AD176" s="18">
        <v>2008</v>
      </c>
      <c r="AE176" s="18">
        <v>7</v>
      </c>
      <c r="AF176" s="18">
        <v>54810.111466840099</v>
      </c>
      <c r="AH176" s="10">
        <v>2008</v>
      </c>
      <c r="AI176" s="10">
        <v>7</v>
      </c>
      <c r="AJ176" s="18">
        <v>54815.213546017803</v>
      </c>
      <c r="AL176" s="15">
        <v>2008</v>
      </c>
      <c r="AM176" s="15">
        <v>7</v>
      </c>
      <c r="AN176" s="15">
        <v>54815.441991098298</v>
      </c>
      <c r="AQ176" s="18">
        <v>2008</v>
      </c>
      <c r="AR176" s="18">
        <v>7</v>
      </c>
      <c r="AS176" s="18">
        <v>54794.892893470897</v>
      </c>
      <c r="AU176" s="10">
        <v>2008</v>
      </c>
      <c r="AV176" s="10">
        <v>7</v>
      </c>
      <c r="AW176" s="15">
        <v>54765.817081192501</v>
      </c>
      <c r="AY176" s="15">
        <v>2008</v>
      </c>
      <c r="AZ176" s="15">
        <v>7</v>
      </c>
      <c r="BA176" s="15">
        <v>54773.458503515903</v>
      </c>
      <c r="BC176" s="15">
        <v>2008</v>
      </c>
      <c r="BD176" s="15">
        <v>7</v>
      </c>
      <c r="BE176" s="15">
        <v>54766.822305277601</v>
      </c>
      <c r="BG176" s="15">
        <v>2008</v>
      </c>
      <c r="BH176" s="15">
        <v>7</v>
      </c>
      <c r="BI176" s="15">
        <v>54774.868077413499</v>
      </c>
    </row>
    <row r="177" spans="1:61" x14ac:dyDescent="0.25">
      <c r="A177" s="10">
        <v>2008</v>
      </c>
      <c r="B177" s="10">
        <v>8</v>
      </c>
      <c r="C177" s="11">
        <v>49545.047309765701</v>
      </c>
      <c r="G177" s="7">
        <v>2008</v>
      </c>
      <c r="H177" s="7">
        <v>5</v>
      </c>
      <c r="I177" s="13">
        <v>50046.659005664798</v>
      </c>
      <c r="L177" s="10">
        <v>2008</v>
      </c>
      <c r="M177" s="10">
        <v>8</v>
      </c>
      <c r="N177" s="18">
        <v>49180.855535174298</v>
      </c>
      <c r="Q177" s="15">
        <v>2008</v>
      </c>
      <c r="R177" s="15">
        <v>8</v>
      </c>
      <c r="S177" s="15">
        <v>49199.586333578001</v>
      </c>
      <c r="U177" s="15">
        <v>2008</v>
      </c>
      <c r="V177" s="15">
        <v>8</v>
      </c>
      <c r="W177" s="15">
        <v>49322.271271544203</v>
      </c>
      <c r="Z177" s="15">
        <v>2008</v>
      </c>
      <c r="AA177" s="15">
        <v>8</v>
      </c>
      <c r="AB177" s="15">
        <v>49305.6295996849</v>
      </c>
      <c r="AD177" s="18">
        <v>2008</v>
      </c>
      <c r="AE177" s="18">
        <v>8</v>
      </c>
      <c r="AF177" s="18">
        <v>49307.491707815403</v>
      </c>
      <c r="AH177" s="10">
        <v>2008</v>
      </c>
      <c r="AI177" s="10">
        <v>8</v>
      </c>
      <c r="AJ177" s="18">
        <v>49300.167322636597</v>
      </c>
      <c r="AL177" s="15">
        <v>2008</v>
      </c>
      <c r="AM177" s="15">
        <v>8</v>
      </c>
      <c r="AN177" s="15">
        <v>49297.996483003102</v>
      </c>
      <c r="AQ177" s="18">
        <v>2008</v>
      </c>
      <c r="AR177" s="18">
        <v>8</v>
      </c>
      <c r="AS177" s="18">
        <v>49324.969159244603</v>
      </c>
      <c r="AU177" s="10">
        <v>2008</v>
      </c>
      <c r="AV177" s="10">
        <v>8</v>
      </c>
      <c r="AW177" s="15">
        <v>49368.4436623109</v>
      </c>
      <c r="AY177" s="15">
        <v>2008</v>
      </c>
      <c r="AZ177" s="15">
        <v>8</v>
      </c>
      <c r="BA177" s="15">
        <v>49356.329023312901</v>
      </c>
      <c r="BC177" s="15">
        <v>2008</v>
      </c>
      <c r="BD177" s="15">
        <v>8</v>
      </c>
      <c r="BE177" s="15">
        <v>49365.953209528197</v>
      </c>
      <c r="BG177" s="15">
        <v>2008</v>
      </c>
      <c r="BH177" s="15">
        <v>8</v>
      </c>
      <c r="BI177" s="15">
        <v>49355.094891286601</v>
      </c>
    </row>
    <row r="178" spans="1:61" x14ac:dyDescent="0.25">
      <c r="A178" s="10">
        <v>2008</v>
      </c>
      <c r="B178" s="10">
        <v>9</v>
      </c>
      <c r="C178" s="11">
        <v>50464.967080237802</v>
      </c>
      <c r="G178" s="7">
        <v>2008</v>
      </c>
      <c r="H178" s="7">
        <v>6</v>
      </c>
      <c r="I178" s="13">
        <v>46427.0615668233</v>
      </c>
      <c r="L178" s="10">
        <v>2008</v>
      </c>
      <c r="M178" s="10">
        <v>9</v>
      </c>
      <c r="N178" s="18">
        <v>50187.490163370501</v>
      </c>
      <c r="Q178" s="15">
        <v>2008</v>
      </c>
      <c r="R178" s="15">
        <v>9</v>
      </c>
      <c r="S178" s="15">
        <v>50168.405957025898</v>
      </c>
      <c r="U178" s="15">
        <v>2008</v>
      </c>
      <c r="V178" s="15">
        <v>9</v>
      </c>
      <c r="W178" s="15">
        <v>50148.269017060004</v>
      </c>
      <c r="Z178" s="15">
        <v>2008</v>
      </c>
      <c r="AA178" s="15">
        <v>9</v>
      </c>
      <c r="AB178" s="15">
        <v>50150.447199501999</v>
      </c>
      <c r="AD178" s="18">
        <v>2008</v>
      </c>
      <c r="AE178" s="18">
        <v>9</v>
      </c>
      <c r="AF178" s="18">
        <v>50135.154705583802</v>
      </c>
      <c r="AH178" s="10">
        <v>2008</v>
      </c>
      <c r="AI178" s="10">
        <v>9</v>
      </c>
      <c r="AJ178" s="18">
        <v>50138.067881836301</v>
      </c>
      <c r="AL178" s="15">
        <v>2008</v>
      </c>
      <c r="AM178" s="15">
        <v>9</v>
      </c>
      <c r="AN178" s="15">
        <v>50138.0166630026</v>
      </c>
      <c r="AQ178" s="18">
        <v>2008</v>
      </c>
      <c r="AR178" s="18">
        <v>9</v>
      </c>
      <c r="AS178" s="18">
        <v>50125.911876165497</v>
      </c>
      <c r="AU178" s="10">
        <v>2008</v>
      </c>
      <c r="AV178" s="10">
        <v>9</v>
      </c>
      <c r="AW178" s="15">
        <v>50109.547180395399</v>
      </c>
      <c r="AY178" s="15">
        <v>2008</v>
      </c>
      <c r="AZ178" s="15">
        <v>9</v>
      </c>
      <c r="BA178" s="15">
        <v>50113.507919229298</v>
      </c>
      <c r="BC178" s="15">
        <v>2008</v>
      </c>
      <c r="BD178" s="15">
        <v>9</v>
      </c>
      <c r="BE178" s="15">
        <v>50109.661987069398</v>
      </c>
      <c r="BG178" s="15">
        <v>2008</v>
      </c>
      <c r="BH178" s="15">
        <v>9</v>
      </c>
      <c r="BI178" s="15">
        <v>50114.430875760598</v>
      </c>
    </row>
    <row r="179" spans="1:61" x14ac:dyDescent="0.25">
      <c r="A179" s="10">
        <v>2008</v>
      </c>
      <c r="B179" s="10">
        <v>10</v>
      </c>
      <c r="C179" s="11">
        <v>46970.957741846702</v>
      </c>
      <c r="G179" s="7">
        <v>2008</v>
      </c>
      <c r="H179" s="7">
        <v>7</v>
      </c>
      <c r="I179" s="13">
        <v>56623.167444282903</v>
      </c>
      <c r="L179" s="10">
        <v>2008</v>
      </c>
      <c r="M179" s="10">
        <v>10</v>
      </c>
      <c r="N179" s="18">
        <v>46703.090236812102</v>
      </c>
      <c r="Q179" s="15">
        <v>2008</v>
      </c>
      <c r="R179" s="15">
        <v>10</v>
      </c>
      <c r="S179" s="15">
        <v>46672.567264984602</v>
      </c>
      <c r="U179" s="15">
        <v>2008</v>
      </c>
      <c r="V179" s="15">
        <v>10</v>
      </c>
      <c r="W179" s="15">
        <v>46636.425654033803</v>
      </c>
      <c r="Z179" s="15">
        <v>2008</v>
      </c>
      <c r="AA179" s="15">
        <v>10</v>
      </c>
      <c r="AB179" s="15">
        <v>46643.361902690398</v>
      </c>
      <c r="AD179" s="18">
        <v>2008</v>
      </c>
      <c r="AE179" s="18">
        <v>10</v>
      </c>
      <c r="AF179" s="18">
        <v>46632.3280570426</v>
      </c>
      <c r="AH179" s="10">
        <v>2008</v>
      </c>
      <c r="AI179" s="10">
        <v>10</v>
      </c>
      <c r="AJ179" s="18">
        <v>46637.352858239203</v>
      </c>
      <c r="AL179" s="15">
        <v>2008</v>
      </c>
      <c r="AM179" s="15">
        <v>10</v>
      </c>
      <c r="AN179" s="15">
        <v>46637.954207461502</v>
      </c>
      <c r="AQ179" s="18">
        <v>2008</v>
      </c>
      <c r="AR179" s="18">
        <v>10</v>
      </c>
      <c r="AS179" s="18">
        <v>46618.044471858499</v>
      </c>
      <c r="AU179" s="10">
        <v>2008</v>
      </c>
      <c r="AV179" s="10">
        <v>10</v>
      </c>
      <c r="AW179" s="15">
        <v>46590.839250792298</v>
      </c>
      <c r="AY179" s="15">
        <v>2008</v>
      </c>
      <c r="AZ179" s="15">
        <v>10</v>
      </c>
      <c r="BA179" s="15">
        <v>46596.450580373297</v>
      </c>
      <c r="BC179" s="15">
        <v>2008</v>
      </c>
      <c r="BD179" s="15">
        <v>10</v>
      </c>
      <c r="BE179" s="15">
        <v>46589.786082868603</v>
      </c>
      <c r="BG179" s="15">
        <v>2008</v>
      </c>
      <c r="BH179" s="15">
        <v>10</v>
      </c>
      <c r="BI179" s="15">
        <v>46597.731976015297</v>
      </c>
    </row>
    <row r="180" spans="1:61" x14ac:dyDescent="0.25">
      <c r="A180" s="10">
        <v>2008</v>
      </c>
      <c r="B180" s="10">
        <v>11</v>
      </c>
      <c r="C180" s="11">
        <v>35514.678926667497</v>
      </c>
      <c r="G180" s="7">
        <v>2008</v>
      </c>
      <c r="H180" s="7">
        <v>8</v>
      </c>
      <c r="I180" s="13">
        <v>50098.437052659901</v>
      </c>
      <c r="L180" s="10">
        <v>2008</v>
      </c>
      <c r="M180" s="10">
        <v>11</v>
      </c>
      <c r="N180" s="18">
        <v>35109.152863654097</v>
      </c>
      <c r="Q180" s="15">
        <v>2008</v>
      </c>
      <c r="R180" s="15">
        <v>11</v>
      </c>
      <c r="S180" s="15">
        <v>35118.698469515897</v>
      </c>
      <c r="U180" s="15">
        <v>2008</v>
      </c>
      <c r="V180" s="15">
        <v>11</v>
      </c>
      <c r="W180" s="15">
        <v>35327.276842165898</v>
      </c>
      <c r="Z180" s="15">
        <v>2008</v>
      </c>
      <c r="AA180" s="15">
        <v>11</v>
      </c>
      <c r="AB180" s="15">
        <v>35309.701872009697</v>
      </c>
      <c r="AD180" s="18">
        <v>2008</v>
      </c>
      <c r="AE180" s="18">
        <v>11</v>
      </c>
      <c r="AF180" s="18">
        <v>35339.604639035802</v>
      </c>
      <c r="AH180" s="10">
        <v>2008</v>
      </c>
      <c r="AI180" s="10">
        <v>11</v>
      </c>
      <c r="AJ180" s="18">
        <v>35330.102019225502</v>
      </c>
      <c r="AL180" s="15">
        <v>2008</v>
      </c>
      <c r="AM180" s="15">
        <v>11</v>
      </c>
      <c r="AN180" s="15">
        <v>35328.3354188507</v>
      </c>
      <c r="AQ180" s="18">
        <v>2008</v>
      </c>
      <c r="AR180" s="18">
        <v>11</v>
      </c>
      <c r="AS180" s="18">
        <v>35364.659388180997</v>
      </c>
      <c r="AU180" s="10">
        <v>2008</v>
      </c>
      <c r="AV180" s="10">
        <v>11</v>
      </c>
      <c r="AW180" s="15">
        <v>35424.800385876202</v>
      </c>
      <c r="AY180" s="15">
        <v>2008</v>
      </c>
      <c r="AZ180" s="15">
        <v>11</v>
      </c>
      <c r="BA180" s="15">
        <v>35404.774644261102</v>
      </c>
      <c r="BC180" s="15">
        <v>2008</v>
      </c>
      <c r="BD180" s="15">
        <v>11</v>
      </c>
      <c r="BE180" s="15">
        <v>35417.134001976701</v>
      </c>
      <c r="BG180" s="15">
        <v>2008</v>
      </c>
      <c r="BH180" s="15">
        <v>11</v>
      </c>
      <c r="BI180" s="15">
        <v>35402.752369458802</v>
      </c>
    </row>
    <row r="181" spans="1:61" x14ac:dyDescent="0.25">
      <c r="A181" s="10">
        <v>2008</v>
      </c>
      <c r="B181" s="10">
        <v>12</v>
      </c>
      <c r="C181" s="11">
        <v>27551.7230642207</v>
      </c>
      <c r="G181" s="7">
        <v>2008</v>
      </c>
      <c r="H181" s="7">
        <v>9</v>
      </c>
      <c r="I181" s="13">
        <v>51177.098932098597</v>
      </c>
      <c r="L181" s="10">
        <v>2008</v>
      </c>
      <c r="M181" s="10">
        <v>12</v>
      </c>
      <c r="N181" s="18">
        <v>27144.277450505499</v>
      </c>
      <c r="Q181" s="15">
        <v>2008</v>
      </c>
      <c r="R181" s="15">
        <v>12</v>
      </c>
      <c r="S181" s="15">
        <v>27316.331559339698</v>
      </c>
      <c r="U181" s="15">
        <v>2008</v>
      </c>
      <c r="V181" s="15">
        <v>12</v>
      </c>
      <c r="W181" s="15">
        <v>27149.992093991699</v>
      </c>
      <c r="Z181" s="15">
        <v>2008</v>
      </c>
      <c r="AA181" s="15">
        <v>12</v>
      </c>
      <c r="AB181" s="15">
        <v>27170.143313027002</v>
      </c>
      <c r="AD181" s="18">
        <v>2008</v>
      </c>
      <c r="AE181" s="18">
        <v>12</v>
      </c>
      <c r="AF181" s="18">
        <v>27159.466040266499</v>
      </c>
      <c r="AH181" s="10">
        <v>2008</v>
      </c>
      <c r="AI181" s="10">
        <v>12</v>
      </c>
      <c r="AJ181" s="18">
        <v>27167.573399306901</v>
      </c>
      <c r="AL181" s="15">
        <v>2008</v>
      </c>
      <c r="AM181" s="15">
        <v>12</v>
      </c>
      <c r="AN181" s="15">
        <v>27171.726563402099</v>
      </c>
      <c r="AQ181" s="18">
        <v>2008</v>
      </c>
      <c r="AR181" s="18">
        <v>12</v>
      </c>
      <c r="AS181" s="18">
        <v>27144.7702849909</v>
      </c>
      <c r="AU181" s="10">
        <v>2008</v>
      </c>
      <c r="AV181" s="10">
        <v>12</v>
      </c>
      <c r="AW181" s="15">
        <v>27081.7485726663</v>
      </c>
      <c r="AY181" s="15">
        <v>2008</v>
      </c>
      <c r="AZ181" s="15">
        <v>12</v>
      </c>
      <c r="BA181" s="15">
        <v>27110.604883172899</v>
      </c>
      <c r="BC181" s="15">
        <v>2008</v>
      </c>
      <c r="BD181" s="15">
        <v>12</v>
      </c>
      <c r="BE181" s="15">
        <v>27100.207720648301</v>
      </c>
      <c r="BG181" s="15">
        <v>2008</v>
      </c>
      <c r="BH181" s="15">
        <v>12</v>
      </c>
      <c r="BI181" s="15">
        <v>27111.307552717401</v>
      </c>
    </row>
    <row r="182" spans="1:61" x14ac:dyDescent="0.25">
      <c r="A182" s="10">
        <v>2009</v>
      </c>
      <c r="B182" s="10">
        <v>1</v>
      </c>
      <c r="C182" s="11">
        <v>35087.917300316003</v>
      </c>
      <c r="G182" s="7">
        <v>2008</v>
      </c>
      <c r="H182" s="7">
        <v>10</v>
      </c>
      <c r="I182" s="13">
        <v>47954.324003214497</v>
      </c>
      <c r="L182" s="10">
        <v>2009</v>
      </c>
      <c r="M182" s="10">
        <v>1</v>
      </c>
      <c r="N182" s="18">
        <v>34624.750310463503</v>
      </c>
      <c r="Q182" s="15">
        <v>2009</v>
      </c>
      <c r="R182" s="15">
        <v>1</v>
      </c>
      <c r="S182" s="15">
        <v>34576.655038577599</v>
      </c>
      <c r="U182" s="15">
        <v>2009</v>
      </c>
      <c r="V182" s="15">
        <v>1</v>
      </c>
      <c r="W182" s="15">
        <v>34693.155726796002</v>
      </c>
      <c r="Z182" s="15">
        <v>2009</v>
      </c>
      <c r="AA182" s="15">
        <v>1</v>
      </c>
      <c r="AB182" s="15">
        <v>34696.887741867104</v>
      </c>
      <c r="AD182" s="18">
        <v>2009</v>
      </c>
      <c r="AE182" s="18">
        <v>1</v>
      </c>
      <c r="AF182" s="18">
        <v>34919.550066082797</v>
      </c>
      <c r="AH182" s="10">
        <v>2009</v>
      </c>
      <c r="AI182" s="10">
        <v>1</v>
      </c>
      <c r="AJ182" s="18">
        <v>34920.042249327598</v>
      </c>
      <c r="AL182" s="15">
        <v>2009</v>
      </c>
      <c r="AM182" s="15">
        <v>1</v>
      </c>
      <c r="AN182" s="15">
        <v>34921.601376307997</v>
      </c>
      <c r="AQ182" s="18">
        <v>2009</v>
      </c>
      <c r="AR182" s="18">
        <v>1</v>
      </c>
      <c r="AS182" s="18">
        <v>34921.645272478898</v>
      </c>
      <c r="AU182" s="10">
        <v>2009</v>
      </c>
      <c r="AV182" s="10">
        <v>1</v>
      </c>
      <c r="AW182" s="15">
        <v>34922.322443505996</v>
      </c>
      <c r="AY182" s="15">
        <v>2009</v>
      </c>
      <c r="AZ182" s="15">
        <v>1</v>
      </c>
      <c r="BA182" s="15">
        <v>34918.908700202599</v>
      </c>
      <c r="BC182" s="15">
        <v>2009</v>
      </c>
      <c r="BD182" s="15">
        <v>1</v>
      </c>
      <c r="BE182" s="15">
        <v>34918.129383556901</v>
      </c>
      <c r="BG182" s="15">
        <v>2009</v>
      </c>
      <c r="BH182" s="15">
        <v>1</v>
      </c>
      <c r="BI182" s="15">
        <v>34918.446650421101</v>
      </c>
    </row>
    <row r="183" spans="1:61" x14ac:dyDescent="0.25">
      <c r="A183" s="10">
        <v>2009</v>
      </c>
      <c r="B183" s="10">
        <v>2</v>
      </c>
      <c r="C183" s="11">
        <v>24289.0472773029</v>
      </c>
      <c r="G183" s="7">
        <v>2008</v>
      </c>
      <c r="H183" s="7">
        <v>11</v>
      </c>
      <c r="I183" s="13">
        <v>33716.408006775499</v>
      </c>
      <c r="L183" s="10">
        <v>2009</v>
      </c>
      <c r="M183" s="10">
        <v>2</v>
      </c>
      <c r="N183" s="18">
        <v>28349.323163655601</v>
      </c>
      <c r="Q183" s="15">
        <v>2009</v>
      </c>
      <c r="R183" s="15">
        <v>2</v>
      </c>
      <c r="S183" s="15">
        <v>28137.9218610891</v>
      </c>
      <c r="U183" s="15">
        <v>2009</v>
      </c>
      <c r="V183" s="15">
        <v>2</v>
      </c>
      <c r="W183" s="15">
        <v>28041.375444175999</v>
      </c>
      <c r="Z183" s="15">
        <v>2009</v>
      </c>
      <c r="AA183" s="15">
        <v>2</v>
      </c>
      <c r="AB183" s="15">
        <v>28077.2181026777</v>
      </c>
      <c r="AD183" s="18">
        <v>2009</v>
      </c>
      <c r="AE183" s="18">
        <v>2</v>
      </c>
      <c r="AF183" s="18">
        <v>28006.6729626376</v>
      </c>
      <c r="AH183" s="10">
        <v>2009</v>
      </c>
      <c r="AI183" s="10">
        <v>2</v>
      </c>
      <c r="AJ183" s="18">
        <v>28012.030315927001</v>
      </c>
      <c r="AL183" s="15">
        <v>2009</v>
      </c>
      <c r="AM183" s="15">
        <v>2</v>
      </c>
      <c r="AN183" s="15">
        <v>28020.281534351299</v>
      </c>
      <c r="AQ183" s="18">
        <v>2009</v>
      </c>
      <c r="AR183" s="18">
        <v>2</v>
      </c>
      <c r="AS183" s="18">
        <v>28010.808570407102</v>
      </c>
      <c r="AU183" s="10">
        <v>2009</v>
      </c>
      <c r="AV183" s="10">
        <v>2</v>
      </c>
      <c r="AW183" s="15">
        <v>27881.894258218301</v>
      </c>
      <c r="AY183" s="15">
        <v>2009</v>
      </c>
      <c r="AZ183" s="15">
        <v>2</v>
      </c>
      <c r="BA183" s="15">
        <v>27988.563926957999</v>
      </c>
      <c r="BC183" s="15">
        <v>2009</v>
      </c>
      <c r="BD183" s="15">
        <v>2</v>
      </c>
      <c r="BE183" s="15">
        <v>27981.968712218899</v>
      </c>
      <c r="BG183" s="15">
        <v>2009</v>
      </c>
      <c r="BH183" s="15">
        <v>2</v>
      </c>
      <c r="BI183" s="15">
        <v>27986.688021220802</v>
      </c>
    </row>
    <row r="184" spans="1:61" x14ac:dyDescent="0.25">
      <c r="A184" s="10">
        <v>2009</v>
      </c>
      <c r="B184" s="10">
        <v>3</v>
      </c>
      <c r="C184" s="11">
        <v>37882.774710175501</v>
      </c>
      <c r="G184" s="7">
        <v>2008</v>
      </c>
      <c r="H184" s="7">
        <v>12</v>
      </c>
      <c r="I184" s="13">
        <v>27513.118302173501</v>
      </c>
      <c r="L184" s="10">
        <v>2009</v>
      </c>
      <c r="M184" s="10">
        <v>3</v>
      </c>
      <c r="N184" s="18">
        <v>37491.719863846403</v>
      </c>
      <c r="Q184" s="15">
        <v>2009</v>
      </c>
      <c r="R184" s="15">
        <v>3</v>
      </c>
      <c r="S184" s="15">
        <v>37461.347910965</v>
      </c>
      <c r="U184" s="15">
        <v>2009</v>
      </c>
      <c r="V184" s="15">
        <v>3</v>
      </c>
      <c r="W184" s="15">
        <v>37619.642825671501</v>
      </c>
      <c r="Z184" s="15">
        <v>2009</v>
      </c>
      <c r="AA184" s="15">
        <v>3</v>
      </c>
      <c r="AB184" s="15">
        <v>37620.549104623598</v>
      </c>
      <c r="AD184" s="18">
        <v>2009</v>
      </c>
      <c r="AE184" s="18">
        <v>3</v>
      </c>
      <c r="AF184" s="18">
        <v>37628.2437847447</v>
      </c>
      <c r="AH184" s="10">
        <v>2009</v>
      </c>
      <c r="AI184" s="10">
        <v>3</v>
      </c>
      <c r="AJ184" s="18">
        <v>37626.7307398497</v>
      </c>
      <c r="AL184" s="15">
        <v>2009</v>
      </c>
      <c r="AM184" s="15">
        <v>3</v>
      </c>
      <c r="AN184" s="15">
        <v>37627.457609758902</v>
      </c>
      <c r="AQ184" s="18">
        <v>2009</v>
      </c>
      <c r="AR184" s="18">
        <v>3</v>
      </c>
      <c r="AS184" s="18">
        <v>37634.714210416198</v>
      </c>
      <c r="AU184" s="10">
        <v>2009</v>
      </c>
      <c r="AV184" s="10">
        <v>3</v>
      </c>
      <c r="AW184" s="15">
        <v>37641.935090354797</v>
      </c>
      <c r="AY184" s="15">
        <v>2009</v>
      </c>
      <c r="AZ184" s="15">
        <v>3</v>
      </c>
      <c r="BA184" s="15">
        <v>37640.920001067403</v>
      </c>
      <c r="BC184" s="15">
        <v>2009</v>
      </c>
      <c r="BD184" s="15">
        <v>3</v>
      </c>
      <c r="BE184" s="15">
        <v>37642.878253631097</v>
      </c>
      <c r="BG184" s="15">
        <v>2009</v>
      </c>
      <c r="BH184" s="15">
        <v>3</v>
      </c>
      <c r="BI184" s="15">
        <v>37640.159867953298</v>
      </c>
    </row>
    <row r="185" spans="1:61" x14ac:dyDescent="0.25">
      <c r="A185" s="10">
        <v>2009</v>
      </c>
      <c r="B185" s="10">
        <v>4</v>
      </c>
      <c r="C185" s="11">
        <v>36961.377759696603</v>
      </c>
      <c r="G185" s="7">
        <v>2009</v>
      </c>
      <c r="H185" s="7">
        <v>1</v>
      </c>
      <c r="I185" s="13">
        <v>34050.688615055798</v>
      </c>
      <c r="L185" s="10">
        <v>2009</v>
      </c>
      <c r="M185" s="10">
        <v>4</v>
      </c>
      <c r="N185" s="18">
        <v>36631.1479553436</v>
      </c>
      <c r="Q185" s="15">
        <v>2009</v>
      </c>
      <c r="R185" s="15">
        <v>4</v>
      </c>
      <c r="S185" s="15">
        <v>36598.155342130798</v>
      </c>
      <c r="U185" s="15">
        <v>2009</v>
      </c>
      <c r="V185" s="15">
        <v>4</v>
      </c>
      <c r="W185" s="15">
        <v>36660.104997904898</v>
      </c>
      <c r="Z185" s="15">
        <v>2009</v>
      </c>
      <c r="AA185" s="15">
        <v>4</v>
      </c>
      <c r="AB185" s="15">
        <v>36666.846418622998</v>
      </c>
      <c r="AD185" s="18">
        <v>2009</v>
      </c>
      <c r="AE185" s="18">
        <v>4</v>
      </c>
      <c r="AF185" s="18">
        <v>36652.688173161099</v>
      </c>
      <c r="AH185" s="10">
        <v>2009</v>
      </c>
      <c r="AI185" s="10">
        <v>4</v>
      </c>
      <c r="AJ185" s="18">
        <v>36655.378120518697</v>
      </c>
      <c r="AL185" s="15">
        <v>2009</v>
      </c>
      <c r="AM185" s="15">
        <v>4</v>
      </c>
      <c r="AN185" s="15">
        <v>36656.428396726697</v>
      </c>
      <c r="AQ185" s="18">
        <v>2009</v>
      </c>
      <c r="AR185" s="18">
        <v>4</v>
      </c>
      <c r="AS185" s="18">
        <v>36647.073577769603</v>
      </c>
      <c r="AU185" s="10">
        <v>2009</v>
      </c>
      <c r="AV185" s="10">
        <v>4</v>
      </c>
      <c r="AW185" s="15">
        <v>36635.565314576103</v>
      </c>
      <c r="AY185" s="15">
        <v>2009</v>
      </c>
      <c r="AZ185" s="15">
        <v>4</v>
      </c>
      <c r="BA185" s="15">
        <v>36635.873544930902</v>
      </c>
      <c r="BC185" s="15">
        <v>2009</v>
      </c>
      <c r="BD185" s="15">
        <v>4</v>
      </c>
      <c r="BE185" s="15">
        <v>36632.448127971598</v>
      </c>
      <c r="BG185" s="15">
        <v>2009</v>
      </c>
      <c r="BH185" s="15">
        <v>4</v>
      </c>
      <c r="BI185" s="15">
        <v>36636.201674819</v>
      </c>
    </row>
    <row r="186" spans="1:61" x14ac:dyDescent="0.25">
      <c r="A186" s="10">
        <v>2009</v>
      </c>
      <c r="B186" s="10">
        <v>5</v>
      </c>
      <c r="C186" s="11">
        <v>40953.327867681197</v>
      </c>
      <c r="G186" s="7">
        <v>2009</v>
      </c>
      <c r="H186" s="7">
        <v>2</v>
      </c>
      <c r="I186" s="13">
        <v>23938.93392268</v>
      </c>
      <c r="L186" s="10">
        <v>2009</v>
      </c>
      <c r="M186" s="10">
        <v>5</v>
      </c>
      <c r="N186" s="18">
        <v>40605.646330727497</v>
      </c>
      <c r="Q186" s="15">
        <v>2009</v>
      </c>
      <c r="R186" s="15">
        <v>5</v>
      </c>
      <c r="S186" s="15">
        <v>40614.254504684803</v>
      </c>
      <c r="U186" s="15">
        <v>2009</v>
      </c>
      <c r="V186" s="15">
        <v>5</v>
      </c>
      <c r="W186" s="15">
        <v>40763.124376325497</v>
      </c>
      <c r="Z186" s="15">
        <v>2009</v>
      </c>
      <c r="AA186" s="15">
        <v>5</v>
      </c>
      <c r="AB186" s="15">
        <v>40752.168915619201</v>
      </c>
      <c r="AD186" s="18">
        <v>2009</v>
      </c>
      <c r="AE186" s="18">
        <v>5</v>
      </c>
      <c r="AF186" s="18">
        <v>40747.223439909001</v>
      </c>
      <c r="AH186" s="10">
        <v>2009</v>
      </c>
      <c r="AI186" s="10">
        <v>5</v>
      </c>
      <c r="AJ186" s="18">
        <v>40741.233711774097</v>
      </c>
      <c r="AL186" s="15">
        <v>2009</v>
      </c>
      <c r="AM186" s="15">
        <v>5</v>
      </c>
      <c r="AN186" s="15">
        <v>40740.034806890799</v>
      </c>
      <c r="AQ186" s="18">
        <v>2009</v>
      </c>
      <c r="AR186" s="18">
        <v>5</v>
      </c>
      <c r="AS186" s="18">
        <v>40763.239586811498</v>
      </c>
      <c r="AU186" s="10">
        <v>2009</v>
      </c>
      <c r="AV186" s="10">
        <v>5</v>
      </c>
      <c r="AW186" s="15">
        <v>40800.414800205202</v>
      </c>
      <c r="AY186" s="15">
        <v>2009</v>
      </c>
      <c r="AZ186" s="15">
        <v>5</v>
      </c>
      <c r="BA186" s="15">
        <v>40789.4177316559</v>
      </c>
      <c r="BC186" s="15">
        <v>2009</v>
      </c>
      <c r="BD186" s="15">
        <v>5</v>
      </c>
      <c r="BE186" s="15">
        <v>40797.476650580204</v>
      </c>
      <c r="BG186" s="15">
        <v>2009</v>
      </c>
      <c r="BH186" s="15">
        <v>5</v>
      </c>
      <c r="BI186" s="15">
        <v>40788.1127524927</v>
      </c>
    </row>
    <row r="187" spans="1:61" x14ac:dyDescent="0.25">
      <c r="A187" s="10">
        <v>2009</v>
      </c>
      <c r="B187" s="10">
        <v>6</v>
      </c>
      <c r="C187" s="11">
        <v>40112.209802485901</v>
      </c>
      <c r="G187" s="7">
        <v>2009</v>
      </c>
      <c r="H187" s="7">
        <v>3</v>
      </c>
      <c r="I187" s="13">
        <v>38002.692944444701</v>
      </c>
      <c r="L187" s="10">
        <v>2009</v>
      </c>
      <c r="M187" s="10">
        <v>6</v>
      </c>
      <c r="N187" s="18">
        <v>39954.271183250799</v>
      </c>
      <c r="Q187" s="15">
        <v>2009</v>
      </c>
      <c r="R187" s="15">
        <v>6</v>
      </c>
      <c r="S187" s="15">
        <v>39889.800990056698</v>
      </c>
      <c r="U187" s="15">
        <v>2009</v>
      </c>
      <c r="V187" s="15">
        <v>6</v>
      </c>
      <c r="W187" s="15">
        <v>40042.472264401498</v>
      </c>
      <c r="Z187" s="15">
        <v>2009</v>
      </c>
      <c r="AA187" s="15">
        <v>6</v>
      </c>
      <c r="AB187" s="15">
        <v>40039.070053055497</v>
      </c>
      <c r="AD187" s="18">
        <v>2009</v>
      </c>
      <c r="AE187" s="18">
        <v>6</v>
      </c>
      <c r="AF187" s="18">
        <v>39991.1180029924</v>
      </c>
      <c r="AH187" s="10">
        <v>2009</v>
      </c>
      <c r="AI187" s="10">
        <v>6</v>
      </c>
      <c r="AJ187" s="18">
        <v>39990.6500873107</v>
      </c>
      <c r="AL187" s="15">
        <v>2009</v>
      </c>
      <c r="AM187" s="15">
        <v>6</v>
      </c>
      <c r="AN187" s="15">
        <v>39991.529864789401</v>
      </c>
      <c r="AQ187" s="18">
        <v>2009</v>
      </c>
      <c r="AR187" s="18">
        <v>6</v>
      </c>
      <c r="AS187" s="18">
        <v>39995.275037324202</v>
      </c>
      <c r="AU187" s="10">
        <v>2009</v>
      </c>
      <c r="AV187" s="10">
        <v>6</v>
      </c>
      <c r="AW187" s="15">
        <v>40112.845795687601</v>
      </c>
      <c r="AY187" s="15">
        <v>2009</v>
      </c>
      <c r="AZ187" s="15">
        <v>6</v>
      </c>
      <c r="BA187" s="15">
        <v>39998.748102723803</v>
      </c>
      <c r="BC187" s="15">
        <v>2009</v>
      </c>
      <c r="BD187" s="15">
        <v>6</v>
      </c>
      <c r="BE187" s="15">
        <v>39999.839463572403</v>
      </c>
      <c r="BG187" s="15">
        <v>2009</v>
      </c>
      <c r="BH187" s="15">
        <v>6</v>
      </c>
      <c r="BI187" s="15">
        <v>39998.282316002602</v>
      </c>
    </row>
    <row r="188" spans="1:61" x14ac:dyDescent="0.25">
      <c r="A188" s="10">
        <v>2009</v>
      </c>
      <c r="B188" s="10">
        <v>7</v>
      </c>
      <c r="C188" s="11">
        <v>43501.602043373001</v>
      </c>
      <c r="G188" s="7">
        <v>2009</v>
      </c>
      <c r="H188" s="7">
        <v>4</v>
      </c>
      <c r="I188" s="13">
        <v>36795.135507271501</v>
      </c>
      <c r="L188" s="10">
        <v>2009</v>
      </c>
      <c r="M188" s="10">
        <v>7</v>
      </c>
      <c r="N188" s="18">
        <v>43169.805668372799</v>
      </c>
      <c r="Q188" s="15">
        <v>2009</v>
      </c>
      <c r="R188" s="15">
        <v>7</v>
      </c>
      <c r="S188" s="15">
        <v>43141.428424609301</v>
      </c>
      <c r="U188" s="15">
        <v>2009</v>
      </c>
      <c r="V188" s="15">
        <v>7</v>
      </c>
      <c r="W188" s="15">
        <v>43093.422831704498</v>
      </c>
      <c r="Z188" s="15">
        <v>2009</v>
      </c>
      <c r="AA188" s="15">
        <v>7</v>
      </c>
      <c r="AB188" s="15">
        <v>43099.254263436102</v>
      </c>
      <c r="AD188" s="18">
        <v>2009</v>
      </c>
      <c r="AE188" s="18">
        <v>7</v>
      </c>
      <c r="AF188" s="18">
        <v>43076.790538827598</v>
      </c>
      <c r="AH188" s="10">
        <v>2009</v>
      </c>
      <c r="AI188" s="10">
        <v>7</v>
      </c>
      <c r="AJ188" s="18">
        <v>43081.3794953166</v>
      </c>
      <c r="AL188" s="15">
        <v>2009</v>
      </c>
      <c r="AM188" s="15">
        <v>7</v>
      </c>
      <c r="AN188" s="15">
        <v>43081.663631786003</v>
      </c>
      <c r="AQ188" s="18">
        <v>2009</v>
      </c>
      <c r="AR188" s="18">
        <v>7</v>
      </c>
      <c r="AS188" s="18">
        <v>43063.547496089901</v>
      </c>
      <c r="AU188" s="10">
        <v>2009</v>
      </c>
      <c r="AV188" s="10">
        <v>7</v>
      </c>
      <c r="AW188" s="15">
        <v>43036.006686663903</v>
      </c>
      <c r="AY188" s="15">
        <v>2009</v>
      </c>
      <c r="AZ188" s="15">
        <v>7</v>
      </c>
      <c r="BA188" s="15">
        <v>43044.793989243401</v>
      </c>
      <c r="BC188" s="15">
        <v>2009</v>
      </c>
      <c r="BD188" s="15">
        <v>7</v>
      </c>
      <c r="BE188" s="15">
        <v>43038.988065349396</v>
      </c>
      <c r="BG188" s="15">
        <v>2009</v>
      </c>
      <c r="BH188" s="15">
        <v>7</v>
      </c>
      <c r="BI188" s="15">
        <v>43046.004627932103</v>
      </c>
    </row>
    <row r="189" spans="1:61" x14ac:dyDescent="0.25">
      <c r="A189" s="10">
        <v>2009</v>
      </c>
      <c r="B189" s="10">
        <v>8</v>
      </c>
      <c r="C189" s="11">
        <v>40948.061577507899</v>
      </c>
      <c r="G189" s="7">
        <v>2009</v>
      </c>
      <c r="H189" s="7">
        <v>5</v>
      </c>
      <c r="I189" s="13">
        <v>40677.805104758001</v>
      </c>
      <c r="L189" s="10">
        <v>2009</v>
      </c>
      <c r="M189" s="10">
        <v>8</v>
      </c>
      <c r="N189" s="18">
        <v>40460.758641487999</v>
      </c>
      <c r="Q189" s="15">
        <v>2009</v>
      </c>
      <c r="R189" s="15">
        <v>8</v>
      </c>
      <c r="S189" s="15">
        <v>40460.239974665099</v>
      </c>
      <c r="U189" s="15">
        <v>2009</v>
      </c>
      <c r="V189" s="15">
        <v>8</v>
      </c>
      <c r="W189" s="15">
        <v>40587.434045802998</v>
      </c>
      <c r="Z189" s="15">
        <v>2009</v>
      </c>
      <c r="AA189" s="15">
        <v>8</v>
      </c>
      <c r="AB189" s="15">
        <v>40569.6349308301</v>
      </c>
      <c r="AD189" s="18">
        <v>2009</v>
      </c>
      <c r="AE189" s="18">
        <v>8</v>
      </c>
      <c r="AF189" s="18">
        <v>40578.136990155399</v>
      </c>
      <c r="AH189" s="10">
        <v>2009</v>
      </c>
      <c r="AI189" s="10">
        <v>8</v>
      </c>
      <c r="AJ189" s="18">
        <v>40572.098901963</v>
      </c>
      <c r="AL189" s="15">
        <v>2009</v>
      </c>
      <c r="AM189" s="15">
        <v>8</v>
      </c>
      <c r="AN189" s="15">
        <v>40570.439053515896</v>
      </c>
      <c r="AQ189" s="18">
        <v>2009</v>
      </c>
      <c r="AR189" s="18">
        <v>8</v>
      </c>
      <c r="AS189" s="18">
        <v>40592.9916633713</v>
      </c>
      <c r="AU189" s="10">
        <v>2009</v>
      </c>
      <c r="AV189" s="10">
        <v>8</v>
      </c>
      <c r="AW189" s="15">
        <v>40625.669288705998</v>
      </c>
      <c r="AY189" s="15">
        <v>2009</v>
      </c>
      <c r="AZ189" s="15">
        <v>8</v>
      </c>
      <c r="BA189" s="15">
        <v>40619.316672294699</v>
      </c>
      <c r="BC189" s="15">
        <v>2009</v>
      </c>
      <c r="BD189" s="15">
        <v>8</v>
      </c>
      <c r="BE189" s="15">
        <v>40627.407008984199</v>
      </c>
      <c r="BG189" s="15">
        <v>2009</v>
      </c>
      <c r="BH189" s="15">
        <v>8</v>
      </c>
      <c r="BI189" s="15">
        <v>40618.384299625301</v>
      </c>
    </row>
    <row r="190" spans="1:61" x14ac:dyDescent="0.25">
      <c r="A190" s="10">
        <v>2009</v>
      </c>
      <c r="B190" s="10">
        <v>9</v>
      </c>
      <c r="C190" s="11">
        <v>44757.042215464498</v>
      </c>
      <c r="G190" s="7">
        <v>2009</v>
      </c>
      <c r="H190" s="7">
        <v>6</v>
      </c>
      <c r="I190" s="13">
        <v>40320.547863329397</v>
      </c>
      <c r="L190" s="10">
        <v>2009</v>
      </c>
      <c r="M190" s="10">
        <v>9</v>
      </c>
      <c r="N190" s="18">
        <v>44519.452587743901</v>
      </c>
      <c r="Q190" s="15">
        <v>2009</v>
      </c>
      <c r="R190" s="15">
        <v>9</v>
      </c>
      <c r="S190" s="15">
        <v>44503.479188646997</v>
      </c>
      <c r="U190" s="15">
        <v>2009</v>
      </c>
      <c r="V190" s="15">
        <v>9</v>
      </c>
      <c r="W190" s="15">
        <v>44470.750395842697</v>
      </c>
      <c r="Z190" s="15">
        <v>2009</v>
      </c>
      <c r="AA190" s="15">
        <v>9</v>
      </c>
      <c r="AB190" s="15">
        <v>44471.239127906199</v>
      </c>
      <c r="AD190" s="18">
        <v>2009</v>
      </c>
      <c r="AE190" s="18">
        <v>9</v>
      </c>
      <c r="AF190" s="18">
        <v>44464.5211033468</v>
      </c>
      <c r="AH190" s="10">
        <v>2009</v>
      </c>
      <c r="AI190" s="10">
        <v>9</v>
      </c>
      <c r="AJ190" s="18">
        <v>44466.846088505998</v>
      </c>
      <c r="AL190" s="15">
        <v>2009</v>
      </c>
      <c r="AM190" s="15">
        <v>9</v>
      </c>
      <c r="AN190" s="15">
        <v>44466.373309266499</v>
      </c>
      <c r="AQ190" s="18">
        <v>2009</v>
      </c>
      <c r="AR190" s="18">
        <v>9</v>
      </c>
      <c r="AS190" s="18">
        <v>44456.0110171415</v>
      </c>
      <c r="AU190" s="10">
        <v>2009</v>
      </c>
      <c r="AV190" s="10">
        <v>9</v>
      </c>
      <c r="AW190" s="15">
        <v>44440.326201789903</v>
      </c>
      <c r="AY190" s="15">
        <v>2009</v>
      </c>
      <c r="AZ190" s="15">
        <v>9</v>
      </c>
      <c r="BA190" s="15">
        <v>44446.013428105201</v>
      </c>
      <c r="BC190" s="15">
        <v>2009</v>
      </c>
      <c r="BD190" s="15">
        <v>9</v>
      </c>
      <c r="BE190" s="15">
        <v>44442.891372390302</v>
      </c>
      <c r="BG190" s="15">
        <v>2009</v>
      </c>
      <c r="BH190" s="15">
        <v>9</v>
      </c>
      <c r="BI190" s="15">
        <v>44446.939437798203</v>
      </c>
    </row>
    <row r="191" spans="1:61" x14ac:dyDescent="0.25">
      <c r="A191" s="10">
        <v>2009</v>
      </c>
      <c r="B191" s="10">
        <v>10</v>
      </c>
      <c r="C191" s="11">
        <v>48984.605033514599</v>
      </c>
      <c r="G191" s="7">
        <v>2009</v>
      </c>
      <c r="H191" s="7">
        <v>7</v>
      </c>
      <c r="I191" s="13">
        <v>44905.962098194897</v>
      </c>
      <c r="L191" s="10">
        <v>2009</v>
      </c>
      <c r="M191" s="10">
        <v>10</v>
      </c>
      <c r="N191" s="18">
        <v>48709.730941642199</v>
      </c>
      <c r="Q191" s="15">
        <v>2009</v>
      </c>
      <c r="R191" s="15">
        <v>10</v>
      </c>
      <c r="S191" s="15">
        <v>48698.556882763602</v>
      </c>
      <c r="U191" s="15">
        <v>2009</v>
      </c>
      <c r="V191" s="15">
        <v>10</v>
      </c>
      <c r="W191" s="15">
        <v>48726.253734224403</v>
      </c>
      <c r="Z191" s="15">
        <v>2009</v>
      </c>
      <c r="AA191" s="15">
        <v>10</v>
      </c>
      <c r="AB191" s="15">
        <v>48720.999196007797</v>
      </c>
      <c r="AD191" s="18">
        <v>2009</v>
      </c>
      <c r="AE191" s="18">
        <v>10</v>
      </c>
      <c r="AF191" s="18">
        <v>48728.712676948096</v>
      </c>
      <c r="AH191" s="10">
        <v>2009</v>
      </c>
      <c r="AI191" s="10">
        <v>10</v>
      </c>
      <c r="AJ191" s="18">
        <v>48727.577498451501</v>
      </c>
      <c r="AL191" s="15">
        <v>2009</v>
      </c>
      <c r="AM191" s="15">
        <v>10</v>
      </c>
      <c r="AN191" s="15">
        <v>48726.533117125298</v>
      </c>
      <c r="AQ191" s="18">
        <v>2009</v>
      </c>
      <c r="AR191" s="18">
        <v>10</v>
      </c>
      <c r="AS191" s="18">
        <v>48729.382284575302</v>
      </c>
      <c r="AU191" s="10">
        <v>2009</v>
      </c>
      <c r="AV191" s="10">
        <v>10</v>
      </c>
      <c r="AW191" s="15">
        <v>48735.243969935</v>
      </c>
      <c r="AY191" s="15">
        <v>2009</v>
      </c>
      <c r="AZ191" s="15">
        <v>10</v>
      </c>
      <c r="BA191" s="15">
        <v>48733.7135860169</v>
      </c>
      <c r="BC191" s="15">
        <v>2009</v>
      </c>
      <c r="BD191" s="15">
        <v>10</v>
      </c>
      <c r="BE191" s="15">
        <v>48735.0102294358</v>
      </c>
      <c r="BG191" s="15">
        <v>2009</v>
      </c>
      <c r="BH191" s="15">
        <v>10</v>
      </c>
      <c r="BI191" s="15">
        <v>48733.873878025901</v>
      </c>
    </row>
    <row r="192" spans="1:61" x14ac:dyDescent="0.25">
      <c r="A192" s="10">
        <v>2009</v>
      </c>
      <c r="B192" s="10">
        <v>11</v>
      </c>
      <c r="C192" s="11">
        <v>49650.915848068602</v>
      </c>
      <c r="G192" s="7">
        <v>2009</v>
      </c>
      <c r="H192" s="7">
        <v>8</v>
      </c>
      <c r="I192" s="13">
        <v>41426.456041472899</v>
      </c>
      <c r="L192" s="10">
        <v>2009</v>
      </c>
      <c r="M192" s="10">
        <v>11</v>
      </c>
      <c r="N192" s="18">
        <v>49336.648510593099</v>
      </c>
      <c r="Q192" s="15">
        <v>2009</v>
      </c>
      <c r="R192" s="15">
        <v>11</v>
      </c>
      <c r="S192" s="15">
        <v>49326.471752761201</v>
      </c>
      <c r="U192" s="15">
        <v>2009</v>
      </c>
      <c r="V192" s="15">
        <v>11</v>
      </c>
      <c r="W192" s="15">
        <v>49397.496833035199</v>
      </c>
      <c r="Z192" s="15">
        <v>2009</v>
      </c>
      <c r="AA192" s="15">
        <v>11</v>
      </c>
      <c r="AB192" s="15">
        <v>49389.084153060103</v>
      </c>
      <c r="AD192" s="18">
        <v>2009</v>
      </c>
      <c r="AE192" s="18">
        <v>11</v>
      </c>
      <c r="AF192" s="18">
        <v>49408.872173399403</v>
      </c>
      <c r="AH192" s="10">
        <v>2009</v>
      </c>
      <c r="AI192" s="10">
        <v>11</v>
      </c>
      <c r="AJ192" s="18">
        <v>49405.5759482633</v>
      </c>
      <c r="AL192" s="15">
        <v>2009</v>
      </c>
      <c r="AM192" s="15">
        <v>11</v>
      </c>
      <c r="AN192" s="15">
        <v>49404.2549654619</v>
      </c>
      <c r="AQ192" s="18">
        <v>2009</v>
      </c>
      <c r="AR192" s="18">
        <v>11</v>
      </c>
      <c r="AS192" s="18">
        <v>49415.511531833698</v>
      </c>
      <c r="AU192" s="10">
        <v>2009</v>
      </c>
      <c r="AV192" s="10">
        <v>11</v>
      </c>
      <c r="AW192" s="15">
        <v>49435.165694498603</v>
      </c>
      <c r="AY192" s="15">
        <v>2009</v>
      </c>
      <c r="AZ192" s="15">
        <v>11</v>
      </c>
      <c r="BA192" s="15">
        <v>49428.856015167301</v>
      </c>
      <c r="BC192" s="15">
        <v>2009</v>
      </c>
      <c r="BD192" s="15">
        <v>11</v>
      </c>
      <c r="BE192" s="15">
        <v>49432.938043466202</v>
      </c>
      <c r="BG192" s="15">
        <v>2009</v>
      </c>
      <c r="BH192" s="15">
        <v>11</v>
      </c>
      <c r="BI192" s="15">
        <v>49428.496986598897</v>
      </c>
    </row>
    <row r="193" spans="1:61" x14ac:dyDescent="0.25">
      <c r="A193" s="10">
        <v>2009</v>
      </c>
      <c r="B193" s="10">
        <v>12</v>
      </c>
      <c r="C193" s="11">
        <v>54284.8753636412</v>
      </c>
      <c r="G193" s="7">
        <v>2009</v>
      </c>
      <c r="H193" s="7">
        <v>9</v>
      </c>
      <c r="I193" s="13">
        <v>45334.340090354897</v>
      </c>
      <c r="L193" s="10">
        <v>2009</v>
      </c>
      <c r="M193" s="10">
        <v>12</v>
      </c>
      <c r="N193" s="18">
        <v>53930.823148338401</v>
      </c>
      <c r="Q193" s="15">
        <v>2009</v>
      </c>
      <c r="R193" s="15">
        <v>12</v>
      </c>
      <c r="S193" s="15">
        <v>54194.516503883002</v>
      </c>
      <c r="U193" s="15">
        <v>2009</v>
      </c>
      <c r="V193" s="15">
        <v>12</v>
      </c>
      <c r="W193" s="15">
        <v>53917.433793309203</v>
      </c>
      <c r="Z193" s="15">
        <v>2009</v>
      </c>
      <c r="AA193" s="15">
        <v>12</v>
      </c>
      <c r="AB193" s="15">
        <v>53935.879397733603</v>
      </c>
      <c r="AD193" s="18">
        <v>2009</v>
      </c>
      <c r="AE193" s="18">
        <v>12</v>
      </c>
      <c r="AF193" s="18">
        <v>53932.764575868503</v>
      </c>
      <c r="AH193" s="10">
        <v>2009</v>
      </c>
      <c r="AI193" s="10">
        <v>12</v>
      </c>
      <c r="AJ193" s="18">
        <v>53940.459595109198</v>
      </c>
      <c r="AL193" s="15">
        <v>2009</v>
      </c>
      <c r="AM193" s="15">
        <v>12</v>
      </c>
      <c r="AN193" s="15">
        <v>53944.411392492802</v>
      </c>
      <c r="AQ193" s="18">
        <v>2009</v>
      </c>
      <c r="AR193" s="18">
        <v>12</v>
      </c>
      <c r="AS193" s="18">
        <v>53918.628883784397</v>
      </c>
      <c r="AU193" s="10">
        <v>2009</v>
      </c>
      <c r="AV193" s="10">
        <v>12</v>
      </c>
      <c r="AW193" s="15">
        <v>53853.130585900202</v>
      </c>
      <c r="AY193" s="15">
        <v>2009</v>
      </c>
      <c r="AZ193" s="15">
        <v>12</v>
      </c>
      <c r="BA193" s="15">
        <v>53885.8112156637</v>
      </c>
      <c r="BC193" s="15">
        <v>2009</v>
      </c>
      <c r="BD193" s="15">
        <v>12</v>
      </c>
      <c r="BE193" s="15">
        <v>53875.835718975199</v>
      </c>
      <c r="BG193" s="15">
        <v>2009</v>
      </c>
      <c r="BH193" s="15">
        <v>12</v>
      </c>
      <c r="BI193" s="15">
        <v>53886.551017952799</v>
      </c>
    </row>
    <row r="194" spans="1:61" x14ac:dyDescent="0.25">
      <c r="A194" s="10">
        <v>2010</v>
      </c>
      <c r="B194" s="10">
        <v>1</v>
      </c>
      <c r="C194" s="11">
        <v>50699.9750776324</v>
      </c>
      <c r="G194" s="7">
        <v>2009</v>
      </c>
      <c r="H194" s="7">
        <v>10</v>
      </c>
      <c r="I194" s="13">
        <v>49927.013420469397</v>
      </c>
      <c r="L194" s="10">
        <v>2010</v>
      </c>
      <c r="M194" s="10">
        <v>1</v>
      </c>
      <c r="N194" s="18">
        <v>50282.612486753002</v>
      </c>
      <c r="Q194" s="15">
        <v>2010</v>
      </c>
      <c r="R194" s="15">
        <v>1</v>
      </c>
      <c r="S194" s="15">
        <v>50278.522663300202</v>
      </c>
      <c r="U194" s="15">
        <v>2010</v>
      </c>
      <c r="V194" s="15">
        <v>1</v>
      </c>
      <c r="W194" s="15">
        <v>50396.906384435802</v>
      </c>
      <c r="Z194" s="15">
        <v>2010</v>
      </c>
      <c r="AA194" s="15">
        <v>1</v>
      </c>
      <c r="AB194" s="15">
        <v>50386.6299635994</v>
      </c>
      <c r="AD194" s="18">
        <v>2010</v>
      </c>
      <c r="AE194" s="18">
        <v>1</v>
      </c>
      <c r="AF194" s="18">
        <v>50483.532186595003</v>
      </c>
      <c r="AH194" s="10">
        <v>2010</v>
      </c>
      <c r="AI194" s="10">
        <v>1</v>
      </c>
      <c r="AJ194" s="18">
        <v>50477.756816629597</v>
      </c>
      <c r="AL194" s="15">
        <v>2010</v>
      </c>
      <c r="AM194" s="15">
        <v>1</v>
      </c>
      <c r="AN194" s="15">
        <v>50476.5442770472</v>
      </c>
      <c r="AQ194" s="18">
        <v>2010</v>
      </c>
      <c r="AR194" s="18">
        <v>1</v>
      </c>
      <c r="AS194" s="18">
        <v>50497.876868028099</v>
      </c>
      <c r="AU194" s="10">
        <v>2010</v>
      </c>
      <c r="AV194" s="10">
        <v>1</v>
      </c>
      <c r="AW194" s="15">
        <v>50532.761287058704</v>
      </c>
      <c r="AY194" s="15">
        <v>2010</v>
      </c>
      <c r="AZ194" s="15">
        <v>1</v>
      </c>
      <c r="BA194" s="15">
        <v>50521.033569459498</v>
      </c>
      <c r="BC194" s="15">
        <v>2010</v>
      </c>
      <c r="BD194" s="15">
        <v>1</v>
      </c>
      <c r="BE194" s="15">
        <v>50528.174901800303</v>
      </c>
      <c r="BG194" s="15">
        <v>2010</v>
      </c>
      <c r="BH194" s="15">
        <v>1</v>
      </c>
      <c r="BI194" s="15">
        <v>50519.909489286503</v>
      </c>
    </row>
    <row r="195" spans="1:61" x14ac:dyDescent="0.25">
      <c r="A195" s="10">
        <v>2010</v>
      </c>
      <c r="B195" s="10">
        <v>2</v>
      </c>
      <c r="C195" s="11">
        <v>49225.408034485197</v>
      </c>
      <c r="G195" s="7">
        <v>2009</v>
      </c>
      <c r="H195" s="7">
        <v>11</v>
      </c>
      <c r="I195" s="13">
        <v>47633.978340818001</v>
      </c>
      <c r="L195" s="10">
        <v>2010</v>
      </c>
      <c r="M195" s="10">
        <v>2</v>
      </c>
      <c r="N195" s="18">
        <v>52909.270459093801</v>
      </c>
      <c r="Q195" s="15">
        <v>2010</v>
      </c>
      <c r="R195" s="15">
        <v>2</v>
      </c>
      <c r="S195" s="15">
        <v>52560.093683134903</v>
      </c>
      <c r="U195" s="15">
        <v>2010</v>
      </c>
      <c r="V195" s="15">
        <v>2</v>
      </c>
      <c r="W195" s="15">
        <v>52925.286852479701</v>
      </c>
      <c r="Z195" s="15">
        <v>2010</v>
      </c>
      <c r="AA195" s="15">
        <v>2</v>
      </c>
      <c r="AB195" s="15">
        <v>52984.189637056799</v>
      </c>
      <c r="AD195" s="18">
        <v>2010</v>
      </c>
      <c r="AE195" s="18">
        <v>2</v>
      </c>
      <c r="AF195" s="18">
        <v>52975.893743340101</v>
      </c>
      <c r="AH195" s="10">
        <v>2010</v>
      </c>
      <c r="AI195" s="10">
        <v>2</v>
      </c>
      <c r="AJ195" s="18">
        <v>52982.747658299202</v>
      </c>
      <c r="AL195" s="15">
        <v>2010</v>
      </c>
      <c r="AM195" s="15">
        <v>2</v>
      </c>
      <c r="AN195" s="15">
        <v>52997.171201199497</v>
      </c>
      <c r="AQ195" s="18">
        <v>2010</v>
      </c>
      <c r="AR195" s="18">
        <v>2</v>
      </c>
      <c r="AS195" s="18">
        <v>52991.168954763503</v>
      </c>
      <c r="AU195" s="10">
        <v>2010</v>
      </c>
      <c r="AV195" s="10">
        <v>2</v>
      </c>
      <c r="AW195" s="15">
        <v>52887.639116197497</v>
      </c>
      <c r="AY195" s="15">
        <v>2010</v>
      </c>
      <c r="AZ195" s="15">
        <v>2</v>
      </c>
      <c r="BA195" s="15">
        <v>52962.787902586701</v>
      </c>
      <c r="BC195" s="15">
        <v>2010</v>
      </c>
      <c r="BD195" s="15">
        <v>2</v>
      </c>
      <c r="BE195" s="15">
        <v>52954.537949050296</v>
      </c>
      <c r="BG195" s="15">
        <v>2010</v>
      </c>
      <c r="BH195" s="15">
        <v>2</v>
      </c>
      <c r="BI195" s="15">
        <v>52958.531239525801</v>
      </c>
    </row>
    <row r="196" spans="1:61" x14ac:dyDescent="0.25">
      <c r="A196" s="10">
        <v>2010</v>
      </c>
      <c r="B196" s="10">
        <v>3</v>
      </c>
      <c r="C196" s="11">
        <v>49740.1725672252</v>
      </c>
      <c r="G196" s="7">
        <v>2009</v>
      </c>
      <c r="H196" s="7">
        <v>12</v>
      </c>
      <c r="I196" s="13">
        <v>53984.535718186002</v>
      </c>
      <c r="L196" s="10">
        <v>2010</v>
      </c>
      <c r="M196" s="10">
        <v>3</v>
      </c>
      <c r="N196" s="18">
        <v>49391.288090383001</v>
      </c>
      <c r="Q196" s="15">
        <v>2010</v>
      </c>
      <c r="R196" s="15">
        <v>3</v>
      </c>
      <c r="S196" s="15">
        <v>49360.144018758998</v>
      </c>
      <c r="U196" s="15">
        <v>2010</v>
      </c>
      <c r="V196" s="15">
        <v>3</v>
      </c>
      <c r="W196" s="15">
        <v>49333.684493746703</v>
      </c>
      <c r="Z196" s="15">
        <v>2010</v>
      </c>
      <c r="AA196" s="15">
        <v>3</v>
      </c>
      <c r="AB196" s="15">
        <v>49343.608781978597</v>
      </c>
      <c r="AD196" s="18">
        <v>2010</v>
      </c>
      <c r="AE196" s="18">
        <v>3</v>
      </c>
      <c r="AF196" s="18">
        <v>49341.670832395997</v>
      </c>
      <c r="AH196" s="10">
        <v>2010</v>
      </c>
      <c r="AI196" s="10">
        <v>3</v>
      </c>
      <c r="AJ196" s="18">
        <v>49346.345363107597</v>
      </c>
      <c r="AL196" s="15">
        <v>2010</v>
      </c>
      <c r="AM196" s="15">
        <v>3</v>
      </c>
      <c r="AN196" s="15">
        <v>49347.098208302297</v>
      </c>
      <c r="AQ196" s="18">
        <v>2010</v>
      </c>
      <c r="AR196" s="18">
        <v>3</v>
      </c>
      <c r="AS196" s="18">
        <v>49328.450895283197</v>
      </c>
      <c r="AU196" s="10">
        <v>2010</v>
      </c>
      <c r="AV196" s="10">
        <v>3</v>
      </c>
      <c r="AW196" s="15">
        <v>49295.478876262401</v>
      </c>
      <c r="AY196" s="15">
        <v>2010</v>
      </c>
      <c r="AZ196" s="15">
        <v>3</v>
      </c>
      <c r="BA196" s="15">
        <v>49307.285878228897</v>
      </c>
      <c r="BC196" s="15">
        <v>2010</v>
      </c>
      <c r="BD196" s="15">
        <v>3</v>
      </c>
      <c r="BE196" s="15">
        <v>49300.782346636603</v>
      </c>
      <c r="BG196" s="15">
        <v>2010</v>
      </c>
      <c r="BH196" s="15">
        <v>3</v>
      </c>
      <c r="BI196" s="15">
        <v>49308.376603012002</v>
      </c>
    </row>
    <row r="197" spans="1:61" x14ac:dyDescent="0.25">
      <c r="A197" s="10">
        <v>2010</v>
      </c>
      <c r="B197" s="10">
        <v>4</v>
      </c>
      <c r="C197" s="11">
        <v>55587.592979068802</v>
      </c>
      <c r="G197" s="7">
        <v>2010</v>
      </c>
      <c r="H197" s="7">
        <v>1</v>
      </c>
      <c r="I197" s="13">
        <v>49278.2112715408</v>
      </c>
      <c r="L197" s="10">
        <v>2010</v>
      </c>
      <c r="M197" s="10">
        <v>4</v>
      </c>
      <c r="N197" s="18">
        <v>55269.128362814299</v>
      </c>
      <c r="Q197" s="15">
        <v>2010</v>
      </c>
      <c r="R197" s="15">
        <v>4</v>
      </c>
      <c r="S197" s="15">
        <v>55252.424858382103</v>
      </c>
      <c r="U197" s="15">
        <v>2010</v>
      </c>
      <c r="V197" s="15">
        <v>4</v>
      </c>
      <c r="W197" s="15">
        <v>55256.553869611002</v>
      </c>
      <c r="Z197" s="15">
        <v>2010</v>
      </c>
      <c r="AA197" s="15">
        <v>4</v>
      </c>
      <c r="AB197" s="15">
        <v>55261.874933744599</v>
      </c>
      <c r="AD197" s="18">
        <v>2010</v>
      </c>
      <c r="AE197" s="18">
        <v>4</v>
      </c>
      <c r="AF197" s="18">
        <v>55256.653024470201</v>
      </c>
      <c r="AH197" s="10">
        <v>2010</v>
      </c>
      <c r="AI197" s="10">
        <v>4</v>
      </c>
      <c r="AJ197" s="18">
        <v>55258.818411805398</v>
      </c>
      <c r="AL197" s="15">
        <v>2010</v>
      </c>
      <c r="AM197" s="15">
        <v>4</v>
      </c>
      <c r="AN197" s="15">
        <v>55259.025168870401</v>
      </c>
      <c r="AQ197" s="18">
        <v>2010</v>
      </c>
      <c r="AR197" s="18">
        <v>4</v>
      </c>
      <c r="AS197" s="18">
        <v>55249.994588748603</v>
      </c>
      <c r="AU197" s="10">
        <v>2010</v>
      </c>
      <c r="AV197" s="10">
        <v>4</v>
      </c>
      <c r="AW197" s="15">
        <v>55239.337195218199</v>
      </c>
      <c r="AY197" s="15">
        <v>2010</v>
      </c>
      <c r="AZ197" s="15">
        <v>4</v>
      </c>
      <c r="BA197" s="15">
        <v>55239.717672927</v>
      </c>
      <c r="BC197" s="15">
        <v>2010</v>
      </c>
      <c r="BD197" s="15">
        <v>4</v>
      </c>
      <c r="BE197" s="15">
        <v>55236.563105266803</v>
      </c>
      <c r="BG197" s="15">
        <v>2010</v>
      </c>
      <c r="BH197" s="15">
        <v>4</v>
      </c>
      <c r="BI197" s="15">
        <v>55240.2801752878</v>
      </c>
    </row>
    <row r="198" spans="1:61" x14ac:dyDescent="0.25">
      <c r="A198" s="10">
        <v>2010</v>
      </c>
      <c r="B198" s="10">
        <v>5</v>
      </c>
      <c r="C198" s="11">
        <v>56618.161007252304</v>
      </c>
      <c r="G198" s="7">
        <v>2010</v>
      </c>
      <c r="H198" s="7">
        <v>2</v>
      </c>
      <c r="I198" s="13">
        <v>48853.956968951701</v>
      </c>
      <c r="L198" s="10">
        <v>2010</v>
      </c>
      <c r="M198" s="10">
        <v>5</v>
      </c>
      <c r="N198" s="18">
        <v>56265.325644251498</v>
      </c>
      <c r="Q198" s="15">
        <v>2010</v>
      </c>
      <c r="R198" s="15">
        <v>5</v>
      </c>
      <c r="S198" s="15">
        <v>56279.982715220198</v>
      </c>
      <c r="U198" s="15">
        <v>2010</v>
      </c>
      <c r="V198" s="15">
        <v>5</v>
      </c>
      <c r="W198" s="15">
        <v>56395.850145564102</v>
      </c>
      <c r="Z198" s="15">
        <v>2010</v>
      </c>
      <c r="AA198" s="15">
        <v>5</v>
      </c>
      <c r="AB198" s="15">
        <v>56386.031949809803</v>
      </c>
      <c r="AD198" s="18">
        <v>2010</v>
      </c>
      <c r="AE198" s="18">
        <v>5</v>
      </c>
      <c r="AF198" s="18">
        <v>56392.241878702</v>
      </c>
      <c r="AH198" s="10">
        <v>2010</v>
      </c>
      <c r="AI198" s="10">
        <v>5</v>
      </c>
      <c r="AJ198" s="18">
        <v>56386.291596172501</v>
      </c>
      <c r="AL198" s="15">
        <v>2010</v>
      </c>
      <c r="AM198" s="15">
        <v>5</v>
      </c>
      <c r="AN198" s="15">
        <v>56384.811800440897</v>
      </c>
      <c r="AQ198" s="18">
        <v>2010</v>
      </c>
      <c r="AR198" s="18">
        <v>5</v>
      </c>
      <c r="AS198" s="18">
        <v>56406.7669569668</v>
      </c>
      <c r="AU198" s="10">
        <v>2010</v>
      </c>
      <c r="AV198" s="10">
        <v>5</v>
      </c>
      <c r="AW198" s="15">
        <v>56443.167599279201</v>
      </c>
      <c r="AY198" s="15">
        <v>2010</v>
      </c>
      <c r="AZ198" s="15">
        <v>5</v>
      </c>
      <c r="BA198" s="15">
        <v>56431.245513914502</v>
      </c>
      <c r="BC198" s="15">
        <v>2010</v>
      </c>
      <c r="BD198" s="15">
        <v>5</v>
      </c>
      <c r="BE198" s="15">
        <v>56438.7844957056</v>
      </c>
      <c r="BG198" s="15">
        <v>2010</v>
      </c>
      <c r="BH198" s="15">
        <v>5</v>
      </c>
      <c r="BI198" s="15">
        <v>56430.110359819497</v>
      </c>
    </row>
    <row r="199" spans="1:61" x14ac:dyDescent="0.25">
      <c r="A199" s="10">
        <v>2010</v>
      </c>
      <c r="B199" s="10">
        <v>6</v>
      </c>
      <c r="C199" s="11">
        <v>59086.952062854398</v>
      </c>
      <c r="G199" s="7">
        <v>2010</v>
      </c>
      <c r="H199" s="7">
        <v>3</v>
      </c>
      <c r="I199" s="13">
        <v>50576.188495713403</v>
      </c>
      <c r="L199" s="10">
        <v>2010</v>
      </c>
      <c r="M199" s="10">
        <v>6</v>
      </c>
      <c r="N199" s="18">
        <v>59109.868506047998</v>
      </c>
      <c r="Q199" s="15">
        <v>2010</v>
      </c>
      <c r="R199" s="15">
        <v>6</v>
      </c>
      <c r="S199" s="15">
        <v>59053.0825760589</v>
      </c>
      <c r="U199" s="15">
        <v>2010</v>
      </c>
      <c r="V199" s="15">
        <v>6</v>
      </c>
      <c r="W199" s="15">
        <v>59175.229033486903</v>
      </c>
      <c r="Z199" s="15">
        <v>2010</v>
      </c>
      <c r="AA199" s="15">
        <v>6</v>
      </c>
      <c r="AB199" s="15">
        <v>59159.191966583297</v>
      </c>
      <c r="AD199" s="18">
        <v>2010</v>
      </c>
      <c r="AE199" s="18">
        <v>6</v>
      </c>
      <c r="AF199" s="18">
        <v>59121.7339153875</v>
      </c>
      <c r="AH199" s="10">
        <v>2010</v>
      </c>
      <c r="AI199" s="10">
        <v>6</v>
      </c>
      <c r="AJ199" s="18">
        <v>59120.212172460801</v>
      </c>
      <c r="AL199" s="15">
        <v>2010</v>
      </c>
      <c r="AM199" s="15">
        <v>6</v>
      </c>
      <c r="AN199" s="15">
        <v>59119.523726828302</v>
      </c>
      <c r="AQ199" s="18">
        <v>2010</v>
      </c>
      <c r="AR199" s="18">
        <v>6</v>
      </c>
      <c r="AS199" s="18">
        <v>59128.916209474701</v>
      </c>
      <c r="AU199" s="10">
        <v>2010</v>
      </c>
      <c r="AV199" s="10">
        <v>6</v>
      </c>
      <c r="AW199" s="15">
        <v>59240.234400162597</v>
      </c>
      <c r="AY199" s="15">
        <v>2010</v>
      </c>
      <c r="AZ199" s="15">
        <v>6</v>
      </c>
      <c r="BA199" s="15">
        <v>59145.232910375998</v>
      </c>
      <c r="BC199" s="15">
        <v>2010</v>
      </c>
      <c r="BD199" s="15">
        <v>6</v>
      </c>
      <c r="BE199" s="15">
        <v>59150.167854010397</v>
      </c>
      <c r="BG199" s="15">
        <v>2010</v>
      </c>
      <c r="BH199" s="15">
        <v>6</v>
      </c>
      <c r="BI199" s="15">
        <v>59144.811828375299</v>
      </c>
    </row>
    <row r="200" spans="1:61" x14ac:dyDescent="0.25">
      <c r="A200" s="10">
        <v>2010</v>
      </c>
      <c r="B200" s="10">
        <v>7</v>
      </c>
      <c r="C200" s="11">
        <v>54745.117723988202</v>
      </c>
      <c r="G200" s="7">
        <v>2010</v>
      </c>
      <c r="H200" s="7">
        <v>4</v>
      </c>
      <c r="I200" s="13">
        <v>55643.865366344697</v>
      </c>
      <c r="L200" s="10">
        <v>2010</v>
      </c>
      <c r="M200" s="10">
        <v>7</v>
      </c>
      <c r="N200" s="18">
        <v>54419.256164240498</v>
      </c>
      <c r="Q200" s="15">
        <v>2010</v>
      </c>
      <c r="R200" s="15">
        <v>7</v>
      </c>
      <c r="S200" s="15">
        <v>54414.675486254702</v>
      </c>
      <c r="U200" s="15">
        <v>2010</v>
      </c>
      <c r="V200" s="15">
        <v>7</v>
      </c>
      <c r="W200" s="15">
        <v>54456.148770388201</v>
      </c>
      <c r="Z200" s="15">
        <v>2010</v>
      </c>
      <c r="AA200" s="15">
        <v>7</v>
      </c>
      <c r="AB200" s="15">
        <v>54451.936520859897</v>
      </c>
      <c r="AD200" s="18">
        <v>2010</v>
      </c>
      <c r="AE200" s="18">
        <v>7</v>
      </c>
      <c r="AF200" s="18">
        <v>54451.936408732698</v>
      </c>
      <c r="AH200" s="10">
        <v>2010</v>
      </c>
      <c r="AI200" s="10">
        <v>7</v>
      </c>
      <c r="AJ200" s="18">
        <v>54450.2114065286</v>
      </c>
      <c r="AL200" s="15">
        <v>2010</v>
      </c>
      <c r="AM200" s="15">
        <v>7</v>
      </c>
      <c r="AN200" s="15">
        <v>54449.360850606397</v>
      </c>
      <c r="AQ200" s="18">
        <v>2010</v>
      </c>
      <c r="AR200" s="18">
        <v>7</v>
      </c>
      <c r="AS200" s="18">
        <v>54454.918924561003</v>
      </c>
      <c r="AU200" s="10">
        <v>2010</v>
      </c>
      <c r="AV200" s="10">
        <v>7</v>
      </c>
      <c r="AW200" s="15">
        <v>54464.959127813403</v>
      </c>
      <c r="AY200" s="15">
        <v>2010</v>
      </c>
      <c r="AZ200" s="15">
        <v>7</v>
      </c>
      <c r="BA200" s="15">
        <v>54461.673422026302</v>
      </c>
      <c r="BC200" s="15">
        <v>2010</v>
      </c>
      <c r="BD200" s="15">
        <v>7</v>
      </c>
      <c r="BE200" s="15">
        <v>54463.727696887501</v>
      </c>
      <c r="BG200" s="15">
        <v>2010</v>
      </c>
      <c r="BH200" s="15">
        <v>7</v>
      </c>
      <c r="BI200" s="15">
        <v>54461.557246541997</v>
      </c>
    </row>
    <row r="201" spans="1:61" x14ac:dyDescent="0.25">
      <c r="A201" s="10">
        <v>2010</v>
      </c>
      <c r="B201" s="10">
        <v>8</v>
      </c>
      <c r="C201" s="11">
        <v>62600.123920773898</v>
      </c>
      <c r="G201" s="7">
        <v>2010</v>
      </c>
      <c r="H201" s="7">
        <v>5</v>
      </c>
      <c r="I201" s="13">
        <v>56831.085556129903</v>
      </c>
      <c r="L201" s="10">
        <v>2010</v>
      </c>
      <c r="M201" s="10">
        <v>8</v>
      </c>
      <c r="N201" s="18">
        <v>62061.582891234102</v>
      </c>
      <c r="Q201" s="15">
        <v>2010</v>
      </c>
      <c r="R201" s="15">
        <v>8</v>
      </c>
      <c r="S201" s="15">
        <v>62022.841217544701</v>
      </c>
      <c r="U201" s="15">
        <v>2010</v>
      </c>
      <c r="V201" s="15">
        <v>8</v>
      </c>
      <c r="W201" s="15">
        <v>62068.401685150398</v>
      </c>
      <c r="Z201" s="15">
        <v>2010</v>
      </c>
      <c r="AA201" s="15">
        <v>8</v>
      </c>
      <c r="AB201" s="15">
        <v>62059.834774299597</v>
      </c>
      <c r="AD201" s="18">
        <v>2010</v>
      </c>
      <c r="AE201" s="18">
        <v>8</v>
      </c>
      <c r="AF201" s="18">
        <v>62057.716043007698</v>
      </c>
      <c r="AH201" s="10">
        <v>2010</v>
      </c>
      <c r="AI201" s="10">
        <v>8</v>
      </c>
      <c r="AJ201" s="18">
        <v>62058.7216307864</v>
      </c>
      <c r="AL201" s="15">
        <v>2010</v>
      </c>
      <c r="AM201" s="15">
        <v>8</v>
      </c>
      <c r="AN201" s="15">
        <v>62058.761300608603</v>
      </c>
      <c r="AQ201" s="18">
        <v>2010</v>
      </c>
      <c r="AR201" s="18">
        <v>8</v>
      </c>
      <c r="AS201" s="18">
        <v>62054.3529174332</v>
      </c>
      <c r="AU201" s="10">
        <v>2010</v>
      </c>
      <c r="AV201" s="10">
        <v>8</v>
      </c>
      <c r="AW201" s="15">
        <v>62044.010452792601</v>
      </c>
      <c r="AY201" s="15">
        <v>2010</v>
      </c>
      <c r="AZ201" s="15">
        <v>8</v>
      </c>
      <c r="BA201" s="15">
        <v>62049.890355296498</v>
      </c>
      <c r="BC201" s="15">
        <v>2010</v>
      </c>
      <c r="BD201" s="15">
        <v>8</v>
      </c>
      <c r="BE201" s="15">
        <v>62048.512185048603</v>
      </c>
      <c r="BG201" s="15">
        <v>2010</v>
      </c>
      <c r="BH201" s="15">
        <v>8</v>
      </c>
      <c r="BI201" s="15">
        <v>62050.551901387698</v>
      </c>
    </row>
    <row r="202" spans="1:61" x14ac:dyDescent="0.25">
      <c r="A202" s="10">
        <v>2010</v>
      </c>
      <c r="B202" s="10">
        <v>9</v>
      </c>
      <c r="C202" s="11">
        <v>62697.203730408102</v>
      </c>
      <c r="G202" s="7">
        <v>2010</v>
      </c>
      <c r="H202" s="7">
        <v>6</v>
      </c>
      <c r="I202" s="13">
        <v>59369.989980533501</v>
      </c>
      <c r="L202" s="10">
        <v>2010</v>
      </c>
      <c r="M202" s="10">
        <v>9</v>
      </c>
      <c r="N202" s="18">
        <v>62534.131969248898</v>
      </c>
      <c r="Q202" s="15">
        <v>2010</v>
      </c>
      <c r="R202" s="15">
        <v>9</v>
      </c>
      <c r="S202" s="15">
        <v>62519.373900961698</v>
      </c>
      <c r="U202" s="15">
        <v>2010</v>
      </c>
      <c r="V202" s="15">
        <v>9</v>
      </c>
      <c r="W202" s="15">
        <v>62469.555171979002</v>
      </c>
      <c r="Z202" s="15">
        <v>2010</v>
      </c>
      <c r="AA202" s="15">
        <v>9</v>
      </c>
      <c r="AB202" s="15">
        <v>62468.943426471</v>
      </c>
      <c r="AD202" s="18">
        <v>2010</v>
      </c>
      <c r="AE202" s="18">
        <v>9</v>
      </c>
      <c r="AF202" s="18">
        <v>62464.021927141599</v>
      </c>
      <c r="AH202" s="10">
        <v>2010</v>
      </c>
      <c r="AI202" s="10">
        <v>9</v>
      </c>
      <c r="AJ202" s="18">
        <v>62466.346015956697</v>
      </c>
      <c r="AL202" s="15">
        <v>2010</v>
      </c>
      <c r="AM202" s="15">
        <v>9</v>
      </c>
      <c r="AN202" s="15">
        <v>62465.705793216301</v>
      </c>
      <c r="AQ202" s="18">
        <v>2010</v>
      </c>
      <c r="AR202" s="18">
        <v>9</v>
      </c>
      <c r="AS202" s="18">
        <v>62454.735421649799</v>
      </c>
      <c r="AU202" s="10">
        <v>2010</v>
      </c>
      <c r="AV202" s="10">
        <v>9</v>
      </c>
      <c r="AW202" s="15">
        <v>62437.251365338903</v>
      </c>
      <c r="AY202" s="15">
        <v>2010</v>
      </c>
      <c r="AZ202" s="15">
        <v>9</v>
      </c>
      <c r="BA202" s="15">
        <v>62444.081889287001</v>
      </c>
      <c r="BC202" s="15">
        <v>2010</v>
      </c>
      <c r="BD202" s="15">
        <v>9</v>
      </c>
      <c r="BE202" s="15">
        <v>62440.732722846602</v>
      </c>
      <c r="BG202" s="15">
        <v>2010</v>
      </c>
      <c r="BH202" s="15">
        <v>9</v>
      </c>
      <c r="BI202" s="15">
        <v>62445.152019804402</v>
      </c>
    </row>
    <row r="203" spans="1:61" x14ac:dyDescent="0.25">
      <c r="A203" s="10">
        <v>2010</v>
      </c>
      <c r="B203" s="10">
        <v>10</v>
      </c>
      <c r="C203" s="11">
        <v>58963.136721131603</v>
      </c>
      <c r="G203" s="7">
        <v>2010</v>
      </c>
      <c r="H203" s="7">
        <v>7</v>
      </c>
      <c r="I203" s="13">
        <v>55858.574623043598</v>
      </c>
      <c r="L203" s="10">
        <v>2010</v>
      </c>
      <c r="M203" s="10">
        <v>10</v>
      </c>
      <c r="N203" s="18">
        <v>58608.535436196304</v>
      </c>
      <c r="Q203" s="15">
        <v>2010</v>
      </c>
      <c r="R203" s="15">
        <v>10</v>
      </c>
      <c r="S203" s="15">
        <v>58620.900314799401</v>
      </c>
      <c r="U203" s="15">
        <v>2010</v>
      </c>
      <c r="V203" s="15">
        <v>10</v>
      </c>
      <c r="W203" s="15">
        <v>58708.504137340002</v>
      </c>
      <c r="Z203" s="15">
        <v>2010</v>
      </c>
      <c r="AA203" s="15">
        <v>10</v>
      </c>
      <c r="AB203" s="15">
        <v>58690.515226610303</v>
      </c>
      <c r="AD203" s="18">
        <v>2010</v>
      </c>
      <c r="AE203" s="18">
        <v>10</v>
      </c>
      <c r="AF203" s="18">
        <v>58709.5897591963</v>
      </c>
      <c r="AH203" s="10">
        <v>2010</v>
      </c>
      <c r="AI203" s="10">
        <v>10</v>
      </c>
      <c r="AJ203" s="18">
        <v>58702.404111558797</v>
      </c>
      <c r="AL203" s="15">
        <v>2010</v>
      </c>
      <c r="AM203" s="15">
        <v>10</v>
      </c>
      <c r="AN203" s="15">
        <v>58699.814339734497</v>
      </c>
      <c r="AQ203" s="18">
        <v>2010</v>
      </c>
      <c r="AR203" s="18">
        <v>10</v>
      </c>
      <c r="AS203" s="18">
        <v>58725.018763323198</v>
      </c>
      <c r="AU203" s="10">
        <v>2010</v>
      </c>
      <c r="AV203" s="10">
        <v>10</v>
      </c>
      <c r="AW203" s="15">
        <v>58763.2787332628</v>
      </c>
      <c r="AY203" s="15">
        <v>2010</v>
      </c>
      <c r="AZ203" s="15">
        <v>10</v>
      </c>
      <c r="BA203" s="15">
        <v>58754.680503424002</v>
      </c>
      <c r="BC203" s="15">
        <v>2010</v>
      </c>
      <c r="BD203" s="15">
        <v>10</v>
      </c>
      <c r="BE203" s="15">
        <v>58763.745070760502</v>
      </c>
      <c r="BG203" s="15">
        <v>2010</v>
      </c>
      <c r="BH203" s="15">
        <v>10</v>
      </c>
      <c r="BI203" s="15">
        <v>58753.756836528497</v>
      </c>
    </row>
    <row r="204" spans="1:61" x14ac:dyDescent="0.25">
      <c r="A204" s="10">
        <v>2010</v>
      </c>
      <c r="B204" s="10">
        <v>11</v>
      </c>
      <c r="C204" s="11">
        <v>66908.313428994894</v>
      </c>
      <c r="G204" s="7">
        <v>2010</v>
      </c>
      <c r="H204" s="7">
        <v>8</v>
      </c>
      <c r="I204" s="13">
        <v>62862.138081629797</v>
      </c>
      <c r="L204" s="10">
        <v>2010</v>
      </c>
      <c r="M204" s="10">
        <v>11</v>
      </c>
      <c r="N204" s="18">
        <v>66728.7702831559</v>
      </c>
      <c r="Q204" s="15">
        <v>2010</v>
      </c>
      <c r="R204" s="15">
        <v>11</v>
      </c>
      <c r="S204" s="15">
        <v>66705.912268891101</v>
      </c>
      <c r="U204" s="15">
        <v>2010</v>
      </c>
      <c r="V204" s="15">
        <v>11</v>
      </c>
      <c r="W204" s="15">
        <v>66644.056666434306</v>
      </c>
      <c r="Z204" s="15">
        <v>2010</v>
      </c>
      <c r="AA204" s="15">
        <v>11</v>
      </c>
      <c r="AB204" s="15">
        <v>66644.416797977101</v>
      </c>
      <c r="AD204" s="18">
        <v>2010</v>
      </c>
      <c r="AE204" s="18">
        <v>11</v>
      </c>
      <c r="AF204" s="18">
        <v>66645.712854448793</v>
      </c>
      <c r="AH204" s="10">
        <v>2010</v>
      </c>
      <c r="AI204" s="10">
        <v>11</v>
      </c>
      <c r="AJ204" s="18">
        <v>66648.335457477297</v>
      </c>
      <c r="AL204" s="15">
        <v>2010</v>
      </c>
      <c r="AM204" s="15">
        <v>11</v>
      </c>
      <c r="AN204" s="15">
        <v>66647.5514387351</v>
      </c>
      <c r="AQ204" s="18">
        <v>2010</v>
      </c>
      <c r="AR204" s="18">
        <v>11</v>
      </c>
      <c r="AS204" s="18">
        <v>66635.026405842407</v>
      </c>
      <c r="AU204" s="10">
        <v>2010</v>
      </c>
      <c r="AV204" s="10">
        <v>11</v>
      </c>
      <c r="AW204" s="15">
        <v>66615.008003287803</v>
      </c>
      <c r="AY204" s="15">
        <v>2010</v>
      </c>
      <c r="AZ204" s="15">
        <v>11</v>
      </c>
      <c r="BA204" s="15">
        <v>66622.755532215699</v>
      </c>
      <c r="BC204" s="15">
        <v>2010</v>
      </c>
      <c r="BD204" s="15">
        <v>11</v>
      </c>
      <c r="BE204" s="15">
        <v>66618.917024681999</v>
      </c>
      <c r="BG204" s="15">
        <v>2010</v>
      </c>
      <c r="BH204" s="15">
        <v>11</v>
      </c>
      <c r="BI204" s="15">
        <v>66623.945777215005</v>
      </c>
    </row>
    <row r="205" spans="1:61" x14ac:dyDescent="0.25">
      <c r="A205" s="10">
        <v>2010</v>
      </c>
      <c r="B205" s="10">
        <v>12</v>
      </c>
      <c r="C205" s="11">
        <v>68574.904442781204</v>
      </c>
      <c r="G205" s="7">
        <v>2010</v>
      </c>
      <c r="H205" s="7">
        <v>9</v>
      </c>
      <c r="I205" s="13">
        <v>62910.308212996999</v>
      </c>
      <c r="L205" s="10">
        <v>2010</v>
      </c>
      <c r="M205" s="10">
        <v>12</v>
      </c>
      <c r="N205" s="18">
        <v>68365.244324375599</v>
      </c>
      <c r="Q205" s="15">
        <v>2010</v>
      </c>
      <c r="R205" s="15">
        <v>12</v>
      </c>
      <c r="S205" s="15">
        <v>68674.851302192197</v>
      </c>
      <c r="U205" s="15">
        <v>2010</v>
      </c>
      <c r="V205" s="15">
        <v>12</v>
      </c>
      <c r="W205" s="15">
        <v>68332.210629272595</v>
      </c>
      <c r="Z205" s="15">
        <v>2010</v>
      </c>
      <c r="AA205" s="15">
        <v>12</v>
      </c>
      <c r="AB205" s="15">
        <v>68349.943609580005</v>
      </c>
      <c r="AD205" s="18">
        <v>2010</v>
      </c>
      <c r="AE205" s="18">
        <v>12</v>
      </c>
      <c r="AF205" s="18">
        <v>68349.630787227899</v>
      </c>
      <c r="AH205" s="10">
        <v>2010</v>
      </c>
      <c r="AI205" s="10">
        <v>12</v>
      </c>
      <c r="AJ205" s="18">
        <v>68357.065098596402</v>
      </c>
      <c r="AL205" s="15">
        <v>2010</v>
      </c>
      <c r="AM205" s="15">
        <v>12</v>
      </c>
      <c r="AN205" s="15">
        <v>68360.803709060099</v>
      </c>
      <c r="AQ205" s="18">
        <v>2010</v>
      </c>
      <c r="AR205" s="18">
        <v>12</v>
      </c>
      <c r="AS205" s="18">
        <v>68335.491108211805</v>
      </c>
      <c r="AU205" s="10">
        <v>2010</v>
      </c>
      <c r="AV205" s="10">
        <v>12</v>
      </c>
      <c r="AW205" s="15">
        <v>68271.630053738307</v>
      </c>
      <c r="AY205" s="15">
        <v>2010</v>
      </c>
      <c r="AZ205" s="15">
        <v>12</v>
      </c>
      <c r="BA205" s="15">
        <v>68303.188967648806</v>
      </c>
      <c r="BC205" s="15">
        <v>2010</v>
      </c>
      <c r="BD205" s="15">
        <v>12</v>
      </c>
      <c r="BE205" s="15">
        <v>68293.381278140601</v>
      </c>
      <c r="BG205" s="15">
        <v>2010</v>
      </c>
      <c r="BH205" s="15">
        <v>12</v>
      </c>
      <c r="BI205" s="15">
        <v>68303.989299198103</v>
      </c>
    </row>
    <row r="206" spans="1:61" x14ac:dyDescent="0.25">
      <c r="A206" s="10">
        <v>2011</v>
      </c>
      <c r="B206" s="10">
        <v>1</v>
      </c>
      <c r="C206" s="11">
        <v>67784.720814754706</v>
      </c>
      <c r="G206" s="7">
        <v>2010</v>
      </c>
      <c r="H206" s="7">
        <v>10</v>
      </c>
      <c r="I206" s="13">
        <v>59590.643404670896</v>
      </c>
      <c r="L206" s="10">
        <v>2011</v>
      </c>
      <c r="M206" s="10">
        <v>1</v>
      </c>
      <c r="N206" s="18">
        <v>67531.259624697705</v>
      </c>
      <c r="Q206" s="15">
        <v>2011</v>
      </c>
      <c r="R206" s="15">
        <v>1</v>
      </c>
      <c r="S206" s="15">
        <v>67544.250212298895</v>
      </c>
      <c r="U206" s="15">
        <v>2011</v>
      </c>
      <c r="V206" s="15">
        <v>1</v>
      </c>
      <c r="W206" s="15">
        <v>67598.821146496397</v>
      </c>
      <c r="Z206" s="15">
        <v>2011</v>
      </c>
      <c r="AA206" s="15">
        <v>1</v>
      </c>
      <c r="AB206" s="15">
        <v>67586.839080204503</v>
      </c>
      <c r="AD206" s="18">
        <v>2011</v>
      </c>
      <c r="AE206" s="18">
        <v>1</v>
      </c>
      <c r="AF206" s="18">
        <v>67608.223812829907</v>
      </c>
      <c r="AH206" s="10">
        <v>2011</v>
      </c>
      <c r="AI206" s="10">
        <v>1</v>
      </c>
      <c r="AJ206" s="18">
        <v>67601.990478640102</v>
      </c>
      <c r="AL206" s="15">
        <v>2011</v>
      </c>
      <c r="AM206" s="15">
        <v>1</v>
      </c>
      <c r="AN206" s="15">
        <v>67599.501176150196</v>
      </c>
      <c r="AQ206" s="18">
        <v>2011</v>
      </c>
      <c r="AR206" s="18">
        <v>1</v>
      </c>
      <c r="AS206" s="18">
        <v>67620.570922318497</v>
      </c>
      <c r="AU206" s="10">
        <v>2011</v>
      </c>
      <c r="AV206" s="10">
        <v>1</v>
      </c>
      <c r="AW206" s="15">
        <v>67652.937544317698</v>
      </c>
      <c r="AY206" s="15">
        <v>2011</v>
      </c>
      <c r="AZ206" s="15">
        <v>1</v>
      </c>
      <c r="BA206" s="15">
        <v>67645.004752915396</v>
      </c>
      <c r="BC206" s="15">
        <v>2011</v>
      </c>
      <c r="BD206" s="15">
        <v>1</v>
      </c>
      <c r="BE206" s="15">
        <v>67652.516139836895</v>
      </c>
      <c r="BG206" s="15">
        <v>2011</v>
      </c>
      <c r="BH206" s="15">
        <v>1</v>
      </c>
      <c r="BI206" s="15">
        <v>67644.232470666902</v>
      </c>
    </row>
    <row r="207" spans="1:61" x14ac:dyDescent="0.25">
      <c r="A207" s="10">
        <v>2011</v>
      </c>
      <c r="B207" s="10">
        <v>2</v>
      </c>
      <c r="C207" s="11">
        <v>49902.613097664398</v>
      </c>
      <c r="G207" s="7">
        <v>2010</v>
      </c>
      <c r="H207" s="7">
        <v>11</v>
      </c>
      <c r="I207" s="13">
        <v>65146.404595496402</v>
      </c>
      <c r="L207" s="10">
        <v>2011</v>
      </c>
      <c r="M207" s="10">
        <v>2</v>
      </c>
      <c r="N207" s="18">
        <v>52832.915909566698</v>
      </c>
      <c r="Q207" s="15">
        <v>2011</v>
      </c>
      <c r="R207" s="15">
        <v>2</v>
      </c>
      <c r="S207" s="15">
        <v>52371.346746513504</v>
      </c>
      <c r="U207" s="15">
        <v>2011</v>
      </c>
      <c r="V207" s="15">
        <v>2</v>
      </c>
      <c r="W207" s="15">
        <v>53170.204721272501</v>
      </c>
      <c r="Z207" s="15">
        <v>2011</v>
      </c>
      <c r="AA207" s="15">
        <v>2</v>
      </c>
      <c r="AB207" s="15">
        <v>53250.877133797097</v>
      </c>
      <c r="AD207" s="18">
        <v>2011</v>
      </c>
      <c r="AE207" s="18">
        <v>2</v>
      </c>
      <c r="AF207" s="18">
        <v>53304.831730039601</v>
      </c>
      <c r="AH207" s="10">
        <v>2011</v>
      </c>
      <c r="AI207" s="10">
        <v>2</v>
      </c>
      <c r="AJ207" s="18">
        <v>53312.801463469601</v>
      </c>
      <c r="AL207" s="15">
        <v>2011</v>
      </c>
      <c r="AM207" s="15">
        <v>2</v>
      </c>
      <c r="AN207" s="15">
        <v>53332.952706058801</v>
      </c>
      <c r="AQ207" s="18">
        <v>2011</v>
      </c>
      <c r="AR207" s="18">
        <v>2</v>
      </c>
      <c r="AS207" s="18">
        <v>53331.340896331698</v>
      </c>
      <c r="AU207" s="10">
        <v>2011</v>
      </c>
      <c r="AV207" s="10">
        <v>2</v>
      </c>
      <c r="AW207" s="15">
        <v>53261.704840355203</v>
      </c>
      <c r="AY207" s="15">
        <v>2011</v>
      </c>
      <c r="AZ207" s="15">
        <v>2</v>
      </c>
      <c r="BA207" s="15">
        <v>53298.336158018901</v>
      </c>
      <c r="BC207" s="15">
        <v>2011</v>
      </c>
      <c r="BD207" s="15">
        <v>2</v>
      </c>
      <c r="BE207" s="15">
        <v>53288.913627516398</v>
      </c>
      <c r="BG207" s="15">
        <v>2011</v>
      </c>
      <c r="BH207" s="15">
        <v>2</v>
      </c>
      <c r="BI207" s="15">
        <v>53291.731382424703</v>
      </c>
    </row>
    <row r="208" spans="1:61" x14ac:dyDescent="0.25">
      <c r="A208" s="10">
        <v>2011</v>
      </c>
      <c r="B208" s="10">
        <v>3</v>
      </c>
      <c r="C208" s="11">
        <v>66234.500104403996</v>
      </c>
      <c r="G208" s="7">
        <v>2010</v>
      </c>
      <c r="H208" s="7">
        <v>12</v>
      </c>
      <c r="I208" s="13">
        <v>67918.941108995394</v>
      </c>
      <c r="L208" s="10">
        <v>2011</v>
      </c>
      <c r="M208" s="10">
        <v>3</v>
      </c>
      <c r="N208" s="18">
        <v>65933.607247741806</v>
      </c>
      <c r="Q208" s="15">
        <v>2011</v>
      </c>
      <c r="R208" s="15">
        <v>3</v>
      </c>
      <c r="S208" s="15">
        <v>65919.284484545002</v>
      </c>
      <c r="U208" s="15">
        <v>2011</v>
      </c>
      <c r="V208" s="15">
        <v>3</v>
      </c>
      <c r="W208" s="15">
        <v>65810.852974457797</v>
      </c>
      <c r="Z208" s="15">
        <v>2011</v>
      </c>
      <c r="AA208" s="15">
        <v>3</v>
      </c>
      <c r="AB208" s="15">
        <v>65821.671959837797</v>
      </c>
      <c r="AD208" s="18">
        <v>2011</v>
      </c>
      <c r="AE208" s="18">
        <v>3</v>
      </c>
      <c r="AF208" s="18">
        <v>65812.905422083801</v>
      </c>
      <c r="AH208" s="10">
        <v>2011</v>
      </c>
      <c r="AI208" s="10">
        <v>3</v>
      </c>
      <c r="AJ208" s="18">
        <v>65817.988407383906</v>
      </c>
      <c r="AL208" s="15">
        <v>2011</v>
      </c>
      <c r="AM208" s="15">
        <v>3</v>
      </c>
      <c r="AN208" s="15">
        <v>65817.929065830802</v>
      </c>
      <c r="AQ208" s="18">
        <v>2011</v>
      </c>
      <c r="AR208" s="18">
        <v>3</v>
      </c>
      <c r="AS208" s="18">
        <v>65795.997451088595</v>
      </c>
      <c r="AU208" s="10">
        <v>2011</v>
      </c>
      <c r="AV208" s="10">
        <v>3</v>
      </c>
      <c r="AW208" s="15">
        <v>65754.867974380002</v>
      </c>
      <c r="AY208" s="15">
        <v>2011</v>
      </c>
      <c r="AZ208" s="15">
        <v>3</v>
      </c>
      <c r="BA208" s="15">
        <v>65772.054626658603</v>
      </c>
      <c r="BC208" s="15">
        <v>2011</v>
      </c>
      <c r="BD208" s="15">
        <v>3</v>
      </c>
      <c r="BE208" s="15">
        <v>65764.691344683102</v>
      </c>
      <c r="BG208" s="15">
        <v>2011</v>
      </c>
      <c r="BH208" s="15">
        <v>3</v>
      </c>
      <c r="BI208" s="15">
        <v>65773.571075454704</v>
      </c>
    </row>
    <row r="209" spans="1:61" x14ac:dyDescent="0.25">
      <c r="A209" s="10">
        <v>2011</v>
      </c>
      <c r="B209" s="10">
        <v>4</v>
      </c>
      <c r="C209" s="11">
        <v>71934.229501909795</v>
      </c>
      <c r="G209" s="7">
        <v>2011</v>
      </c>
      <c r="H209" s="7">
        <v>1</v>
      </c>
      <c r="I209" s="13">
        <v>66123.397845189698</v>
      </c>
      <c r="L209" s="10">
        <v>2011</v>
      </c>
      <c r="M209" s="10">
        <v>4</v>
      </c>
      <c r="N209" s="18">
        <v>71632.015854427795</v>
      </c>
      <c r="Q209" s="15">
        <v>2011</v>
      </c>
      <c r="R209" s="15">
        <v>4</v>
      </c>
      <c r="S209" s="15">
        <v>71650.841449885294</v>
      </c>
      <c r="U209" s="15">
        <v>2011</v>
      </c>
      <c r="V209" s="15">
        <v>4</v>
      </c>
      <c r="W209" s="15">
        <v>71689.080680555999</v>
      </c>
      <c r="Z209" s="15">
        <v>2011</v>
      </c>
      <c r="AA209" s="15">
        <v>4</v>
      </c>
      <c r="AB209" s="15">
        <v>71683.750914921999</v>
      </c>
      <c r="AD209" s="18">
        <v>2011</v>
      </c>
      <c r="AE209" s="18">
        <v>4</v>
      </c>
      <c r="AF209" s="18">
        <v>71691.802486042798</v>
      </c>
      <c r="AH209" s="10">
        <v>2011</v>
      </c>
      <c r="AI209" s="10">
        <v>4</v>
      </c>
      <c r="AJ209" s="18">
        <v>71687.621299640901</v>
      </c>
      <c r="AL209" s="15">
        <v>2011</v>
      </c>
      <c r="AM209" s="15">
        <v>4</v>
      </c>
      <c r="AN209" s="15">
        <v>71685.945350796901</v>
      </c>
      <c r="AQ209" s="18">
        <v>2011</v>
      </c>
      <c r="AR209" s="18">
        <v>4</v>
      </c>
      <c r="AS209" s="18">
        <v>71699.719718936598</v>
      </c>
      <c r="AU209" s="10">
        <v>2011</v>
      </c>
      <c r="AV209" s="10">
        <v>4</v>
      </c>
      <c r="AW209" s="15">
        <v>71722.493702301494</v>
      </c>
      <c r="AY209" s="15">
        <v>2011</v>
      </c>
      <c r="AZ209" s="15">
        <v>4</v>
      </c>
      <c r="BA209" s="15">
        <v>71715.189392901695</v>
      </c>
      <c r="BC209" s="15">
        <v>2011</v>
      </c>
      <c r="BD209" s="15">
        <v>4</v>
      </c>
      <c r="BE209" s="15">
        <v>71719.962784706702</v>
      </c>
      <c r="BG209" s="15">
        <v>2011</v>
      </c>
      <c r="BH209" s="15">
        <v>4</v>
      </c>
      <c r="BI209" s="15">
        <v>71714.661492119296</v>
      </c>
    </row>
    <row r="210" spans="1:61" x14ac:dyDescent="0.25">
      <c r="A210" s="10">
        <v>2011</v>
      </c>
      <c r="B210" s="10">
        <v>5</v>
      </c>
      <c r="C210" s="11">
        <v>74708.212527010604</v>
      </c>
      <c r="G210" s="7">
        <v>2011</v>
      </c>
      <c r="H210" s="7">
        <v>2</v>
      </c>
      <c r="I210" s="13">
        <v>49762.347822208598</v>
      </c>
      <c r="L210" s="10">
        <v>2011</v>
      </c>
      <c r="M210" s="10">
        <v>5</v>
      </c>
      <c r="N210" s="18">
        <v>74445.725893260795</v>
      </c>
      <c r="Q210" s="15">
        <v>2011</v>
      </c>
      <c r="R210" s="15">
        <v>5</v>
      </c>
      <c r="S210" s="15">
        <v>74449.626550850197</v>
      </c>
      <c r="U210" s="15">
        <v>2011</v>
      </c>
      <c r="V210" s="15">
        <v>5</v>
      </c>
      <c r="W210" s="15">
        <v>74443.328010656594</v>
      </c>
      <c r="Z210" s="15">
        <v>2011</v>
      </c>
      <c r="AA210" s="15">
        <v>5</v>
      </c>
      <c r="AB210" s="15">
        <v>74445.018345747099</v>
      </c>
      <c r="AD210" s="18">
        <v>2011</v>
      </c>
      <c r="AE210" s="18">
        <v>5</v>
      </c>
      <c r="AF210" s="18">
        <v>74443.611974466607</v>
      </c>
      <c r="AH210" s="10">
        <v>2011</v>
      </c>
      <c r="AI210" s="10">
        <v>5</v>
      </c>
      <c r="AJ210" s="18">
        <v>74443.359814939002</v>
      </c>
      <c r="AL210" s="15">
        <v>2011</v>
      </c>
      <c r="AM210" s="15">
        <v>5</v>
      </c>
      <c r="AN210" s="15">
        <v>74442.602514438302</v>
      </c>
      <c r="AQ210" s="18">
        <v>2011</v>
      </c>
      <c r="AR210" s="18">
        <v>5</v>
      </c>
      <c r="AS210" s="18">
        <v>74441.556856549607</v>
      </c>
      <c r="AU210" s="10">
        <v>2011</v>
      </c>
      <c r="AV210" s="10">
        <v>5</v>
      </c>
      <c r="AW210" s="15">
        <v>74442.304783702493</v>
      </c>
      <c r="AY210" s="15">
        <v>2011</v>
      </c>
      <c r="AZ210" s="15">
        <v>5</v>
      </c>
      <c r="BA210" s="15">
        <v>74440.357042224598</v>
      </c>
      <c r="BC210" s="15">
        <v>2011</v>
      </c>
      <c r="BD210" s="15">
        <v>5</v>
      </c>
      <c r="BE210" s="15">
        <v>74439.986862877398</v>
      </c>
      <c r="BG210" s="15">
        <v>2011</v>
      </c>
      <c r="BH210" s="15">
        <v>5</v>
      </c>
      <c r="BI210" s="15">
        <v>74440.636544642504</v>
      </c>
    </row>
    <row r="211" spans="1:61" x14ac:dyDescent="0.25">
      <c r="A211" s="10">
        <v>2011</v>
      </c>
      <c r="B211" s="10">
        <v>6</v>
      </c>
      <c r="C211" s="11">
        <v>74537.368802043798</v>
      </c>
      <c r="G211" s="7">
        <v>2011</v>
      </c>
      <c r="H211" s="7">
        <v>3</v>
      </c>
      <c r="I211" s="13">
        <v>67850.930710513305</v>
      </c>
      <c r="L211" s="10">
        <v>2011</v>
      </c>
      <c r="M211" s="10">
        <v>6</v>
      </c>
      <c r="N211" s="18">
        <v>74747.184601399407</v>
      </c>
      <c r="Q211" s="15">
        <v>2011</v>
      </c>
      <c r="R211" s="15">
        <v>6</v>
      </c>
      <c r="S211" s="15">
        <v>74701.313942643596</v>
      </c>
      <c r="U211" s="15">
        <v>2011</v>
      </c>
      <c r="V211" s="15">
        <v>6</v>
      </c>
      <c r="W211" s="15">
        <v>74770.981820319794</v>
      </c>
      <c r="Z211" s="15">
        <v>2011</v>
      </c>
      <c r="AA211" s="15">
        <v>6</v>
      </c>
      <c r="AB211" s="15">
        <v>74742.559367895694</v>
      </c>
      <c r="AD211" s="18">
        <v>2011</v>
      </c>
      <c r="AE211" s="18">
        <v>6</v>
      </c>
      <c r="AF211" s="18">
        <v>74709.166396608998</v>
      </c>
      <c r="AH211" s="10">
        <v>2011</v>
      </c>
      <c r="AI211" s="10">
        <v>6</v>
      </c>
      <c r="AJ211" s="18">
        <v>74707.053094658593</v>
      </c>
      <c r="AL211" s="15">
        <v>2011</v>
      </c>
      <c r="AM211" s="15">
        <v>6</v>
      </c>
      <c r="AN211" s="15">
        <v>74704.699177960094</v>
      </c>
      <c r="AQ211" s="18">
        <v>2011</v>
      </c>
      <c r="AR211" s="18">
        <v>6</v>
      </c>
      <c r="AS211" s="18">
        <v>74717.724370046402</v>
      </c>
      <c r="AU211" s="10">
        <v>2011</v>
      </c>
      <c r="AV211" s="10">
        <v>6</v>
      </c>
      <c r="AW211" s="15">
        <v>74818.723128546102</v>
      </c>
      <c r="AY211" s="15">
        <v>2011</v>
      </c>
      <c r="AZ211" s="15">
        <v>6</v>
      </c>
      <c r="BA211" s="15">
        <v>74745.082432827301</v>
      </c>
      <c r="BC211" s="15">
        <v>2011</v>
      </c>
      <c r="BD211" s="15">
        <v>6</v>
      </c>
      <c r="BE211" s="15">
        <v>74753.289329661697</v>
      </c>
      <c r="BG211" s="15">
        <v>2011</v>
      </c>
      <c r="BH211" s="15">
        <v>6</v>
      </c>
      <c r="BI211" s="15">
        <v>74744.910281730903</v>
      </c>
    </row>
    <row r="212" spans="1:61" x14ac:dyDescent="0.25">
      <c r="A212" s="10">
        <v>2011</v>
      </c>
      <c r="B212" s="10">
        <v>7</v>
      </c>
      <c r="C212" s="11">
        <v>69093.273397777506</v>
      </c>
      <c r="G212" s="7">
        <v>2011</v>
      </c>
      <c r="H212" s="7">
        <v>4</v>
      </c>
      <c r="I212" s="13">
        <v>72280.905529769996</v>
      </c>
      <c r="L212" s="10">
        <v>2011</v>
      </c>
      <c r="M212" s="10">
        <v>7</v>
      </c>
      <c r="N212" s="18">
        <v>68770.528736614404</v>
      </c>
      <c r="Q212" s="15">
        <v>2011</v>
      </c>
      <c r="R212" s="15">
        <v>7</v>
      </c>
      <c r="S212" s="15">
        <v>68794.393599048199</v>
      </c>
      <c r="U212" s="15">
        <v>2011</v>
      </c>
      <c r="V212" s="15">
        <v>7</v>
      </c>
      <c r="W212" s="15">
        <v>68909.695985039303</v>
      </c>
      <c r="Z212" s="15">
        <v>2011</v>
      </c>
      <c r="AA212" s="15">
        <v>7</v>
      </c>
      <c r="AB212" s="15">
        <v>68894.547587833702</v>
      </c>
      <c r="AD212" s="18">
        <v>2011</v>
      </c>
      <c r="AE212" s="18">
        <v>7</v>
      </c>
      <c r="AF212" s="18">
        <v>68912.776993215899</v>
      </c>
      <c r="AH212" s="10">
        <v>2011</v>
      </c>
      <c r="AI212" s="10">
        <v>7</v>
      </c>
      <c r="AJ212" s="18">
        <v>68904.758622266803</v>
      </c>
      <c r="AL212" s="15">
        <v>2011</v>
      </c>
      <c r="AM212" s="15">
        <v>7</v>
      </c>
      <c r="AN212" s="15">
        <v>68902.640355998898</v>
      </c>
      <c r="AQ212" s="18">
        <v>2011</v>
      </c>
      <c r="AR212" s="18">
        <v>7</v>
      </c>
      <c r="AS212" s="18">
        <v>68931.597305951102</v>
      </c>
      <c r="AU212" s="10">
        <v>2011</v>
      </c>
      <c r="AV212" s="10">
        <v>7</v>
      </c>
      <c r="AW212" s="15">
        <v>68978.035981739493</v>
      </c>
      <c r="AY212" s="15">
        <v>2011</v>
      </c>
      <c r="AZ212" s="15">
        <v>7</v>
      </c>
      <c r="BA212" s="15">
        <v>68963.954928494903</v>
      </c>
      <c r="BC212" s="15">
        <v>2011</v>
      </c>
      <c r="BD212" s="15">
        <v>7</v>
      </c>
      <c r="BE212" s="15">
        <v>68973.879721081394</v>
      </c>
      <c r="BG212" s="15">
        <v>2011</v>
      </c>
      <c r="BH212" s="15">
        <v>7</v>
      </c>
      <c r="BI212" s="15">
        <v>68962.632310127199</v>
      </c>
    </row>
    <row r="213" spans="1:61" x14ac:dyDescent="0.25">
      <c r="A213" s="10">
        <v>2011</v>
      </c>
      <c r="B213" s="10">
        <v>8</v>
      </c>
      <c r="C213" s="11">
        <v>73573.7024901369</v>
      </c>
      <c r="G213" s="7">
        <v>2011</v>
      </c>
      <c r="H213" s="7">
        <v>5</v>
      </c>
      <c r="I213" s="13">
        <v>75031.781502346406</v>
      </c>
      <c r="L213" s="10">
        <v>2011</v>
      </c>
      <c r="M213" s="10">
        <v>8</v>
      </c>
      <c r="N213" s="18">
        <v>73079.3270944658</v>
      </c>
      <c r="Q213" s="15">
        <v>2011</v>
      </c>
      <c r="R213" s="15">
        <v>8</v>
      </c>
      <c r="S213" s="15">
        <v>73004.903017167904</v>
      </c>
      <c r="U213" s="15">
        <v>2011</v>
      </c>
      <c r="V213" s="15">
        <v>8</v>
      </c>
      <c r="W213" s="15">
        <v>72961.138451594001</v>
      </c>
      <c r="Z213" s="15">
        <v>2011</v>
      </c>
      <c r="AA213" s="15">
        <v>8</v>
      </c>
      <c r="AB213" s="15">
        <v>72960.470014402599</v>
      </c>
      <c r="AD213" s="18">
        <v>2011</v>
      </c>
      <c r="AE213" s="18">
        <v>8</v>
      </c>
      <c r="AF213" s="18">
        <v>72944.963488690206</v>
      </c>
      <c r="AH213" s="10">
        <v>2011</v>
      </c>
      <c r="AI213" s="10">
        <v>8</v>
      </c>
      <c r="AJ213" s="18">
        <v>72953.016430984295</v>
      </c>
      <c r="AL213" s="15">
        <v>2011</v>
      </c>
      <c r="AM213" s="15">
        <v>8</v>
      </c>
      <c r="AN213" s="15">
        <v>72954.755491589196</v>
      </c>
      <c r="AQ213" s="18">
        <v>2011</v>
      </c>
      <c r="AR213" s="18">
        <v>8</v>
      </c>
      <c r="AS213" s="18">
        <v>72923.338718468003</v>
      </c>
      <c r="AU213" s="10">
        <v>2011</v>
      </c>
      <c r="AV213" s="10">
        <v>8</v>
      </c>
      <c r="AW213" s="15">
        <v>72869.836907861696</v>
      </c>
      <c r="AY213" s="15">
        <v>2011</v>
      </c>
      <c r="AZ213" s="15">
        <v>8</v>
      </c>
      <c r="BA213" s="15">
        <v>72888.225855743498</v>
      </c>
      <c r="BC213" s="15">
        <v>2011</v>
      </c>
      <c r="BD213" s="15">
        <v>8</v>
      </c>
      <c r="BE213" s="15">
        <v>72877.402716033801</v>
      </c>
      <c r="BG213" s="15">
        <v>2011</v>
      </c>
      <c r="BH213" s="15">
        <v>8</v>
      </c>
      <c r="BI213" s="15">
        <v>72890.569224338193</v>
      </c>
    </row>
    <row r="214" spans="1:61" x14ac:dyDescent="0.25">
      <c r="A214" s="10">
        <v>2011</v>
      </c>
      <c r="B214" s="10">
        <v>9</v>
      </c>
      <c r="C214" s="11">
        <v>69224.371957580093</v>
      </c>
      <c r="G214" s="7">
        <v>2011</v>
      </c>
      <c r="H214" s="7">
        <v>6</v>
      </c>
      <c r="I214" s="13">
        <v>74889.479731556305</v>
      </c>
      <c r="L214" s="10">
        <v>2011</v>
      </c>
      <c r="M214" s="10">
        <v>9</v>
      </c>
      <c r="N214" s="18">
        <v>69120.942976942199</v>
      </c>
      <c r="Q214" s="15">
        <v>2011</v>
      </c>
      <c r="R214" s="15">
        <v>9</v>
      </c>
      <c r="S214" s="15">
        <v>69108.464818376204</v>
      </c>
      <c r="U214" s="15">
        <v>2011</v>
      </c>
      <c r="V214" s="15">
        <v>9</v>
      </c>
      <c r="W214" s="15">
        <v>69036.323769002498</v>
      </c>
      <c r="Z214" s="15">
        <v>2011</v>
      </c>
      <c r="AA214" s="15">
        <v>9</v>
      </c>
      <c r="AB214" s="15">
        <v>69033.992665728001</v>
      </c>
      <c r="AD214" s="18">
        <v>2011</v>
      </c>
      <c r="AE214" s="18">
        <v>9</v>
      </c>
      <c r="AF214" s="18">
        <v>69027.887228122796</v>
      </c>
      <c r="AH214" s="10">
        <v>2011</v>
      </c>
      <c r="AI214" s="10">
        <v>9</v>
      </c>
      <c r="AJ214" s="18">
        <v>69030.646938243895</v>
      </c>
      <c r="AL214" s="15">
        <v>2011</v>
      </c>
      <c r="AM214" s="15">
        <v>9</v>
      </c>
      <c r="AN214" s="15">
        <v>69030.101870843995</v>
      </c>
      <c r="AQ214" s="18">
        <v>2011</v>
      </c>
      <c r="AR214" s="18">
        <v>9</v>
      </c>
      <c r="AS214" s="18">
        <v>69017.049092408794</v>
      </c>
      <c r="AU214" s="10">
        <v>2011</v>
      </c>
      <c r="AV214" s="10">
        <v>9</v>
      </c>
      <c r="AW214" s="15">
        <v>68996.055417993193</v>
      </c>
      <c r="AY214" s="15">
        <v>2011</v>
      </c>
      <c r="AZ214" s="15">
        <v>9</v>
      </c>
      <c r="BA214" s="15">
        <v>69003.961575952097</v>
      </c>
      <c r="BC214" s="15">
        <v>2011</v>
      </c>
      <c r="BD214" s="15">
        <v>9</v>
      </c>
      <c r="BE214" s="15">
        <v>68999.823879404794</v>
      </c>
      <c r="BG214" s="15">
        <v>2011</v>
      </c>
      <c r="BH214" s="15">
        <v>9</v>
      </c>
      <c r="BI214" s="15">
        <v>69005.291970324804</v>
      </c>
    </row>
    <row r="215" spans="1:61" x14ac:dyDescent="0.25">
      <c r="A215" s="10">
        <v>2011</v>
      </c>
      <c r="B215" s="10">
        <v>10</v>
      </c>
      <c r="C215" s="11">
        <v>65444.882872344097</v>
      </c>
      <c r="G215" s="7">
        <v>2011</v>
      </c>
      <c r="H215" s="7">
        <v>7</v>
      </c>
      <c r="I215" s="13">
        <v>69887.752670125003</v>
      </c>
      <c r="L215" s="10">
        <v>2011</v>
      </c>
      <c r="M215" s="10">
        <v>10</v>
      </c>
      <c r="N215" s="18">
        <v>65044.630374688597</v>
      </c>
      <c r="Q215" s="15">
        <v>2011</v>
      </c>
      <c r="R215" s="15">
        <v>10</v>
      </c>
      <c r="S215" s="15">
        <v>65067.078335936603</v>
      </c>
      <c r="U215" s="15">
        <v>2011</v>
      </c>
      <c r="V215" s="15">
        <v>10</v>
      </c>
      <c r="W215" s="15">
        <v>65138.141214787902</v>
      </c>
      <c r="Z215" s="15">
        <v>2011</v>
      </c>
      <c r="AA215" s="15">
        <v>10</v>
      </c>
      <c r="AB215" s="15">
        <v>65116.592939319198</v>
      </c>
      <c r="AD215" s="18">
        <v>2011</v>
      </c>
      <c r="AE215" s="18">
        <v>10</v>
      </c>
      <c r="AF215" s="18">
        <v>65132.390915163603</v>
      </c>
      <c r="AH215" s="10">
        <v>2011</v>
      </c>
      <c r="AI215" s="10">
        <v>10</v>
      </c>
      <c r="AJ215" s="18">
        <v>65124.756872662503</v>
      </c>
      <c r="AL215" s="15">
        <v>2011</v>
      </c>
      <c r="AM215" s="15">
        <v>10</v>
      </c>
      <c r="AN215" s="15">
        <v>65122.002803274503</v>
      </c>
      <c r="AQ215" s="18">
        <v>2011</v>
      </c>
      <c r="AR215" s="18">
        <v>10</v>
      </c>
      <c r="AS215" s="18">
        <v>65148.474885665397</v>
      </c>
      <c r="AU215" s="10">
        <v>2011</v>
      </c>
      <c r="AV215" s="10">
        <v>10</v>
      </c>
      <c r="AW215" s="15">
        <v>65187.389782735801</v>
      </c>
      <c r="AY215" s="15">
        <v>2011</v>
      </c>
      <c r="AZ215" s="15">
        <v>10</v>
      </c>
      <c r="BA215" s="15">
        <v>65179.5943270879</v>
      </c>
      <c r="BC215" s="15">
        <v>2011</v>
      </c>
      <c r="BD215" s="15">
        <v>10</v>
      </c>
      <c r="BE215" s="15">
        <v>65189.069976725703</v>
      </c>
      <c r="BG215" s="15">
        <v>2011</v>
      </c>
      <c r="BH215" s="15">
        <v>10</v>
      </c>
      <c r="BI215" s="15">
        <v>65178.736802052401</v>
      </c>
    </row>
    <row r="216" spans="1:61" x14ac:dyDescent="0.25">
      <c r="A216" s="10">
        <v>2011</v>
      </c>
      <c r="B216" s="10">
        <v>11</v>
      </c>
      <c r="C216" s="11">
        <v>65804.313517588103</v>
      </c>
      <c r="G216" s="7">
        <v>2011</v>
      </c>
      <c r="H216" s="7">
        <v>8</v>
      </c>
      <c r="I216" s="13">
        <v>73571.624707585201</v>
      </c>
      <c r="L216" s="10">
        <v>2011</v>
      </c>
      <c r="M216" s="10">
        <v>11</v>
      </c>
      <c r="N216" s="18">
        <v>65697.619472408696</v>
      </c>
      <c r="Q216" s="15">
        <v>2011</v>
      </c>
      <c r="R216" s="15">
        <v>11</v>
      </c>
      <c r="S216" s="15">
        <v>65690.993763936</v>
      </c>
      <c r="U216" s="15">
        <v>2011</v>
      </c>
      <c r="V216" s="15">
        <v>11</v>
      </c>
      <c r="W216" s="15">
        <v>65593.918560755497</v>
      </c>
      <c r="Z216" s="15">
        <v>2011</v>
      </c>
      <c r="AA216" s="15">
        <v>11</v>
      </c>
      <c r="AB216" s="15">
        <v>65591.490197022897</v>
      </c>
      <c r="AD216" s="18">
        <v>2011</v>
      </c>
      <c r="AE216" s="18">
        <v>11</v>
      </c>
      <c r="AF216" s="18">
        <v>65584.286301960907</v>
      </c>
      <c r="AH216" s="10">
        <v>2011</v>
      </c>
      <c r="AI216" s="10">
        <v>11</v>
      </c>
      <c r="AJ216" s="18">
        <v>65586.869757584398</v>
      </c>
      <c r="AL216" s="15">
        <v>2011</v>
      </c>
      <c r="AM216" s="15">
        <v>11</v>
      </c>
      <c r="AN216" s="15">
        <v>65585.807151514397</v>
      </c>
      <c r="AQ216" s="18">
        <v>2011</v>
      </c>
      <c r="AR216" s="18">
        <v>11</v>
      </c>
      <c r="AS216" s="18">
        <v>65572.740600819001</v>
      </c>
      <c r="AU216" s="10">
        <v>2011</v>
      </c>
      <c r="AV216" s="10">
        <v>11</v>
      </c>
      <c r="AW216" s="15">
        <v>65550.019043239605</v>
      </c>
      <c r="AY216" s="15">
        <v>2011</v>
      </c>
      <c r="AZ216" s="15">
        <v>11</v>
      </c>
      <c r="BA216" s="15">
        <v>65560.1118772997</v>
      </c>
      <c r="BC216" s="15">
        <v>2011</v>
      </c>
      <c r="BD216" s="15">
        <v>11</v>
      </c>
      <c r="BE216" s="15">
        <v>65556.129646697998</v>
      </c>
      <c r="BG216" s="15">
        <v>2011</v>
      </c>
      <c r="BH216" s="15">
        <v>11</v>
      </c>
      <c r="BI216" s="15">
        <v>65561.466200321898</v>
      </c>
    </row>
    <row r="217" spans="1:61" x14ac:dyDescent="0.25">
      <c r="A217" s="10">
        <v>2011</v>
      </c>
      <c r="B217" s="10">
        <v>12</v>
      </c>
      <c r="C217" s="11">
        <v>57842.344167866802</v>
      </c>
      <c r="G217" s="7">
        <v>2011</v>
      </c>
      <c r="H217" s="7">
        <v>9</v>
      </c>
      <c r="I217" s="13">
        <v>69062.099815724796</v>
      </c>
      <c r="L217" s="10">
        <v>2011</v>
      </c>
      <c r="M217" s="10">
        <v>12</v>
      </c>
      <c r="N217" s="18">
        <v>57706.323745229798</v>
      </c>
      <c r="Q217" s="15">
        <v>2011</v>
      </c>
      <c r="R217" s="15">
        <v>12</v>
      </c>
      <c r="S217" s="15">
        <v>58012.769264603798</v>
      </c>
      <c r="U217" s="15">
        <v>2011</v>
      </c>
      <c r="V217" s="15">
        <v>12</v>
      </c>
      <c r="W217" s="15">
        <v>57760.137074271799</v>
      </c>
      <c r="Z217" s="15">
        <v>2011</v>
      </c>
      <c r="AA217" s="15">
        <v>12</v>
      </c>
      <c r="AB217" s="15">
        <v>57761.849855397901</v>
      </c>
      <c r="AD217" s="18">
        <v>2011</v>
      </c>
      <c r="AE217" s="18">
        <v>12</v>
      </c>
      <c r="AF217" s="18">
        <v>57770.106987763596</v>
      </c>
      <c r="AH217" s="10">
        <v>2011</v>
      </c>
      <c r="AI217" s="10">
        <v>12</v>
      </c>
      <c r="AJ217" s="18">
        <v>57770.554973680497</v>
      </c>
      <c r="AL217" s="15">
        <v>2011</v>
      </c>
      <c r="AM217" s="15">
        <v>12</v>
      </c>
      <c r="AN217" s="15">
        <v>57772.076580468602</v>
      </c>
      <c r="AQ217" s="18">
        <v>2011</v>
      </c>
      <c r="AR217" s="18">
        <v>12</v>
      </c>
      <c r="AS217" s="18">
        <v>57771.846653512301</v>
      </c>
      <c r="AU217" s="10">
        <v>2011</v>
      </c>
      <c r="AV217" s="10">
        <v>12</v>
      </c>
      <c r="AW217" s="15">
        <v>57752.434704728599</v>
      </c>
      <c r="AY217" s="15">
        <v>2011</v>
      </c>
      <c r="AZ217" s="15">
        <v>12</v>
      </c>
      <c r="BA217" s="15">
        <v>57768.434178226104</v>
      </c>
      <c r="BC217" s="15">
        <v>2011</v>
      </c>
      <c r="BD217" s="15">
        <v>12</v>
      </c>
      <c r="BE217" s="15">
        <v>57767.475563145897</v>
      </c>
      <c r="BG217" s="15">
        <v>2011</v>
      </c>
      <c r="BH217" s="15">
        <v>12</v>
      </c>
      <c r="BI217" s="15">
        <v>57768.089860773798</v>
      </c>
    </row>
    <row r="218" spans="1:61" x14ac:dyDescent="0.25">
      <c r="A218" s="10">
        <v>2012</v>
      </c>
      <c r="B218" s="10">
        <v>1</v>
      </c>
      <c r="C218" s="11">
        <v>63019.5980178217</v>
      </c>
      <c r="G218" s="7">
        <v>2011</v>
      </c>
      <c r="H218" s="7">
        <v>10</v>
      </c>
      <c r="I218" s="13">
        <v>65755.5102517575</v>
      </c>
      <c r="L218" s="10">
        <v>2012</v>
      </c>
      <c r="M218" s="10">
        <v>1</v>
      </c>
      <c r="N218" s="18">
        <v>62922.782369410103</v>
      </c>
      <c r="Q218" s="15">
        <v>2012</v>
      </c>
      <c r="R218" s="15">
        <v>1</v>
      </c>
      <c r="S218" s="15">
        <v>62944.912752796197</v>
      </c>
      <c r="U218" s="15">
        <v>2012</v>
      </c>
      <c r="V218" s="15">
        <v>1</v>
      </c>
      <c r="W218" s="15">
        <v>62858.3626254911</v>
      </c>
      <c r="Z218" s="15">
        <v>2012</v>
      </c>
      <c r="AA218" s="15">
        <v>1</v>
      </c>
      <c r="AB218" s="15">
        <v>62853.231381935097</v>
      </c>
      <c r="AD218" s="18">
        <v>2012</v>
      </c>
      <c r="AE218" s="18">
        <v>1</v>
      </c>
      <c r="AF218" s="18">
        <v>62849.690477038399</v>
      </c>
      <c r="AH218" s="10">
        <v>2012</v>
      </c>
      <c r="AI218" s="10">
        <v>1</v>
      </c>
      <c r="AJ218" s="18">
        <v>62848.849959921601</v>
      </c>
      <c r="AL218" s="15">
        <v>2012</v>
      </c>
      <c r="AM218" s="15">
        <v>1</v>
      </c>
      <c r="AN218" s="15">
        <v>62846.597991227201</v>
      </c>
      <c r="AQ218" s="18">
        <v>2012</v>
      </c>
      <c r="AR218" s="18">
        <v>1</v>
      </c>
      <c r="AS218" s="18">
        <v>62845.595845721502</v>
      </c>
      <c r="AU218" s="10">
        <v>2012</v>
      </c>
      <c r="AV218" s="10">
        <v>1</v>
      </c>
      <c r="AW218" s="15">
        <v>62842.384482969697</v>
      </c>
      <c r="AY218" s="15">
        <v>2012</v>
      </c>
      <c r="AZ218" s="15">
        <v>1</v>
      </c>
      <c r="BA218" s="15">
        <v>62846.362486653299</v>
      </c>
      <c r="BC218" s="15">
        <v>2012</v>
      </c>
      <c r="BD218" s="15">
        <v>1</v>
      </c>
      <c r="BE218" s="15">
        <v>62846.551210117199</v>
      </c>
      <c r="BG218" s="15">
        <v>2012</v>
      </c>
      <c r="BH218" s="15">
        <v>1</v>
      </c>
      <c r="BI218" s="15">
        <v>62847.0003584734</v>
      </c>
    </row>
    <row r="219" spans="1:61" x14ac:dyDescent="0.25">
      <c r="A219" s="10">
        <v>2012</v>
      </c>
      <c r="B219" s="10">
        <v>2</v>
      </c>
      <c r="C219" s="11">
        <v>62201.395205933099</v>
      </c>
      <c r="G219" s="7">
        <v>2011</v>
      </c>
      <c r="H219" s="7">
        <v>11</v>
      </c>
      <c r="I219" s="13">
        <v>64441.289192172298</v>
      </c>
      <c r="L219" s="10">
        <v>2012</v>
      </c>
      <c r="M219" s="10">
        <v>2</v>
      </c>
      <c r="N219" s="18">
        <v>63495.232298212199</v>
      </c>
      <c r="Q219" s="15">
        <v>2012</v>
      </c>
      <c r="R219" s="15">
        <v>2</v>
      </c>
      <c r="S219" s="15">
        <v>63923.354446110701</v>
      </c>
      <c r="U219" s="15">
        <v>2012</v>
      </c>
      <c r="V219" s="15">
        <v>2</v>
      </c>
      <c r="W219" s="15">
        <v>62659.589527724398</v>
      </c>
      <c r="Z219" s="15">
        <v>2012</v>
      </c>
      <c r="AA219" s="15">
        <v>2</v>
      </c>
      <c r="AB219" s="15">
        <v>62658.130690018399</v>
      </c>
      <c r="AD219" s="18">
        <v>2012</v>
      </c>
      <c r="AE219" s="18">
        <v>2</v>
      </c>
      <c r="AF219" s="18">
        <v>62529.789810517301</v>
      </c>
      <c r="AH219" s="10">
        <v>2012</v>
      </c>
      <c r="AI219" s="10">
        <v>2</v>
      </c>
      <c r="AJ219" s="18">
        <v>62526.957102449698</v>
      </c>
      <c r="AL219" s="15">
        <v>2012</v>
      </c>
      <c r="AM219" s="15">
        <v>2</v>
      </c>
      <c r="AN219" s="15">
        <v>62504.422319824</v>
      </c>
      <c r="AQ219" s="18">
        <v>2012</v>
      </c>
      <c r="AR219" s="18">
        <v>2</v>
      </c>
      <c r="AS219" s="18">
        <v>62480.834972927703</v>
      </c>
      <c r="AU219" s="10">
        <v>2012</v>
      </c>
      <c r="AV219" s="10">
        <v>2</v>
      </c>
      <c r="AW219" s="15">
        <v>62447.804463032997</v>
      </c>
      <c r="AY219" s="15">
        <v>2012</v>
      </c>
      <c r="AZ219" s="15">
        <v>2</v>
      </c>
      <c r="BA219" s="15">
        <v>62485.443697543102</v>
      </c>
      <c r="BC219" s="15">
        <v>2012</v>
      </c>
      <c r="BD219" s="15">
        <v>2</v>
      </c>
      <c r="BE219" s="15">
        <v>62486.248246098701</v>
      </c>
      <c r="BG219" s="15">
        <v>2012</v>
      </c>
      <c r="BH219" s="15">
        <v>2</v>
      </c>
      <c r="BI219" s="15">
        <v>62491.692271238499</v>
      </c>
    </row>
    <row r="220" spans="1:61" x14ac:dyDescent="0.25">
      <c r="A220" s="10">
        <v>2012</v>
      </c>
      <c r="B220" s="10">
        <v>3</v>
      </c>
      <c r="C220" s="11">
        <v>63745.363949136103</v>
      </c>
      <c r="G220" s="7">
        <v>2011</v>
      </c>
      <c r="H220" s="7">
        <v>12</v>
      </c>
      <c r="I220" s="13">
        <v>56888.310343454003</v>
      </c>
      <c r="L220" s="10">
        <v>2012</v>
      </c>
      <c r="M220" s="10">
        <v>3</v>
      </c>
      <c r="N220" s="18">
        <v>63472.828530954001</v>
      </c>
      <c r="Q220" s="15">
        <v>2012</v>
      </c>
      <c r="R220" s="15">
        <v>3</v>
      </c>
      <c r="S220" s="15">
        <v>63498.742051599198</v>
      </c>
      <c r="U220" s="15">
        <v>2012</v>
      </c>
      <c r="V220" s="15">
        <v>3</v>
      </c>
      <c r="W220" s="15">
        <v>63413.916180847002</v>
      </c>
      <c r="Z220" s="15">
        <v>2012</v>
      </c>
      <c r="AA220" s="15">
        <v>3</v>
      </c>
      <c r="AB220" s="15">
        <v>63412.0006705013</v>
      </c>
      <c r="AD220" s="18">
        <v>2012</v>
      </c>
      <c r="AE220" s="18">
        <v>3</v>
      </c>
      <c r="AF220" s="18">
        <v>63407.314387578997</v>
      </c>
      <c r="AH220" s="10">
        <v>2012</v>
      </c>
      <c r="AI220" s="10">
        <v>3</v>
      </c>
      <c r="AJ220" s="18">
        <v>63406.721882554702</v>
      </c>
      <c r="AL220" s="15">
        <v>2012</v>
      </c>
      <c r="AM220" s="15">
        <v>3</v>
      </c>
      <c r="AN220" s="15">
        <v>63404.633719129299</v>
      </c>
      <c r="AQ220" s="18">
        <v>2012</v>
      </c>
      <c r="AR220" s="18">
        <v>3</v>
      </c>
      <c r="AS220" s="18">
        <v>63402.690384134701</v>
      </c>
      <c r="AU220" s="10">
        <v>2012</v>
      </c>
      <c r="AV220" s="10">
        <v>3</v>
      </c>
      <c r="AW220" s="15">
        <v>63394.713222722501</v>
      </c>
      <c r="AY220" s="15">
        <v>2012</v>
      </c>
      <c r="AZ220" s="15">
        <v>3</v>
      </c>
      <c r="BA220" s="15">
        <v>63401.900328146097</v>
      </c>
      <c r="BC220" s="15">
        <v>2012</v>
      </c>
      <c r="BD220" s="15">
        <v>3</v>
      </c>
      <c r="BE220" s="15">
        <v>63401.647600130003</v>
      </c>
      <c r="BG220" s="15">
        <v>2012</v>
      </c>
      <c r="BH220" s="15">
        <v>3</v>
      </c>
      <c r="BI220" s="15">
        <v>63402.520480737199</v>
      </c>
    </row>
    <row r="221" spans="1:61" x14ac:dyDescent="0.25">
      <c r="A221" s="10">
        <v>2012</v>
      </c>
      <c r="B221" s="10">
        <v>4</v>
      </c>
      <c r="C221" s="11">
        <v>54103.8018697187</v>
      </c>
      <c r="G221" s="7">
        <v>2012</v>
      </c>
      <c r="H221" s="7">
        <v>1</v>
      </c>
      <c r="I221" s="13">
        <v>61209.382980229202</v>
      </c>
      <c r="L221" s="10">
        <v>2012</v>
      </c>
      <c r="M221" s="10">
        <v>4</v>
      </c>
      <c r="N221" s="18">
        <v>53866.064795324499</v>
      </c>
      <c r="Q221" s="15">
        <v>2012</v>
      </c>
      <c r="R221" s="15">
        <v>4</v>
      </c>
      <c r="S221" s="15">
        <v>53899.234529871799</v>
      </c>
      <c r="U221" s="15">
        <v>2012</v>
      </c>
      <c r="V221" s="15">
        <v>4</v>
      </c>
      <c r="W221" s="15">
        <v>53888.839174407898</v>
      </c>
      <c r="Z221" s="15">
        <v>2012</v>
      </c>
      <c r="AA221" s="15">
        <v>4</v>
      </c>
      <c r="AB221" s="15">
        <v>53881.991628937503</v>
      </c>
      <c r="AD221" s="18">
        <v>2012</v>
      </c>
      <c r="AE221" s="18">
        <v>4</v>
      </c>
      <c r="AF221" s="18">
        <v>53886.343483897203</v>
      </c>
      <c r="AH221" s="10">
        <v>2012</v>
      </c>
      <c r="AI221" s="10">
        <v>4</v>
      </c>
      <c r="AJ221" s="18">
        <v>53882.159971689704</v>
      </c>
      <c r="AL221" s="15">
        <v>2012</v>
      </c>
      <c r="AM221" s="15">
        <v>4</v>
      </c>
      <c r="AN221" s="15">
        <v>53879.702425631302</v>
      </c>
      <c r="AQ221" s="18">
        <v>2012</v>
      </c>
      <c r="AR221" s="18">
        <v>4</v>
      </c>
      <c r="AS221" s="18">
        <v>53891.816404826299</v>
      </c>
      <c r="AU221" s="10">
        <v>2012</v>
      </c>
      <c r="AV221" s="10">
        <v>4</v>
      </c>
      <c r="AW221" s="15">
        <v>53912.804572507499</v>
      </c>
      <c r="AY221" s="15">
        <v>2012</v>
      </c>
      <c r="AZ221" s="15">
        <v>4</v>
      </c>
      <c r="BA221" s="15">
        <v>53906.056282043101</v>
      </c>
      <c r="BC221" s="15">
        <v>2012</v>
      </c>
      <c r="BD221" s="15">
        <v>4</v>
      </c>
      <c r="BE221" s="15">
        <v>53910.444840786702</v>
      </c>
      <c r="BG221" s="15">
        <v>2012</v>
      </c>
      <c r="BH221" s="15">
        <v>4</v>
      </c>
      <c r="BI221" s="15">
        <v>53905.845711200003</v>
      </c>
    </row>
    <row r="222" spans="1:61" x14ac:dyDescent="0.25">
      <c r="A222" s="10">
        <v>2012</v>
      </c>
      <c r="B222" s="10">
        <v>5</v>
      </c>
      <c r="C222" s="11">
        <v>54093.161997572803</v>
      </c>
      <c r="G222" s="7">
        <v>2012</v>
      </c>
      <c r="H222" s="7">
        <v>2</v>
      </c>
      <c r="I222" s="13">
        <v>62693.953445111198</v>
      </c>
      <c r="L222" s="10">
        <v>2012</v>
      </c>
      <c r="M222" s="10">
        <v>5</v>
      </c>
      <c r="N222" s="18">
        <v>53927.1565706658</v>
      </c>
      <c r="Q222" s="15">
        <v>2012</v>
      </c>
      <c r="R222" s="15">
        <v>5</v>
      </c>
      <c r="S222" s="15">
        <v>53919.968553361701</v>
      </c>
      <c r="U222" s="15">
        <v>2012</v>
      </c>
      <c r="V222" s="15">
        <v>5</v>
      </c>
      <c r="W222" s="15">
        <v>53794.151633749098</v>
      </c>
      <c r="Z222" s="15">
        <v>2012</v>
      </c>
      <c r="AA222" s="15">
        <v>5</v>
      </c>
      <c r="AB222" s="15">
        <v>53805.458033584699</v>
      </c>
      <c r="AD222" s="18">
        <v>2012</v>
      </c>
      <c r="AE222" s="18">
        <v>5</v>
      </c>
      <c r="AF222" s="18">
        <v>53791.428095140502</v>
      </c>
      <c r="AH222" s="10">
        <v>2012</v>
      </c>
      <c r="AI222" s="10">
        <v>5</v>
      </c>
      <c r="AJ222" s="18">
        <v>53796.865948309503</v>
      </c>
      <c r="AL222" s="15">
        <v>2012</v>
      </c>
      <c r="AM222" s="15">
        <v>5</v>
      </c>
      <c r="AN222" s="15">
        <v>53796.672222843001</v>
      </c>
      <c r="AQ222" s="18">
        <v>2012</v>
      </c>
      <c r="AR222" s="18">
        <v>5</v>
      </c>
      <c r="AS222" s="18">
        <v>53772.396060643703</v>
      </c>
      <c r="AU222" s="10">
        <v>2012</v>
      </c>
      <c r="AV222" s="10">
        <v>5</v>
      </c>
      <c r="AW222" s="15">
        <v>53739.005887335297</v>
      </c>
      <c r="AY222" s="15">
        <v>2012</v>
      </c>
      <c r="AZ222" s="15">
        <v>5</v>
      </c>
      <c r="BA222" s="15">
        <v>53745.583199889697</v>
      </c>
      <c r="BC222" s="15">
        <v>2012</v>
      </c>
      <c r="BD222" s="15">
        <v>5</v>
      </c>
      <c r="BE222" s="15">
        <v>53737.327868697197</v>
      </c>
      <c r="BG222" s="15">
        <v>2012</v>
      </c>
      <c r="BH222" s="15">
        <v>5</v>
      </c>
      <c r="BI222" s="15">
        <v>53747.378322303302</v>
      </c>
    </row>
    <row r="223" spans="1:61" x14ac:dyDescent="0.25">
      <c r="A223" s="10">
        <v>2012</v>
      </c>
      <c r="B223" s="10">
        <v>6</v>
      </c>
      <c r="C223" s="11">
        <v>48161.871049439098</v>
      </c>
      <c r="G223" s="7">
        <v>2012</v>
      </c>
      <c r="H223" s="7">
        <v>3</v>
      </c>
      <c r="I223" s="13">
        <v>65838.40240834</v>
      </c>
      <c r="L223" s="10">
        <v>2012</v>
      </c>
      <c r="M223" s="10">
        <v>6</v>
      </c>
      <c r="N223" s="18">
        <v>48408.385678745602</v>
      </c>
      <c r="Q223" s="15">
        <v>2012</v>
      </c>
      <c r="R223" s="15">
        <v>6</v>
      </c>
      <c r="S223" s="15">
        <v>48398.827265580498</v>
      </c>
      <c r="U223" s="15">
        <v>2012</v>
      </c>
      <c r="V223" s="15">
        <v>6</v>
      </c>
      <c r="W223" s="15">
        <v>48500.958977656803</v>
      </c>
      <c r="Z223" s="15">
        <v>2012</v>
      </c>
      <c r="AA223" s="15">
        <v>6</v>
      </c>
      <c r="AB223" s="15">
        <v>48453.167824818098</v>
      </c>
      <c r="AD223" s="18">
        <v>2012</v>
      </c>
      <c r="AE223" s="18">
        <v>6</v>
      </c>
      <c r="AF223" s="18">
        <v>48438.4669054771</v>
      </c>
      <c r="AH223" s="10">
        <v>2012</v>
      </c>
      <c r="AI223" s="10">
        <v>6</v>
      </c>
      <c r="AJ223" s="18">
        <v>48430.353736723897</v>
      </c>
      <c r="AL223" s="15">
        <v>2012</v>
      </c>
      <c r="AM223" s="15">
        <v>6</v>
      </c>
      <c r="AN223" s="15">
        <v>48425.792668919297</v>
      </c>
      <c r="AQ223" s="18">
        <v>2012</v>
      </c>
      <c r="AR223" s="18">
        <v>6</v>
      </c>
      <c r="AS223" s="18">
        <v>48463.868089220799</v>
      </c>
      <c r="AU223" s="10">
        <v>2012</v>
      </c>
      <c r="AV223" s="10">
        <v>6</v>
      </c>
      <c r="AW223" s="15">
        <v>48581.5094914738</v>
      </c>
      <c r="AY223" s="15">
        <v>2012</v>
      </c>
      <c r="AZ223" s="15">
        <v>6</v>
      </c>
      <c r="BA223" s="15">
        <v>48525.148066339403</v>
      </c>
      <c r="BC223" s="15">
        <v>2012</v>
      </c>
      <c r="BD223" s="15">
        <v>6</v>
      </c>
      <c r="BE223" s="15">
        <v>48543.7228672118</v>
      </c>
      <c r="BG223" s="15">
        <v>2012</v>
      </c>
      <c r="BH223" s="15">
        <v>6</v>
      </c>
      <c r="BI223" s="15">
        <v>48523.940544265199</v>
      </c>
    </row>
    <row r="224" spans="1:61" x14ac:dyDescent="0.25">
      <c r="A224" s="10">
        <v>2012</v>
      </c>
      <c r="B224" s="10">
        <v>7</v>
      </c>
      <c r="C224" s="11">
        <v>63424.575471872799</v>
      </c>
      <c r="G224" s="7">
        <v>2012</v>
      </c>
      <c r="H224" s="7">
        <v>4</v>
      </c>
      <c r="I224" s="13">
        <v>54707.310377787202</v>
      </c>
      <c r="L224" s="10">
        <v>2012</v>
      </c>
      <c r="M224" s="10">
        <v>7</v>
      </c>
      <c r="N224" s="18">
        <v>63214.380459934298</v>
      </c>
      <c r="Q224" s="15">
        <v>2012</v>
      </c>
      <c r="R224" s="15">
        <v>7</v>
      </c>
      <c r="S224" s="15">
        <v>63219.539329079496</v>
      </c>
      <c r="U224" s="15">
        <v>2012</v>
      </c>
      <c r="V224" s="15">
        <v>7</v>
      </c>
      <c r="W224" s="15">
        <v>63225.769819249203</v>
      </c>
      <c r="Z224" s="15">
        <v>2012</v>
      </c>
      <c r="AA224" s="15">
        <v>7</v>
      </c>
      <c r="AB224" s="15">
        <v>63219.490610204397</v>
      </c>
      <c r="AD224" s="18">
        <v>2012</v>
      </c>
      <c r="AE224" s="18">
        <v>7</v>
      </c>
      <c r="AF224" s="18">
        <v>63224.548817208597</v>
      </c>
      <c r="AH224" s="10">
        <v>2012</v>
      </c>
      <c r="AI224" s="10">
        <v>7</v>
      </c>
      <c r="AJ224" s="18">
        <v>63222.7533549324</v>
      </c>
      <c r="AL224" s="15">
        <v>2012</v>
      </c>
      <c r="AM224" s="15">
        <v>7</v>
      </c>
      <c r="AN224" s="15">
        <v>63221.830238239098</v>
      </c>
      <c r="AQ224" s="18">
        <v>2012</v>
      </c>
      <c r="AR224" s="18">
        <v>7</v>
      </c>
      <c r="AS224" s="18">
        <v>63226.235288668002</v>
      </c>
      <c r="AU224" s="10">
        <v>2012</v>
      </c>
      <c r="AV224" s="10">
        <v>7</v>
      </c>
      <c r="AW224" s="15">
        <v>63236.482382805698</v>
      </c>
      <c r="AY224" s="15">
        <v>2012</v>
      </c>
      <c r="AZ224" s="15">
        <v>7</v>
      </c>
      <c r="BA224" s="15">
        <v>63231.081434631596</v>
      </c>
      <c r="BC224" s="15">
        <v>2012</v>
      </c>
      <c r="BD224" s="15">
        <v>7</v>
      </c>
      <c r="BE224" s="15">
        <v>63232.507259000398</v>
      </c>
      <c r="BG224" s="15">
        <v>2012</v>
      </c>
      <c r="BH224" s="15">
        <v>7</v>
      </c>
      <c r="BI224" s="15">
        <v>63231.373766984201</v>
      </c>
    </row>
    <row r="225" spans="1:61" x14ac:dyDescent="0.25">
      <c r="A225" s="10">
        <v>2012</v>
      </c>
      <c r="B225" s="10">
        <v>8</v>
      </c>
      <c r="C225" s="11">
        <v>69831.207291484199</v>
      </c>
      <c r="G225" s="7">
        <v>2012</v>
      </c>
      <c r="H225" s="7">
        <v>5</v>
      </c>
      <c r="I225" s="13">
        <v>54505.6460565093</v>
      </c>
      <c r="L225" s="10">
        <v>2012</v>
      </c>
      <c r="M225" s="10">
        <v>8</v>
      </c>
      <c r="N225" s="18">
        <v>69481.096230553696</v>
      </c>
      <c r="Q225" s="15">
        <v>2012</v>
      </c>
      <c r="R225" s="15">
        <v>8</v>
      </c>
      <c r="S225" s="15">
        <v>69401.163369729402</v>
      </c>
      <c r="U225" s="15">
        <v>2012</v>
      </c>
      <c r="V225" s="15">
        <v>8</v>
      </c>
      <c r="W225" s="15">
        <v>69346.574656700905</v>
      </c>
      <c r="Z225" s="15">
        <v>2012</v>
      </c>
      <c r="AA225" s="15">
        <v>8</v>
      </c>
      <c r="AB225" s="15">
        <v>69342.033378177905</v>
      </c>
      <c r="AD225" s="18">
        <v>2012</v>
      </c>
      <c r="AE225" s="18">
        <v>8</v>
      </c>
      <c r="AF225" s="18">
        <v>69325.543007510394</v>
      </c>
      <c r="AH225" s="10">
        <v>2012</v>
      </c>
      <c r="AI225" s="10">
        <v>8</v>
      </c>
      <c r="AJ225" s="18">
        <v>69333.805000206106</v>
      </c>
      <c r="AL225" s="15">
        <v>2012</v>
      </c>
      <c r="AM225" s="15">
        <v>8</v>
      </c>
      <c r="AN225" s="15">
        <v>69335.878124561597</v>
      </c>
      <c r="AQ225" s="18">
        <v>2012</v>
      </c>
      <c r="AR225" s="18">
        <v>8</v>
      </c>
      <c r="AS225" s="18">
        <v>69303.453630950695</v>
      </c>
      <c r="AU225" s="10">
        <v>2012</v>
      </c>
      <c r="AV225" s="10">
        <v>8</v>
      </c>
      <c r="AW225" s="15">
        <v>69249.232193121105</v>
      </c>
      <c r="AY225" s="15">
        <v>2012</v>
      </c>
      <c r="AZ225" s="15">
        <v>8</v>
      </c>
      <c r="BA225" s="15">
        <v>69266.844191466706</v>
      </c>
      <c r="BC225" s="15">
        <v>2012</v>
      </c>
      <c r="BD225" s="15">
        <v>8</v>
      </c>
      <c r="BE225" s="15">
        <v>69255.496286490205</v>
      </c>
      <c r="BG225" s="15">
        <v>2012</v>
      </c>
      <c r="BH225" s="15">
        <v>8</v>
      </c>
      <c r="BI225" s="15">
        <v>69269.466796392502</v>
      </c>
    </row>
    <row r="226" spans="1:61" x14ac:dyDescent="0.25">
      <c r="A226" s="10">
        <v>2012</v>
      </c>
      <c r="B226" s="10">
        <v>9</v>
      </c>
      <c r="C226" s="11">
        <v>60951.924628266897</v>
      </c>
      <c r="G226" s="7">
        <v>2012</v>
      </c>
      <c r="H226" s="7">
        <v>6</v>
      </c>
      <c r="I226" s="13">
        <v>48595.953722514299</v>
      </c>
      <c r="L226" s="10">
        <v>2012</v>
      </c>
      <c r="M226" s="10">
        <v>9</v>
      </c>
      <c r="N226" s="18">
        <v>60785.094631151696</v>
      </c>
      <c r="Q226" s="15">
        <v>2012</v>
      </c>
      <c r="R226" s="15">
        <v>9</v>
      </c>
      <c r="S226" s="15">
        <v>60806.858984868697</v>
      </c>
      <c r="U226" s="15">
        <v>2012</v>
      </c>
      <c r="V226" s="15">
        <v>9</v>
      </c>
      <c r="W226" s="15">
        <v>60915.161164317899</v>
      </c>
      <c r="Z226" s="15">
        <v>2012</v>
      </c>
      <c r="AA226" s="15">
        <v>9</v>
      </c>
      <c r="AB226" s="15">
        <v>60885.462620930899</v>
      </c>
      <c r="AD226" s="18">
        <v>2012</v>
      </c>
      <c r="AE226" s="18">
        <v>9</v>
      </c>
      <c r="AF226" s="18">
        <v>60904.512435221201</v>
      </c>
      <c r="AH226" s="10">
        <v>2012</v>
      </c>
      <c r="AI226" s="10">
        <v>9</v>
      </c>
      <c r="AJ226" s="18">
        <v>60895.004951032002</v>
      </c>
      <c r="AL226" s="15">
        <v>2012</v>
      </c>
      <c r="AM226" s="15">
        <v>9</v>
      </c>
      <c r="AN226" s="15">
        <v>60892.552831359797</v>
      </c>
      <c r="AQ226" s="18">
        <v>2012</v>
      </c>
      <c r="AR226" s="18">
        <v>9</v>
      </c>
      <c r="AS226" s="18">
        <v>60926.613092649801</v>
      </c>
      <c r="AU226" s="10">
        <v>2012</v>
      </c>
      <c r="AV226" s="10">
        <v>9</v>
      </c>
      <c r="AW226" s="15">
        <v>60977.935877891701</v>
      </c>
      <c r="AY226" s="15">
        <v>2012</v>
      </c>
      <c r="AZ226" s="15">
        <v>9</v>
      </c>
      <c r="BA226" s="15">
        <v>60965.430318639497</v>
      </c>
      <c r="BC226" s="15">
        <v>2012</v>
      </c>
      <c r="BD226" s="15">
        <v>9</v>
      </c>
      <c r="BE226" s="15">
        <v>60977.184514822802</v>
      </c>
      <c r="BG226" s="15">
        <v>2012</v>
      </c>
      <c r="BH226" s="15">
        <v>9</v>
      </c>
      <c r="BI226" s="15">
        <v>60964.298016141802</v>
      </c>
    </row>
    <row r="227" spans="1:61" x14ac:dyDescent="0.25">
      <c r="A227" s="10">
        <v>2012</v>
      </c>
      <c r="B227" s="10">
        <v>10</v>
      </c>
      <c r="C227" s="11">
        <v>68331.044821721895</v>
      </c>
      <c r="G227" s="7">
        <v>2012</v>
      </c>
      <c r="H227" s="7">
        <v>7</v>
      </c>
      <c r="I227" s="13">
        <v>63722.175180207698</v>
      </c>
      <c r="L227" s="10">
        <v>2012</v>
      </c>
      <c r="M227" s="10">
        <v>10</v>
      </c>
      <c r="N227" s="18">
        <v>67971.169850672595</v>
      </c>
      <c r="Q227" s="15">
        <v>2012</v>
      </c>
      <c r="R227" s="15">
        <v>10</v>
      </c>
      <c r="S227" s="15">
        <v>67949.868621292597</v>
      </c>
      <c r="U227" s="15">
        <v>2012</v>
      </c>
      <c r="V227" s="15">
        <v>10</v>
      </c>
      <c r="W227" s="15">
        <v>67843.472322816902</v>
      </c>
      <c r="Z227" s="15">
        <v>2012</v>
      </c>
      <c r="AA227" s="15">
        <v>10</v>
      </c>
      <c r="AB227" s="15">
        <v>67838.966708333304</v>
      </c>
      <c r="AD227" s="18">
        <v>2012</v>
      </c>
      <c r="AE227" s="18">
        <v>10</v>
      </c>
      <c r="AF227" s="18">
        <v>67826.193323968095</v>
      </c>
      <c r="AH227" s="10">
        <v>2012</v>
      </c>
      <c r="AI227" s="10">
        <v>10</v>
      </c>
      <c r="AJ227" s="18">
        <v>67830.567437966907</v>
      </c>
      <c r="AL227" s="15">
        <v>2012</v>
      </c>
      <c r="AM227" s="15">
        <v>10</v>
      </c>
      <c r="AN227" s="15">
        <v>67830.532642440099</v>
      </c>
      <c r="AQ227" s="18">
        <v>2012</v>
      </c>
      <c r="AR227" s="18">
        <v>10</v>
      </c>
      <c r="AS227" s="18">
        <v>67811.163705494793</v>
      </c>
      <c r="AU227" s="10">
        <v>2012</v>
      </c>
      <c r="AV227" s="10">
        <v>10</v>
      </c>
      <c r="AW227" s="15">
        <v>67778.591552735204</v>
      </c>
      <c r="AY227" s="15">
        <v>2012</v>
      </c>
      <c r="AZ227" s="15">
        <v>10</v>
      </c>
      <c r="BA227" s="15">
        <v>67790.811833141503</v>
      </c>
      <c r="BC227" s="15">
        <v>2012</v>
      </c>
      <c r="BD227" s="15">
        <v>10</v>
      </c>
      <c r="BE227" s="15">
        <v>67784.345574777806</v>
      </c>
      <c r="BG227" s="15">
        <v>2012</v>
      </c>
      <c r="BH227" s="15">
        <v>10</v>
      </c>
      <c r="BI227" s="15">
        <v>67792.6225325915</v>
      </c>
    </row>
    <row r="228" spans="1:61" x14ac:dyDescent="0.25">
      <c r="A228" s="10">
        <v>2012</v>
      </c>
      <c r="B228" s="10">
        <v>11</v>
      </c>
      <c r="C228" s="11">
        <v>69018.447896757702</v>
      </c>
      <c r="G228" s="7">
        <v>2012</v>
      </c>
      <c r="H228" s="7">
        <v>8</v>
      </c>
      <c r="I228" s="13">
        <v>69636.949051430303</v>
      </c>
      <c r="L228" s="10">
        <v>2012</v>
      </c>
      <c r="M228" s="10">
        <v>11</v>
      </c>
      <c r="N228" s="18">
        <v>68970.031677796695</v>
      </c>
      <c r="Q228" s="15">
        <v>2012</v>
      </c>
      <c r="R228" s="15">
        <v>11</v>
      </c>
      <c r="S228" s="15">
        <v>68965.979011524905</v>
      </c>
      <c r="U228" s="15">
        <v>2012</v>
      </c>
      <c r="V228" s="15">
        <v>11</v>
      </c>
      <c r="W228" s="15">
        <v>68858.242841232903</v>
      </c>
      <c r="Z228" s="15">
        <v>2012</v>
      </c>
      <c r="AA228" s="15">
        <v>11</v>
      </c>
      <c r="AB228" s="15">
        <v>68854.200691396196</v>
      </c>
      <c r="AD228" s="18">
        <v>2012</v>
      </c>
      <c r="AE228" s="18">
        <v>11</v>
      </c>
      <c r="AF228" s="18">
        <v>68841.232518175006</v>
      </c>
      <c r="AH228" s="10">
        <v>2012</v>
      </c>
      <c r="AI228" s="10">
        <v>11</v>
      </c>
      <c r="AJ228" s="18">
        <v>68844.195547324402</v>
      </c>
      <c r="AL228" s="15">
        <v>2012</v>
      </c>
      <c r="AM228" s="15">
        <v>11</v>
      </c>
      <c r="AN228" s="15">
        <v>68843.248770681297</v>
      </c>
      <c r="AQ228" s="18">
        <v>2012</v>
      </c>
      <c r="AR228" s="18">
        <v>11</v>
      </c>
      <c r="AS228" s="18">
        <v>68828.409391379901</v>
      </c>
      <c r="AU228" s="10">
        <v>2012</v>
      </c>
      <c r="AV228" s="10">
        <v>11</v>
      </c>
      <c r="AW228" s="15">
        <v>68801.884786181603</v>
      </c>
      <c r="AY228" s="15">
        <v>2012</v>
      </c>
      <c r="AZ228" s="15">
        <v>11</v>
      </c>
      <c r="BA228" s="15">
        <v>68813.445785372896</v>
      </c>
      <c r="BC228" s="15">
        <v>2012</v>
      </c>
      <c r="BD228" s="15">
        <v>11</v>
      </c>
      <c r="BE228" s="15">
        <v>68808.688819289295</v>
      </c>
      <c r="BG228" s="15">
        <v>2012</v>
      </c>
      <c r="BH228" s="15">
        <v>11</v>
      </c>
      <c r="BI228" s="15">
        <v>68814.916939987699</v>
      </c>
    </row>
    <row r="229" spans="1:61" x14ac:dyDescent="0.25">
      <c r="A229" s="10">
        <v>2012</v>
      </c>
      <c r="B229" s="10">
        <v>12</v>
      </c>
      <c r="C229" s="11">
        <v>69573.414969505699</v>
      </c>
      <c r="G229" s="7">
        <v>2012</v>
      </c>
      <c r="H229" s="7">
        <v>9</v>
      </c>
      <c r="I229" s="13">
        <v>60595.266171352203</v>
      </c>
      <c r="L229" s="10">
        <v>2012</v>
      </c>
      <c r="M229" s="10">
        <v>12</v>
      </c>
      <c r="N229" s="18">
        <v>69493.819925733696</v>
      </c>
      <c r="Q229" s="15">
        <v>2012</v>
      </c>
      <c r="R229" s="15">
        <v>12</v>
      </c>
      <c r="S229" s="15">
        <v>69785.296518039104</v>
      </c>
      <c r="U229" s="15">
        <v>2012</v>
      </c>
      <c r="V229" s="15">
        <v>12</v>
      </c>
      <c r="W229" s="15">
        <v>69665.164927561695</v>
      </c>
      <c r="Z229" s="15">
        <v>2012</v>
      </c>
      <c r="AA229" s="15">
        <v>12</v>
      </c>
      <c r="AB229" s="15">
        <v>69653.893926591001</v>
      </c>
      <c r="AD229" s="18">
        <v>2012</v>
      </c>
      <c r="AE229" s="18">
        <v>12</v>
      </c>
      <c r="AF229" s="18">
        <v>69676.564018203993</v>
      </c>
      <c r="AH229" s="10">
        <v>2012</v>
      </c>
      <c r="AI229" s="10">
        <v>12</v>
      </c>
      <c r="AJ229" s="18">
        <v>69670.038420647703</v>
      </c>
      <c r="AL229" s="15">
        <v>2012</v>
      </c>
      <c r="AM229" s="15">
        <v>12</v>
      </c>
      <c r="AN229" s="15">
        <v>69669.449999484001</v>
      </c>
      <c r="AQ229" s="18">
        <v>2012</v>
      </c>
      <c r="AR229" s="18">
        <v>12</v>
      </c>
      <c r="AS229" s="18">
        <v>69694.482762144005</v>
      </c>
      <c r="AU229" s="10">
        <v>2012</v>
      </c>
      <c r="AV229" s="10">
        <v>12</v>
      </c>
      <c r="AW229" s="15">
        <v>69720.564676655296</v>
      </c>
      <c r="AY229" s="15">
        <v>2012</v>
      </c>
      <c r="AZ229" s="15">
        <v>12</v>
      </c>
      <c r="BA229" s="15">
        <v>69719.651862303406</v>
      </c>
      <c r="BC229" s="15">
        <v>2012</v>
      </c>
      <c r="BD229" s="15">
        <v>12</v>
      </c>
      <c r="BE229" s="15">
        <v>69727.471103016796</v>
      </c>
      <c r="BG229" s="15">
        <v>2012</v>
      </c>
      <c r="BH229" s="15">
        <v>12</v>
      </c>
      <c r="BI229" s="15">
        <v>69717.9500960593</v>
      </c>
    </row>
    <row r="230" spans="1:61" x14ac:dyDescent="0.25">
      <c r="A230" s="10">
        <v>2013</v>
      </c>
      <c r="B230" s="10">
        <v>1</v>
      </c>
      <c r="C230" s="11">
        <v>64430.4221769039</v>
      </c>
      <c r="G230" s="7">
        <v>2012</v>
      </c>
      <c r="H230" s="7">
        <v>10</v>
      </c>
      <c r="I230" s="13">
        <v>68229.066559327504</v>
      </c>
      <c r="L230" s="10">
        <v>2013</v>
      </c>
      <c r="M230" s="10">
        <v>1</v>
      </c>
      <c r="N230" s="18">
        <v>64453.912170610398</v>
      </c>
      <c r="Q230" s="15">
        <v>2013</v>
      </c>
      <c r="R230" s="15">
        <v>1</v>
      </c>
      <c r="S230" s="15">
        <v>64473.911750944797</v>
      </c>
      <c r="U230" s="15">
        <v>2013</v>
      </c>
      <c r="V230" s="15">
        <v>1</v>
      </c>
      <c r="W230" s="15">
        <v>64298.305369593902</v>
      </c>
      <c r="Z230" s="15">
        <v>2013</v>
      </c>
      <c r="AA230" s="15">
        <v>1</v>
      </c>
      <c r="AB230" s="15">
        <v>64304.830931590499</v>
      </c>
      <c r="AD230" s="18">
        <v>2013</v>
      </c>
      <c r="AE230" s="18">
        <v>1</v>
      </c>
      <c r="AF230" s="18">
        <v>64283.178918954698</v>
      </c>
      <c r="AH230" s="10">
        <v>2013</v>
      </c>
      <c r="AI230" s="10">
        <v>1</v>
      </c>
      <c r="AJ230" s="18">
        <v>64287.817771505099</v>
      </c>
      <c r="AL230" s="15">
        <v>2013</v>
      </c>
      <c r="AM230" s="15">
        <v>1</v>
      </c>
      <c r="AN230" s="15">
        <v>64285.754110388101</v>
      </c>
      <c r="AQ230" s="18">
        <v>2013</v>
      </c>
      <c r="AR230" s="18">
        <v>1</v>
      </c>
      <c r="AS230" s="18">
        <v>64262.524263668602</v>
      </c>
      <c r="AU230" s="10">
        <v>2013</v>
      </c>
      <c r="AV230" s="10">
        <v>1</v>
      </c>
      <c r="AW230" s="15">
        <v>64223.964477642097</v>
      </c>
      <c r="AY230" s="15">
        <v>2013</v>
      </c>
      <c r="AZ230" s="15">
        <v>1</v>
      </c>
      <c r="BA230" s="15">
        <v>64239.119354214803</v>
      </c>
      <c r="BC230" s="15">
        <v>2013</v>
      </c>
      <c r="BD230" s="15">
        <v>1</v>
      </c>
      <c r="BE230" s="15">
        <v>64231.897510963303</v>
      </c>
      <c r="BG230" s="15">
        <v>2013</v>
      </c>
      <c r="BH230" s="15">
        <v>1</v>
      </c>
      <c r="BI230" s="15">
        <v>64240.920217272302</v>
      </c>
    </row>
    <row r="231" spans="1:61" x14ac:dyDescent="0.25">
      <c r="A231" s="10">
        <v>2013</v>
      </c>
      <c r="B231" s="10">
        <v>2</v>
      </c>
      <c r="C231" s="11">
        <v>57573.620189215799</v>
      </c>
      <c r="G231" s="7">
        <v>2012</v>
      </c>
      <c r="H231" s="7">
        <v>11</v>
      </c>
      <c r="I231" s="13">
        <v>68138.669783502206</v>
      </c>
      <c r="L231" s="10">
        <v>2013</v>
      </c>
      <c r="M231" s="10">
        <v>2</v>
      </c>
      <c r="N231" s="18">
        <v>59078.076154125702</v>
      </c>
      <c r="Q231" s="15">
        <v>2013</v>
      </c>
      <c r="R231" s="15">
        <v>2</v>
      </c>
      <c r="S231" s="15">
        <v>58547.589799752597</v>
      </c>
      <c r="U231" s="15">
        <v>2013</v>
      </c>
      <c r="V231" s="15">
        <v>2</v>
      </c>
      <c r="W231" s="15">
        <v>59749.635355650797</v>
      </c>
      <c r="Z231" s="15">
        <v>2013</v>
      </c>
      <c r="AA231" s="15">
        <v>2</v>
      </c>
      <c r="AB231" s="15">
        <v>59893.873363417202</v>
      </c>
      <c r="AD231" s="18">
        <v>2013</v>
      </c>
      <c r="AE231" s="18">
        <v>2</v>
      </c>
      <c r="AF231" s="18">
        <v>59995.993979302897</v>
      </c>
      <c r="AH231" s="10">
        <v>2013</v>
      </c>
      <c r="AI231" s="10">
        <v>2</v>
      </c>
      <c r="AJ231" s="18">
        <v>60005.343719260003</v>
      </c>
      <c r="AL231" s="15">
        <v>2013</v>
      </c>
      <c r="AM231" s="15">
        <v>2</v>
      </c>
      <c r="AN231" s="15">
        <v>60033.234939638001</v>
      </c>
      <c r="AQ231" s="18">
        <v>2013</v>
      </c>
      <c r="AR231" s="18">
        <v>2</v>
      </c>
      <c r="AS231" s="18">
        <v>60039.061669882401</v>
      </c>
      <c r="AU231" s="10">
        <v>2013</v>
      </c>
      <c r="AV231" s="10">
        <v>2</v>
      </c>
      <c r="AW231" s="15">
        <v>60005.5405048791</v>
      </c>
      <c r="AY231" s="15">
        <v>2013</v>
      </c>
      <c r="AZ231" s="15">
        <v>2</v>
      </c>
      <c r="BA231" s="15">
        <v>59999.954242234497</v>
      </c>
      <c r="BC231" s="15">
        <v>2013</v>
      </c>
      <c r="BD231" s="15">
        <v>2</v>
      </c>
      <c r="BE231" s="15">
        <v>59989.475703042699</v>
      </c>
      <c r="BG231" s="15">
        <v>2013</v>
      </c>
      <c r="BH231" s="15">
        <v>2</v>
      </c>
      <c r="BI231" s="15">
        <v>59989.303784026597</v>
      </c>
    </row>
    <row r="232" spans="1:61" x14ac:dyDescent="0.25">
      <c r="A232" s="10">
        <v>2013</v>
      </c>
      <c r="B232" s="10">
        <v>3</v>
      </c>
      <c r="C232" s="11">
        <v>73860.187601773796</v>
      </c>
      <c r="G232" s="7">
        <v>2012</v>
      </c>
      <c r="H232" s="7">
        <v>12</v>
      </c>
      <c r="I232" s="13">
        <v>68530.347771678003</v>
      </c>
      <c r="L232" s="10">
        <v>2013</v>
      </c>
      <c r="M232" s="10">
        <v>3</v>
      </c>
      <c r="N232" s="18">
        <v>73596.809007983393</v>
      </c>
      <c r="Q232" s="15">
        <v>2013</v>
      </c>
      <c r="R232" s="15">
        <v>3</v>
      </c>
      <c r="S232" s="15">
        <v>73652.590555215604</v>
      </c>
      <c r="U232" s="15">
        <v>2013</v>
      </c>
      <c r="V232" s="15">
        <v>3</v>
      </c>
      <c r="W232" s="15">
        <v>73642.944332430503</v>
      </c>
      <c r="Z232" s="15">
        <v>2013</v>
      </c>
      <c r="AA232" s="15">
        <v>3</v>
      </c>
      <c r="AB232" s="15">
        <v>73630.990598805394</v>
      </c>
      <c r="AD232" s="18">
        <v>2013</v>
      </c>
      <c r="AE232" s="18">
        <v>3</v>
      </c>
      <c r="AF232" s="18">
        <v>73634.782958469499</v>
      </c>
      <c r="AH232" s="10">
        <v>2013</v>
      </c>
      <c r="AI232" s="10">
        <v>3</v>
      </c>
      <c r="AJ232" s="18">
        <v>73628.630822300198</v>
      </c>
      <c r="AL232" s="15">
        <v>2013</v>
      </c>
      <c r="AM232" s="15">
        <v>3</v>
      </c>
      <c r="AN232" s="15">
        <v>73624.427579899406</v>
      </c>
      <c r="AQ232" s="18">
        <v>2013</v>
      </c>
      <c r="AR232" s="18">
        <v>3</v>
      </c>
      <c r="AS232" s="18">
        <v>73642.417370829498</v>
      </c>
      <c r="AU232" s="10">
        <v>2013</v>
      </c>
      <c r="AV232" s="10">
        <v>3</v>
      </c>
      <c r="AW232" s="15">
        <v>73666.496360791396</v>
      </c>
      <c r="AY232" s="15">
        <v>2013</v>
      </c>
      <c r="AZ232" s="15">
        <v>3</v>
      </c>
      <c r="BA232" s="15">
        <v>73664.851803204001</v>
      </c>
      <c r="BC232" s="15">
        <v>2013</v>
      </c>
      <c r="BD232" s="15">
        <v>3</v>
      </c>
      <c r="BE232" s="15">
        <v>73671.816372180707</v>
      </c>
      <c r="BG232" s="15">
        <v>2013</v>
      </c>
      <c r="BH232" s="15">
        <v>3</v>
      </c>
      <c r="BI232" s="15">
        <v>73664.383813580003</v>
      </c>
    </row>
    <row r="233" spans="1:61" x14ac:dyDescent="0.25">
      <c r="A233" s="10">
        <v>2013</v>
      </c>
      <c r="B233" s="10">
        <v>4</v>
      </c>
      <c r="C233" s="11">
        <v>71705.505216038204</v>
      </c>
      <c r="G233" s="7">
        <v>2013</v>
      </c>
      <c r="H233" s="7">
        <v>1</v>
      </c>
      <c r="I233" s="13">
        <v>62815.064739535701</v>
      </c>
      <c r="L233" s="10">
        <v>2013</v>
      </c>
      <c r="M233" s="10">
        <v>4</v>
      </c>
      <c r="N233" s="18">
        <v>71597.211821691497</v>
      </c>
      <c r="Q233" s="15">
        <v>2013</v>
      </c>
      <c r="R233" s="15">
        <v>4</v>
      </c>
      <c r="S233" s="15">
        <v>71614.439007779496</v>
      </c>
      <c r="U233" s="15">
        <v>2013</v>
      </c>
      <c r="V233" s="15">
        <v>4</v>
      </c>
      <c r="W233" s="15">
        <v>71499.108486270095</v>
      </c>
      <c r="Z233" s="15">
        <v>2013</v>
      </c>
      <c r="AA233" s="15">
        <v>4</v>
      </c>
      <c r="AB233" s="15">
        <v>71502.996729177205</v>
      </c>
      <c r="AD233" s="18">
        <v>2013</v>
      </c>
      <c r="AE233" s="18">
        <v>4</v>
      </c>
      <c r="AF233" s="18">
        <v>71492.167645659996</v>
      </c>
      <c r="AH233" s="10">
        <v>2013</v>
      </c>
      <c r="AI233" s="10">
        <v>4</v>
      </c>
      <c r="AJ233" s="18">
        <v>71494.502308580297</v>
      </c>
      <c r="AL233" s="15">
        <v>2013</v>
      </c>
      <c r="AM233" s="15">
        <v>4</v>
      </c>
      <c r="AN233" s="15">
        <v>71492.474367385905</v>
      </c>
      <c r="AQ233" s="18">
        <v>2013</v>
      </c>
      <c r="AR233" s="18">
        <v>4</v>
      </c>
      <c r="AS233" s="18">
        <v>71478.618265990299</v>
      </c>
      <c r="AU233" s="10">
        <v>2013</v>
      </c>
      <c r="AV233" s="10">
        <v>4</v>
      </c>
      <c r="AW233" s="15">
        <v>71457.426114792994</v>
      </c>
      <c r="AY233" s="15">
        <v>2013</v>
      </c>
      <c r="AZ233" s="15">
        <v>4</v>
      </c>
      <c r="BA233" s="15">
        <v>71465.145279055199</v>
      </c>
      <c r="BC233" s="15">
        <v>2013</v>
      </c>
      <c r="BD233" s="15">
        <v>4</v>
      </c>
      <c r="BE233" s="15">
        <v>71461.046390154006</v>
      </c>
      <c r="BG233" s="15">
        <v>2013</v>
      </c>
      <c r="BH233" s="15">
        <v>4</v>
      </c>
      <c r="BI233" s="15">
        <v>71466.500341792795</v>
      </c>
    </row>
    <row r="234" spans="1:61" x14ac:dyDescent="0.25">
      <c r="A234" s="10">
        <v>2013</v>
      </c>
      <c r="B234" s="10">
        <v>5</v>
      </c>
      <c r="C234" s="11">
        <v>73840.986195941805</v>
      </c>
      <c r="G234" s="7">
        <v>2013</v>
      </c>
      <c r="H234" s="7">
        <v>2</v>
      </c>
      <c r="I234" s="13">
        <v>57944.6667638734</v>
      </c>
      <c r="L234" s="10">
        <v>2013</v>
      </c>
      <c r="M234" s="10">
        <v>5</v>
      </c>
      <c r="N234" s="18">
        <v>73738.673443915104</v>
      </c>
      <c r="Q234" s="15">
        <v>2013</v>
      </c>
      <c r="R234" s="15">
        <v>5</v>
      </c>
      <c r="S234" s="15">
        <v>73734.874630263104</v>
      </c>
      <c r="U234" s="15">
        <v>2013</v>
      </c>
      <c r="V234" s="15">
        <v>5</v>
      </c>
      <c r="W234" s="15">
        <v>73597.028672778499</v>
      </c>
      <c r="Z234" s="15">
        <v>2013</v>
      </c>
      <c r="AA234" s="15">
        <v>5</v>
      </c>
      <c r="AB234" s="15">
        <v>73606.753684981304</v>
      </c>
      <c r="AD234" s="18">
        <v>2013</v>
      </c>
      <c r="AE234" s="18">
        <v>5</v>
      </c>
      <c r="AF234" s="18">
        <v>73593.235117072603</v>
      </c>
      <c r="AH234" s="10">
        <v>2013</v>
      </c>
      <c r="AI234" s="10">
        <v>5</v>
      </c>
      <c r="AJ234" s="18">
        <v>73598.423664050104</v>
      </c>
      <c r="AL234" s="15">
        <v>2013</v>
      </c>
      <c r="AM234" s="15">
        <v>5</v>
      </c>
      <c r="AN234" s="15">
        <v>73597.616589670899</v>
      </c>
      <c r="AQ234" s="18">
        <v>2013</v>
      </c>
      <c r="AR234" s="18">
        <v>5</v>
      </c>
      <c r="AS234" s="18">
        <v>73573.645510522503</v>
      </c>
      <c r="AU234" s="10">
        <v>2013</v>
      </c>
      <c r="AV234" s="10">
        <v>5</v>
      </c>
      <c r="AW234" s="15">
        <v>73537.541955313005</v>
      </c>
      <c r="AY234" s="15">
        <v>2013</v>
      </c>
      <c r="AZ234" s="15">
        <v>5</v>
      </c>
      <c r="BA234" s="15">
        <v>73548.3680239237</v>
      </c>
      <c r="BC234" s="15">
        <v>2013</v>
      </c>
      <c r="BD234" s="15">
        <v>5</v>
      </c>
      <c r="BE234" s="15">
        <v>73540.582609448495</v>
      </c>
      <c r="BG234" s="15">
        <v>2013</v>
      </c>
      <c r="BH234" s="15">
        <v>5</v>
      </c>
      <c r="BI234" s="15">
        <v>73550.319943584705</v>
      </c>
    </row>
    <row r="235" spans="1:61" x14ac:dyDescent="0.25">
      <c r="A235" s="10">
        <v>2013</v>
      </c>
      <c r="B235" s="10">
        <v>6</v>
      </c>
      <c r="C235" s="11">
        <v>59250.709485150997</v>
      </c>
      <c r="G235" s="7">
        <v>2013</v>
      </c>
      <c r="H235" s="7">
        <v>3</v>
      </c>
      <c r="I235" s="13">
        <v>76085.374073465297</v>
      </c>
      <c r="L235" s="10">
        <v>2013</v>
      </c>
      <c r="M235" s="10">
        <v>6</v>
      </c>
      <c r="N235" s="18">
        <v>59511.339159552903</v>
      </c>
      <c r="Q235" s="15">
        <v>2013</v>
      </c>
      <c r="R235" s="15">
        <v>6</v>
      </c>
      <c r="S235" s="15">
        <v>59523.049063333798</v>
      </c>
      <c r="U235" s="15">
        <v>2013</v>
      </c>
      <c r="V235" s="15">
        <v>6</v>
      </c>
      <c r="W235" s="15">
        <v>59689.722282148097</v>
      </c>
      <c r="Z235" s="15">
        <v>2013</v>
      </c>
      <c r="AA235" s="15">
        <v>6</v>
      </c>
      <c r="AB235" s="15">
        <v>59630.416065408899</v>
      </c>
      <c r="AD235" s="18">
        <v>2013</v>
      </c>
      <c r="AE235" s="18">
        <v>6</v>
      </c>
      <c r="AF235" s="18">
        <v>59628.4493643803</v>
      </c>
      <c r="AH235" s="10">
        <v>2013</v>
      </c>
      <c r="AI235" s="10">
        <v>6</v>
      </c>
      <c r="AJ235" s="18">
        <v>59614.570347725603</v>
      </c>
      <c r="AL235" s="15">
        <v>2013</v>
      </c>
      <c r="AM235" s="15">
        <v>6</v>
      </c>
      <c r="AN235" s="15">
        <v>59608.658260967</v>
      </c>
      <c r="AQ235" s="18">
        <v>2013</v>
      </c>
      <c r="AR235" s="18">
        <v>6</v>
      </c>
      <c r="AS235" s="18">
        <v>59668.556378981499</v>
      </c>
      <c r="AU235" s="10">
        <v>2013</v>
      </c>
      <c r="AV235" s="10">
        <v>6</v>
      </c>
      <c r="AW235" s="15">
        <v>59816.3157532037</v>
      </c>
      <c r="AY235" s="15">
        <v>2013</v>
      </c>
      <c r="AZ235" s="15">
        <v>6</v>
      </c>
      <c r="BA235" s="15">
        <v>59755.259497582403</v>
      </c>
      <c r="BC235" s="15">
        <v>2013</v>
      </c>
      <c r="BD235" s="15">
        <v>6</v>
      </c>
      <c r="BE235" s="15">
        <v>59781.574130820598</v>
      </c>
      <c r="BG235" s="15">
        <v>2013</v>
      </c>
      <c r="BH235" s="15">
        <v>6</v>
      </c>
      <c r="BI235" s="15">
        <v>59753.041750394499</v>
      </c>
    </row>
    <row r="236" spans="1:61" x14ac:dyDescent="0.25">
      <c r="A236" s="10">
        <v>2013</v>
      </c>
      <c r="B236" s="10">
        <v>7</v>
      </c>
      <c r="C236" s="11">
        <v>68035.289048142105</v>
      </c>
      <c r="G236" s="7">
        <v>2013</v>
      </c>
      <c r="H236" s="7">
        <v>4</v>
      </c>
      <c r="I236" s="13">
        <v>72295.023017830797</v>
      </c>
      <c r="L236" s="10">
        <v>2013</v>
      </c>
      <c r="M236" s="10">
        <v>7</v>
      </c>
      <c r="N236" s="18">
        <v>67943.560020999299</v>
      </c>
      <c r="Q236" s="15">
        <v>2013</v>
      </c>
      <c r="R236" s="15">
        <v>7</v>
      </c>
      <c r="S236" s="15">
        <v>67929.490640871096</v>
      </c>
      <c r="U236" s="15">
        <v>2013</v>
      </c>
      <c r="V236" s="15">
        <v>7</v>
      </c>
      <c r="W236" s="15">
        <v>67821.070870313299</v>
      </c>
      <c r="Z236" s="15">
        <v>2013</v>
      </c>
      <c r="AA236" s="15">
        <v>7</v>
      </c>
      <c r="AB236" s="15">
        <v>67825.587813396705</v>
      </c>
      <c r="AD236" s="18">
        <v>2013</v>
      </c>
      <c r="AE236" s="18">
        <v>7</v>
      </c>
      <c r="AF236" s="18">
        <v>67817.451599219203</v>
      </c>
      <c r="AH236" s="10">
        <v>2013</v>
      </c>
      <c r="AI236" s="10">
        <v>7</v>
      </c>
      <c r="AJ236" s="18">
        <v>67822.002462447301</v>
      </c>
      <c r="AL236" s="15">
        <v>2013</v>
      </c>
      <c r="AM236" s="15">
        <v>7</v>
      </c>
      <c r="AN236" s="15">
        <v>67822.388384301594</v>
      </c>
      <c r="AQ236" s="18">
        <v>2013</v>
      </c>
      <c r="AR236" s="18">
        <v>7</v>
      </c>
      <c r="AS236" s="18">
        <v>67802.604507968194</v>
      </c>
      <c r="AU236" s="10">
        <v>2013</v>
      </c>
      <c r="AV236" s="10">
        <v>7</v>
      </c>
      <c r="AW236" s="15">
        <v>67772.792079930005</v>
      </c>
      <c r="AY236" s="15">
        <v>2013</v>
      </c>
      <c r="AZ236" s="15">
        <v>7</v>
      </c>
      <c r="BA236" s="15">
        <v>67781.664882839497</v>
      </c>
      <c r="BC236" s="15">
        <v>2013</v>
      </c>
      <c r="BD236" s="15">
        <v>7</v>
      </c>
      <c r="BE236" s="15">
        <v>67774.970771952299</v>
      </c>
      <c r="BG236" s="15">
        <v>2013</v>
      </c>
      <c r="BH236" s="15">
        <v>7</v>
      </c>
      <c r="BI236" s="15">
        <v>67783.566162342002</v>
      </c>
    </row>
    <row r="237" spans="1:61" x14ac:dyDescent="0.25">
      <c r="A237" s="10">
        <v>2013</v>
      </c>
      <c r="B237" s="10">
        <v>8</v>
      </c>
      <c r="C237" s="11">
        <v>61995.016825124498</v>
      </c>
      <c r="G237" s="7">
        <v>2013</v>
      </c>
      <c r="H237" s="7">
        <v>5</v>
      </c>
      <c r="I237" s="13">
        <v>74241.146491311898</v>
      </c>
      <c r="L237" s="10">
        <v>2013</v>
      </c>
      <c r="M237" s="10">
        <v>8</v>
      </c>
      <c r="N237" s="18">
        <v>61761.672554638397</v>
      </c>
      <c r="Q237" s="15">
        <v>2013</v>
      </c>
      <c r="R237" s="15">
        <v>8</v>
      </c>
      <c r="S237" s="15">
        <v>61702.162916540103</v>
      </c>
      <c r="U237" s="15">
        <v>2013</v>
      </c>
      <c r="V237" s="15">
        <v>8</v>
      </c>
      <c r="W237" s="15">
        <v>61707.436334616898</v>
      </c>
      <c r="Z237" s="15">
        <v>2013</v>
      </c>
      <c r="AA237" s="15">
        <v>8</v>
      </c>
      <c r="AB237" s="15">
        <v>61693.207413713601</v>
      </c>
      <c r="AD237" s="18">
        <v>2013</v>
      </c>
      <c r="AE237" s="18">
        <v>8</v>
      </c>
      <c r="AF237" s="18">
        <v>61688.7039974621</v>
      </c>
      <c r="AH237" s="10">
        <v>2013</v>
      </c>
      <c r="AI237" s="10">
        <v>8</v>
      </c>
      <c r="AJ237" s="18">
        <v>61691.496937400501</v>
      </c>
      <c r="AL237" s="15">
        <v>2013</v>
      </c>
      <c r="AM237" s="15">
        <v>8</v>
      </c>
      <c r="AN237" s="15">
        <v>61692.987715720497</v>
      </c>
      <c r="AQ237" s="18">
        <v>2013</v>
      </c>
      <c r="AR237" s="18">
        <v>8</v>
      </c>
      <c r="AS237" s="18">
        <v>61682.028435796303</v>
      </c>
      <c r="AU237" s="10">
        <v>2013</v>
      </c>
      <c r="AV237" s="10">
        <v>8</v>
      </c>
      <c r="AW237" s="15">
        <v>61659.095941489802</v>
      </c>
      <c r="AY237" s="15">
        <v>2013</v>
      </c>
      <c r="AZ237" s="15">
        <v>8</v>
      </c>
      <c r="BA237" s="15">
        <v>61669.9800746158</v>
      </c>
      <c r="BC237" s="15">
        <v>2013</v>
      </c>
      <c r="BD237" s="15">
        <v>8</v>
      </c>
      <c r="BE237" s="15">
        <v>61665.948740533699</v>
      </c>
      <c r="BG237" s="15">
        <v>2013</v>
      </c>
      <c r="BH237" s="15">
        <v>8</v>
      </c>
      <c r="BI237" s="15">
        <v>61671.658953220904</v>
      </c>
    </row>
    <row r="238" spans="1:61" x14ac:dyDescent="0.25">
      <c r="A238" s="10">
        <v>2013</v>
      </c>
      <c r="B238" s="10">
        <v>9</v>
      </c>
      <c r="C238" s="11">
        <v>62847.888939452801</v>
      </c>
      <c r="G238" s="7">
        <v>2013</v>
      </c>
      <c r="H238" s="7">
        <v>6</v>
      </c>
      <c r="I238" s="13">
        <v>59661.498106915002</v>
      </c>
      <c r="L238" s="10">
        <v>2013</v>
      </c>
      <c r="M238" s="10">
        <v>9</v>
      </c>
      <c r="N238" s="18">
        <v>62779.060175853701</v>
      </c>
      <c r="Q238" s="15">
        <v>2013</v>
      </c>
      <c r="R238" s="15">
        <v>9</v>
      </c>
      <c r="S238" s="15">
        <v>62782.213019348499</v>
      </c>
      <c r="U238" s="15">
        <v>2013</v>
      </c>
      <c r="V238" s="15">
        <v>9</v>
      </c>
      <c r="W238" s="15">
        <v>62768.1366157835</v>
      </c>
      <c r="Z238" s="15">
        <v>2013</v>
      </c>
      <c r="AA238" s="15">
        <v>9</v>
      </c>
      <c r="AB238" s="15">
        <v>62752.520840798599</v>
      </c>
      <c r="AD238" s="18">
        <v>2013</v>
      </c>
      <c r="AE238" s="18">
        <v>9</v>
      </c>
      <c r="AF238" s="18">
        <v>62757.421960774402</v>
      </c>
      <c r="AH238" s="10">
        <v>2013</v>
      </c>
      <c r="AI238" s="10">
        <v>9</v>
      </c>
      <c r="AJ238" s="18">
        <v>62755.006056644401</v>
      </c>
      <c r="AL238" s="15">
        <v>2013</v>
      </c>
      <c r="AM238" s="15">
        <v>9</v>
      </c>
      <c r="AN238" s="15">
        <v>62754.754194037501</v>
      </c>
      <c r="AQ238" s="18">
        <v>2013</v>
      </c>
      <c r="AR238" s="18">
        <v>9</v>
      </c>
      <c r="AS238" s="18">
        <v>62762.582419953702</v>
      </c>
      <c r="AU238" s="10">
        <v>2013</v>
      </c>
      <c r="AV238" s="10">
        <v>9</v>
      </c>
      <c r="AW238" s="15">
        <v>62773.129760010801</v>
      </c>
      <c r="AY238" s="15">
        <v>2013</v>
      </c>
      <c r="AZ238" s="15">
        <v>9</v>
      </c>
      <c r="BA238" s="15">
        <v>62772.298412841301</v>
      </c>
      <c r="BC238" s="15">
        <v>2013</v>
      </c>
      <c r="BD238" s="15">
        <v>9</v>
      </c>
      <c r="BE238" s="15">
        <v>62774.842144976399</v>
      </c>
      <c r="BG238" s="15">
        <v>2013</v>
      </c>
      <c r="BH238" s="15">
        <v>9</v>
      </c>
      <c r="BI238" s="15">
        <v>62772.874207858098</v>
      </c>
    </row>
    <row r="239" spans="1:61" x14ac:dyDescent="0.25">
      <c r="A239" s="10">
        <v>2013</v>
      </c>
      <c r="B239" s="10">
        <v>10</v>
      </c>
      <c r="C239" s="11">
        <v>64212.037146426097</v>
      </c>
      <c r="G239" s="7">
        <v>2013</v>
      </c>
      <c r="H239" s="7">
        <v>7</v>
      </c>
      <c r="I239" s="13">
        <v>68152.552770594397</v>
      </c>
      <c r="L239" s="10">
        <v>2013</v>
      </c>
      <c r="M239" s="10">
        <v>10</v>
      </c>
      <c r="N239" s="18">
        <v>63867.727750924598</v>
      </c>
      <c r="Q239" s="15">
        <v>2013</v>
      </c>
      <c r="R239" s="15">
        <v>10</v>
      </c>
      <c r="S239" s="15">
        <v>63791.617092994202</v>
      </c>
      <c r="U239" s="15">
        <v>2013</v>
      </c>
      <c r="V239" s="15">
        <v>10</v>
      </c>
      <c r="W239" s="15">
        <v>63828.790460086297</v>
      </c>
      <c r="Z239" s="15">
        <v>2013</v>
      </c>
      <c r="AA239" s="15">
        <v>10</v>
      </c>
      <c r="AB239" s="15">
        <v>63772.694141773602</v>
      </c>
      <c r="AD239" s="18">
        <v>2013</v>
      </c>
      <c r="AE239" s="18">
        <v>10</v>
      </c>
      <c r="AF239" s="18">
        <v>63765.963935340602</v>
      </c>
      <c r="AH239" s="10">
        <v>2013</v>
      </c>
      <c r="AI239" s="10">
        <v>10</v>
      </c>
      <c r="AJ239" s="18">
        <v>63767.5615456987</v>
      </c>
      <c r="AL239" s="15">
        <v>2013</v>
      </c>
      <c r="AM239" s="15">
        <v>10</v>
      </c>
      <c r="AN239" s="15">
        <v>63769.703693998999</v>
      </c>
      <c r="AQ239" s="18">
        <v>2013</v>
      </c>
      <c r="AR239" s="18">
        <v>10</v>
      </c>
      <c r="AS239" s="18">
        <v>63764.060955920497</v>
      </c>
      <c r="AU239" s="10">
        <v>2013</v>
      </c>
      <c r="AV239" s="10">
        <v>10</v>
      </c>
      <c r="AW239" s="15">
        <v>63751.128771202602</v>
      </c>
      <c r="AY239" s="15">
        <v>2013</v>
      </c>
      <c r="AZ239" s="15">
        <v>10</v>
      </c>
      <c r="BA239" s="15">
        <v>63756.526345386701</v>
      </c>
      <c r="BC239" s="15">
        <v>2013</v>
      </c>
      <c r="BD239" s="15">
        <v>10</v>
      </c>
      <c r="BE239" s="15">
        <v>63753.755274916301</v>
      </c>
      <c r="BG239" s="15">
        <v>2013</v>
      </c>
      <c r="BH239" s="15">
        <v>10</v>
      </c>
      <c r="BI239" s="15">
        <v>63757.961334632499</v>
      </c>
    </row>
    <row r="240" spans="1:61" x14ac:dyDescent="0.25">
      <c r="A240" s="10">
        <v>2013</v>
      </c>
      <c r="B240" s="10">
        <v>11</v>
      </c>
      <c r="C240" s="11">
        <v>54545.939184279698</v>
      </c>
      <c r="G240" s="7">
        <v>2013</v>
      </c>
      <c r="H240" s="7">
        <v>8</v>
      </c>
      <c r="I240" s="13">
        <v>61708.217607906103</v>
      </c>
      <c r="L240" s="10">
        <v>2013</v>
      </c>
      <c r="M240" s="10">
        <v>11</v>
      </c>
      <c r="N240" s="18">
        <v>54464.443546239498</v>
      </c>
      <c r="Q240" s="15">
        <v>2013</v>
      </c>
      <c r="R240" s="15">
        <v>11</v>
      </c>
      <c r="S240" s="15">
        <v>54485.084310695704</v>
      </c>
      <c r="U240" s="15">
        <v>2013</v>
      </c>
      <c r="V240" s="15">
        <v>11</v>
      </c>
      <c r="W240" s="15">
        <v>54434.914211224299</v>
      </c>
      <c r="Z240" s="15">
        <v>2013</v>
      </c>
      <c r="AA240" s="15">
        <v>11</v>
      </c>
      <c r="AB240" s="15">
        <v>54419.852007472298</v>
      </c>
      <c r="AD240" s="18">
        <v>2013</v>
      </c>
      <c r="AE240" s="18">
        <v>11</v>
      </c>
      <c r="AF240" s="18">
        <v>54420.060013591297</v>
      </c>
      <c r="AH240" s="10">
        <v>2013</v>
      </c>
      <c r="AI240" s="10">
        <v>11</v>
      </c>
      <c r="AJ240" s="18">
        <v>54418.151956874397</v>
      </c>
      <c r="AL240" s="15">
        <v>2013</v>
      </c>
      <c r="AM240" s="15">
        <v>11</v>
      </c>
      <c r="AN240" s="15">
        <v>54416.988800391897</v>
      </c>
      <c r="AQ240" s="18">
        <v>2013</v>
      </c>
      <c r="AR240" s="18">
        <v>11</v>
      </c>
      <c r="AS240" s="18">
        <v>54421.743662392597</v>
      </c>
      <c r="AU240" s="10">
        <v>2013</v>
      </c>
      <c r="AV240" s="10">
        <v>11</v>
      </c>
      <c r="AW240" s="15">
        <v>54426.3268739427</v>
      </c>
      <c r="AY240" s="15">
        <v>2013</v>
      </c>
      <c r="AZ240" s="15">
        <v>11</v>
      </c>
      <c r="BA240" s="15">
        <v>54427.944417947801</v>
      </c>
      <c r="BC240" s="15">
        <v>2013</v>
      </c>
      <c r="BD240" s="15">
        <v>11</v>
      </c>
      <c r="BE240" s="15">
        <v>54429.777797248302</v>
      </c>
      <c r="BG240" s="15">
        <v>2013</v>
      </c>
      <c r="BH240" s="15">
        <v>11</v>
      </c>
      <c r="BI240" s="15">
        <v>54428.682198656199</v>
      </c>
    </row>
    <row r="241" spans="1:61" x14ac:dyDescent="0.25">
      <c r="A241" s="10">
        <v>2013</v>
      </c>
      <c r="B241" s="10">
        <v>12</v>
      </c>
      <c r="C241" s="11">
        <v>52636.479138503797</v>
      </c>
      <c r="G241" s="7">
        <v>2013</v>
      </c>
      <c r="H241" s="7">
        <v>9</v>
      </c>
      <c r="I241" s="13">
        <v>62362.002827681201</v>
      </c>
      <c r="L241" s="10">
        <v>2013</v>
      </c>
      <c r="M241" s="10">
        <v>12</v>
      </c>
      <c r="N241" s="18">
        <v>52548.0437351152</v>
      </c>
      <c r="Q241" s="15">
        <v>2013</v>
      </c>
      <c r="R241" s="15">
        <v>12</v>
      </c>
      <c r="S241" s="15">
        <v>52765.020643302501</v>
      </c>
      <c r="U241" s="15">
        <v>2013</v>
      </c>
      <c r="V241" s="15">
        <v>12</v>
      </c>
      <c r="W241" s="15">
        <v>52566.652130376402</v>
      </c>
      <c r="Z241" s="15">
        <v>2013</v>
      </c>
      <c r="AA241" s="15">
        <v>12</v>
      </c>
      <c r="AB241" s="15">
        <v>52571.941769265999</v>
      </c>
      <c r="AD241" s="18">
        <v>2013</v>
      </c>
      <c r="AE241" s="18">
        <v>12</v>
      </c>
      <c r="AF241" s="18">
        <v>52574.676777627501</v>
      </c>
      <c r="AH241" s="10">
        <v>2013</v>
      </c>
      <c r="AI241" s="10">
        <v>12</v>
      </c>
      <c r="AJ241" s="18">
        <v>52573.669535294197</v>
      </c>
      <c r="AL241" s="15">
        <v>2013</v>
      </c>
      <c r="AM241" s="15">
        <v>12</v>
      </c>
      <c r="AN241" s="15">
        <v>52572.603044465402</v>
      </c>
      <c r="AQ241" s="18">
        <v>2013</v>
      </c>
      <c r="AR241" s="18">
        <v>12</v>
      </c>
      <c r="AS241" s="18">
        <v>52573.7876363014</v>
      </c>
      <c r="AU241" s="10">
        <v>2013</v>
      </c>
      <c r="AV241" s="10">
        <v>12</v>
      </c>
      <c r="AW241" s="15">
        <v>52564.9101488991</v>
      </c>
      <c r="AY241" s="15">
        <v>2013</v>
      </c>
      <c r="AZ241" s="15">
        <v>12</v>
      </c>
      <c r="BA241" s="15">
        <v>52570.701882851899</v>
      </c>
      <c r="BC241" s="15">
        <v>2013</v>
      </c>
      <c r="BD241" s="15">
        <v>12</v>
      </c>
      <c r="BE241" s="15">
        <v>52570.311272409897</v>
      </c>
      <c r="BG241" s="15">
        <v>2013</v>
      </c>
      <c r="BH241" s="15">
        <v>12</v>
      </c>
      <c r="BI241" s="15">
        <v>52570.066098214898</v>
      </c>
    </row>
    <row r="242" spans="1:61" x14ac:dyDescent="0.25">
      <c r="A242" s="10">
        <v>2014</v>
      </c>
      <c r="B242" s="10">
        <v>1</v>
      </c>
      <c r="C242" s="11">
        <v>56487.186683497603</v>
      </c>
      <c r="G242" s="7">
        <v>2013</v>
      </c>
      <c r="H242" s="7">
        <v>10</v>
      </c>
      <c r="I242" s="13">
        <v>64150.329205818904</v>
      </c>
      <c r="L242" s="10">
        <v>2014</v>
      </c>
      <c r="M242" s="10">
        <v>1</v>
      </c>
      <c r="N242" s="18">
        <v>56380.307869416698</v>
      </c>
      <c r="Q242" s="15">
        <v>2014</v>
      </c>
      <c r="R242" s="15">
        <v>1</v>
      </c>
      <c r="S242" s="15">
        <v>56513.862879666303</v>
      </c>
      <c r="U242" s="15">
        <v>2014</v>
      </c>
      <c r="V242" s="15">
        <v>1</v>
      </c>
      <c r="W242" s="15">
        <v>56270.539954400498</v>
      </c>
      <c r="Z242" s="15">
        <v>2014</v>
      </c>
      <c r="AA242" s="15">
        <v>1</v>
      </c>
      <c r="AB242" s="15">
        <v>56308.212258909298</v>
      </c>
      <c r="AD242" s="18">
        <v>2014</v>
      </c>
      <c r="AE242" s="18">
        <v>1</v>
      </c>
      <c r="AF242" s="18">
        <v>56283.233289805001</v>
      </c>
      <c r="AH242" s="10">
        <v>2014</v>
      </c>
      <c r="AI242" s="10">
        <v>1</v>
      </c>
      <c r="AJ242" s="18">
        <v>56286.552138307699</v>
      </c>
      <c r="AL242" s="15">
        <v>2014</v>
      </c>
      <c r="AM242" s="15">
        <v>1</v>
      </c>
      <c r="AN242" s="15">
        <v>56281.952234178098</v>
      </c>
      <c r="AQ242" s="18">
        <v>2014</v>
      </c>
      <c r="AR242" s="18">
        <v>1</v>
      </c>
      <c r="AS242" s="18">
        <v>56260.420668718201</v>
      </c>
      <c r="AU242" s="10">
        <v>2014</v>
      </c>
      <c r="AV242" s="10">
        <v>1</v>
      </c>
      <c r="AW242" s="15">
        <v>56223.964444736397</v>
      </c>
      <c r="AY242" s="15">
        <v>2014</v>
      </c>
      <c r="AZ242" s="15">
        <v>1</v>
      </c>
      <c r="BA242" s="15">
        <v>56236.717845721098</v>
      </c>
      <c r="BC242" s="15">
        <v>2014</v>
      </c>
      <c r="BD242" s="15">
        <v>1</v>
      </c>
      <c r="BE242" s="15">
        <v>56229.998384039303</v>
      </c>
      <c r="BG242" s="15">
        <v>2014</v>
      </c>
      <c r="BH242" s="15">
        <v>1</v>
      </c>
      <c r="BI242" s="15">
        <v>56237.318609866699</v>
      </c>
    </row>
    <row r="243" spans="1:61" x14ac:dyDescent="0.25">
      <c r="A243" s="10">
        <v>2014</v>
      </c>
      <c r="B243" s="10">
        <v>2</v>
      </c>
      <c r="C243" s="11">
        <v>55899.691505417599</v>
      </c>
      <c r="G243" s="7">
        <v>2013</v>
      </c>
      <c r="H243" s="7">
        <v>11</v>
      </c>
      <c r="I243" s="13">
        <v>53826.376105387702</v>
      </c>
      <c r="L243" s="10">
        <v>2014</v>
      </c>
      <c r="M243" s="10">
        <v>2</v>
      </c>
      <c r="N243" s="18">
        <v>57085.8633097848</v>
      </c>
      <c r="Q243" s="15">
        <v>2014</v>
      </c>
      <c r="R243" s="15">
        <v>2</v>
      </c>
      <c r="S243" s="15">
        <v>56612.829336356699</v>
      </c>
      <c r="U243" s="15">
        <v>2014</v>
      </c>
      <c r="V243" s="15">
        <v>2</v>
      </c>
      <c r="W243" s="15">
        <v>57821.838025225101</v>
      </c>
      <c r="Z243" s="15">
        <v>2014</v>
      </c>
      <c r="AA243" s="15">
        <v>2</v>
      </c>
      <c r="AB243" s="15">
        <v>57998.490760981404</v>
      </c>
      <c r="AD243" s="18">
        <v>2014</v>
      </c>
      <c r="AE243" s="18">
        <v>2</v>
      </c>
      <c r="AF243" s="18">
        <v>58106.1765432135</v>
      </c>
      <c r="AH243" s="10">
        <v>2014</v>
      </c>
      <c r="AI243" s="10">
        <v>2</v>
      </c>
      <c r="AJ243" s="18">
        <v>58115.643621208001</v>
      </c>
      <c r="AL243" s="15">
        <v>2014</v>
      </c>
      <c r="AM243" s="15">
        <v>2</v>
      </c>
      <c r="AN243" s="15">
        <v>58142.856358380501</v>
      </c>
      <c r="AQ243" s="18">
        <v>2014</v>
      </c>
      <c r="AR243" s="18">
        <v>2</v>
      </c>
      <c r="AS243" s="18">
        <v>58149.121157528301</v>
      </c>
      <c r="AU243" s="10">
        <v>2014</v>
      </c>
      <c r="AV243" s="10">
        <v>2</v>
      </c>
      <c r="AW243" s="15">
        <v>58119.146013787198</v>
      </c>
      <c r="AY243" s="15">
        <v>2014</v>
      </c>
      <c r="AZ243" s="15">
        <v>2</v>
      </c>
      <c r="BA243" s="15">
        <v>58108.907495561703</v>
      </c>
      <c r="BC243" s="15">
        <v>2014</v>
      </c>
      <c r="BD243" s="15">
        <v>2</v>
      </c>
      <c r="BE243" s="15">
        <v>58098.976709041999</v>
      </c>
      <c r="BG243" s="15">
        <v>2014</v>
      </c>
      <c r="BH243" s="15">
        <v>2</v>
      </c>
      <c r="BI243" s="15">
        <v>58096.996572097101</v>
      </c>
    </row>
    <row r="244" spans="1:61" x14ac:dyDescent="0.25">
      <c r="A244" s="10">
        <v>2014</v>
      </c>
      <c r="B244" s="10">
        <v>3</v>
      </c>
      <c r="C244" s="11">
        <v>52800.354628192101</v>
      </c>
      <c r="G244" s="7">
        <v>2013</v>
      </c>
      <c r="H244" s="7">
        <v>12</v>
      </c>
      <c r="I244" s="13">
        <v>51578.111070414801</v>
      </c>
      <c r="L244" s="10">
        <v>2014</v>
      </c>
      <c r="M244" s="10">
        <v>3</v>
      </c>
      <c r="N244" s="18">
        <v>52577.826388321097</v>
      </c>
      <c r="Q244" s="15">
        <v>2014</v>
      </c>
      <c r="R244" s="15">
        <v>3</v>
      </c>
      <c r="S244" s="15">
        <v>52617.360482728203</v>
      </c>
      <c r="U244" s="15">
        <v>2014</v>
      </c>
      <c r="V244" s="15">
        <v>3</v>
      </c>
      <c r="W244" s="15">
        <v>52619.810167504198</v>
      </c>
      <c r="Z244" s="15">
        <v>2014</v>
      </c>
      <c r="AA244" s="15">
        <v>3</v>
      </c>
      <c r="AB244" s="15">
        <v>52592.160933574698</v>
      </c>
      <c r="AD244" s="18">
        <v>2014</v>
      </c>
      <c r="AE244" s="18">
        <v>3</v>
      </c>
      <c r="AF244" s="18">
        <v>52593.807376301898</v>
      </c>
      <c r="AH244" s="10">
        <v>2014</v>
      </c>
      <c r="AI244" s="10">
        <v>3</v>
      </c>
      <c r="AJ244" s="18">
        <v>52588.1765863334</v>
      </c>
      <c r="AL244" s="15">
        <v>2014</v>
      </c>
      <c r="AM244" s="15">
        <v>3</v>
      </c>
      <c r="AN244" s="15">
        <v>52582.197270574099</v>
      </c>
      <c r="AQ244" s="18">
        <v>2014</v>
      </c>
      <c r="AR244" s="18">
        <v>3</v>
      </c>
      <c r="AS244" s="18">
        <v>52596.1769196725</v>
      </c>
      <c r="AU244" s="10">
        <v>2014</v>
      </c>
      <c r="AV244" s="10">
        <v>3</v>
      </c>
      <c r="AW244" s="15">
        <v>52620.168636930903</v>
      </c>
      <c r="AY244" s="15">
        <v>2014</v>
      </c>
      <c r="AZ244" s="15">
        <v>3</v>
      </c>
      <c r="BA244" s="15">
        <v>52617.264819812903</v>
      </c>
      <c r="BC244" s="15">
        <v>2014</v>
      </c>
      <c r="BD244" s="15">
        <v>3</v>
      </c>
      <c r="BE244" s="15">
        <v>52623.773610606702</v>
      </c>
      <c r="BG244" s="15">
        <v>2014</v>
      </c>
      <c r="BH244" s="15">
        <v>3</v>
      </c>
      <c r="BI244" s="15">
        <v>52617.117333299597</v>
      </c>
    </row>
    <row r="245" spans="1:61" x14ac:dyDescent="0.25">
      <c r="A245" s="10">
        <v>2014</v>
      </c>
      <c r="B245" s="10">
        <v>4</v>
      </c>
      <c r="C245" s="11">
        <v>55022.678930434799</v>
      </c>
      <c r="G245" s="7">
        <v>2014</v>
      </c>
      <c r="H245" s="7">
        <v>1</v>
      </c>
      <c r="I245" s="13">
        <v>55061.345933474397</v>
      </c>
      <c r="L245" s="10">
        <v>2014</v>
      </c>
      <c r="M245" s="10">
        <v>4</v>
      </c>
      <c r="N245" s="18">
        <v>54964.756754665701</v>
      </c>
      <c r="Q245" s="15">
        <v>2014</v>
      </c>
      <c r="R245" s="15">
        <v>4</v>
      </c>
      <c r="S245" s="15">
        <v>54953.945290100397</v>
      </c>
      <c r="U245" s="15">
        <v>2014</v>
      </c>
      <c r="V245" s="15">
        <v>4</v>
      </c>
      <c r="W245" s="15">
        <v>54850.2229739553</v>
      </c>
      <c r="Z245" s="15">
        <v>2014</v>
      </c>
      <c r="AA245" s="15">
        <v>4</v>
      </c>
      <c r="AB245" s="15">
        <v>54849.442840711999</v>
      </c>
      <c r="AD245" s="18">
        <v>2014</v>
      </c>
      <c r="AE245" s="18">
        <v>4</v>
      </c>
      <c r="AF245" s="18">
        <v>54838.800442719199</v>
      </c>
      <c r="AH245" s="10">
        <v>2014</v>
      </c>
      <c r="AI245" s="10">
        <v>4</v>
      </c>
      <c r="AJ245" s="18">
        <v>54841.658122176901</v>
      </c>
      <c r="AL245" s="15">
        <v>2014</v>
      </c>
      <c r="AM245" s="15">
        <v>4</v>
      </c>
      <c r="AN245" s="15">
        <v>54839.759758969703</v>
      </c>
      <c r="AQ245" s="18">
        <v>2014</v>
      </c>
      <c r="AR245" s="18">
        <v>4</v>
      </c>
      <c r="AS245" s="18">
        <v>54823.915016795501</v>
      </c>
      <c r="AU245" s="10">
        <v>2014</v>
      </c>
      <c r="AV245" s="10">
        <v>4</v>
      </c>
      <c r="AW245" s="15">
        <v>54801.9199944422</v>
      </c>
      <c r="AY245" s="15">
        <v>2014</v>
      </c>
      <c r="AZ245" s="15">
        <v>4</v>
      </c>
      <c r="BA245" s="15">
        <v>54811.409596211401</v>
      </c>
      <c r="BC245" s="15">
        <v>2014</v>
      </c>
      <c r="BD245" s="15">
        <v>4</v>
      </c>
      <c r="BE245" s="15">
        <v>54807.078456162199</v>
      </c>
      <c r="BG245" s="15">
        <v>2014</v>
      </c>
      <c r="BH245" s="15">
        <v>4</v>
      </c>
      <c r="BI245" s="15">
        <v>54813.440811863999</v>
      </c>
    </row>
    <row r="246" spans="1:61" x14ac:dyDescent="0.25">
      <c r="A246" s="10">
        <v>2014</v>
      </c>
      <c r="B246" s="10">
        <v>5</v>
      </c>
      <c r="C246" s="11">
        <v>47267.6816606551</v>
      </c>
      <c r="G246" s="7">
        <v>2014</v>
      </c>
      <c r="H246" s="7">
        <v>2</v>
      </c>
      <c r="I246" s="13">
        <v>56393.870333904801</v>
      </c>
      <c r="L246" s="10">
        <v>2014</v>
      </c>
      <c r="M246" s="10">
        <v>5</v>
      </c>
      <c r="N246" s="18">
        <v>47198.7785613507</v>
      </c>
      <c r="Q246" s="15">
        <v>2014</v>
      </c>
      <c r="R246" s="15">
        <v>5</v>
      </c>
      <c r="S246" s="15">
        <v>47185.585259450701</v>
      </c>
      <c r="U246" s="15">
        <v>2014</v>
      </c>
      <c r="V246" s="15">
        <v>5</v>
      </c>
      <c r="W246" s="15">
        <v>47158.210418238101</v>
      </c>
      <c r="Z246" s="15">
        <v>2014</v>
      </c>
      <c r="AA246" s="15">
        <v>5</v>
      </c>
      <c r="AB246" s="15">
        <v>47153.046215880997</v>
      </c>
      <c r="AD246" s="18">
        <v>2014</v>
      </c>
      <c r="AE246" s="18">
        <v>5</v>
      </c>
      <c r="AF246" s="18">
        <v>47152.6189247168</v>
      </c>
      <c r="AH246" s="10">
        <v>2014</v>
      </c>
      <c r="AI246" s="10">
        <v>5</v>
      </c>
      <c r="AJ246" s="18">
        <v>47151.577254958698</v>
      </c>
      <c r="AL246" s="15">
        <v>2014</v>
      </c>
      <c r="AM246" s="15">
        <v>5</v>
      </c>
      <c r="AN246" s="15">
        <v>47149.738313745103</v>
      </c>
      <c r="AQ246" s="18">
        <v>2014</v>
      </c>
      <c r="AR246" s="18">
        <v>5</v>
      </c>
      <c r="AS246" s="18">
        <v>47149.686104826797</v>
      </c>
      <c r="AU246" s="10">
        <v>2014</v>
      </c>
      <c r="AV246" s="10">
        <v>5</v>
      </c>
      <c r="AW246" s="15">
        <v>47151.635632559999</v>
      </c>
      <c r="AY246" s="15">
        <v>2014</v>
      </c>
      <c r="AZ246" s="15">
        <v>5</v>
      </c>
      <c r="BA246" s="15">
        <v>47154.2056383327</v>
      </c>
      <c r="BC246" s="15">
        <v>2014</v>
      </c>
      <c r="BD246" s="15">
        <v>5</v>
      </c>
      <c r="BE246" s="15">
        <v>47154.924053076698</v>
      </c>
      <c r="BG246" s="15">
        <v>2014</v>
      </c>
      <c r="BH246" s="15">
        <v>5</v>
      </c>
      <c r="BI246" s="15">
        <v>47155.295916060997</v>
      </c>
    </row>
    <row r="247" spans="1:61" x14ac:dyDescent="0.25">
      <c r="A247" s="10">
        <v>2014</v>
      </c>
      <c r="B247" s="10">
        <v>6</v>
      </c>
      <c r="C247" s="11">
        <v>45671.095881941903</v>
      </c>
      <c r="G247" s="7">
        <v>2014</v>
      </c>
      <c r="H247" s="7">
        <v>3</v>
      </c>
      <c r="I247" s="13">
        <v>54725.487331862401</v>
      </c>
      <c r="L247" s="10">
        <v>2014</v>
      </c>
      <c r="M247" s="10">
        <v>6</v>
      </c>
      <c r="N247" s="18">
        <v>45983.3648907479</v>
      </c>
      <c r="Q247" s="15">
        <v>2014</v>
      </c>
      <c r="R247" s="15">
        <v>6</v>
      </c>
      <c r="S247" s="15">
        <v>45950.356608073103</v>
      </c>
      <c r="U247" s="15">
        <v>2014</v>
      </c>
      <c r="V247" s="15">
        <v>6</v>
      </c>
      <c r="W247" s="15">
        <v>46032.763065002197</v>
      </c>
      <c r="Z247" s="15">
        <v>2014</v>
      </c>
      <c r="AA247" s="15">
        <v>6</v>
      </c>
      <c r="AB247" s="15">
        <v>45988.200965233998</v>
      </c>
      <c r="AD247" s="18">
        <v>2014</v>
      </c>
      <c r="AE247" s="18">
        <v>6</v>
      </c>
      <c r="AF247" s="18">
        <v>45978.9377279861</v>
      </c>
      <c r="AH247" s="10">
        <v>2014</v>
      </c>
      <c r="AI247" s="10">
        <v>6</v>
      </c>
      <c r="AJ247" s="18">
        <v>45972.320341491803</v>
      </c>
      <c r="AL247" s="15">
        <v>2014</v>
      </c>
      <c r="AM247" s="15">
        <v>6</v>
      </c>
      <c r="AN247" s="15">
        <v>45968.819489131703</v>
      </c>
      <c r="AQ247" s="18">
        <v>2014</v>
      </c>
      <c r="AR247" s="18">
        <v>6</v>
      </c>
      <c r="AS247" s="18">
        <v>46002.149123847099</v>
      </c>
      <c r="AU247" s="10">
        <v>2014</v>
      </c>
      <c r="AV247" s="10">
        <v>6</v>
      </c>
      <c r="AW247" s="15">
        <v>46101.951662859203</v>
      </c>
      <c r="AY247" s="15">
        <v>2014</v>
      </c>
      <c r="AZ247" s="15">
        <v>6</v>
      </c>
      <c r="BA247" s="15">
        <v>46060.683554581803</v>
      </c>
      <c r="BC247" s="15">
        <v>2014</v>
      </c>
      <c r="BD247" s="15">
        <v>6</v>
      </c>
      <c r="BE247" s="15">
        <v>46077.699506674697</v>
      </c>
      <c r="BG247" s="15">
        <v>2014</v>
      </c>
      <c r="BH247" s="15">
        <v>6</v>
      </c>
      <c r="BI247" s="15">
        <v>46060.159573925499</v>
      </c>
    </row>
    <row r="248" spans="1:61" x14ac:dyDescent="0.25">
      <c r="A248" s="10">
        <v>2014</v>
      </c>
      <c r="B248" s="10">
        <v>7</v>
      </c>
      <c r="C248" s="11">
        <v>45873.707842120602</v>
      </c>
      <c r="G248" s="7">
        <v>2014</v>
      </c>
      <c r="H248" s="7">
        <v>4</v>
      </c>
      <c r="I248" s="13">
        <v>55682.184048731498</v>
      </c>
      <c r="L248" s="10">
        <v>2014</v>
      </c>
      <c r="M248" s="10">
        <v>7</v>
      </c>
      <c r="N248" s="18">
        <v>45881.497213204799</v>
      </c>
      <c r="Q248" s="15">
        <v>2014</v>
      </c>
      <c r="R248" s="15">
        <v>7</v>
      </c>
      <c r="S248" s="15">
        <v>45843.103767601497</v>
      </c>
      <c r="U248" s="15">
        <v>2014</v>
      </c>
      <c r="V248" s="15">
        <v>7</v>
      </c>
      <c r="W248" s="15">
        <v>45730.543507282702</v>
      </c>
      <c r="Z248" s="15">
        <v>2014</v>
      </c>
      <c r="AA248" s="15">
        <v>7</v>
      </c>
      <c r="AB248" s="15">
        <v>45732.769505839497</v>
      </c>
      <c r="AD248" s="18">
        <v>2014</v>
      </c>
      <c r="AE248" s="18">
        <v>7</v>
      </c>
      <c r="AF248" s="18">
        <v>45721.975867320703</v>
      </c>
      <c r="AH248" s="10">
        <v>2014</v>
      </c>
      <c r="AI248" s="10">
        <v>7</v>
      </c>
      <c r="AJ248" s="18">
        <v>45727.010302414499</v>
      </c>
      <c r="AL248" s="15">
        <v>2014</v>
      </c>
      <c r="AM248" s="15">
        <v>7</v>
      </c>
      <c r="AN248" s="15">
        <v>45728.057078065402</v>
      </c>
      <c r="AQ248" s="18">
        <v>2014</v>
      </c>
      <c r="AR248" s="18">
        <v>7</v>
      </c>
      <c r="AS248" s="18">
        <v>45706.939186652002</v>
      </c>
      <c r="AU248" s="10">
        <v>2014</v>
      </c>
      <c r="AV248" s="10">
        <v>7</v>
      </c>
      <c r="AW248" s="15">
        <v>45674.8454185183</v>
      </c>
      <c r="AY248" s="15">
        <v>2014</v>
      </c>
      <c r="AZ248" s="15">
        <v>7</v>
      </c>
      <c r="BA248" s="15">
        <v>45686.269632891999</v>
      </c>
      <c r="BC248" s="15">
        <v>2014</v>
      </c>
      <c r="BD248" s="15">
        <v>7</v>
      </c>
      <c r="BE248" s="15">
        <v>45679.120754451098</v>
      </c>
      <c r="BG248" s="15">
        <v>2014</v>
      </c>
      <c r="BH248" s="15">
        <v>7</v>
      </c>
      <c r="BI248" s="15">
        <v>45688.675584197299</v>
      </c>
    </row>
    <row r="249" spans="1:61" x14ac:dyDescent="0.25">
      <c r="A249" s="10">
        <v>2014</v>
      </c>
      <c r="B249" s="10">
        <v>8</v>
      </c>
      <c r="C249" s="11">
        <v>41619.914730823002</v>
      </c>
      <c r="G249" s="7">
        <v>2014</v>
      </c>
      <c r="H249" s="7">
        <v>5</v>
      </c>
      <c r="I249" s="13">
        <v>47725.6357030816</v>
      </c>
      <c r="L249" s="10">
        <v>2014</v>
      </c>
      <c r="M249" s="10">
        <v>8</v>
      </c>
      <c r="N249" s="18">
        <v>41566.583019014201</v>
      </c>
      <c r="Q249" s="15">
        <v>2014</v>
      </c>
      <c r="R249" s="15">
        <v>8</v>
      </c>
      <c r="S249" s="15">
        <v>41532.277610928097</v>
      </c>
      <c r="U249" s="15">
        <v>2014</v>
      </c>
      <c r="V249" s="15">
        <v>8</v>
      </c>
      <c r="W249" s="15">
        <v>41592.530758859299</v>
      </c>
      <c r="Z249" s="15">
        <v>2014</v>
      </c>
      <c r="AA249" s="15">
        <v>8</v>
      </c>
      <c r="AB249" s="15">
        <v>41567.987171323097</v>
      </c>
      <c r="AD249" s="18">
        <v>2014</v>
      </c>
      <c r="AE249" s="18">
        <v>8</v>
      </c>
      <c r="AF249" s="18">
        <v>41575.957152888099</v>
      </c>
      <c r="AH249" s="10">
        <v>2014</v>
      </c>
      <c r="AI249" s="10">
        <v>8</v>
      </c>
      <c r="AJ249" s="18">
        <v>41572.424033899202</v>
      </c>
      <c r="AL249" s="15">
        <v>2014</v>
      </c>
      <c r="AM249" s="15">
        <v>8</v>
      </c>
      <c r="AN249" s="15">
        <v>41573.448595677401</v>
      </c>
      <c r="AQ249" s="18">
        <v>2014</v>
      </c>
      <c r="AR249" s="18">
        <v>8</v>
      </c>
      <c r="AS249" s="18">
        <v>41587.413213953303</v>
      </c>
      <c r="AU249" s="10">
        <v>2014</v>
      </c>
      <c r="AV249" s="10">
        <v>8</v>
      </c>
      <c r="AW249" s="15">
        <v>41603.671620251698</v>
      </c>
      <c r="AY249" s="15">
        <v>2014</v>
      </c>
      <c r="AZ249" s="15">
        <v>8</v>
      </c>
      <c r="BA249" s="15">
        <v>41603.424449260703</v>
      </c>
      <c r="BC249" s="15">
        <v>2014</v>
      </c>
      <c r="BD249" s="15">
        <v>8</v>
      </c>
      <c r="BE249" s="15">
        <v>41607.684981046499</v>
      </c>
      <c r="BG249" s="15">
        <v>2014</v>
      </c>
      <c r="BH249" s="15">
        <v>8</v>
      </c>
      <c r="BI249" s="15">
        <v>41604.0316675414</v>
      </c>
    </row>
    <row r="250" spans="1:61" x14ac:dyDescent="0.25">
      <c r="A250" s="10">
        <v>2014</v>
      </c>
      <c r="B250" s="10">
        <v>9</v>
      </c>
      <c r="C250" s="11">
        <v>48583.547793795602</v>
      </c>
      <c r="G250" s="7">
        <v>2014</v>
      </c>
      <c r="H250" s="7">
        <v>6</v>
      </c>
      <c r="I250" s="13">
        <v>45971.514524104197</v>
      </c>
      <c r="L250" s="10">
        <v>2014</v>
      </c>
      <c r="M250" s="10">
        <v>9</v>
      </c>
      <c r="N250" s="18">
        <v>48602.597146326698</v>
      </c>
      <c r="Q250" s="15">
        <v>2014</v>
      </c>
      <c r="R250" s="15">
        <v>9</v>
      </c>
      <c r="S250" s="15">
        <v>48590.507946564998</v>
      </c>
      <c r="U250" s="15">
        <v>2014</v>
      </c>
      <c r="V250" s="15">
        <v>9</v>
      </c>
      <c r="W250" s="15">
        <v>48456.999509361602</v>
      </c>
      <c r="Z250" s="15">
        <v>2014</v>
      </c>
      <c r="AA250" s="15">
        <v>9</v>
      </c>
      <c r="AB250" s="15">
        <v>48452.122211240203</v>
      </c>
      <c r="AD250" s="18">
        <v>2014</v>
      </c>
      <c r="AE250" s="18">
        <v>9</v>
      </c>
      <c r="AF250" s="18">
        <v>48443.019919410202</v>
      </c>
      <c r="AH250" s="10">
        <v>2014</v>
      </c>
      <c r="AI250" s="10">
        <v>9</v>
      </c>
      <c r="AJ250" s="18">
        <v>48447.371946312298</v>
      </c>
      <c r="AL250" s="15">
        <v>2014</v>
      </c>
      <c r="AM250" s="15">
        <v>9</v>
      </c>
      <c r="AN250" s="15">
        <v>48449.972739879697</v>
      </c>
      <c r="AQ250" s="18">
        <v>2014</v>
      </c>
      <c r="AR250" s="18">
        <v>9</v>
      </c>
      <c r="AS250" s="18">
        <v>48433.689018757803</v>
      </c>
      <c r="AU250" s="10">
        <v>2014</v>
      </c>
      <c r="AV250" s="10">
        <v>9</v>
      </c>
      <c r="AW250" s="15">
        <v>48405.368526792998</v>
      </c>
      <c r="AY250" s="15">
        <v>2014</v>
      </c>
      <c r="AZ250" s="15">
        <v>9</v>
      </c>
      <c r="BA250" s="15">
        <v>48414.782643348597</v>
      </c>
      <c r="BC250" s="15">
        <v>2014</v>
      </c>
      <c r="BD250" s="15">
        <v>9</v>
      </c>
      <c r="BE250" s="15">
        <v>48408.445663908002</v>
      </c>
      <c r="BG250" s="15">
        <v>2014</v>
      </c>
      <c r="BH250" s="15">
        <v>9</v>
      </c>
      <c r="BI250" s="15">
        <v>48416.9569099492</v>
      </c>
    </row>
    <row r="251" spans="1:61" x14ac:dyDescent="0.25">
      <c r="A251" s="10">
        <v>2014</v>
      </c>
      <c r="B251" s="10">
        <v>10</v>
      </c>
      <c r="C251" s="11">
        <v>50538.588752319003</v>
      </c>
      <c r="G251" s="7">
        <v>2014</v>
      </c>
      <c r="H251" s="7">
        <v>7</v>
      </c>
      <c r="I251" s="13">
        <v>45861.808985453798</v>
      </c>
      <c r="L251" s="10">
        <v>2014</v>
      </c>
      <c r="M251" s="10">
        <v>10</v>
      </c>
      <c r="N251" s="18">
        <v>50184.640286106704</v>
      </c>
      <c r="Q251" s="15">
        <v>2014</v>
      </c>
      <c r="R251" s="15">
        <v>10</v>
      </c>
      <c r="S251" s="15">
        <v>50068.999107104799</v>
      </c>
      <c r="U251" s="15">
        <v>2014</v>
      </c>
      <c r="V251" s="15">
        <v>10</v>
      </c>
      <c r="W251" s="15">
        <v>50222.932339344603</v>
      </c>
      <c r="Z251" s="15">
        <v>2014</v>
      </c>
      <c r="AA251" s="15">
        <v>10</v>
      </c>
      <c r="AB251" s="15">
        <v>50115.266782813997</v>
      </c>
      <c r="AD251" s="18">
        <v>2014</v>
      </c>
      <c r="AE251" s="18">
        <v>10</v>
      </c>
      <c r="AF251" s="18">
        <v>50112.840668977697</v>
      </c>
      <c r="AH251" s="10">
        <v>2014</v>
      </c>
      <c r="AI251" s="10">
        <v>10</v>
      </c>
      <c r="AJ251" s="18">
        <v>50112.518116872998</v>
      </c>
      <c r="AL251" s="15">
        <v>2014</v>
      </c>
      <c r="AM251" s="15">
        <v>10</v>
      </c>
      <c r="AN251" s="15">
        <v>50117.778409435399</v>
      </c>
      <c r="AQ251" s="18">
        <v>2014</v>
      </c>
      <c r="AR251" s="18">
        <v>10</v>
      </c>
      <c r="AS251" s="18">
        <v>50123.388459462702</v>
      </c>
      <c r="AU251" s="10">
        <v>2014</v>
      </c>
      <c r="AV251" s="10">
        <v>10</v>
      </c>
      <c r="AW251" s="15">
        <v>50123.477328600296</v>
      </c>
      <c r="AY251" s="15">
        <v>2014</v>
      </c>
      <c r="AZ251" s="15">
        <v>10</v>
      </c>
      <c r="BA251" s="15">
        <v>50123.061874670297</v>
      </c>
      <c r="BC251" s="15">
        <v>2014</v>
      </c>
      <c r="BD251" s="15">
        <v>10</v>
      </c>
      <c r="BE251" s="15">
        <v>50122.625154890302</v>
      </c>
      <c r="BG251" s="15">
        <v>2014</v>
      </c>
      <c r="BH251" s="15">
        <v>10</v>
      </c>
      <c r="BI251" s="15">
        <v>50124.103896367698</v>
      </c>
    </row>
    <row r="252" spans="1:61" x14ac:dyDescent="0.25">
      <c r="A252" s="10">
        <v>2014</v>
      </c>
      <c r="B252" s="10">
        <v>11</v>
      </c>
      <c r="C252" s="11">
        <v>49348.550100398003</v>
      </c>
      <c r="G252" s="7">
        <v>2014</v>
      </c>
      <c r="H252" s="7">
        <v>8</v>
      </c>
      <c r="I252" s="13">
        <v>41320.572272773599</v>
      </c>
      <c r="L252" s="10">
        <v>2014</v>
      </c>
      <c r="M252" s="10">
        <v>11</v>
      </c>
      <c r="N252" s="18">
        <v>49199.520751214302</v>
      </c>
      <c r="Q252" s="15">
        <v>2014</v>
      </c>
      <c r="R252" s="15">
        <v>11</v>
      </c>
      <c r="S252" s="15">
        <v>49273.682316812403</v>
      </c>
      <c r="U252" s="15">
        <v>2014</v>
      </c>
      <c r="V252" s="15">
        <v>11</v>
      </c>
      <c r="W252" s="15">
        <v>49272.463429916599</v>
      </c>
      <c r="Z252" s="15">
        <v>2014</v>
      </c>
      <c r="AA252" s="15">
        <v>11</v>
      </c>
      <c r="AB252" s="15">
        <v>49248.481125207203</v>
      </c>
      <c r="AD252" s="18">
        <v>2014</v>
      </c>
      <c r="AE252" s="18">
        <v>11</v>
      </c>
      <c r="AF252" s="18">
        <v>49263.767419793498</v>
      </c>
      <c r="AH252" s="10">
        <v>2014</v>
      </c>
      <c r="AI252" s="10">
        <v>11</v>
      </c>
      <c r="AJ252" s="18">
        <v>49256.548638945504</v>
      </c>
      <c r="AL252" s="15">
        <v>2014</v>
      </c>
      <c r="AM252" s="15">
        <v>11</v>
      </c>
      <c r="AN252" s="15">
        <v>49255.7489062635</v>
      </c>
      <c r="AQ252" s="18">
        <v>2014</v>
      </c>
      <c r="AR252" s="18">
        <v>11</v>
      </c>
      <c r="AS252" s="18">
        <v>49282.395002769299</v>
      </c>
      <c r="AU252" s="10">
        <v>2014</v>
      </c>
      <c r="AV252" s="10">
        <v>11</v>
      </c>
      <c r="AW252" s="15">
        <v>49317.297061876103</v>
      </c>
      <c r="AY252" s="15">
        <v>2014</v>
      </c>
      <c r="AZ252" s="15">
        <v>11</v>
      </c>
      <c r="BA252" s="15">
        <v>49308.286047960501</v>
      </c>
      <c r="BC252" s="15">
        <v>2014</v>
      </c>
      <c r="BD252" s="15">
        <v>11</v>
      </c>
      <c r="BE252" s="15">
        <v>49316.930805182899</v>
      </c>
      <c r="BG252" s="15">
        <v>2014</v>
      </c>
      <c r="BH252" s="15">
        <v>11</v>
      </c>
      <c r="BI252" s="15">
        <v>49307.729757751003</v>
      </c>
    </row>
    <row r="253" spans="1:61" x14ac:dyDescent="0.25">
      <c r="A253" s="10">
        <v>2014</v>
      </c>
      <c r="B253" s="10">
        <v>12</v>
      </c>
      <c r="C253" s="11">
        <v>48377.195600683801</v>
      </c>
      <c r="G253" s="7">
        <v>2014</v>
      </c>
      <c r="H253" s="7">
        <v>9</v>
      </c>
      <c r="I253" s="13">
        <v>48041.659706758699</v>
      </c>
      <c r="L253" s="10">
        <v>2014</v>
      </c>
      <c r="M253" s="10">
        <v>12</v>
      </c>
      <c r="N253" s="18">
        <v>48242.815752784598</v>
      </c>
      <c r="Q253" s="15">
        <v>2014</v>
      </c>
      <c r="R253" s="15">
        <v>12</v>
      </c>
      <c r="S253" s="15">
        <v>48411.348096908303</v>
      </c>
      <c r="U253" s="15">
        <v>2014</v>
      </c>
      <c r="V253" s="15">
        <v>12</v>
      </c>
      <c r="W253" s="15">
        <v>48130.398145311701</v>
      </c>
      <c r="Z253" s="15">
        <v>2014</v>
      </c>
      <c r="AA253" s="15">
        <v>12</v>
      </c>
      <c r="AB253" s="15">
        <v>48160.653916887597</v>
      </c>
      <c r="AD253" s="18">
        <v>2014</v>
      </c>
      <c r="AE253" s="18">
        <v>12</v>
      </c>
      <c r="AF253" s="18">
        <v>48145.543368334504</v>
      </c>
      <c r="AH253" s="10">
        <v>2014</v>
      </c>
      <c r="AI253" s="10">
        <v>12</v>
      </c>
      <c r="AJ253" s="18">
        <v>48150.155493145001</v>
      </c>
      <c r="AL253" s="15">
        <v>2014</v>
      </c>
      <c r="AM253" s="15">
        <v>12</v>
      </c>
      <c r="AN253" s="15">
        <v>48149.022182862303</v>
      </c>
      <c r="AQ253" s="18">
        <v>2014</v>
      </c>
      <c r="AR253" s="18">
        <v>12</v>
      </c>
      <c r="AS253" s="18">
        <v>48126.520849408</v>
      </c>
      <c r="AU253" s="10">
        <v>2014</v>
      </c>
      <c r="AV253" s="10">
        <v>12</v>
      </c>
      <c r="AW253" s="15">
        <v>48078.058032435401</v>
      </c>
      <c r="AY253" s="15">
        <v>2014</v>
      </c>
      <c r="AZ253" s="15">
        <v>12</v>
      </c>
      <c r="BA253" s="15">
        <v>48090.938672312703</v>
      </c>
      <c r="BC253" s="15">
        <v>2014</v>
      </c>
      <c r="BD253" s="15">
        <v>12</v>
      </c>
      <c r="BE253" s="15">
        <v>48081.925484407002</v>
      </c>
      <c r="BG253" s="15">
        <v>2014</v>
      </c>
      <c r="BH253" s="15">
        <v>12</v>
      </c>
      <c r="BI253" s="15">
        <v>48090.665884588299</v>
      </c>
    </row>
    <row r="254" spans="1:61" x14ac:dyDescent="0.25">
      <c r="A254" s="10">
        <v>2015</v>
      </c>
      <c r="B254" s="10">
        <v>1</v>
      </c>
      <c r="C254" s="11">
        <v>47110.784349746697</v>
      </c>
      <c r="G254" s="7">
        <v>2014</v>
      </c>
      <c r="H254" s="7">
        <v>10</v>
      </c>
      <c r="I254" s="13">
        <v>50468.690083859801</v>
      </c>
      <c r="L254" s="10">
        <v>2015</v>
      </c>
      <c r="M254" s="10">
        <v>1</v>
      </c>
      <c r="N254" s="18">
        <v>46825.396642550797</v>
      </c>
      <c r="Q254" s="15">
        <v>2015</v>
      </c>
      <c r="R254" s="15">
        <v>1</v>
      </c>
      <c r="S254" s="15">
        <v>47105.248200403599</v>
      </c>
      <c r="U254" s="15">
        <v>2015</v>
      </c>
      <c r="V254" s="15">
        <v>1</v>
      </c>
      <c r="W254" s="15">
        <v>46896.014612248298</v>
      </c>
      <c r="Z254" s="15">
        <v>2015</v>
      </c>
      <c r="AA254" s="15">
        <v>1</v>
      </c>
      <c r="AB254" s="15">
        <v>46966.488921304102</v>
      </c>
      <c r="AD254" s="18">
        <v>2015</v>
      </c>
      <c r="AE254" s="18">
        <v>1</v>
      </c>
      <c r="AF254" s="18">
        <v>46953.968674671101</v>
      </c>
      <c r="AH254" s="10">
        <v>2015</v>
      </c>
      <c r="AI254" s="10">
        <v>1</v>
      </c>
      <c r="AJ254" s="18">
        <v>46950.274319148601</v>
      </c>
      <c r="AL254" s="15">
        <v>2015</v>
      </c>
      <c r="AM254" s="15">
        <v>1</v>
      </c>
      <c r="AN254" s="15">
        <v>46942.101907530901</v>
      </c>
      <c r="AQ254" s="18">
        <v>2015</v>
      </c>
      <c r="AR254" s="18">
        <v>1</v>
      </c>
      <c r="AS254" s="18">
        <v>46944.707247282597</v>
      </c>
      <c r="AU254" s="10">
        <v>2015</v>
      </c>
      <c r="AV254" s="10">
        <v>1</v>
      </c>
      <c r="AW254" s="15">
        <v>46940.934774360001</v>
      </c>
      <c r="AY254" s="15">
        <v>2015</v>
      </c>
      <c r="AZ254" s="15">
        <v>1</v>
      </c>
      <c r="BA254" s="15">
        <v>46942.103786260901</v>
      </c>
      <c r="BC254" s="15">
        <v>2015</v>
      </c>
      <c r="BD254" s="15">
        <v>1</v>
      </c>
      <c r="BE254" s="15">
        <v>46943.342336686102</v>
      </c>
      <c r="BG254" s="15">
        <v>2015</v>
      </c>
      <c r="BH254" s="15">
        <v>1</v>
      </c>
      <c r="BI254" s="15">
        <v>46939.453454061899</v>
      </c>
    </row>
    <row r="255" spans="1:61" x14ac:dyDescent="0.25">
      <c r="A255" s="10">
        <v>2015</v>
      </c>
      <c r="B255" s="10">
        <v>2</v>
      </c>
      <c r="C255" s="11">
        <v>48492.428159191702</v>
      </c>
      <c r="G255" s="7">
        <v>2014</v>
      </c>
      <c r="H255" s="7">
        <v>11</v>
      </c>
      <c r="I255" s="13">
        <v>48785.580800156</v>
      </c>
      <c r="L255" s="10">
        <v>2015</v>
      </c>
      <c r="M255" s="10">
        <v>2</v>
      </c>
      <c r="N255" s="18">
        <v>49143.971577201097</v>
      </c>
      <c r="Q255" s="15">
        <v>2015</v>
      </c>
      <c r="R255" s="15">
        <v>2</v>
      </c>
      <c r="S255" s="15">
        <v>48805.572441791497</v>
      </c>
      <c r="U255" s="15">
        <v>2015</v>
      </c>
      <c r="V255" s="15">
        <v>2</v>
      </c>
      <c r="W255" s="15">
        <v>49864.329597958502</v>
      </c>
      <c r="Z255" s="15">
        <v>2015</v>
      </c>
      <c r="AA255" s="15">
        <v>2</v>
      </c>
      <c r="AB255" s="15">
        <v>50042.656158303202</v>
      </c>
      <c r="AD255" s="18">
        <v>2015</v>
      </c>
      <c r="AE255" s="18">
        <v>2</v>
      </c>
      <c r="AF255" s="18">
        <v>50142.222424491003</v>
      </c>
      <c r="AH255" s="10">
        <v>2015</v>
      </c>
      <c r="AI255" s="10">
        <v>2</v>
      </c>
      <c r="AJ255" s="18">
        <v>50149.9638745052</v>
      </c>
      <c r="AL255" s="15">
        <v>2015</v>
      </c>
      <c r="AM255" s="15">
        <v>2</v>
      </c>
      <c r="AN255" s="15">
        <v>50170.056029425403</v>
      </c>
      <c r="AQ255" s="18">
        <v>2015</v>
      </c>
      <c r="AR255" s="18">
        <v>2</v>
      </c>
      <c r="AS255" s="18">
        <v>50174.710880211896</v>
      </c>
      <c r="AU255" s="10">
        <v>2015</v>
      </c>
      <c r="AV255" s="10">
        <v>2</v>
      </c>
      <c r="AW255" s="15">
        <v>50151.423020479902</v>
      </c>
      <c r="AY255" s="15">
        <v>2015</v>
      </c>
      <c r="AZ255" s="15">
        <v>2</v>
      </c>
      <c r="BA255" s="15">
        <v>50140.089445205798</v>
      </c>
      <c r="BC255" s="15">
        <v>2015</v>
      </c>
      <c r="BD255" s="15">
        <v>2</v>
      </c>
      <c r="BE255" s="15">
        <v>50132.7831508975</v>
      </c>
      <c r="BG255" s="15">
        <v>2015</v>
      </c>
      <c r="BH255" s="15">
        <v>2</v>
      </c>
      <c r="BI255" s="15">
        <v>50128.881667247602</v>
      </c>
    </row>
    <row r="256" spans="1:61" x14ac:dyDescent="0.25">
      <c r="A256" s="10">
        <v>2015</v>
      </c>
      <c r="B256" s="10">
        <v>3</v>
      </c>
      <c r="C256" s="11">
        <v>45715.974815805101</v>
      </c>
      <c r="G256" s="7">
        <v>2014</v>
      </c>
      <c r="H256" s="7">
        <v>12</v>
      </c>
      <c r="I256" s="13">
        <v>47517.291507341302</v>
      </c>
      <c r="L256" s="10">
        <v>2015</v>
      </c>
      <c r="M256" s="10">
        <v>3</v>
      </c>
      <c r="N256" s="18">
        <v>45653.846105078497</v>
      </c>
      <c r="Q256" s="15">
        <v>2015</v>
      </c>
      <c r="R256" s="15">
        <v>3</v>
      </c>
      <c r="S256" s="15">
        <v>45628.241116987003</v>
      </c>
      <c r="U256" s="15">
        <v>2015</v>
      </c>
      <c r="V256" s="15">
        <v>3</v>
      </c>
      <c r="W256" s="15">
        <v>45610.442938463399</v>
      </c>
      <c r="Z256" s="15">
        <v>2015</v>
      </c>
      <c r="AA256" s="15">
        <v>3</v>
      </c>
      <c r="AB256" s="15">
        <v>45587.045861043</v>
      </c>
      <c r="AD256" s="18">
        <v>2015</v>
      </c>
      <c r="AE256" s="18">
        <v>3</v>
      </c>
      <c r="AF256" s="18">
        <v>45577.832936407402</v>
      </c>
      <c r="AH256" s="10">
        <v>2015</v>
      </c>
      <c r="AI256" s="10">
        <v>3</v>
      </c>
      <c r="AJ256" s="18">
        <v>45578.789578493197</v>
      </c>
      <c r="AL256" s="15">
        <v>2015</v>
      </c>
      <c r="AM256" s="15">
        <v>3</v>
      </c>
      <c r="AN256" s="15">
        <v>45572.197186740399</v>
      </c>
      <c r="AQ256" s="18">
        <v>2015</v>
      </c>
      <c r="AR256" s="18">
        <v>3</v>
      </c>
      <c r="AS256" s="18">
        <v>45560.305063793297</v>
      </c>
      <c r="AU256" s="10">
        <v>2015</v>
      </c>
      <c r="AV256" s="10">
        <v>3</v>
      </c>
      <c r="AW256" s="15">
        <v>45550.342152131801</v>
      </c>
      <c r="AY256" s="15">
        <v>2015</v>
      </c>
      <c r="AZ256" s="15">
        <v>3</v>
      </c>
      <c r="BA256" s="15">
        <v>45557.488919606003</v>
      </c>
      <c r="BC256" s="15">
        <v>2015</v>
      </c>
      <c r="BD256" s="15">
        <v>3</v>
      </c>
      <c r="BE256" s="15">
        <v>45556.303975003997</v>
      </c>
      <c r="BG256" s="15">
        <v>2015</v>
      </c>
      <c r="BH256" s="15">
        <v>3</v>
      </c>
      <c r="BI256" s="15">
        <v>45558.511179323301</v>
      </c>
    </row>
    <row r="257" spans="1:61" x14ac:dyDescent="0.25">
      <c r="A257" s="10">
        <v>2015</v>
      </c>
      <c r="B257" s="10">
        <v>4</v>
      </c>
      <c r="C257" s="11">
        <v>41682.502327879498</v>
      </c>
      <c r="G257" s="7">
        <v>2015</v>
      </c>
      <c r="H257" s="7">
        <v>1</v>
      </c>
      <c r="I257" s="13">
        <v>46179.949232594699</v>
      </c>
      <c r="L257" s="10">
        <v>2015</v>
      </c>
      <c r="M257" s="10">
        <v>4</v>
      </c>
      <c r="N257" s="18">
        <v>41762.435576157201</v>
      </c>
      <c r="Q257" s="15">
        <v>2015</v>
      </c>
      <c r="R257" s="15">
        <v>4</v>
      </c>
      <c r="S257" s="15">
        <v>41678.197649913098</v>
      </c>
      <c r="U257" s="15">
        <v>2015</v>
      </c>
      <c r="V257" s="15">
        <v>4</v>
      </c>
      <c r="W257" s="15">
        <v>41635.848243264103</v>
      </c>
      <c r="Z257" s="15">
        <v>2015</v>
      </c>
      <c r="AA257" s="15">
        <v>4</v>
      </c>
      <c r="AB257" s="15">
        <v>41635.236391871404</v>
      </c>
      <c r="AD257" s="18">
        <v>2015</v>
      </c>
      <c r="AE257" s="18">
        <v>4</v>
      </c>
      <c r="AF257" s="18">
        <v>41626.413609569303</v>
      </c>
      <c r="AH257" s="10">
        <v>2015</v>
      </c>
      <c r="AI257" s="10">
        <v>4</v>
      </c>
      <c r="AJ257" s="18">
        <v>41630.595897891399</v>
      </c>
      <c r="AL257" s="15">
        <v>2015</v>
      </c>
      <c r="AM257" s="15">
        <v>4</v>
      </c>
      <c r="AN257" s="15">
        <v>41629.259646960803</v>
      </c>
      <c r="AQ257" s="18">
        <v>2015</v>
      </c>
      <c r="AR257" s="18">
        <v>4</v>
      </c>
      <c r="AS257" s="18">
        <v>41610.222594313003</v>
      </c>
      <c r="AU257" s="10">
        <v>2015</v>
      </c>
      <c r="AV257" s="10">
        <v>4</v>
      </c>
      <c r="AW257" s="15">
        <v>41591.6304246625</v>
      </c>
      <c r="AY257" s="15">
        <v>2015</v>
      </c>
      <c r="AZ257" s="15">
        <v>4</v>
      </c>
      <c r="BA257" s="15">
        <v>41601.772299707998</v>
      </c>
      <c r="BC257" s="15">
        <v>2015</v>
      </c>
      <c r="BD257" s="15">
        <v>4</v>
      </c>
      <c r="BE257" s="15">
        <v>41597.1083199282</v>
      </c>
      <c r="BG257" s="15">
        <v>2015</v>
      </c>
      <c r="BH257" s="15">
        <v>4</v>
      </c>
      <c r="BI257" s="15">
        <v>41604.5228481499</v>
      </c>
    </row>
    <row r="258" spans="1:61" x14ac:dyDescent="0.25">
      <c r="A258" s="10">
        <v>2015</v>
      </c>
      <c r="B258" s="10">
        <v>5</v>
      </c>
      <c r="C258" s="11">
        <v>43498.475076424496</v>
      </c>
      <c r="G258" s="7">
        <v>2015</v>
      </c>
      <c r="H258" s="7">
        <v>2</v>
      </c>
      <c r="I258" s="13">
        <v>48833.552208982597</v>
      </c>
      <c r="L258" s="10">
        <v>2015</v>
      </c>
      <c r="M258" s="10">
        <v>5</v>
      </c>
      <c r="N258" s="18">
        <v>43521.173907633602</v>
      </c>
      <c r="Q258" s="15">
        <v>2015</v>
      </c>
      <c r="R258" s="15">
        <v>5</v>
      </c>
      <c r="S258" s="15">
        <v>43452.122052206701</v>
      </c>
      <c r="U258" s="15">
        <v>2015</v>
      </c>
      <c r="V258" s="15">
        <v>5</v>
      </c>
      <c r="W258" s="15">
        <v>43588.037341224801</v>
      </c>
      <c r="Z258" s="15">
        <v>2015</v>
      </c>
      <c r="AA258" s="15">
        <v>5</v>
      </c>
      <c r="AB258" s="15">
        <v>43566.502532470899</v>
      </c>
      <c r="AD258" s="18">
        <v>2015</v>
      </c>
      <c r="AE258" s="18">
        <v>5</v>
      </c>
      <c r="AF258" s="18">
        <v>43580.942836938702</v>
      </c>
      <c r="AH258" s="10">
        <v>2015</v>
      </c>
      <c r="AI258" s="10">
        <v>5</v>
      </c>
      <c r="AJ258" s="18">
        <v>43573.8424023599</v>
      </c>
      <c r="AL258" s="15">
        <v>2015</v>
      </c>
      <c r="AM258" s="15">
        <v>5</v>
      </c>
      <c r="AN258" s="15">
        <v>43571.598938300704</v>
      </c>
      <c r="AQ258" s="18">
        <v>2015</v>
      </c>
      <c r="AR258" s="18">
        <v>5</v>
      </c>
      <c r="AS258" s="18">
        <v>43596.970301085901</v>
      </c>
      <c r="AU258" s="10">
        <v>2015</v>
      </c>
      <c r="AV258" s="10">
        <v>5</v>
      </c>
      <c r="AW258" s="15">
        <v>43647.332730064401</v>
      </c>
      <c r="AY258" s="15">
        <v>2015</v>
      </c>
      <c r="AZ258" s="15">
        <v>5</v>
      </c>
      <c r="BA258" s="15">
        <v>43638.6345580778</v>
      </c>
      <c r="BC258" s="15">
        <v>2015</v>
      </c>
      <c r="BD258" s="15">
        <v>5</v>
      </c>
      <c r="BE258" s="15">
        <v>43648.616793601403</v>
      </c>
      <c r="BG258" s="15">
        <v>2015</v>
      </c>
      <c r="BH258" s="15">
        <v>5</v>
      </c>
      <c r="BI258" s="15">
        <v>43639.018162284003</v>
      </c>
    </row>
    <row r="259" spans="1:61" x14ac:dyDescent="0.25">
      <c r="A259" s="10">
        <v>2015</v>
      </c>
      <c r="B259" s="10">
        <v>6</v>
      </c>
      <c r="C259" s="11">
        <v>47396.415792854699</v>
      </c>
      <c r="G259" s="7">
        <v>2015</v>
      </c>
      <c r="H259" s="7">
        <v>3</v>
      </c>
      <c r="I259" s="13">
        <v>47026.953250618702</v>
      </c>
      <c r="L259" s="10">
        <v>2015</v>
      </c>
      <c r="M259" s="10">
        <v>6</v>
      </c>
      <c r="N259" s="18">
        <v>48038.2250835745</v>
      </c>
      <c r="Q259" s="15">
        <v>2015</v>
      </c>
      <c r="R259" s="15">
        <v>6</v>
      </c>
      <c r="S259" s="15">
        <v>47887.675102008099</v>
      </c>
      <c r="U259" s="15">
        <v>2015</v>
      </c>
      <c r="V259" s="15">
        <v>6</v>
      </c>
      <c r="W259" s="15">
        <v>47943.465796894103</v>
      </c>
      <c r="Z259" s="15">
        <v>2015</v>
      </c>
      <c r="AA259" s="15">
        <v>6</v>
      </c>
      <c r="AB259" s="15">
        <v>47917.367163429699</v>
      </c>
      <c r="AD259" s="18">
        <v>2015</v>
      </c>
      <c r="AE259" s="18">
        <v>6</v>
      </c>
      <c r="AF259" s="18">
        <v>47901.638844775604</v>
      </c>
      <c r="AH259" s="10">
        <v>2015</v>
      </c>
      <c r="AI259" s="10">
        <v>6</v>
      </c>
      <c r="AJ259" s="18">
        <v>47902.994425016099</v>
      </c>
      <c r="AL259" s="15">
        <v>2015</v>
      </c>
      <c r="AM259" s="15">
        <v>6</v>
      </c>
      <c r="AN259" s="15">
        <v>47902.872579827803</v>
      </c>
      <c r="AQ259" s="18">
        <v>2015</v>
      </c>
      <c r="AR259" s="18">
        <v>6</v>
      </c>
      <c r="AS259" s="18">
        <v>47904.709671327902</v>
      </c>
      <c r="AU259" s="10">
        <v>2015</v>
      </c>
      <c r="AV259" s="10">
        <v>6</v>
      </c>
      <c r="AW259" s="15">
        <v>47941.681339137402</v>
      </c>
      <c r="AY259" s="15">
        <v>2015</v>
      </c>
      <c r="AZ259" s="15">
        <v>6</v>
      </c>
      <c r="BA259" s="15">
        <v>47926.450638782597</v>
      </c>
      <c r="BC259" s="15">
        <v>2015</v>
      </c>
      <c r="BD259" s="15">
        <v>6</v>
      </c>
      <c r="BE259" s="15">
        <v>47931.875347469097</v>
      </c>
      <c r="BG259" s="15">
        <v>2015</v>
      </c>
      <c r="BH259" s="15">
        <v>6</v>
      </c>
      <c r="BI259" s="15">
        <v>47928.186568732403</v>
      </c>
    </row>
    <row r="260" spans="1:61" x14ac:dyDescent="0.25">
      <c r="A260" s="10">
        <v>2015</v>
      </c>
      <c r="B260" s="10">
        <v>7</v>
      </c>
      <c r="C260" s="11">
        <v>42174.736159624503</v>
      </c>
      <c r="G260" s="7">
        <v>2015</v>
      </c>
      <c r="H260" s="7">
        <v>4</v>
      </c>
      <c r="I260" s="13">
        <v>42301.812340527198</v>
      </c>
      <c r="L260" s="10">
        <v>2015</v>
      </c>
      <c r="M260" s="10">
        <v>7</v>
      </c>
      <c r="N260" s="18">
        <v>42291.975407176702</v>
      </c>
      <c r="Q260" s="15">
        <v>2015</v>
      </c>
      <c r="R260" s="15">
        <v>7</v>
      </c>
      <c r="S260" s="15">
        <v>42208.269802435498</v>
      </c>
      <c r="U260" s="15">
        <v>2015</v>
      </c>
      <c r="V260" s="15">
        <v>7</v>
      </c>
      <c r="W260" s="15">
        <v>42099.472853765998</v>
      </c>
      <c r="Z260" s="15">
        <v>2015</v>
      </c>
      <c r="AA260" s="15">
        <v>7</v>
      </c>
      <c r="AB260" s="15">
        <v>42097.3939635079</v>
      </c>
      <c r="AD260" s="18">
        <v>2015</v>
      </c>
      <c r="AE260" s="18">
        <v>7</v>
      </c>
      <c r="AF260" s="18">
        <v>42083.460561405103</v>
      </c>
      <c r="AH260" s="10">
        <v>2015</v>
      </c>
      <c r="AI260" s="10">
        <v>7</v>
      </c>
      <c r="AJ260" s="18">
        <v>42089.679229793801</v>
      </c>
      <c r="AL260" s="15">
        <v>2015</v>
      </c>
      <c r="AM260" s="15">
        <v>7</v>
      </c>
      <c r="AN260" s="15">
        <v>42092.222272511099</v>
      </c>
      <c r="AQ260" s="18">
        <v>2015</v>
      </c>
      <c r="AR260" s="18">
        <v>7</v>
      </c>
      <c r="AS260" s="18">
        <v>42068.781614489002</v>
      </c>
      <c r="AU260" s="10">
        <v>2015</v>
      </c>
      <c r="AV260" s="10">
        <v>7</v>
      </c>
      <c r="AW260" s="15">
        <v>42038.379413509203</v>
      </c>
      <c r="AY260" s="15">
        <v>2015</v>
      </c>
      <c r="AZ260" s="15">
        <v>7</v>
      </c>
      <c r="BA260" s="15">
        <v>42050.275640783599</v>
      </c>
      <c r="BC260" s="15">
        <v>2015</v>
      </c>
      <c r="BD260" s="15">
        <v>7</v>
      </c>
      <c r="BE260" s="15">
        <v>42042.3515171662</v>
      </c>
      <c r="BG260" s="15">
        <v>2015</v>
      </c>
      <c r="BH260" s="15">
        <v>7</v>
      </c>
      <c r="BI260" s="15">
        <v>42053.501669472898</v>
      </c>
    </row>
    <row r="261" spans="1:61" x14ac:dyDescent="0.25">
      <c r="A261" s="10">
        <v>2015</v>
      </c>
      <c r="B261" s="10">
        <v>8</v>
      </c>
      <c r="C261" s="11">
        <v>45058.941611319402</v>
      </c>
      <c r="G261" s="7">
        <v>2015</v>
      </c>
      <c r="H261" s="7">
        <v>5</v>
      </c>
      <c r="I261" s="13">
        <v>44013.239918425199</v>
      </c>
      <c r="L261" s="10">
        <v>2015</v>
      </c>
      <c r="M261" s="10">
        <v>8</v>
      </c>
      <c r="N261" s="18">
        <v>45094.633173401002</v>
      </c>
      <c r="Q261" s="15">
        <v>2015</v>
      </c>
      <c r="R261" s="15">
        <v>8</v>
      </c>
      <c r="S261" s="15">
        <v>45069.519062049301</v>
      </c>
      <c r="U261" s="15">
        <v>2015</v>
      </c>
      <c r="V261" s="15">
        <v>8</v>
      </c>
      <c r="W261" s="15">
        <v>45097.066210937301</v>
      </c>
      <c r="Z261" s="15">
        <v>2015</v>
      </c>
      <c r="AA261" s="15">
        <v>8</v>
      </c>
      <c r="AB261" s="15">
        <v>45069.628959669601</v>
      </c>
      <c r="AD261" s="18">
        <v>2015</v>
      </c>
      <c r="AE261" s="18">
        <v>8</v>
      </c>
      <c r="AF261" s="18">
        <v>45078.849299162102</v>
      </c>
      <c r="AH261" s="10">
        <v>2015</v>
      </c>
      <c r="AI261" s="10">
        <v>8</v>
      </c>
      <c r="AJ261" s="18">
        <v>45074.370393524798</v>
      </c>
      <c r="AL261" s="15">
        <v>2015</v>
      </c>
      <c r="AM261" s="15">
        <v>8</v>
      </c>
      <c r="AN261" s="15">
        <v>45076.698849456501</v>
      </c>
      <c r="AQ261" s="18">
        <v>2015</v>
      </c>
      <c r="AR261" s="18">
        <v>8</v>
      </c>
      <c r="AS261" s="18">
        <v>45096.200347977297</v>
      </c>
      <c r="AU261" s="10">
        <v>2015</v>
      </c>
      <c r="AV261" s="10">
        <v>8</v>
      </c>
      <c r="AW261" s="15">
        <v>45123.679787207897</v>
      </c>
      <c r="AY261" s="15">
        <v>2015</v>
      </c>
      <c r="AZ261" s="15">
        <v>8</v>
      </c>
      <c r="BA261" s="15">
        <v>45118.670918309501</v>
      </c>
      <c r="BC261" s="15">
        <v>2015</v>
      </c>
      <c r="BD261" s="15">
        <v>8</v>
      </c>
      <c r="BE261" s="15">
        <v>45124.357973408703</v>
      </c>
      <c r="BG261" s="15">
        <v>2015</v>
      </c>
      <c r="BH261" s="15">
        <v>8</v>
      </c>
      <c r="BI261" s="15">
        <v>45119.419808939798</v>
      </c>
    </row>
    <row r="262" spans="1:61" x14ac:dyDescent="0.25">
      <c r="A262" s="10">
        <v>2015</v>
      </c>
      <c r="B262" s="10">
        <v>9</v>
      </c>
      <c r="C262" s="11">
        <v>45652.541700588197</v>
      </c>
      <c r="G262" s="7">
        <v>2015</v>
      </c>
      <c r="H262" s="7">
        <v>6</v>
      </c>
      <c r="I262" s="13">
        <v>47816.803649029498</v>
      </c>
      <c r="L262" s="10">
        <v>2015</v>
      </c>
      <c r="M262" s="10">
        <v>9</v>
      </c>
      <c r="N262" s="18">
        <v>45650.574054388002</v>
      </c>
      <c r="Q262" s="15">
        <v>2015</v>
      </c>
      <c r="R262" s="15">
        <v>9</v>
      </c>
      <c r="S262" s="15">
        <v>45668.0055053213</v>
      </c>
      <c r="U262" s="15">
        <v>2015</v>
      </c>
      <c r="V262" s="15">
        <v>9</v>
      </c>
      <c r="W262" s="15">
        <v>45472.202002581798</v>
      </c>
      <c r="Z262" s="15">
        <v>2015</v>
      </c>
      <c r="AA262" s="15">
        <v>9</v>
      </c>
      <c r="AB262" s="15">
        <v>45465.797308248802</v>
      </c>
      <c r="AD262" s="18">
        <v>2015</v>
      </c>
      <c r="AE262" s="18">
        <v>9</v>
      </c>
      <c r="AF262" s="18">
        <v>45455.250246729403</v>
      </c>
      <c r="AH262" s="10">
        <v>2015</v>
      </c>
      <c r="AI262" s="10">
        <v>9</v>
      </c>
      <c r="AJ262" s="18">
        <v>45460.216445469698</v>
      </c>
      <c r="AL262" s="15">
        <v>2015</v>
      </c>
      <c r="AM262" s="15">
        <v>9</v>
      </c>
      <c r="AN262" s="15">
        <v>45465.239551696599</v>
      </c>
      <c r="AQ262" s="18">
        <v>2015</v>
      </c>
      <c r="AR262" s="18">
        <v>9</v>
      </c>
      <c r="AS262" s="18">
        <v>45449.165912403398</v>
      </c>
      <c r="AU262" s="10">
        <v>2015</v>
      </c>
      <c r="AV262" s="10">
        <v>9</v>
      </c>
      <c r="AW262" s="15">
        <v>45417.553099822799</v>
      </c>
      <c r="AY262" s="15">
        <v>2015</v>
      </c>
      <c r="AZ262" s="15">
        <v>9</v>
      </c>
      <c r="BA262" s="15">
        <v>45425.8706270849</v>
      </c>
      <c r="BC262" s="15">
        <v>2015</v>
      </c>
      <c r="BD262" s="15">
        <v>9</v>
      </c>
      <c r="BE262" s="15">
        <v>45418.501683885697</v>
      </c>
      <c r="BG262" s="15">
        <v>2015</v>
      </c>
      <c r="BH262" s="15">
        <v>9</v>
      </c>
      <c r="BI262" s="15">
        <v>45428.241299820802</v>
      </c>
    </row>
    <row r="263" spans="1:61" x14ac:dyDescent="0.25">
      <c r="A263" s="10">
        <v>2015</v>
      </c>
      <c r="B263" s="10">
        <v>10</v>
      </c>
      <c r="C263" s="11">
        <v>39200.607279329699</v>
      </c>
      <c r="G263" s="7">
        <v>2015</v>
      </c>
      <c r="H263" s="7">
        <v>7</v>
      </c>
      <c r="I263" s="13">
        <v>42093.541032413501</v>
      </c>
      <c r="L263" s="10">
        <v>2015</v>
      </c>
      <c r="M263" s="10">
        <v>10</v>
      </c>
      <c r="N263" s="18">
        <v>38804.015189413803</v>
      </c>
      <c r="Q263" s="15">
        <v>2015</v>
      </c>
      <c r="R263" s="15">
        <v>10</v>
      </c>
      <c r="S263" s="15">
        <v>38712.32436757</v>
      </c>
      <c r="U263" s="15">
        <v>2015</v>
      </c>
      <c r="V263" s="15">
        <v>10</v>
      </c>
      <c r="W263" s="15">
        <v>39027.017584184199</v>
      </c>
      <c r="Z263" s="15">
        <v>2015</v>
      </c>
      <c r="AA263" s="15">
        <v>10</v>
      </c>
      <c r="AB263" s="15">
        <v>38857.465652033599</v>
      </c>
      <c r="AD263" s="18">
        <v>2015</v>
      </c>
      <c r="AE263" s="18">
        <v>10</v>
      </c>
      <c r="AF263" s="18">
        <v>38871.484573402297</v>
      </c>
      <c r="AH263" s="10">
        <v>2015</v>
      </c>
      <c r="AI263" s="10">
        <v>10</v>
      </c>
      <c r="AJ263" s="18">
        <v>38863.113089621897</v>
      </c>
      <c r="AL263" s="15">
        <v>2015</v>
      </c>
      <c r="AM263" s="15">
        <v>10</v>
      </c>
      <c r="AN263" s="15">
        <v>38871.203739896802</v>
      </c>
      <c r="AQ263" s="18">
        <v>2015</v>
      </c>
      <c r="AR263" s="18">
        <v>10</v>
      </c>
      <c r="AS263" s="18">
        <v>38911.983351927804</v>
      </c>
      <c r="AU263" s="10">
        <v>2015</v>
      </c>
      <c r="AV263" s="10">
        <v>10</v>
      </c>
      <c r="AW263" s="15">
        <v>38957.401642460602</v>
      </c>
      <c r="AY263" s="15">
        <v>2015</v>
      </c>
      <c r="AZ263" s="15">
        <v>10</v>
      </c>
      <c r="BA263" s="15">
        <v>38940.730705945898</v>
      </c>
      <c r="BC263" s="15">
        <v>2015</v>
      </c>
      <c r="BD263" s="15">
        <v>10</v>
      </c>
      <c r="BE263" s="15">
        <v>38950.068164240802</v>
      </c>
      <c r="BG263" s="15">
        <v>2015</v>
      </c>
      <c r="BH263" s="15">
        <v>10</v>
      </c>
      <c r="BI263" s="15">
        <v>38939.742633914502</v>
      </c>
    </row>
    <row r="264" spans="1:61" x14ac:dyDescent="0.25">
      <c r="A264" s="10">
        <v>2015</v>
      </c>
      <c r="B264" s="10">
        <v>11</v>
      </c>
      <c r="C264" s="11">
        <v>40936.127730503802</v>
      </c>
      <c r="G264" s="7">
        <v>2015</v>
      </c>
      <c r="H264" s="7">
        <v>8</v>
      </c>
      <c r="I264" s="13">
        <v>44653.404126814698</v>
      </c>
      <c r="L264" s="10">
        <v>2015</v>
      </c>
      <c r="M264" s="10">
        <v>11</v>
      </c>
      <c r="N264" s="18">
        <v>40714.788585085102</v>
      </c>
      <c r="Q264" s="15">
        <v>2015</v>
      </c>
      <c r="R264" s="15">
        <v>11</v>
      </c>
      <c r="S264" s="15">
        <v>40850.528996324698</v>
      </c>
      <c r="U264" s="15">
        <v>2015</v>
      </c>
      <c r="V264" s="15">
        <v>11</v>
      </c>
      <c r="W264" s="15">
        <v>40681.456817275801</v>
      </c>
      <c r="Z264" s="15">
        <v>2015</v>
      </c>
      <c r="AA264" s="15">
        <v>11</v>
      </c>
      <c r="AB264" s="15">
        <v>40670.177761807303</v>
      </c>
      <c r="AD264" s="18">
        <v>2015</v>
      </c>
      <c r="AE264" s="18">
        <v>11</v>
      </c>
      <c r="AF264" s="18">
        <v>40673.034333039497</v>
      </c>
      <c r="AH264" s="10">
        <v>2015</v>
      </c>
      <c r="AI264" s="10">
        <v>11</v>
      </c>
      <c r="AJ264" s="18">
        <v>40672.320342596497</v>
      </c>
      <c r="AL264" s="15">
        <v>2015</v>
      </c>
      <c r="AM264" s="15">
        <v>11</v>
      </c>
      <c r="AN264" s="15">
        <v>40675.629016924198</v>
      </c>
      <c r="AQ264" s="18">
        <v>2015</v>
      </c>
      <c r="AR264" s="18">
        <v>11</v>
      </c>
      <c r="AS264" s="18">
        <v>40679.612749884203</v>
      </c>
      <c r="AU264" s="10">
        <v>2015</v>
      </c>
      <c r="AV264" s="10">
        <v>11</v>
      </c>
      <c r="AW264" s="15">
        <v>40669.5571374051</v>
      </c>
      <c r="AY264" s="15">
        <v>2015</v>
      </c>
      <c r="AZ264" s="15">
        <v>11</v>
      </c>
      <c r="BA264" s="15">
        <v>40669.0202510405</v>
      </c>
      <c r="BC264" s="15">
        <v>2015</v>
      </c>
      <c r="BD264" s="15">
        <v>11</v>
      </c>
      <c r="BE264" s="15">
        <v>40667.900162849299</v>
      </c>
      <c r="BG264" s="15">
        <v>2015</v>
      </c>
      <c r="BH264" s="15">
        <v>11</v>
      </c>
      <c r="BI264" s="15">
        <v>40669.041054533896</v>
      </c>
    </row>
    <row r="265" spans="1:61" x14ac:dyDescent="0.25">
      <c r="A265" s="10">
        <v>2015</v>
      </c>
      <c r="B265" s="10">
        <v>12</v>
      </c>
      <c r="C265" s="11">
        <v>40009.420477713204</v>
      </c>
      <c r="G265" s="7">
        <v>2015</v>
      </c>
      <c r="H265" s="7">
        <v>9</v>
      </c>
      <c r="I265" s="13">
        <v>45148.479508247598</v>
      </c>
      <c r="L265" s="10">
        <v>2015</v>
      </c>
      <c r="M265" s="10">
        <v>12</v>
      </c>
      <c r="N265" s="18">
        <v>39690.422271444797</v>
      </c>
      <c r="Q265" s="15">
        <v>2015</v>
      </c>
      <c r="R265" s="15">
        <v>12</v>
      </c>
      <c r="S265" s="15">
        <v>39866.924418912298</v>
      </c>
      <c r="U265" s="15">
        <v>2015</v>
      </c>
      <c r="V265" s="15">
        <v>12</v>
      </c>
      <c r="W265" s="15">
        <v>39566.665315601102</v>
      </c>
      <c r="Z265" s="15">
        <v>2015</v>
      </c>
      <c r="AA265" s="15">
        <v>12</v>
      </c>
      <c r="AB265" s="15">
        <v>39608.920635107403</v>
      </c>
      <c r="AD265" s="18">
        <v>2015</v>
      </c>
      <c r="AE265" s="18">
        <v>12</v>
      </c>
      <c r="AF265" s="18">
        <v>39585.194221305101</v>
      </c>
      <c r="AH265" s="10">
        <v>2015</v>
      </c>
      <c r="AI265" s="10">
        <v>12</v>
      </c>
      <c r="AJ265" s="18">
        <v>39589.241636864601</v>
      </c>
      <c r="AL265" s="15">
        <v>2015</v>
      </c>
      <c r="AM265" s="15">
        <v>12</v>
      </c>
      <c r="AN265" s="15">
        <v>39588.980418393803</v>
      </c>
      <c r="AQ265" s="18">
        <v>2015</v>
      </c>
      <c r="AR265" s="18">
        <v>12</v>
      </c>
      <c r="AS265" s="18">
        <v>39567.5807203031</v>
      </c>
      <c r="AU265" s="10">
        <v>2015</v>
      </c>
      <c r="AV265" s="10">
        <v>12</v>
      </c>
      <c r="AW265" s="15">
        <v>39509.324811254701</v>
      </c>
      <c r="AY265" s="15">
        <v>2015</v>
      </c>
      <c r="AZ265" s="15">
        <v>12</v>
      </c>
      <c r="BA265" s="15">
        <v>39519.319812427901</v>
      </c>
      <c r="BC265" s="15">
        <v>2015</v>
      </c>
      <c r="BD265" s="15">
        <v>12</v>
      </c>
      <c r="BE265" s="15">
        <v>39508.242068808897</v>
      </c>
      <c r="BG265" s="15">
        <v>2015</v>
      </c>
      <c r="BH265" s="15">
        <v>12</v>
      </c>
      <c r="BI265" s="15">
        <v>39517.165560180401</v>
      </c>
    </row>
    <row r="266" spans="1:61" x14ac:dyDescent="0.25">
      <c r="A266" s="10">
        <v>2016</v>
      </c>
      <c r="B266" s="10">
        <v>1</v>
      </c>
      <c r="C266" s="11">
        <v>40291.546571494502</v>
      </c>
      <c r="G266" s="7">
        <v>2015</v>
      </c>
      <c r="H266" s="7">
        <v>10</v>
      </c>
      <c r="I266" s="13">
        <v>39050.434233717002</v>
      </c>
      <c r="L266" s="10">
        <v>2016</v>
      </c>
      <c r="M266" s="10">
        <v>1</v>
      </c>
      <c r="N266" s="18">
        <v>39787.550802439298</v>
      </c>
      <c r="Q266" s="15">
        <v>2016</v>
      </c>
      <c r="R266" s="15">
        <v>1</v>
      </c>
      <c r="S266" s="15">
        <v>40222.710590673203</v>
      </c>
      <c r="U266" s="15">
        <v>2016</v>
      </c>
      <c r="V266" s="15">
        <v>1</v>
      </c>
      <c r="W266" s="15">
        <v>40049.267106351101</v>
      </c>
      <c r="Z266" s="15">
        <v>2016</v>
      </c>
      <c r="AA266" s="15">
        <v>1</v>
      </c>
      <c r="AB266" s="15">
        <v>40147.604927113098</v>
      </c>
      <c r="AD266" s="18">
        <v>2016</v>
      </c>
      <c r="AE266" s="18">
        <v>1</v>
      </c>
      <c r="AF266" s="18">
        <v>40142.759407370701</v>
      </c>
      <c r="AH266" s="10">
        <v>2016</v>
      </c>
      <c r="AI266" s="10">
        <v>1</v>
      </c>
      <c r="AJ266" s="18">
        <v>40131.918376319802</v>
      </c>
      <c r="AL266" s="15">
        <v>2016</v>
      </c>
      <c r="AM266" s="15">
        <v>1</v>
      </c>
      <c r="AN266" s="15">
        <v>40122.722872279403</v>
      </c>
      <c r="AQ266" s="18">
        <v>2016</v>
      </c>
      <c r="AR266" s="18">
        <v>1</v>
      </c>
      <c r="AS266" s="18">
        <v>40151.700686912402</v>
      </c>
      <c r="AU266" s="10">
        <v>2016</v>
      </c>
      <c r="AV266" s="10">
        <v>1</v>
      </c>
      <c r="AW266" s="15">
        <v>40176.080564343603</v>
      </c>
      <c r="AY266" s="15">
        <v>2016</v>
      </c>
      <c r="AZ266" s="15">
        <v>1</v>
      </c>
      <c r="BA266" s="15">
        <v>40165.554554865499</v>
      </c>
      <c r="BC266" s="15">
        <v>2016</v>
      </c>
      <c r="BD266" s="15">
        <v>1</v>
      </c>
      <c r="BE266" s="15">
        <v>40173.281348090502</v>
      </c>
      <c r="BG266" s="15">
        <v>2016</v>
      </c>
      <c r="BH266" s="15">
        <v>1</v>
      </c>
      <c r="BI266" s="15">
        <v>40158.661560500899</v>
      </c>
    </row>
    <row r="267" spans="1:61" x14ac:dyDescent="0.25">
      <c r="A267" s="10">
        <v>2016</v>
      </c>
      <c r="B267" s="10">
        <v>2</v>
      </c>
      <c r="C267" s="11">
        <v>38646.272980534399</v>
      </c>
      <c r="G267" s="7">
        <v>2015</v>
      </c>
      <c r="H267" s="7">
        <v>11</v>
      </c>
      <c r="I267" s="13">
        <v>40428.230909255297</v>
      </c>
      <c r="L267" s="10">
        <v>2016</v>
      </c>
      <c r="M267" s="10">
        <v>2</v>
      </c>
      <c r="N267" s="18">
        <v>37697.7263678444</v>
      </c>
      <c r="Q267" s="15">
        <v>2016</v>
      </c>
      <c r="R267" s="15">
        <v>2</v>
      </c>
      <c r="S267" s="15">
        <v>38567.751814428098</v>
      </c>
      <c r="U267" s="15">
        <v>2016</v>
      </c>
      <c r="V267" s="15">
        <v>2</v>
      </c>
      <c r="W267" s="15">
        <v>37005.4020922493</v>
      </c>
      <c r="Z267" s="15">
        <v>2016</v>
      </c>
      <c r="AA267" s="15">
        <v>2</v>
      </c>
      <c r="AB267" s="15">
        <v>37096.049250062802</v>
      </c>
      <c r="AD267" s="18">
        <v>2016</v>
      </c>
      <c r="AE267" s="18">
        <v>2</v>
      </c>
      <c r="AF267" s="18">
        <v>36989.389193923103</v>
      </c>
      <c r="AH267" s="10">
        <v>2016</v>
      </c>
      <c r="AI267" s="10">
        <v>2</v>
      </c>
      <c r="AJ267" s="18">
        <v>36983.168306533902</v>
      </c>
      <c r="AL267" s="15">
        <v>2016</v>
      </c>
      <c r="AM267" s="15">
        <v>2</v>
      </c>
      <c r="AN267" s="15">
        <v>36933.271012751</v>
      </c>
      <c r="AQ267" s="18">
        <v>2016</v>
      </c>
      <c r="AR267" s="18">
        <v>2</v>
      </c>
      <c r="AS267" s="18">
        <v>36898.558220631603</v>
      </c>
      <c r="AU267" s="10">
        <v>2016</v>
      </c>
      <c r="AV267" s="10">
        <v>2</v>
      </c>
      <c r="AW267" s="15">
        <v>36896.587246248302</v>
      </c>
      <c r="AY267" s="15">
        <v>2016</v>
      </c>
      <c r="AZ267" s="15">
        <v>2</v>
      </c>
      <c r="BA267" s="15">
        <v>36916.4614491549</v>
      </c>
      <c r="BC267" s="15">
        <v>2016</v>
      </c>
      <c r="BD267" s="15">
        <v>2</v>
      </c>
      <c r="BE267" s="15">
        <v>36928.6739682845</v>
      </c>
      <c r="BG267" s="15">
        <v>2016</v>
      </c>
      <c r="BH267" s="15">
        <v>2</v>
      </c>
      <c r="BI267" s="15">
        <v>36923.617759603701</v>
      </c>
    </row>
    <row r="268" spans="1:61" x14ac:dyDescent="0.25">
      <c r="A268" s="10">
        <v>2016</v>
      </c>
      <c r="B268" s="10">
        <v>3</v>
      </c>
      <c r="C268" s="11">
        <v>40730.155102031502</v>
      </c>
      <c r="G268" s="7">
        <v>2015</v>
      </c>
      <c r="H268" s="7">
        <v>12</v>
      </c>
      <c r="I268" s="13">
        <v>39418.354424523</v>
      </c>
      <c r="L268" s="10">
        <v>2016</v>
      </c>
      <c r="M268" s="10">
        <v>3</v>
      </c>
      <c r="N268" s="18">
        <v>40936.114392351497</v>
      </c>
      <c r="Q268" s="15">
        <v>2016</v>
      </c>
      <c r="R268" s="15">
        <v>3</v>
      </c>
      <c r="S268" s="15">
        <v>40796.553649464098</v>
      </c>
      <c r="U268" s="15">
        <v>2016</v>
      </c>
      <c r="V268" s="15">
        <v>3</v>
      </c>
      <c r="W268" s="15">
        <v>40800.579687887999</v>
      </c>
      <c r="Z268" s="15">
        <v>2016</v>
      </c>
      <c r="AA268" s="15">
        <v>3</v>
      </c>
      <c r="AB268" s="15">
        <v>40774.185750667602</v>
      </c>
      <c r="AD268" s="18">
        <v>2016</v>
      </c>
      <c r="AE268" s="18">
        <v>3</v>
      </c>
      <c r="AF268" s="18">
        <v>40749.931762650398</v>
      </c>
      <c r="AH268" s="10">
        <v>2016</v>
      </c>
      <c r="AI268" s="10">
        <v>3</v>
      </c>
      <c r="AJ268" s="18">
        <v>40757.680430242799</v>
      </c>
      <c r="AL268" s="15">
        <v>2016</v>
      </c>
      <c r="AM268" s="15">
        <v>3</v>
      </c>
      <c r="AN268" s="15">
        <v>40752.783874177803</v>
      </c>
      <c r="AQ268" s="18">
        <v>2016</v>
      </c>
      <c r="AR268" s="18">
        <v>3</v>
      </c>
      <c r="AS268" s="18">
        <v>40716.801467317397</v>
      </c>
      <c r="AU268" s="10">
        <v>2016</v>
      </c>
      <c r="AV268" s="10">
        <v>3</v>
      </c>
      <c r="AW268" s="15">
        <v>40675.353358842898</v>
      </c>
      <c r="AY268" s="15">
        <v>2016</v>
      </c>
      <c r="AZ268" s="15">
        <v>3</v>
      </c>
      <c r="BA268" s="15">
        <v>40692.4577637646</v>
      </c>
      <c r="BC268" s="15">
        <v>2016</v>
      </c>
      <c r="BD268" s="15">
        <v>3</v>
      </c>
      <c r="BE268" s="15">
        <v>40682.745183965999</v>
      </c>
      <c r="BG268" s="15">
        <v>2016</v>
      </c>
      <c r="BH268" s="15">
        <v>3</v>
      </c>
      <c r="BI268" s="15">
        <v>40694.4070755793</v>
      </c>
    </row>
    <row r="269" spans="1:61" x14ac:dyDescent="0.25">
      <c r="A269" s="10">
        <v>2016</v>
      </c>
      <c r="B269" s="10">
        <v>4</v>
      </c>
      <c r="C269" s="11">
        <v>42373.789891828303</v>
      </c>
      <c r="G269" s="7">
        <v>2016</v>
      </c>
      <c r="H269" s="7">
        <v>1</v>
      </c>
      <c r="I269" s="13">
        <v>39908.899166110103</v>
      </c>
      <c r="L269" s="10">
        <v>2016</v>
      </c>
      <c r="M269" s="10">
        <v>4</v>
      </c>
      <c r="N269" s="18">
        <v>42665.033901884199</v>
      </c>
      <c r="Q269" s="15">
        <v>2016</v>
      </c>
      <c r="R269" s="15">
        <v>4</v>
      </c>
      <c r="S269" s="15">
        <v>42459.143440808999</v>
      </c>
      <c r="U269" s="15">
        <v>2016</v>
      </c>
      <c r="V269" s="15">
        <v>4</v>
      </c>
      <c r="W269" s="15">
        <v>42623.376005271399</v>
      </c>
      <c r="Z269" s="15">
        <v>2016</v>
      </c>
      <c r="AA269" s="15">
        <v>4</v>
      </c>
      <c r="AB269" s="15">
        <v>42604.495209546702</v>
      </c>
      <c r="AD269" s="18">
        <v>2016</v>
      </c>
      <c r="AE269" s="18">
        <v>4</v>
      </c>
      <c r="AF269" s="18">
        <v>42608.700996556698</v>
      </c>
      <c r="AH269" s="10">
        <v>2016</v>
      </c>
      <c r="AI269" s="10">
        <v>4</v>
      </c>
      <c r="AJ269" s="18">
        <v>42608.128178407802</v>
      </c>
      <c r="AL269" s="15">
        <v>2016</v>
      </c>
      <c r="AM269" s="15">
        <v>4</v>
      </c>
      <c r="AN269" s="15">
        <v>42607.890164764802</v>
      </c>
      <c r="AQ269" s="18">
        <v>2016</v>
      </c>
      <c r="AR269" s="18">
        <v>4</v>
      </c>
      <c r="AS269" s="18">
        <v>42611.354644854997</v>
      </c>
      <c r="AU269" s="10">
        <v>2016</v>
      </c>
      <c r="AV269" s="10">
        <v>4</v>
      </c>
      <c r="AW269" s="15">
        <v>42639.452486884598</v>
      </c>
      <c r="AY269" s="15">
        <v>2016</v>
      </c>
      <c r="AZ269" s="15">
        <v>4</v>
      </c>
      <c r="BA269" s="15">
        <v>42639.618331532401</v>
      </c>
      <c r="BC269" s="15">
        <v>2016</v>
      </c>
      <c r="BD269" s="15">
        <v>4</v>
      </c>
      <c r="BE269" s="15">
        <v>42642.697685342602</v>
      </c>
      <c r="BG269" s="15">
        <v>2016</v>
      </c>
      <c r="BH269" s="15">
        <v>4</v>
      </c>
      <c r="BI269" s="15">
        <v>42641.930525263902</v>
      </c>
    </row>
    <row r="270" spans="1:61" x14ac:dyDescent="0.25">
      <c r="A270" s="10">
        <v>2016</v>
      </c>
      <c r="B270" s="10">
        <v>5</v>
      </c>
      <c r="C270" s="11">
        <v>37401.8793666442</v>
      </c>
      <c r="G270" s="7">
        <v>2016</v>
      </c>
      <c r="H270" s="7">
        <v>2</v>
      </c>
      <c r="I270" s="13">
        <v>38863.8079394983</v>
      </c>
      <c r="L270" s="10">
        <v>2016</v>
      </c>
      <c r="M270" s="10">
        <v>5</v>
      </c>
      <c r="N270" s="18">
        <v>37762.352924759703</v>
      </c>
      <c r="Q270" s="15">
        <v>2016</v>
      </c>
      <c r="R270" s="15">
        <v>5</v>
      </c>
      <c r="S270" s="15">
        <v>37519.987193910303</v>
      </c>
      <c r="U270" s="15">
        <v>2016</v>
      </c>
      <c r="V270" s="15">
        <v>5</v>
      </c>
      <c r="W270" s="15">
        <v>37695.281690338401</v>
      </c>
      <c r="Z270" s="15">
        <v>2016</v>
      </c>
      <c r="AA270" s="15">
        <v>5</v>
      </c>
      <c r="AB270" s="15">
        <v>37673.921626604999</v>
      </c>
      <c r="AD270" s="18">
        <v>2016</v>
      </c>
      <c r="AE270" s="18">
        <v>5</v>
      </c>
      <c r="AF270" s="18">
        <v>37676.2044341211</v>
      </c>
      <c r="AH270" s="10">
        <v>2016</v>
      </c>
      <c r="AI270" s="10">
        <v>5</v>
      </c>
      <c r="AJ270" s="18">
        <v>37675.785132308803</v>
      </c>
      <c r="AL270" s="15">
        <v>2016</v>
      </c>
      <c r="AM270" s="15">
        <v>5</v>
      </c>
      <c r="AN270" s="15">
        <v>37676.782675315997</v>
      </c>
      <c r="AQ270" s="18">
        <v>2016</v>
      </c>
      <c r="AR270" s="18">
        <v>5</v>
      </c>
      <c r="AS270" s="18">
        <v>37680.770550622598</v>
      </c>
      <c r="AU270" s="10">
        <v>2016</v>
      </c>
      <c r="AV270" s="10">
        <v>5</v>
      </c>
      <c r="AW270" s="15">
        <v>37713.082257187998</v>
      </c>
      <c r="AY270" s="15">
        <v>2016</v>
      </c>
      <c r="AZ270" s="15">
        <v>5</v>
      </c>
      <c r="BA270" s="15">
        <v>37712.909529843098</v>
      </c>
      <c r="BC270" s="15">
        <v>2016</v>
      </c>
      <c r="BD270" s="15">
        <v>5</v>
      </c>
      <c r="BE270" s="15">
        <v>37715.922218734398</v>
      </c>
      <c r="BG270" s="15">
        <v>2016</v>
      </c>
      <c r="BH270" s="15">
        <v>5</v>
      </c>
      <c r="BI270" s="15">
        <v>37715.676096175601</v>
      </c>
    </row>
    <row r="271" spans="1:61" x14ac:dyDescent="0.25">
      <c r="A271" s="10">
        <v>2016</v>
      </c>
      <c r="B271" s="10">
        <v>6</v>
      </c>
      <c r="C271" s="11">
        <v>36993.127473117202</v>
      </c>
      <c r="G271" s="7">
        <v>2016</v>
      </c>
      <c r="H271" s="7">
        <v>3</v>
      </c>
      <c r="I271" s="13">
        <v>41561.140609933202</v>
      </c>
      <c r="L271" s="10">
        <v>2016</v>
      </c>
      <c r="M271" s="10">
        <v>6</v>
      </c>
      <c r="N271" s="18">
        <v>38041.302049005397</v>
      </c>
      <c r="Q271" s="15">
        <v>2016</v>
      </c>
      <c r="R271" s="15">
        <v>6</v>
      </c>
      <c r="S271" s="15">
        <v>37728.564599958198</v>
      </c>
      <c r="U271" s="15">
        <v>2016</v>
      </c>
      <c r="V271" s="15">
        <v>6</v>
      </c>
      <c r="W271" s="15">
        <v>37901.210336410099</v>
      </c>
      <c r="Z271" s="15">
        <v>2016</v>
      </c>
      <c r="AA271" s="15">
        <v>6</v>
      </c>
      <c r="AB271" s="15">
        <v>37878.8568067448</v>
      </c>
      <c r="AD271" s="18">
        <v>2016</v>
      </c>
      <c r="AE271" s="18">
        <v>6</v>
      </c>
      <c r="AF271" s="18">
        <v>37870.099260642099</v>
      </c>
      <c r="AH271" s="10">
        <v>2016</v>
      </c>
      <c r="AI271" s="10">
        <v>6</v>
      </c>
      <c r="AJ271" s="18">
        <v>37873.6275318439</v>
      </c>
      <c r="AL271" s="15">
        <v>2016</v>
      </c>
      <c r="AM271" s="15">
        <v>6</v>
      </c>
      <c r="AN271" s="15">
        <v>37876.479972591798</v>
      </c>
      <c r="AQ271" s="18">
        <v>2016</v>
      </c>
      <c r="AR271" s="18">
        <v>6</v>
      </c>
      <c r="AS271" s="18">
        <v>37870.2125812499</v>
      </c>
      <c r="AU271" s="10">
        <v>2016</v>
      </c>
      <c r="AV271" s="10">
        <v>6</v>
      </c>
      <c r="AW271" s="15">
        <v>37884.602032437302</v>
      </c>
      <c r="AY271" s="15">
        <v>2016</v>
      </c>
      <c r="AZ271" s="15">
        <v>6</v>
      </c>
      <c r="BA271" s="15">
        <v>37884.933177754603</v>
      </c>
      <c r="BC271" s="15">
        <v>2016</v>
      </c>
      <c r="BD271" s="15">
        <v>6</v>
      </c>
      <c r="BE271" s="15">
        <v>37886.702684131</v>
      </c>
      <c r="BG271" s="15">
        <v>2016</v>
      </c>
      <c r="BH271" s="15">
        <v>6</v>
      </c>
      <c r="BI271" s="15">
        <v>37887.942043765703</v>
      </c>
    </row>
    <row r="272" spans="1:61" x14ac:dyDescent="0.25">
      <c r="A272" s="10">
        <v>2016</v>
      </c>
      <c r="B272" s="10">
        <v>7</v>
      </c>
      <c r="C272" s="11">
        <v>39420.483506772704</v>
      </c>
      <c r="G272" s="7">
        <v>2016</v>
      </c>
      <c r="H272" s="7">
        <v>4</v>
      </c>
      <c r="I272" s="13">
        <v>43116.175539110598</v>
      </c>
      <c r="L272" s="10">
        <v>2016</v>
      </c>
      <c r="M272" s="10">
        <v>7</v>
      </c>
      <c r="N272" s="18">
        <v>39640.197449108302</v>
      </c>
      <c r="Q272" s="15">
        <v>2016</v>
      </c>
      <c r="R272" s="15">
        <v>7</v>
      </c>
      <c r="S272" s="15">
        <v>39495.2496684949</v>
      </c>
      <c r="U272" s="15">
        <v>2016</v>
      </c>
      <c r="V272" s="15">
        <v>7</v>
      </c>
      <c r="W272" s="15">
        <v>39634.997958942498</v>
      </c>
      <c r="Z272" s="15">
        <v>2016</v>
      </c>
      <c r="AA272" s="15">
        <v>7</v>
      </c>
      <c r="AB272" s="15">
        <v>39600.485300847002</v>
      </c>
      <c r="AD272" s="18">
        <v>2016</v>
      </c>
      <c r="AE272" s="18">
        <v>7</v>
      </c>
      <c r="AF272" s="18">
        <v>39611.696186515102</v>
      </c>
      <c r="AH272" s="10">
        <v>2016</v>
      </c>
      <c r="AI272" s="10">
        <v>7</v>
      </c>
      <c r="AJ272" s="18">
        <v>39606.154681262997</v>
      </c>
      <c r="AL272" s="15">
        <v>2016</v>
      </c>
      <c r="AM272" s="15">
        <v>7</v>
      </c>
      <c r="AN272" s="15">
        <v>39608.476096940103</v>
      </c>
      <c r="AQ272" s="18">
        <v>2016</v>
      </c>
      <c r="AR272" s="18">
        <v>7</v>
      </c>
      <c r="AS272" s="18">
        <v>39633.015173817599</v>
      </c>
      <c r="AU272" s="10">
        <v>2016</v>
      </c>
      <c r="AV272" s="10">
        <v>7</v>
      </c>
      <c r="AW272" s="15">
        <v>39682.523829587197</v>
      </c>
      <c r="AY272" s="15">
        <v>2016</v>
      </c>
      <c r="AZ272" s="15">
        <v>7</v>
      </c>
      <c r="BA272" s="15">
        <v>39672.742760667403</v>
      </c>
      <c r="BC272" s="15">
        <v>2016</v>
      </c>
      <c r="BD272" s="15">
        <v>7</v>
      </c>
      <c r="BE272" s="15">
        <v>39680.874520571502</v>
      </c>
      <c r="BG272" s="15">
        <v>2016</v>
      </c>
      <c r="BH272" s="15">
        <v>7</v>
      </c>
      <c r="BI272" s="15">
        <v>39674.002548666598</v>
      </c>
    </row>
    <row r="273" spans="1:61" x14ac:dyDescent="0.25">
      <c r="A273" s="10">
        <v>2016</v>
      </c>
      <c r="B273" s="10">
        <v>8</v>
      </c>
      <c r="C273" s="11">
        <v>37976.666436055501</v>
      </c>
      <c r="G273" s="7">
        <v>2016</v>
      </c>
      <c r="H273" s="7">
        <v>5</v>
      </c>
      <c r="I273" s="13">
        <v>37946.946430415497</v>
      </c>
      <c r="L273" s="10">
        <v>2016</v>
      </c>
      <c r="M273" s="10">
        <v>8</v>
      </c>
      <c r="N273" s="18">
        <v>38154.522411517202</v>
      </c>
      <c r="Q273" s="15">
        <v>2016</v>
      </c>
      <c r="R273" s="15">
        <v>8</v>
      </c>
      <c r="S273" s="15">
        <v>38048.412624913799</v>
      </c>
      <c r="U273" s="15">
        <v>2016</v>
      </c>
      <c r="V273" s="15">
        <v>8</v>
      </c>
      <c r="W273" s="15">
        <v>37914.196910070401</v>
      </c>
      <c r="Z273" s="15">
        <v>2016</v>
      </c>
      <c r="AA273" s="15">
        <v>8</v>
      </c>
      <c r="AB273" s="15">
        <v>37899.577355682399</v>
      </c>
      <c r="AD273" s="18">
        <v>2016</v>
      </c>
      <c r="AE273" s="18">
        <v>8</v>
      </c>
      <c r="AF273" s="18">
        <v>37884.571955269101</v>
      </c>
      <c r="AH273" s="10">
        <v>2016</v>
      </c>
      <c r="AI273" s="10">
        <v>8</v>
      </c>
      <c r="AJ273" s="18">
        <v>37891.123561284701</v>
      </c>
      <c r="AL273" s="15">
        <v>2016</v>
      </c>
      <c r="AM273" s="15">
        <v>8</v>
      </c>
      <c r="AN273" s="15">
        <v>37897.905137121998</v>
      </c>
      <c r="AQ273" s="18">
        <v>2016</v>
      </c>
      <c r="AR273" s="18">
        <v>8</v>
      </c>
      <c r="AS273" s="18">
        <v>37877.552572246197</v>
      </c>
      <c r="AU273" s="10">
        <v>2016</v>
      </c>
      <c r="AV273" s="10">
        <v>8</v>
      </c>
      <c r="AW273" s="15">
        <v>37844.313378593797</v>
      </c>
      <c r="AY273" s="15">
        <v>2016</v>
      </c>
      <c r="AZ273" s="15">
        <v>8</v>
      </c>
      <c r="BA273" s="15">
        <v>37853.123168466103</v>
      </c>
      <c r="BC273" s="15">
        <v>2016</v>
      </c>
      <c r="BD273" s="15">
        <v>8</v>
      </c>
      <c r="BE273" s="15">
        <v>37844.121475402499</v>
      </c>
      <c r="BG273" s="15">
        <v>2016</v>
      </c>
      <c r="BH273" s="15">
        <v>8</v>
      </c>
      <c r="BI273" s="15">
        <v>37856.418049923202</v>
      </c>
    </row>
    <row r="274" spans="1:61" x14ac:dyDescent="0.25">
      <c r="A274" s="10">
        <v>2016</v>
      </c>
      <c r="B274" s="10">
        <v>9</v>
      </c>
      <c r="C274" s="11">
        <v>35744.533042557901</v>
      </c>
      <c r="G274" s="7">
        <v>2016</v>
      </c>
      <c r="H274" s="7">
        <v>6</v>
      </c>
      <c r="I274" s="13">
        <v>37633.140263380403</v>
      </c>
      <c r="L274" s="10">
        <v>2016</v>
      </c>
      <c r="M274" s="10">
        <v>9</v>
      </c>
      <c r="N274" s="18">
        <v>35725.5588412133</v>
      </c>
      <c r="Q274" s="15">
        <v>2016</v>
      </c>
      <c r="R274" s="15">
        <v>9</v>
      </c>
      <c r="S274" s="15">
        <v>35763.873478359303</v>
      </c>
      <c r="U274" s="15">
        <v>2016</v>
      </c>
      <c r="V274" s="15">
        <v>9</v>
      </c>
      <c r="W274" s="15">
        <v>35519.446301016003</v>
      </c>
      <c r="Z274" s="15">
        <v>2016</v>
      </c>
      <c r="AA274" s="15">
        <v>9</v>
      </c>
      <c r="AB274" s="15">
        <v>35503.931288652901</v>
      </c>
      <c r="AD274" s="18">
        <v>2016</v>
      </c>
      <c r="AE274" s="18">
        <v>9</v>
      </c>
      <c r="AF274" s="18">
        <v>35491.408335673601</v>
      </c>
      <c r="AH274" s="10">
        <v>2016</v>
      </c>
      <c r="AI274" s="10">
        <v>9</v>
      </c>
      <c r="AJ274" s="18">
        <v>35496.720557050001</v>
      </c>
      <c r="AL274" s="15">
        <v>2016</v>
      </c>
      <c r="AM274" s="15">
        <v>9</v>
      </c>
      <c r="AN274" s="15">
        <v>35504.959223745202</v>
      </c>
      <c r="AQ274" s="18">
        <v>2016</v>
      </c>
      <c r="AR274" s="18">
        <v>9</v>
      </c>
      <c r="AS274" s="18">
        <v>35490.362002957998</v>
      </c>
      <c r="AU274" s="10">
        <v>2016</v>
      </c>
      <c r="AV274" s="10">
        <v>9</v>
      </c>
      <c r="AW274" s="15">
        <v>35454.573597278897</v>
      </c>
      <c r="AY274" s="15">
        <v>2016</v>
      </c>
      <c r="AZ274" s="15">
        <v>9</v>
      </c>
      <c r="BA274" s="15">
        <v>35460.742645858198</v>
      </c>
      <c r="BC274" s="15">
        <v>2016</v>
      </c>
      <c r="BD274" s="15">
        <v>9</v>
      </c>
      <c r="BE274" s="15">
        <v>35452.185825589499</v>
      </c>
      <c r="BG274" s="15">
        <v>2016</v>
      </c>
      <c r="BH274" s="15">
        <v>9</v>
      </c>
      <c r="BI274" s="15">
        <v>35463.068466710603</v>
      </c>
    </row>
    <row r="275" spans="1:61" x14ac:dyDescent="0.25">
      <c r="A275" s="10">
        <v>2016</v>
      </c>
      <c r="B275" s="10">
        <v>10</v>
      </c>
      <c r="C275" s="11">
        <v>34301.908310031598</v>
      </c>
      <c r="G275" s="7">
        <v>2016</v>
      </c>
      <c r="H275" s="7">
        <v>7</v>
      </c>
      <c r="I275" s="13">
        <v>39364.996745730597</v>
      </c>
      <c r="L275" s="10">
        <v>2016</v>
      </c>
      <c r="M275" s="10">
        <v>10</v>
      </c>
      <c r="N275" s="18">
        <v>33804.022816291297</v>
      </c>
      <c r="Q275" s="15">
        <v>2016</v>
      </c>
      <c r="R275" s="15">
        <v>10</v>
      </c>
      <c r="S275" s="15">
        <v>33860.350070946603</v>
      </c>
      <c r="U275" s="15">
        <v>2016</v>
      </c>
      <c r="V275" s="15">
        <v>10</v>
      </c>
      <c r="W275" s="15">
        <v>34124.451361235799</v>
      </c>
      <c r="Z275" s="15">
        <v>2016</v>
      </c>
      <c r="AA275" s="15">
        <v>10</v>
      </c>
      <c r="AB275" s="15">
        <v>33935.474187972402</v>
      </c>
      <c r="AD275" s="18">
        <v>2016</v>
      </c>
      <c r="AE275" s="18">
        <v>10</v>
      </c>
      <c r="AF275" s="18">
        <v>33960.508875189502</v>
      </c>
      <c r="AH275" s="10">
        <v>2016</v>
      </c>
      <c r="AI275" s="10">
        <v>10</v>
      </c>
      <c r="AJ275" s="18">
        <v>33945.885539033101</v>
      </c>
      <c r="AL275" s="15">
        <v>2016</v>
      </c>
      <c r="AM275" s="15">
        <v>10</v>
      </c>
      <c r="AN275" s="15">
        <v>33956.898629953997</v>
      </c>
      <c r="AQ275" s="18">
        <v>2016</v>
      </c>
      <c r="AR275" s="18">
        <v>10</v>
      </c>
      <c r="AS275" s="18">
        <v>34024.417599565102</v>
      </c>
      <c r="AU275" s="10">
        <v>2016</v>
      </c>
      <c r="AV275" s="10">
        <v>10</v>
      </c>
      <c r="AW275" s="15">
        <v>34102.450594861701</v>
      </c>
      <c r="AY275" s="15">
        <v>2016</v>
      </c>
      <c r="AZ275" s="15">
        <v>10</v>
      </c>
      <c r="BA275" s="15">
        <v>34073.114200863602</v>
      </c>
      <c r="BC275" s="15">
        <v>2016</v>
      </c>
      <c r="BD275" s="15">
        <v>10</v>
      </c>
      <c r="BE275" s="15">
        <v>34089.3011419541</v>
      </c>
      <c r="BG275" s="15">
        <v>2016</v>
      </c>
      <c r="BH275" s="15">
        <v>10</v>
      </c>
      <c r="BI275" s="15">
        <v>34070.4065787113</v>
      </c>
    </row>
    <row r="276" spans="1:61" x14ac:dyDescent="0.25">
      <c r="A276" s="10">
        <v>2016</v>
      </c>
      <c r="B276" s="10">
        <v>11</v>
      </c>
      <c r="C276" s="11">
        <v>41669.206381146199</v>
      </c>
      <c r="G276" s="7">
        <v>2016</v>
      </c>
      <c r="H276" s="7">
        <v>8</v>
      </c>
      <c r="I276" s="13">
        <v>37369.511239411302</v>
      </c>
      <c r="L276" s="10">
        <v>2016</v>
      </c>
      <c r="M276" s="10">
        <v>11</v>
      </c>
      <c r="N276" s="18">
        <v>41197.147324382699</v>
      </c>
      <c r="Q276" s="15">
        <v>2016</v>
      </c>
      <c r="R276" s="15">
        <v>11</v>
      </c>
      <c r="S276" s="15">
        <v>41564.802111179197</v>
      </c>
      <c r="U276" s="15">
        <v>2016</v>
      </c>
      <c r="V276" s="15">
        <v>11</v>
      </c>
      <c r="W276" s="15">
        <v>41053.693666920401</v>
      </c>
      <c r="Z276" s="15">
        <v>2016</v>
      </c>
      <c r="AA276" s="15">
        <v>11</v>
      </c>
      <c r="AB276" s="15">
        <v>41046.282053500603</v>
      </c>
      <c r="AD276" s="18">
        <v>2016</v>
      </c>
      <c r="AE276" s="18">
        <v>11</v>
      </c>
      <c r="AF276" s="18">
        <v>41033.899065555903</v>
      </c>
      <c r="AH276" s="10">
        <v>2016</v>
      </c>
      <c r="AI276" s="10">
        <v>11</v>
      </c>
      <c r="AJ276" s="18">
        <v>41038.347475406103</v>
      </c>
      <c r="AL276" s="15">
        <v>2016</v>
      </c>
      <c r="AM276" s="15">
        <v>11</v>
      </c>
      <c r="AN276" s="15">
        <v>41047.304039087197</v>
      </c>
      <c r="AQ276" s="18">
        <v>2016</v>
      </c>
      <c r="AR276" s="18">
        <v>11</v>
      </c>
      <c r="AS276" s="18">
        <v>41034.492730282698</v>
      </c>
      <c r="AU276" s="10">
        <v>2016</v>
      </c>
      <c r="AV276" s="10">
        <v>11</v>
      </c>
      <c r="AW276" s="15">
        <v>40985.277899072797</v>
      </c>
      <c r="AY276" s="15">
        <v>2016</v>
      </c>
      <c r="AZ276" s="15">
        <v>11</v>
      </c>
      <c r="BA276" s="15">
        <v>40990.451638724699</v>
      </c>
      <c r="BC276" s="15">
        <v>2016</v>
      </c>
      <c r="BD276" s="15">
        <v>11</v>
      </c>
      <c r="BE276" s="15">
        <v>40980.769315527497</v>
      </c>
      <c r="BG276" s="15">
        <v>2016</v>
      </c>
      <c r="BH276" s="15">
        <v>11</v>
      </c>
      <c r="BI276" s="15">
        <v>40990.944807184896</v>
      </c>
    </row>
    <row r="277" spans="1:61" x14ac:dyDescent="0.25">
      <c r="A277" s="10">
        <v>2016</v>
      </c>
      <c r="B277" s="10">
        <v>12</v>
      </c>
      <c r="C277" s="11">
        <v>49669.9684627725</v>
      </c>
      <c r="G277" s="7">
        <v>2016</v>
      </c>
      <c r="H277" s="7">
        <v>9</v>
      </c>
      <c r="I277" s="13">
        <v>35236.868892408696</v>
      </c>
      <c r="L277" s="10">
        <v>2016</v>
      </c>
      <c r="M277" s="10">
        <v>12</v>
      </c>
      <c r="N277" s="18">
        <v>48921.180636981197</v>
      </c>
      <c r="Q277" s="15">
        <v>2016</v>
      </c>
      <c r="R277" s="15">
        <v>12</v>
      </c>
      <c r="S277" s="15">
        <v>49064.660540287303</v>
      </c>
      <c r="U277" s="15">
        <v>2016</v>
      </c>
      <c r="V277" s="15">
        <v>12</v>
      </c>
      <c r="W277" s="15">
        <v>48879.622703918401</v>
      </c>
      <c r="Z277" s="15">
        <v>2016</v>
      </c>
      <c r="AA277" s="15">
        <v>12</v>
      </c>
      <c r="AB277" s="15">
        <v>48908.201168301202</v>
      </c>
      <c r="AD277" s="18">
        <v>2016</v>
      </c>
      <c r="AE277" s="18">
        <v>12</v>
      </c>
      <c r="AF277" s="18">
        <v>48891.337895635799</v>
      </c>
      <c r="AH277" s="10">
        <v>2016</v>
      </c>
      <c r="AI277" s="10">
        <v>12</v>
      </c>
      <c r="AJ277" s="18">
        <v>48889.506344237998</v>
      </c>
      <c r="AL277" s="15">
        <v>2016</v>
      </c>
      <c r="AM277" s="15">
        <v>12</v>
      </c>
      <c r="AN277" s="15">
        <v>48892.545815274301</v>
      </c>
      <c r="AQ277" s="18">
        <v>2016</v>
      </c>
      <c r="AR277" s="18">
        <v>12</v>
      </c>
      <c r="AS277" s="18">
        <v>48896.889365352603</v>
      </c>
      <c r="AU277" s="10">
        <v>2016</v>
      </c>
      <c r="AV277" s="10">
        <v>12</v>
      </c>
      <c r="AW277" s="15">
        <v>48860.716251066202</v>
      </c>
      <c r="AY277" s="15">
        <v>2016</v>
      </c>
      <c r="AZ277" s="15">
        <v>12</v>
      </c>
      <c r="BA277" s="15">
        <v>48858.297175681801</v>
      </c>
      <c r="BC277" s="15">
        <v>2016</v>
      </c>
      <c r="BD277" s="15">
        <v>12</v>
      </c>
      <c r="BE277" s="15">
        <v>48853.168095268302</v>
      </c>
      <c r="BG277" s="15">
        <v>2016</v>
      </c>
      <c r="BH277" s="15">
        <v>12</v>
      </c>
      <c r="BI277" s="15">
        <v>48854.202358374299</v>
      </c>
    </row>
    <row r="278" spans="1:61" x14ac:dyDescent="0.25">
      <c r="A278" s="10">
        <v>2017</v>
      </c>
      <c r="B278" s="10">
        <v>1</v>
      </c>
      <c r="C278" s="11">
        <v>47019.069954114901</v>
      </c>
      <c r="G278" s="7">
        <v>2016</v>
      </c>
      <c r="H278" s="7">
        <v>10</v>
      </c>
      <c r="I278" s="13">
        <v>33977.808729375203</v>
      </c>
      <c r="L278" s="10">
        <v>2017</v>
      </c>
      <c r="M278" s="10">
        <v>1</v>
      </c>
      <c r="N278" s="18">
        <v>46136.756518830298</v>
      </c>
      <c r="Q278" s="15">
        <v>2017</v>
      </c>
      <c r="R278" s="15">
        <v>1</v>
      </c>
      <c r="S278" s="15">
        <v>47024.484512883297</v>
      </c>
      <c r="U278" s="15">
        <v>2017</v>
      </c>
      <c r="V278" s="15">
        <v>1</v>
      </c>
      <c r="W278" s="15">
        <v>46604.723213316902</v>
      </c>
      <c r="Z278" s="15">
        <v>2017</v>
      </c>
      <c r="AA278" s="15">
        <v>1</v>
      </c>
      <c r="AB278" s="15">
        <v>46765.2598011113</v>
      </c>
      <c r="AD278" s="18">
        <v>2017</v>
      </c>
      <c r="AE278" s="18">
        <v>1</v>
      </c>
      <c r="AF278" s="18">
        <v>46739.7006607332</v>
      </c>
      <c r="AH278" s="10">
        <v>2017</v>
      </c>
      <c r="AI278" s="10">
        <v>1</v>
      </c>
      <c r="AJ278" s="18">
        <v>46733.171426085799</v>
      </c>
      <c r="AL278" s="15">
        <v>2017</v>
      </c>
      <c r="AM278" s="15">
        <v>1</v>
      </c>
      <c r="AN278" s="15">
        <v>46722.228592474901</v>
      </c>
      <c r="AQ278" s="18">
        <v>2017</v>
      </c>
      <c r="AR278" s="18">
        <v>1</v>
      </c>
      <c r="AS278" s="18">
        <v>46728.895210157403</v>
      </c>
      <c r="AU278" s="10">
        <v>2017</v>
      </c>
      <c r="AV278" s="10">
        <v>1</v>
      </c>
      <c r="AW278" s="15">
        <v>46699.373549359501</v>
      </c>
      <c r="AY278" s="15">
        <v>2017</v>
      </c>
      <c r="AZ278" s="15">
        <v>1</v>
      </c>
      <c r="BA278" s="15">
        <v>46697.966591681798</v>
      </c>
      <c r="BC278" s="15">
        <v>2017</v>
      </c>
      <c r="BD278" s="15">
        <v>1</v>
      </c>
      <c r="BE278" s="15">
        <v>46694.3185217758</v>
      </c>
      <c r="BG278" s="15">
        <v>2017</v>
      </c>
      <c r="BH278" s="15">
        <v>1</v>
      </c>
      <c r="BI278" s="15">
        <v>46686.1205340905</v>
      </c>
    </row>
    <row r="279" spans="1:61" x14ac:dyDescent="0.25">
      <c r="A279" s="10">
        <v>2017</v>
      </c>
      <c r="B279" s="10">
        <v>2</v>
      </c>
      <c r="C279" s="11">
        <v>29189.509135848999</v>
      </c>
      <c r="G279" s="7">
        <v>2016</v>
      </c>
      <c r="H279" s="7">
        <v>11</v>
      </c>
      <c r="I279" s="13">
        <v>41073.560232153402</v>
      </c>
      <c r="L279" s="10">
        <v>2017</v>
      </c>
      <c r="M279" s="10">
        <v>2</v>
      </c>
      <c r="N279" s="18">
        <v>28530.953916519</v>
      </c>
      <c r="Q279" s="15">
        <v>2017</v>
      </c>
      <c r="R279" s="15">
        <v>2</v>
      </c>
      <c r="S279" s="15">
        <v>28544.5098746693</v>
      </c>
      <c r="U279" s="15">
        <v>2017</v>
      </c>
      <c r="V279" s="15">
        <v>2</v>
      </c>
      <c r="W279" s="15">
        <v>29300.432872843401</v>
      </c>
      <c r="Z279" s="15">
        <v>2017</v>
      </c>
      <c r="AA279" s="15">
        <v>2</v>
      </c>
      <c r="AB279" s="15">
        <v>29531.485589273401</v>
      </c>
      <c r="AD279" s="18">
        <v>2017</v>
      </c>
      <c r="AE279" s="18">
        <v>2</v>
      </c>
      <c r="AF279" s="18">
        <v>29655.900379599399</v>
      </c>
      <c r="AH279" s="10">
        <v>2017</v>
      </c>
      <c r="AI279" s="10">
        <v>2</v>
      </c>
      <c r="AJ279" s="18">
        <v>29659.134855049298</v>
      </c>
      <c r="AL279" s="15">
        <v>2017</v>
      </c>
      <c r="AM279" s="15">
        <v>2</v>
      </c>
      <c r="AN279" s="15">
        <v>29628.806423256701</v>
      </c>
      <c r="AQ279" s="18">
        <v>2017</v>
      </c>
      <c r="AR279" s="18">
        <v>2</v>
      </c>
      <c r="AS279" s="18">
        <v>29600.319441362299</v>
      </c>
      <c r="AU279" s="10">
        <v>2017</v>
      </c>
      <c r="AV279" s="10">
        <v>2</v>
      </c>
      <c r="AW279" s="15">
        <v>29576.2167065086</v>
      </c>
      <c r="AY279" s="15">
        <v>2017</v>
      </c>
      <c r="AZ279" s="15">
        <v>2</v>
      </c>
      <c r="BA279" s="15">
        <v>29578.1706902429</v>
      </c>
      <c r="BC279" s="15">
        <v>2017</v>
      </c>
      <c r="BD279" s="15">
        <v>2</v>
      </c>
      <c r="BE279" s="15">
        <v>29586.775091956799</v>
      </c>
      <c r="BG279" s="15">
        <v>2017</v>
      </c>
      <c r="BH279" s="15">
        <v>2</v>
      </c>
      <c r="BI279" s="15">
        <v>29571.631397096298</v>
      </c>
    </row>
    <row r="280" spans="1:61" x14ac:dyDescent="0.25">
      <c r="A280" s="10">
        <v>2017</v>
      </c>
      <c r="B280" s="10">
        <v>3</v>
      </c>
      <c r="C280" s="11">
        <v>34364.313450932103</v>
      </c>
      <c r="G280" s="7">
        <v>2016</v>
      </c>
      <c r="H280" s="7">
        <v>12</v>
      </c>
      <c r="I280" s="13">
        <v>49212.891892380103</v>
      </c>
      <c r="L280" s="10">
        <v>2017</v>
      </c>
      <c r="M280" s="10">
        <v>3</v>
      </c>
      <c r="N280" s="18">
        <v>34806.423618019398</v>
      </c>
      <c r="Q280" s="15">
        <v>2017</v>
      </c>
      <c r="R280" s="15">
        <v>3</v>
      </c>
      <c r="S280" s="15">
        <v>34320.317391152799</v>
      </c>
      <c r="U280" s="15">
        <v>2017</v>
      </c>
      <c r="V280" s="15">
        <v>3</v>
      </c>
      <c r="W280" s="15">
        <v>34584.3429712422</v>
      </c>
      <c r="Z280" s="15">
        <v>2017</v>
      </c>
      <c r="AA280" s="15">
        <v>3</v>
      </c>
      <c r="AB280" s="15">
        <v>34554.991359159503</v>
      </c>
      <c r="AD280" s="18">
        <v>2017</v>
      </c>
      <c r="AE280" s="18">
        <v>3</v>
      </c>
      <c r="AF280" s="18">
        <v>34526.700796431403</v>
      </c>
      <c r="AH280" s="10">
        <v>2017</v>
      </c>
      <c r="AI280" s="10">
        <v>3</v>
      </c>
      <c r="AJ280" s="18">
        <v>34534.481301350199</v>
      </c>
      <c r="AL280" s="15">
        <v>2017</v>
      </c>
      <c r="AM280" s="15">
        <v>3</v>
      </c>
      <c r="AN280" s="15">
        <v>34528.370898732297</v>
      </c>
      <c r="AQ280" s="18">
        <v>2017</v>
      </c>
      <c r="AR280" s="18">
        <v>3</v>
      </c>
      <c r="AS280" s="18">
        <v>34494.987466659797</v>
      </c>
      <c r="AU280" s="10">
        <v>2017</v>
      </c>
      <c r="AV280" s="10">
        <v>3</v>
      </c>
      <c r="AW280" s="15">
        <v>34430.261925143997</v>
      </c>
      <c r="AY280" s="15">
        <v>2017</v>
      </c>
      <c r="AZ280" s="15">
        <v>3</v>
      </c>
      <c r="BA280" s="15">
        <v>34443.4247079544</v>
      </c>
      <c r="BC280" s="15">
        <v>2017</v>
      </c>
      <c r="BD280" s="15">
        <v>3</v>
      </c>
      <c r="BE280" s="15">
        <v>34433.720740981502</v>
      </c>
      <c r="BG280" s="15">
        <v>2017</v>
      </c>
      <c r="BH280" s="15">
        <v>3</v>
      </c>
      <c r="BI280" s="15">
        <v>34445.109961055503</v>
      </c>
    </row>
    <row r="281" spans="1:61" x14ac:dyDescent="0.25">
      <c r="A281" s="10">
        <v>2017</v>
      </c>
      <c r="B281" s="10">
        <v>4</v>
      </c>
      <c r="C281" s="11">
        <v>36615.331676770496</v>
      </c>
      <c r="G281" s="7">
        <v>2017</v>
      </c>
      <c r="H281" s="7">
        <v>1</v>
      </c>
      <c r="I281" s="13">
        <v>46895.398697389799</v>
      </c>
      <c r="L281" s="10">
        <v>2017</v>
      </c>
      <c r="M281" s="10">
        <v>4</v>
      </c>
      <c r="N281" s="18">
        <v>37354.946614795801</v>
      </c>
      <c r="Q281" s="15">
        <v>2017</v>
      </c>
      <c r="R281" s="15">
        <v>4</v>
      </c>
      <c r="S281" s="15">
        <v>37020.053669875597</v>
      </c>
      <c r="U281" s="15">
        <v>2017</v>
      </c>
      <c r="V281" s="15">
        <v>4</v>
      </c>
      <c r="W281" s="15">
        <v>37393.681075823901</v>
      </c>
      <c r="Z281" s="15">
        <v>2017</v>
      </c>
      <c r="AA281" s="15">
        <v>4</v>
      </c>
      <c r="AB281" s="15">
        <v>37362.4900452601</v>
      </c>
      <c r="AD281" s="18">
        <v>2017</v>
      </c>
      <c r="AE281" s="18">
        <v>4</v>
      </c>
      <c r="AF281" s="18">
        <v>37380.568919759899</v>
      </c>
      <c r="AH281" s="10">
        <v>2017</v>
      </c>
      <c r="AI281" s="10">
        <v>4</v>
      </c>
      <c r="AJ281" s="18">
        <v>37376.981462091302</v>
      </c>
      <c r="AL281" s="15">
        <v>2017</v>
      </c>
      <c r="AM281" s="15">
        <v>4</v>
      </c>
      <c r="AN281" s="15">
        <v>37370.987204442099</v>
      </c>
      <c r="AQ281" s="18">
        <v>2017</v>
      </c>
      <c r="AR281" s="18">
        <v>4</v>
      </c>
      <c r="AS281" s="18">
        <v>37390.725493564503</v>
      </c>
      <c r="AU281" s="10">
        <v>2017</v>
      </c>
      <c r="AV281" s="10">
        <v>4</v>
      </c>
      <c r="AW281" s="15">
        <v>37447.898012825797</v>
      </c>
      <c r="AY281" s="15">
        <v>2017</v>
      </c>
      <c r="AZ281" s="15">
        <v>4</v>
      </c>
      <c r="BA281" s="15">
        <v>37440.856156543901</v>
      </c>
      <c r="BC281" s="15">
        <v>2017</v>
      </c>
      <c r="BD281" s="15">
        <v>4</v>
      </c>
      <c r="BE281" s="15">
        <v>37454.186129442998</v>
      </c>
      <c r="BG281" s="15">
        <v>2017</v>
      </c>
      <c r="BH281" s="15">
        <v>4</v>
      </c>
      <c r="BI281" s="15">
        <v>37444.776866616798</v>
      </c>
    </row>
    <row r="282" spans="1:61" x14ac:dyDescent="0.25">
      <c r="A282" s="10">
        <v>2017</v>
      </c>
      <c r="B282" s="10">
        <v>5</v>
      </c>
      <c r="C282" s="11">
        <v>41275.368923971997</v>
      </c>
      <c r="G282" s="7">
        <v>2017</v>
      </c>
      <c r="H282" s="7">
        <v>2</v>
      </c>
      <c r="I282" s="13">
        <v>28679.900082906599</v>
      </c>
      <c r="L282" s="10">
        <v>2017</v>
      </c>
      <c r="M282" s="10">
        <v>5</v>
      </c>
      <c r="N282" s="18">
        <v>42226.5243409264</v>
      </c>
      <c r="Q282" s="15">
        <v>2017</v>
      </c>
      <c r="R282" s="15">
        <v>5</v>
      </c>
      <c r="S282" s="15">
        <v>41835.412972461701</v>
      </c>
      <c r="U282" s="15">
        <v>2017</v>
      </c>
      <c r="V282" s="15">
        <v>5</v>
      </c>
      <c r="W282" s="15">
        <v>42015.781834225199</v>
      </c>
      <c r="Z282" s="15">
        <v>2017</v>
      </c>
      <c r="AA282" s="15">
        <v>5</v>
      </c>
      <c r="AB282" s="15">
        <v>41980.137251917302</v>
      </c>
      <c r="AD282" s="18">
        <v>2017</v>
      </c>
      <c r="AE282" s="18">
        <v>5</v>
      </c>
      <c r="AF282" s="18">
        <v>41973.1716171441</v>
      </c>
      <c r="AH282" s="10">
        <v>2017</v>
      </c>
      <c r="AI282" s="10">
        <v>5</v>
      </c>
      <c r="AJ282" s="18">
        <v>41980.2896496873</v>
      </c>
      <c r="AL282" s="15">
        <v>2017</v>
      </c>
      <c r="AM282" s="15">
        <v>5</v>
      </c>
      <c r="AN282" s="15">
        <v>42001.408337849301</v>
      </c>
      <c r="AQ282" s="18">
        <v>2017</v>
      </c>
      <c r="AR282" s="18">
        <v>5</v>
      </c>
      <c r="AS282" s="18">
        <v>41990.872423086897</v>
      </c>
      <c r="AU282" s="10">
        <v>2017</v>
      </c>
      <c r="AV282" s="10">
        <v>5</v>
      </c>
      <c r="AW282" s="15">
        <v>42144.882033670103</v>
      </c>
      <c r="AY282" s="15">
        <v>2017</v>
      </c>
      <c r="AZ282" s="15">
        <v>5</v>
      </c>
      <c r="BA282" s="15">
        <v>42161.494226422197</v>
      </c>
      <c r="BC282" s="15">
        <v>2017</v>
      </c>
      <c r="BD282" s="15">
        <v>5</v>
      </c>
      <c r="BE282" s="15">
        <v>42160.194086188101</v>
      </c>
      <c r="BG282" s="15">
        <v>2017</v>
      </c>
      <c r="BH282" s="15">
        <v>5</v>
      </c>
      <c r="BI282" s="15">
        <v>42171.891164598797</v>
      </c>
    </row>
    <row r="283" spans="1:61" x14ac:dyDescent="0.25">
      <c r="A283" s="10">
        <v>2017</v>
      </c>
      <c r="B283" s="10">
        <v>6</v>
      </c>
      <c r="C283" s="11">
        <v>41196.795641541299</v>
      </c>
      <c r="G283" s="7">
        <v>2017</v>
      </c>
      <c r="H283" s="7">
        <v>3</v>
      </c>
      <c r="I283" s="13">
        <v>35473.946357702203</v>
      </c>
      <c r="L283" s="10">
        <v>2017</v>
      </c>
      <c r="M283" s="10">
        <v>6</v>
      </c>
      <c r="N283" s="18">
        <v>42981.108907453003</v>
      </c>
      <c r="Q283" s="15">
        <v>2017</v>
      </c>
      <c r="R283" s="15">
        <v>6</v>
      </c>
      <c r="S283" s="15">
        <v>42401.175713533499</v>
      </c>
      <c r="U283" s="15">
        <v>2017</v>
      </c>
      <c r="V283" s="15">
        <v>6</v>
      </c>
      <c r="W283" s="15">
        <v>42739.4426618699</v>
      </c>
      <c r="Z283" s="15">
        <v>2017</v>
      </c>
      <c r="AA283" s="15">
        <v>6</v>
      </c>
      <c r="AB283" s="15">
        <v>42722.598296536496</v>
      </c>
      <c r="AD283" s="18">
        <v>2017</v>
      </c>
      <c r="AE283" s="18">
        <v>6</v>
      </c>
      <c r="AF283" s="18">
        <v>42713.598010695903</v>
      </c>
      <c r="AH283" s="10">
        <v>2017</v>
      </c>
      <c r="AI283" s="10">
        <v>6</v>
      </c>
      <c r="AJ283" s="18">
        <v>42718.481639194397</v>
      </c>
      <c r="AL283" s="15">
        <v>2017</v>
      </c>
      <c r="AM283" s="15">
        <v>6</v>
      </c>
      <c r="AN283" s="15">
        <v>42719.766815718598</v>
      </c>
      <c r="AQ283" s="18">
        <v>2017</v>
      </c>
      <c r="AR283" s="18">
        <v>6</v>
      </c>
      <c r="AS283" s="18">
        <v>42705.810763884001</v>
      </c>
      <c r="AU283" s="10">
        <v>2017</v>
      </c>
      <c r="AV283" s="10">
        <v>6</v>
      </c>
      <c r="AW283" s="15">
        <v>42665.901035434799</v>
      </c>
      <c r="AY283" s="15">
        <v>2017</v>
      </c>
      <c r="AZ283" s="15">
        <v>6</v>
      </c>
      <c r="BA283" s="15">
        <v>42673.0862238435</v>
      </c>
      <c r="BC283" s="15">
        <v>2017</v>
      </c>
      <c r="BD283" s="15">
        <v>6</v>
      </c>
      <c r="BE283" s="15">
        <v>42670.782268965602</v>
      </c>
      <c r="BG283" s="15">
        <v>2017</v>
      </c>
      <c r="BH283" s="15">
        <v>6</v>
      </c>
      <c r="BI283" s="15">
        <v>42675.776871523703</v>
      </c>
    </row>
    <row r="284" spans="1:61" x14ac:dyDescent="0.25">
      <c r="A284" s="10">
        <v>2017</v>
      </c>
      <c r="B284" s="10">
        <v>7</v>
      </c>
      <c r="C284" s="11">
        <v>39906.9650791514</v>
      </c>
      <c r="G284" s="7">
        <v>2017</v>
      </c>
      <c r="H284" s="7">
        <v>4</v>
      </c>
      <c r="I284" s="13">
        <v>37545.004209264298</v>
      </c>
      <c r="L284" s="10">
        <v>2017</v>
      </c>
      <c r="M284" s="10">
        <v>7</v>
      </c>
      <c r="N284" s="18">
        <v>40258.058610598397</v>
      </c>
      <c r="Q284" s="15">
        <v>2017</v>
      </c>
      <c r="R284" s="15">
        <v>7</v>
      </c>
      <c r="S284" s="15">
        <v>39985.443935580101</v>
      </c>
      <c r="U284" s="15">
        <v>2017</v>
      </c>
      <c r="V284" s="15">
        <v>7</v>
      </c>
      <c r="W284" s="15">
        <v>40187.879756877199</v>
      </c>
      <c r="Z284" s="15">
        <v>2017</v>
      </c>
      <c r="AA284" s="15">
        <v>7</v>
      </c>
      <c r="AB284" s="15">
        <v>40147.651600109799</v>
      </c>
      <c r="AD284" s="18">
        <v>2017</v>
      </c>
      <c r="AE284" s="18">
        <v>7</v>
      </c>
      <c r="AF284" s="18">
        <v>40159.544584337797</v>
      </c>
      <c r="AH284" s="10">
        <v>2017</v>
      </c>
      <c r="AI284" s="10">
        <v>7</v>
      </c>
      <c r="AJ284" s="18">
        <v>40154.5038458489</v>
      </c>
      <c r="AL284" s="15">
        <v>2017</v>
      </c>
      <c r="AM284" s="15">
        <v>7</v>
      </c>
      <c r="AN284" s="15">
        <v>40157.474768134598</v>
      </c>
      <c r="AQ284" s="18">
        <v>2017</v>
      </c>
      <c r="AR284" s="18">
        <v>7</v>
      </c>
      <c r="AS284" s="18">
        <v>40182.7501462363</v>
      </c>
      <c r="AU284" s="10">
        <v>2017</v>
      </c>
      <c r="AV284" s="10">
        <v>7</v>
      </c>
      <c r="AW284" s="15">
        <v>40211.417954725599</v>
      </c>
      <c r="AY284" s="15">
        <v>2017</v>
      </c>
      <c r="AZ284" s="15">
        <v>7</v>
      </c>
      <c r="BA284" s="15">
        <v>40198.832357490202</v>
      </c>
      <c r="BC284" s="15">
        <v>2017</v>
      </c>
      <c r="BD284" s="15">
        <v>7</v>
      </c>
      <c r="BE284" s="15">
        <v>40205.833432477302</v>
      </c>
      <c r="BG284" s="15">
        <v>2017</v>
      </c>
      <c r="BH284" s="15">
        <v>7</v>
      </c>
      <c r="BI284" s="15">
        <v>40199.325013440801</v>
      </c>
    </row>
    <row r="285" spans="1:61" x14ac:dyDescent="0.25">
      <c r="A285" s="10">
        <v>2017</v>
      </c>
      <c r="B285" s="10">
        <v>8</v>
      </c>
      <c r="C285" s="11">
        <v>38915.774790312003</v>
      </c>
      <c r="G285" s="7">
        <v>2017</v>
      </c>
      <c r="H285" s="7">
        <v>5</v>
      </c>
      <c r="I285" s="13">
        <v>42200.321363116003</v>
      </c>
      <c r="L285" s="10">
        <v>2017</v>
      </c>
      <c r="M285" s="10">
        <v>8</v>
      </c>
      <c r="N285" s="18">
        <v>38941.130471178898</v>
      </c>
      <c r="Q285" s="15">
        <v>2017</v>
      </c>
      <c r="R285" s="15">
        <v>8</v>
      </c>
      <c r="S285" s="15">
        <v>38793.273024301598</v>
      </c>
      <c r="U285" s="15">
        <v>2017</v>
      </c>
      <c r="V285" s="15">
        <v>8</v>
      </c>
      <c r="W285" s="15">
        <v>38663.942850143103</v>
      </c>
      <c r="Z285" s="15">
        <v>2017</v>
      </c>
      <c r="AA285" s="15">
        <v>8</v>
      </c>
      <c r="AB285" s="15">
        <v>38635.989056952101</v>
      </c>
      <c r="AD285" s="18">
        <v>2017</v>
      </c>
      <c r="AE285" s="18">
        <v>8</v>
      </c>
      <c r="AF285" s="18">
        <v>38624.068257165804</v>
      </c>
      <c r="AH285" s="10">
        <v>2017</v>
      </c>
      <c r="AI285" s="10">
        <v>8</v>
      </c>
      <c r="AJ285" s="18">
        <v>38629.871120232703</v>
      </c>
      <c r="AL285" s="15">
        <v>2017</v>
      </c>
      <c r="AM285" s="15">
        <v>8</v>
      </c>
      <c r="AN285" s="15">
        <v>38639.482323460703</v>
      </c>
      <c r="AQ285" s="18">
        <v>2017</v>
      </c>
      <c r="AR285" s="18">
        <v>8</v>
      </c>
      <c r="AS285" s="18">
        <v>38625.835403785502</v>
      </c>
      <c r="AU285" s="10">
        <v>2017</v>
      </c>
      <c r="AV285" s="10">
        <v>8</v>
      </c>
      <c r="AW285" s="15">
        <v>38586.277146344299</v>
      </c>
      <c r="AY285" s="15">
        <v>2017</v>
      </c>
      <c r="AZ285" s="15">
        <v>8</v>
      </c>
      <c r="BA285" s="15">
        <v>38590.492785480499</v>
      </c>
      <c r="BC285" s="15">
        <v>2017</v>
      </c>
      <c r="BD285" s="15">
        <v>8</v>
      </c>
      <c r="BE285" s="15">
        <v>38581.786680404701</v>
      </c>
      <c r="BG285" s="15">
        <v>2017</v>
      </c>
      <c r="BH285" s="15">
        <v>8</v>
      </c>
      <c r="BI285" s="15">
        <v>38592.921118468497</v>
      </c>
    </row>
    <row r="286" spans="1:61" x14ac:dyDescent="0.25">
      <c r="A286" s="10">
        <v>2017</v>
      </c>
      <c r="B286" s="10">
        <v>9</v>
      </c>
      <c r="C286" s="11">
        <v>42387.765479477901</v>
      </c>
      <c r="G286" s="7">
        <v>2017</v>
      </c>
      <c r="H286" s="7">
        <v>6</v>
      </c>
      <c r="I286" s="13">
        <v>41970.295913623901</v>
      </c>
      <c r="L286" s="10">
        <v>2017</v>
      </c>
      <c r="M286" s="10">
        <v>9</v>
      </c>
      <c r="N286" s="18">
        <v>42131.952860420803</v>
      </c>
      <c r="Q286" s="15">
        <v>2017</v>
      </c>
      <c r="R286" s="15">
        <v>9</v>
      </c>
      <c r="S286" s="15">
        <v>42244.005390688799</v>
      </c>
      <c r="U286" s="15">
        <v>2017</v>
      </c>
      <c r="V286" s="15">
        <v>9</v>
      </c>
      <c r="W286" s="15">
        <v>41997.402673458397</v>
      </c>
      <c r="Z286" s="15">
        <v>2017</v>
      </c>
      <c r="AA286" s="15">
        <v>9</v>
      </c>
      <c r="AB286" s="15">
        <v>41955.875268438198</v>
      </c>
      <c r="AD286" s="18">
        <v>2017</v>
      </c>
      <c r="AE286" s="18">
        <v>9</v>
      </c>
      <c r="AF286" s="18">
        <v>41954.992730838298</v>
      </c>
      <c r="AH286" s="10">
        <v>2017</v>
      </c>
      <c r="AI286" s="10">
        <v>9</v>
      </c>
      <c r="AJ286" s="18">
        <v>41954.938360481101</v>
      </c>
      <c r="AL286" s="15">
        <v>2017</v>
      </c>
      <c r="AM286" s="15">
        <v>9</v>
      </c>
      <c r="AN286" s="15">
        <v>41966.326048868897</v>
      </c>
      <c r="AQ286" s="18">
        <v>2017</v>
      </c>
      <c r="AR286" s="18">
        <v>9</v>
      </c>
      <c r="AS286" s="18">
        <v>41976.952240642997</v>
      </c>
      <c r="AU286" s="10">
        <v>2017</v>
      </c>
      <c r="AV286" s="10">
        <v>9</v>
      </c>
      <c r="AW286" s="15">
        <v>41966.484268492299</v>
      </c>
      <c r="AY286" s="15">
        <v>2017</v>
      </c>
      <c r="AZ286" s="15">
        <v>9</v>
      </c>
      <c r="BA286" s="15">
        <v>41960.522354372399</v>
      </c>
      <c r="BC286" s="15">
        <v>2017</v>
      </c>
      <c r="BD286" s="15">
        <v>9</v>
      </c>
      <c r="BE286" s="15">
        <v>41958.3585673466</v>
      </c>
      <c r="BG286" s="15">
        <v>2017</v>
      </c>
      <c r="BH286" s="15">
        <v>9</v>
      </c>
      <c r="BI286" s="15">
        <v>41961.333776365602</v>
      </c>
    </row>
    <row r="287" spans="1:61" x14ac:dyDescent="0.25">
      <c r="A287" s="10">
        <v>2017</v>
      </c>
      <c r="B287" s="10">
        <v>10</v>
      </c>
      <c r="C287" s="11">
        <v>39786.260251060798</v>
      </c>
      <c r="G287" s="7">
        <v>2017</v>
      </c>
      <c r="H287" s="7">
        <v>7</v>
      </c>
      <c r="I287" s="13">
        <v>39517.756922544497</v>
      </c>
      <c r="L287" s="10">
        <v>2017</v>
      </c>
      <c r="M287" s="10">
        <v>10</v>
      </c>
      <c r="N287" s="18">
        <v>39472.4667938864</v>
      </c>
      <c r="Q287" s="15">
        <v>2017</v>
      </c>
      <c r="R287" s="15">
        <v>10</v>
      </c>
      <c r="S287" s="15">
        <v>39667.774670407103</v>
      </c>
      <c r="U287" s="15">
        <v>2017</v>
      </c>
      <c r="V287" s="15">
        <v>10</v>
      </c>
      <c r="W287" s="15">
        <v>39664.709719820399</v>
      </c>
      <c r="Z287" s="15">
        <v>2017</v>
      </c>
      <c r="AA287" s="15">
        <v>10</v>
      </c>
      <c r="AB287" s="15">
        <v>39468.1375539242</v>
      </c>
      <c r="AD287" s="18">
        <v>2017</v>
      </c>
      <c r="AE287" s="18">
        <v>10</v>
      </c>
      <c r="AF287" s="18">
        <v>39476.898289405297</v>
      </c>
      <c r="AH287" s="10">
        <v>2017</v>
      </c>
      <c r="AI287" s="10">
        <v>10</v>
      </c>
      <c r="AJ287" s="18">
        <v>39468.606809660901</v>
      </c>
      <c r="AL287" s="15">
        <v>2017</v>
      </c>
      <c r="AM287" s="15">
        <v>10</v>
      </c>
      <c r="AN287" s="15">
        <v>39486.464480634902</v>
      </c>
      <c r="AQ287" s="18">
        <v>2017</v>
      </c>
      <c r="AR287" s="18">
        <v>10</v>
      </c>
      <c r="AS287" s="18">
        <v>39534.175285691497</v>
      </c>
      <c r="AU287" s="10">
        <v>2017</v>
      </c>
      <c r="AV287" s="10">
        <v>10</v>
      </c>
      <c r="AW287" s="15">
        <v>39567.477654390997</v>
      </c>
      <c r="AY287" s="15">
        <v>2017</v>
      </c>
      <c r="AZ287" s="15">
        <v>10</v>
      </c>
      <c r="BA287" s="15">
        <v>39544.882442698501</v>
      </c>
      <c r="BC287" s="15">
        <v>2017</v>
      </c>
      <c r="BD287" s="15">
        <v>10</v>
      </c>
      <c r="BE287" s="15">
        <v>39551.306506861503</v>
      </c>
      <c r="BG287" s="15">
        <v>2017</v>
      </c>
      <c r="BH287" s="15">
        <v>10</v>
      </c>
      <c r="BI287" s="15">
        <v>39543.370197479802</v>
      </c>
    </row>
    <row r="288" spans="1:61" x14ac:dyDescent="0.25">
      <c r="A288" s="10">
        <v>2017</v>
      </c>
      <c r="B288" s="10">
        <v>11</v>
      </c>
      <c r="C288" s="11">
        <v>40368.941404949903</v>
      </c>
      <c r="G288" s="7">
        <v>2017</v>
      </c>
      <c r="H288" s="7">
        <v>8</v>
      </c>
      <c r="I288" s="13">
        <v>37946.541636289301</v>
      </c>
      <c r="L288" s="10">
        <v>2017</v>
      </c>
      <c r="M288" s="10">
        <v>11</v>
      </c>
      <c r="N288" s="18">
        <v>39511.220066703398</v>
      </c>
      <c r="Q288" s="15">
        <v>2017</v>
      </c>
      <c r="R288" s="15">
        <v>11</v>
      </c>
      <c r="S288" s="15">
        <v>40172.854959437303</v>
      </c>
      <c r="U288" s="15">
        <v>2017</v>
      </c>
      <c r="V288" s="15">
        <v>11</v>
      </c>
      <c r="W288" s="15">
        <v>39386.720181066099</v>
      </c>
      <c r="Z288" s="15">
        <v>2017</v>
      </c>
      <c r="AA288" s="15">
        <v>11</v>
      </c>
      <c r="AB288" s="15">
        <v>39355.838595997899</v>
      </c>
      <c r="AD288" s="18">
        <v>2017</v>
      </c>
      <c r="AE288" s="18">
        <v>11</v>
      </c>
      <c r="AF288" s="18">
        <v>39340.235210964398</v>
      </c>
      <c r="AH288" s="10">
        <v>2017</v>
      </c>
      <c r="AI288" s="10">
        <v>11</v>
      </c>
      <c r="AJ288" s="18">
        <v>39343.266364219096</v>
      </c>
      <c r="AL288" s="15">
        <v>2017</v>
      </c>
      <c r="AM288" s="15">
        <v>11</v>
      </c>
      <c r="AN288" s="15">
        <v>39358.343603550697</v>
      </c>
      <c r="AQ288" s="18">
        <v>2017</v>
      </c>
      <c r="AR288" s="18">
        <v>11</v>
      </c>
      <c r="AS288" s="18">
        <v>39354.657738399699</v>
      </c>
      <c r="AU288" s="10">
        <v>2017</v>
      </c>
      <c r="AV288" s="10">
        <v>11</v>
      </c>
      <c r="AW288" s="15">
        <v>39303.179549799497</v>
      </c>
      <c r="AY288" s="15">
        <v>2017</v>
      </c>
      <c r="AZ288" s="15">
        <v>11</v>
      </c>
      <c r="BA288" s="15">
        <v>39301.940744784602</v>
      </c>
      <c r="BC288" s="15">
        <v>2017</v>
      </c>
      <c r="BD288" s="15">
        <v>11</v>
      </c>
      <c r="BE288" s="15">
        <v>39291.3437945349</v>
      </c>
      <c r="BG288" s="15">
        <v>2017</v>
      </c>
      <c r="BH288" s="15">
        <v>11</v>
      </c>
      <c r="BI288" s="15">
        <v>39302.020581512297</v>
      </c>
    </row>
    <row r="289" spans="1:61" x14ac:dyDescent="0.25">
      <c r="A289" s="10">
        <v>2017</v>
      </c>
      <c r="B289" s="10">
        <v>12</v>
      </c>
      <c r="C289" s="11">
        <v>43950.7898004948</v>
      </c>
      <c r="G289" s="7">
        <v>2017</v>
      </c>
      <c r="H289" s="7">
        <v>9</v>
      </c>
      <c r="I289" s="13">
        <v>41903.434898920001</v>
      </c>
      <c r="L289" s="10">
        <v>2017</v>
      </c>
      <c r="M289" s="10">
        <v>12</v>
      </c>
      <c r="N289" s="18">
        <v>42487.360013660204</v>
      </c>
      <c r="Q289" s="15">
        <v>2017</v>
      </c>
      <c r="R289" s="15">
        <v>12</v>
      </c>
      <c r="S289" s="15">
        <v>42458.3080672656</v>
      </c>
      <c r="U289" s="15">
        <v>2017</v>
      </c>
      <c r="V289" s="15">
        <v>12</v>
      </c>
      <c r="W289" s="15">
        <v>42375.749027717902</v>
      </c>
      <c r="Z289" s="15">
        <v>2017</v>
      </c>
      <c r="AA289" s="15">
        <v>12</v>
      </c>
      <c r="AB289" s="15">
        <v>42371.559748565902</v>
      </c>
      <c r="AD289" s="18">
        <v>2017</v>
      </c>
      <c r="AE289" s="18">
        <v>12</v>
      </c>
      <c r="AF289" s="18">
        <v>42359.990357680501</v>
      </c>
      <c r="AH289" s="10">
        <v>2017</v>
      </c>
      <c r="AI289" s="10">
        <v>12</v>
      </c>
      <c r="AJ289" s="18">
        <v>42351.715116363499</v>
      </c>
      <c r="AL289" s="15">
        <v>2017</v>
      </c>
      <c r="AM289" s="15">
        <v>12</v>
      </c>
      <c r="AN289" s="15">
        <v>42359.183373806001</v>
      </c>
      <c r="AQ289" s="18">
        <v>2017</v>
      </c>
      <c r="AR289" s="18">
        <v>12</v>
      </c>
      <c r="AS289" s="18">
        <v>42390.408954270802</v>
      </c>
      <c r="AU289" s="10">
        <v>2017</v>
      </c>
      <c r="AV289" s="10">
        <v>12</v>
      </c>
      <c r="AW289" s="15">
        <v>42378.130409391997</v>
      </c>
      <c r="AY289" s="15">
        <v>2017</v>
      </c>
      <c r="AZ289" s="15">
        <v>12</v>
      </c>
      <c r="BA289" s="15">
        <v>42360.678112974398</v>
      </c>
      <c r="BC289" s="15">
        <v>2017</v>
      </c>
      <c r="BD289" s="15">
        <v>12</v>
      </c>
      <c r="BE289" s="15">
        <v>42360.3625188035</v>
      </c>
      <c r="BG289" s="15">
        <v>2017</v>
      </c>
      <c r="BH289" s="15">
        <v>12</v>
      </c>
      <c r="BI289" s="15">
        <v>42355.105255996699</v>
      </c>
    </row>
    <row r="290" spans="1:61" x14ac:dyDescent="0.25">
      <c r="A290" s="10">
        <v>2018</v>
      </c>
      <c r="B290" s="10">
        <v>1</v>
      </c>
      <c r="C290" s="11">
        <v>39933.972029644603</v>
      </c>
      <c r="G290" s="7">
        <v>2017</v>
      </c>
      <c r="H290" s="7">
        <v>10</v>
      </c>
      <c r="I290" s="13">
        <v>39286.535267811203</v>
      </c>
      <c r="L290" s="10">
        <v>2018</v>
      </c>
      <c r="M290" s="10">
        <v>1</v>
      </c>
      <c r="N290" s="18">
        <v>38258.888613967298</v>
      </c>
      <c r="Q290" s="15">
        <v>2018</v>
      </c>
      <c r="R290" s="15">
        <v>1</v>
      </c>
      <c r="S290" s="15">
        <v>40195.367490108998</v>
      </c>
      <c r="U290" s="15">
        <v>2018</v>
      </c>
      <c r="V290" s="15">
        <v>1</v>
      </c>
      <c r="W290" s="15">
        <v>39504.6922286677</v>
      </c>
      <c r="Z290" s="15">
        <v>2018</v>
      </c>
      <c r="AA290" s="15">
        <v>1</v>
      </c>
      <c r="AB290" s="15">
        <v>39785.683989984303</v>
      </c>
      <c r="AD290" s="18">
        <v>2018</v>
      </c>
      <c r="AE290" s="18">
        <v>1</v>
      </c>
      <c r="AF290" s="18">
        <v>39734.1735912109</v>
      </c>
      <c r="AH290" s="10">
        <v>2018</v>
      </c>
      <c r="AI290" s="10">
        <v>1</v>
      </c>
      <c r="AJ290" s="18">
        <v>39728.7289953988</v>
      </c>
      <c r="AL290" s="15">
        <v>2018</v>
      </c>
      <c r="AM290" s="15">
        <v>1</v>
      </c>
      <c r="AN290" s="15">
        <v>39712.876378280598</v>
      </c>
      <c r="AQ290" s="18">
        <v>2018</v>
      </c>
      <c r="AR290" s="18">
        <v>1</v>
      </c>
      <c r="AS290" s="18">
        <v>39700.758032236299</v>
      </c>
      <c r="AU290" s="10">
        <v>2018</v>
      </c>
      <c r="AV290" s="10">
        <v>1</v>
      </c>
      <c r="AW290" s="15">
        <v>39621.722358624102</v>
      </c>
      <c r="AY290" s="15">
        <v>2018</v>
      </c>
      <c r="AZ290" s="15">
        <v>1</v>
      </c>
      <c r="BA290" s="15">
        <v>39628.525808712096</v>
      </c>
      <c r="BC290" s="15">
        <v>2018</v>
      </c>
      <c r="BD290" s="15">
        <v>1</v>
      </c>
      <c r="BE290" s="15">
        <v>39612.804863234902</v>
      </c>
      <c r="BG290" s="15">
        <v>2018</v>
      </c>
      <c r="BH290" s="15">
        <v>1</v>
      </c>
      <c r="BI290" s="15">
        <v>39606.733449323903</v>
      </c>
    </row>
    <row r="291" spans="1:61" x14ac:dyDescent="0.25">
      <c r="A291" s="10">
        <v>2018</v>
      </c>
      <c r="B291" s="10">
        <v>2</v>
      </c>
      <c r="C291" s="11">
        <v>42299.885134698401</v>
      </c>
      <c r="G291" s="7">
        <v>2017</v>
      </c>
      <c r="H291" s="7">
        <v>11</v>
      </c>
      <c r="I291" s="13">
        <v>39738.073038745802</v>
      </c>
      <c r="L291" s="10">
        <v>2018</v>
      </c>
      <c r="M291" s="10">
        <v>2</v>
      </c>
      <c r="N291" s="18">
        <v>41327.570893258802</v>
      </c>
      <c r="Q291" s="15">
        <v>2018</v>
      </c>
      <c r="R291" s="15">
        <v>2</v>
      </c>
      <c r="S291" s="15">
        <v>41321.6500419289</v>
      </c>
      <c r="U291" s="15">
        <v>2018</v>
      </c>
      <c r="V291" s="15">
        <v>2</v>
      </c>
      <c r="W291" s="15">
        <v>42066.101606420598</v>
      </c>
      <c r="Z291" s="15">
        <v>2018</v>
      </c>
      <c r="AA291" s="15">
        <v>2</v>
      </c>
      <c r="AB291" s="15">
        <v>42344.945172628701</v>
      </c>
      <c r="AD291" s="18">
        <v>2018</v>
      </c>
      <c r="AE291" s="18">
        <v>2</v>
      </c>
      <c r="AF291" s="18">
        <v>42485.3489692445</v>
      </c>
      <c r="AH291" s="10">
        <v>2018</v>
      </c>
      <c r="AI291" s="10">
        <v>2</v>
      </c>
      <c r="AJ291" s="18">
        <v>42484.325185514601</v>
      </c>
      <c r="AL291" s="15">
        <v>2018</v>
      </c>
      <c r="AM291" s="15">
        <v>2</v>
      </c>
      <c r="AN291" s="15">
        <v>42421.984508610403</v>
      </c>
      <c r="AQ291" s="18">
        <v>2018</v>
      </c>
      <c r="AR291" s="18">
        <v>2</v>
      </c>
      <c r="AS291" s="18">
        <v>42369.453008944998</v>
      </c>
      <c r="AU291" s="10">
        <v>2018</v>
      </c>
      <c r="AV291" s="10">
        <v>2</v>
      </c>
      <c r="AW291" s="15">
        <v>42339.5042064956</v>
      </c>
      <c r="AY291" s="15">
        <v>2018</v>
      </c>
      <c r="AZ291" s="15">
        <v>2</v>
      </c>
      <c r="BA291" s="15">
        <v>42351.759488403601</v>
      </c>
      <c r="BC291" s="15">
        <v>2018</v>
      </c>
      <c r="BD291" s="15">
        <v>2</v>
      </c>
      <c r="BE291" s="15">
        <v>42367.607345449898</v>
      </c>
      <c r="BG291" s="15">
        <v>2018</v>
      </c>
      <c r="BH291" s="15">
        <v>2</v>
      </c>
      <c r="BI291" s="15">
        <v>42344.328982915104</v>
      </c>
    </row>
    <row r="292" spans="1:61" x14ac:dyDescent="0.25">
      <c r="A292" s="10">
        <v>2018</v>
      </c>
      <c r="B292" s="10">
        <v>3</v>
      </c>
      <c r="C292" s="11">
        <v>45864.138550974298</v>
      </c>
      <c r="G292" s="7">
        <v>2017</v>
      </c>
      <c r="H292" s="7">
        <v>12</v>
      </c>
      <c r="I292" s="13">
        <v>43432.7369089114</v>
      </c>
      <c r="L292" s="10">
        <v>2018</v>
      </c>
      <c r="M292" s="10">
        <v>3</v>
      </c>
      <c r="N292" s="18">
        <v>46516.069480386897</v>
      </c>
      <c r="Q292" s="15">
        <v>2018</v>
      </c>
      <c r="R292" s="15">
        <v>3</v>
      </c>
      <c r="S292" s="15">
        <v>45420.612395637399</v>
      </c>
      <c r="U292" s="15">
        <v>2018</v>
      </c>
      <c r="V292" s="15">
        <v>3</v>
      </c>
      <c r="W292" s="15">
        <v>46003.143608881102</v>
      </c>
      <c r="Z292" s="15">
        <v>2018</v>
      </c>
      <c r="AA292" s="15">
        <v>3</v>
      </c>
      <c r="AB292" s="15">
        <v>45959.769833493498</v>
      </c>
      <c r="AD292" s="18">
        <v>2018</v>
      </c>
      <c r="AE292" s="18">
        <v>3</v>
      </c>
      <c r="AF292" s="18">
        <v>45940.6291536145</v>
      </c>
      <c r="AH292" s="10">
        <v>2018</v>
      </c>
      <c r="AI292" s="10">
        <v>3</v>
      </c>
      <c r="AJ292" s="18">
        <v>45940.561017539098</v>
      </c>
      <c r="AL292" s="15">
        <v>2018</v>
      </c>
      <c r="AM292" s="15">
        <v>3</v>
      </c>
      <c r="AN292" s="15">
        <v>45941.357443513101</v>
      </c>
      <c r="AQ292" s="18">
        <v>2018</v>
      </c>
      <c r="AR292" s="18">
        <v>3</v>
      </c>
      <c r="AS292" s="18">
        <v>45938.053314374003</v>
      </c>
      <c r="AU292" s="10">
        <v>2018</v>
      </c>
      <c r="AV292" s="10">
        <v>3</v>
      </c>
      <c r="AW292" s="15">
        <v>45895.253133666803</v>
      </c>
      <c r="AY292" s="15">
        <v>2018</v>
      </c>
      <c r="AZ292" s="15">
        <v>3</v>
      </c>
      <c r="BA292" s="15">
        <v>45893.205890958001</v>
      </c>
      <c r="BC292" s="15">
        <v>2018</v>
      </c>
      <c r="BD292" s="15">
        <v>3</v>
      </c>
      <c r="BE292" s="15">
        <v>45887.079571984999</v>
      </c>
      <c r="BG292" s="15">
        <v>2018</v>
      </c>
      <c r="BH292" s="15">
        <v>3</v>
      </c>
      <c r="BI292" s="15">
        <v>45889.807022965702</v>
      </c>
    </row>
    <row r="293" spans="1:61" x14ac:dyDescent="0.25">
      <c r="A293" s="10">
        <v>2018</v>
      </c>
      <c r="B293" s="10">
        <v>4</v>
      </c>
      <c r="C293" s="11">
        <v>43440.993148208399</v>
      </c>
      <c r="G293" s="7">
        <v>2018</v>
      </c>
      <c r="H293" s="7">
        <v>1</v>
      </c>
      <c r="I293" s="13">
        <v>39510.232967039599</v>
      </c>
      <c r="L293" s="10">
        <v>2018</v>
      </c>
      <c r="M293" s="10">
        <v>4</v>
      </c>
      <c r="N293" s="18">
        <v>44975.584670571698</v>
      </c>
      <c r="Q293" s="15">
        <v>2018</v>
      </c>
      <c r="R293" s="15">
        <v>4</v>
      </c>
      <c r="S293" s="15">
        <v>44451.110175661401</v>
      </c>
      <c r="U293" s="15">
        <v>2018</v>
      </c>
      <c r="V293" s="15">
        <v>4</v>
      </c>
      <c r="W293" s="15">
        <v>45006.306460512402</v>
      </c>
      <c r="Z293" s="15">
        <v>2018</v>
      </c>
      <c r="AA293" s="15">
        <v>4</v>
      </c>
      <c r="AB293" s="15">
        <v>44965.613397066903</v>
      </c>
      <c r="AD293" s="18">
        <v>2018</v>
      </c>
      <c r="AE293" s="18">
        <v>4</v>
      </c>
      <c r="AF293" s="18">
        <v>44983.259781256304</v>
      </c>
      <c r="AH293" s="10">
        <v>2018</v>
      </c>
      <c r="AI293" s="10">
        <v>4</v>
      </c>
      <c r="AJ293" s="18">
        <v>44998.202053320601</v>
      </c>
      <c r="AL293" s="15">
        <v>2018</v>
      </c>
      <c r="AM293" s="15">
        <v>4</v>
      </c>
      <c r="AN293" s="15">
        <v>44951.203908943397</v>
      </c>
      <c r="AQ293" s="18">
        <v>2018</v>
      </c>
      <c r="AR293" s="18">
        <v>4</v>
      </c>
      <c r="AS293" s="18">
        <v>44908.125514647101</v>
      </c>
      <c r="AU293" s="10">
        <v>2018</v>
      </c>
      <c r="AV293" s="10">
        <v>4</v>
      </c>
      <c r="AW293" s="15">
        <v>44916.776240570398</v>
      </c>
      <c r="AY293" s="15">
        <v>2018</v>
      </c>
      <c r="AZ293" s="15">
        <v>4</v>
      </c>
      <c r="BA293" s="15">
        <v>44936.757210610202</v>
      </c>
      <c r="BC293" s="15">
        <v>2018</v>
      </c>
      <c r="BD293" s="15">
        <v>4</v>
      </c>
      <c r="BE293" s="15">
        <v>44956.638121903597</v>
      </c>
      <c r="BG293" s="15">
        <v>2018</v>
      </c>
      <c r="BH293" s="15">
        <v>4</v>
      </c>
      <c r="BI293" s="15">
        <v>44955.879683213898</v>
      </c>
    </row>
    <row r="294" spans="1:61" x14ac:dyDescent="0.25">
      <c r="A294" s="10">
        <v>2018</v>
      </c>
      <c r="B294" s="10">
        <v>5</v>
      </c>
      <c r="C294" s="11">
        <v>42171.064001797196</v>
      </c>
      <c r="G294" s="7">
        <v>2018</v>
      </c>
      <c r="H294" s="7">
        <v>2</v>
      </c>
      <c r="I294" s="13">
        <v>41581.193436924099</v>
      </c>
      <c r="L294" s="10">
        <v>2018</v>
      </c>
      <c r="M294" s="10">
        <v>5</v>
      </c>
      <c r="N294" s="18">
        <v>43873.218283802496</v>
      </c>
      <c r="Q294" s="15">
        <v>2018</v>
      </c>
      <c r="R294" s="15">
        <v>5</v>
      </c>
      <c r="S294" s="15">
        <v>43298.031742472303</v>
      </c>
      <c r="U294" s="15">
        <v>2018</v>
      </c>
      <c r="V294" s="15">
        <v>5</v>
      </c>
      <c r="W294" s="15">
        <v>43527.642168484497</v>
      </c>
      <c r="Z294" s="15">
        <v>2018</v>
      </c>
      <c r="AA294" s="15">
        <v>5</v>
      </c>
      <c r="AB294" s="15">
        <v>43474.488880329598</v>
      </c>
      <c r="AD294" s="18">
        <v>2018</v>
      </c>
      <c r="AE294" s="18">
        <v>5</v>
      </c>
      <c r="AF294" s="18">
        <v>43472.285561219403</v>
      </c>
      <c r="AH294" s="10">
        <v>2018</v>
      </c>
      <c r="AI294" s="10">
        <v>5</v>
      </c>
      <c r="AJ294" s="18">
        <v>43480.224094155201</v>
      </c>
      <c r="AL294" s="15">
        <v>2018</v>
      </c>
      <c r="AM294" s="15">
        <v>5</v>
      </c>
      <c r="AN294" s="15">
        <v>43533.810572701797</v>
      </c>
      <c r="AQ294" s="18">
        <v>2018</v>
      </c>
      <c r="AR294" s="18">
        <v>5</v>
      </c>
      <c r="AS294" s="18">
        <v>43538.2827154853</v>
      </c>
      <c r="AU294" s="10">
        <v>2018</v>
      </c>
      <c r="AV294" s="10">
        <v>5</v>
      </c>
      <c r="AW294" s="15">
        <v>43854.625064543099</v>
      </c>
      <c r="AY294" s="15">
        <v>2018</v>
      </c>
      <c r="AZ294" s="15">
        <v>5</v>
      </c>
      <c r="BA294" s="15">
        <v>43880.701361925298</v>
      </c>
      <c r="BC294" s="15">
        <v>2018</v>
      </c>
      <c r="BD294" s="15">
        <v>5</v>
      </c>
      <c r="BE294" s="15">
        <v>43880.686476483897</v>
      </c>
      <c r="BG294" s="15">
        <v>2018</v>
      </c>
      <c r="BH294" s="15">
        <v>5</v>
      </c>
      <c r="BI294" s="15">
        <v>43896.583270093797</v>
      </c>
    </row>
    <row r="295" spans="1:61" x14ac:dyDescent="0.25">
      <c r="A295" s="10">
        <v>2018</v>
      </c>
      <c r="B295" s="10">
        <v>6</v>
      </c>
      <c r="C295" s="11">
        <v>36724.148657628997</v>
      </c>
      <c r="G295" s="7">
        <v>2018</v>
      </c>
      <c r="H295" s="7">
        <v>3</v>
      </c>
      <c r="I295" s="13">
        <v>47773.331982204698</v>
      </c>
      <c r="L295" s="10">
        <v>2018</v>
      </c>
      <c r="M295" s="10">
        <v>6</v>
      </c>
      <c r="N295" s="18">
        <v>39077.134422322801</v>
      </c>
      <c r="Q295" s="15">
        <v>2018</v>
      </c>
      <c r="R295" s="15">
        <v>6</v>
      </c>
      <c r="S295" s="15">
        <v>38038.129548681303</v>
      </c>
      <c r="U295" s="15">
        <v>2018</v>
      </c>
      <c r="V295" s="15">
        <v>6</v>
      </c>
      <c r="W295" s="15">
        <v>38578.286178939998</v>
      </c>
      <c r="Z295" s="15">
        <v>2018</v>
      </c>
      <c r="AA295" s="15">
        <v>6</v>
      </c>
      <c r="AB295" s="15">
        <v>38548.6001853302</v>
      </c>
      <c r="AD295" s="18">
        <v>2018</v>
      </c>
      <c r="AE295" s="18">
        <v>6</v>
      </c>
      <c r="AF295" s="18">
        <v>38554.799349167399</v>
      </c>
      <c r="AH295" s="10">
        <v>2018</v>
      </c>
      <c r="AI295" s="10">
        <v>6</v>
      </c>
      <c r="AJ295" s="18">
        <v>38553.987418078803</v>
      </c>
      <c r="AL295" s="15">
        <v>2018</v>
      </c>
      <c r="AM295" s="15">
        <v>6</v>
      </c>
      <c r="AN295" s="15">
        <v>38564.681951579303</v>
      </c>
      <c r="AQ295" s="18">
        <v>2018</v>
      </c>
      <c r="AR295" s="18">
        <v>6</v>
      </c>
      <c r="AS295" s="18">
        <v>38581.223812970697</v>
      </c>
      <c r="AU295" s="10">
        <v>2018</v>
      </c>
      <c r="AV295" s="10">
        <v>6</v>
      </c>
      <c r="AW295" s="15">
        <v>38549.650392747302</v>
      </c>
      <c r="AY295" s="15">
        <v>2018</v>
      </c>
      <c r="AZ295" s="15">
        <v>6</v>
      </c>
      <c r="BA295" s="15">
        <v>38545.7728154141</v>
      </c>
      <c r="BC295" s="15">
        <v>2018</v>
      </c>
      <c r="BD295" s="15">
        <v>6</v>
      </c>
      <c r="BE295" s="15">
        <v>38550.488871116802</v>
      </c>
      <c r="BG295" s="15">
        <v>2018</v>
      </c>
      <c r="BH295" s="15">
        <v>6</v>
      </c>
      <c r="BI295" s="15">
        <v>38548.624795609401</v>
      </c>
    </row>
    <row r="296" spans="1:61" x14ac:dyDescent="0.25">
      <c r="A296" s="10">
        <v>2018</v>
      </c>
      <c r="B296" s="10">
        <v>7</v>
      </c>
      <c r="C296" s="11">
        <v>42043.081663448298</v>
      </c>
      <c r="G296" s="7">
        <v>2018</v>
      </c>
      <c r="H296" s="7">
        <v>4</v>
      </c>
      <c r="I296" s="13">
        <v>44806.462170201899</v>
      </c>
      <c r="L296" s="10">
        <v>2018</v>
      </c>
      <c r="M296" s="10">
        <v>7</v>
      </c>
      <c r="N296" s="18">
        <v>42541.443965536302</v>
      </c>
      <c r="Q296" s="15">
        <v>2018</v>
      </c>
      <c r="R296" s="15">
        <v>7</v>
      </c>
      <c r="S296" s="15">
        <v>42307.014794553499</v>
      </c>
      <c r="U296" s="15">
        <v>2018</v>
      </c>
      <c r="V296" s="15">
        <v>7</v>
      </c>
      <c r="W296" s="15">
        <v>42466.5248878329</v>
      </c>
      <c r="Z296" s="15">
        <v>2018</v>
      </c>
      <c r="AA296" s="15">
        <v>7</v>
      </c>
      <c r="AB296" s="15">
        <v>42419.819375934501</v>
      </c>
      <c r="AD296" s="18">
        <v>2018</v>
      </c>
      <c r="AE296" s="18">
        <v>7</v>
      </c>
      <c r="AF296" s="18">
        <v>42421.223049761502</v>
      </c>
      <c r="AH296" s="10">
        <v>2018</v>
      </c>
      <c r="AI296" s="10">
        <v>7</v>
      </c>
      <c r="AJ296" s="18">
        <v>42422.698256837</v>
      </c>
      <c r="AL296" s="15">
        <v>2018</v>
      </c>
      <c r="AM296" s="15">
        <v>7</v>
      </c>
      <c r="AN296" s="15">
        <v>42437.319165493202</v>
      </c>
      <c r="AQ296" s="18">
        <v>2018</v>
      </c>
      <c r="AR296" s="18">
        <v>7</v>
      </c>
      <c r="AS296" s="18">
        <v>42448.606682570397</v>
      </c>
      <c r="AU296" s="10">
        <v>2018</v>
      </c>
      <c r="AV296" s="10">
        <v>7</v>
      </c>
      <c r="AW296" s="15">
        <v>42417.1319150372</v>
      </c>
      <c r="AY296" s="15">
        <v>2018</v>
      </c>
      <c r="AZ296" s="15">
        <v>7</v>
      </c>
      <c r="BA296" s="15">
        <v>42411.3542119384</v>
      </c>
      <c r="BC296" s="15">
        <v>2018</v>
      </c>
      <c r="BD296" s="15">
        <v>7</v>
      </c>
      <c r="BE296" s="15">
        <v>42410.460020193299</v>
      </c>
      <c r="BG296" s="15">
        <v>2018</v>
      </c>
      <c r="BH296" s="15">
        <v>7</v>
      </c>
      <c r="BI296" s="15">
        <v>42416.258716737902</v>
      </c>
    </row>
    <row r="297" spans="1:61" x14ac:dyDescent="0.25">
      <c r="A297" s="10">
        <v>2018</v>
      </c>
      <c r="B297" s="10">
        <v>8</v>
      </c>
      <c r="C297" s="11">
        <v>42456.156403510002</v>
      </c>
      <c r="G297" s="7">
        <v>2018</v>
      </c>
      <c r="H297" s="7">
        <v>5</v>
      </c>
      <c r="I297" s="13">
        <v>43710.731396012598</v>
      </c>
      <c r="L297" s="10">
        <v>2018</v>
      </c>
      <c r="M297" s="10">
        <v>8</v>
      </c>
      <c r="N297" s="18">
        <v>42480.906685977599</v>
      </c>
      <c r="Q297" s="15">
        <v>2018</v>
      </c>
      <c r="R297" s="15">
        <v>8</v>
      </c>
      <c r="S297" s="15">
        <v>42463.869603309598</v>
      </c>
      <c r="U297" s="15">
        <v>2018</v>
      </c>
      <c r="V297" s="15">
        <v>8</v>
      </c>
      <c r="W297" s="15">
        <v>42327.915338292099</v>
      </c>
      <c r="Z297" s="15">
        <v>2018</v>
      </c>
      <c r="AA297" s="15">
        <v>8</v>
      </c>
      <c r="AB297" s="15">
        <v>42266.047443950498</v>
      </c>
      <c r="AD297" s="18">
        <v>2018</v>
      </c>
      <c r="AE297" s="18">
        <v>8</v>
      </c>
      <c r="AF297" s="18">
        <v>42255.780433625499</v>
      </c>
      <c r="AH297" s="10">
        <v>2018</v>
      </c>
      <c r="AI297" s="10">
        <v>8</v>
      </c>
      <c r="AJ297" s="18">
        <v>42261.817352450598</v>
      </c>
      <c r="AL297" s="15">
        <v>2018</v>
      </c>
      <c r="AM297" s="15">
        <v>8</v>
      </c>
      <c r="AN297" s="15">
        <v>42280.861548385401</v>
      </c>
      <c r="AQ297" s="18">
        <v>2018</v>
      </c>
      <c r="AR297" s="18">
        <v>8</v>
      </c>
      <c r="AS297" s="18">
        <v>42277.207935841499</v>
      </c>
      <c r="AU297" s="10">
        <v>2018</v>
      </c>
      <c r="AV297" s="10">
        <v>8</v>
      </c>
      <c r="AW297" s="15">
        <v>42217.292376440499</v>
      </c>
      <c r="AY297" s="15">
        <v>2018</v>
      </c>
      <c r="AZ297" s="15">
        <v>8</v>
      </c>
      <c r="BA297" s="15">
        <v>42215.734472060802</v>
      </c>
      <c r="BC297" s="15">
        <v>2018</v>
      </c>
      <c r="BD297" s="15">
        <v>8</v>
      </c>
      <c r="BE297" s="15">
        <v>42206.674412064298</v>
      </c>
      <c r="BG297" s="15">
        <v>2018</v>
      </c>
      <c r="BH297" s="15">
        <v>8</v>
      </c>
      <c r="BI297" s="15">
        <v>42220.842637195397</v>
      </c>
    </row>
    <row r="298" spans="1:61" x14ac:dyDescent="0.25">
      <c r="A298" s="10">
        <v>2018</v>
      </c>
      <c r="B298" s="10">
        <v>9</v>
      </c>
      <c r="C298" s="11">
        <v>34537.972189299202</v>
      </c>
      <c r="G298" s="7">
        <v>2018</v>
      </c>
      <c r="H298" s="7">
        <v>6</v>
      </c>
      <c r="I298" s="13">
        <v>37480.578041207998</v>
      </c>
      <c r="L298" s="10">
        <v>2018</v>
      </c>
      <c r="M298" s="10">
        <v>9</v>
      </c>
      <c r="N298" s="18">
        <v>34001.859059821101</v>
      </c>
      <c r="Q298" s="15">
        <v>2018</v>
      </c>
      <c r="R298" s="15">
        <v>9</v>
      </c>
      <c r="S298" s="15">
        <v>34133.047097643503</v>
      </c>
      <c r="U298" s="15">
        <v>2018</v>
      </c>
      <c r="V298" s="15">
        <v>9</v>
      </c>
      <c r="W298" s="15">
        <v>33915.852418672002</v>
      </c>
      <c r="Z298" s="15">
        <v>2018</v>
      </c>
      <c r="AA298" s="15">
        <v>9</v>
      </c>
      <c r="AB298" s="15">
        <v>33818.966820104702</v>
      </c>
      <c r="AD298" s="18">
        <v>2018</v>
      </c>
      <c r="AE298" s="18">
        <v>9</v>
      </c>
      <c r="AF298" s="18">
        <v>33829.560056735201</v>
      </c>
      <c r="AH298" s="10">
        <v>2018</v>
      </c>
      <c r="AI298" s="10">
        <v>9</v>
      </c>
      <c r="AJ298" s="18">
        <v>33823.056816290104</v>
      </c>
      <c r="AL298" s="15">
        <v>2018</v>
      </c>
      <c r="AM298" s="15">
        <v>9</v>
      </c>
      <c r="AN298" s="15">
        <v>33841.218397941702</v>
      </c>
      <c r="AQ298" s="18">
        <v>2018</v>
      </c>
      <c r="AR298" s="18">
        <v>9</v>
      </c>
      <c r="AS298" s="18">
        <v>33885.2217221217</v>
      </c>
      <c r="AU298" s="10">
        <v>2018</v>
      </c>
      <c r="AV298" s="10">
        <v>9</v>
      </c>
      <c r="AW298" s="15">
        <v>33893.818625646702</v>
      </c>
      <c r="AY298" s="15">
        <v>2018</v>
      </c>
      <c r="AZ298" s="15">
        <v>9</v>
      </c>
      <c r="BA298" s="15">
        <v>33869.495169570699</v>
      </c>
      <c r="BC298" s="15">
        <v>2018</v>
      </c>
      <c r="BD298" s="15">
        <v>9</v>
      </c>
      <c r="BE298" s="15">
        <v>33872.951296464104</v>
      </c>
      <c r="BG298" s="15">
        <v>2018</v>
      </c>
      <c r="BH298" s="15">
        <v>9</v>
      </c>
      <c r="BI298" s="15">
        <v>33868.712714983798</v>
      </c>
    </row>
    <row r="299" spans="1:61" x14ac:dyDescent="0.25">
      <c r="A299" s="10">
        <v>2018</v>
      </c>
      <c r="B299" s="10">
        <v>10</v>
      </c>
      <c r="C299" s="11">
        <v>33573.240883102197</v>
      </c>
      <c r="G299" s="7">
        <v>2018</v>
      </c>
      <c r="H299" s="7">
        <v>7</v>
      </c>
      <c r="I299" s="13">
        <v>40963.377345196299</v>
      </c>
      <c r="L299" s="10">
        <v>2018</v>
      </c>
      <c r="M299" s="10">
        <v>10</v>
      </c>
      <c r="N299" s="18">
        <v>33391.517245884002</v>
      </c>
      <c r="Q299" s="15">
        <v>2018</v>
      </c>
      <c r="R299" s="15">
        <v>10</v>
      </c>
      <c r="S299" s="15">
        <v>33767.342127164498</v>
      </c>
      <c r="U299" s="15">
        <v>2018</v>
      </c>
      <c r="V299" s="15">
        <v>10</v>
      </c>
      <c r="W299" s="15">
        <v>33380.781631133199</v>
      </c>
      <c r="Z299" s="15">
        <v>2018</v>
      </c>
      <c r="AA299" s="15">
        <v>10</v>
      </c>
      <c r="AB299" s="15">
        <v>33204.5636403018</v>
      </c>
      <c r="AD299" s="18">
        <v>2018</v>
      </c>
      <c r="AE299" s="18">
        <v>10</v>
      </c>
      <c r="AF299" s="18">
        <v>33189.289022220401</v>
      </c>
      <c r="AH299" s="10">
        <v>2018</v>
      </c>
      <c r="AI299" s="10">
        <v>10</v>
      </c>
      <c r="AJ299" s="18">
        <v>33188.481426343402</v>
      </c>
      <c r="AL299" s="15">
        <v>2018</v>
      </c>
      <c r="AM299" s="15">
        <v>10</v>
      </c>
      <c r="AN299" s="15">
        <v>33212.166387597397</v>
      </c>
      <c r="AQ299" s="18">
        <v>2018</v>
      </c>
      <c r="AR299" s="18">
        <v>10</v>
      </c>
      <c r="AS299" s="18">
        <v>33232.819102597801</v>
      </c>
      <c r="AU299" s="10">
        <v>2018</v>
      </c>
      <c r="AV299" s="10">
        <v>10</v>
      </c>
      <c r="AW299" s="15">
        <v>33197.5550867356</v>
      </c>
      <c r="AY299" s="15">
        <v>2018</v>
      </c>
      <c r="AZ299" s="15">
        <v>10</v>
      </c>
      <c r="BA299" s="15">
        <v>33180.649743735303</v>
      </c>
      <c r="BC299" s="15">
        <v>2018</v>
      </c>
      <c r="BD299" s="15">
        <v>10</v>
      </c>
      <c r="BE299" s="15">
        <v>33170.595843574003</v>
      </c>
      <c r="BG299" s="15">
        <v>2018</v>
      </c>
      <c r="BH299" s="15">
        <v>10</v>
      </c>
      <c r="BI299" s="15">
        <v>33176.789202941902</v>
      </c>
    </row>
    <row r="300" spans="1:61" x14ac:dyDescent="0.25">
      <c r="A300" s="10">
        <v>2018</v>
      </c>
      <c r="B300" s="10">
        <v>11</v>
      </c>
      <c r="C300" s="11">
        <v>32696.872597932699</v>
      </c>
      <c r="G300" s="7">
        <v>2018</v>
      </c>
      <c r="H300" s="7">
        <v>8</v>
      </c>
      <c r="I300" s="13">
        <v>41097.505013789298</v>
      </c>
      <c r="L300" s="10">
        <v>2018</v>
      </c>
      <c r="M300" s="10">
        <v>11</v>
      </c>
      <c r="N300" s="18">
        <v>31428.653353081099</v>
      </c>
      <c r="Q300" s="15">
        <v>2018</v>
      </c>
      <c r="R300" s="15">
        <v>11</v>
      </c>
      <c r="S300" s="15">
        <v>32234.555476818499</v>
      </c>
      <c r="U300" s="15">
        <v>2018</v>
      </c>
      <c r="V300" s="15">
        <v>11</v>
      </c>
      <c r="W300" s="15">
        <v>31219.604300453899</v>
      </c>
      <c r="Z300" s="15">
        <v>2018</v>
      </c>
      <c r="AA300" s="15">
        <v>11</v>
      </c>
      <c r="AB300" s="15">
        <v>31160.7347215993</v>
      </c>
      <c r="AD300" s="18">
        <v>2018</v>
      </c>
      <c r="AE300" s="18">
        <v>11</v>
      </c>
      <c r="AF300" s="18">
        <v>31136.4016176103</v>
      </c>
      <c r="AH300" s="10">
        <v>2018</v>
      </c>
      <c r="AI300" s="10">
        <v>11</v>
      </c>
      <c r="AJ300" s="18">
        <v>31136.130131990099</v>
      </c>
      <c r="AL300" s="15">
        <v>2018</v>
      </c>
      <c r="AM300" s="15">
        <v>11</v>
      </c>
      <c r="AN300" s="15">
        <v>31152.6485243436</v>
      </c>
      <c r="AQ300" s="18">
        <v>2018</v>
      </c>
      <c r="AR300" s="18">
        <v>11</v>
      </c>
      <c r="AS300" s="18">
        <v>31158.4347193506</v>
      </c>
      <c r="AU300" s="10">
        <v>2018</v>
      </c>
      <c r="AV300" s="10">
        <v>11</v>
      </c>
      <c r="AW300" s="15">
        <v>31098.320941247501</v>
      </c>
      <c r="AY300" s="15">
        <v>2018</v>
      </c>
      <c r="AZ300" s="15">
        <v>11</v>
      </c>
      <c r="BA300" s="15">
        <v>31086.441095592902</v>
      </c>
      <c r="BC300" s="15">
        <v>2018</v>
      </c>
      <c r="BD300" s="15">
        <v>11</v>
      </c>
      <c r="BE300" s="15">
        <v>31070.328571214701</v>
      </c>
      <c r="BG300" s="15">
        <v>2018</v>
      </c>
      <c r="BH300" s="15">
        <v>11</v>
      </c>
      <c r="BI300" s="15">
        <v>31079.023641307602</v>
      </c>
    </row>
    <row r="301" spans="1:61" x14ac:dyDescent="0.25">
      <c r="A301" s="10">
        <v>2018</v>
      </c>
      <c r="B301" s="10">
        <v>12</v>
      </c>
      <c r="C301" s="11">
        <v>31206.8015633945</v>
      </c>
      <c r="G301" s="7">
        <v>2018</v>
      </c>
      <c r="H301" s="7">
        <v>9</v>
      </c>
      <c r="I301" s="13">
        <v>34017.959772270202</v>
      </c>
      <c r="L301" s="10">
        <v>2018</v>
      </c>
      <c r="M301" s="10">
        <v>12</v>
      </c>
      <c r="N301" s="18">
        <v>28876.450928904698</v>
      </c>
      <c r="Q301" s="15">
        <v>2018</v>
      </c>
      <c r="R301" s="15">
        <v>12</v>
      </c>
      <c r="S301" s="15">
        <v>28426.592613652501</v>
      </c>
      <c r="U301" s="15">
        <v>2018</v>
      </c>
      <c r="V301" s="15">
        <v>12</v>
      </c>
      <c r="W301" s="15">
        <v>28433.6698438151</v>
      </c>
      <c r="Z301" s="15">
        <v>2018</v>
      </c>
      <c r="AA301" s="15">
        <v>12</v>
      </c>
      <c r="AB301" s="15">
        <v>28413.763637852</v>
      </c>
      <c r="AD301" s="18">
        <v>2018</v>
      </c>
      <c r="AE301" s="18">
        <v>12</v>
      </c>
      <c r="AF301" s="18">
        <v>28396.264983833498</v>
      </c>
      <c r="AH301" s="10">
        <v>2018</v>
      </c>
      <c r="AI301" s="10">
        <v>12</v>
      </c>
      <c r="AJ301" s="18">
        <v>28384.9999423589</v>
      </c>
      <c r="AL301" s="15">
        <v>2018</v>
      </c>
      <c r="AM301" s="15">
        <v>12</v>
      </c>
      <c r="AN301" s="15">
        <v>28389.2707267203</v>
      </c>
      <c r="AQ301" s="18">
        <v>2018</v>
      </c>
      <c r="AR301" s="18">
        <v>12</v>
      </c>
      <c r="AS301" s="18">
        <v>28422.7247577577</v>
      </c>
      <c r="AU301" s="10">
        <v>2018</v>
      </c>
      <c r="AV301" s="10">
        <v>12</v>
      </c>
      <c r="AW301" s="15">
        <v>28402.8502704237</v>
      </c>
      <c r="AY301" s="15">
        <v>2018</v>
      </c>
      <c r="AZ301" s="15">
        <v>12</v>
      </c>
      <c r="BA301" s="15">
        <v>28377.7579503874</v>
      </c>
      <c r="BC301" s="15">
        <v>2018</v>
      </c>
      <c r="BD301" s="15">
        <v>12</v>
      </c>
      <c r="BE301" s="15">
        <v>28372.452807317299</v>
      </c>
      <c r="BG301" s="15">
        <v>2018</v>
      </c>
      <c r="BH301" s="15">
        <v>12</v>
      </c>
      <c r="BI301" s="15">
        <v>28365.328818344198</v>
      </c>
    </row>
    <row r="302" spans="1:61" x14ac:dyDescent="0.25">
      <c r="A302" s="10">
        <v>2019</v>
      </c>
      <c r="B302" s="10">
        <v>1</v>
      </c>
      <c r="C302" s="11">
        <v>32138.774799860301</v>
      </c>
      <c r="G302" s="7">
        <v>2018</v>
      </c>
      <c r="H302" s="7">
        <v>10</v>
      </c>
      <c r="I302" s="13">
        <v>32992.629982810198</v>
      </c>
      <c r="L302" s="10">
        <v>2019</v>
      </c>
      <c r="M302" s="10">
        <v>1</v>
      </c>
      <c r="N302" s="18">
        <v>29386.383739750399</v>
      </c>
      <c r="Q302" s="15">
        <v>2019</v>
      </c>
      <c r="R302" s="15">
        <v>1</v>
      </c>
      <c r="S302" s="15">
        <v>32834.370073261598</v>
      </c>
      <c r="U302" s="15">
        <v>2019</v>
      </c>
      <c r="V302" s="15">
        <v>1</v>
      </c>
      <c r="W302" s="15">
        <v>32062.687885543</v>
      </c>
      <c r="Z302" s="15">
        <v>2019</v>
      </c>
      <c r="AA302" s="15">
        <v>1</v>
      </c>
      <c r="AB302" s="15">
        <v>32455.0287387221</v>
      </c>
      <c r="AD302" s="18">
        <v>2019</v>
      </c>
      <c r="AE302" s="18">
        <v>1</v>
      </c>
      <c r="AF302" s="18">
        <v>32397.905593502899</v>
      </c>
      <c r="AH302" s="10">
        <v>2019</v>
      </c>
      <c r="AI302" s="10">
        <v>1</v>
      </c>
      <c r="AJ302" s="18">
        <v>32386.270783285701</v>
      </c>
      <c r="AL302" s="15">
        <v>2019</v>
      </c>
      <c r="AM302" s="15">
        <v>1</v>
      </c>
      <c r="AN302" s="15">
        <v>32352.826882983401</v>
      </c>
      <c r="AQ302" s="18">
        <v>2019</v>
      </c>
      <c r="AR302" s="18">
        <v>1</v>
      </c>
      <c r="AS302" s="18">
        <v>32336.054328829101</v>
      </c>
      <c r="AU302" s="10">
        <v>2019</v>
      </c>
      <c r="AV302" s="10">
        <v>1</v>
      </c>
      <c r="AW302" s="15">
        <v>32248.1949796894</v>
      </c>
      <c r="AY302" s="15">
        <v>2019</v>
      </c>
      <c r="AZ302" s="15">
        <v>1</v>
      </c>
      <c r="BA302" s="15">
        <v>32254.914375600401</v>
      </c>
      <c r="BC302" s="15">
        <v>2019</v>
      </c>
      <c r="BD302" s="15">
        <v>1</v>
      </c>
      <c r="BE302" s="15">
        <v>32235.1231986569</v>
      </c>
      <c r="BG302" s="15">
        <v>2019</v>
      </c>
      <c r="BH302" s="15">
        <v>1</v>
      </c>
      <c r="BI302" s="15">
        <v>32218.071878127499</v>
      </c>
    </row>
    <row r="303" spans="1:61" x14ac:dyDescent="0.25">
      <c r="A303" s="10">
        <v>2019</v>
      </c>
      <c r="B303" s="10">
        <v>2</v>
      </c>
      <c r="C303" s="11">
        <v>35645.561070031603</v>
      </c>
      <c r="G303" s="7">
        <v>2018</v>
      </c>
      <c r="H303" s="7">
        <v>11</v>
      </c>
      <c r="I303" s="13">
        <v>31966.598058760399</v>
      </c>
      <c r="L303" s="10">
        <v>2019</v>
      </c>
      <c r="M303" s="10">
        <v>2</v>
      </c>
      <c r="N303" s="18">
        <v>34792.655394510497</v>
      </c>
      <c r="Q303" s="15">
        <v>2019</v>
      </c>
      <c r="R303" s="15">
        <v>2</v>
      </c>
      <c r="S303" s="15">
        <v>34671.512782071703</v>
      </c>
      <c r="U303" s="15">
        <v>2019</v>
      </c>
      <c r="V303" s="15">
        <v>2</v>
      </c>
      <c r="W303" s="15">
        <v>35373.713214777701</v>
      </c>
      <c r="Z303" s="15">
        <v>2019</v>
      </c>
      <c r="AA303" s="15">
        <v>2</v>
      </c>
      <c r="AB303" s="15">
        <v>35687.959684050002</v>
      </c>
      <c r="AD303" s="18">
        <v>2019</v>
      </c>
      <c r="AE303" s="18">
        <v>2</v>
      </c>
      <c r="AF303" s="18">
        <v>35816.1543201698</v>
      </c>
      <c r="AH303" s="10">
        <v>2019</v>
      </c>
      <c r="AI303" s="10">
        <v>2</v>
      </c>
      <c r="AJ303" s="18">
        <v>35809.345786084697</v>
      </c>
      <c r="AL303" s="15">
        <v>2019</v>
      </c>
      <c r="AM303" s="15">
        <v>2</v>
      </c>
      <c r="AN303" s="15">
        <v>35717.377098705198</v>
      </c>
      <c r="AQ303" s="18">
        <v>2019</v>
      </c>
      <c r="AR303" s="18">
        <v>2</v>
      </c>
      <c r="AS303" s="18">
        <v>35643.142491725899</v>
      </c>
      <c r="AU303" s="10">
        <v>2019</v>
      </c>
      <c r="AV303" s="10">
        <v>2</v>
      </c>
      <c r="AW303" s="15">
        <v>35617.140644498999</v>
      </c>
      <c r="AY303" s="15">
        <v>2019</v>
      </c>
      <c r="AZ303" s="15">
        <v>2</v>
      </c>
      <c r="BA303" s="15">
        <v>35641.449338861603</v>
      </c>
      <c r="BC303" s="15">
        <v>2019</v>
      </c>
      <c r="BD303" s="15">
        <v>2</v>
      </c>
      <c r="BE303" s="15">
        <v>35661.280764311101</v>
      </c>
      <c r="BG303" s="15">
        <v>2019</v>
      </c>
      <c r="BH303" s="15">
        <v>2</v>
      </c>
      <c r="BI303" s="15">
        <v>35629.7662425007</v>
      </c>
    </row>
    <row r="304" spans="1:61" x14ac:dyDescent="0.25">
      <c r="A304" s="10">
        <v>2019</v>
      </c>
      <c r="B304" s="10">
        <v>3</v>
      </c>
      <c r="C304" s="11">
        <v>26726.661393315098</v>
      </c>
      <c r="G304" s="7">
        <v>2018</v>
      </c>
      <c r="H304" s="7">
        <v>12</v>
      </c>
      <c r="I304" s="13">
        <v>30488.935946358499</v>
      </c>
      <c r="L304" s="10">
        <v>2019</v>
      </c>
      <c r="M304" s="10">
        <v>3</v>
      </c>
      <c r="N304" s="18">
        <v>27489.5680748179</v>
      </c>
      <c r="Q304" s="15">
        <v>2019</v>
      </c>
      <c r="R304" s="15">
        <v>3</v>
      </c>
      <c r="S304" s="15">
        <v>25656.358567884701</v>
      </c>
      <c r="U304" s="15">
        <v>2019</v>
      </c>
      <c r="V304" s="15">
        <v>3</v>
      </c>
      <c r="W304" s="15">
        <v>26559.658277861701</v>
      </c>
      <c r="Z304" s="15">
        <v>2019</v>
      </c>
      <c r="AA304" s="15">
        <v>3</v>
      </c>
      <c r="AB304" s="15">
        <v>26554.5081853968</v>
      </c>
      <c r="AD304" s="18">
        <v>2019</v>
      </c>
      <c r="AE304" s="18">
        <v>3</v>
      </c>
      <c r="AF304" s="18">
        <v>26556.951093655702</v>
      </c>
      <c r="AH304" s="10">
        <v>2019</v>
      </c>
      <c r="AI304" s="10">
        <v>3</v>
      </c>
      <c r="AJ304" s="18">
        <v>26548.874397491501</v>
      </c>
      <c r="AL304" s="15">
        <v>2019</v>
      </c>
      <c r="AM304" s="15">
        <v>3</v>
      </c>
      <c r="AN304" s="15">
        <v>26547.1905585559</v>
      </c>
      <c r="AQ304" s="18">
        <v>2019</v>
      </c>
      <c r="AR304" s="18">
        <v>3</v>
      </c>
      <c r="AS304" s="18">
        <v>26565.124340513699</v>
      </c>
      <c r="AU304" s="10">
        <v>2019</v>
      </c>
      <c r="AV304" s="10">
        <v>3</v>
      </c>
      <c r="AW304" s="15">
        <v>26560.222315009501</v>
      </c>
      <c r="AY304" s="15">
        <v>2019</v>
      </c>
      <c r="AZ304" s="15">
        <v>3</v>
      </c>
      <c r="BA304" s="15">
        <v>26549.760496415998</v>
      </c>
      <c r="BC304" s="15">
        <v>2019</v>
      </c>
      <c r="BD304" s="15">
        <v>3</v>
      </c>
      <c r="BE304" s="15">
        <v>26552.917480927499</v>
      </c>
      <c r="BG304" s="15">
        <v>2019</v>
      </c>
      <c r="BH304" s="15">
        <v>3</v>
      </c>
      <c r="BI304" s="15">
        <v>26542.769305214701</v>
      </c>
    </row>
    <row r="305" spans="1:61" x14ac:dyDescent="0.25">
      <c r="A305" s="10">
        <v>2019</v>
      </c>
      <c r="B305" s="10">
        <v>4</v>
      </c>
      <c r="C305" s="11">
        <v>26481.094920324402</v>
      </c>
      <c r="G305" s="7">
        <v>2019</v>
      </c>
      <c r="H305" s="7">
        <v>1</v>
      </c>
      <c r="I305" s="13">
        <v>31326.767222153401</v>
      </c>
      <c r="L305" s="10">
        <v>2019</v>
      </c>
      <c r="M305" s="10">
        <v>4</v>
      </c>
      <c r="N305" s="18">
        <v>28808.165509022299</v>
      </c>
      <c r="Q305" s="15">
        <v>2019</v>
      </c>
      <c r="R305" s="15">
        <v>4</v>
      </c>
      <c r="S305" s="15">
        <v>28135.579001100399</v>
      </c>
      <c r="U305" s="15">
        <v>2019</v>
      </c>
      <c r="V305" s="15">
        <v>4</v>
      </c>
      <c r="W305" s="15">
        <v>28855.990523623099</v>
      </c>
      <c r="Z305" s="15">
        <v>2019</v>
      </c>
      <c r="AA305" s="15">
        <v>4</v>
      </c>
      <c r="AB305" s="15">
        <v>28832.6641872359</v>
      </c>
      <c r="AD305" s="18">
        <v>2019</v>
      </c>
      <c r="AE305" s="18">
        <v>4</v>
      </c>
      <c r="AF305" s="18">
        <v>28859.841039739102</v>
      </c>
      <c r="AH305" s="10">
        <v>2019</v>
      </c>
      <c r="AI305" s="10">
        <v>4</v>
      </c>
      <c r="AJ305" s="18">
        <v>28894.826544475702</v>
      </c>
      <c r="AL305" s="15">
        <v>2019</v>
      </c>
      <c r="AM305" s="15">
        <v>4</v>
      </c>
      <c r="AN305" s="15">
        <v>28803.021476982402</v>
      </c>
      <c r="AQ305" s="18">
        <v>2019</v>
      </c>
      <c r="AR305" s="18">
        <v>4</v>
      </c>
      <c r="AS305" s="18">
        <v>28690.074609677598</v>
      </c>
      <c r="AU305" s="10">
        <v>2019</v>
      </c>
      <c r="AV305" s="10">
        <v>4</v>
      </c>
      <c r="AW305" s="15">
        <v>28663.154729301601</v>
      </c>
      <c r="AY305" s="15">
        <v>2019</v>
      </c>
      <c r="AZ305" s="15">
        <v>4</v>
      </c>
      <c r="BA305" s="15">
        <v>28719.038684621799</v>
      </c>
      <c r="BC305" s="15">
        <v>2019</v>
      </c>
      <c r="BD305" s="15">
        <v>4</v>
      </c>
      <c r="BE305" s="15">
        <v>28751.959986821999</v>
      </c>
      <c r="BG305" s="15">
        <v>2019</v>
      </c>
      <c r="BH305" s="15">
        <v>4</v>
      </c>
      <c r="BI305" s="15">
        <v>28757.588026006299</v>
      </c>
    </row>
    <row r="306" spans="1:61" x14ac:dyDescent="0.25">
      <c r="A306" s="10">
        <v>2019</v>
      </c>
      <c r="B306" s="10">
        <v>5</v>
      </c>
      <c r="C306" s="11">
        <v>25323.1907381577</v>
      </c>
      <c r="G306" s="7">
        <v>2019</v>
      </c>
      <c r="H306" s="7">
        <v>2</v>
      </c>
      <c r="I306" s="13">
        <v>34940.901124054399</v>
      </c>
      <c r="L306" s="10">
        <v>2019</v>
      </c>
      <c r="M306" s="10">
        <v>5</v>
      </c>
      <c r="N306" s="18">
        <v>27804.956230409702</v>
      </c>
      <c r="Q306" s="15">
        <v>2019</v>
      </c>
      <c r="R306" s="15">
        <v>5</v>
      </c>
      <c r="S306" s="15">
        <v>27083.882060076801</v>
      </c>
      <c r="U306" s="15">
        <v>2019</v>
      </c>
      <c r="V306" s="15">
        <v>5</v>
      </c>
      <c r="W306" s="15">
        <v>27299.807916004502</v>
      </c>
      <c r="Z306" s="15">
        <v>2019</v>
      </c>
      <c r="AA306" s="15">
        <v>5</v>
      </c>
      <c r="AB306" s="15">
        <v>27238.860074185101</v>
      </c>
      <c r="AD306" s="18">
        <v>2019</v>
      </c>
      <c r="AE306" s="18">
        <v>5</v>
      </c>
      <c r="AF306" s="18">
        <v>27247.8255733244</v>
      </c>
      <c r="AH306" s="10">
        <v>2019</v>
      </c>
      <c r="AI306" s="10">
        <v>5</v>
      </c>
      <c r="AJ306" s="18">
        <v>27260.495396646598</v>
      </c>
      <c r="AL306" s="15">
        <v>2019</v>
      </c>
      <c r="AM306" s="15">
        <v>5</v>
      </c>
      <c r="AN306" s="15">
        <v>27351.409580957399</v>
      </c>
      <c r="AQ306" s="18">
        <v>2019</v>
      </c>
      <c r="AR306" s="18">
        <v>5</v>
      </c>
      <c r="AS306" s="18">
        <v>27365.741105842499</v>
      </c>
      <c r="AU306" s="10">
        <v>2019</v>
      </c>
      <c r="AV306" s="10">
        <v>5</v>
      </c>
      <c r="AW306" s="15">
        <v>27845.703417160101</v>
      </c>
      <c r="AY306" s="15">
        <v>2019</v>
      </c>
      <c r="AZ306" s="15">
        <v>5</v>
      </c>
      <c r="BA306" s="15">
        <v>27890.379002643</v>
      </c>
      <c r="BC306" s="15">
        <v>2019</v>
      </c>
      <c r="BD306" s="15">
        <v>5</v>
      </c>
      <c r="BE306" s="15">
        <v>27896.741105075202</v>
      </c>
      <c r="BG306" s="15">
        <v>2019</v>
      </c>
      <c r="BH306" s="15">
        <v>5</v>
      </c>
      <c r="BI306" s="15">
        <v>27919.506207387101</v>
      </c>
    </row>
    <row r="307" spans="1:61" x14ac:dyDescent="0.25">
      <c r="A307" s="10">
        <v>2019</v>
      </c>
      <c r="B307" s="10">
        <v>6</v>
      </c>
      <c r="C307" s="11">
        <v>22962.872534965802</v>
      </c>
      <c r="G307" s="7">
        <v>2019</v>
      </c>
      <c r="H307" s="7">
        <v>3</v>
      </c>
      <c r="I307" s="13">
        <v>29450.419326015799</v>
      </c>
      <c r="L307" s="10">
        <v>2019</v>
      </c>
      <c r="M307" s="10">
        <v>6</v>
      </c>
      <c r="N307" s="18">
        <v>25961.5098073761</v>
      </c>
      <c r="Q307" s="15">
        <v>2019</v>
      </c>
      <c r="R307" s="15">
        <v>6</v>
      </c>
      <c r="S307" s="15">
        <v>24367.089981179</v>
      </c>
      <c r="U307" s="15">
        <v>2019</v>
      </c>
      <c r="V307" s="15">
        <v>6</v>
      </c>
      <c r="W307" s="15">
        <v>25045.3751674503</v>
      </c>
      <c r="Z307" s="15">
        <v>2019</v>
      </c>
      <c r="AA307" s="15">
        <v>6</v>
      </c>
      <c r="AB307" s="15">
        <v>24991.769524270199</v>
      </c>
      <c r="AD307" s="18">
        <v>2019</v>
      </c>
      <c r="AE307" s="18">
        <v>6</v>
      </c>
      <c r="AF307" s="18">
        <v>25020.284728316601</v>
      </c>
      <c r="AH307" s="10">
        <v>2019</v>
      </c>
      <c r="AI307" s="10">
        <v>6</v>
      </c>
      <c r="AJ307" s="18">
        <v>25016.5262102825</v>
      </c>
      <c r="AL307" s="15">
        <v>2019</v>
      </c>
      <c r="AM307" s="15">
        <v>6</v>
      </c>
      <c r="AN307" s="15">
        <v>25047.599216503499</v>
      </c>
      <c r="AQ307" s="18">
        <v>2019</v>
      </c>
      <c r="AR307" s="18">
        <v>6</v>
      </c>
      <c r="AS307" s="18">
        <v>25101.417151744099</v>
      </c>
      <c r="AU307" s="10">
        <v>2019</v>
      </c>
      <c r="AV307" s="10">
        <v>6</v>
      </c>
      <c r="AW307" s="15">
        <v>25080.409790347501</v>
      </c>
      <c r="AY307" s="15">
        <v>2019</v>
      </c>
      <c r="AZ307" s="15">
        <v>6</v>
      </c>
      <c r="BA307" s="15">
        <v>25067.990556035598</v>
      </c>
      <c r="BC307" s="15">
        <v>2019</v>
      </c>
      <c r="BD307" s="15">
        <v>6</v>
      </c>
      <c r="BE307" s="15">
        <v>25085.770807446399</v>
      </c>
      <c r="BG307" s="15">
        <v>2019</v>
      </c>
      <c r="BH307" s="15">
        <v>6</v>
      </c>
      <c r="BI307" s="15">
        <v>25080.904057259901</v>
      </c>
    </row>
    <row r="308" spans="1:61" x14ac:dyDescent="0.25">
      <c r="A308" s="10">
        <v>2019</v>
      </c>
      <c r="B308" s="10">
        <v>7</v>
      </c>
      <c r="C308" s="11">
        <v>20916.790887528801</v>
      </c>
      <c r="G308" s="7">
        <v>2019</v>
      </c>
      <c r="H308" s="7">
        <v>4</v>
      </c>
      <c r="I308" s="13">
        <v>28301.464235354699</v>
      </c>
      <c r="L308" s="10">
        <v>2019</v>
      </c>
      <c r="M308" s="10">
        <v>7</v>
      </c>
      <c r="N308" s="18">
        <v>21403.4950633277</v>
      </c>
      <c r="Q308" s="15">
        <v>2019</v>
      </c>
      <c r="R308" s="15">
        <v>7</v>
      </c>
      <c r="S308" s="15">
        <v>21331.742955305599</v>
      </c>
      <c r="U308" s="15">
        <v>2019</v>
      </c>
      <c r="V308" s="15">
        <v>7</v>
      </c>
      <c r="W308" s="15">
        <v>21374.1950696731</v>
      </c>
      <c r="Z308" s="15">
        <v>2019</v>
      </c>
      <c r="AA308" s="15">
        <v>7</v>
      </c>
      <c r="AB308" s="15">
        <v>21296.096441970702</v>
      </c>
      <c r="AD308" s="18">
        <v>2019</v>
      </c>
      <c r="AE308" s="18">
        <v>7</v>
      </c>
      <c r="AF308" s="18">
        <v>21291.009706295001</v>
      </c>
      <c r="AH308" s="10">
        <v>2019</v>
      </c>
      <c r="AI308" s="10">
        <v>7</v>
      </c>
      <c r="AJ308" s="18">
        <v>21301.3164649393</v>
      </c>
      <c r="AL308" s="15">
        <v>2019</v>
      </c>
      <c r="AM308" s="15">
        <v>7</v>
      </c>
      <c r="AN308" s="15">
        <v>21340.823915254499</v>
      </c>
      <c r="AQ308" s="18">
        <v>2019</v>
      </c>
      <c r="AR308" s="18">
        <v>7</v>
      </c>
      <c r="AS308" s="18">
        <v>21347.8176478688</v>
      </c>
      <c r="AU308" s="10">
        <v>2019</v>
      </c>
      <c r="AV308" s="10">
        <v>7</v>
      </c>
      <c r="AW308" s="15">
        <v>21248.967611474</v>
      </c>
      <c r="AY308" s="15">
        <v>2019</v>
      </c>
      <c r="AZ308" s="15">
        <v>7</v>
      </c>
      <c r="BA308" s="15">
        <v>21247.559493565299</v>
      </c>
      <c r="BC308" s="15">
        <v>2019</v>
      </c>
      <c r="BD308" s="15">
        <v>7</v>
      </c>
      <c r="BE308" s="15">
        <v>21241.965591039901</v>
      </c>
      <c r="BG308" s="15">
        <v>2019</v>
      </c>
      <c r="BH308" s="15">
        <v>7</v>
      </c>
      <c r="BI308" s="15">
        <v>21266.7377803007</v>
      </c>
    </row>
    <row r="309" spans="1:61" x14ac:dyDescent="0.25">
      <c r="A309" s="10">
        <v>2019</v>
      </c>
      <c r="B309" s="10">
        <v>8</v>
      </c>
      <c r="C309" s="11">
        <v>24951.8526463161</v>
      </c>
      <c r="G309" s="7">
        <v>2019</v>
      </c>
      <c r="H309" s="7">
        <v>5</v>
      </c>
      <c r="I309" s="13">
        <v>27592.0578184244</v>
      </c>
      <c r="L309" s="10">
        <v>2019</v>
      </c>
      <c r="M309" s="10">
        <v>8</v>
      </c>
      <c r="N309" s="18">
        <v>24883.1913559358</v>
      </c>
      <c r="Q309" s="15">
        <v>2019</v>
      </c>
      <c r="R309" s="15">
        <v>8</v>
      </c>
      <c r="S309" s="15">
        <v>25138.634984650798</v>
      </c>
      <c r="U309" s="15">
        <v>2019</v>
      </c>
      <c r="V309" s="15">
        <v>8</v>
      </c>
      <c r="W309" s="15">
        <v>25022.511972847398</v>
      </c>
      <c r="Z309" s="15">
        <v>2019</v>
      </c>
      <c r="AA309" s="15">
        <v>8</v>
      </c>
      <c r="AB309" s="15">
        <v>24880.5807057778</v>
      </c>
      <c r="AD309" s="18">
        <v>2019</v>
      </c>
      <c r="AE309" s="18">
        <v>8</v>
      </c>
      <c r="AF309" s="18">
        <v>24885.691438420501</v>
      </c>
      <c r="AH309" s="10">
        <v>2019</v>
      </c>
      <c r="AI309" s="10">
        <v>8</v>
      </c>
      <c r="AJ309" s="18">
        <v>24886.748678945602</v>
      </c>
      <c r="AL309" s="15">
        <v>2019</v>
      </c>
      <c r="AM309" s="15">
        <v>8</v>
      </c>
      <c r="AN309" s="15">
        <v>24925.3081183125</v>
      </c>
      <c r="AQ309" s="18">
        <v>2019</v>
      </c>
      <c r="AR309" s="18">
        <v>8</v>
      </c>
      <c r="AS309" s="18">
        <v>24965.560484403399</v>
      </c>
      <c r="AU309" s="10">
        <v>2019</v>
      </c>
      <c r="AV309" s="10">
        <v>8</v>
      </c>
      <c r="AW309" s="15">
        <v>24907.762899745499</v>
      </c>
      <c r="AY309" s="15">
        <v>2019</v>
      </c>
      <c r="AZ309" s="15">
        <v>8</v>
      </c>
      <c r="BA309" s="15">
        <v>24882.4104026358</v>
      </c>
      <c r="BC309" s="15">
        <v>2019</v>
      </c>
      <c r="BD309" s="15">
        <v>8</v>
      </c>
      <c r="BE309" s="15">
        <v>24880.3195404935</v>
      </c>
      <c r="BG309" s="15">
        <v>2019</v>
      </c>
      <c r="BH309" s="15">
        <v>8</v>
      </c>
      <c r="BI309" s="15">
        <v>24894.977245634698</v>
      </c>
    </row>
    <row r="310" spans="1:61" x14ac:dyDescent="0.25">
      <c r="A310" s="10">
        <v>2019</v>
      </c>
      <c r="B310" s="10">
        <v>9</v>
      </c>
      <c r="C310" s="11">
        <v>24122.0207476369</v>
      </c>
      <c r="G310" s="7">
        <v>2019</v>
      </c>
      <c r="H310" s="7">
        <v>6</v>
      </c>
      <c r="I310" s="13">
        <v>23753.438480351499</v>
      </c>
      <c r="L310" s="10">
        <v>2019</v>
      </c>
      <c r="M310" s="10">
        <v>9</v>
      </c>
      <c r="N310" s="18">
        <v>23362.896020957101</v>
      </c>
      <c r="Q310" s="15">
        <v>2019</v>
      </c>
      <c r="R310" s="15">
        <v>9</v>
      </c>
      <c r="S310" s="15">
        <v>23497.450718678399</v>
      </c>
      <c r="U310" s="15">
        <v>2019</v>
      </c>
      <c r="V310" s="15">
        <v>9</v>
      </c>
      <c r="W310" s="15">
        <v>23125.532726155299</v>
      </c>
      <c r="Z310" s="15">
        <v>2019</v>
      </c>
      <c r="AA310" s="15">
        <v>9</v>
      </c>
      <c r="AB310" s="15">
        <v>22957.748826058199</v>
      </c>
      <c r="AD310" s="18">
        <v>2019</v>
      </c>
      <c r="AE310" s="18">
        <v>9</v>
      </c>
      <c r="AF310" s="18">
        <v>22951.5855361309</v>
      </c>
      <c r="AH310" s="10">
        <v>2019</v>
      </c>
      <c r="AI310" s="10">
        <v>9</v>
      </c>
      <c r="AJ310" s="18">
        <v>22949.693885154298</v>
      </c>
      <c r="AL310" s="15">
        <v>2019</v>
      </c>
      <c r="AM310" s="15">
        <v>9</v>
      </c>
      <c r="AN310" s="15">
        <v>22982.8324032485</v>
      </c>
      <c r="AQ310" s="18">
        <v>2019</v>
      </c>
      <c r="AR310" s="18">
        <v>9</v>
      </c>
      <c r="AS310" s="18">
        <v>23023.578295434399</v>
      </c>
      <c r="AU310" s="10">
        <v>2019</v>
      </c>
      <c r="AV310" s="10">
        <v>9</v>
      </c>
      <c r="AW310" s="15">
        <v>22964.643562622401</v>
      </c>
      <c r="AY310" s="15">
        <v>2019</v>
      </c>
      <c r="AZ310" s="15">
        <v>9</v>
      </c>
      <c r="BA310" s="15">
        <v>22929.420572915598</v>
      </c>
      <c r="BC310" s="15">
        <v>2019</v>
      </c>
      <c r="BD310" s="15">
        <v>9</v>
      </c>
      <c r="BE310" s="15">
        <v>22917.2285071326</v>
      </c>
      <c r="BG310" s="15">
        <v>2019</v>
      </c>
      <c r="BH310" s="15">
        <v>9</v>
      </c>
      <c r="BI310" s="15">
        <v>22928.046086059101</v>
      </c>
    </row>
    <row r="311" spans="1:61" x14ac:dyDescent="0.25">
      <c r="A311" s="10">
        <v>2019</v>
      </c>
      <c r="B311" s="10">
        <v>10</v>
      </c>
      <c r="C311" s="11">
        <v>26701.980135903501</v>
      </c>
      <c r="G311" s="7">
        <v>2019</v>
      </c>
      <c r="H311" s="7">
        <v>7</v>
      </c>
      <c r="I311" s="13">
        <v>19029.365723512801</v>
      </c>
      <c r="L311" s="10">
        <v>2019</v>
      </c>
      <c r="M311" s="10">
        <v>10</v>
      </c>
      <c r="N311" s="18">
        <v>26661.0280382538</v>
      </c>
      <c r="Q311" s="15">
        <v>2019</v>
      </c>
      <c r="R311" s="15">
        <v>10</v>
      </c>
      <c r="S311" s="15">
        <v>26966.224673237</v>
      </c>
      <c r="U311" s="15">
        <v>2019</v>
      </c>
      <c r="V311" s="15">
        <v>10</v>
      </c>
      <c r="W311" s="15">
        <v>26369.1209659245</v>
      </c>
      <c r="Z311" s="15">
        <v>2019</v>
      </c>
      <c r="AA311" s="15">
        <v>10</v>
      </c>
      <c r="AB311" s="15">
        <v>26177.9444632136</v>
      </c>
      <c r="AD311" s="18">
        <v>2019</v>
      </c>
      <c r="AE311" s="18">
        <v>10</v>
      </c>
      <c r="AF311" s="18">
        <v>26145.663458701001</v>
      </c>
      <c r="AH311" s="10">
        <v>2019</v>
      </c>
      <c r="AI311" s="10">
        <v>10</v>
      </c>
      <c r="AJ311" s="18">
        <v>26143.673472623999</v>
      </c>
      <c r="AL311" s="15">
        <v>2019</v>
      </c>
      <c r="AM311" s="15">
        <v>10</v>
      </c>
      <c r="AN311" s="15">
        <v>26170.651884023799</v>
      </c>
      <c r="AQ311" s="18">
        <v>2019</v>
      </c>
      <c r="AR311" s="18">
        <v>10</v>
      </c>
      <c r="AS311" s="18">
        <v>26192.2223086536</v>
      </c>
      <c r="AU311" s="10">
        <v>2019</v>
      </c>
      <c r="AV311" s="10">
        <v>10</v>
      </c>
      <c r="AW311" s="15">
        <v>26106.722983942502</v>
      </c>
      <c r="AY311" s="15">
        <v>2019</v>
      </c>
      <c r="AZ311" s="15">
        <v>10</v>
      </c>
      <c r="BA311" s="15">
        <v>26073.597292332001</v>
      </c>
      <c r="BC311" s="15">
        <v>2019</v>
      </c>
      <c r="BD311" s="15">
        <v>10</v>
      </c>
      <c r="BE311" s="15">
        <v>26045.1537021564</v>
      </c>
      <c r="BG311" s="15">
        <v>2019</v>
      </c>
      <c r="BH311" s="15">
        <v>10</v>
      </c>
      <c r="BI311" s="15">
        <v>26055.884589715599</v>
      </c>
    </row>
    <row r="312" spans="1:61" x14ac:dyDescent="0.25">
      <c r="A312" s="10">
        <v>2019</v>
      </c>
      <c r="B312" s="10">
        <v>11</v>
      </c>
      <c r="C312" s="11">
        <v>24789.302832613801</v>
      </c>
      <c r="G312" s="7">
        <v>2019</v>
      </c>
      <c r="H312" s="7">
        <v>8</v>
      </c>
      <c r="I312" s="13">
        <v>23090.1328524317</v>
      </c>
      <c r="L312" s="10">
        <v>2019</v>
      </c>
      <c r="M312" s="10">
        <v>11</v>
      </c>
      <c r="N312" s="18">
        <v>23167.647226402401</v>
      </c>
      <c r="Q312" s="15">
        <v>2019</v>
      </c>
      <c r="R312" s="15">
        <v>11</v>
      </c>
      <c r="S312" s="15">
        <v>23816.6436527812</v>
      </c>
      <c r="U312" s="15">
        <v>2019</v>
      </c>
      <c r="V312" s="15">
        <v>11</v>
      </c>
      <c r="W312" s="15">
        <v>22883.319614055701</v>
      </c>
      <c r="Z312" s="15">
        <v>2019</v>
      </c>
      <c r="AA312" s="15">
        <v>11</v>
      </c>
      <c r="AB312" s="15">
        <v>22784.707563481701</v>
      </c>
      <c r="AD312" s="18">
        <v>2019</v>
      </c>
      <c r="AE312" s="18">
        <v>11</v>
      </c>
      <c r="AF312" s="18">
        <v>22756.426061878999</v>
      </c>
      <c r="AH312" s="10">
        <v>2019</v>
      </c>
      <c r="AI312" s="10">
        <v>11</v>
      </c>
      <c r="AJ312" s="18">
        <v>22742.7448812728</v>
      </c>
      <c r="AL312" s="15">
        <v>2019</v>
      </c>
      <c r="AM312" s="15">
        <v>11</v>
      </c>
      <c r="AN312" s="15">
        <v>22749.8078064113</v>
      </c>
      <c r="AQ312" s="18">
        <v>2019</v>
      </c>
      <c r="AR312" s="18">
        <v>11</v>
      </c>
      <c r="AS312" s="18">
        <v>22788.200002719299</v>
      </c>
      <c r="AU312" s="10">
        <v>2019</v>
      </c>
      <c r="AV312" s="10">
        <v>11</v>
      </c>
      <c r="AW312" s="15">
        <v>22744.275454615301</v>
      </c>
      <c r="AY312" s="15">
        <v>2019</v>
      </c>
      <c r="AZ312" s="15">
        <v>11</v>
      </c>
      <c r="BA312" s="15">
        <v>22704.207945271301</v>
      </c>
      <c r="BC312" s="15">
        <v>2019</v>
      </c>
      <c r="BD312" s="15">
        <v>11</v>
      </c>
      <c r="BE312" s="15">
        <v>22679.074116420801</v>
      </c>
      <c r="BG312" s="15">
        <v>2019</v>
      </c>
      <c r="BH312" s="15">
        <v>11</v>
      </c>
      <c r="BI312" s="15">
        <v>22671.563517011</v>
      </c>
    </row>
    <row r="313" spans="1:61" x14ac:dyDescent="0.25">
      <c r="A313" s="10">
        <v>2019</v>
      </c>
      <c r="B313" s="10">
        <v>12</v>
      </c>
      <c r="C313" s="11">
        <v>24139.275317939399</v>
      </c>
      <c r="G313" s="7">
        <v>2019</v>
      </c>
      <c r="H313" s="7">
        <v>9</v>
      </c>
      <c r="I313" s="13">
        <v>23480.134148094101</v>
      </c>
      <c r="L313" s="10">
        <v>2019</v>
      </c>
      <c r="M313" s="10">
        <v>12</v>
      </c>
      <c r="N313" s="18">
        <v>21123.9061372662</v>
      </c>
      <c r="Q313" s="15">
        <v>2019</v>
      </c>
      <c r="R313" s="15">
        <v>12</v>
      </c>
      <c r="S313" s="15">
        <v>20482.2664115878</v>
      </c>
      <c r="U313" s="15">
        <v>2019</v>
      </c>
      <c r="V313" s="15">
        <v>12</v>
      </c>
      <c r="W313" s="15">
        <v>20506.406969195799</v>
      </c>
      <c r="Z313" s="15">
        <v>2019</v>
      </c>
      <c r="AA313" s="15">
        <v>12</v>
      </c>
      <c r="AB313" s="15">
        <v>20512.048158492398</v>
      </c>
      <c r="AD313" s="18">
        <v>2019</v>
      </c>
      <c r="AE313" s="18">
        <v>12</v>
      </c>
      <c r="AF313" s="18">
        <v>20462.109236495999</v>
      </c>
      <c r="AH313" s="10">
        <v>2019</v>
      </c>
      <c r="AI313" s="10">
        <v>12</v>
      </c>
      <c r="AJ313" s="18">
        <v>20450.5460404439</v>
      </c>
      <c r="AL313" s="15">
        <v>2019</v>
      </c>
      <c r="AM313" s="15">
        <v>12</v>
      </c>
      <c r="AN313" s="15">
        <v>20443.363582464801</v>
      </c>
      <c r="AQ313" s="18">
        <v>2019</v>
      </c>
      <c r="AR313" s="18">
        <v>12</v>
      </c>
      <c r="AS313" s="18">
        <v>20451.929729829699</v>
      </c>
      <c r="AU313" s="10">
        <v>2019</v>
      </c>
      <c r="AV313" s="10">
        <v>12</v>
      </c>
      <c r="AW313" s="15">
        <v>20390.874116092298</v>
      </c>
      <c r="AY313" s="15">
        <v>2019</v>
      </c>
      <c r="AZ313" s="15">
        <v>12</v>
      </c>
      <c r="BA313" s="15">
        <v>20366.354550434298</v>
      </c>
      <c r="BC313" s="15">
        <v>2019</v>
      </c>
      <c r="BD313" s="15">
        <v>12</v>
      </c>
      <c r="BE313" s="15">
        <v>20340.413061031399</v>
      </c>
      <c r="BG313" s="15">
        <v>2019</v>
      </c>
      <c r="BH313" s="15">
        <v>12</v>
      </c>
      <c r="BI313" s="15">
        <v>20331.553700256401</v>
      </c>
    </row>
    <row r="314" spans="1:61" x14ac:dyDescent="0.25">
      <c r="A314" s="10">
        <v>2020</v>
      </c>
      <c r="B314" s="10">
        <v>1</v>
      </c>
      <c r="C314" s="11">
        <v>37402.800773635499</v>
      </c>
      <c r="G314" s="7">
        <v>2019</v>
      </c>
      <c r="H314" s="7">
        <v>10</v>
      </c>
      <c r="I314" s="13">
        <v>26144.7205900892</v>
      </c>
      <c r="L314" s="10">
        <v>2020</v>
      </c>
      <c r="M314" s="10">
        <v>1</v>
      </c>
      <c r="N314" s="18">
        <v>33648.667182038596</v>
      </c>
      <c r="Q314" s="15">
        <v>2020</v>
      </c>
      <c r="R314" s="15">
        <v>1</v>
      </c>
      <c r="S314" s="15">
        <v>38670.071667816403</v>
      </c>
      <c r="U314" s="15">
        <v>2020</v>
      </c>
      <c r="V314" s="15">
        <v>1</v>
      </c>
      <c r="W314" s="15">
        <v>37981.206015989497</v>
      </c>
      <c r="Z314" s="15">
        <v>2020</v>
      </c>
      <c r="AA314" s="15">
        <v>1</v>
      </c>
      <c r="AB314" s="15">
        <v>38480.578292225</v>
      </c>
      <c r="AD314" s="18">
        <v>2020</v>
      </c>
      <c r="AE314" s="18">
        <v>1</v>
      </c>
      <c r="AF314" s="18">
        <v>38413.8800455909</v>
      </c>
      <c r="AH314" s="10">
        <v>2020</v>
      </c>
      <c r="AI314" s="10">
        <v>1</v>
      </c>
      <c r="AJ314" s="18">
        <v>38394.430544132199</v>
      </c>
      <c r="AL314" s="15">
        <v>2020</v>
      </c>
      <c r="AM314" s="15">
        <v>1</v>
      </c>
      <c r="AN314" s="15">
        <v>38328.157444853903</v>
      </c>
      <c r="AQ314" s="18">
        <v>2020</v>
      </c>
      <c r="AR314" s="18">
        <v>1</v>
      </c>
      <c r="AS314" s="18">
        <v>38294.4517458337</v>
      </c>
      <c r="AU314" s="10">
        <v>2020</v>
      </c>
      <c r="AV314" s="10">
        <v>1</v>
      </c>
      <c r="AW314" s="15">
        <v>38209.8475358836</v>
      </c>
      <c r="AY314" s="15">
        <v>2020</v>
      </c>
      <c r="AZ314" s="15">
        <v>1</v>
      </c>
      <c r="BA314" s="15">
        <v>38221.726572828098</v>
      </c>
      <c r="BC314" s="15">
        <v>2020</v>
      </c>
      <c r="BD314" s="15">
        <v>1</v>
      </c>
      <c r="BE314" s="15">
        <v>38197.022616935697</v>
      </c>
      <c r="BG314" s="15">
        <v>2020</v>
      </c>
      <c r="BH314" s="15">
        <v>1</v>
      </c>
      <c r="BI314" s="15">
        <v>38164.383924849899</v>
      </c>
    </row>
    <row r="315" spans="1:61" x14ac:dyDescent="0.25">
      <c r="G315" s="7">
        <v>2019</v>
      </c>
      <c r="H315" s="7">
        <v>11</v>
      </c>
      <c r="I315" s="13">
        <v>24091.648926796199</v>
      </c>
      <c r="L315" s="10">
        <v>2020</v>
      </c>
      <c r="M315" s="10">
        <v>2</v>
      </c>
      <c r="N315" s="18">
        <v>29104.449388081601</v>
      </c>
      <c r="Q315" s="15">
        <v>2020</v>
      </c>
      <c r="R315" s="15">
        <v>2</v>
      </c>
      <c r="S315" s="15">
        <v>29989.015154433</v>
      </c>
      <c r="U315" s="15">
        <v>2020</v>
      </c>
      <c r="V315" s="15">
        <v>2</v>
      </c>
      <c r="W315" s="15">
        <v>28295.434675145101</v>
      </c>
      <c r="Z315" s="15">
        <v>2020</v>
      </c>
      <c r="AA315" s="15">
        <v>2</v>
      </c>
      <c r="AB315" s="15">
        <v>28565.930786156801</v>
      </c>
      <c r="AD315" s="18">
        <v>2020</v>
      </c>
      <c r="AE315" s="18">
        <v>2</v>
      </c>
      <c r="AF315" s="18">
        <v>28478.778296360899</v>
      </c>
      <c r="AH315" s="10">
        <v>2020</v>
      </c>
      <c r="AI315" s="10">
        <v>2</v>
      </c>
      <c r="AJ315" s="18">
        <v>28447.099217729199</v>
      </c>
      <c r="AL315" s="15">
        <v>2020</v>
      </c>
      <c r="AM315" s="15">
        <v>2</v>
      </c>
      <c r="AN315" s="15">
        <v>28267.3016272114</v>
      </c>
      <c r="AQ315" s="18">
        <v>2020</v>
      </c>
      <c r="AR315" s="18">
        <v>2</v>
      </c>
      <c r="AS315" s="18">
        <v>28163.2657898076</v>
      </c>
      <c r="AU315" s="10">
        <v>2020</v>
      </c>
      <c r="AV315" s="10">
        <v>2</v>
      </c>
      <c r="AW315" s="15">
        <v>28220.093581711801</v>
      </c>
      <c r="AY315" s="15">
        <v>2020</v>
      </c>
      <c r="AZ315" s="15">
        <v>2</v>
      </c>
      <c r="BA315" s="15">
        <v>28278.714843633399</v>
      </c>
      <c r="BC315" s="15">
        <v>2020</v>
      </c>
      <c r="BD315" s="15">
        <v>2</v>
      </c>
      <c r="BE315" s="15">
        <v>28326.822188551901</v>
      </c>
      <c r="BG315" s="15">
        <v>2020</v>
      </c>
      <c r="BH315" s="15">
        <v>2</v>
      </c>
      <c r="BI315" s="15">
        <v>28275.860037189599</v>
      </c>
    </row>
    <row r="316" spans="1:61" x14ac:dyDescent="0.25">
      <c r="G316" s="7">
        <v>2019</v>
      </c>
      <c r="H316" s="7">
        <v>12</v>
      </c>
      <c r="I316" s="13">
        <v>23286.4286152801</v>
      </c>
      <c r="L316" s="10">
        <v>2020</v>
      </c>
      <c r="M316" s="10">
        <v>3</v>
      </c>
      <c r="N316" s="18">
        <v>16342.536279649799</v>
      </c>
      <c r="Q316" s="15">
        <v>2020</v>
      </c>
      <c r="R316" s="15">
        <v>3</v>
      </c>
      <c r="S316" s="15">
        <v>13751.925206854599</v>
      </c>
      <c r="U316" s="15">
        <v>2020</v>
      </c>
      <c r="V316" s="15">
        <v>3</v>
      </c>
      <c r="W316" s="15">
        <v>14616.8621763873</v>
      </c>
      <c r="Z316" s="15">
        <v>2020</v>
      </c>
      <c r="AA316" s="15">
        <v>3</v>
      </c>
      <c r="AB316" s="15">
        <v>14712.067281805999</v>
      </c>
      <c r="AD316" s="18">
        <v>2020</v>
      </c>
      <c r="AE316" s="18">
        <v>3</v>
      </c>
      <c r="AF316" s="18">
        <v>14717.692103563</v>
      </c>
      <c r="AH316" s="10">
        <v>2020</v>
      </c>
      <c r="AI316" s="10">
        <v>3</v>
      </c>
      <c r="AJ316" s="18">
        <v>14714.9817861518</v>
      </c>
      <c r="AL316" s="15">
        <v>2020</v>
      </c>
      <c r="AM316" s="15">
        <v>3</v>
      </c>
      <c r="AN316" s="15">
        <v>14703.5775968412</v>
      </c>
      <c r="AQ316" s="18">
        <v>2020</v>
      </c>
      <c r="AR316" s="18">
        <v>3</v>
      </c>
      <c r="AS316" s="18">
        <v>14679.4462227152</v>
      </c>
      <c r="AU316" s="10">
        <v>2020</v>
      </c>
      <c r="AV316" s="10">
        <v>3</v>
      </c>
      <c r="AW316" s="15">
        <v>14691.560043711501</v>
      </c>
      <c r="AY316" s="15">
        <v>2020</v>
      </c>
      <c r="AZ316" s="15">
        <v>3</v>
      </c>
      <c r="BA316" s="15">
        <v>14711.2579032432</v>
      </c>
      <c r="BC316" s="15">
        <v>2020</v>
      </c>
      <c r="BD316" s="15">
        <v>3</v>
      </c>
      <c r="BE316" s="15">
        <v>14716.8906085773</v>
      </c>
      <c r="BG316" s="15">
        <v>2020</v>
      </c>
      <c r="BH316" s="15">
        <v>3</v>
      </c>
      <c r="BI316" s="15">
        <v>14708.5093180519</v>
      </c>
    </row>
    <row r="317" spans="1:61" x14ac:dyDescent="0.25">
      <c r="G317" s="7">
        <v>2020</v>
      </c>
      <c r="H317" s="7">
        <v>1</v>
      </c>
      <c r="I317" s="13">
        <v>36251.118542309603</v>
      </c>
      <c r="L317" s="10">
        <v>2020</v>
      </c>
      <c r="M317" s="10">
        <v>4</v>
      </c>
      <c r="N317" s="18">
        <v>-767.56880789481102</v>
      </c>
      <c r="Q317" s="15">
        <v>2020</v>
      </c>
      <c r="R317" s="15">
        <v>4</v>
      </c>
      <c r="S317" s="15">
        <v>-1735.7199592939901</v>
      </c>
      <c r="U317" s="15">
        <v>2020</v>
      </c>
      <c r="V317" s="15">
        <v>4</v>
      </c>
      <c r="W317" s="15">
        <v>-809.03486494300205</v>
      </c>
      <c r="Z317" s="15">
        <v>2020</v>
      </c>
      <c r="AA317" s="15">
        <v>4</v>
      </c>
      <c r="AB317" s="15">
        <v>-811.61452905855401</v>
      </c>
      <c r="AD317" s="18">
        <v>2020</v>
      </c>
      <c r="AE317" s="18">
        <v>4</v>
      </c>
      <c r="AF317" s="18">
        <v>-754.47828597681098</v>
      </c>
      <c r="AH317" s="10">
        <v>2020</v>
      </c>
      <c r="AI317" s="10">
        <v>4</v>
      </c>
      <c r="AJ317" s="18">
        <v>-704.03972419631998</v>
      </c>
      <c r="AL317" s="15">
        <v>2020</v>
      </c>
      <c r="AM317" s="15">
        <v>4</v>
      </c>
      <c r="AN317" s="15">
        <v>-836.39310433173898</v>
      </c>
      <c r="AQ317" s="18">
        <v>2020</v>
      </c>
      <c r="AR317" s="18">
        <v>4</v>
      </c>
      <c r="AS317" s="18">
        <v>-999.28280798343701</v>
      </c>
      <c r="AU317" s="10">
        <v>2020</v>
      </c>
      <c r="AV317" s="10">
        <v>4</v>
      </c>
      <c r="AW317" s="15">
        <v>-987.87928523575499</v>
      </c>
      <c r="AY317" s="15">
        <v>2020</v>
      </c>
      <c r="AZ317" s="15">
        <v>4</v>
      </c>
      <c r="BA317" s="15">
        <v>-892.033390404579</v>
      </c>
      <c r="BC317" s="15">
        <v>2020</v>
      </c>
      <c r="BD317" s="15">
        <v>4</v>
      </c>
      <c r="BE317" s="15">
        <v>-829.10704170250494</v>
      </c>
      <c r="BG317" s="15">
        <v>2020</v>
      </c>
      <c r="BH317" s="15">
        <v>4</v>
      </c>
      <c r="BI317" s="15">
        <v>-826.97728315716097</v>
      </c>
    </row>
    <row r="318" spans="1:61" x14ac:dyDescent="0.25">
      <c r="G318" s="7">
        <v>2020</v>
      </c>
      <c r="H318" s="7">
        <v>2</v>
      </c>
      <c r="I318" s="13">
        <v>30382.664279629898</v>
      </c>
      <c r="L318" s="10">
        <v>2020</v>
      </c>
      <c r="M318" s="10">
        <v>5</v>
      </c>
      <c r="N318" s="18">
        <v>5241.4335888775404</v>
      </c>
      <c r="Q318" s="15">
        <v>2020</v>
      </c>
      <c r="R318" s="15">
        <v>5</v>
      </c>
      <c r="S318" s="15">
        <v>4570.6761909306397</v>
      </c>
      <c r="U318" s="15">
        <v>2020</v>
      </c>
      <c r="V318" s="15">
        <v>5</v>
      </c>
      <c r="W318" s="15">
        <v>4931.4536098359804</v>
      </c>
      <c r="Z318" s="15">
        <v>2020</v>
      </c>
      <c r="AA318" s="15">
        <v>5</v>
      </c>
      <c r="AB318" s="15">
        <v>4860.2565187229502</v>
      </c>
      <c r="AD318" s="18">
        <v>2020</v>
      </c>
      <c r="AE318" s="18">
        <v>5</v>
      </c>
      <c r="AF318" s="18">
        <v>4915.0309752207704</v>
      </c>
      <c r="AH318" s="10">
        <v>2020</v>
      </c>
      <c r="AI318" s="10">
        <v>5</v>
      </c>
      <c r="AJ318" s="18">
        <v>4923.8720274975403</v>
      </c>
      <c r="AL318" s="15">
        <v>2020</v>
      </c>
      <c r="AM318" s="15">
        <v>5</v>
      </c>
      <c r="AN318" s="15">
        <v>5042.9577254557698</v>
      </c>
      <c r="AQ318" s="18">
        <v>2020</v>
      </c>
      <c r="AR318" s="18">
        <v>5</v>
      </c>
      <c r="AS318" s="18">
        <v>5107.6952315867802</v>
      </c>
      <c r="AU318" s="10">
        <v>2020</v>
      </c>
      <c r="AV318" s="10">
        <v>5</v>
      </c>
      <c r="AW318" s="15">
        <v>5696.97667481796</v>
      </c>
      <c r="AY318" s="15">
        <v>2020</v>
      </c>
      <c r="AZ318" s="15">
        <v>5</v>
      </c>
      <c r="BA318" s="15">
        <v>5744.6241772816002</v>
      </c>
      <c r="BC318" s="15">
        <v>2020</v>
      </c>
      <c r="BD318" s="15">
        <v>5</v>
      </c>
      <c r="BE318" s="15">
        <v>5782.2102719344502</v>
      </c>
      <c r="BG318" s="15">
        <v>2020</v>
      </c>
      <c r="BH318" s="15">
        <v>5</v>
      </c>
      <c r="BI318" s="15">
        <v>5793.6909894412902</v>
      </c>
    </row>
    <row r="319" spans="1:61" x14ac:dyDescent="0.25">
      <c r="G319" s="7">
        <v>2020</v>
      </c>
      <c r="H319" s="7">
        <v>3</v>
      </c>
      <c r="I319" s="13">
        <v>18582.1612480443</v>
      </c>
      <c r="L319" s="10">
        <v>2020</v>
      </c>
      <c r="M319" s="10">
        <v>6</v>
      </c>
      <c r="N319" s="18">
        <v>15736.168005285899</v>
      </c>
      <c r="Q319" s="15">
        <v>2020</v>
      </c>
      <c r="R319" s="15">
        <v>6</v>
      </c>
      <c r="S319" s="15">
        <v>13603.701686120799</v>
      </c>
      <c r="U319" s="15">
        <v>2020</v>
      </c>
      <c r="V319" s="15">
        <v>6</v>
      </c>
      <c r="W319" s="15">
        <v>14064.154848894799</v>
      </c>
      <c r="Z319" s="15">
        <v>2020</v>
      </c>
      <c r="AA319" s="15">
        <v>6</v>
      </c>
      <c r="AB319" s="15">
        <v>14013.4191524122</v>
      </c>
      <c r="AD319" s="18">
        <v>2020</v>
      </c>
      <c r="AE319" s="18">
        <v>6</v>
      </c>
      <c r="AF319" s="18">
        <v>14032.2967446328</v>
      </c>
      <c r="AH319" s="10">
        <v>2020</v>
      </c>
      <c r="AI319" s="10">
        <v>6</v>
      </c>
      <c r="AJ319" s="18">
        <v>14049.491705722599</v>
      </c>
      <c r="AL319" s="15">
        <v>2020</v>
      </c>
      <c r="AM319" s="15">
        <v>6</v>
      </c>
      <c r="AN319" s="15">
        <v>14125.798113723</v>
      </c>
      <c r="AQ319" s="18">
        <v>2020</v>
      </c>
      <c r="AR319" s="18">
        <v>6</v>
      </c>
      <c r="AS319" s="18">
        <v>14152.701101110801</v>
      </c>
      <c r="AU319" s="10">
        <v>2020</v>
      </c>
      <c r="AV319" s="10">
        <v>6</v>
      </c>
      <c r="AW319" s="15">
        <v>14073.327511350401</v>
      </c>
      <c r="AY319" s="15">
        <v>2020</v>
      </c>
      <c r="AZ319" s="15">
        <v>6</v>
      </c>
      <c r="BA319" s="15">
        <v>14089.249298577</v>
      </c>
      <c r="BC319" s="15">
        <v>2020</v>
      </c>
      <c r="BD319" s="15">
        <v>6</v>
      </c>
      <c r="BE319" s="15">
        <v>14104.199184975199</v>
      </c>
      <c r="BG319" s="15">
        <v>2020</v>
      </c>
      <c r="BH319" s="15">
        <v>6</v>
      </c>
      <c r="BI319" s="15">
        <v>14134.928406416</v>
      </c>
    </row>
    <row r="320" spans="1:61" x14ac:dyDescent="0.25">
      <c r="G320" s="7">
        <v>2020</v>
      </c>
      <c r="H320" s="7">
        <v>4</v>
      </c>
      <c r="I320" s="13">
        <v>-1407.7879231560901</v>
      </c>
      <c r="L320" s="10">
        <v>2020</v>
      </c>
      <c r="M320" s="10">
        <v>7</v>
      </c>
      <c r="N320" s="18">
        <v>21275.028553728</v>
      </c>
      <c r="Q320" s="15">
        <v>2020</v>
      </c>
      <c r="R320" s="15">
        <v>7</v>
      </c>
      <c r="S320" s="15">
        <v>21478.8016755717</v>
      </c>
      <c r="U320" s="15">
        <v>2020</v>
      </c>
      <c r="V320" s="15">
        <v>7</v>
      </c>
      <c r="W320" s="15">
        <v>21542.485011470799</v>
      </c>
      <c r="Z320" s="15">
        <v>2020</v>
      </c>
      <c r="AA320" s="15">
        <v>7</v>
      </c>
      <c r="AB320" s="15">
        <v>21407.325181234901</v>
      </c>
      <c r="AD320" s="18">
        <v>2020</v>
      </c>
      <c r="AE320" s="18">
        <v>7</v>
      </c>
      <c r="AF320" s="18">
        <v>21413.489865438602</v>
      </c>
      <c r="AH320" s="10">
        <v>2020</v>
      </c>
      <c r="AI320" s="10">
        <v>7</v>
      </c>
      <c r="AJ320" s="18">
        <v>21429.625345123699</v>
      </c>
      <c r="AL320" s="15">
        <v>2020</v>
      </c>
      <c r="AM320" s="15">
        <v>7</v>
      </c>
      <c r="AN320" s="15">
        <v>21512.338089844299</v>
      </c>
      <c r="AQ320" s="18">
        <v>2020</v>
      </c>
      <c r="AR320" s="18">
        <v>7</v>
      </c>
      <c r="AS320" s="18">
        <v>21550.1086288267</v>
      </c>
      <c r="AU320" s="10">
        <v>2020</v>
      </c>
      <c r="AV320" s="10">
        <v>7</v>
      </c>
      <c r="AW320" s="15">
        <v>21431.902121063798</v>
      </c>
      <c r="AY320" s="15">
        <v>2020</v>
      </c>
      <c r="AZ320" s="15">
        <v>7</v>
      </c>
      <c r="BA320" s="15">
        <v>21421.569796790001</v>
      </c>
      <c r="BC320" s="15">
        <v>2020</v>
      </c>
      <c r="BD320" s="15">
        <v>7</v>
      </c>
      <c r="BE320" s="15">
        <v>21424.1466593041</v>
      </c>
      <c r="BG320" s="15">
        <v>2020</v>
      </c>
      <c r="BH320" s="15">
        <v>7</v>
      </c>
      <c r="BI320" s="15">
        <v>21470.604047921599</v>
      </c>
    </row>
    <row r="321" spans="7:61" x14ac:dyDescent="0.25">
      <c r="G321" s="7">
        <v>2020</v>
      </c>
      <c r="H321" s="7">
        <v>5</v>
      </c>
      <c r="I321" s="13">
        <v>5096.0419616163399</v>
      </c>
      <c r="L321" s="10">
        <v>2020</v>
      </c>
      <c r="M321" s="10">
        <v>8</v>
      </c>
      <c r="N321" s="18">
        <v>21034.926659160199</v>
      </c>
      <c r="Q321" s="15">
        <v>2020</v>
      </c>
      <c r="R321" s="15">
        <v>8</v>
      </c>
      <c r="S321" s="15">
        <v>21684.972380547701</v>
      </c>
      <c r="U321" s="15">
        <v>2020</v>
      </c>
      <c r="V321" s="15">
        <v>8</v>
      </c>
      <c r="W321" s="15">
        <v>21281.524252646799</v>
      </c>
      <c r="Z321" s="15">
        <v>2020</v>
      </c>
      <c r="AA321" s="15">
        <v>8</v>
      </c>
      <c r="AB321" s="15">
        <v>21043.849336322401</v>
      </c>
      <c r="AD321" s="18">
        <v>2020</v>
      </c>
      <c r="AE321" s="18">
        <v>8</v>
      </c>
      <c r="AF321" s="18">
        <v>21068.8924380481</v>
      </c>
      <c r="AH321" s="10">
        <v>2020</v>
      </c>
      <c r="AI321" s="10">
        <v>8</v>
      </c>
      <c r="AJ321" s="18">
        <v>21065.440510316399</v>
      </c>
      <c r="AL321" s="15">
        <v>2020</v>
      </c>
      <c r="AM321" s="15">
        <v>8</v>
      </c>
      <c r="AN321" s="15">
        <v>21136.0978728587</v>
      </c>
      <c r="AQ321" s="18">
        <v>2020</v>
      </c>
      <c r="AR321" s="18">
        <v>8</v>
      </c>
      <c r="AS321" s="18">
        <v>21231.957688573901</v>
      </c>
      <c r="AU321" s="10">
        <v>2020</v>
      </c>
      <c r="AV321" s="10">
        <v>8</v>
      </c>
      <c r="AW321" s="15">
        <v>21169.578423043498</v>
      </c>
      <c r="AY321" s="15">
        <v>2020</v>
      </c>
      <c r="AZ321" s="15">
        <v>8</v>
      </c>
      <c r="BA321" s="15">
        <v>21106.4273130207</v>
      </c>
      <c r="BC321" s="15">
        <v>2020</v>
      </c>
      <c r="BD321" s="15">
        <v>8</v>
      </c>
      <c r="BE321" s="15">
        <v>21110.2953030998</v>
      </c>
      <c r="BG321" s="15">
        <v>2020</v>
      </c>
      <c r="BH321" s="15">
        <v>8</v>
      </c>
      <c r="BI321" s="15">
        <v>21136.307167705701</v>
      </c>
    </row>
    <row r="322" spans="7:61" x14ac:dyDescent="0.25">
      <c r="G322" s="7">
        <v>2020</v>
      </c>
      <c r="H322" s="7">
        <v>6</v>
      </c>
      <c r="I322" s="13">
        <v>12867.5318262501</v>
      </c>
      <c r="L322" s="10">
        <v>2020</v>
      </c>
      <c r="M322" s="10">
        <v>9</v>
      </c>
      <c r="N322" s="18">
        <v>26467.7202583773</v>
      </c>
      <c r="Q322" s="15">
        <v>2020</v>
      </c>
      <c r="R322" s="15">
        <v>9</v>
      </c>
      <c r="S322" s="15">
        <v>26527.165030903499</v>
      </c>
      <c r="U322" s="15">
        <v>2020</v>
      </c>
      <c r="V322" s="15">
        <v>9</v>
      </c>
      <c r="W322" s="15">
        <v>26035.467399746802</v>
      </c>
      <c r="Z322" s="15">
        <v>2020</v>
      </c>
      <c r="AA322" s="15">
        <v>9</v>
      </c>
      <c r="AB322" s="15">
        <v>25774.158270085401</v>
      </c>
      <c r="AD322" s="18">
        <v>2020</v>
      </c>
      <c r="AE322" s="18">
        <v>9</v>
      </c>
      <c r="AF322" s="18">
        <v>25755.0735302057</v>
      </c>
      <c r="AH322" s="10">
        <v>2020</v>
      </c>
      <c r="AI322" s="10">
        <v>9</v>
      </c>
      <c r="AJ322" s="18">
        <v>25756.5191186599</v>
      </c>
      <c r="AL322" s="15">
        <v>2020</v>
      </c>
      <c r="AM322" s="15">
        <v>9</v>
      </c>
      <c r="AN322" s="15">
        <v>25810.948462062301</v>
      </c>
      <c r="AQ322" s="18">
        <v>2020</v>
      </c>
      <c r="AR322" s="18">
        <v>9</v>
      </c>
      <c r="AS322" s="18">
        <v>25859.1228993482</v>
      </c>
      <c r="AU322" s="10">
        <v>2020</v>
      </c>
      <c r="AV322" s="10">
        <v>9</v>
      </c>
      <c r="AW322" s="15">
        <v>25721.8451957867</v>
      </c>
      <c r="AY322" s="15">
        <v>2020</v>
      </c>
      <c r="AZ322" s="15">
        <v>9</v>
      </c>
      <c r="BA322" s="15">
        <v>25655.712732824799</v>
      </c>
      <c r="BC322" s="15">
        <v>2020</v>
      </c>
      <c r="BD322" s="15">
        <v>9</v>
      </c>
      <c r="BE322" s="15">
        <v>25619.535593211898</v>
      </c>
      <c r="BG322" s="15">
        <v>2020</v>
      </c>
      <c r="BH322" s="15">
        <v>9</v>
      </c>
      <c r="BI322" s="15">
        <v>25650.537089228601</v>
      </c>
    </row>
    <row r="323" spans="7:61" x14ac:dyDescent="0.25">
      <c r="G323" s="7">
        <v>2020</v>
      </c>
      <c r="H323" s="7">
        <v>7</v>
      </c>
      <c r="I323" s="13">
        <v>18317.842433837301</v>
      </c>
      <c r="L323" s="10">
        <v>2020</v>
      </c>
      <c r="M323" s="10">
        <v>10</v>
      </c>
      <c r="N323" s="18">
        <v>24720.106825037401</v>
      </c>
      <c r="Q323" s="15">
        <v>2020</v>
      </c>
      <c r="R323" s="15">
        <v>10</v>
      </c>
      <c r="S323" s="15">
        <v>24850.604910344598</v>
      </c>
      <c r="U323" s="15">
        <v>2020</v>
      </c>
      <c r="V323" s="15">
        <v>10</v>
      </c>
      <c r="W323" s="15">
        <v>24427.883467069802</v>
      </c>
      <c r="Z323" s="15">
        <v>2020</v>
      </c>
      <c r="AA323" s="15">
        <v>10</v>
      </c>
      <c r="AB323" s="15">
        <v>24145.682687856199</v>
      </c>
      <c r="AD323" s="18">
        <v>2020</v>
      </c>
      <c r="AE323" s="18">
        <v>10</v>
      </c>
      <c r="AF323" s="18">
        <v>24108.424769621601</v>
      </c>
      <c r="AH323" s="10">
        <v>2020</v>
      </c>
      <c r="AI323" s="10">
        <v>10</v>
      </c>
      <c r="AJ323" s="18">
        <v>24097.521230521299</v>
      </c>
      <c r="AL323" s="15">
        <v>2020</v>
      </c>
      <c r="AM323" s="15">
        <v>10</v>
      </c>
      <c r="AN323" s="15">
        <v>24132.087645164698</v>
      </c>
      <c r="AQ323" s="18">
        <v>2020</v>
      </c>
      <c r="AR323" s="18">
        <v>10</v>
      </c>
      <c r="AS323" s="18">
        <v>24184.533428987801</v>
      </c>
      <c r="AU323" s="10">
        <v>2020</v>
      </c>
      <c r="AV323" s="10">
        <v>10</v>
      </c>
      <c r="AW323" s="15">
        <v>24074.969051595501</v>
      </c>
      <c r="AY323" s="15">
        <v>2020</v>
      </c>
      <c r="AZ323" s="15">
        <v>10</v>
      </c>
      <c r="BA323" s="15">
        <v>23998.7668481293</v>
      </c>
      <c r="BC323" s="15">
        <v>2020</v>
      </c>
      <c r="BD323" s="15">
        <v>10</v>
      </c>
      <c r="BE323" s="15">
        <v>23944.4261070465</v>
      </c>
      <c r="BG323" s="15">
        <v>2020</v>
      </c>
      <c r="BH323" s="15">
        <v>10</v>
      </c>
      <c r="BI323" s="15">
        <v>23948.6096218936</v>
      </c>
    </row>
    <row r="324" spans="7:61" x14ac:dyDescent="0.25">
      <c r="G324" s="7">
        <v>2020</v>
      </c>
      <c r="H324" s="7">
        <v>8</v>
      </c>
      <c r="I324" s="13">
        <v>18962.875900458301</v>
      </c>
      <c r="L324" s="10">
        <v>2020</v>
      </c>
      <c r="M324" s="10">
        <v>11</v>
      </c>
      <c r="N324" s="18">
        <v>28803.106335837401</v>
      </c>
      <c r="Q324" s="15">
        <v>2020</v>
      </c>
      <c r="R324" s="15">
        <v>11</v>
      </c>
      <c r="S324" s="15">
        <v>29109.295684880999</v>
      </c>
      <c r="U324" s="15">
        <v>2020</v>
      </c>
      <c r="V324" s="15">
        <v>11</v>
      </c>
      <c r="W324" s="15">
        <v>28317.4801642844</v>
      </c>
      <c r="Z324" s="15">
        <v>2020</v>
      </c>
      <c r="AA324" s="15">
        <v>11</v>
      </c>
      <c r="AB324" s="15">
        <v>27897.833435955301</v>
      </c>
      <c r="AD324" s="18">
        <v>2020</v>
      </c>
      <c r="AE324" s="18">
        <v>11</v>
      </c>
      <c r="AF324" s="18">
        <v>27846.567181782699</v>
      </c>
      <c r="AH324" s="10">
        <v>2020</v>
      </c>
      <c r="AI324" s="10">
        <v>11</v>
      </c>
      <c r="AJ324" s="18">
        <v>27823.353520962301</v>
      </c>
      <c r="AL324" s="15">
        <v>2020</v>
      </c>
      <c r="AM324" s="15">
        <v>11</v>
      </c>
      <c r="AN324" s="15">
        <v>27823.168005306001</v>
      </c>
      <c r="AQ324" s="18">
        <v>2020</v>
      </c>
      <c r="AR324" s="18">
        <v>11</v>
      </c>
      <c r="AS324" s="18">
        <v>27877.9702575101</v>
      </c>
      <c r="AU324" s="10">
        <v>2020</v>
      </c>
      <c r="AV324" s="10">
        <v>11</v>
      </c>
      <c r="AW324" s="15">
        <v>27805.839781902199</v>
      </c>
      <c r="AY324" s="15">
        <v>2020</v>
      </c>
      <c r="AZ324" s="15">
        <v>11</v>
      </c>
      <c r="BA324" s="15">
        <v>27739.8580688447</v>
      </c>
      <c r="BC324" s="15">
        <v>2020</v>
      </c>
      <c r="BD324" s="15">
        <v>11</v>
      </c>
      <c r="BE324" s="15">
        <v>27679.674261513901</v>
      </c>
      <c r="BG324" s="15">
        <v>2020</v>
      </c>
      <c r="BH324" s="15">
        <v>11</v>
      </c>
      <c r="BI324" s="15">
        <v>27655.856091476799</v>
      </c>
    </row>
    <row r="325" spans="7:61" x14ac:dyDescent="0.25">
      <c r="L325" s="10">
        <v>2020</v>
      </c>
      <c r="M325" s="10">
        <v>12</v>
      </c>
      <c r="N325" s="18">
        <v>43975.664657075104</v>
      </c>
      <c r="Q325" s="15">
        <v>2020</v>
      </c>
      <c r="R325" s="15">
        <v>12</v>
      </c>
      <c r="S325" s="15">
        <v>34386.764869184299</v>
      </c>
      <c r="U325" s="15">
        <v>2020</v>
      </c>
      <c r="V325" s="15">
        <v>12</v>
      </c>
      <c r="W325" s="15">
        <v>34483.972831390798</v>
      </c>
      <c r="Z325" s="15">
        <v>2020</v>
      </c>
      <c r="AA325" s="15">
        <v>12</v>
      </c>
      <c r="AB325" s="15">
        <v>34570.2410316733</v>
      </c>
      <c r="AD325" s="18">
        <v>2020</v>
      </c>
      <c r="AE325" s="18">
        <v>12</v>
      </c>
      <c r="AF325" s="18">
        <v>34469.215034767803</v>
      </c>
      <c r="AH325" s="10">
        <v>2020</v>
      </c>
      <c r="AI325" s="10">
        <v>12</v>
      </c>
      <c r="AJ325" s="18">
        <v>34454.338184772299</v>
      </c>
      <c r="AL325" s="15">
        <v>2020</v>
      </c>
      <c r="AM325" s="15">
        <v>12</v>
      </c>
      <c r="AN325" s="15">
        <v>34428.258270195103</v>
      </c>
      <c r="AQ325" s="18">
        <v>2020</v>
      </c>
      <c r="AR325" s="18">
        <v>12</v>
      </c>
      <c r="AS325" s="18">
        <v>34418.207231758599</v>
      </c>
      <c r="AU325" s="10">
        <v>2020</v>
      </c>
      <c r="AV325" s="10">
        <v>12</v>
      </c>
      <c r="AW325" s="15">
        <v>34306.300880620802</v>
      </c>
      <c r="AY325" s="15">
        <v>2020</v>
      </c>
      <c r="AZ325" s="15">
        <v>12</v>
      </c>
      <c r="BA325" s="15">
        <v>34284.4912036842</v>
      </c>
      <c r="BC325" s="15">
        <v>2020</v>
      </c>
      <c r="BD325" s="15">
        <v>12</v>
      </c>
      <c r="BE325" s="15">
        <v>34227.629401198603</v>
      </c>
      <c r="BG325" s="15">
        <v>2020</v>
      </c>
      <c r="BH325" s="15">
        <v>12</v>
      </c>
      <c r="BI325" s="15">
        <v>34202.505229130104</v>
      </c>
    </row>
    <row r="326" spans="7:61" x14ac:dyDescent="0.25">
      <c r="L326" s="10">
        <v>2021</v>
      </c>
      <c r="M326" s="10">
        <v>1</v>
      </c>
      <c r="N326" s="18">
        <v>41585.908812121299</v>
      </c>
      <c r="Q326" s="15">
        <v>2021</v>
      </c>
      <c r="R326" s="15">
        <v>1</v>
      </c>
      <c r="S326" s="15">
        <v>44837.221202676097</v>
      </c>
      <c r="U326" s="15">
        <v>2021</v>
      </c>
      <c r="V326" s="15">
        <v>1</v>
      </c>
      <c r="W326" s="15">
        <v>44399.604985002799</v>
      </c>
      <c r="Z326" s="15">
        <v>2021</v>
      </c>
      <c r="AA326" s="15">
        <v>1</v>
      </c>
      <c r="AB326" s="15">
        <v>45366.384707836201</v>
      </c>
      <c r="AD326" s="18">
        <v>2021</v>
      </c>
      <c r="AE326" s="18">
        <v>1</v>
      </c>
      <c r="AF326" s="18">
        <v>45279.754487505998</v>
      </c>
      <c r="AH326" s="10">
        <v>2021</v>
      </c>
      <c r="AI326" s="10">
        <v>1</v>
      </c>
      <c r="AJ326" s="18">
        <v>45235.706895939402</v>
      </c>
      <c r="AL326" s="15">
        <v>2021</v>
      </c>
      <c r="AM326" s="15">
        <v>1</v>
      </c>
      <c r="AN326" s="15">
        <v>45120.998282198401</v>
      </c>
      <c r="AQ326" s="18">
        <v>2021</v>
      </c>
      <c r="AR326" s="18">
        <v>1</v>
      </c>
      <c r="AS326" s="18">
        <v>45115.506272456099</v>
      </c>
      <c r="AU326" s="10">
        <v>2021</v>
      </c>
      <c r="AV326" s="10">
        <v>1</v>
      </c>
      <c r="AW326" s="15">
        <v>45101.172340413897</v>
      </c>
      <c r="AY326" s="15">
        <v>2021</v>
      </c>
      <c r="AZ326" s="15">
        <v>1</v>
      </c>
      <c r="BA326" s="15">
        <v>45102.630384201497</v>
      </c>
      <c r="BC326" s="15">
        <v>2021</v>
      </c>
      <c r="BD326" s="15">
        <v>1</v>
      </c>
      <c r="BE326" s="15">
        <v>45090.9108278493</v>
      </c>
      <c r="BG326" s="15">
        <v>2021</v>
      </c>
      <c r="BH326" s="15">
        <v>1</v>
      </c>
      <c r="BI326" s="15">
        <v>45014.677753316602</v>
      </c>
    </row>
    <row r="327" spans="7:61" x14ac:dyDescent="0.25">
      <c r="L327" s="10">
        <v>2021</v>
      </c>
      <c r="M327" s="10">
        <v>2</v>
      </c>
      <c r="N327" s="18">
        <v>28911.7135978841</v>
      </c>
      <c r="Q327" s="15">
        <v>2021</v>
      </c>
      <c r="R327" s="15">
        <v>2</v>
      </c>
      <c r="S327" s="15">
        <v>24157.012320158399</v>
      </c>
      <c r="U327" s="15">
        <v>2021</v>
      </c>
      <c r="V327" s="15">
        <v>2</v>
      </c>
      <c r="W327" s="15">
        <v>24754.591020320098</v>
      </c>
      <c r="Z327" s="15">
        <v>2021</v>
      </c>
      <c r="AA327" s="15">
        <v>2</v>
      </c>
      <c r="AB327" s="15">
        <v>25277.8121601487</v>
      </c>
      <c r="AD327" s="18">
        <v>2021</v>
      </c>
      <c r="AE327" s="18">
        <v>2</v>
      </c>
      <c r="AF327" s="18">
        <v>25300.756442263399</v>
      </c>
      <c r="AH327" s="10">
        <v>2021</v>
      </c>
      <c r="AI327" s="10">
        <v>2</v>
      </c>
      <c r="AJ327" s="18">
        <v>25270.661742149299</v>
      </c>
      <c r="AL327" s="15">
        <v>2021</v>
      </c>
      <c r="AM327" s="15">
        <v>2</v>
      </c>
      <c r="AN327" s="15">
        <v>25087.1940579248</v>
      </c>
      <c r="AQ327" s="18">
        <v>2021</v>
      </c>
      <c r="AR327" s="18">
        <v>2</v>
      </c>
      <c r="AS327" s="18">
        <v>24963.297710772102</v>
      </c>
      <c r="AU327" s="10">
        <v>2021</v>
      </c>
      <c r="AV327" s="10">
        <v>2</v>
      </c>
      <c r="AW327" s="15">
        <v>24990.773958384802</v>
      </c>
      <c r="AY327" s="15">
        <v>2021</v>
      </c>
      <c r="AZ327" s="15">
        <v>2</v>
      </c>
      <c r="BA327" s="15">
        <v>25053.211355858399</v>
      </c>
      <c r="BC327" s="15">
        <v>2021</v>
      </c>
      <c r="BD327" s="15">
        <v>2</v>
      </c>
      <c r="BE327" s="15">
        <v>25090.662290521599</v>
      </c>
      <c r="BG327" s="15">
        <v>2021</v>
      </c>
      <c r="BH327" s="15">
        <v>2</v>
      </c>
      <c r="BI327" s="15">
        <v>25029.267742608601</v>
      </c>
    </row>
    <row r="328" spans="7:61" x14ac:dyDescent="0.25">
      <c r="Q328" s="15">
        <v>2021</v>
      </c>
      <c r="R328" s="15">
        <v>3</v>
      </c>
      <c r="S328" s="15">
        <v>35777.992676833499</v>
      </c>
      <c r="U328" s="15">
        <v>2021</v>
      </c>
      <c r="V328" s="15">
        <v>3</v>
      </c>
      <c r="W328" s="15">
        <v>36649.1159172919</v>
      </c>
      <c r="Z328" s="15">
        <v>2021</v>
      </c>
      <c r="AA328" s="15">
        <v>3</v>
      </c>
      <c r="AB328" s="15">
        <v>36837.121013434204</v>
      </c>
      <c r="AD328" s="18">
        <v>2021</v>
      </c>
      <c r="AE328" s="18">
        <v>3</v>
      </c>
      <c r="AF328" s="18">
        <v>36963.173208074499</v>
      </c>
      <c r="AH328" s="10">
        <v>2021</v>
      </c>
      <c r="AI328" s="10">
        <v>3</v>
      </c>
      <c r="AJ328" s="18">
        <v>36943.389093269499</v>
      </c>
      <c r="AL328" s="15">
        <v>2021</v>
      </c>
      <c r="AM328" s="15">
        <v>3</v>
      </c>
      <c r="AN328" s="15">
        <v>36831.362389039903</v>
      </c>
      <c r="AQ328" s="18">
        <v>2021</v>
      </c>
      <c r="AR328" s="18">
        <v>3</v>
      </c>
      <c r="AS328" s="18">
        <v>36726.397428323296</v>
      </c>
      <c r="AU328" s="10">
        <v>2021</v>
      </c>
      <c r="AV328" s="10">
        <v>3</v>
      </c>
      <c r="AW328" s="15">
        <v>36758.375874776197</v>
      </c>
      <c r="AY328" s="15">
        <v>2021</v>
      </c>
      <c r="AZ328" s="15">
        <v>3</v>
      </c>
      <c r="BA328" s="15">
        <v>36823.013639926598</v>
      </c>
      <c r="BC328" s="15">
        <v>2021</v>
      </c>
      <c r="BD328" s="15">
        <v>3</v>
      </c>
      <c r="BE328" s="15">
        <v>36853.138916561496</v>
      </c>
      <c r="BG328" s="15">
        <v>2021</v>
      </c>
      <c r="BH328" s="15">
        <v>3</v>
      </c>
      <c r="BI328" s="15">
        <v>36841.1144996738</v>
      </c>
    </row>
    <row r="329" spans="7:61" x14ac:dyDescent="0.25">
      <c r="Q329" s="15">
        <v>2021</v>
      </c>
      <c r="R329" s="15">
        <v>4</v>
      </c>
      <c r="S329" s="15">
        <v>27677.471339955599</v>
      </c>
      <c r="U329" s="15">
        <v>2021</v>
      </c>
      <c r="V329" s="15">
        <v>4</v>
      </c>
      <c r="W329" s="15">
        <v>28474.789720292702</v>
      </c>
      <c r="Z329" s="15">
        <v>2021</v>
      </c>
      <c r="AA329" s="15">
        <v>4</v>
      </c>
      <c r="AB329" s="15">
        <v>28484.4604444201</v>
      </c>
      <c r="AD329" s="18">
        <v>2021</v>
      </c>
      <c r="AE329" s="18">
        <v>4</v>
      </c>
      <c r="AF329" s="18">
        <v>28592.522551174599</v>
      </c>
      <c r="AH329" s="10">
        <v>2021</v>
      </c>
      <c r="AI329" s="10">
        <v>4</v>
      </c>
      <c r="AJ329" s="18">
        <v>28692.571042603799</v>
      </c>
      <c r="AL329" s="15">
        <v>2021</v>
      </c>
      <c r="AM329" s="15">
        <v>4</v>
      </c>
      <c r="AN329" s="15">
        <v>28423.658715248301</v>
      </c>
      <c r="AQ329" s="18">
        <v>2021</v>
      </c>
      <c r="AR329" s="18">
        <v>4</v>
      </c>
      <c r="AS329" s="18">
        <v>28169.358558113501</v>
      </c>
      <c r="AU329" s="10">
        <v>2021</v>
      </c>
      <c r="AV329" s="10">
        <v>4</v>
      </c>
      <c r="AW329" s="15">
        <v>28263.989556123401</v>
      </c>
      <c r="AY329" s="15">
        <v>2021</v>
      </c>
      <c r="AZ329" s="15">
        <v>4</v>
      </c>
      <c r="BA329" s="15">
        <v>28401.359264935702</v>
      </c>
      <c r="BC329" s="15">
        <v>2021</v>
      </c>
      <c r="BD329" s="15">
        <v>4</v>
      </c>
      <c r="BE329" s="15">
        <v>28509.179239303801</v>
      </c>
      <c r="BG329" s="15">
        <v>2021</v>
      </c>
      <c r="BH329" s="15">
        <v>4</v>
      </c>
      <c r="BI329" s="15">
        <v>28506.195585076901</v>
      </c>
    </row>
    <row r="330" spans="7:61" x14ac:dyDescent="0.25">
      <c r="Q330" s="15">
        <v>2021</v>
      </c>
      <c r="R330" s="15">
        <v>5</v>
      </c>
      <c r="S330" s="15">
        <v>35322.016788066103</v>
      </c>
      <c r="U330" s="15">
        <v>2021</v>
      </c>
      <c r="V330" s="15">
        <v>5</v>
      </c>
      <c r="W330" s="15">
        <v>35599.838806750202</v>
      </c>
      <c r="Z330" s="15">
        <v>2021</v>
      </c>
      <c r="AA330" s="15">
        <v>5</v>
      </c>
      <c r="AB330" s="15">
        <v>35498.536158634997</v>
      </c>
      <c r="AD330" s="18">
        <v>2021</v>
      </c>
      <c r="AE330" s="18">
        <v>5</v>
      </c>
      <c r="AF330" s="18">
        <v>35571.206410876301</v>
      </c>
      <c r="AH330" s="10">
        <v>2021</v>
      </c>
      <c r="AI330" s="10">
        <v>5</v>
      </c>
      <c r="AJ330" s="18">
        <v>35603.329574739597</v>
      </c>
      <c r="AL330" s="15">
        <v>2021</v>
      </c>
      <c r="AM330" s="15">
        <v>5</v>
      </c>
      <c r="AN330" s="15">
        <v>35952.776067340797</v>
      </c>
      <c r="AQ330" s="18">
        <v>2021</v>
      </c>
      <c r="AR330" s="18">
        <v>5</v>
      </c>
      <c r="AS330" s="18">
        <v>35893.023719076496</v>
      </c>
      <c r="AU330" s="10">
        <v>2021</v>
      </c>
      <c r="AV330" s="10">
        <v>5</v>
      </c>
      <c r="AW330" s="15">
        <v>36605.8315003198</v>
      </c>
      <c r="AY330" s="15">
        <v>2021</v>
      </c>
      <c r="AZ330" s="15">
        <v>5</v>
      </c>
      <c r="BA330" s="15">
        <v>36701.113742907102</v>
      </c>
      <c r="BC330" s="15">
        <v>2021</v>
      </c>
      <c r="BD330" s="15">
        <v>5</v>
      </c>
      <c r="BE330" s="15">
        <v>36791.670662164302</v>
      </c>
      <c r="BG330" s="15">
        <v>2021</v>
      </c>
      <c r="BH330" s="15">
        <v>5</v>
      </c>
      <c r="BI330" s="15">
        <v>36809.193862928398</v>
      </c>
    </row>
    <row r="331" spans="7:61" x14ac:dyDescent="0.25">
      <c r="Q331" s="15">
        <v>2021</v>
      </c>
      <c r="R331" s="15">
        <v>6</v>
      </c>
      <c r="S331" s="15">
        <v>38059.6933801876</v>
      </c>
      <c r="U331" s="15">
        <v>2021</v>
      </c>
      <c r="V331" s="15">
        <v>6</v>
      </c>
      <c r="W331" s="15">
        <v>38491.303634787102</v>
      </c>
      <c r="Z331" s="15">
        <v>2021</v>
      </c>
      <c r="AA331" s="15">
        <v>6</v>
      </c>
      <c r="AB331" s="15">
        <v>38370.311917702602</v>
      </c>
      <c r="AD331" s="18">
        <v>2021</v>
      </c>
      <c r="AE331" s="18">
        <v>6</v>
      </c>
      <c r="AF331" s="18">
        <v>38399.385926515097</v>
      </c>
      <c r="AH331" s="10">
        <v>2021</v>
      </c>
      <c r="AI331" s="10">
        <v>6</v>
      </c>
      <c r="AJ331" s="18">
        <v>38425.891124098103</v>
      </c>
      <c r="AL331" s="15">
        <v>2021</v>
      </c>
      <c r="AM331" s="15">
        <v>6</v>
      </c>
      <c r="AN331" s="15">
        <v>38594.634529606301</v>
      </c>
      <c r="AQ331" s="18">
        <v>2021</v>
      </c>
      <c r="AR331" s="18">
        <v>6</v>
      </c>
      <c r="AS331" s="18">
        <v>38815.939085748498</v>
      </c>
      <c r="AU331" s="10">
        <v>2021</v>
      </c>
      <c r="AV331" s="10">
        <v>6</v>
      </c>
      <c r="AW331" s="15">
        <v>38917.153241666398</v>
      </c>
      <c r="AY331" s="15">
        <v>2021</v>
      </c>
      <c r="AZ331" s="15">
        <v>6</v>
      </c>
      <c r="BA331" s="15">
        <v>38989.353818662501</v>
      </c>
      <c r="BC331" s="15">
        <v>2021</v>
      </c>
      <c r="BD331" s="15">
        <v>6</v>
      </c>
      <c r="BE331" s="15">
        <v>38914.6280707775</v>
      </c>
      <c r="BG331" s="15">
        <v>2021</v>
      </c>
      <c r="BH331" s="15">
        <v>6</v>
      </c>
      <c r="BI331" s="15">
        <v>38965.739821521602</v>
      </c>
    </row>
    <row r="332" spans="7:61" x14ac:dyDescent="0.25">
      <c r="Q332" s="15">
        <v>2021</v>
      </c>
      <c r="R332" s="15">
        <v>7</v>
      </c>
      <c r="S332" s="15">
        <v>33377.779546753802</v>
      </c>
      <c r="U332" s="15">
        <v>2021</v>
      </c>
      <c r="V332" s="15">
        <v>7</v>
      </c>
      <c r="W332" s="15">
        <v>33442.7807072867</v>
      </c>
      <c r="Z332" s="15">
        <v>2021</v>
      </c>
      <c r="AA332" s="15">
        <v>7</v>
      </c>
      <c r="AB332" s="15">
        <v>33207.958096640599</v>
      </c>
      <c r="AD332" s="18">
        <v>2021</v>
      </c>
      <c r="AE332" s="18">
        <v>7</v>
      </c>
      <c r="AF332" s="18">
        <v>33231.471051743902</v>
      </c>
      <c r="AH332" s="10">
        <v>2021</v>
      </c>
      <c r="AI332" s="10">
        <v>7</v>
      </c>
      <c r="AJ332" s="18">
        <v>33245.550051009603</v>
      </c>
      <c r="AL332" s="15">
        <v>2021</v>
      </c>
      <c r="AM332" s="15">
        <v>7</v>
      </c>
      <c r="AN332" s="15">
        <v>33364.860263280803</v>
      </c>
      <c r="AQ332" s="18">
        <v>2021</v>
      </c>
      <c r="AR332" s="18">
        <v>7</v>
      </c>
      <c r="AS332" s="18">
        <v>33491.476071410798</v>
      </c>
      <c r="AU332" s="10">
        <v>2021</v>
      </c>
      <c r="AV332" s="10">
        <v>7</v>
      </c>
      <c r="AW332" s="15">
        <v>33107.152706622699</v>
      </c>
      <c r="AY332" s="15">
        <v>2021</v>
      </c>
      <c r="AZ332" s="15">
        <v>7</v>
      </c>
      <c r="BA332" s="15">
        <v>33163.157079140299</v>
      </c>
      <c r="BC332" s="15">
        <v>2021</v>
      </c>
      <c r="BD332" s="15">
        <v>7</v>
      </c>
      <c r="BE332" s="15">
        <v>33235.138094329297</v>
      </c>
      <c r="BG332" s="15">
        <v>2021</v>
      </c>
      <c r="BH332" s="15">
        <v>7</v>
      </c>
      <c r="BI332" s="15">
        <v>33300.336668921002</v>
      </c>
    </row>
    <row r="333" spans="7:61" x14ac:dyDescent="0.25">
      <c r="Q333" s="15">
        <v>2021</v>
      </c>
      <c r="R333" s="15">
        <v>8</v>
      </c>
      <c r="S333" s="15">
        <v>33300.818674100301</v>
      </c>
      <c r="U333" s="15">
        <v>2021</v>
      </c>
      <c r="V333" s="15">
        <v>8</v>
      </c>
      <c r="W333" s="15">
        <v>32327.9272032669</v>
      </c>
      <c r="Z333" s="15">
        <v>2021</v>
      </c>
      <c r="AA333" s="15">
        <v>8</v>
      </c>
      <c r="AB333" s="15">
        <v>31994.882171154801</v>
      </c>
      <c r="AD333" s="18">
        <v>2021</v>
      </c>
      <c r="AE333" s="18">
        <v>8</v>
      </c>
      <c r="AF333" s="18">
        <v>32015.0100338052</v>
      </c>
      <c r="AH333" s="10">
        <v>2021</v>
      </c>
      <c r="AI333" s="10">
        <v>8</v>
      </c>
      <c r="AJ333" s="18">
        <v>32016.086783097999</v>
      </c>
      <c r="AL333" s="15">
        <v>2021</v>
      </c>
      <c r="AM333" s="15">
        <v>8</v>
      </c>
      <c r="AN333" s="15">
        <v>32101.219260297399</v>
      </c>
      <c r="AQ333" s="18">
        <v>2021</v>
      </c>
      <c r="AR333" s="18">
        <v>8</v>
      </c>
      <c r="AS333" s="18">
        <v>32193.5246297585</v>
      </c>
      <c r="AU333" s="10">
        <v>2021</v>
      </c>
      <c r="AV333" s="10">
        <v>8</v>
      </c>
      <c r="AW333" s="15">
        <v>31981.114133425199</v>
      </c>
      <c r="AY333" s="15">
        <v>2021</v>
      </c>
      <c r="AZ333" s="15">
        <v>8</v>
      </c>
      <c r="BA333" s="15">
        <v>31742.676189744601</v>
      </c>
      <c r="BC333" s="15">
        <v>2021</v>
      </c>
      <c r="BD333" s="15">
        <v>8</v>
      </c>
      <c r="BE333" s="15">
        <v>31811.966829730802</v>
      </c>
      <c r="BG333" s="15">
        <v>2021</v>
      </c>
      <c r="BH333" s="15">
        <v>8</v>
      </c>
      <c r="BI333" s="15">
        <v>31887.835761603099</v>
      </c>
    </row>
    <row r="334" spans="7:61" x14ac:dyDescent="0.25">
      <c r="Q334" s="15">
        <v>2021</v>
      </c>
      <c r="R334" s="15">
        <v>9</v>
      </c>
      <c r="S334" s="15">
        <v>37805.384516373801</v>
      </c>
      <c r="U334" s="15">
        <v>2021</v>
      </c>
      <c r="V334" s="15">
        <v>9</v>
      </c>
      <c r="W334" s="15">
        <v>37336.791998596098</v>
      </c>
      <c r="Z334" s="15">
        <v>2021</v>
      </c>
      <c r="AA334" s="15">
        <v>9</v>
      </c>
      <c r="AB334" s="15">
        <v>36944.668658123803</v>
      </c>
      <c r="AD334" s="18">
        <v>2021</v>
      </c>
      <c r="AE334" s="18">
        <v>9</v>
      </c>
      <c r="AF334" s="18">
        <v>36932.3441182483</v>
      </c>
      <c r="AH334" s="10">
        <v>2021</v>
      </c>
      <c r="AI334" s="10">
        <v>9</v>
      </c>
      <c r="AJ334" s="18">
        <v>36926.807908884402</v>
      </c>
      <c r="AL334" s="15">
        <v>2021</v>
      </c>
      <c r="AM334" s="15">
        <v>9</v>
      </c>
      <c r="AN334" s="15">
        <v>36984.931392423998</v>
      </c>
      <c r="AQ334" s="18">
        <v>2021</v>
      </c>
      <c r="AR334" s="18">
        <v>9</v>
      </c>
      <c r="AS334" s="18">
        <v>37044.832232590597</v>
      </c>
      <c r="AU334" s="10">
        <v>2021</v>
      </c>
      <c r="AV334" s="10">
        <v>9</v>
      </c>
      <c r="AW334" s="15">
        <v>36873.806442649598</v>
      </c>
      <c r="AY334" s="15">
        <v>2021</v>
      </c>
      <c r="AZ334" s="15">
        <v>9</v>
      </c>
      <c r="BA334" s="15">
        <v>36717.082387660397</v>
      </c>
      <c r="BC334" s="15">
        <v>2021</v>
      </c>
      <c r="BD334" s="15">
        <v>9</v>
      </c>
      <c r="BE334" s="15">
        <v>36702.704815386402</v>
      </c>
      <c r="BG334" s="15">
        <v>2021</v>
      </c>
      <c r="BH334" s="15">
        <v>9</v>
      </c>
      <c r="BI334" s="15">
        <v>36788.7025101865</v>
      </c>
    </row>
    <row r="335" spans="7:61" x14ac:dyDescent="0.25">
      <c r="Q335" s="15">
        <v>2021</v>
      </c>
      <c r="R335" s="15">
        <v>10</v>
      </c>
      <c r="S335" s="15">
        <v>38154.045591666902</v>
      </c>
      <c r="U335" s="15">
        <v>2021</v>
      </c>
      <c r="V335" s="15">
        <v>10</v>
      </c>
      <c r="W335" s="15">
        <v>38168.920343836602</v>
      </c>
      <c r="Z335" s="15">
        <v>2021</v>
      </c>
      <c r="AA335" s="15">
        <v>10</v>
      </c>
      <c r="AB335" s="15">
        <v>37727.368890184902</v>
      </c>
      <c r="AD335" s="18">
        <v>2021</v>
      </c>
      <c r="AE335" s="18">
        <v>10</v>
      </c>
      <c r="AF335" s="18">
        <v>37693.147811834599</v>
      </c>
      <c r="AH335" s="10">
        <v>2021</v>
      </c>
      <c r="AI335" s="10">
        <v>10</v>
      </c>
      <c r="AJ335" s="18">
        <v>37672.0799417526</v>
      </c>
      <c r="AL335" s="15">
        <v>2021</v>
      </c>
      <c r="AM335" s="15">
        <v>10</v>
      </c>
      <c r="AN335" s="15">
        <v>37700.630782707602</v>
      </c>
      <c r="AQ335" s="18">
        <v>2021</v>
      </c>
      <c r="AR335" s="18">
        <v>10</v>
      </c>
      <c r="AS335" s="18">
        <v>37782.790308111697</v>
      </c>
      <c r="AU335" s="10">
        <v>2021</v>
      </c>
      <c r="AV335" s="10">
        <v>10</v>
      </c>
      <c r="AW335" s="15">
        <v>37687.015615872297</v>
      </c>
      <c r="AY335" s="15">
        <v>2021</v>
      </c>
      <c r="AZ335" s="15">
        <v>10</v>
      </c>
      <c r="BA335" s="15">
        <v>37559.724908620497</v>
      </c>
      <c r="BC335" s="15">
        <v>2021</v>
      </c>
      <c r="BD335" s="15">
        <v>10</v>
      </c>
      <c r="BE335" s="15">
        <v>37350.295778610598</v>
      </c>
      <c r="BG335" s="15">
        <v>2021</v>
      </c>
      <c r="BH335" s="15">
        <v>10</v>
      </c>
      <c r="BI335" s="15">
        <v>37421.2549806272</v>
      </c>
    </row>
    <row r="336" spans="7:61" x14ac:dyDescent="0.25">
      <c r="Q336" s="15">
        <v>2021</v>
      </c>
      <c r="R336" s="15">
        <v>11</v>
      </c>
      <c r="S336" s="15">
        <v>41317.310379137198</v>
      </c>
      <c r="U336" s="15">
        <v>2021</v>
      </c>
      <c r="V336" s="15">
        <v>11</v>
      </c>
      <c r="W336" s="15">
        <v>40774.512365574701</v>
      </c>
      <c r="Z336" s="15">
        <v>2021</v>
      </c>
      <c r="AA336" s="15">
        <v>11</v>
      </c>
      <c r="AB336" s="15">
        <v>40036.283067828699</v>
      </c>
      <c r="AD336" s="18">
        <v>2021</v>
      </c>
      <c r="AE336" s="18">
        <v>11</v>
      </c>
      <c r="AF336" s="18">
        <v>39948.773879711502</v>
      </c>
      <c r="AH336" s="10">
        <v>2021</v>
      </c>
      <c r="AI336" s="10">
        <v>11</v>
      </c>
      <c r="AJ336" s="18">
        <v>39928.313886556301</v>
      </c>
      <c r="AL336" s="15">
        <v>2021</v>
      </c>
      <c r="AM336" s="15">
        <v>11</v>
      </c>
      <c r="AN336" s="15">
        <v>39913.030679895899</v>
      </c>
      <c r="AQ336" s="18">
        <v>2021</v>
      </c>
      <c r="AR336" s="18">
        <v>11</v>
      </c>
      <c r="AS336" s="18">
        <v>39956.452607770698</v>
      </c>
      <c r="AU336" s="10">
        <v>2021</v>
      </c>
      <c r="AV336" s="10">
        <v>11</v>
      </c>
      <c r="AW336" s="15">
        <v>39839.088233267503</v>
      </c>
      <c r="AY336" s="15">
        <v>2021</v>
      </c>
      <c r="AZ336" s="15">
        <v>11</v>
      </c>
      <c r="BA336" s="15">
        <v>39769.664727392097</v>
      </c>
      <c r="BC336" s="15">
        <v>2021</v>
      </c>
      <c r="BD336" s="15">
        <v>11</v>
      </c>
      <c r="BE336" s="15">
        <v>39633.057315947801</v>
      </c>
      <c r="BG336" s="15">
        <v>2021</v>
      </c>
      <c r="BH336" s="15">
        <v>11</v>
      </c>
      <c r="BI336" s="15">
        <v>39470.560203275701</v>
      </c>
    </row>
    <row r="337" spans="17:61" x14ac:dyDescent="0.25">
      <c r="Q337" s="15">
        <v>2021</v>
      </c>
      <c r="R337" s="15">
        <v>12</v>
      </c>
      <c r="S337" s="15">
        <v>43979.674484089301</v>
      </c>
      <c r="U337" s="15">
        <v>2021</v>
      </c>
      <c r="V337" s="15">
        <v>12</v>
      </c>
      <c r="W337" s="15">
        <v>44144.672641314603</v>
      </c>
      <c r="Z337" s="15">
        <v>2021</v>
      </c>
      <c r="AA337" s="15">
        <v>12</v>
      </c>
      <c r="AB337" s="15">
        <v>44410.523466641302</v>
      </c>
      <c r="AD337" s="18">
        <v>2021</v>
      </c>
      <c r="AE337" s="18">
        <v>12</v>
      </c>
      <c r="AF337" s="18">
        <v>44247.219374218897</v>
      </c>
      <c r="AH337" s="10">
        <v>2021</v>
      </c>
      <c r="AI337" s="10">
        <v>12</v>
      </c>
      <c r="AJ337" s="18">
        <v>44228.7553551417</v>
      </c>
      <c r="AL337" s="15">
        <v>2021</v>
      </c>
      <c r="AM337" s="15">
        <v>12</v>
      </c>
      <c r="AN337" s="15">
        <v>44181.485385259002</v>
      </c>
      <c r="AQ337" s="18">
        <v>2021</v>
      </c>
      <c r="AR337" s="18">
        <v>12</v>
      </c>
      <c r="AS337" s="18">
        <v>44180.723442630901</v>
      </c>
      <c r="AU337" s="10">
        <v>2021</v>
      </c>
      <c r="AV337" s="10">
        <v>12</v>
      </c>
      <c r="AW337" s="15">
        <v>44065.126535451403</v>
      </c>
      <c r="AY337" s="15">
        <v>2021</v>
      </c>
      <c r="AZ337" s="15">
        <v>12</v>
      </c>
      <c r="BA337" s="15">
        <v>44054.414420885303</v>
      </c>
      <c r="BC337" s="15">
        <v>2021</v>
      </c>
      <c r="BD337" s="15">
        <v>12</v>
      </c>
      <c r="BE337" s="15">
        <v>43979.217722934802</v>
      </c>
      <c r="BG337" s="15">
        <v>2021</v>
      </c>
      <c r="BH337" s="15">
        <v>12</v>
      </c>
      <c r="BI337" s="15">
        <v>43889.425277731803</v>
      </c>
    </row>
    <row r="338" spans="17:61" x14ac:dyDescent="0.25">
      <c r="Q338" s="15">
        <v>2022</v>
      </c>
      <c r="R338" s="15">
        <v>1</v>
      </c>
      <c r="S338" s="15">
        <v>39197.916903536803</v>
      </c>
      <c r="U338" s="15">
        <v>2022</v>
      </c>
      <c r="V338" s="15">
        <v>1</v>
      </c>
      <c r="W338" s="15">
        <v>38878.642950146001</v>
      </c>
      <c r="Z338" s="15">
        <v>2022</v>
      </c>
      <c r="AA338" s="15">
        <v>1</v>
      </c>
      <c r="AB338" s="15">
        <v>40230.970251314902</v>
      </c>
      <c r="AD338" s="18">
        <v>2022</v>
      </c>
      <c r="AE338" s="18">
        <v>1</v>
      </c>
      <c r="AF338" s="18">
        <v>40041.592865688101</v>
      </c>
      <c r="AH338" s="10">
        <v>2022</v>
      </c>
      <c r="AI338" s="10">
        <v>1</v>
      </c>
      <c r="AJ338" s="18">
        <v>39992.593833549698</v>
      </c>
      <c r="AL338" s="15">
        <v>2022</v>
      </c>
      <c r="AM338" s="15">
        <v>1</v>
      </c>
      <c r="AN338" s="15">
        <v>39836.8200804066</v>
      </c>
      <c r="AQ338" s="18">
        <v>2022</v>
      </c>
      <c r="AR338" s="18">
        <v>1</v>
      </c>
      <c r="AS338" s="18">
        <v>39823.051334287898</v>
      </c>
      <c r="AU338" s="10">
        <v>2022</v>
      </c>
      <c r="AV338" s="10">
        <v>1</v>
      </c>
      <c r="AW338" s="15">
        <v>39817.770057091897</v>
      </c>
      <c r="AY338" s="15">
        <v>2022</v>
      </c>
      <c r="AZ338" s="15">
        <v>1</v>
      </c>
      <c r="BA338" s="15">
        <v>39851.1623380612</v>
      </c>
      <c r="BC338" s="15">
        <v>2022</v>
      </c>
      <c r="BD338" s="15">
        <v>1</v>
      </c>
      <c r="BE338" s="15">
        <v>39853.283069766701</v>
      </c>
      <c r="BG338" s="15">
        <v>2022</v>
      </c>
      <c r="BH338" s="15">
        <v>1</v>
      </c>
      <c r="BI338" s="15">
        <v>39754.274738964203</v>
      </c>
    </row>
    <row r="339" spans="17:61" x14ac:dyDescent="0.25">
      <c r="Q339" s="15">
        <v>2022</v>
      </c>
      <c r="R339" s="15">
        <v>2</v>
      </c>
      <c r="S339" s="15">
        <v>40617.081433044703</v>
      </c>
      <c r="U339" s="15">
        <v>2022</v>
      </c>
      <c r="V339" s="15">
        <v>2</v>
      </c>
      <c r="W339" s="15">
        <v>41173.395770992698</v>
      </c>
      <c r="Z339" s="15">
        <v>2022</v>
      </c>
      <c r="AA339" s="15">
        <v>2</v>
      </c>
      <c r="AB339" s="15">
        <v>42061.934215125097</v>
      </c>
      <c r="AD339" s="18">
        <v>2022</v>
      </c>
      <c r="AE339" s="18">
        <v>2</v>
      </c>
      <c r="AF339" s="18">
        <v>41901.628703972499</v>
      </c>
      <c r="AH339" s="10">
        <v>2022</v>
      </c>
      <c r="AI339" s="10">
        <v>2</v>
      </c>
      <c r="AJ339" s="18">
        <v>41861.158345798503</v>
      </c>
      <c r="AL339" s="15">
        <v>2022</v>
      </c>
      <c r="AM339" s="15">
        <v>2</v>
      </c>
      <c r="AN339" s="15">
        <v>41633.390351345799</v>
      </c>
      <c r="AQ339" s="18">
        <v>2022</v>
      </c>
      <c r="AR339" s="18">
        <v>2</v>
      </c>
      <c r="AS339" s="18">
        <v>41498.823885485399</v>
      </c>
      <c r="AU339" s="10">
        <v>2022</v>
      </c>
      <c r="AV339" s="10">
        <v>2</v>
      </c>
      <c r="AW339" s="15">
        <v>41558.978675687002</v>
      </c>
      <c r="AY339" s="15">
        <v>2022</v>
      </c>
      <c r="AZ339" s="15">
        <v>2</v>
      </c>
      <c r="BA339" s="15">
        <v>41656.213970548597</v>
      </c>
      <c r="BC339" s="15">
        <v>2022</v>
      </c>
      <c r="BD339" s="15">
        <v>2</v>
      </c>
      <c r="BE339" s="15">
        <v>41720.685259797399</v>
      </c>
      <c r="BG339" s="15">
        <v>2022</v>
      </c>
      <c r="BH339" s="15">
        <v>2</v>
      </c>
      <c r="BI339" s="15">
        <v>41655.8765187959</v>
      </c>
    </row>
    <row r="340" spans="17:61" x14ac:dyDescent="0.25">
      <c r="Q340" s="15">
        <v>2022</v>
      </c>
      <c r="R340" s="15">
        <v>3</v>
      </c>
      <c r="S340" s="15">
        <v>40951.993383009998</v>
      </c>
      <c r="U340" s="15">
        <v>2022</v>
      </c>
      <c r="V340" s="15">
        <v>3</v>
      </c>
      <c r="W340" s="15">
        <v>41748.279345279603</v>
      </c>
      <c r="Z340" s="15">
        <v>2022</v>
      </c>
      <c r="AA340" s="15">
        <v>3</v>
      </c>
      <c r="AB340" s="15">
        <v>41981.067289291503</v>
      </c>
      <c r="AD340" s="18">
        <v>2022</v>
      </c>
      <c r="AE340" s="18">
        <v>3</v>
      </c>
      <c r="AF340" s="18">
        <v>42423.264446899397</v>
      </c>
      <c r="AH340" s="10">
        <v>2022</v>
      </c>
      <c r="AI340" s="10">
        <v>3</v>
      </c>
      <c r="AJ340" s="18">
        <v>42389.3894942642</v>
      </c>
      <c r="AL340" s="15">
        <v>2022</v>
      </c>
      <c r="AM340" s="15">
        <v>3</v>
      </c>
      <c r="AN340" s="15">
        <v>42179.805613284603</v>
      </c>
      <c r="AQ340" s="18">
        <v>2022</v>
      </c>
      <c r="AR340" s="18">
        <v>3</v>
      </c>
      <c r="AS340" s="18">
        <v>42008.959959938496</v>
      </c>
      <c r="AU340" s="10">
        <v>2022</v>
      </c>
      <c r="AV340" s="10">
        <v>3</v>
      </c>
      <c r="AW340" s="15">
        <v>42129.463375707601</v>
      </c>
      <c r="AY340" s="15">
        <v>2022</v>
      </c>
      <c r="AZ340" s="15">
        <v>3</v>
      </c>
      <c r="BA340" s="15">
        <v>42243.967440985703</v>
      </c>
      <c r="BC340" s="15">
        <v>2022</v>
      </c>
      <c r="BD340" s="15">
        <v>3</v>
      </c>
      <c r="BE340" s="15">
        <v>42321.460210749799</v>
      </c>
      <c r="BG340" s="15">
        <v>2022</v>
      </c>
      <c r="BH340" s="15">
        <v>3</v>
      </c>
      <c r="BI340" s="15">
        <v>42308.769785414501</v>
      </c>
    </row>
    <row r="341" spans="17:61" x14ac:dyDescent="0.25">
      <c r="Q341" s="15">
        <v>2022</v>
      </c>
      <c r="R341" s="15">
        <v>4</v>
      </c>
      <c r="S341" s="15">
        <v>43410.480687714902</v>
      </c>
      <c r="U341" s="15">
        <v>2022</v>
      </c>
      <c r="V341" s="15">
        <v>4</v>
      </c>
      <c r="W341" s="15">
        <v>44147.063617970103</v>
      </c>
      <c r="Z341" s="15">
        <v>2022</v>
      </c>
      <c r="AA341" s="15">
        <v>4</v>
      </c>
      <c r="AB341" s="15">
        <v>44117.241931974298</v>
      </c>
      <c r="AD341" s="18">
        <v>2022</v>
      </c>
      <c r="AE341" s="18">
        <v>4</v>
      </c>
      <c r="AF341" s="18">
        <v>44293.091442352903</v>
      </c>
      <c r="AH341" s="10">
        <v>2022</v>
      </c>
      <c r="AI341" s="10">
        <v>4</v>
      </c>
      <c r="AJ341" s="18">
        <v>44361.435232512602</v>
      </c>
      <c r="AL341" s="15">
        <v>2022</v>
      </c>
      <c r="AM341" s="15">
        <v>4</v>
      </c>
      <c r="AN341" s="15">
        <v>43969.782778391404</v>
      </c>
      <c r="AQ341" s="18">
        <v>2022</v>
      </c>
      <c r="AR341" s="18">
        <v>4</v>
      </c>
      <c r="AS341" s="18">
        <v>43637.410656670902</v>
      </c>
      <c r="AU341" s="10">
        <v>2022</v>
      </c>
      <c r="AV341" s="10">
        <v>4</v>
      </c>
      <c r="AW341" s="15">
        <v>43891.661827132302</v>
      </c>
      <c r="AY341" s="15">
        <v>2022</v>
      </c>
      <c r="AZ341" s="15">
        <v>4</v>
      </c>
      <c r="BA341" s="15">
        <v>44063.405243809197</v>
      </c>
      <c r="BC341" s="15">
        <v>2022</v>
      </c>
      <c r="BD341" s="15">
        <v>4</v>
      </c>
      <c r="BE341" s="15">
        <v>44228.759791008197</v>
      </c>
      <c r="BG341" s="15">
        <v>2022</v>
      </c>
      <c r="BH341" s="15">
        <v>4</v>
      </c>
      <c r="BI341" s="15">
        <v>44224.6238610051</v>
      </c>
    </row>
    <row r="342" spans="17:61" x14ac:dyDescent="0.25">
      <c r="Q342" s="15">
        <v>2022</v>
      </c>
      <c r="R342" s="15">
        <v>5</v>
      </c>
      <c r="S342" s="15">
        <v>45791.0938615056</v>
      </c>
      <c r="U342" s="15">
        <v>2022</v>
      </c>
      <c r="V342" s="15">
        <v>5</v>
      </c>
      <c r="W342" s="15">
        <v>45915.835104599901</v>
      </c>
      <c r="Z342" s="15">
        <v>2022</v>
      </c>
      <c r="AA342" s="15">
        <v>5</v>
      </c>
      <c r="AB342" s="15">
        <v>45787.995527806102</v>
      </c>
      <c r="AD342" s="18">
        <v>2022</v>
      </c>
      <c r="AE342" s="18">
        <v>5</v>
      </c>
      <c r="AF342" s="18">
        <v>45859.386686063299</v>
      </c>
      <c r="AH342" s="10">
        <v>2022</v>
      </c>
      <c r="AI342" s="10">
        <v>5</v>
      </c>
      <c r="AJ342" s="18">
        <v>45928.899928200102</v>
      </c>
      <c r="AL342" s="15">
        <v>2022</v>
      </c>
      <c r="AM342" s="15">
        <v>5</v>
      </c>
      <c r="AN342" s="15">
        <v>46439.365873664203</v>
      </c>
      <c r="AQ342" s="18">
        <v>2022</v>
      </c>
      <c r="AR342" s="18">
        <v>5</v>
      </c>
      <c r="AS342" s="18">
        <v>46202.425038317902</v>
      </c>
      <c r="AU342" s="10">
        <v>2022</v>
      </c>
      <c r="AV342" s="10">
        <v>5</v>
      </c>
      <c r="AW342" s="15">
        <v>46920.1616444459</v>
      </c>
      <c r="AY342" s="15">
        <v>2022</v>
      </c>
      <c r="AZ342" s="15">
        <v>5</v>
      </c>
      <c r="BA342" s="15">
        <v>47063.641470445698</v>
      </c>
      <c r="BC342" s="15">
        <v>2022</v>
      </c>
      <c r="BD342" s="15">
        <v>5</v>
      </c>
      <c r="BE342" s="15">
        <v>47197.044927373601</v>
      </c>
      <c r="BG342" s="15">
        <v>2022</v>
      </c>
      <c r="BH342" s="15">
        <v>5</v>
      </c>
      <c r="BI342" s="15">
        <v>47235.989523749799</v>
      </c>
    </row>
    <row r="343" spans="17:61" x14ac:dyDescent="0.25">
      <c r="Q343" s="15">
        <v>2022</v>
      </c>
      <c r="R343" s="15">
        <v>6</v>
      </c>
      <c r="S343" s="15">
        <v>46160.1249606825</v>
      </c>
      <c r="U343" s="15">
        <v>2022</v>
      </c>
      <c r="V343" s="15">
        <v>6</v>
      </c>
      <c r="W343" s="15">
        <v>46502.887313551197</v>
      </c>
      <c r="Z343" s="15">
        <v>2022</v>
      </c>
      <c r="AA343" s="15">
        <v>6</v>
      </c>
      <c r="AB343" s="15">
        <v>46293.723706990997</v>
      </c>
      <c r="AD343" s="18">
        <v>2022</v>
      </c>
      <c r="AE343" s="18">
        <v>6</v>
      </c>
      <c r="AF343" s="18">
        <v>46325.997760348902</v>
      </c>
      <c r="AH343" s="10">
        <v>2022</v>
      </c>
      <c r="AI343" s="10">
        <v>6</v>
      </c>
      <c r="AJ343" s="18">
        <v>46368.472413900301</v>
      </c>
      <c r="AL343" s="15">
        <v>2022</v>
      </c>
      <c r="AM343" s="15">
        <v>6</v>
      </c>
      <c r="AN343" s="15">
        <v>46654.5288505551</v>
      </c>
      <c r="AQ343" s="18">
        <v>2022</v>
      </c>
      <c r="AR343" s="18">
        <v>6</v>
      </c>
      <c r="AS343" s="18">
        <v>47080.452496117701</v>
      </c>
      <c r="AU343" s="10">
        <v>2022</v>
      </c>
      <c r="AV343" s="10">
        <v>6</v>
      </c>
      <c r="AW343" s="15">
        <v>47496.028622684898</v>
      </c>
      <c r="AY343" s="15">
        <v>2022</v>
      </c>
      <c r="AZ343" s="15">
        <v>6</v>
      </c>
      <c r="BA343" s="15">
        <v>47621.963423195302</v>
      </c>
      <c r="BC343" s="15">
        <v>2022</v>
      </c>
      <c r="BD343" s="15">
        <v>6</v>
      </c>
      <c r="BE343" s="15">
        <v>47459.906573755201</v>
      </c>
      <c r="BG343" s="15">
        <v>2022</v>
      </c>
      <c r="BH343" s="15">
        <v>6</v>
      </c>
      <c r="BI343" s="15">
        <v>47537.175831289103</v>
      </c>
    </row>
    <row r="344" spans="17:61" x14ac:dyDescent="0.25">
      <c r="Q344" s="15">
        <v>2022</v>
      </c>
      <c r="R344" s="15">
        <v>7</v>
      </c>
      <c r="S344" s="15">
        <v>46902.845935856902</v>
      </c>
      <c r="U344" s="15">
        <v>2022</v>
      </c>
      <c r="V344" s="15">
        <v>7</v>
      </c>
      <c r="W344" s="15">
        <v>47019.674792804399</v>
      </c>
      <c r="Z344" s="15">
        <v>2022</v>
      </c>
      <c r="AA344" s="15">
        <v>7</v>
      </c>
      <c r="AB344" s="15">
        <v>46671.691379290802</v>
      </c>
      <c r="AD344" s="18">
        <v>2022</v>
      </c>
      <c r="AE344" s="18">
        <v>7</v>
      </c>
      <c r="AF344" s="18">
        <v>46702.905276074998</v>
      </c>
      <c r="AH344" s="10">
        <v>2022</v>
      </c>
      <c r="AI344" s="10">
        <v>7</v>
      </c>
      <c r="AJ344" s="18">
        <v>46721.247964117698</v>
      </c>
      <c r="AL344" s="15">
        <v>2022</v>
      </c>
      <c r="AM344" s="15">
        <v>7</v>
      </c>
      <c r="AN344" s="15">
        <v>46882.506719447498</v>
      </c>
      <c r="AQ344" s="18">
        <v>2022</v>
      </c>
      <c r="AR344" s="18">
        <v>7</v>
      </c>
      <c r="AS344" s="18">
        <v>47106.575993430502</v>
      </c>
      <c r="AU344" s="10">
        <v>2022</v>
      </c>
      <c r="AV344" s="10">
        <v>7</v>
      </c>
      <c r="AW344" s="15">
        <v>46287.553067383698</v>
      </c>
      <c r="AY344" s="15">
        <v>2022</v>
      </c>
      <c r="AZ344" s="15">
        <v>7</v>
      </c>
      <c r="BA344" s="15">
        <v>46391.977222441099</v>
      </c>
      <c r="BC344" s="15">
        <v>2022</v>
      </c>
      <c r="BD344" s="15">
        <v>7</v>
      </c>
      <c r="BE344" s="15">
        <v>46549.534413754103</v>
      </c>
      <c r="BG344" s="15">
        <v>2022</v>
      </c>
      <c r="BH344" s="15">
        <v>7</v>
      </c>
      <c r="BI344" s="15">
        <v>46637.836711549498</v>
      </c>
    </row>
    <row r="345" spans="17:61" x14ac:dyDescent="0.25">
      <c r="Q345" s="15">
        <v>2022</v>
      </c>
      <c r="R345" s="15">
        <v>8</v>
      </c>
      <c r="S345" s="15">
        <v>48278.223364890298</v>
      </c>
      <c r="U345" s="15">
        <v>2022</v>
      </c>
      <c r="V345" s="15">
        <v>8</v>
      </c>
      <c r="W345" s="15">
        <v>46700.709388094903</v>
      </c>
      <c r="Z345" s="15">
        <v>2022</v>
      </c>
      <c r="AA345" s="15">
        <v>8</v>
      </c>
      <c r="AB345" s="15">
        <v>46266.763993988898</v>
      </c>
      <c r="AD345" s="18">
        <v>2022</v>
      </c>
      <c r="AE345" s="18">
        <v>8</v>
      </c>
      <c r="AF345" s="18">
        <v>46273.614895688901</v>
      </c>
      <c r="AH345" s="10">
        <v>2022</v>
      </c>
      <c r="AI345" s="10">
        <v>8</v>
      </c>
      <c r="AJ345" s="18">
        <v>46284.324250979</v>
      </c>
      <c r="AL345" s="15">
        <v>2022</v>
      </c>
      <c r="AM345" s="15">
        <v>8</v>
      </c>
      <c r="AN345" s="15">
        <v>46381.530227212403</v>
      </c>
      <c r="AQ345" s="18">
        <v>2022</v>
      </c>
      <c r="AR345" s="18">
        <v>8</v>
      </c>
      <c r="AS345" s="18">
        <v>46469.990476181301</v>
      </c>
      <c r="AU345" s="10">
        <v>2022</v>
      </c>
      <c r="AV345" s="10">
        <v>8</v>
      </c>
      <c r="AW345" s="15">
        <v>46110.792202017903</v>
      </c>
      <c r="AY345" s="15">
        <v>2022</v>
      </c>
      <c r="AZ345" s="15">
        <v>8</v>
      </c>
      <c r="BA345" s="15">
        <v>45712.979910157803</v>
      </c>
      <c r="BC345" s="15">
        <v>2022</v>
      </c>
      <c r="BD345" s="15">
        <v>8</v>
      </c>
      <c r="BE345" s="15">
        <v>45857.667661045503</v>
      </c>
      <c r="BG345" s="15">
        <v>2022</v>
      </c>
      <c r="BH345" s="15">
        <v>8</v>
      </c>
      <c r="BI345" s="15">
        <v>45984.8629913154</v>
      </c>
    </row>
    <row r="346" spans="17:61" x14ac:dyDescent="0.25">
      <c r="Q346" s="15">
        <v>2022</v>
      </c>
      <c r="R346" s="15">
        <v>9</v>
      </c>
      <c r="S346" s="15">
        <v>46258.782663614598</v>
      </c>
      <c r="U346" s="15">
        <v>2022</v>
      </c>
      <c r="V346" s="15">
        <v>9</v>
      </c>
      <c r="W346" s="15">
        <v>45871.379825983</v>
      </c>
      <c r="Z346" s="15">
        <v>2022</v>
      </c>
      <c r="AA346" s="15">
        <v>9</v>
      </c>
      <c r="AB346" s="15">
        <v>45355.230441039297</v>
      </c>
      <c r="AD346" s="18">
        <v>2022</v>
      </c>
      <c r="AE346" s="18">
        <v>9</v>
      </c>
      <c r="AF346" s="18">
        <v>45344.204431855098</v>
      </c>
      <c r="AH346" s="10">
        <v>2022</v>
      </c>
      <c r="AI346" s="10">
        <v>9</v>
      </c>
      <c r="AJ346" s="18">
        <v>45338.764637712797</v>
      </c>
      <c r="AL346" s="15">
        <v>2022</v>
      </c>
      <c r="AM346" s="15">
        <v>9</v>
      </c>
      <c r="AN346" s="15">
        <v>45400.143179955099</v>
      </c>
      <c r="AQ346" s="18">
        <v>2022</v>
      </c>
      <c r="AR346" s="18">
        <v>9</v>
      </c>
      <c r="AS346" s="18">
        <v>45464.3855607437</v>
      </c>
      <c r="AU346" s="10">
        <v>2022</v>
      </c>
      <c r="AV346" s="10">
        <v>9</v>
      </c>
      <c r="AW346" s="15">
        <v>45268.173283817501</v>
      </c>
      <c r="AY346" s="15">
        <v>2022</v>
      </c>
      <c r="AZ346" s="15">
        <v>9</v>
      </c>
      <c r="BA346" s="15">
        <v>45008.533898530099</v>
      </c>
      <c r="BC346" s="15">
        <v>2022</v>
      </c>
      <c r="BD346" s="15">
        <v>9</v>
      </c>
      <c r="BE346" s="15">
        <v>45024.529919043998</v>
      </c>
      <c r="BG346" s="15">
        <v>2022</v>
      </c>
      <c r="BH346" s="15">
        <v>9</v>
      </c>
      <c r="BI346" s="15">
        <v>45166.301185029501</v>
      </c>
    </row>
    <row r="347" spans="17:61" x14ac:dyDescent="0.25">
      <c r="Q347" s="15">
        <v>2022</v>
      </c>
      <c r="R347" s="15">
        <v>10</v>
      </c>
      <c r="S347" s="15">
        <v>49372.683844035702</v>
      </c>
      <c r="U347" s="15">
        <v>2022</v>
      </c>
      <c r="V347" s="15">
        <v>10</v>
      </c>
      <c r="W347" s="15">
        <v>49781.573315375797</v>
      </c>
      <c r="Z347" s="15">
        <v>2022</v>
      </c>
      <c r="AA347" s="15">
        <v>10</v>
      </c>
      <c r="AB347" s="15">
        <v>49186.436225953803</v>
      </c>
      <c r="AD347" s="18">
        <v>2022</v>
      </c>
      <c r="AE347" s="18">
        <v>10</v>
      </c>
      <c r="AF347" s="18">
        <v>49144.717667484103</v>
      </c>
      <c r="AH347" s="10">
        <v>2022</v>
      </c>
      <c r="AI347" s="10">
        <v>10</v>
      </c>
      <c r="AJ347" s="18">
        <v>49127.5633969462</v>
      </c>
      <c r="AL347" s="15">
        <v>2022</v>
      </c>
      <c r="AM347" s="15">
        <v>10</v>
      </c>
      <c r="AN347" s="15">
        <v>49156.086947597098</v>
      </c>
      <c r="AQ347" s="18">
        <v>2022</v>
      </c>
      <c r="AR347" s="18">
        <v>10</v>
      </c>
      <c r="AS347" s="18">
        <v>49242.614232781103</v>
      </c>
      <c r="AU347" s="10">
        <v>2022</v>
      </c>
      <c r="AV347" s="10">
        <v>10</v>
      </c>
      <c r="AW347" s="15">
        <v>49140.689780615001</v>
      </c>
      <c r="AY347" s="15">
        <v>2022</v>
      </c>
      <c r="AZ347" s="15">
        <v>10</v>
      </c>
      <c r="BA347" s="15">
        <v>48972.497901667499</v>
      </c>
      <c r="BC347" s="15">
        <v>2022</v>
      </c>
      <c r="BD347" s="15">
        <v>10</v>
      </c>
      <c r="BE347" s="15">
        <v>48529.579212916004</v>
      </c>
      <c r="BG347" s="15">
        <v>2022</v>
      </c>
      <c r="BH347" s="15">
        <v>10</v>
      </c>
      <c r="BI347" s="15">
        <v>48677.339444946003</v>
      </c>
    </row>
    <row r="348" spans="17:61" x14ac:dyDescent="0.25">
      <c r="Q348" s="15">
        <v>2022</v>
      </c>
      <c r="R348" s="15">
        <v>11</v>
      </c>
      <c r="S348" s="15">
        <v>47774.251254360897</v>
      </c>
      <c r="U348" s="15">
        <v>2022</v>
      </c>
      <c r="V348" s="15">
        <v>11</v>
      </c>
      <c r="W348" s="15">
        <v>47609.0654816924</v>
      </c>
      <c r="Z348" s="15">
        <v>2022</v>
      </c>
      <c r="AA348" s="15">
        <v>11</v>
      </c>
      <c r="AB348" s="15">
        <v>46453.351810163702</v>
      </c>
      <c r="AD348" s="18">
        <v>2022</v>
      </c>
      <c r="AE348" s="18">
        <v>11</v>
      </c>
      <c r="AF348" s="18">
        <v>46345.729924678097</v>
      </c>
      <c r="AH348" s="10">
        <v>2022</v>
      </c>
      <c r="AI348" s="10">
        <v>11</v>
      </c>
      <c r="AJ348" s="18">
        <v>46330.221075769201</v>
      </c>
      <c r="AL348" s="15">
        <v>2022</v>
      </c>
      <c r="AM348" s="15">
        <v>11</v>
      </c>
      <c r="AN348" s="15">
        <v>46304.079161713897</v>
      </c>
      <c r="AQ348" s="18">
        <v>2022</v>
      </c>
      <c r="AR348" s="18">
        <v>11</v>
      </c>
      <c r="AS348" s="18">
        <v>46365.088677682397</v>
      </c>
      <c r="AU348" s="10">
        <v>2022</v>
      </c>
      <c r="AV348" s="10">
        <v>11</v>
      </c>
      <c r="AW348" s="15">
        <v>46254.974683457098</v>
      </c>
      <c r="AY348" s="15">
        <v>2022</v>
      </c>
      <c r="AZ348" s="15">
        <v>11</v>
      </c>
      <c r="BA348" s="15">
        <v>46176.130708451798</v>
      </c>
      <c r="BC348" s="15">
        <v>2022</v>
      </c>
      <c r="BD348" s="15">
        <v>11</v>
      </c>
      <c r="BE348" s="15">
        <v>45969.095859934401</v>
      </c>
      <c r="BG348" s="15">
        <v>2022</v>
      </c>
      <c r="BH348" s="15">
        <v>11</v>
      </c>
      <c r="BI348" s="15">
        <v>45641.803534746803</v>
      </c>
    </row>
    <row r="349" spans="17:61" x14ac:dyDescent="0.25">
      <c r="Q349" s="15">
        <v>2022</v>
      </c>
      <c r="R349" s="15">
        <v>12</v>
      </c>
      <c r="S349" s="15">
        <v>42403.589238213302</v>
      </c>
      <c r="U349" s="15">
        <v>2022</v>
      </c>
      <c r="V349" s="15">
        <v>12</v>
      </c>
      <c r="W349" s="15">
        <v>42673.050521778903</v>
      </c>
      <c r="Z349" s="15">
        <v>2022</v>
      </c>
      <c r="AA349" s="15">
        <v>12</v>
      </c>
      <c r="AB349" s="15">
        <v>43186.213332821499</v>
      </c>
      <c r="AD349" s="18">
        <v>2022</v>
      </c>
      <c r="AE349" s="18">
        <v>12</v>
      </c>
      <c r="AF349" s="18">
        <v>42970.482202093102</v>
      </c>
      <c r="AH349" s="10">
        <v>2022</v>
      </c>
      <c r="AI349" s="10">
        <v>12</v>
      </c>
      <c r="AJ349" s="18">
        <v>42950.837024694199</v>
      </c>
      <c r="AL349" s="15">
        <v>2022</v>
      </c>
      <c r="AM349" s="15">
        <v>12</v>
      </c>
      <c r="AN349" s="15">
        <v>42880.327697464098</v>
      </c>
      <c r="AQ349" s="18">
        <v>2022</v>
      </c>
      <c r="AR349" s="18">
        <v>12</v>
      </c>
      <c r="AS349" s="18">
        <v>42914.6765132031</v>
      </c>
      <c r="AU349" s="10">
        <v>2022</v>
      </c>
      <c r="AV349" s="10">
        <v>12</v>
      </c>
      <c r="AW349" s="15">
        <v>42836.193832167701</v>
      </c>
      <c r="AY349" s="15">
        <v>2022</v>
      </c>
      <c r="AZ349" s="15">
        <v>12</v>
      </c>
      <c r="BA349" s="15">
        <v>42833.402865739503</v>
      </c>
      <c r="BC349" s="15">
        <v>2022</v>
      </c>
      <c r="BD349" s="15">
        <v>12</v>
      </c>
      <c r="BE349" s="15">
        <v>42754.775942604698</v>
      </c>
      <c r="BG349" s="15">
        <v>2022</v>
      </c>
      <c r="BH349" s="15">
        <v>12</v>
      </c>
      <c r="BI349" s="15">
        <v>42580.718181153898</v>
      </c>
    </row>
    <row r="350" spans="17:61" x14ac:dyDescent="0.25">
      <c r="Q350" s="15">
        <v>2023</v>
      </c>
      <c r="R350" s="15">
        <v>1</v>
      </c>
      <c r="S350" s="15">
        <v>46544.043843065803</v>
      </c>
      <c r="U350" s="15">
        <v>2023</v>
      </c>
      <c r="V350" s="15">
        <v>1</v>
      </c>
      <c r="W350" s="15">
        <v>46251.757807576301</v>
      </c>
      <c r="Z350" s="15">
        <v>2023</v>
      </c>
      <c r="AA350" s="15">
        <v>1</v>
      </c>
      <c r="AB350" s="15">
        <v>48015.4833853124</v>
      </c>
      <c r="AD350" s="18">
        <v>2023</v>
      </c>
      <c r="AE350" s="18">
        <v>1</v>
      </c>
      <c r="AF350" s="18">
        <v>47692.881630046497</v>
      </c>
      <c r="AH350" s="10">
        <v>2023</v>
      </c>
      <c r="AI350" s="10">
        <v>1</v>
      </c>
      <c r="AJ350" s="18">
        <v>47655.227244840702</v>
      </c>
      <c r="AL350" s="15">
        <v>2023</v>
      </c>
      <c r="AM350" s="15">
        <v>1</v>
      </c>
      <c r="AN350" s="15">
        <v>47468.804933323598</v>
      </c>
      <c r="AQ350" s="18">
        <v>2023</v>
      </c>
      <c r="AR350" s="18">
        <v>1</v>
      </c>
      <c r="AS350" s="18">
        <v>47426.339581834698</v>
      </c>
      <c r="AU350" s="10">
        <v>2023</v>
      </c>
      <c r="AV350" s="10">
        <v>1</v>
      </c>
      <c r="AW350" s="15">
        <v>47396.230681172397</v>
      </c>
      <c r="AY350" s="15">
        <v>2023</v>
      </c>
      <c r="AZ350" s="15">
        <v>1</v>
      </c>
      <c r="BA350" s="15">
        <v>47471.909102676</v>
      </c>
      <c r="BC350" s="15">
        <v>2023</v>
      </c>
      <c r="BD350" s="15">
        <v>1</v>
      </c>
      <c r="BE350" s="15">
        <v>47491.028448677796</v>
      </c>
      <c r="BG350" s="15">
        <v>2023</v>
      </c>
      <c r="BH350" s="15">
        <v>1</v>
      </c>
      <c r="BI350" s="15">
        <v>47383.039158595602</v>
      </c>
    </row>
    <row r="351" spans="17:61" x14ac:dyDescent="0.25">
      <c r="Q351" s="15">
        <v>2023</v>
      </c>
      <c r="R351" s="15">
        <v>2</v>
      </c>
      <c r="S351" s="15">
        <v>49947.704807383001</v>
      </c>
      <c r="U351" s="15">
        <v>2023</v>
      </c>
      <c r="V351" s="15">
        <v>2</v>
      </c>
      <c r="W351" s="15">
        <v>50432.712331193099</v>
      </c>
      <c r="Z351" s="15">
        <v>2023</v>
      </c>
      <c r="AA351" s="15">
        <v>2</v>
      </c>
      <c r="AB351" s="15">
        <v>51738.035099958899</v>
      </c>
      <c r="AD351" s="18">
        <v>2023</v>
      </c>
      <c r="AE351" s="18">
        <v>2</v>
      </c>
      <c r="AF351" s="18">
        <v>51354.790556969798</v>
      </c>
      <c r="AH351" s="10">
        <v>2023</v>
      </c>
      <c r="AI351" s="10">
        <v>2</v>
      </c>
      <c r="AJ351" s="18">
        <v>51311.483459354997</v>
      </c>
      <c r="AL351" s="15">
        <v>2023</v>
      </c>
      <c r="AM351" s="15">
        <v>2</v>
      </c>
      <c r="AN351" s="15">
        <v>51044.413676621698</v>
      </c>
      <c r="AQ351" s="18">
        <v>2023</v>
      </c>
      <c r="AR351" s="18">
        <v>2</v>
      </c>
      <c r="AS351" s="18">
        <v>50904.442879861497</v>
      </c>
      <c r="AU351" s="10">
        <v>2023</v>
      </c>
      <c r="AV351" s="10">
        <v>2</v>
      </c>
      <c r="AW351" s="15">
        <v>50988.570096729403</v>
      </c>
      <c r="AY351" s="15">
        <v>2023</v>
      </c>
      <c r="AZ351" s="15">
        <v>2</v>
      </c>
      <c r="BA351" s="15">
        <v>51119.511014507101</v>
      </c>
      <c r="BC351" s="15">
        <v>2023</v>
      </c>
      <c r="BD351" s="15">
        <v>2</v>
      </c>
      <c r="BE351" s="15">
        <v>51218.426605493602</v>
      </c>
      <c r="BG351" s="15">
        <v>2023</v>
      </c>
      <c r="BH351" s="15">
        <v>2</v>
      </c>
      <c r="BI351" s="15">
        <v>51157.264950097699</v>
      </c>
    </row>
    <row r="352" spans="17:61" x14ac:dyDescent="0.25">
      <c r="Q352" s="15">
        <v>2023</v>
      </c>
      <c r="R352" s="15">
        <v>3</v>
      </c>
      <c r="S352" s="15">
        <v>53076.861767778501</v>
      </c>
      <c r="U352" s="15">
        <v>2023</v>
      </c>
      <c r="V352" s="15">
        <v>3</v>
      </c>
      <c r="W352" s="15">
        <v>53828.972719642203</v>
      </c>
      <c r="Z352" s="15">
        <v>2023</v>
      </c>
      <c r="AA352" s="15">
        <v>3</v>
      </c>
      <c r="AB352" s="15">
        <v>54072.881933049597</v>
      </c>
      <c r="AD352" s="18">
        <v>2023</v>
      </c>
      <c r="AE352" s="18">
        <v>3</v>
      </c>
      <c r="AF352" s="18">
        <v>54916.3615800896</v>
      </c>
      <c r="AH352" s="10">
        <v>2023</v>
      </c>
      <c r="AI352" s="10">
        <v>3</v>
      </c>
      <c r="AJ352" s="18">
        <v>54872.663613408302</v>
      </c>
      <c r="AL352" s="15">
        <v>2023</v>
      </c>
      <c r="AM352" s="15">
        <v>3</v>
      </c>
      <c r="AN352" s="15">
        <v>54541.863762405497</v>
      </c>
      <c r="AQ352" s="18">
        <v>2023</v>
      </c>
      <c r="AR352" s="18">
        <v>3</v>
      </c>
      <c r="AS352" s="18">
        <v>54291.195745236597</v>
      </c>
      <c r="AU352" s="10">
        <v>2023</v>
      </c>
      <c r="AV352" s="10">
        <v>3</v>
      </c>
      <c r="AW352" s="15">
        <v>54482.136234335303</v>
      </c>
      <c r="AY352" s="15">
        <v>2023</v>
      </c>
      <c r="AZ352" s="15">
        <v>3</v>
      </c>
      <c r="BA352" s="15">
        <v>54653.341828894903</v>
      </c>
      <c r="BC352" s="15">
        <v>2023</v>
      </c>
      <c r="BD352" s="15">
        <v>3</v>
      </c>
      <c r="BE352" s="15">
        <v>54788.247533605099</v>
      </c>
      <c r="BG352" s="15">
        <v>2023</v>
      </c>
      <c r="BH352" s="15">
        <v>3</v>
      </c>
      <c r="BI352" s="15">
        <v>54779.214161207201</v>
      </c>
    </row>
    <row r="353" spans="17:61" x14ac:dyDescent="0.25">
      <c r="Q353" s="15">
        <v>2023</v>
      </c>
      <c r="R353" s="15">
        <v>4</v>
      </c>
      <c r="S353" s="15">
        <v>55105.447038441198</v>
      </c>
      <c r="U353" s="15">
        <v>2023</v>
      </c>
      <c r="V353" s="15">
        <v>4</v>
      </c>
      <c r="W353" s="15">
        <v>55654.267377403099</v>
      </c>
      <c r="Z353" s="15">
        <v>2023</v>
      </c>
      <c r="AA353" s="15">
        <v>4</v>
      </c>
      <c r="AB353" s="15">
        <v>55571.204532867901</v>
      </c>
      <c r="AD353" s="18">
        <v>2023</v>
      </c>
      <c r="AE353" s="18">
        <v>4</v>
      </c>
      <c r="AF353" s="18">
        <v>55806.388078549797</v>
      </c>
      <c r="AH353" s="10">
        <v>2023</v>
      </c>
      <c r="AI353" s="10">
        <v>4</v>
      </c>
      <c r="AJ353" s="18">
        <v>55759.100539812003</v>
      </c>
      <c r="AL353" s="15">
        <v>2023</v>
      </c>
      <c r="AM353" s="15">
        <v>4</v>
      </c>
      <c r="AN353" s="15">
        <v>55250.523463823498</v>
      </c>
      <c r="AQ353" s="18">
        <v>2023</v>
      </c>
      <c r="AR353" s="18">
        <v>4</v>
      </c>
      <c r="AS353" s="18">
        <v>54851.561574410101</v>
      </c>
      <c r="AU353" s="10">
        <v>2023</v>
      </c>
      <c r="AV353" s="10">
        <v>4</v>
      </c>
      <c r="AW353" s="15">
        <v>55280.339061315601</v>
      </c>
      <c r="AY353" s="15">
        <v>2023</v>
      </c>
      <c r="AZ353" s="15">
        <v>4</v>
      </c>
      <c r="BA353" s="15">
        <v>55474.976523215701</v>
      </c>
      <c r="BC353" s="15">
        <v>2023</v>
      </c>
      <c r="BD353" s="15">
        <v>4</v>
      </c>
      <c r="BE353" s="15">
        <v>55690.362159872297</v>
      </c>
      <c r="BG353" s="15">
        <v>2023</v>
      </c>
      <c r="BH353" s="15">
        <v>4</v>
      </c>
      <c r="BI353" s="15">
        <v>55687.847941948297</v>
      </c>
    </row>
    <row r="354" spans="17:61" x14ac:dyDescent="0.25">
      <c r="Q354" s="15">
        <v>2023</v>
      </c>
      <c r="R354" s="15">
        <v>5</v>
      </c>
      <c r="S354" s="15">
        <v>51419.8610709477</v>
      </c>
      <c r="U354" s="15">
        <v>2023</v>
      </c>
      <c r="V354" s="15">
        <v>5</v>
      </c>
      <c r="W354" s="15">
        <v>51449.201882818503</v>
      </c>
      <c r="Z354" s="15">
        <v>2023</v>
      </c>
      <c r="AA354" s="15">
        <v>5</v>
      </c>
      <c r="AB354" s="15">
        <v>51262.580549441001</v>
      </c>
      <c r="AD354" s="18">
        <v>2023</v>
      </c>
      <c r="AE354" s="18">
        <v>5</v>
      </c>
      <c r="AF354" s="18">
        <v>51324.5322048491</v>
      </c>
      <c r="AH354" s="10">
        <v>2023</v>
      </c>
      <c r="AI354" s="10">
        <v>5</v>
      </c>
      <c r="AJ354" s="18">
        <v>51439.825929897997</v>
      </c>
      <c r="AL354" s="15">
        <v>2023</v>
      </c>
      <c r="AM354" s="15">
        <v>5</v>
      </c>
      <c r="AN354" s="15">
        <v>52142.060059846997</v>
      </c>
      <c r="AQ354" s="18">
        <v>2023</v>
      </c>
      <c r="AR354" s="18">
        <v>5</v>
      </c>
      <c r="AS354" s="18">
        <v>51683.452543176398</v>
      </c>
      <c r="AU354" s="10">
        <v>2023</v>
      </c>
      <c r="AV354" s="10">
        <v>5</v>
      </c>
      <c r="AW354" s="15">
        <v>52436.069140268897</v>
      </c>
      <c r="AY354" s="15">
        <v>2023</v>
      </c>
      <c r="AZ354" s="15">
        <v>5</v>
      </c>
      <c r="BA354" s="15">
        <v>52631.2247959222</v>
      </c>
      <c r="BC354" s="15">
        <v>2023</v>
      </c>
      <c r="BD354" s="15">
        <v>5</v>
      </c>
      <c r="BE354" s="15">
        <v>52813.989732271097</v>
      </c>
      <c r="BG354" s="15">
        <v>2023</v>
      </c>
      <c r="BH354" s="15">
        <v>5</v>
      </c>
      <c r="BI354" s="15">
        <v>52872.203312256897</v>
      </c>
    </row>
    <row r="355" spans="17:61" x14ac:dyDescent="0.25">
      <c r="U355" s="15">
        <v>2023</v>
      </c>
      <c r="V355" s="15">
        <v>6</v>
      </c>
      <c r="W355" s="15">
        <v>51608.641259469601</v>
      </c>
      <c r="Z355" s="15">
        <v>2023</v>
      </c>
      <c r="AA355" s="15">
        <v>6</v>
      </c>
      <c r="AB355" s="15">
        <v>51272.693730937797</v>
      </c>
      <c r="AD355" s="18">
        <v>2023</v>
      </c>
      <c r="AE355" s="18">
        <v>6</v>
      </c>
      <c r="AF355" s="18">
        <v>51297.423150049202</v>
      </c>
      <c r="AH355" s="10">
        <v>2023</v>
      </c>
      <c r="AI355" s="10">
        <v>6</v>
      </c>
      <c r="AJ355" s="18">
        <v>51361.813326399497</v>
      </c>
      <c r="AL355" s="15">
        <v>2023</v>
      </c>
      <c r="AM355" s="15">
        <v>6</v>
      </c>
      <c r="AN355" s="15">
        <v>51762.189945746097</v>
      </c>
      <c r="AQ355" s="18">
        <v>2023</v>
      </c>
      <c r="AR355" s="18">
        <v>6</v>
      </c>
      <c r="AS355" s="18">
        <v>52470.942341972601</v>
      </c>
      <c r="AU355" s="10">
        <v>2023</v>
      </c>
      <c r="AV355" s="10">
        <v>6</v>
      </c>
      <c r="AW355" s="15">
        <v>53257.8879258823</v>
      </c>
      <c r="AY355" s="15">
        <v>2023</v>
      </c>
      <c r="AZ355" s="15">
        <v>6</v>
      </c>
      <c r="BA355" s="15">
        <v>53453.281774958603</v>
      </c>
      <c r="BC355" s="15">
        <v>2023</v>
      </c>
      <c r="BD355" s="15">
        <v>6</v>
      </c>
      <c r="BE355" s="15">
        <v>53174.265961524601</v>
      </c>
      <c r="BG355" s="15">
        <v>2023</v>
      </c>
      <c r="BH355" s="15">
        <v>6</v>
      </c>
      <c r="BI355" s="15">
        <v>53275.075557796001</v>
      </c>
    </row>
    <row r="356" spans="17:61" x14ac:dyDescent="0.25">
      <c r="T356" t="s">
        <v>44</v>
      </c>
      <c r="U356" s="15">
        <v>2023</v>
      </c>
      <c r="V356" s="15">
        <v>7</v>
      </c>
      <c r="W356" s="15">
        <v>52094.616624658098</v>
      </c>
      <c r="Z356" s="15">
        <v>2023</v>
      </c>
      <c r="AA356" s="15">
        <v>7</v>
      </c>
      <c r="AB356" s="15">
        <v>51616.032981064403</v>
      </c>
      <c r="AD356" s="18">
        <v>2023</v>
      </c>
      <c r="AE356" s="18">
        <v>7</v>
      </c>
      <c r="AF356" s="18">
        <v>51634.042191448003</v>
      </c>
      <c r="AH356" s="10">
        <v>2023</v>
      </c>
      <c r="AI356" s="10">
        <v>7</v>
      </c>
      <c r="AJ356" s="18">
        <v>51668.107848682797</v>
      </c>
      <c r="AL356" s="15">
        <v>2023</v>
      </c>
      <c r="AM356" s="15">
        <v>7</v>
      </c>
      <c r="AN356" s="15">
        <v>51856.6943227019</v>
      </c>
      <c r="AQ356" s="18">
        <v>2023</v>
      </c>
      <c r="AR356" s="18">
        <v>7</v>
      </c>
      <c r="AS356" s="18">
        <v>52150.319381044101</v>
      </c>
      <c r="AU356" s="10">
        <v>2023</v>
      </c>
      <c r="AV356" s="10">
        <v>7</v>
      </c>
      <c r="AW356" s="15">
        <v>50729.407205198098</v>
      </c>
      <c r="AY356" s="15">
        <v>2023</v>
      </c>
      <c r="AZ356" s="15">
        <v>7</v>
      </c>
      <c r="BA356" s="15">
        <v>50916.612756312599</v>
      </c>
      <c r="BC356" s="15">
        <v>2023</v>
      </c>
      <c r="BD356" s="15">
        <v>7</v>
      </c>
      <c r="BE356" s="15">
        <v>51166.554760929001</v>
      </c>
      <c r="BG356" s="15">
        <v>2023</v>
      </c>
      <c r="BH356" s="15">
        <v>7</v>
      </c>
      <c r="BI356" s="15">
        <v>51282.328866565302</v>
      </c>
    </row>
    <row r="357" spans="17:61" x14ac:dyDescent="0.25">
      <c r="U357" s="15">
        <v>2023</v>
      </c>
      <c r="V357" s="15">
        <v>8</v>
      </c>
      <c r="W357" s="15">
        <v>55951.1544820778</v>
      </c>
      <c r="Z357" s="15">
        <v>2023</v>
      </c>
      <c r="AA357" s="15">
        <v>8</v>
      </c>
      <c r="AB357" s="15">
        <v>55392.284328756403</v>
      </c>
      <c r="AD357" s="18">
        <v>2023</v>
      </c>
      <c r="AE357" s="18">
        <v>8</v>
      </c>
      <c r="AF357" s="18">
        <v>55392.720765487298</v>
      </c>
      <c r="AH357" s="10">
        <v>2023</v>
      </c>
      <c r="AI357" s="10">
        <v>8</v>
      </c>
      <c r="AJ357" s="18">
        <v>55412.674321614199</v>
      </c>
      <c r="AL357" s="15">
        <v>2023</v>
      </c>
      <c r="AM357" s="15">
        <v>8</v>
      </c>
      <c r="AN357" s="15">
        <v>55505.7267674018</v>
      </c>
      <c r="AQ357" s="18">
        <v>2023</v>
      </c>
      <c r="AR357" s="18">
        <v>8</v>
      </c>
      <c r="AS357" s="18">
        <v>55600.472801682903</v>
      </c>
      <c r="AU357" s="10">
        <v>2023</v>
      </c>
      <c r="AV357" s="10">
        <v>8</v>
      </c>
      <c r="AW357" s="15">
        <v>55133.268296336697</v>
      </c>
      <c r="AY357" s="15">
        <v>2023</v>
      </c>
      <c r="AZ357" s="15">
        <v>8</v>
      </c>
      <c r="BA357" s="15">
        <v>54480.827233383097</v>
      </c>
      <c r="BC357" s="15">
        <v>2023</v>
      </c>
      <c r="BD357" s="15">
        <v>8</v>
      </c>
      <c r="BE357" s="15">
        <v>54731.295677970797</v>
      </c>
      <c r="BG357" s="15">
        <v>2023</v>
      </c>
      <c r="BH357" s="15">
        <v>8</v>
      </c>
      <c r="BI357" s="15">
        <v>54898.103270501299</v>
      </c>
    </row>
    <row r="358" spans="17:61" x14ac:dyDescent="0.25">
      <c r="U358" s="15">
        <v>2023</v>
      </c>
      <c r="V358" s="15">
        <v>9</v>
      </c>
      <c r="W358" s="15">
        <v>51916.465036539797</v>
      </c>
      <c r="Z358" s="15">
        <v>2023</v>
      </c>
      <c r="AA358" s="15">
        <v>9</v>
      </c>
      <c r="AB358" s="15">
        <v>51264.951241593699</v>
      </c>
      <c r="AD358" s="18">
        <v>2023</v>
      </c>
      <c r="AE358" s="18">
        <v>9</v>
      </c>
      <c r="AF358" s="18">
        <v>51268.8640200183</v>
      </c>
      <c r="AH358" s="10">
        <v>2023</v>
      </c>
      <c r="AI358" s="10">
        <v>9</v>
      </c>
      <c r="AJ358" s="18">
        <v>51264.522955393099</v>
      </c>
      <c r="AL358" s="15">
        <v>2023</v>
      </c>
      <c r="AM358" s="15">
        <v>9</v>
      </c>
      <c r="AN358" s="15">
        <v>51317.6493753084</v>
      </c>
      <c r="AQ358" s="18">
        <v>2023</v>
      </c>
      <c r="AR358" s="18">
        <v>9</v>
      </c>
      <c r="AS358" s="18">
        <v>51392.793868306297</v>
      </c>
      <c r="AU358" s="10">
        <v>2023</v>
      </c>
      <c r="AV358" s="10">
        <v>9</v>
      </c>
      <c r="AW358" s="15">
        <v>51225.234471955198</v>
      </c>
      <c r="AY358" s="15">
        <v>2023</v>
      </c>
      <c r="AZ358" s="15">
        <v>9</v>
      </c>
      <c r="BA358" s="15">
        <v>50859.604937719698</v>
      </c>
      <c r="BC358" s="15">
        <v>2023</v>
      </c>
      <c r="BD358" s="15">
        <v>9</v>
      </c>
      <c r="BE358" s="15">
        <v>50932.3068186702</v>
      </c>
      <c r="BG358" s="15">
        <v>2023</v>
      </c>
      <c r="BH358" s="15">
        <v>9</v>
      </c>
      <c r="BI358" s="15">
        <v>51128.245931163903</v>
      </c>
    </row>
    <row r="359" spans="17:61" x14ac:dyDescent="0.25">
      <c r="U359" s="15">
        <v>2023</v>
      </c>
      <c r="V359" s="15">
        <v>10</v>
      </c>
      <c r="W359" s="15">
        <v>48052.322269686301</v>
      </c>
      <c r="Z359" s="15">
        <v>2023</v>
      </c>
      <c r="AA359" s="15">
        <v>10</v>
      </c>
      <c r="AB359" s="15">
        <v>47349.402448854598</v>
      </c>
      <c r="AD359" s="18">
        <v>2023</v>
      </c>
      <c r="AE359" s="18">
        <v>10</v>
      </c>
      <c r="AF359" s="18">
        <v>47299.581719151</v>
      </c>
      <c r="AH359" s="10">
        <v>2023</v>
      </c>
      <c r="AI359" s="10">
        <v>10</v>
      </c>
      <c r="AJ359" s="18">
        <v>47300.373133855901</v>
      </c>
      <c r="AL359" s="15">
        <v>2023</v>
      </c>
      <c r="AM359" s="15">
        <v>10</v>
      </c>
      <c r="AN359" s="15">
        <v>47320.729982094999</v>
      </c>
      <c r="AQ359" s="18">
        <v>2023</v>
      </c>
      <c r="AR359" s="18">
        <v>10</v>
      </c>
      <c r="AS359" s="18">
        <v>47377.577145093797</v>
      </c>
      <c r="AU359" s="10">
        <v>2023</v>
      </c>
      <c r="AV359" s="10">
        <v>10</v>
      </c>
      <c r="AW359" s="15">
        <v>47257.171509196101</v>
      </c>
      <c r="AY359" s="15">
        <v>2023</v>
      </c>
      <c r="AZ359" s="15">
        <v>10</v>
      </c>
      <c r="BA359" s="15">
        <v>47074.657853174504</v>
      </c>
      <c r="BC359" s="15">
        <v>2023</v>
      </c>
      <c r="BD359" s="15">
        <v>10</v>
      </c>
      <c r="BE359" s="15">
        <v>46346.600958437099</v>
      </c>
      <c r="BG359" s="15">
        <v>2023</v>
      </c>
      <c r="BH359" s="15">
        <v>10</v>
      </c>
      <c r="BI359" s="15">
        <v>46600.114042899098</v>
      </c>
    </row>
    <row r="360" spans="17:61" x14ac:dyDescent="0.25">
      <c r="Z360" s="15">
        <v>2023</v>
      </c>
      <c r="AA360" s="15">
        <v>11</v>
      </c>
      <c r="AB360" s="15">
        <v>49439.4516535863</v>
      </c>
      <c r="AD360" s="18">
        <v>2023</v>
      </c>
      <c r="AE360" s="18">
        <v>11</v>
      </c>
      <c r="AF360" s="18">
        <v>49325.515317193102</v>
      </c>
      <c r="AH360" s="10">
        <v>2023</v>
      </c>
      <c r="AI360" s="10">
        <v>11</v>
      </c>
      <c r="AJ360" s="18">
        <v>49325.154893063002</v>
      </c>
      <c r="AL360" s="15">
        <v>2023</v>
      </c>
      <c r="AM360" s="15">
        <v>11</v>
      </c>
      <c r="AN360" s="15">
        <v>49282.357071965896</v>
      </c>
      <c r="AQ360" s="18">
        <v>2023</v>
      </c>
      <c r="AR360" s="18">
        <v>11</v>
      </c>
      <c r="AS360" s="18">
        <v>49349.637918706503</v>
      </c>
      <c r="AU360" s="10">
        <v>2023</v>
      </c>
      <c r="AV360" s="10">
        <v>11</v>
      </c>
      <c r="AW360" s="15">
        <v>49264.233564509399</v>
      </c>
      <c r="AY360" s="15">
        <v>2023</v>
      </c>
      <c r="AZ360" s="15">
        <v>11</v>
      </c>
      <c r="BA360" s="15">
        <v>49191.597527021797</v>
      </c>
      <c r="BC360" s="15">
        <v>2023</v>
      </c>
      <c r="BD360" s="15">
        <v>11</v>
      </c>
      <c r="BE360" s="15">
        <v>48920.830896170199</v>
      </c>
      <c r="BG360" s="15">
        <v>2023</v>
      </c>
      <c r="BH360" s="15">
        <v>11</v>
      </c>
      <c r="BI360" s="15">
        <v>48392.814360079603</v>
      </c>
    </row>
    <row r="361" spans="17:61" x14ac:dyDescent="0.25">
      <c r="Z361" s="15">
        <v>2023</v>
      </c>
      <c r="AA361" s="15">
        <v>12</v>
      </c>
      <c r="AB361" s="15">
        <v>44957.402897316199</v>
      </c>
      <c r="AD361" s="18">
        <v>2023</v>
      </c>
      <c r="AE361" s="18">
        <v>12</v>
      </c>
      <c r="AF361" s="18">
        <v>44703.6864418677</v>
      </c>
      <c r="AH361" s="10">
        <v>2023</v>
      </c>
      <c r="AI361" s="10">
        <v>12</v>
      </c>
      <c r="AJ361" s="18">
        <v>44695.002655576704</v>
      </c>
      <c r="AL361" s="15">
        <v>2023</v>
      </c>
      <c r="AM361" s="15">
        <v>12</v>
      </c>
      <c r="AN361" s="15">
        <v>44605.653557325903</v>
      </c>
      <c r="AQ361" s="18">
        <v>2023</v>
      </c>
      <c r="AR361" s="18">
        <v>12</v>
      </c>
      <c r="AS361" s="18">
        <v>44666.511682983197</v>
      </c>
      <c r="AU361" s="10">
        <v>2023</v>
      </c>
      <c r="AV361" s="10">
        <v>12</v>
      </c>
      <c r="AW361" s="15">
        <v>44640.031430677998</v>
      </c>
      <c r="AY361" s="15">
        <v>2023</v>
      </c>
      <c r="AZ361" s="15">
        <v>12</v>
      </c>
      <c r="BA361" s="15">
        <v>44656.314901136597</v>
      </c>
      <c r="BC361" s="15">
        <v>2023</v>
      </c>
      <c r="BD361" s="15">
        <v>12</v>
      </c>
      <c r="BE361" s="15">
        <v>44585.111792263102</v>
      </c>
      <c r="BG361" s="15">
        <v>2023</v>
      </c>
      <c r="BH361" s="15">
        <v>12</v>
      </c>
      <c r="BI361" s="15">
        <v>44327.624969983</v>
      </c>
    </row>
    <row r="362" spans="17:61" x14ac:dyDescent="0.25">
      <c r="Z362" s="15">
        <v>2024</v>
      </c>
      <c r="AA362" s="15">
        <v>1</v>
      </c>
      <c r="AB362" s="15">
        <v>42274.053158155999</v>
      </c>
      <c r="AD362" s="18">
        <v>2024</v>
      </c>
      <c r="AE362" s="18">
        <v>1</v>
      </c>
      <c r="AF362" s="18">
        <v>41843.974657348699</v>
      </c>
      <c r="AH362" s="10">
        <v>2024</v>
      </c>
      <c r="AI362" s="10">
        <v>1</v>
      </c>
      <c r="AJ362" s="18">
        <v>41831.152536662397</v>
      </c>
      <c r="AL362" s="15">
        <v>2024</v>
      </c>
      <c r="AM362" s="15">
        <v>1</v>
      </c>
      <c r="AN362" s="15">
        <v>41625.594572828501</v>
      </c>
      <c r="AQ362" s="18">
        <v>2024</v>
      </c>
      <c r="AR362" s="18">
        <v>1</v>
      </c>
      <c r="AS362" s="18">
        <v>41557.654562744698</v>
      </c>
      <c r="AU362" s="10">
        <v>2024</v>
      </c>
      <c r="AV362" s="10">
        <v>1</v>
      </c>
      <c r="AW362" s="15">
        <v>41515.362525150398</v>
      </c>
      <c r="AY362" s="15">
        <v>2024</v>
      </c>
      <c r="AZ362" s="15">
        <v>1</v>
      </c>
      <c r="BA362" s="15">
        <v>41640.549772012397</v>
      </c>
      <c r="BC362" s="15">
        <v>2024</v>
      </c>
      <c r="BD362" s="15">
        <v>1</v>
      </c>
      <c r="BE362" s="15">
        <v>41682.682004846902</v>
      </c>
      <c r="BG362" s="15">
        <v>2024</v>
      </c>
      <c r="BH362" s="15">
        <v>1</v>
      </c>
      <c r="BI362" s="15">
        <v>41575.1627601859</v>
      </c>
    </row>
    <row r="363" spans="17:61" x14ac:dyDescent="0.25">
      <c r="Z363" s="15">
        <v>2024</v>
      </c>
      <c r="AA363" s="15">
        <v>2</v>
      </c>
      <c r="AB363" s="15">
        <v>42247.069352417398</v>
      </c>
      <c r="AD363" s="18">
        <v>2024</v>
      </c>
      <c r="AE363" s="18">
        <v>2</v>
      </c>
      <c r="AF363" s="18">
        <v>41483.678850301003</v>
      </c>
      <c r="AH363" s="10">
        <v>2024</v>
      </c>
      <c r="AI363" s="10">
        <v>2</v>
      </c>
      <c r="AJ363" s="18">
        <v>41444.358037421298</v>
      </c>
      <c r="AL363" s="15">
        <v>2024</v>
      </c>
      <c r="AM363" s="15">
        <v>2</v>
      </c>
      <c r="AN363" s="15">
        <v>41102.4712847513</v>
      </c>
      <c r="AQ363" s="18">
        <v>2024</v>
      </c>
      <c r="AR363" s="18">
        <v>2</v>
      </c>
      <c r="AS363" s="18">
        <v>40925.9974362215</v>
      </c>
      <c r="AU363" s="10">
        <v>2024</v>
      </c>
      <c r="AV363" s="10">
        <v>2</v>
      </c>
      <c r="AW363" s="15">
        <v>41048.613148627999</v>
      </c>
      <c r="AY363" s="15">
        <v>2024</v>
      </c>
      <c r="AZ363" s="15">
        <v>2</v>
      </c>
      <c r="BA363" s="15">
        <v>41249.062452003003</v>
      </c>
      <c r="BC363" s="15">
        <v>2024</v>
      </c>
      <c r="BD363" s="15">
        <v>2</v>
      </c>
      <c r="BE363" s="15">
        <v>41400.0575946971</v>
      </c>
      <c r="BG363" s="15">
        <v>2024</v>
      </c>
      <c r="BH363" s="15">
        <v>2</v>
      </c>
      <c r="BI363" s="15">
        <v>41353.386481876798</v>
      </c>
    </row>
    <row r="364" spans="17:61" x14ac:dyDescent="0.25">
      <c r="AD364" s="18">
        <v>2024</v>
      </c>
      <c r="AE364" s="18">
        <v>3</v>
      </c>
      <c r="AF364" s="18">
        <v>39829.914096015098</v>
      </c>
      <c r="AH364" s="10">
        <v>2024</v>
      </c>
      <c r="AI364" s="10">
        <v>3</v>
      </c>
      <c r="AJ364" s="18">
        <v>39790.931981822403</v>
      </c>
      <c r="AL364" s="15">
        <v>2024</v>
      </c>
      <c r="AM364" s="15">
        <v>3</v>
      </c>
      <c r="AN364" s="15">
        <v>39396.980887248203</v>
      </c>
      <c r="AQ364" s="18">
        <v>2024</v>
      </c>
      <c r="AR364" s="18">
        <v>3</v>
      </c>
      <c r="AS364" s="18">
        <v>39137.6102583557</v>
      </c>
      <c r="AU364" s="10">
        <v>2024</v>
      </c>
      <c r="AV364" s="10">
        <v>3</v>
      </c>
      <c r="AW364" s="15">
        <v>39460.132642401899</v>
      </c>
      <c r="AY364" s="15">
        <v>2024</v>
      </c>
      <c r="AZ364" s="15">
        <v>3</v>
      </c>
      <c r="BA364" s="15">
        <v>39669.322384109801</v>
      </c>
      <c r="BC364" s="15">
        <v>2024</v>
      </c>
      <c r="BD364" s="15">
        <v>3</v>
      </c>
      <c r="BE364" s="15">
        <v>39873.233246518903</v>
      </c>
      <c r="BG364" s="15">
        <v>2024</v>
      </c>
      <c r="BH364" s="15">
        <v>3</v>
      </c>
      <c r="BI364" s="15">
        <v>39856.735793500899</v>
      </c>
    </row>
    <row r="365" spans="17:61" x14ac:dyDescent="0.25">
      <c r="AH365" s="10">
        <v>2024</v>
      </c>
      <c r="AI365" s="10">
        <v>4</v>
      </c>
      <c r="AJ365" s="18">
        <v>41001.760896430998</v>
      </c>
      <c r="AL365" s="15">
        <v>2024</v>
      </c>
      <c r="AM365" s="15">
        <v>4</v>
      </c>
      <c r="AN365" s="15">
        <v>40479.787104775598</v>
      </c>
      <c r="AQ365" s="18">
        <v>2024</v>
      </c>
      <c r="AR365" s="18">
        <v>4</v>
      </c>
      <c r="AS365" s="18">
        <v>39989.053928109999</v>
      </c>
      <c r="AU365" s="10">
        <v>2024</v>
      </c>
      <c r="AV365" s="10">
        <v>4</v>
      </c>
      <c r="AW365" s="15">
        <v>40448.376421918801</v>
      </c>
      <c r="AY365" s="15">
        <v>2024</v>
      </c>
      <c r="AZ365" s="15">
        <v>4</v>
      </c>
      <c r="BA365" s="15">
        <v>40694.8984951069</v>
      </c>
      <c r="BC365" s="15">
        <v>2024</v>
      </c>
      <c r="BD365" s="15">
        <v>4</v>
      </c>
      <c r="BE365" s="15">
        <v>40913.991413209202</v>
      </c>
      <c r="BG365" s="15">
        <v>2024</v>
      </c>
      <c r="BH365" s="15">
        <v>4</v>
      </c>
      <c r="BI365" s="15">
        <v>40949.559910135198</v>
      </c>
    </row>
    <row r="366" spans="17:61" x14ac:dyDescent="0.25">
      <c r="AL366" s="15">
        <v>2024</v>
      </c>
      <c r="AM366" s="15">
        <v>5</v>
      </c>
      <c r="AN366" s="15">
        <v>37293.777663363799</v>
      </c>
      <c r="AQ366" s="18">
        <v>2024</v>
      </c>
      <c r="AR366" s="18">
        <v>5</v>
      </c>
      <c r="AS366" s="18">
        <v>36719.462655001698</v>
      </c>
      <c r="AU366" s="10">
        <v>2024</v>
      </c>
      <c r="AV366" s="10">
        <v>5</v>
      </c>
      <c r="AW366" s="15">
        <v>37482.664994645798</v>
      </c>
      <c r="AY366" s="15">
        <v>2024</v>
      </c>
      <c r="AZ366" s="15">
        <v>5</v>
      </c>
      <c r="BA366" s="15">
        <v>37706.829458971297</v>
      </c>
      <c r="BC366" s="15">
        <v>2024</v>
      </c>
      <c r="BD366" s="15">
        <v>5</v>
      </c>
      <c r="BE366" s="15">
        <v>37907.979960921002</v>
      </c>
      <c r="BG366" s="15">
        <v>2024</v>
      </c>
      <c r="BH366" s="15">
        <v>5</v>
      </c>
      <c r="BI366" s="15">
        <v>37979.394883617199</v>
      </c>
    </row>
    <row r="367" spans="17:61" x14ac:dyDescent="0.25">
      <c r="AQ367" s="18">
        <v>2024</v>
      </c>
      <c r="AR367" s="18">
        <v>6</v>
      </c>
      <c r="AS367" s="18">
        <v>33896.710487018099</v>
      </c>
      <c r="AU367" s="10">
        <v>2024</v>
      </c>
      <c r="AV367" s="10">
        <v>6</v>
      </c>
      <c r="AW367" s="15">
        <v>35024.044865695098</v>
      </c>
      <c r="AY367" s="15">
        <v>2024</v>
      </c>
      <c r="AZ367" s="15">
        <v>6</v>
      </c>
      <c r="BA367" s="15">
        <v>35238.062507812399</v>
      </c>
      <c r="BC367" s="15">
        <v>2024</v>
      </c>
      <c r="BD367" s="15">
        <v>6</v>
      </c>
      <c r="BE367" s="15">
        <v>34923.5593994843</v>
      </c>
      <c r="BG367" s="15">
        <v>2024</v>
      </c>
      <c r="BH367" s="15">
        <v>6</v>
      </c>
      <c r="BI367" s="15">
        <v>35025.536440665303</v>
      </c>
    </row>
    <row r="368" spans="17:61" x14ac:dyDescent="0.25">
      <c r="AU368" s="10">
        <v>2024</v>
      </c>
      <c r="AV368" s="10">
        <v>7</v>
      </c>
      <c r="AW368" s="15">
        <v>42786.907166548699</v>
      </c>
      <c r="AY368" s="15">
        <v>2024</v>
      </c>
      <c r="AZ368" s="15">
        <v>7</v>
      </c>
      <c r="BA368" s="15">
        <v>43018.539557270102</v>
      </c>
      <c r="BC368" s="15">
        <v>2024</v>
      </c>
      <c r="BD368" s="15">
        <v>7</v>
      </c>
      <c r="BE368" s="15">
        <v>43294.837424526697</v>
      </c>
      <c r="BG368" s="15">
        <v>2024</v>
      </c>
      <c r="BH368" s="15">
        <v>7</v>
      </c>
      <c r="BI368" s="15">
        <v>43450.820685178798</v>
      </c>
    </row>
    <row r="369" spans="51:61" x14ac:dyDescent="0.25">
      <c r="AY369" s="15">
        <v>2024</v>
      </c>
      <c r="AZ369" s="15">
        <v>8</v>
      </c>
      <c r="BA369" s="15">
        <v>43542.7611388636</v>
      </c>
      <c r="BC369" s="15">
        <v>2024</v>
      </c>
      <c r="BD369" s="15">
        <v>8</v>
      </c>
      <c r="BE369" s="15">
        <v>43840.061521629803</v>
      </c>
      <c r="BG369" s="15">
        <v>2024</v>
      </c>
      <c r="BH369" s="15">
        <v>8</v>
      </c>
      <c r="BI369" s="15">
        <v>44020.646446036997</v>
      </c>
    </row>
    <row r="370" spans="51:61" x14ac:dyDescent="0.25">
      <c r="BC370" s="15">
        <v>2024</v>
      </c>
      <c r="BD370" s="15">
        <v>9</v>
      </c>
      <c r="BE370" s="15">
        <v>43839.207357550498</v>
      </c>
      <c r="BG370" s="15">
        <v>2024</v>
      </c>
      <c r="BH370" s="15">
        <v>9</v>
      </c>
      <c r="BI370" s="15">
        <v>44065.3842428481</v>
      </c>
    </row>
    <row r="371" spans="51:61" x14ac:dyDescent="0.25">
      <c r="BC371" s="15">
        <v>2024</v>
      </c>
      <c r="BD371" s="15">
        <v>10</v>
      </c>
      <c r="BE371" s="15">
        <v>45253.6718640787</v>
      </c>
      <c r="BG371" s="15">
        <v>2024</v>
      </c>
      <c r="BH371" s="15">
        <v>10</v>
      </c>
      <c r="BI371" s="15">
        <v>45556.2390280529</v>
      </c>
    </row>
    <row r="372" spans="51:61" x14ac:dyDescent="0.25">
      <c r="BG372" s="15">
        <v>2024</v>
      </c>
      <c r="BH372" s="15">
        <v>11</v>
      </c>
      <c r="BI372" s="15">
        <v>46599.667737111798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30EF-BE63-4A8E-A170-29A4182EC47D}">
  <dimension ref="A1:AH380"/>
  <sheetViews>
    <sheetView topLeftCell="L1" workbookViewId="0">
      <selection activeCell="AH2" sqref="AH2:AH380"/>
    </sheetView>
  </sheetViews>
  <sheetFormatPr baseColWidth="10" defaultRowHeight="15" x14ac:dyDescent="0.25"/>
  <cols>
    <col min="6" max="8" width="11.42578125" style="16"/>
    <col min="11" max="13" width="11.42578125" style="19"/>
    <col min="28" max="30" width="11.42578125" style="16"/>
  </cols>
  <sheetData>
    <row r="1" spans="1:34" ht="42.75" x14ac:dyDescent="0.25">
      <c r="A1" s="14" t="s">
        <v>38</v>
      </c>
      <c r="B1" s="14" t="s">
        <v>34</v>
      </c>
      <c r="C1" s="14" t="s">
        <v>35</v>
      </c>
      <c r="F1" s="14" t="s">
        <v>38</v>
      </c>
      <c r="G1" s="14" t="s">
        <v>34</v>
      </c>
      <c r="H1" s="14" t="s">
        <v>41</v>
      </c>
      <c r="K1" s="17" t="s">
        <v>38</v>
      </c>
      <c r="L1" s="17" t="s">
        <v>34</v>
      </c>
      <c r="M1" s="17" t="s">
        <v>35</v>
      </c>
      <c r="P1" s="14" t="s">
        <v>38</v>
      </c>
      <c r="Q1" s="14" t="s">
        <v>34</v>
      </c>
      <c r="R1" s="14" t="s">
        <v>41</v>
      </c>
      <c r="T1" s="14" t="s">
        <v>38</v>
      </c>
      <c r="U1" s="14" t="s">
        <v>34</v>
      </c>
      <c r="V1" s="14" t="s">
        <v>35</v>
      </c>
      <c r="X1" s="14" t="s">
        <v>38</v>
      </c>
      <c r="Y1" s="14" t="s">
        <v>34</v>
      </c>
      <c r="Z1" s="14" t="s">
        <v>35</v>
      </c>
      <c r="AB1" s="14" t="s">
        <v>38</v>
      </c>
      <c r="AC1" s="14" t="s">
        <v>34</v>
      </c>
      <c r="AD1" s="14" t="s">
        <v>35</v>
      </c>
      <c r="AF1" s="14" t="s">
        <v>38</v>
      </c>
      <c r="AG1" s="14" t="s">
        <v>34</v>
      </c>
      <c r="AH1" s="14" t="s">
        <v>35</v>
      </c>
    </row>
    <row r="2" spans="1:34" x14ac:dyDescent="0.25">
      <c r="A2" s="15">
        <v>1994</v>
      </c>
      <c r="B2" s="15">
        <v>1</v>
      </c>
      <c r="C2" s="15">
        <v>53655.129296705898</v>
      </c>
      <c r="F2" s="15">
        <v>1994</v>
      </c>
      <c r="G2" s="15">
        <v>1</v>
      </c>
      <c r="H2" s="15">
        <v>51232.8875946193</v>
      </c>
      <c r="K2" s="18">
        <v>1994</v>
      </c>
      <c r="L2" s="18">
        <v>1</v>
      </c>
      <c r="M2" s="18">
        <v>53648.850183903298</v>
      </c>
      <c r="P2" s="15">
        <v>1994</v>
      </c>
      <c r="Q2" s="15">
        <v>1</v>
      </c>
      <c r="R2" s="15">
        <v>51232.8875946193</v>
      </c>
      <c r="T2" s="15">
        <v>1994</v>
      </c>
      <c r="U2" s="15">
        <v>1</v>
      </c>
      <c r="V2" s="15">
        <v>54262.564187946104</v>
      </c>
      <c r="X2" s="15">
        <v>1994</v>
      </c>
      <c r="Y2" s="15">
        <v>1</v>
      </c>
      <c r="Z2" s="15">
        <v>54266.503911995402</v>
      </c>
      <c r="AB2" s="15">
        <v>1994</v>
      </c>
      <c r="AC2" s="15">
        <v>1</v>
      </c>
      <c r="AD2" s="15">
        <v>54261.247817652104</v>
      </c>
      <c r="AF2" s="15">
        <v>1994</v>
      </c>
      <c r="AG2" s="15">
        <v>1</v>
      </c>
      <c r="AH2" s="15">
        <v>54233.289758489002</v>
      </c>
    </row>
    <row r="3" spans="1:34" x14ac:dyDescent="0.25">
      <c r="A3" s="15">
        <v>1994</v>
      </c>
      <c r="B3" s="15">
        <v>2</v>
      </c>
      <c r="C3" s="15">
        <v>12897.372507637299</v>
      </c>
      <c r="F3" s="15">
        <v>1994</v>
      </c>
      <c r="G3" s="15">
        <v>2</v>
      </c>
      <c r="H3" s="15">
        <v>10891.073110974899</v>
      </c>
      <c r="K3" s="18">
        <v>1994</v>
      </c>
      <c r="L3" s="18">
        <v>2</v>
      </c>
      <c r="M3" s="18">
        <v>12900.6154479999</v>
      </c>
      <c r="P3" s="15">
        <v>1994</v>
      </c>
      <c r="Q3" s="15">
        <v>2</v>
      </c>
      <c r="R3" s="15">
        <v>10891.073110974899</v>
      </c>
      <c r="T3" s="15">
        <v>1994</v>
      </c>
      <c r="U3" s="15">
        <v>2</v>
      </c>
      <c r="V3" s="15">
        <v>11302.679593409401</v>
      </c>
      <c r="X3" s="15">
        <v>1994</v>
      </c>
      <c r="Y3" s="15">
        <v>2</v>
      </c>
      <c r="Z3" s="15">
        <v>11313.572003707999</v>
      </c>
      <c r="AB3" s="15">
        <v>1994</v>
      </c>
      <c r="AC3" s="15">
        <v>2</v>
      </c>
      <c r="AD3" s="15">
        <v>11313.8306701783</v>
      </c>
      <c r="AF3" s="15">
        <v>1994</v>
      </c>
      <c r="AG3" s="15">
        <v>2</v>
      </c>
      <c r="AH3" s="15">
        <v>11303.866961453101</v>
      </c>
    </row>
    <row r="4" spans="1:34" x14ac:dyDescent="0.25">
      <c r="A4" s="15">
        <v>1994</v>
      </c>
      <c r="B4" s="15">
        <v>3</v>
      </c>
      <c r="C4" s="15">
        <v>27834.045946931899</v>
      </c>
      <c r="F4" s="15">
        <v>1994</v>
      </c>
      <c r="G4" s="15">
        <v>3</v>
      </c>
      <c r="H4" s="15">
        <v>29022.413365310302</v>
      </c>
      <c r="K4" s="18">
        <v>1994</v>
      </c>
      <c r="L4" s="18">
        <v>3</v>
      </c>
      <c r="M4" s="18">
        <v>27835.640693589801</v>
      </c>
      <c r="P4" s="15">
        <v>1994</v>
      </c>
      <c r="Q4" s="15">
        <v>3</v>
      </c>
      <c r="R4" s="15">
        <v>29022.413365310302</v>
      </c>
      <c r="T4" s="15">
        <v>1994</v>
      </c>
      <c r="U4" s="15">
        <v>3</v>
      </c>
      <c r="V4" s="15">
        <v>27951.2501996754</v>
      </c>
      <c r="X4" s="15">
        <v>1994</v>
      </c>
      <c r="Y4" s="15">
        <v>3</v>
      </c>
      <c r="Z4" s="15">
        <v>27947.202011156402</v>
      </c>
      <c r="AB4" s="15">
        <v>1994</v>
      </c>
      <c r="AC4" s="15">
        <v>3</v>
      </c>
      <c r="AD4" s="15">
        <v>27950.0765289868</v>
      </c>
      <c r="AF4" s="15">
        <v>1994</v>
      </c>
      <c r="AG4" s="15">
        <v>3</v>
      </c>
      <c r="AH4" s="15">
        <v>27965.7990890043</v>
      </c>
    </row>
    <row r="5" spans="1:34" x14ac:dyDescent="0.25">
      <c r="A5" s="15">
        <v>1994</v>
      </c>
      <c r="B5" s="15">
        <v>4</v>
      </c>
      <c r="C5" s="15">
        <v>34416.343669041897</v>
      </c>
      <c r="F5" s="15">
        <v>1994</v>
      </c>
      <c r="G5" s="15">
        <v>4</v>
      </c>
      <c r="H5" s="15">
        <v>34485.267658877397</v>
      </c>
      <c r="K5" s="18">
        <v>1994</v>
      </c>
      <c r="L5" s="18">
        <v>4</v>
      </c>
      <c r="M5" s="18">
        <v>34418.133749034401</v>
      </c>
      <c r="P5" s="15">
        <v>1994</v>
      </c>
      <c r="Q5" s="15">
        <v>4</v>
      </c>
      <c r="R5" s="15">
        <v>34485.267658877397</v>
      </c>
      <c r="T5" s="15">
        <v>1994</v>
      </c>
      <c r="U5" s="15">
        <v>4</v>
      </c>
      <c r="V5" s="15">
        <v>34627.893903650198</v>
      </c>
      <c r="X5" s="15">
        <v>1994</v>
      </c>
      <c r="Y5" s="15">
        <v>4</v>
      </c>
      <c r="Z5" s="15">
        <v>34628.815917095701</v>
      </c>
      <c r="AB5" s="15">
        <v>1994</v>
      </c>
      <c r="AC5" s="15">
        <v>4</v>
      </c>
      <c r="AD5" s="15">
        <v>34628.476555472698</v>
      </c>
      <c r="AF5" s="15">
        <v>1994</v>
      </c>
      <c r="AG5" s="15">
        <v>4</v>
      </c>
      <c r="AH5" s="15">
        <v>34626.661224219097</v>
      </c>
    </row>
    <row r="6" spans="1:34" x14ac:dyDescent="0.25">
      <c r="A6" s="15">
        <v>1994</v>
      </c>
      <c r="B6" s="15">
        <v>5</v>
      </c>
      <c r="C6" s="15">
        <v>29656.499494741998</v>
      </c>
      <c r="F6" s="15">
        <v>1994</v>
      </c>
      <c r="G6" s="15">
        <v>5</v>
      </c>
      <c r="H6" s="15">
        <v>30552.287138909898</v>
      </c>
      <c r="K6" s="18">
        <v>1994</v>
      </c>
      <c r="L6" s="18">
        <v>5</v>
      </c>
      <c r="M6" s="18">
        <v>29658.581014319501</v>
      </c>
      <c r="P6" s="15">
        <v>1994</v>
      </c>
      <c r="Q6" s="15">
        <v>5</v>
      </c>
      <c r="R6" s="15">
        <v>30552.287138909898</v>
      </c>
      <c r="T6" s="15">
        <v>1994</v>
      </c>
      <c r="U6" s="15">
        <v>5</v>
      </c>
      <c r="V6" s="15">
        <v>29660.329234538302</v>
      </c>
      <c r="X6" s="15">
        <v>1994</v>
      </c>
      <c r="Y6" s="15">
        <v>5</v>
      </c>
      <c r="Z6" s="15">
        <v>29663.5560257937</v>
      </c>
      <c r="AB6" s="15">
        <v>1994</v>
      </c>
      <c r="AC6" s="15">
        <v>5</v>
      </c>
      <c r="AD6" s="15">
        <v>29662.392093036698</v>
      </c>
      <c r="AF6" s="15">
        <v>1994</v>
      </c>
      <c r="AG6" s="15">
        <v>5</v>
      </c>
      <c r="AH6" s="15">
        <v>29655.425787321801</v>
      </c>
    </row>
    <row r="7" spans="1:34" x14ac:dyDescent="0.25">
      <c r="A7" s="15">
        <v>1994</v>
      </c>
      <c r="B7" s="15">
        <v>6</v>
      </c>
      <c r="C7" s="15">
        <v>31792.355497031898</v>
      </c>
      <c r="F7" s="15">
        <v>1994</v>
      </c>
      <c r="G7" s="15">
        <v>6</v>
      </c>
      <c r="H7" s="15">
        <v>32339.6767474193</v>
      </c>
      <c r="K7" s="18">
        <v>1994</v>
      </c>
      <c r="L7" s="18">
        <v>6</v>
      </c>
      <c r="M7" s="18">
        <v>31789.817453214</v>
      </c>
      <c r="P7" s="15">
        <v>1994</v>
      </c>
      <c r="Q7" s="15">
        <v>6</v>
      </c>
      <c r="R7" s="15">
        <v>32339.6767474193</v>
      </c>
      <c r="T7" s="15">
        <v>1994</v>
      </c>
      <c r="U7" s="15">
        <v>6</v>
      </c>
      <c r="V7" s="15">
        <v>31565.118601149101</v>
      </c>
      <c r="X7" s="15">
        <v>1994</v>
      </c>
      <c r="Y7" s="15">
        <v>6</v>
      </c>
      <c r="Z7" s="15">
        <v>31558.463187298799</v>
      </c>
      <c r="AB7" s="15">
        <v>1994</v>
      </c>
      <c r="AC7" s="15">
        <v>6</v>
      </c>
      <c r="AD7" s="15">
        <v>31561.1957992809</v>
      </c>
      <c r="AF7" s="15">
        <v>1994</v>
      </c>
      <c r="AG7" s="15">
        <v>6</v>
      </c>
      <c r="AH7" s="15">
        <v>31577.8040365167</v>
      </c>
    </row>
    <row r="8" spans="1:34" x14ac:dyDescent="0.25">
      <c r="A8" s="15">
        <v>1994</v>
      </c>
      <c r="B8" s="15">
        <v>7</v>
      </c>
      <c r="C8" s="15">
        <v>32817.304754740799</v>
      </c>
      <c r="F8" s="15">
        <v>1994</v>
      </c>
      <c r="G8" s="15">
        <v>7</v>
      </c>
      <c r="H8" s="15">
        <v>32896.253720589302</v>
      </c>
      <c r="K8" s="18">
        <v>1994</v>
      </c>
      <c r="L8" s="18">
        <v>7</v>
      </c>
      <c r="M8" s="18">
        <v>32819.657035432901</v>
      </c>
      <c r="P8" s="15">
        <v>1994</v>
      </c>
      <c r="Q8" s="15">
        <v>7</v>
      </c>
      <c r="R8" s="15">
        <v>32896.253720589302</v>
      </c>
      <c r="T8" s="15">
        <v>1994</v>
      </c>
      <c r="U8" s="15">
        <v>7</v>
      </c>
      <c r="V8" s="15">
        <v>32752.0140289466</v>
      </c>
      <c r="X8" s="15">
        <v>1994</v>
      </c>
      <c r="Y8" s="15">
        <v>7</v>
      </c>
      <c r="Z8" s="15">
        <v>32756.9161219466</v>
      </c>
      <c r="AB8" s="15">
        <v>1994</v>
      </c>
      <c r="AC8" s="15">
        <v>7</v>
      </c>
      <c r="AD8" s="15">
        <v>32754.878347750499</v>
      </c>
      <c r="AF8" s="15">
        <v>1994</v>
      </c>
      <c r="AG8" s="15">
        <v>7</v>
      </c>
      <c r="AH8" s="15">
        <v>32743.230914285999</v>
      </c>
    </row>
    <row r="9" spans="1:34" x14ac:dyDescent="0.25">
      <c r="A9" s="15">
        <v>1994</v>
      </c>
      <c r="B9" s="15">
        <v>8</v>
      </c>
      <c r="C9" s="15">
        <v>34805.770872218003</v>
      </c>
      <c r="F9" s="15">
        <v>1994</v>
      </c>
      <c r="G9" s="15">
        <v>8</v>
      </c>
      <c r="H9" s="15">
        <v>35086.198810338501</v>
      </c>
      <c r="K9" s="18">
        <v>1994</v>
      </c>
      <c r="L9" s="18">
        <v>8</v>
      </c>
      <c r="M9" s="18">
        <v>34803.861307733903</v>
      </c>
      <c r="P9" s="15">
        <v>1994</v>
      </c>
      <c r="Q9" s="15">
        <v>8</v>
      </c>
      <c r="R9" s="15">
        <v>35086.198810338501</v>
      </c>
      <c r="T9" s="15">
        <v>1994</v>
      </c>
      <c r="U9" s="15">
        <v>8</v>
      </c>
      <c r="V9" s="15">
        <v>34553.807096166602</v>
      </c>
      <c r="X9" s="15">
        <v>1994</v>
      </c>
      <c r="Y9" s="15">
        <v>8</v>
      </c>
      <c r="Z9" s="15">
        <v>34548.267432394299</v>
      </c>
      <c r="AB9" s="15">
        <v>1994</v>
      </c>
      <c r="AC9" s="15">
        <v>8</v>
      </c>
      <c r="AD9" s="15">
        <v>34550.5738289949</v>
      </c>
      <c r="AF9" s="15">
        <v>1994</v>
      </c>
      <c r="AG9" s="15">
        <v>8</v>
      </c>
      <c r="AH9" s="15">
        <v>34564.968282820599</v>
      </c>
    </row>
    <row r="10" spans="1:34" x14ac:dyDescent="0.25">
      <c r="A10" s="15">
        <v>1994</v>
      </c>
      <c r="B10" s="15">
        <v>9</v>
      </c>
      <c r="C10" s="15">
        <v>36066.268677676802</v>
      </c>
      <c r="F10" s="15">
        <v>1994</v>
      </c>
      <c r="G10" s="15">
        <v>9</v>
      </c>
      <c r="H10" s="15">
        <v>36347.602258060302</v>
      </c>
      <c r="K10" s="18">
        <v>1994</v>
      </c>
      <c r="L10" s="18">
        <v>9</v>
      </c>
      <c r="M10" s="18">
        <v>36064.454242888904</v>
      </c>
      <c r="P10" s="15">
        <v>1994</v>
      </c>
      <c r="Q10" s="15">
        <v>9</v>
      </c>
      <c r="R10" s="15">
        <v>36347.602258060302</v>
      </c>
      <c r="T10" s="15">
        <v>1994</v>
      </c>
      <c r="U10" s="15">
        <v>9</v>
      </c>
      <c r="V10" s="15">
        <v>35832.775335004299</v>
      </c>
      <c r="X10" s="15">
        <v>1994</v>
      </c>
      <c r="Y10" s="15">
        <v>9</v>
      </c>
      <c r="Z10" s="15">
        <v>35827.517934783697</v>
      </c>
      <c r="AB10" s="15">
        <v>1994</v>
      </c>
      <c r="AC10" s="15">
        <v>9</v>
      </c>
      <c r="AD10" s="15">
        <v>35829.723110001803</v>
      </c>
      <c r="AF10" s="15">
        <v>1994</v>
      </c>
      <c r="AG10" s="15">
        <v>9</v>
      </c>
      <c r="AH10" s="15">
        <v>35843.493413839198</v>
      </c>
    </row>
    <row r="11" spans="1:34" x14ac:dyDescent="0.25">
      <c r="A11" s="15">
        <v>1994</v>
      </c>
      <c r="B11" s="15">
        <v>10</v>
      </c>
      <c r="C11" s="15">
        <v>34169.387235714501</v>
      </c>
      <c r="F11" s="15">
        <v>1994</v>
      </c>
      <c r="G11" s="15">
        <v>10</v>
      </c>
      <c r="H11" s="15">
        <v>34197.535802442697</v>
      </c>
      <c r="K11" s="18">
        <v>1994</v>
      </c>
      <c r="L11" s="18">
        <v>10</v>
      </c>
      <c r="M11" s="18">
        <v>34172.634875506999</v>
      </c>
      <c r="P11" s="15">
        <v>1994</v>
      </c>
      <c r="Q11" s="15">
        <v>10</v>
      </c>
      <c r="R11" s="15">
        <v>34197.535802442697</v>
      </c>
      <c r="T11" s="15">
        <v>1994</v>
      </c>
      <c r="U11" s="15">
        <v>10</v>
      </c>
      <c r="V11" s="15">
        <v>34216.130651501597</v>
      </c>
      <c r="X11" s="15">
        <v>1994</v>
      </c>
      <c r="Y11" s="15">
        <v>10</v>
      </c>
      <c r="Z11" s="15">
        <v>34222.956397362403</v>
      </c>
      <c r="AB11" s="15">
        <v>1994</v>
      </c>
      <c r="AC11" s="15">
        <v>10</v>
      </c>
      <c r="AD11" s="15">
        <v>34220.131399277903</v>
      </c>
      <c r="AF11" s="15">
        <v>1994</v>
      </c>
      <c r="AG11" s="15">
        <v>10</v>
      </c>
      <c r="AH11" s="15">
        <v>34203.880643322598</v>
      </c>
    </row>
    <row r="12" spans="1:34" x14ac:dyDescent="0.25">
      <c r="A12" s="15">
        <v>1994</v>
      </c>
      <c r="B12" s="15">
        <v>11</v>
      </c>
      <c r="C12" s="15">
        <v>33625.6932233349</v>
      </c>
      <c r="F12" s="15">
        <v>1994</v>
      </c>
      <c r="G12" s="15">
        <v>11</v>
      </c>
      <c r="H12" s="15">
        <v>33762.928511952698</v>
      </c>
      <c r="K12" s="18">
        <v>1994</v>
      </c>
      <c r="L12" s="18">
        <v>11</v>
      </c>
      <c r="M12" s="18">
        <v>33626.144042118001</v>
      </c>
      <c r="P12" s="15">
        <v>1994</v>
      </c>
      <c r="Q12" s="15">
        <v>11</v>
      </c>
      <c r="R12" s="15">
        <v>33762.928511952698</v>
      </c>
      <c r="T12" s="15">
        <v>1994</v>
      </c>
      <c r="U12" s="15">
        <v>11</v>
      </c>
      <c r="V12" s="15">
        <v>33932.1423221757</v>
      </c>
      <c r="X12" s="15">
        <v>1994</v>
      </c>
      <c r="Y12" s="15">
        <v>11</v>
      </c>
      <c r="Z12" s="15">
        <v>33933.257193185898</v>
      </c>
      <c r="AB12" s="15">
        <v>1994</v>
      </c>
      <c r="AC12" s="15">
        <v>11</v>
      </c>
      <c r="AD12" s="15">
        <v>33931.809119188903</v>
      </c>
      <c r="AF12" s="15">
        <v>1994</v>
      </c>
      <c r="AG12" s="15">
        <v>11</v>
      </c>
      <c r="AH12" s="15">
        <v>33926.172505652197</v>
      </c>
    </row>
    <row r="13" spans="1:34" x14ac:dyDescent="0.25">
      <c r="A13" s="15">
        <v>1994</v>
      </c>
      <c r="B13" s="15">
        <v>12</v>
      </c>
      <c r="C13" s="15">
        <v>32905.3941296224</v>
      </c>
      <c r="F13" s="15">
        <v>1994</v>
      </c>
      <c r="G13" s="15">
        <v>12</v>
      </c>
      <c r="H13" s="15">
        <v>33101.270881666896</v>
      </c>
      <c r="K13" s="18">
        <v>1994</v>
      </c>
      <c r="L13" s="18">
        <v>12</v>
      </c>
      <c r="M13" s="18">
        <v>32905.095729584697</v>
      </c>
      <c r="P13" s="15">
        <v>1994</v>
      </c>
      <c r="Q13" s="15">
        <v>12</v>
      </c>
      <c r="R13" s="15">
        <v>33101.270881666896</v>
      </c>
      <c r="T13" s="15">
        <v>1994</v>
      </c>
      <c r="U13" s="15">
        <v>12</v>
      </c>
      <c r="V13" s="15">
        <v>32995.854984825099</v>
      </c>
      <c r="X13" s="15">
        <v>1994</v>
      </c>
      <c r="Y13" s="15">
        <v>12</v>
      </c>
      <c r="Z13" s="15">
        <v>32993.630308417502</v>
      </c>
      <c r="AB13" s="15">
        <v>1994</v>
      </c>
      <c r="AC13" s="15">
        <v>12</v>
      </c>
      <c r="AD13" s="15">
        <v>32994.495793814298</v>
      </c>
      <c r="AF13" s="15">
        <v>1994</v>
      </c>
      <c r="AG13" s="15">
        <v>12</v>
      </c>
      <c r="AH13" s="15">
        <v>32999.899770292803</v>
      </c>
    </row>
    <row r="14" spans="1:34" x14ac:dyDescent="0.25">
      <c r="A14" s="15">
        <v>1995</v>
      </c>
      <c r="B14" s="15">
        <v>1</v>
      </c>
      <c r="C14" s="15">
        <v>26744.320731674801</v>
      </c>
      <c r="F14" s="15">
        <v>1995</v>
      </c>
      <c r="G14" s="15">
        <v>1</v>
      </c>
      <c r="H14" s="15">
        <v>24684.90806799</v>
      </c>
      <c r="K14" s="18">
        <v>1995</v>
      </c>
      <c r="L14" s="18">
        <v>1</v>
      </c>
      <c r="M14" s="18">
        <v>26736.614166374999</v>
      </c>
      <c r="P14" s="15">
        <v>1995</v>
      </c>
      <c r="Q14" s="15">
        <v>1</v>
      </c>
      <c r="R14" s="15">
        <v>24684.90806799</v>
      </c>
      <c r="T14" s="15">
        <v>1995</v>
      </c>
      <c r="U14" s="15">
        <v>1</v>
      </c>
      <c r="V14" s="15">
        <v>27430.854429958301</v>
      </c>
      <c r="X14" s="15">
        <v>1995</v>
      </c>
      <c r="Y14" s="15">
        <v>1</v>
      </c>
      <c r="Z14" s="15">
        <v>27429.529187572902</v>
      </c>
      <c r="AB14" s="15">
        <v>1995</v>
      </c>
      <c r="AC14" s="15">
        <v>1</v>
      </c>
      <c r="AD14" s="15">
        <v>27427.190142904401</v>
      </c>
      <c r="AF14" s="15">
        <v>1995</v>
      </c>
      <c r="AG14" s="15">
        <v>1</v>
      </c>
      <c r="AH14" s="15">
        <v>27414.812237709</v>
      </c>
    </row>
    <row r="15" spans="1:34" x14ac:dyDescent="0.25">
      <c r="A15" s="15">
        <v>1995</v>
      </c>
      <c r="B15" s="15">
        <v>2</v>
      </c>
      <c r="C15" s="15">
        <v>37150.280146340301</v>
      </c>
      <c r="F15" s="15">
        <v>1995</v>
      </c>
      <c r="G15" s="15">
        <v>2</v>
      </c>
      <c r="H15" s="15">
        <v>35363.137634250801</v>
      </c>
      <c r="K15" s="18">
        <v>1995</v>
      </c>
      <c r="L15" s="18">
        <v>2</v>
      </c>
      <c r="M15" s="18">
        <v>37153.1136413739</v>
      </c>
      <c r="P15" s="15">
        <v>1995</v>
      </c>
      <c r="Q15" s="15">
        <v>2</v>
      </c>
      <c r="R15" s="15">
        <v>35363.137634250801</v>
      </c>
      <c r="T15" s="15">
        <v>1995</v>
      </c>
      <c r="U15" s="15">
        <v>2</v>
      </c>
      <c r="V15" s="15">
        <v>35657.667206034799</v>
      </c>
      <c r="X15" s="15">
        <v>1995</v>
      </c>
      <c r="Y15" s="15">
        <v>2</v>
      </c>
      <c r="Z15" s="15">
        <v>35667.264414529098</v>
      </c>
      <c r="AB15" s="15">
        <v>1995</v>
      </c>
      <c r="AC15" s="15">
        <v>2</v>
      </c>
      <c r="AD15" s="15">
        <v>35667.586773342999</v>
      </c>
      <c r="AF15" s="15">
        <v>1995</v>
      </c>
      <c r="AG15" s="15">
        <v>2</v>
      </c>
      <c r="AH15" s="15">
        <v>35659.081659380703</v>
      </c>
    </row>
    <row r="16" spans="1:34" x14ac:dyDescent="0.25">
      <c r="A16" s="15">
        <v>1995</v>
      </c>
      <c r="B16" s="15">
        <v>3</v>
      </c>
      <c r="C16" s="15">
        <v>29996.388544273501</v>
      </c>
      <c r="F16" s="15">
        <v>1995</v>
      </c>
      <c r="G16" s="15">
        <v>3</v>
      </c>
      <c r="H16" s="15">
        <v>31057.778231100099</v>
      </c>
      <c r="K16" s="18">
        <v>1995</v>
      </c>
      <c r="L16" s="18">
        <v>3</v>
      </c>
      <c r="M16" s="18">
        <v>29997.337630205999</v>
      </c>
      <c r="P16" s="15">
        <v>1995</v>
      </c>
      <c r="Q16" s="15">
        <v>3</v>
      </c>
      <c r="R16" s="15">
        <v>31057.778231100099</v>
      </c>
      <c r="T16" s="15">
        <v>1995</v>
      </c>
      <c r="U16" s="15">
        <v>3</v>
      </c>
      <c r="V16" s="15">
        <v>30016.460026283599</v>
      </c>
      <c r="X16" s="15">
        <v>1995</v>
      </c>
      <c r="Y16" s="15">
        <v>3</v>
      </c>
      <c r="Z16" s="15">
        <v>30011.760204321799</v>
      </c>
      <c r="AB16" s="15">
        <v>1995</v>
      </c>
      <c r="AC16" s="15">
        <v>3</v>
      </c>
      <c r="AD16" s="15">
        <v>30014.811747957101</v>
      </c>
      <c r="AF16" s="15">
        <v>1995</v>
      </c>
      <c r="AG16" s="15">
        <v>3</v>
      </c>
      <c r="AH16" s="15">
        <v>30031.6176766149</v>
      </c>
    </row>
    <row r="17" spans="1:34" x14ac:dyDescent="0.25">
      <c r="A17" s="15">
        <v>1995</v>
      </c>
      <c r="B17" s="15">
        <v>4</v>
      </c>
      <c r="C17" s="15">
        <v>25270.593260309299</v>
      </c>
      <c r="F17" s="15">
        <v>1995</v>
      </c>
      <c r="G17" s="15">
        <v>4</v>
      </c>
      <c r="H17" s="15">
        <v>25151.482699676901</v>
      </c>
      <c r="K17" s="18">
        <v>1995</v>
      </c>
      <c r="L17" s="18">
        <v>4</v>
      </c>
      <c r="M17" s="18">
        <v>25275.710671075401</v>
      </c>
      <c r="P17" s="15">
        <v>1995</v>
      </c>
      <c r="Q17" s="15">
        <v>4</v>
      </c>
      <c r="R17" s="15">
        <v>25151.482699676901</v>
      </c>
      <c r="T17" s="15">
        <v>1995</v>
      </c>
      <c r="U17" s="15">
        <v>4</v>
      </c>
      <c r="V17" s="15">
        <v>25555.626021365999</v>
      </c>
      <c r="X17" s="15">
        <v>1995</v>
      </c>
      <c r="Y17" s="15">
        <v>4</v>
      </c>
      <c r="Z17" s="15">
        <v>25564.7317716572</v>
      </c>
      <c r="AB17" s="15">
        <v>1995</v>
      </c>
      <c r="AC17" s="15">
        <v>4</v>
      </c>
      <c r="AD17" s="15">
        <v>25561.045253721299</v>
      </c>
      <c r="AF17" s="15">
        <v>1995</v>
      </c>
      <c r="AG17" s="15">
        <v>4</v>
      </c>
      <c r="AH17" s="15">
        <v>25539.190336836498</v>
      </c>
    </row>
    <row r="18" spans="1:34" x14ac:dyDescent="0.25">
      <c r="A18" s="15">
        <v>1995</v>
      </c>
      <c r="B18" s="15">
        <v>5</v>
      </c>
      <c r="C18" s="15">
        <v>25195.638497877899</v>
      </c>
      <c r="F18" s="15">
        <v>1995</v>
      </c>
      <c r="G18" s="15">
        <v>5</v>
      </c>
      <c r="H18" s="15">
        <v>26162.286335668101</v>
      </c>
      <c r="K18" s="18">
        <v>1995</v>
      </c>
      <c r="L18" s="18">
        <v>5</v>
      </c>
      <c r="M18" s="18">
        <v>25194.281124043198</v>
      </c>
      <c r="P18" s="15">
        <v>1995</v>
      </c>
      <c r="Q18" s="15">
        <v>5</v>
      </c>
      <c r="R18" s="15">
        <v>26162.286335668101</v>
      </c>
      <c r="T18" s="15">
        <v>1995</v>
      </c>
      <c r="U18" s="15">
        <v>5</v>
      </c>
      <c r="V18" s="15">
        <v>25051.501062003201</v>
      </c>
      <c r="X18" s="15">
        <v>1995</v>
      </c>
      <c r="Y18" s="15">
        <v>5</v>
      </c>
      <c r="Z18" s="15">
        <v>25046.598879007401</v>
      </c>
      <c r="AB18" s="15">
        <v>1995</v>
      </c>
      <c r="AC18" s="15">
        <v>5</v>
      </c>
      <c r="AD18" s="15">
        <v>25048.792677506499</v>
      </c>
      <c r="AF18" s="15">
        <v>1995</v>
      </c>
      <c r="AG18" s="15">
        <v>5</v>
      </c>
      <c r="AH18" s="15">
        <v>25061.839071734001</v>
      </c>
    </row>
    <row r="19" spans="1:34" x14ac:dyDescent="0.25">
      <c r="A19" s="15">
        <v>1995</v>
      </c>
      <c r="B19" s="15">
        <v>6</v>
      </c>
      <c r="C19" s="15">
        <v>19175.193140093001</v>
      </c>
      <c r="F19" s="15">
        <v>1995</v>
      </c>
      <c r="G19" s="15">
        <v>6</v>
      </c>
      <c r="H19" s="15">
        <v>19684.065629274399</v>
      </c>
      <c r="K19" s="18">
        <v>1995</v>
      </c>
      <c r="L19" s="18">
        <v>6</v>
      </c>
      <c r="M19" s="18">
        <v>19172.8835639344</v>
      </c>
      <c r="P19" s="15">
        <v>1995</v>
      </c>
      <c r="Q19" s="15">
        <v>6</v>
      </c>
      <c r="R19" s="15">
        <v>19684.065629274399</v>
      </c>
      <c r="T19" s="15">
        <v>1995</v>
      </c>
      <c r="U19" s="15">
        <v>6</v>
      </c>
      <c r="V19" s="15">
        <v>18968.717439487798</v>
      </c>
      <c r="X19" s="15">
        <v>1995</v>
      </c>
      <c r="Y19" s="15">
        <v>6</v>
      </c>
      <c r="Z19" s="15">
        <v>18962.536210830702</v>
      </c>
      <c r="AB19" s="15">
        <v>1995</v>
      </c>
      <c r="AC19" s="15">
        <v>6</v>
      </c>
      <c r="AD19" s="15">
        <v>18965.1320605447</v>
      </c>
      <c r="AF19" s="15">
        <v>1995</v>
      </c>
      <c r="AG19" s="15">
        <v>6</v>
      </c>
      <c r="AH19" s="15">
        <v>18980.775421054899</v>
      </c>
    </row>
    <row r="20" spans="1:34" x14ac:dyDescent="0.25">
      <c r="A20" s="15">
        <v>1995</v>
      </c>
      <c r="B20" s="15">
        <v>7</v>
      </c>
      <c r="C20" s="15">
        <v>19848.300983148401</v>
      </c>
      <c r="F20" s="15">
        <v>1995</v>
      </c>
      <c r="G20" s="15">
        <v>7</v>
      </c>
      <c r="H20" s="15">
        <v>19877.589139920899</v>
      </c>
      <c r="K20" s="18">
        <v>1995</v>
      </c>
      <c r="L20" s="18">
        <v>7</v>
      </c>
      <c r="M20" s="18">
        <v>19851.040388228401</v>
      </c>
      <c r="P20" s="15">
        <v>1995</v>
      </c>
      <c r="Q20" s="15">
        <v>7</v>
      </c>
      <c r="R20" s="15">
        <v>19877.589139920899</v>
      </c>
      <c r="T20" s="15">
        <v>1995</v>
      </c>
      <c r="U20" s="15">
        <v>7</v>
      </c>
      <c r="V20" s="15">
        <v>19815.839411952002</v>
      </c>
      <c r="X20" s="15">
        <v>1995</v>
      </c>
      <c r="Y20" s="15">
        <v>7</v>
      </c>
      <c r="Z20" s="15">
        <v>19821.797335135401</v>
      </c>
      <c r="AB20" s="15">
        <v>1995</v>
      </c>
      <c r="AC20" s="15">
        <v>7</v>
      </c>
      <c r="AD20" s="15">
        <v>19819.336456525802</v>
      </c>
      <c r="AF20" s="15">
        <v>1995</v>
      </c>
      <c r="AG20" s="15">
        <v>7</v>
      </c>
      <c r="AH20" s="15">
        <v>19805.0958491852</v>
      </c>
    </row>
    <row r="21" spans="1:34" x14ac:dyDescent="0.25">
      <c r="A21" s="15">
        <v>1995</v>
      </c>
      <c r="B21" s="15">
        <v>8</v>
      </c>
      <c r="C21" s="15">
        <v>16993.416016596701</v>
      </c>
      <c r="F21" s="15">
        <v>1995</v>
      </c>
      <c r="G21" s="15">
        <v>8</v>
      </c>
      <c r="H21" s="15">
        <v>17237.234699836801</v>
      </c>
      <c r="K21" s="18">
        <v>1995</v>
      </c>
      <c r="L21" s="18">
        <v>8</v>
      </c>
      <c r="M21" s="18">
        <v>16991.0385435223</v>
      </c>
      <c r="P21" s="15">
        <v>1995</v>
      </c>
      <c r="Q21" s="15">
        <v>8</v>
      </c>
      <c r="R21" s="15">
        <v>17237.234699836801</v>
      </c>
      <c r="T21" s="15">
        <v>1995</v>
      </c>
      <c r="U21" s="15">
        <v>8</v>
      </c>
      <c r="V21" s="15">
        <v>16720.987082104999</v>
      </c>
      <c r="X21" s="15">
        <v>1995</v>
      </c>
      <c r="Y21" s="15">
        <v>8</v>
      </c>
      <c r="Z21" s="15">
        <v>16714.628623981898</v>
      </c>
      <c r="AB21" s="15">
        <v>1995</v>
      </c>
      <c r="AC21" s="15">
        <v>8</v>
      </c>
      <c r="AD21" s="15">
        <v>16717.251595092501</v>
      </c>
      <c r="AF21" s="15">
        <v>1995</v>
      </c>
      <c r="AG21" s="15">
        <v>8</v>
      </c>
      <c r="AH21" s="15">
        <v>16733.595506099999</v>
      </c>
    </row>
    <row r="22" spans="1:34" x14ac:dyDescent="0.25">
      <c r="A22" s="15">
        <v>1995</v>
      </c>
      <c r="B22" s="15">
        <v>9</v>
      </c>
      <c r="C22" s="15">
        <v>17194.054164497102</v>
      </c>
      <c r="F22" s="15">
        <v>1995</v>
      </c>
      <c r="G22" s="15">
        <v>9</v>
      </c>
      <c r="H22" s="15">
        <v>17280.932350828502</v>
      </c>
      <c r="K22" s="18">
        <v>1995</v>
      </c>
      <c r="L22" s="18">
        <v>9</v>
      </c>
      <c r="M22" s="18">
        <v>17194.373482856401</v>
      </c>
      <c r="P22" s="15">
        <v>1995</v>
      </c>
      <c r="Q22" s="15">
        <v>9</v>
      </c>
      <c r="R22" s="15">
        <v>17280.932350828502</v>
      </c>
      <c r="T22" s="15">
        <v>1995</v>
      </c>
      <c r="U22" s="15">
        <v>9</v>
      </c>
      <c r="V22" s="15">
        <v>16957.678377220702</v>
      </c>
      <c r="X22" s="15">
        <v>1995</v>
      </c>
      <c r="Y22" s="15">
        <v>9</v>
      </c>
      <c r="Z22" s="15">
        <v>16958.4276416967</v>
      </c>
      <c r="AB22" s="15">
        <v>1995</v>
      </c>
      <c r="AC22" s="15">
        <v>9</v>
      </c>
      <c r="AD22" s="15">
        <v>16958.031099469601</v>
      </c>
      <c r="AF22" s="15">
        <v>1995</v>
      </c>
      <c r="AG22" s="15">
        <v>9</v>
      </c>
      <c r="AH22" s="15">
        <v>16956.837369407302</v>
      </c>
    </row>
    <row r="23" spans="1:34" x14ac:dyDescent="0.25">
      <c r="A23" s="15">
        <v>1995</v>
      </c>
      <c r="B23" s="15">
        <v>10</v>
      </c>
      <c r="C23" s="15">
        <v>18153.7032150304</v>
      </c>
      <c r="F23" s="15">
        <v>1995</v>
      </c>
      <c r="G23" s="15">
        <v>10</v>
      </c>
      <c r="H23" s="15">
        <v>18286.110138063701</v>
      </c>
      <c r="K23" s="18">
        <v>1995</v>
      </c>
      <c r="L23" s="18">
        <v>10</v>
      </c>
      <c r="M23" s="18">
        <v>18153.913251951799</v>
      </c>
      <c r="P23" s="15">
        <v>1995</v>
      </c>
      <c r="Q23" s="15">
        <v>10</v>
      </c>
      <c r="R23" s="15">
        <v>18286.110138063701</v>
      </c>
      <c r="T23" s="15">
        <v>1995</v>
      </c>
      <c r="U23" s="15">
        <v>10</v>
      </c>
      <c r="V23" s="15">
        <v>18042.176417738901</v>
      </c>
      <c r="X23" s="15">
        <v>1995</v>
      </c>
      <c r="Y23" s="15">
        <v>10</v>
      </c>
      <c r="Z23" s="15">
        <v>18041.6365021397</v>
      </c>
      <c r="AB23" s="15">
        <v>1995</v>
      </c>
      <c r="AC23" s="15">
        <v>10</v>
      </c>
      <c r="AD23" s="15">
        <v>18041.860410620899</v>
      </c>
      <c r="AF23" s="15">
        <v>1995</v>
      </c>
      <c r="AG23" s="15">
        <v>10</v>
      </c>
      <c r="AH23" s="15">
        <v>18043.880572813701</v>
      </c>
    </row>
    <row r="24" spans="1:34" x14ac:dyDescent="0.25">
      <c r="A24" s="15">
        <v>1995</v>
      </c>
      <c r="B24" s="15">
        <v>11</v>
      </c>
      <c r="C24" s="15">
        <v>18400.7056353021</v>
      </c>
      <c r="F24" s="15">
        <v>1995</v>
      </c>
      <c r="G24" s="15">
        <v>11</v>
      </c>
      <c r="H24" s="15">
        <v>18475.134254225199</v>
      </c>
      <c r="K24" s="18">
        <v>1995</v>
      </c>
      <c r="L24" s="18">
        <v>11</v>
      </c>
      <c r="M24" s="18">
        <v>18401.303946361499</v>
      </c>
      <c r="P24" s="15">
        <v>1995</v>
      </c>
      <c r="Q24" s="15">
        <v>11</v>
      </c>
      <c r="R24" s="15">
        <v>18475.134254225199</v>
      </c>
      <c r="T24" s="15">
        <v>1995</v>
      </c>
      <c r="U24" s="15">
        <v>11</v>
      </c>
      <c r="V24" s="15">
        <v>18699.113139008299</v>
      </c>
      <c r="X24" s="15">
        <v>1995</v>
      </c>
      <c r="Y24" s="15">
        <v>11</v>
      </c>
      <c r="Z24" s="15">
        <v>18700.343590902001</v>
      </c>
      <c r="AB24" s="15">
        <v>1995</v>
      </c>
      <c r="AC24" s="15">
        <v>11</v>
      </c>
      <c r="AD24" s="15">
        <v>18698.5719823732</v>
      </c>
      <c r="AF24" s="15">
        <v>1995</v>
      </c>
      <c r="AG24" s="15">
        <v>11</v>
      </c>
      <c r="AH24" s="15">
        <v>18692.016471039999</v>
      </c>
    </row>
    <row r="25" spans="1:34" x14ac:dyDescent="0.25">
      <c r="A25" s="15">
        <v>1995</v>
      </c>
      <c r="B25" s="15">
        <v>12</v>
      </c>
      <c r="C25" s="15">
        <v>21853.1096777317</v>
      </c>
      <c r="F25" s="15">
        <v>1995</v>
      </c>
      <c r="G25" s="15">
        <v>12</v>
      </c>
      <c r="H25" s="15">
        <v>21848.157019307</v>
      </c>
      <c r="K25" s="18">
        <v>1995</v>
      </c>
      <c r="L25" s="18">
        <v>12</v>
      </c>
      <c r="M25" s="18">
        <v>21855.877925081899</v>
      </c>
      <c r="P25" s="15">
        <v>1995</v>
      </c>
      <c r="Q25" s="15">
        <v>12</v>
      </c>
      <c r="R25" s="15">
        <v>21848.157019307</v>
      </c>
      <c r="T25" s="15">
        <v>1995</v>
      </c>
      <c r="U25" s="15">
        <v>12</v>
      </c>
      <c r="V25" s="15">
        <v>21977.521344608798</v>
      </c>
      <c r="X25" s="15">
        <v>1995</v>
      </c>
      <c r="Y25" s="15">
        <v>12</v>
      </c>
      <c r="Z25" s="15">
        <v>21982.125545755502</v>
      </c>
      <c r="AB25" s="15">
        <v>1995</v>
      </c>
      <c r="AC25" s="15">
        <v>12</v>
      </c>
      <c r="AD25" s="15">
        <v>21980.084457639801</v>
      </c>
      <c r="AF25" s="15">
        <v>1995</v>
      </c>
      <c r="AG25" s="15">
        <v>12</v>
      </c>
      <c r="AH25" s="15">
        <v>21968.643027992101</v>
      </c>
    </row>
    <row r="26" spans="1:34" x14ac:dyDescent="0.25">
      <c r="A26" s="15">
        <v>1996</v>
      </c>
      <c r="B26" s="15">
        <v>1</v>
      </c>
      <c r="C26" s="15">
        <v>20688.3139121405</v>
      </c>
      <c r="F26" s="15">
        <v>1996</v>
      </c>
      <c r="G26" s="15">
        <v>1</v>
      </c>
      <c r="H26" s="15">
        <v>19359.581569898899</v>
      </c>
      <c r="K26" s="18">
        <v>1996</v>
      </c>
      <c r="L26" s="18">
        <v>1</v>
      </c>
      <c r="M26" s="18">
        <v>20681.075801857201</v>
      </c>
      <c r="P26" s="15">
        <v>1996</v>
      </c>
      <c r="Q26" s="15">
        <v>1</v>
      </c>
      <c r="R26" s="15">
        <v>19359.581569898899</v>
      </c>
      <c r="T26" s="15">
        <v>1996</v>
      </c>
      <c r="U26" s="15">
        <v>1</v>
      </c>
      <c r="V26" s="15">
        <v>21644.5981437677</v>
      </c>
      <c r="X26" s="15">
        <v>1996</v>
      </c>
      <c r="Y26" s="15">
        <v>1</v>
      </c>
      <c r="Z26" s="15">
        <v>21641.901010515299</v>
      </c>
      <c r="AB26" s="15">
        <v>1996</v>
      </c>
      <c r="AC26" s="15">
        <v>1</v>
      </c>
      <c r="AD26" s="15">
        <v>21642.119727406</v>
      </c>
      <c r="AF26" s="15">
        <v>1996</v>
      </c>
      <c r="AG26" s="15">
        <v>1</v>
      </c>
      <c r="AH26" s="15">
        <v>21639.222924237201</v>
      </c>
    </row>
    <row r="27" spans="1:34" x14ac:dyDescent="0.25">
      <c r="A27" s="15">
        <v>1996</v>
      </c>
      <c r="B27" s="15">
        <v>2</v>
      </c>
      <c r="C27" s="15">
        <v>22815.7662887761</v>
      </c>
      <c r="F27" s="15">
        <v>1996</v>
      </c>
      <c r="G27" s="15">
        <v>2</v>
      </c>
      <c r="H27" s="15">
        <v>23221.042663951401</v>
      </c>
      <c r="K27" s="18">
        <v>1996</v>
      </c>
      <c r="L27" s="18">
        <v>2</v>
      </c>
      <c r="M27" s="18">
        <v>22814.834682106099</v>
      </c>
      <c r="P27" s="15">
        <v>1996</v>
      </c>
      <c r="Q27" s="15">
        <v>2</v>
      </c>
      <c r="R27" s="15">
        <v>23221.042663951401</v>
      </c>
      <c r="T27" s="15">
        <v>1996</v>
      </c>
      <c r="U27" s="15">
        <v>2</v>
      </c>
      <c r="V27" s="15">
        <v>25154.571699388001</v>
      </c>
      <c r="X27" s="15">
        <v>1996</v>
      </c>
      <c r="Y27" s="15">
        <v>2</v>
      </c>
      <c r="Z27" s="15">
        <v>25144.669173290298</v>
      </c>
      <c r="AB27" s="15">
        <v>1996</v>
      </c>
      <c r="AC27" s="15">
        <v>2</v>
      </c>
      <c r="AD27" s="15">
        <v>25144.731976616102</v>
      </c>
      <c r="AF27" s="15">
        <v>1996</v>
      </c>
      <c r="AG27" s="15">
        <v>2</v>
      </c>
      <c r="AH27" s="15">
        <v>25154.496209090401</v>
      </c>
    </row>
    <row r="28" spans="1:34" x14ac:dyDescent="0.25">
      <c r="A28" s="15">
        <v>1996</v>
      </c>
      <c r="B28" s="15">
        <v>3</v>
      </c>
      <c r="C28" s="15">
        <v>23128.242329380999</v>
      </c>
      <c r="F28" s="15">
        <v>1996</v>
      </c>
      <c r="G28" s="15">
        <v>3</v>
      </c>
      <c r="H28" s="15">
        <v>23519.5131742347</v>
      </c>
      <c r="K28" s="18">
        <v>1996</v>
      </c>
      <c r="L28" s="18">
        <v>3</v>
      </c>
      <c r="M28" s="18">
        <v>23133.707751636</v>
      </c>
      <c r="P28" s="15">
        <v>1996</v>
      </c>
      <c r="Q28" s="15">
        <v>3</v>
      </c>
      <c r="R28" s="15">
        <v>23519.5131742347</v>
      </c>
      <c r="T28" s="15">
        <v>1996</v>
      </c>
      <c r="U28" s="15">
        <v>3</v>
      </c>
      <c r="V28" s="15">
        <v>23241.658583416502</v>
      </c>
      <c r="X28" s="15">
        <v>1996</v>
      </c>
      <c r="Y28" s="15">
        <v>3</v>
      </c>
      <c r="Z28" s="15">
        <v>23249.710548000799</v>
      </c>
      <c r="AB28" s="15">
        <v>1996</v>
      </c>
      <c r="AC28" s="15">
        <v>3</v>
      </c>
      <c r="AD28" s="15">
        <v>23246.9802592171</v>
      </c>
      <c r="AF28" s="15">
        <v>1996</v>
      </c>
      <c r="AG28" s="15">
        <v>3</v>
      </c>
      <c r="AH28" s="15">
        <v>23230.207434262898</v>
      </c>
    </row>
    <row r="29" spans="1:34" x14ac:dyDescent="0.25">
      <c r="A29" s="15">
        <v>1996</v>
      </c>
      <c r="B29" s="15">
        <v>4</v>
      </c>
      <c r="C29" s="15">
        <v>24469.491778723899</v>
      </c>
      <c r="F29" s="15">
        <v>1996</v>
      </c>
      <c r="G29" s="15">
        <v>4</v>
      </c>
      <c r="H29" s="15">
        <v>24625.178553363199</v>
      </c>
      <c r="K29" s="18">
        <v>1996</v>
      </c>
      <c r="L29" s="18">
        <v>4</v>
      </c>
      <c r="M29" s="18">
        <v>24468.5144926828</v>
      </c>
      <c r="P29" s="15">
        <v>1996</v>
      </c>
      <c r="Q29" s="15">
        <v>4</v>
      </c>
      <c r="R29" s="15">
        <v>24625.178553363199</v>
      </c>
      <c r="T29" s="15">
        <v>1996</v>
      </c>
      <c r="U29" s="15">
        <v>4</v>
      </c>
      <c r="V29" s="15">
        <v>24406.932147631102</v>
      </c>
      <c r="X29" s="15">
        <v>1996</v>
      </c>
      <c r="Y29" s="15">
        <v>4</v>
      </c>
      <c r="Z29" s="15">
        <v>24402.191594704102</v>
      </c>
      <c r="AB29" s="15">
        <v>1996</v>
      </c>
      <c r="AC29" s="15">
        <v>4</v>
      </c>
      <c r="AD29" s="15">
        <v>24404.140017339101</v>
      </c>
      <c r="AF29" s="15">
        <v>1996</v>
      </c>
      <c r="AG29" s="15">
        <v>4</v>
      </c>
      <c r="AH29" s="15">
        <v>24416.0982415336</v>
      </c>
    </row>
    <row r="30" spans="1:34" x14ac:dyDescent="0.25">
      <c r="A30" s="15">
        <v>1996</v>
      </c>
      <c r="B30" s="15">
        <v>5</v>
      </c>
      <c r="C30" s="15">
        <v>24257.102781449201</v>
      </c>
      <c r="F30" s="15">
        <v>1996</v>
      </c>
      <c r="G30" s="15">
        <v>5</v>
      </c>
      <c r="H30" s="15">
        <v>24943.035348334699</v>
      </c>
      <c r="K30" s="18">
        <v>1996</v>
      </c>
      <c r="L30" s="18">
        <v>5</v>
      </c>
      <c r="M30" s="18">
        <v>24255.0002154217</v>
      </c>
      <c r="P30" s="15">
        <v>1996</v>
      </c>
      <c r="Q30" s="15">
        <v>5</v>
      </c>
      <c r="R30" s="15">
        <v>24943.035348334699</v>
      </c>
      <c r="T30" s="15">
        <v>1996</v>
      </c>
      <c r="U30" s="15">
        <v>5</v>
      </c>
      <c r="V30" s="15">
        <v>24063.784323398399</v>
      </c>
      <c r="X30" s="15">
        <v>1996</v>
      </c>
      <c r="Y30" s="15">
        <v>5</v>
      </c>
      <c r="Z30" s="15">
        <v>24057.3751123687</v>
      </c>
      <c r="AB30" s="15">
        <v>1996</v>
      </c>
      <c r="AC30" s="15">
        <v>5</v>
      </c>
      <c r="AD30" s="15">
        <v>24060.1301387649</v>
      </c>
      <c r="AF30" s="15">
        <v>1996</v>
      </c>
      <c r="AG30" s="15">
        <v>5</v>
      </c>
      <c r="AH30" s="15">
        <v>24076.670889011701</v>
      </c>
    </row>
    <row r="31" spans="1:34" x14ac:dyDescent="0.25">
      <c r="A31" s="15">
        <v>1996</v>
      </c>
      <c r="B31" s="15">
        <v>6</v>
      </c>
      <c r="C31" s="15">
        <v>26116.021727090101</v>
      </c>
      <c r="F31" s="15">
        <v>1996</v>
      </c>
      <c r="G31" s="15">
        <v>6</v>
      </c>
      <c r="H31" s="15">
        <v>26202.452676409699</v>
      </c>
      <c r="K31" s="18">
        <v>1996</v>
      </c>
      <c r="L31" s="18">
        <v>6</v>
      </c>
      <c r="M31" s="18">
        <v>26120.085059696099</v>
      </c>
      <c r="P31" s="15">
        <v>1996</v>
      </c>
      <c r="Q31" s="15">
        <v>6</v>
      </c>
      <c r="R31" s="15">
        <v>26202.452676409699</v>
      </c>
      <c r="T31" s="15">
        <v>1996</v>
      </c>
      <c r="U31" s="15">
        <v>6</v>
      </c>
      <c r="V31" s="15">
        <v>26167.698927494301</v>
      </c>
      <c r="X31" s="15">
        <v>1996</v>
      </c>
      <c r="Y31" s="15">
        <v>6</v>
      </c>
      <c r="Z31" s="15">
        <v>26176.607100200599</v>
      </c>
      <c r="AB31" s="15">
        <v>1996</v>
      </c>
      <c r="AC31" s="15">
        <v>6</v>
      </c>
      <c r="AD31" s="15">
        <v>26173.028380238</v>
      </c>
      <c r="AF31" s="15">
        <v>1996</v>
      </c>
      <c r="AG31" s="15">
        <v>6</v>
      </c>
      <c r="AH31" s="15">
        <v>26151.785632510499</v>
      </c>
    </row>
    <row r="32" spans="1:34" x14ac:dyDescent="0.25">
      <c r="A32" s="15">
        <v>1996</v>
      </c>
      <c r="B32" s="15">
        <v>7</v>
      </c>
      <c r="C32" s="15">
        <v>25617.038524723601</v>
      </c>
      <c r="F32" s="15">
        <v>1996</v>
      </c>
      <c r="G32" s="15">
        <v>7</v>
      </c>
      <c r="H32" s="15">
        <v>25916.562755709201</v>
      </c>
      <c r="K32" s="18">
        <v>1996</v>
      </c>
      <c r="L32" s="18">
        <v>7</v>
      </c>
      <c r="M32" s="18">
        <v>25614.3411348228</v>
      </c>
      <c r="P32" s="15">
        <v>1996</v>
      </c>
      <c r="Q32" s="15">
        <v>7</v>
      </c>
      <c r="R32" s="15">
        <v>25916.562755709201</v>
      </c>
      <c r="T32" s="15">
        <v>1996</v>
      </c>
      <c r="U32" s="15">
        <v>7</v>
      </c>
      <c r="V32" s="15">
        <v>25382.727194475901</v>
      </c>
      <c r="X32" s="15">
        <v>1996</v>
      </c>
      <c r="Y32" s="15">
        <v>7</v>
      </c>
      <c r="Z32" s="15">
        <v>25375.749390623499</v>
      </c>
      <c r="AB32" s="15">
        <v>1996</v>
      </c>
      <c r="AC32" s="15">
        <v>7</v>
      </c>
      <c r="AD32" s="15">
        <v>25378.6616517564</v>
      </c>
      <c r="AF32" s="15">
        <v>1996</v>
      </c>
      <c r="AG32" s="15">
        <v>7</v>
      </c>
      <c r="AH32" s="15">
        <v>25396.413899597301</v>
      </c>
    </row>
    <row r="33" spans="1:34" x14ac:dyDescent="0.25">
      <c r="A33" s="15">
        <v>1996</v>
      </c>
      <c r="B33" s="15">
        <v>8</v>
      </c>
      <c r="C33" s="15">
        <v>26892.851718901598</v>
      </c>
      <c r="F33" s="15">
        <v>1996</v>
      </c>
      <c r="G33" s="15">
        <v>8</v>
      </c>
      <c r="H33" s="15">
        <v>26998.934986013399</v>
      </c>
      <c r="K33" s="18">
        <v>1996</v>
      </c>
      <c r="L33" s="18">
        <v>8</v>
      </c>
      <c r="M33" s="18">
        <v>26892.985052634001</v>
      </c>
      <c r="P33" s="15">
        <v>1996</v>
      </c>
      <c r="Q33" s="15">
        <v>8</v>
      </c>
      <c r="R33" s="15">
        <v>26998.934986013399</v>
      </c>
      <c r="T33" s="15">
        <v>1996</v>
      </c>
      <c r="U33" s="15">
        <v>8</v>
      </c>
      <c r="V33" s="15">
        <v>26712.751597014601</v>
      </c>
      <c r="X33" s="15">
        <v>1996</v>
      </c>
      <c r="Y33" s="15">
        <v>8</v>
      </c>
      <c r="Z33" s="15">
        <v>26712.5770855103</v>
      </c>
      <c r="AB33" s="15">
        <v>1996</v>
      </c>
      <c r="AC33" s="15">
        <v>8</v>
      </c>
      <c r="AD33" s="15">
        <v>26712.6710589207</v>
      </c>
      <c r="AF33" s="15">
        <v>1996</v>
      </c>
      <c r="AG33" s="15">
        <v>8</v>
      </c>
      <c r="AH33" s="15">
        <v>26713.992040599402</v>
      </c>
    </row>
    <row r="34" spans="1:34" x14ac:dyDescent="0.25">
      <c r="A34" s="15">
        <v>1996</v>
      </c>
      <c r="B34" s="15">
        <v>9</v>
      </c>
      <c r="C34" s="15">
        <v>24203.8564873002</v>
      </c>
      <c r="F34" s="15">
        <v>1996</v>
      </c>
      <c r="G34" s="15">
        <v>9</v>
      </c>
      <c r="H34" s="15">
        <v>24289.6832404462</v>
      </c>
      <c r="K34" s="18">
        <v>1996</v>
      </c>
      <c r="L34" s="18">
        <v>9</v>
      </c>
      <c r="M34" s="18">
        <v>24203.2147854869</v>
      </c>
      <c r="P34" s="15">
        <v>1996</v>
      </c>
      <c r="Q34" s="15">
        <v>9</v>
      </c>
      <c r="R34" s="15">
        <v>24289.6832404462</v>
      </c>
      <c r="T34" s="15">
        <v>1996</v>
      </c>
      <c r="U34" s="15">
        <v>9</v>
      </c>
      <c r="V34" s="15">
        <v>23835.720002706799</v>
      </c>
      <c r="X34" s="15">
        <v>1996</v>
      </c>
      <c r="Y34" s="15">
        <v>9</v>
      </c>
      <c r="Z34" s="15">
        <v>23835.167398875499</v>
      </c>
      <c r="AB34" s="15">
        <v>1996</v>
      </c>
      <c r="AC34" s="15">
        <v>9</v>
      </c>
      <c r="AD34" s="15">
        <v>23835.189186743501</v>
      </c>
      <c r="AF34" s="15">
        <v>1996</v>
      </c>
      <c r="AG34" s="15">
        <v>9</v>
      </c>
      <c r="AH34" s="15">
        <v>23837.129959796901</v>
      </c>
    </row>
    <row r="35" spans="1:34" x14ac:dyDescent="0.25">
      <c r="A35" s="15">
        <v>1996</v>
      </c>
      <c r="B35" s="15">
        <v>10</v>
      </c>
      <c r="C35" s="15">
        <v>26578.1247189719</v>
      </c>
      <c r="F35" s="15">
        <v>1996</v>
      </c>
      <c r="G35" s="15">
        <v>10</v>
      </c>
      <c r="H35" s="15">
        <v>26831.137547144099</v>
      </c>
      <c r="K35" s="18">
        <v>1996</v>
      </c>
      <c r="L35" s="18">
        <v>10</v>
      </c>
      <c r="M35" s="18">
        <v>26575.126944023399</v>
      </c>
      <c r="P35" s="15">
        <v>1996</v>
      </c>
      <c r="Q35" s="15">
        <v>10</v>
      </c>
      <c r="R35" s="15">
        <v>26831.137547144099</v>
      </c>
      <c r="T35" s="15">
        <v>1996</v>
      </c>
      <c r="U35" s="15">
        <v>10</v>
      </c>
      <c r="V35" s="15">
        <v>26284.927962736601</v>
      </c>
      <c r="X35" s="15">
        <v>1996</v>
      </c>
      <c r="Y35" s="15">
        <v>10</v>
      </c>
      <c r="Z35" s="15">
        <v>26276.938823581499</v>
      </c>
      <c r="AB35" s="15">
        <v>1996</v>
      </c>
      <c r="AC35" s="15">
        <v>10</v>
      </c>
      <c r="AD35" s="15">
        <v>26280.246670292701</v>
      </c>
      <c r="AF35" s="15">
        <v>1996</v>
      </c>
      <c r="AG35" s="15">
        <v>10</v>
      </c>
      <c r="AH35" s="15">
        <v>26300.8184826453</v>
      </c>
    </row>
    <row r="36" spans="1:34" x14ac:dyDescent="0.25">
      <c r="A36" s="15">
        <v>1996</v>
      </c>
      <c r="B36" s="15">
        <v>11</v>
      </c>
      <c r="C36" s="15">
        <v>28216.2713823183</v>
      </c>
      <c r="F36" s="15">
        <v>1996</v>
      </c>
      <c r="G36" s="15">
        <v>11</v>
      </c>
      <c r="H36" s="15">
        <v>28067.316845150101</v>
      </c>
      <c r="K36" s="18">
        <v>1996</v>
      </c>
      <c r="L36" s="18">
        <v>11</v>
      </c>
      <c r="M36" s="18">
        <v>28219.781844421701</v>
      </c>
      <c r="P36" s="15">
        <v>1996</v>
      </c>
      <c r="Q36" s="15">
        <v>11</v>
      </c>
      <c r="R36" s="15">
        <v>28067.316845150101</v>
      </c>
      <c r="T36" s="15">
        <v>1996</v>
      </c>
      <c r="U36" s="15">
        <v>11</v>
      </c>
      <c r="V36" s="15">
        <v>28587.191398248498</v>
      </c>
      <c r="X36" s="15">
        <v>1996</v>
      </c>
      <c r="Y36" s="15">
        <v>11</v>
      </c>
      <c r="Z36" s="15">
        <v>28595.769928252001</v>
      </c>
      <c r="AB36" s="15">
        <v>1996</v>
      </c>
      <c r="AC36" s="15">
        <v>11</v>
      </c>
      <c r="AD36" s="15">
        <v>28590.745866904999</v>
      </c>
      <c r="AF36" s="15">
        <v>1996</v>
      </c>
      <c r="AG36" s="15">
        <v>11</v>
      </c>
      <c r="AH36" s="15">
        <v>28565.741154044099</v>
      </c>
    </row>
    <row r="37" spans="1:34" x14ac:dyDescent="0.25">
      <c r="A37" s="15">
        <v>1996</v>
      </c>
      <c r="B37" s="15">
        <v>12</v>
      </c>
      <c r="C37" s="15">
        <v>27899.762991148</v>
      </c>
      <c r="F37" s="15">
        <v>1996</v>
      </c>
      <c r="G37" s="15">
        <v>12</v>
      </c>
      <c r="H37" s="15">
        <v>27976.918732145099</v>
      </c>
      <c r="K37" s="18">
        <v>1996</v>
      </c>
      <c r="L37" s="18">
        <v>12</v>
      </c>
      <c r="M37" s="18">
        <v>27899.224865058499</v>
      </c>
      <c r="P37" s="15">
        <v>1996</v>
      </c>
      <c r="Q37" s="15">
        <v>12</v>
      </c>
      <c r="R37" s="15">
        <v>27976.918732145099</v>
      </c>
      <c r="T37" s="15">
        <v>1996</v>
      </c>
      <c r="U37" s="15">
        <v>12</v>
      </c>
      <c r="V37" s="15">
        <v>27768.297725861401</v>
      </c>
      <c r="X37" s="15">
        <v>1996</v>
      </c>
      <c r="Y37" s="15">
        <v>12</v>
      </c>
      <c r="Z37" s="15">
        <v>27765.529070415701</v>
      </c>
      <c r="AB37" s="15">
        <v>1996</v>
      </c>
      <c r="AC37" s="15">
        <v>12</v>
      </c>
      <c r="AD37" s="15">
        <v>27766.5550392443</v>
      </c>
      <c r="AF37" s="15">
        <v>1996</v>
      </c>
      <c r="AG37" s="15">
        <v>12</v>
      </c>
      <c r="AH37" s="15">
        <v>27773.690376053401</v>
      </c>
    </row>
    <row r="38" spans="1:34" x14ac:dyDescent="0.25">
      <c r="A38" s="15">
        <v>1997</v>
      </c>
      <c r="B38" s="15">
        <v>1</v>
      </c>
      <c r="C38" s="15">
        <v>28800.963090416601</v>
      </c>
      <c r="F38" s="15">
        <v>1997</v>
      </c>
      <c r="G38" s="15">
        <v>1</v>
      </c>
      <c r="H38" s="15">
        <v>27997.907140519099</v>
      </c>
      <c r="K38" s="18">
        <v>1997</v>
      </c>
      <c r="L38" s="18">
        <v>1</v>
      </c>
      <c r="M38" s="18">
        <v>28798.143658987901</v>
      </c>
      <c r="P38" s="15">
        <v>1997</v>
      </c>
      <c r="Q38" s="15">
        <v>1</v>
      </c>
      <c r="R38" s="15">
        <v>27997.907140519099</v>
      </c>
      <c r="T38" s="15">
        <v>1997</v>
      </c>
      <c r="U38" s="15">
        <v>1</v>
      </c>
      <c r="V38" s="15">
        <v>30353.933179214899</v>
      </c>
      <c r="X38" s="15">
        <v>1997</v>
      </c>
      <c r="Y38" s="15">
        <v>1</v>
      </c>
      <c r="Z38" s="15">
        <v>30357.391687962299</v>
      </c>
      <c r="AB38" s="15">
        <v>1997</v>
      </c>
      <c r="AC38" s="15">
        <v>1</v>
      </c>
      <c r="AD38" s="15">
        <v>30357.4649117554</v>
      </c>
      <c r="AF38" s="15">
        <v>1997</v>
      </c>
      <c r="AG38" s="15">
        <v>1</v>
      </c>
      <c r="AH38" s="15">
        <v>30346.525025410901</v>
      </c>
    </row>
    <row r="39" spans="1:34" x14ac:dyDescent="0.25">
      <c r="A39" s="15">
        <v>1997</v>
      </c>
      <c r="B39" s="15">
        <v>2</v>
      </c>
      <c r="C39" s="15">
        <v>31021.439739203201</v>
      </c>
      <c r="F39" s="15">
        <v>1997</v>
      </c>
      <c r="G39" s="15">
        <v>2</v>
      </c>
      <c r="H39" s="15">
        <v>30049.745781291898</v>
      </c>
      <c r="K39" s="18">
        <v>1997</v>
      </c>
      <c r="L39" s="18">
        <v>2</v>
      </c>
      <c r="M39" s="18">
        <v>31022.667918767402</v>
      </c>
      <c r="P39" s="15">
        <v>1997</v>
      </c>
      <c r="Q39" s="15">
        <v>2</v>
      </c>
      <c r="R39" s="15">
        <v>30049.745781291898</v>
      </c>
      <c r="T39" s="15">
        <v>1997</v>
      </c>
      <c r="U39" s="15">
        <v>2</v>
      </c>
      <c r="V39" s="15">
        <v>29769.8222122179</v>
      </c>
      <c r="X39" s="15">
        <v>1997</v>
      </c>
      <c r="Y39" s="15">
        <v>2</v>
      </c>
      <c r="Z39" s="15">
        <v>29773.092554068</v>
      </c>
      <c r="AB39" s="15">
        <v>1997</v>
      </c>
      <c r="AC39" s="15">
        <v>2</v>
      </c>
      <c r="AD39" s="15">
        <v>29773.101660929999</v>
      </c>
      <c r="AF39" s="15">
        <v>1997</v>
      </c>
      <c r="AG39" s="15">
        <v>2</v>
      </c>
      <c r="AH39" s="15">
        <v>29769.543704174801</v>
      </c>
    </row>
    <row r="40" spans="1:34" x14ac:dyDescent="0.25">
      <c r="A40" s="15">
        <v>1997</v>
      </c>
      <c r="B40" s="15">
        <v>3</v>
      </c>
      <c r="C40" s="15">
        <v>31335.2221159539</v>
      </c>
      <c r="F40" s="15">
        <v>1997</v>
      </c>
      <c r="G40" s="15">
        <v>3</v>
      </c>
      <c r="H40" s="15">
        <v>31410.766795432999</v>
      </c>
      <c r="K40" s="18">
        <v>1997</v>
      </c>
      <c r="L40" s="18">
        <v>3</v>
      </c>
      <c r="M40" s="18">
        <v>31339.203436385102</v>
      </c>
      <c r="P40" s="15">
        <v>1997</v>
      </c>
      <c r="Q40" s="15">
        <v>3</v>
      </c>
      <c r="R40" s="15">
        <v>31410.766795432999</v>
      </c>
      <c r="T40" s="15">
        <v>1997</v>
      </c>
      <c r="U40" s="15">
        <v>3</v>
      </c>
      <c r="V40" s="15">
        <v>31280.081810498501</v>
      </c>
      <c r="X40" s="15">
        <v>1997</v>
      </c>
      <c r="Y40" s="15">
        <v>3</v>
      </c>
      <c r="Z40" s="15">
        <v>31286.857032544802</v>
      </c>
      <c r="AB40" s="15">
        <v>1997</v>
      </c>
      <c r="AC40" s="15">
        <v>3</v>
      </c>
      <c r="AD40" s="15">
        <v>31284.3566094407</v>
      </c>
      <c r="AF40" s="15">
        <v>1997</v>
      </c>
      <c r="AG40" s="15">
        <v>3</v>
      </c>
      <c r="AH40" s="15">
        <v>31269.604651296198</v>
      </c>
    </row>
    <row r="41" spans="1:34" x14ac:dyDescent="0.25">
      <c r="A41" s="15">
        <v>1997</v>
      </c>
      <c r="B41" s="15">
        <v>4</v>
      </c>
      <c r="C41" s="15">
        <v>33592.2913793837</v>
      </c>
      <c r="F41" s="15">
        <v>1997</v>
      </c>
      <c r="G41" s="15">
        <v>4</v>
      </c>
      <c r="H41" s="15">
        <v>33709.537659466201</v>
      </c>
      <c r="K41" s="18">
        <v>1997</v>
      </c>
      <c r="L41" s="18">
        <v>4</v>
      </c>
      <c r="M41" s="18">
        <v>33591.130643192497</v>
      </c>
      <c r="P41" s="15">
        <v>1997</v>
      </c>
      <c r="Q41" s="15">
        <v>4</v>
      </c>
      <c r="R41" s="15">
        <v>33709.537659466201</v>
      </c>
      <c r="T41" s="15">
        <v>1997</v>
      </c>
      <c r="U41" s="15">
        <v>4</v>
      </c>
      <c r="V41" s="15">
        <v>33407.478299699404</v>
      </c>
      <c r="X41" s="15">
        <v>1997</v>
      </c>
      <c r="Y41" s="15">
        <v>4</v>
      </c>
      <c r="Z41" s="15">
        <v>33403.169864212898</v>
      </c>
      <c r="AB41" s="15">
        <v>1997</v>
      </c>
      <c r="AC41" s="15">
        <v>4</v>
      </c>
      <c r="AD41" s="15">
        <v>33404.988442942697</v>
      </c>
      <c r="AF41" s="15">
        <v>1997</v>
      </c>
      <c r="AG41" s="15">
        <v>4</v>
      </c>
      <c r="AH41" s="15">
        <v>33416.271239611102</v>
      </c>
    </row>
    <row r="42" spans="1:34" x14ac:dyDescent="0.25">
      <c r="A42" s="15">
        <v>1997</v>
      </c>
      <c r="B42" s="15">
        <v>5</v>
      </c>
      <c r="C42" s="15">
        <v>34639.434887094103</v>
      </c>
      <c r="F42" s="15">
        <v>1997</v>
      </c>
      <c r="G42" s="15">
        <v>5</v>
      </c>
      <c r="H42" s="15">
        <v>34924.063879164903</v>
      </c>
      <c r="K42" s="18">
        <v>1997</v>
      </c>
      <c r="L42" s="18">
        <v>5</v>
      </c>
      <c r="M42" s="18">
        <v>34639.712260448898</v>
      </c>
      <c r="P42" s="15">
        <v>1997</v>
      </c>
      <c r="Q42" s="15">
        <v>5</v>
      </c>
      <c r="R42" s="15">
        <v>34924.063879164903</v>
      </c>
      <c r="T42" s="15">
        <v>1997</v>
      </c>
      <c r="U42" s="15">
        <v>5</v>
      </c>
      <c r="V42" s="15">
        <v>34505.183815288903</v>
      </c>
      <c r="X42" s="15">
        <v>1997</v>
      </c>
      <c r="Y42" s="15">
        <v>5</v>
      </c>
      <c r="Z42" s="15">
        <v>34504.810561276499</v>
      </c>
      <c r="AB42" s="15">
        <v>1997</v>
      </c>
      <c r="AC42" s="15">
        <v>5</v>
      </c>
      <c r="AD42" s="15">
        <v>34505.071124830698</v>
      </c>
      <c r="AF42" s="15">
        <v>1997</v>
      </c>
      <c r="AG42" s="15">
        <v>5</v>
      </c>
      <c r="AH42" s="15">
        <v>34506.898788401202</v>
      </c>
    </row>
    <row r="43" spans="1:34" x14ac:dyDescent="0.25">
      <c r="A43" s="15">
        <v>1997</v>
      </c>
      <c r="B43" s="15">
        <v>6</v>
      </c>
      <c r="C43" s="15">
        <v>35567.278731097802</v>
      </c>
      <c r="F43" s="15">
        <v>1997</v>
      </c>
      <c r="G43" s="15">
        <v>6</v>
      </c>
      <c r="H43" s="15">
        <v>35702.6327907097</v>
      </c>
      <c r="K43" s="18">
        <v>1997</v>
      </c>
      <c r="L43" s="18">
        <v>6</v>
      </c>
      <c r="M43" s="18">
        <v>35568.463089178898</v>
      </c>
      <c r="P43" s="15">
        <v>1997</v>
      </c>
      <c r="Q43" s="15">
        <v>6</v>
      </c>
      <c r="R43" s="15">
        <v>35702.6327907097</v>
      </c>
      <c r="T43" s="15">
        <v>1997</v>
      </c>
      <c r="U43" s="15">
        <v>6</v>
      </c>
      <c r="V43" s="15">
        <v>35496.720014125603</v>
      </c>
      <c r="X43" s="15">
        <v>1997</v>
      </c>
      <c r="Y43" s="15">
        <v>6</v>
      </c>
      <c r="Z43" s="15">
        <v>35498.850713716398</v>
      </c>
      <c r="AB43" s="15">
        <v>1997</v>
      </c>
      <c r="AC43" s="15">
        <v>6</v>
      </c>
      <c r="AD43" s="15">
        <v>35498.088591612199</v>
      </c>
      <c r="AF43" s="15">
        <v>1997</v>
      </c>
      <c r="AG43" s="15">
        <v>6</v>
      </c>
      <c r="AH43" s="15">
        <v>35493.737935708101</v>
      </c>
    </row>
    <row r="44" spans="1:34" x14ac:dyDescent="0.25">
      <c r="A44" s="15">
        <v>1997</v>
      </c>
      <c r="B44" s="15">
        <v>7</v>
      </c>
      <c r="C44" s="15">
        <v>37238.584082645197</v>
      </c>
      <c r="F44" s="15">
        <v>1997</v>
      </c>
      <c r="G44" s="15">
        <v>7</v>
      </c>
      <c r="H44" s="15">
        <v>37488.629514455301</v>
      </c>
      <c r="K44" s="18">
        <v>1997</v>
      </c>
      <c r="L44" s="18">
        <v>7</v>
      </c>
      <c r="M44" s="18">
        <v>37236.385286666497</v>
      </c>
      <c r="P44" s="15">
        <v>1997</v>
      </c>
      <c r="Q44" s="15">
        <v>7</v>
      </c>
      <c r="R44" s="15">
        <v>37488.629514455301</v>
      </c>
      <c r="T44" s="15">
        <v>1997</v>
      </c>
      <c r="U44" s="15">
        <v>7</v>
      </c>
      <c r="V44" s="15">
        <v>37034.139340444097</v>
      </c>
      <c r="X44" s="15">
        <v>1997</v>
      </c>
      <c r="Y44" s="15">
        <v>7</v>
      </c>
      <c r="Z44" s="15">
        <v>37028.448392051403</v>
      </c>
      <c r="AB44" s="15">
        <v>1997</v>
      </c>
      <c r="AC44" s="15">
        <v>7</v>
      </c>
      <c r="AD44" s="15">
        <v>37030.863391414197</v>
      </c>
      <c r="AF44" s="15">
        <v>1997</v>
      </c>
      <c r="AG44" s="15">
        <v>7</v>
      </c>
      <c r="AH44" s="15">
        <v>37045.672134383</v>
      </c>
    </row>
    <row r="45" spans="1:34" x14ac:dyDescent="0.25">
      <c r="A45" s="15">
        <v>1997</v>
      </c>
      <c r="B45" s="15">
        <v>8</v>
      </c>
      <c r="C45" s="15">
        <v>37623.397781620697</v>
      </c>
      <c r="F45" s="15">
        <v>1997</v>
      </c>
      <c r="G45" s="15">
        <v>8</v>
      </c>
      <c r="H45" s="15">
        <v>37567.4644589745</v>
      </c>
      <c r="K45" s="18">
        <v>1997</v>
      </c>
      <c r="L45" s="18">
        <v>8</v>
      </c>
      <c r="M45" s="18">
        <v>37626.354863824599</v>
      </c>
      <c r="P45" s="15">
        <v>1997</v>
      </c>
      <c r="Q45" s="15">
        <v>8</v>
      </c>
      <c r="R45" s="15">
        <v>37567.4644589745</v>
      </c>
      <c r="T45" s="15">
        <v>1997</v>
      </c>
      <c r="U45" s="15">
        <v>8</v>
      </c>
      <c r="V45" s="15">
        <v>37563.172152520303</v>
      </c>
      <c r="X45" s="15">
        <v>1997</v>
      </c>
      <c r="Y45" s="15">
        <v>8</v>
      </c>
      <c r="Z45" s="15">
        <v>37569.9794396289</v>
      </c>
      <c r="AB45" s="15">
        <v>1997</v>
      </c>
      <c r="AC45" s="15">
        <v>8</v>
      </c>
      <c r="AD45" s="15">
        <v>37567.183218828301</v>
      </c>
      <c r="AF45" s="15">
        <v>1997</v>
      </c>
      <c r="AG45" s="15">
        <v>8</v>
      </c>
      <c r="AH45" s="15">
        <v>37551.440367734198</v>
      </c>
    </row>
    <row r="46" spans="1:34" x14ac:dyDescent="0.25">
      <c r="A46" s="15">
        <v>1997</v>
      </c>
      <c r="B46" s="15">
        <v>9</v>
      </c>
      <c r="C46" s="15">
        <v>39638.089461260402</v>
      </c>
      <c r="F46" s="15">
        <v>1997</v>
      </c>
      <c r="G46" s="15">
        <v>9</v>
      </c>
      <c r="H46" s="15">
        <v>39883.083178362598</v>
      </c>
      <c r="K46" s="18">
        <v>1997</v>
      </c>
      <c r="L46" s="18">
        <v>9</v>
      </c>
      <c r="M46" s="18">
        <v>39633.389641764501</v>
      </c>
      <c r="P46" s="15">
        <v>1997</v>
      </c>
      <c r="Q46" s="15">
        <v>9</v>
      </c>
      <c r="R46" s="15">
        <v>39883.083178362598</v>
      </c>
      <c r="T46" s="15">
        <v>1997</v>
      </c>
      <c r="U46" s="15">
        <v>9</v>
      </c>
      <c r="V46" s="15">
        <v>39055.531894666303</v>
      </c>
      <c r="X46" s="15">
        <v>1997</v>
      </c>
      <c r="Y46" s="15">
        <v>9</v>
      </c>
      <c r="Z46" s="15">
        <v>39046.3707892401</v>
      </c>
      <c r="AB46" s="15">
        <v>1997</v>
      </c>
      <c r="AC46" s="15">
        <v>9</v>
      </c>
      <c r="AD46" s="15">
        <v>39049.770782041</v>
      </c>
      <c r="AF46" s="15">
        <v>1997</v>
      </c>
      <c r="AG46" s="15">
        <v>9</v>
      </c>
      <c r="AH46" s="15">
        <v>39072.628747093397</v>
      </c>
    </row>
    <row r="47" spans="1:34" x14ac:dyDescent="0.25">
      <c r="A47" s="15">
        <v>1997</v>
      </c>
      <c r="B47" s="15">
        <v>10</v>
      </c>
      <c r="C47" s="15">
        <v>47099.690207474901</v>
      </c>
      <c r="F47" s="15">
        <v>1997</v>
      </c>
      <c r="G47" s="15">
        <v>10</v>
      </c>
      <c r="H47" s="15">
        <v>47321.156247177103</v>
      </c>
      <c r="K47" s="18">
        <v>1997</v>
      </c>
      <c r="L47" s="18">
        <v>10</v>
      </c>
      <c r="M47" s="18">
        <v>47096.635332243299</v>
      </c>
      <c r="P47" s="15">
        <v>1997</v>
      </c>
      <c r="Q47" s="15">
        <v>10</v>
      </c>
      <c r="R47" s="15">
        <v>47321.156247177103</v>
      </c>
      <c r="T47" s="15">
        <v>1997</v>
      </c>
      <c r="U47" s="15">
        <v>10</v>
      </c>
      <c r="V47" s="15">
        <v>46819.855756294601</v>
      </c>
      <c r="X47" s="15">
        <v>1997</v>
      </c>
      <c r="Y47" s="15">
        <v>10</v>
      </c>
      <c r="Z47" s="15">
        <v>46811.978958199201</v>
      </c>
      <c r="AB47" s="15">
        <v>1997</v>
      </c>
      <c r="AC47" s="15">
        <v>10</v>
      </c>
      <c r="AD47" s="15">
        <v>46815.278449282399</v>
      </c>
      <c r="AF47" s="15">
        <v>1997</v>
      </c>
      <c r="AG47" s="15">
        <v>10</v>
      </c>
      <c r="AH47" s="15">
        <v>46835.802956533204</v>
      </c>
    </row>
    <row r="48" spans="1:34" x14ac:dyDescent="0.25">
      <c r="A48" s="15">
        <v>1997</v>
      </c>
      <c r="B48" s="15">
        <v>11</v>
      </c>
      <c r="C48" s="15">
        <v>42220.181088350197</v>
      </c>
      <c r="F48" s="15">
        <v>1997</v>
      </c>
      <c r="G48" s="15">
        <v>11</v>
      </c>
      <c r="H48" s="15">
        <v>41895.847797180097</v>
      </c>
      <c r="K48" s="18">
        <v>1997</v>
      </c>
      <c r="L48" s="18">
        <v>11</v>
      </c>
      <c r="M48" s="18">
        <v>42226.338801546801</v>
      </c>
      <c r="P48" s="15">
        <v>1997</v>
      </c>
      <c r="Q48" s="15">
        <v>11</v>
      </c>
      <c r="R48" s="15">
        <v>41895.847797180097</v>
      </c>
      <c r="T48" s="15">
        <v>1997</v>
      </c>
      <c r="U48" s="15">
        <v>11</v>
      </c>
      <c r="V48" s="15">
        <v>42670.6364706444</v>
      </c>
      <c r="X48" s="15">
        <v>1997</v>
      </c>
      <c r="Y48" s="15">
        <v>11</v>
      </c>
      <c r="Z48" s="15">
        <v>42685.648841013201</v>
      </c>
      <c r="AB48" s="15">
        <v>1997</v>
      </c>
      <c r="AC48" s="15">
        <v>11</v>
      </c>
      <c r="AD48" s="15">
        <v>42678.173805946499</v>
      </c>
      <c r="AF48" s="15">
        <v>1997</v>
      </c>
      <c r="AG48" s="15">
        <v>11</v>
      </c>
      <c r="AH48" s="15">
        <v>42638.1548714202</v>
      </c>
    </row>
    <row r="49" spans="1:34" x14ac:dyDescent="0.25">
      <c r="A49" s="15">
        <v>1997</v>
      </c>
      <c r="B49" s="15">
        <v>12</v>
      </c>
      <c r="C49" s="15">
        <v>26801.074038159601</v>
      </c>
      <c r="F49" s="15">
        <v>1997</v>
      </c>
      <c r="G49" s="15">
        <v>12</v>
      </c>
      <c r="H49" s="15">
        <v>26986.0226801524</v>
      </c>
      <c r="K49" s="18">
        <v>1997</v>
      </c>
      <c r="L49" s="18">
        <v>12</v>
      </c>
      <c r="M49" s="18">
        <v>26797.4579185361</v>
      </c>
      <c r="P49" s="15">
        <v>1997</v>
      </c>
      <c r="Q49" s="15">
        <v>12</v>
      </c>
      <c r="R49" s="15">
        <v>26986.0226801524</v>
      </c>
      <c r="T49" s="15">
        <v>1997</v>
      </c>
      <c r="U49" s="15">
        <v>12</v>
      </c>
      <c r="V49" s="15">
        <v>26301.7342620376</v>
      </c>
      <c r="X49" s="15">
        <v>1997</v>
      </c>
      <c r="Y49" s="15">
        <v>12</v>
      </c>
      <c r="Z49" s="15">
        <v>26292.244776871601</v>
      </c>
      <c r="AB49" s="15">
        <v>1997</v>
      </c>
      <c r="AC49" s="15">
        <v>12</v>
      </c>
      <c r="AD49" s="15">
        <v>26295.8459678039</v>
      </c>
      <c r="AF49" s="15">
        <v>1997</v>
      </c>
      <c r="AG49" s="15">
        <v>12</v>
      </c>
      <c r="AH49" s="15">
        <v>26319.568772997201</v>
      </c>
    </row>
    <row r="50" spans="1:34" x14ac:dyDescent="0.25">
      <c r="A50" s="15">
        <v>1998</v>
      </c>
      <c r="B50" s="15">
        <v>1</v>
      </c>
      <c r="C50" s="15">
        <v>32549.180980397701</v>
      </c>
      <c r="F50" s="15">
        <v>1998</v>
      </c>
      <c r="G50" s="15">
        <v>1</v>
      </c>
      <c r="H50" s="15">
        <v>32008.0125217307</v>
      </c>
      <c r="K50" s="18">
        <v>1998</v>
      </c>
      <c r="L50" s="18">
        <v>1</v>
      </c>
      <c r="M50" s="18">
        <v>32552.981151524102</v>
      </c>
      <c r="P50" s="15">
        <v>1998</v>
      </c>
      <c r="Q50" s="15">
        <v>1</v>
      </c>
      <c r="R50" s="15">
        <v>32008.0125217307</v>
      </c>
      <c r="T50" s="15">
        <v>1998</v>
      </c>
      <c r="U50" s="15">
        <v>1</v>
      </c>
      <c r="V50" s="15">
        <v>34675.957567755097</v>
      </c>
      <c r="X50" s="15">
        <v>1998</v>
      </c>
      <c r="Y50" s="15">
        <v>1</v>
      </c>
      <c r="Z50" s="15">
        <v>34691.653955258</v>
      </c>
      <c r="AB50" s="15">
        <v>1998</v>
      </c>
      <c r="AC50" s="15">
        <v>1</v>
      </c>
      <c r="AD50" s="15">
        <v>34688.821757905302</v>
      </c>
      <c r="AF50" s="15">
        <v>1998</v>
      </c>
      <c r="AG50" s="15">
        <v>1</v>
      </c>
      <c r="AH50" s="15">
        <v>34653.961388109397</v>
      </c>
    </row>
    <row r="51" spans="1:34" x14ac:dyDescent="0.25">
      <c r="A51" s="15">
        <v>1998</v>
      </c>
      <c r="B51" s="15">
        <v>2</v>
      </c>
      <c r="C51" s="15">
        <v>38847.132741603004</v>
      </c>
      <c r="F51" s="15">
        <v>1998</v>
      </c>
      <c r="G51" s="15">
        <v>2</v>
      </c>
      <c r="H51" s="15">
        <v>38165.876120900699</v>
      </c>
      <c r="K51" s="18">
        <v>1998</v>
      </c>
      <c r="L51" s="18">
        <v>2</v>
      </c>
      <c r="M51" s="18">
        <v>38847.996114531103</v>
      </c>
      <c r="P51" s="15">
        <v>1998</v>
      </c>
      <c r="Q51" s="15">
        <v>2</v>
      </c>
      <c r="R51" s="15">
        <v>38165.876120900699</v>
      </c>
      <c r="T51" s="15">
        <v>1998</v>
      </c>
      <c r="U51" s="15">
        <v>2</v>
      </c>
      <c r="V51" s="15">
        <v>37723.786455884801</v>
      </c>
      <c r="X51" s="15">
        <v>1998</v>
      </c>
      <c r="Y51" s="15">
        <v>2</v>
      </c>
      <c r="Z51" s="15">
        <v>37723.7181455502</v>
      </c>
      <c r="AB51" s="15">
        <v>1998</v>
      </c>
      <c r="AC51" s="15">
        <v>2</v>
      </c>
      <c r="AD51" s="15">
        <v>37723.131077618302</v>
      </c>
      <c r="AF51" s="15">
        <v>1998</v>
      </c>
      <c r="AG51" s="15">
        <v>2</v>
      </c>
      <c r="AH51" s="15">
        <v>37720.078485826401</v>
      </c>
    </row>
    <row r="52" spans="1:34" x14ac:dyDescent="0.25">
      <c r="A52" s="15">
        <v>1998</v>
      </c>
      <c r="B52" s="15">
        <v>3</v>
      </c>
      <c r="C52" s="15">
        <v>39453.5545146144</v>
      </c>
      <c r="F52" s="15">
        <v>1998</v>
      </c>
      <c r="G52" s="15">
        <v>3</v>
      </c>
      <c r="H52" s="15">
        <v>39450.626497882702</v>
      </c>
      <c r="K52" s="18">
        <v>1998</v>
      </c>
      <c r="L52" s="18">
        <v>3</v>
      </c>
      <c r="M52" s="18">
        <v>39453.440507211199</v>
      </c>
      <c r="P52" s="15">
        <v>1998</v>
      </c>
      <c r="Q52" s="15">
        <v>3</v>
      </c>
      <c r="R52" s="15">
        <v>39450.626497882702</v>
      </c>
      <c r="T52" s="15">
        <v>1998</v>
      </c>
      <c r="U52" s="15">
        <v>3</v>
      </c>
      <c r="V52" s="15">
        <v>39214.495056639898</v>
      </c>
      <c r="X52" s="15">
        <v>1998</v>
      </c>
      <c r="Y52" s="15">
        <v>3</v>
      </c>
      <c r="Z52" s="15">
        <v>39213.4636454621</v>
      </c>
      <c r="AB52" s="15">
        <v>1998</v>
      </c>
      <c r="AC52" s="15">
        <v>3</v>
      </c>
      <c r="AD52" s="15">
        <v>39214.060995309199</v>
      </c>
      <c r="AF52" s="15">
        <v>1998</v>
      </c>
      <c r="AG52" s="15">
        <v>3</v>
      </c>
      <c r="AH52" s="15">
        <v>39217.983313862998</v>
      </c>
    </row>
    <row r="53" spans="1:34" x14ac:dyDescent="0.25">
      <c r="A53" s="15">
        <v>1998</v>
      </c>
      <c r="B53" s="15">
        <v>4</v>
      </c>
      <c r="C53" s="15">
        <v>40354.925063806499</v>
      </c>
      <c r="F53" s="15">
        <v>1998</v>
      </c>
      <c r="G53" s="15">
        <v>4</v>
      </c>
      <c r="H53" s="15">
        <v>40470.310256670797</v>
      </c>
      <c r="K53" s="18">
        <v>1998</v>
      </c>
      <c r="L53" s="18">
        <v>4</v>
      </c>
      <c r="M53" s="18">
        <v>40353.271061466803</v>
      </c>
      <c r="P53" s="15">
        <v>1998</v>
      </c>
      <c r="Q53" s="15">
        <v>4</v>
      </c>
      <c r="R53" s="15">
        <v>40470.310256670797</v>
      </c>
      <c r="T53" s="15">
        <v>1998</v>
      </c>
      <c r="U53" s="15">
        <v>4</v>
      </c>
      <c r="V53" s="15">
        <v>40080.283366985197</v>
      </c>
      <c r="X53" s="15">
        <v>1998</v>
      </c>
      <c r="Y53" s="15">
        <v>4</v>
      </c>
      <c r="Z53" s="15">
        <v>40075.6798415257</v>
      </c>
      <c r="AB53" s="15">
        <v>1998</v>
      </c>
      <c r="AC53" s="15">
        <v>4</v>
      </c>
      <c r="AD53" s="15">
        <v>40077.710456237401</v>
      </c>
      <c r="AF53" s="15">
        <v>1998</v>
      </c>
      <c r="AG53" s="15">
        <v>4</v>
      </c>
      <c r="AH53" s="15">
        <v>40090.267302852801</v>
      </c>
    </row>
    <row r="54" spans="1:34" x14ac:dyDescent="0.25">
      <c r="A54" s="15">
        <v>1998</v>
      </c>
      <c r="B54" s="15">
        <v>5</v>
      </c>
      <c r="C54" s="15">
        <v>39699.749411458397</v>
      </c>
      <c r="F54" s="15">
        <v>1998</v>
      </c>
      <c r="G54" s="15">
        <v>5</v>
      </c>
      <c r="H54" s="15">
        <v>39622.410376498701</v>
      </c>
      <c r="K54" s="18">
        <v>1998</v>
      </c>
      <c r="L54" s="18">
        <v>5</v>
      </c>
      <c r="M54" s="18">
        <v>39702.696214847703</v>
      </c>
      <c r="P54" s="15">
        <v>1998</v>
      </c>
      <c r="Q54" s="15">
        <v>5</v>
      </c>
      <c r="R54" s="15">
        <v>39622.410376498701</v>
      </c>
      <c r="T54" s="15">
        <v>1998</v>
      </c>
      <c r="U54" s="15">
        <v>5</v>
      </c>
      <c r="V54" s="15">
        <v>39630.960596486402</v>
      </c>
      <c r="X54" s="15">
        <v>1998</v>
      </c>
      <c r="Y54" s="15">
        <v>5</v>
      </c>
      <c r="Z54" s="15">
        <v>39637.3514836631</v>
      </c>
      <c r="AB54" s="15">
        <v>1998</v>
      </c>
      <c r="AC54" s="15">
        <v>5</v>
      </c>
      <c r="AD54" s="15">
        <v>39634.804857069699</v>
      </c>
      <c r="AF54" s="15">
        <v>1998</v>
      </c>
      <c r="AG54" s="15">
        <v>5</v>
      </c>
      <c r="AH54" s="15">
        <v>39620.177854608599</v>
      </c>
    </row>
    <row r="55" spans="1:34" x14ac:dyDescent="0.25">
      <c r="A55" s="15">
        <v>1998</v>
      </c>
      <c r="B55" s="15">
        <v>6</v>
      </c>
      <c r="C55" s="15">
        <v>41351.536297958497</v>
      </c>
      <c r="F55" s="15">
        <v>1998</v>
      </c>
      <c r="G55" s="15">
        <v>6</v>
      </c>
      <c r="H55" s="15">
        <v>41546.029648485797</v>
      </c>
      <c r="K55" s="18">
        <v>1998</v>
      </c>
      <c r="L55" s="18">
        <v>6</v>
      </c>
      <c r="M55" s="18">
        <v>41349.829915757698</v>
      </c>
      <c r="P55" s="15">
        <v>1998</v>
      </c>
      <c r="Q55" s="15">
        <v>6</v>
      </c>
      <c r="R55" s="15">
        <v>41546.029648485797</v>
      </c>
      <c r="T55" s="15">
        <v>1998</v>
      </c>
      <c r="U55" s="15">
        <v>6</v>
      </c>
      <c r="V55" s="15">
        <v>41123.754866134797</v>
      </c>
      <c r="X55" s="15">
        <v>1998</v>
      </c>
      <c r="Y55" s="15">
        <v>6</v>
      </c>
      <c r="Z55" s="15">
        <v>41119.057236954199</v>
      </c>
      <c r="AB55" s="15">
        <v>1998</v>
      </c>
      <c r="AC55" s="15">
        <v>6</v>
      </c>
      <c r="AD55" s="15">
        <v>41121.053004527101</v>
      </c>
      <c r="AF55" s="15">
        <v>1998</v>
      </c>
      <c r="AG55" s="15">
        <v>6</v>
      </c>
      <c r="AH55" s="15">
        <v>41133.576242423798</v>
      </c>
    </row>
    <row r="56" spans="1:34" x14ac:dyDescent="0.25">
      <c r="A56" s="15">
        <v>1998</v>
      </c>
      <c r="B56" s="15">
        <v>7</v>
      </c>
      <c r="C56" s="15">
        <v>39384.226302605202</v>
      </c>
      <c r="F56" s="15">
        <v>1998</v>
      </c>
      <c r="G56" s="15">
        <v>7</v>
      </c>
      <c r="H56" s="15">
        <v>39615.119713033098</v>
      </c>
      <c r="K56" s="18">
        <v>1998</v>
      </c>
      <c r="L56" s="18">
        <v>7</v>
      </c>
      <c r="M56" s="18">
        <v>39382.096178064901</v>
      </c>
      <c r="P56" s="15">
        <v>1998</v>
      </c>
      <c r="Q56" s="15">
        <v>7</v>
      </c>
      <c r="R56" s="15">
        <v>39615.119713033098</v>
      </c>
      <c r="T56" s="15">
        <v>1998</v>
      </c>
      <c r="U56" s="15">
        <v>7</v>
      </c>
      <c r="V56" s="15">
        <v>39137.673924146402</v>
      </c>
      <c r="X56" s="15">
        <v>1998</v>
      </c>
      <c r="Y56" s="15">
        <v>7</v>
      </c>
      <c r="Z56" s="15">
        <v>39132.100608182198</v>
      </c>
      <c r="AB56" s="15">
        <v>1998</v>
      </c>
      <c r="AC56" s="15">
        <v>7</v>
      </c>
      <c r="AD56" s="15">
        <v>39134.384160850997</v>
      </c>
      <c r="AF56" s="15">
        <v>1998</v>
      </c>
      <c r="AG56" s="15">
        <v>7</v>
      </c>
      <c r="AH56" s="15">
        <v>39148.9338586921</v>
      </c>
    </row>
    <row r="57" spans="1:34" x14ac:dyDescent="0.25">
      <c r="A57" s="15">
        <v>1998</v>
      </c>
      <c r="B57" s="15">
        <v>8</v>
      </c>
      <c r="C57" s="15">
        <v>44619.178160916003</v>
      </c>
      <c r="F57" s="15">
        <v>1998</v>
      </c>
      <c r="G57" s="15">
        <v>8</v>
      </c>
      <c r="H57" s="15">
        <v>44579.476563341697</v>
      </c>
      <c r="K57" s="18">
        <v>1998</v>
      </c>
      <c r="L57" s="18">
        <v>8</v>
      </c>
      <c r="M57" s="18">
        <v>44621.993451829403</v>
      </c>
      <c r="P57" s="15">
        <v>1998</v>
      </c>
      <c r="Q57" s="15">
        <v>8</v>
      </c>
      <c r="R57" s="15">
        <v>44579.476563341697</v>
      </c>
      <c r="T57" s="15">
        <v>1998</v>
      </c>
      <c r="U57" s="15">
        <v>8</v>
      </c>
      <c r="V57" s="15">
        <v>44673.221962257703</v>
      </c>
      <c r="X57" s="15">
        <v>1998</v>
      </c>
      <c r="Y57" s="15">
        <v>8</v>
      </c>
      <c r="Z57" s="15">
        <v>44680.687123367803</v>
      </c>
      <c r="AB57" s="15">
        <v>1998</v>
      </c>
      <c r="AC57" s="15">
        <v>8</v>
      </c>
      <c r="AD57" s="15">
        <v>44677.938127146001</v>
      </c>
      <c r="AF57" s="15">
        <v>1998</v>
      </c>
      <c r="AG57" s="15">
        <v>8</v>
      </c>
      <c r="AH57" s="15">
        <v>44661.528709590297</v>
      </c>
    </row>
    <row r="58" spans="1:34" x14ac:dyDescent="0.25">
      <c r="A58" s="15">
        <v>1998</v>
      </c>
      <c r="B58" s="15">
        <v>9</v>
      </c>
      <c r="C58" s="15">
        <v>40095.3017201189</v>
      </c>
      <c r="F58" s="15">
        <v>1998</v>
      </c>
      <c r="G58" s="15">
        <v>9</v>
      </c>
      <c r="H58" s="15">
        <v>40362.801401438097</v>
      </c>
      <c r="K58" s="18">
        <v>1998</v>
      </c>
      <c r="L58" s="18">
        <v>9</v>
      </c>
      <c r="M58" s="18">
        <v>40090.321462990702</v>
      </c>
      <c r="P58" s="15">
        <v>1998</v>
      </c>
      <c r="Q58" s="15">
        <v>9</v>
      </c>
      <c r="R58" s="15">
        <v>40362.801401438097</v>
      </c>
      <c r="T58" s="15">
        <v>1998</v>
      </c>
      <c r="U58" s="15">
        <v>9</v>
      </c>
      <c r="V58" s="15">
        <v>39468.856215046202</v>
      </c>
      <c r="X58" s="15">
        <v>1998</v>
      </c>
      <c r="Y58" s="15">
        <v>9</v>
      </c>
      <c r="Z58" s="15">
        <v>39459.153540657899</v>
      </c>
      <c r="AB58" s="15">
        <v>1998</v>
      </c>
      <c r="AC58" s="15">
        <v>9</v>
      </c>
      <c r="AD58" s="15">
        <v>39462.667308518401</v>
      </c>
      <c r="AF58" s="15">
        <v>1998</v>
      </c>
      <c r="AG58" s="15">
        <v>9</v>
      </c>
      <c r="AH58" s="15">
        <v>39486.763690026601</v>
      </c>
    </row>
    <row r="59" spans="1:34" x14ac:dyDescent="0.25">
      <c r="A59" s="15">
        <v>1998</v>
      </c>
      <c r="B59" s="15">
        <v>10</v>
      </c>
      <c r="C59" s="15">
        <v>34480.064952892499</v>
      </c>
      <c r="F59" s="15">
        <v>1998</v>
      </c>
      <c r="G59" s="15">
        <v>10</v>
      </c>
      <c r="H59" s="15">
        <v>34553.348872163602</v>
      </c>
      <c r="K59" s="18">
        <v>1998</v>
      </c>
      <c r="L59" s="18">
        <v>10</v>
      </c>
      <c r="M59" s="18">
        <v>34479.873891602401</v>
      </c>
      <c r="P59" s="15">
        <v>1998</v>
      </c>
      <c r="Q59" s="15">
        <v>10</v>
      </c>
      <c r="R59" s="15">
        <v>34553.348872163602</v>
      </c>
      <c r="T59" s="15">
        <v>1998</v>
      </c>
      <c r="U59" s="15">
        <v>10</v>
      </c>
      <c r="V59" s="15">
        <v>34288.270876196199</v>
      </c>
      <c r="X59" s="15">
        <v>1998</v>
      </c>
      <c r="Y59" s="15">
        <v>10</v>
      </c>
      <c r="Z59" s="15">
        <v>34287.645659147704</v>
      </c>
      <c r="AB59" s="15">
        <v>1998</v>
      </c>
      <c r="AC59" s="15">
        <v>10</v>
      </c>
      <c r="AD59" s="15">
        <v>34287.893678910601</v>
      </c>
      <c r="AF59" s="15">
        <v>1998</v>
      </c>
      <c r="AG59" s="15">
        <v>10</v>
      </c>
      <c r="AH59" s="15">
        <v>34290.643509097601</v>
      </c>
    </row>
    <row r="60" spans="1:34" x14ac:dyDescent="0.25">
      <c r="A60" s="15">
        <v>1998</v>
      </c>
      <c r="B60" s="15">
        <v>11</v>
      </c>
      <c r="C60" s="15">
        <v>28701.698814849198</v>
      </c>
      <c r="F60" s="15">
        <v>1998</v>
      </c>
      <c r="G60" s="15">
        <v>11</v>
      </c>
      <c r="H60" s="15">
        <v>28532.054165343201</v>
      </c>
      <c r="K60" s="18">
        <v>1998</v>
      </c>
      <c r="L60" s="18">
        <v>11</v>
      </c>
      <c r="M60" s="18">
        <v>28704.635912495502</v>
      </c>
      <c r="P60" s="15">
        <v>1998</v>
      </c>
      <c r="Q60" s="15">
        <v>11</v>
      </c>
      <c r="R60" s="15">
        <v>28532.054165343201</v>
      </c>
      <c r="T60" s="15">
        <v>1998</v>
      </c>
      <c r="U60" s="15">
        <v>11</v>
      </c>
      <c r="V60" s="15">
        <v>29005.274241011</v>
      </c>
      <c r="X60" s="15">
        <v>1998</v>
      </c>
      <c r="Y60" s="15">
        <v>11</v>
      </c>
      <c r="Z60" s="15">
        <v>29013.4795693126</v>
      </c>
      <c r="AB60" s="15">
        <v>1998</v>
      </c>
      <c r="AC60" s="15">
        <v>11</v>
      </c>
      <c r="AD60" s="15">
        <v>29008.822341915002</v>
      </c>
      <c r="AF60" s="15">
        <v>1998</v>
      </c>
      <c r="AG60" s="15">
        <v>11</v>
      </c>
      <c r="AH60" s="15">
        <v>28985.881074603101</v>
      </c>
    </row>
    <row r="61" spans="1:34" x14ac:dyDescent="0.25">
      <c r="A61" s="15">
        <v>1998</v>
      </c>
      <c r="B61" s="15">
        <v>12</v>
      </c>
      <c r="C61" s="15">
        <v>16081.9334107265</v>
      </c>
      <c r="F61" s="15">
        <v>1998</v>
      </c>
      <c r="G61" s="15">
        <v>12</v>
      </c>
      <c r="H61" s="15">
        <v>16258.008107510799</v>
      </c>
      <c r="K61" s="18">
        <v>1998</v>
      </c>
      <c r="L61" s="18">
        <v>12</v>
      </c>
      <c r="M61" s="18">
        <v>16078.06359709</v>
      </c>
      <c r="P61" s="15">
        <v>1998</v>
      </c>
      <c r="Q61" s="15">
        <v>12</v>
      </c>
      <c r="R61" s="15">
        <v>16258.008107510799</v>
      </c>
      <c r="T61" s="15">
        <v>1998</v>
      </c>
      <c r="U61" s="15">
        <v>12</v>
      </c>
      <c r="V61" s="15">
        <v>15298.598017639801</v>
      </c>
      <c r="X61" s="15">
        <v>1998</v>
      </c>
      <c r="Y61" s="15">
        <v>12</v>
      </c>
      <c r="Z61" s="15">
        <v>15289.6745522852</v>
      </c>
      <c r="AB61" s="15">
        <v>1998</v>
      </c>
      <c r="AC61" s="15">
        <v>12</v>
      </c>
      <c r="AD61" s="15">
        <v>15292.7321997975</v>
      </c>
      <c r="AF61" s="15">
        <v>1998</v>
      </c>
      <c r="AG61" s="15">
        <v>12</v>
      </c>
      <c r="AH61" s="15">
        <v>15315.0645252828</v>
      </c>
    </row>
    <row r="62" spans="1:34" x14ac:dyDescent="0.25">
      <c r="A62" s="15">
        <v>1999</v>
      </c>
      <c r="B62" s="15">
        <v>1</v>
      </c>
      <c r="C62" s="15">
        <v>25031.749843069701</v>
      </c>
      <c r="F62" s="15">
        <v>1999</v>
      </c>
      <c r="G62" s="15">
        <v>1</v>
      </c>
      <c r="H62" s="15">
        <v>24375.930820156202</v>
      </c>
      <c r="K62" s="18">
        <v>1999</v>
      </c>
      <c r="L62" s="18">
        <v>1</v>
      </c>
      <c r="M62" s="18">
        <v>25040.271727068601</v>
      </c>
      <c r="P62" s="15">
        <v>1999</v>
      </c>
      <c r="Q62" s="15">
        <v>1</v>
      </c>
      <c r="R62" s="15">
        <v>24375.930820156202</v>
      </c>
      <c r="T62" s="15">
        <v>1999</v>
      </c>
      <c r="U62" s="15">
        <v>1</v>
      </c>
      <c r="V62" s="15">
        <v>27697.965475244298</v>
      </c>
      <c r="X62" s="15">
        <v>1999</v>
      </c>
      <c r="Y62" s="15">
        <v>1</v>
      </c>
      <c r="Z62" s="15">
        <v>27720.508402785799</v>
      </c>
      <c r="AB62" s="15">
        <v>1999</v>
      </c>
      <c r="AC62" s="15">
        <v>1</v>
      </c>
      <c r="AD62" s="15">
        <v>27716.793956068599</v>
      </c>
      <c r="AF62" s="15">
        <v>1999</v>
      </c>
      <c r="AG62" s="15">
        <v>1</v>
      </c>
      <c r="AH62" s="15">
        <v>27669.066347337</v>
      </c>
    </row>
    <row r="63" spans="1:34" x14ac:dyDescent="0.25">
      <c r="A63" s="15">
        <v>1999</v>
      </c>
      <c r="B63" s="15">
        <v>2</v>
      </c>
      <c r="C63" s="15">
        <v>21919.227110616299</v>
      </c>
      <c r="F63" s="15">
        <v>1999</v>
      </c>
      <c r="G63" s="15">
        <v>2</v>
      </c>
      <c r="H63" s="15">
        <v>21336.195304328201</v>
      </c>
      <c r="K63" s="18">
        <v>1999</v>
      </c>
      <c r="L63" s="18">
        <v>2</v>
      </c>
      <c r="M63" s="18">
        <v>21920.0280666012</v>
      </c>
      <c r="P63" s="15">
        <v>1999</v>
      </c>
      <c r="Q63" s="15">
        <v>2</v>
      </c>
      <c r="R63" s="15">
        <v>21336.195304328201</v>
      </c>
      <c r="T63" s="15">
        <v>1999</v>
      </c>
      <c r="U63" s="15">
        <v>2</v>
      </c>
      <c r="V63" s="15">
        <v>20841.501581476801</v>
      </c>
      <c r="X63" s="15">
        <v>1999</v>
      </c>
      <c r="Y63" s="15">
        <v>2</v>
      </c>
      <c r="Z63" s="15">
        <v>20839.755451212201</v>
      </c>
      <c r="AB63" s="15">
        <v>1999</v>
      </c>
      <c r="AC63" s="15">
        <v>2</v>
      </c>
      <c r="AD63" s="15">
        <v>20838.155899366</v>
      </c>
      <c r="AF63" s="15">
        <v>1999</v>
      </c>
      <c r="AG63" s="15">
        <v>2</v>
      </c>
      <c r="AH63" s="15">
        <v>20832.732843846999</v>
      </c>
    </row>
    <row r="64" spans="1:34" x14ac:dyDescent="0.25">
      <c r="A64" s="15">
        <v>1999</v>
      </c>
      <c r="B64" s="15">
        <v>3</v>
      </c>
      <c r="C64" s="15">
        <v>18401.155182168801</v>
      </c>
      <c r="F64" s="15">
        <v>1999</v>
      </c>
      <c r="G64" s="15">
        <v>3</v>
      </c>
      <c r="H64" s="15">
        <v>18540.542060999102</v>
      </c>
      <c r="K64" s="18">
        <v>1999</v>
      </c>
      <c r="L64" s="18">
        <v>3</v>
      </c>
      <c r="M64" s="18">
        <v>18397.872961626999</v>
      </c>
      <c r="P64" s="15">
        <v>1999</v>
      </c>
      <c r="Q64" s="15">
        <v>3</v>
      </c>
      <c r="R64" s="15">
        <v>18540.542060999102</v>
      </c>
      <c r="T64" s="15">
        <v>1999</v>
      </c>
      <c r="U64" s="15">
        <v>3</v>
      </c>
      <c r="V64" s="15">
        <v>18001.150499899199</v>
      </c>
      <c r="X64" s="15">
        <v>1999</v>
      </c>
      <c r="Y64" s="15">
        <v>3</v>
      </c>
      <c r="Z64" s="15">
        <v>17993.666203828201</v>
      </c>
      <c r="AB64" s="15">
        <v>1999</v>
      </c>
      <c r="AC64" s="15">
        <v>3</v>
      </c>
      <c r="AD64" s="15">
        <v>17997.0507499628</v>
      </c>
      <c r="AF64" s="15">
        <v>1999</v>
      </c>
      <c r="AG64" s="15">
        <v>3</v>
      </c>
      <c r="AH64" s="15">
        <v>18017.7196582371</v>
      </c>
    </row>
    <row r="65" spans="1:34" x14ac:dyDescent="0.25">
      <c r="A65" s="15">
        <v>1999</v>
      </c>
      <c r="B65" s="15">
        <v>4</v>
      </c>
      <c r="C65" s="15">
        <v>18941.786910242699</v>
      </c>
      <c r="F65" s="15">
        <v>1999</v>
      </c>
      <c r="G65" s="15">
        <v>4</v>
      </c>
      <c r="H65" s="15">
        <v>19059.424921357298</v>
      </c>
      <c r="K65" s="18">
        <v>1999</v>
      </c>
      <c r="L65" s="18">
        <v>4</v>
      </c>
      <c r="M65" s="18">
        <v>18939.709331032798</v>
      </c>
      <c r="P65" s="15">
        <v>1999</v>
      </c>
      <c r="Q65" s="15">
        <v>4</v>
      </c>
      <c r="R65" s="15">
        <v>19059.424921357298</v>
      </c>
      <c r="T65" s="15">
        <v>1999</v>
      </c>
      <c r="U65" s="15">
        <v>4</v>
      </c>
      <c r="V65" s="15">
        <v>18608.609753159399</v>
      </c>
      <c r="X65" s="15">
        <v>1999</v>
      </c>
      <c r="Y65" s="15">
        <v>4</v>
      </c>
      <c r="Z65" s="15">
        <v>18603.7138530874</v>
      </c>
      <c r="AB65" s="15">
        <v>1999</v>
      </c>
      <c r="AC65" s="15">
        <v>4</v>
      </c>
      <c r="AD65" s="15">
        <v>18605.9371631715</v>
      </c>
      <c r="AF65" s="15">
        <v>1999</v>
      </c>
      <c r="AG65" s="15">
        <v>4</v>
      </c>
      <c r="AH65" s="15">
        <v>18619.847976212299</v>
      </c>
    </row>
    <row r="66" spans="1:34" x14ac:dyDescent="0.25">
      <c r="A66" s="15">
        <v>1999</v>
      </c>
      <c r="B66" s="15">
        <v>5</v>
      </c>
      <c r="C66" s="15">
        <v>21968.381586103598</v>
      </c>
      <c r="F66" s="15">
        <v>1999</v>
      </c>
      <c r="G66" s="15">
        <v>5</v>
      </c>
      <c r="H66" s="15">
        <v>21864.421495197799</v>
      </c>
      <c r="K66" s="18">
        <v>1999</v>
      </c>
      <c r="L66" s="18">
        <v>5</v>
      </c>
      <c r="M66" s="18">
        <v>21971.371088334901</v>
      </c>
      <c r="P66" s="15">
        <v>1999</v>
      </c>
      <c r="Q66" s="15">
        <v>5</v>
      </c>
      <c r="R66" s="15">
        <v>21864.421495197799</v>
      </c>
      <c r="T66" s="15">
        <v>1999</v>
      </c>
      <c r="U66" s="15">
        <v>5</v>
      </c>
      <c r="V66" s="15">
        <v>21860.375454483499</v>
      </c>
      <c r="X66" s="15">
        <v>1999</v>
      </c>
      <c r="Y66" s="15">
        <v>5</v>
      </c>
      <c r="Z66" s="15">
        <v>21867.282558579798</v>
      </c>
      <c r="AB66" s="15">
        <v>1999</v>
      </c>
      <c r="AC66" s="15">
        <v>5</v>
      </c>
      <c r="AD66" s="15">
        <v>21864.513543413999</v>
      </c>
      <c r="AF66" s="15">
        <v>1999</v>
      </c>
      <c r="AG66" s="15">
        <v>5</v>
      </c>
      <c r="AH66" s="15">
        <v>21848.900960421699</v>
      </c>
    </row>
    <row r="67" spans="1:34" x14ac:dyDescent="0.25">
      <c r="A67" s="15">
        <v>1999</v>
      </c>
      <c r="B67" s="15">
        <v>6</v>
      </c>
      <c r="C67" s="15">
        <v>21836.9187003271</v>
      </c>
      <c r="F67" s="15">
        <v>1999</v>
      </c>
      <c r="G67" s="15">
        <v>6</v>
      </c>
      <c r="H67" s="15">
        <v>22005.069014812001</v>
      </c>
      <c r="K67" s="18">
        <v>1999</v>
      </c>
      <c r="L67" s="18">
        <v>6</v>
      </c>
      <c r="M67" s="18">
        <v>21835.0706888081</v>
      </c>
      <c r="P67" s="15">
        <v>1999</v>
      </c>
      <c r="Q67" s="15">
        <v>6</v>
      </c>
      <c r="R67" s="15">
        <v>22005.069014812001</v>
      </c>
      <c r="T67" s="15">
        <v>1999</v>
      </c>
      <c r="U67" s="15">
        <v>6</v>
      </c>
      <c r="V67" s="15">
        <v>21565.584613396899</v>
      </c>
      <c r="X67" s="15">
        <v>1999</v>
      </c>
      <c r="Y67" s="15">
        <v>6</v>
      </c>
      <c r="Z67" s="15">
        <v>21560.8475880359</v>
      </c>
      <c r="AB67" s="15">
        <v>1999</v>
      </c>
      <c r="AC67" s="15">
        <v>6</v>
      </c>
      <c r="AD67" s="15">
        <v>21562.772801609401</v>
      </c>
      <c r="AF67" s="15">
        <v>1999</v>
      </c>
      <c r="AG67" s="15">
        <v>6</v>
      </c>
      <c r="AH67" s="15">
        <v>21575.361730912999</v>
      </c>
    </row>
    <row r="68" spans="1:34" x14ac:dyDescent="0.25">
      <c r="A68" s="15">
        <v>1999</v>
      </c>
      <c r="B68" s="15">
        <v>7</v>
      </c>
      <c r="C68" s="15">
        <v>22603.411570489701</v>
      </c>
      <c r="F68" s="15">
        <v>1999</v>
      </c>
      <c r="G68" s="15">
        <v>7</v>
      </c>
      <c r="H68" s="15">
        <v>22659.692689031101</v>
      </c>
      <c r="K68" s="18">
        <v>1999</v>
      </c>
      <c r="L68" s="18">
        <v>7</v>
      </c>
      <c r="M68" s="18">
        <v>22604.089271384</v>
      </c>
      <c r="P68" s="15">
        <v>1999</v>
      </c>
      <c r="Q68" s="15">
        <v>7</v>
      </c>
      <c r="R68" s="15">
        <v>22659.692689031101</v>
      </c>
      <c r="T68" s="15">
        <v>1999</v>
      </c>
      <c r="U68" s="15">
        <v>7</v>
      </c>
      <c r="V68" s="15">
        <v>22436.916661962299</v>
      </c>
      <c r="X68" s="15">
        <v>1999</v>
      </c>
      <c r="Y68" s="15">
        <v>7</v>
      </c>
      <c r="Z68" s="15">
        <v>22438.200305090599</v>
      </c>
      <c r="AB68" s="15">
        <v>1999</v>
      </c>
      <c r="AC68" s="15">
        <v>7</v>
      </c>
      <c r="AD68" s="15">
        <v>22437.539226127501</v>
      </c>
      <c r="AF68" s="15">
        <v>1999</v>
      </c>
      <c r="AG68" s="15">
        <v>7</v>
      </c>
      <c r="AH68" s="15">
        <v>22435.077702578201</v>
      </c>
    </row>
    <row r="69" spans="1:34" x14ac:dyDescent="0.25">
      <c r="A69" s="15">
        <v>1999</v>
      </c>
      <c r="B69" s="15">
        <v>8</v>
      </c>
      <c r="C69" s="15">
        <v>25274.78024874</v>
      </c>
      <c r="F69" s="15">
        <v>1999</v>
      </c>
      <c r="G69" s="15">
        <v>8</v>
      </c>
      <c r="H69" s="15">
        <v>25358.828544404601</v>
      </c>
      <c r="K69" s="18">
        <v>1999</v>
      </c>
      <c r="L69" s="18">
        <v>8</v>
      </c>
      <c r="M69" s="18">
        <v>25274.777800113701</v>
      </c>
      <c r="P69" s="15">
        <v>1999</v>
      </c>
      <c r="Q69" s="15">
        <v>8</v>
      </c>
      <c r="R69" s="15">
        <v>25358.828544404601</v>
      </c>
      <c r="T69" s="15">
        <v>1999</v>
      </c>
      <c r="U69" s="15">
        <v>8</v>
      </c>
      <c r="V69" s="15">
        <v>25367.461470112899</v>
      </c>
      <c r="X69" s="15">
        <v>1999</v>
      </c>
      <c r="Y69" s="15">
        <v>8</v>
      </c>
      <c r="Z69" s="15">
        <v>25369.275802723401</v>
      </c>
      <c r="AB69" s="15">
        <v>1999</v>
      </c>
      <c r="AC69" s="15">
        <v>8</v>
      </c>
      <c r="AD69" s="15">
        <v>25369.096961159401</v>
      </c>
      <c r="AF69" s="15">
        <v>1999</v>
      </c>
      <c r="AG69" s="15">
        <v>8</v>
      </c>
      <c r="AH69" s="15">
        <v>25367.188573445601</v>
      </c>
    </row>
    <row r="70" spans="1:34" x14ac:dyDescent="0.25">
      <c r="A70" s="15">
        <v>1999</v>
      </c>
      <c r="B70" s="15">
        <v>9</v>
      </c>
      <c r="C70" s="15">
        <v>24868.6649762044</v>
      </c>
      <c r="F70" s="15">
        <v>1999</v>
      </c>
      <c r="G70" s="15">
        <v>9</v>
      </c>
      <c r="H70" s="15">
        <v>25151.009810562398</v>
      </c>
      <c r="K70" s="18">
        <v>1999</v>
      </c>
      <c r="L70" s="18">
        <v>9</v>
      </c>
      <c r="M70" s="18">
        <v>24863.380937946698</v>
      </c>
      <c r="P70" s="15">
        <v>1999</v>
      </c>
      <c r="Q70" s="15">
        <v>9</v>
      </c>
      <c r="R70" s="15">
        <v>25151.009810562398</v>
      </c>
      <c r="T70" s="15">
        <v>1999</v>
      </c>
      <c r="U70" s="15">
        <v>9</v>
      </c>
      <c r="V70" s="15">
        <v>24242.565348269902</v>
      </c>
      <c r="X70" s="15">
        <v>1999</v>
      </c>
      <c r="Y70" s="15">
        <v>9</v>
      </c>
      <c r="Z70" s="15">
        <v>24232.147567647899</v>
      </c>
      <c r="AB70" s="15">
        <v>1999</v>
      </c>
      <c r="AC70" s="15">
        <v>9</v>
      </c>
      <c r="AD70" s="15">
        <v>24235.716443745499</v>
      </c>
      <c r="AF70" s="15">
        <v>1999</v>
      </c>
      <c r="AG70" s="15">
        <v>9</v>
      </c>
      <c r="AH70" s="15">
        <v>24261.002209386901</v>
      </c>
    </row>
    <row r="71" spans="1:34" x14ac:dyDescent="0.25">
      <c r="A71" s="15">
        <v>1999</v>
      </c>
      <c r="B71" s="15">
        <v>10</v>
      </c>
      <c r="C71" s="15">
        <v>28770.136857556201</v>
      </c>
      <c r="F71" s="15">
        <v>1999</v>
      </c>
      <c r="G71" s="15">
        <v>10</v>
      </c>
      <c r="H71" s="15">
        <v>28678.566959045402</v>
      </c>
      <c r="K71" s="18">
        <v>1999</v>
      </c>
      <c r="L71" s="18">
        <v>10</v>
      </c>
      <c r="M71" s="18">
        <v>28773.360146884399</v>
      </c>
      <c r="P71" s="15">
        <v>1999</v>
      </c>
      <c r="Q71" s="15">
        <v>10</v>
      </c>
      <c r="R71" s="15">
        <v>28678.566959045402</v>
      </c>
      <c r="T71" s="15">
        <v>1999</v>
      </c>
      <c r="U71" s="15">
        <v>10</v>
      </c>
      <c r="V71" s="15">
        <v>28733.000232304501</v>
      </c>
      <c r="X71" s="15">
        <v>1999</v>
      </c>
      <c r="Y71" s="15">
        <v>10</v>
      </c>
      <c r="Z71" s="15">
        <v>28740.513085234201</v>
      </c>
      <c r="AB71" s="15">
        <v>1999</v>
      </c>
      <c r="AC71" s="15">
        <v>10</v>
      </c>
      <c r="AD71" s="15">
        <v>28737.217526132699</v>
      </c>
      <c r="AF71" s="15">
        <v>1999</v>
      </c>
      <c r="AG71" s="15">
        <v>10</v>
      </c>
      <c r="AH71" s="15">
        <v>28719.587118205302</v>
      </c>
    </row>
    <row r="72" spans="1:34" x14ac:dyDescent="0.25">
      <c r="A72" s="15">
        <v>1999</v>
      </c>
      <c r="B72" s="15">
        <v>11</v>
      </c>
      <c r="C72" s="15">
        <v>29267.441457089099</v>
      </c>
      <c r="F72" s="15">
        <v>1999</v>
      </c>
      <c r="G72" s="15">
        <v>11</v>
      </c>
      <c r="H72" s="15">
        <v>29303.821208997699</v>
      </c>
      <c r="K72" s="18">
        <v>1999</v>
      </c>
      <c r="L72" s="18">
        <v>11</v>
      </c>
      <c r="M72" s="18">
        <v>29267.092048962499</v>
      </c>
      <c r="P72" s="15">
        <v>1999</v>
      </c>
      <c r="Q72" s="15">
        <v>11</v>
      </c>
      <c r="R72" s="15">
        <v>29303.821208997699</v>
      </c>
      <c r="T72" s="15">
        <v>1999</v>
      </c>
      <c r="U72" s="15">
        <v>11</v>
      </c>
      <c r="V72" s="15">
        <v>29339.904576516601</v>
      </c>
      <c r="X72" s="15">
        <v>1999</v>
      </c>
      <c r="Y72" s="15">
        <v>11</v>
      </c>
      <c r="Z72" s="15">
        <v>29339.866432139399</v>
      </c>
      <c r="AB72" s="15">
        <v>1999</v>
      </c>
      <c r="AC72" s="15">
        <v>11</v>
      </c>
      <c r="AD72" s="15">
        <v>29338.8897015537</v>
      </c>
      <c r="AF72" s="15">
        <v>1999</v>
      </c>
      <c r="AG72" s="15">
        <v>11</v>
      </c>
      <c r="AH72" s="15">
        <v>29337.392363825202</v>
      </c>
    </row>
    <row r="73" spans="1:34" x14ac:dyDescent="0.25">
      <c r="A73" s="15">
        <v>1999</v>
      </c>
      <c r="B73" s="15">
        <v>12</v>
      </c>
      <c r="C73" s="15">
        <v>33351.700165886599</v>
      </c>
      <c r="F73" s="15">
        <v>1999</v>
      </c>
      <c r="G73" s="15">
        <v>12</v>
      </c>
      <c r="H73" s="15">
        <v>33549.042321040499</v>
      </c>
      <c r="K73" s="18">
        <v>1999</v>
      </c>
      <c r="L73" s="18">
        <v>12</v>
      </c>
      <c r="M73" s="18">
        <v>33348.066000594197</v>
      </c>
      <c r="P73" s="15">
        <v>1999</v>
      </c>
      <c r="Q73" s="15">
        <v>12</v>
      </c>
      <c r="R73" s="15">
        <v>33549.042321040499</v>
      </c>
      <c r="T73" s="15">
        <v>1999</v>
      </c>
      <c r="U73" s="15">
        <v>12</v>
      </c>
      <c r="V73" s="15">
        <v>32332.0504463131</v>
      </c>
      <c r="X73" s="15">
        <v>1999</v>
      </c>
      <c r="Y73" s="15">
        <v>12</v>
      </c>
      <c r="Z73" s="15">
        <v>32323.8379384736</v>
      </c>
      <c r="AB73" s="15">
        <v>1999</v>
      </c>
      <c r="AC73" s="15">
        <v>12</v>
      </c>
      <c r="AD73" s="15">
        <v>32326.112159748202</v>
      </c>
      <c r="AF73" s="15">
        <v>1999</v>
      </c>
      <c r="AG73" s="15">
        <v>12</v>
      </c>
      <c r="AH73" s="15">
        <v>32345.970102258801</v>
      </c>
    </row>
    <row r="74" spans="1:34" x14ac:dyDescent="0.25">
      <c r="A74" s="15">
        <v>2000</v>
      </c>
      <c r="B74" s="15">
        <v>1</v>
      </c>
      <c r="C74" s="15">
        <v>35131.156653353901</v>
      </c>
      <c r="F74" s="15">
        <v>2000</v>
      </c>
      <c r="G74" s="15">
        <v>1</v>
      </c>
      <c r="H74" s="15">
        <v>34412.762385626003</v>
      </c>
      <c r="K74" s="18">
        <v>2000</v>
      </c>
      <c r="L74" s="18">
        <v>1</v>
      </c>
      <c r="M74" s="18">
        <v>35139.168849241098</v>
      </c>
      <c r="P74" s="15">
        <v>2000</v>
      </c>
      <c r="Q74" s="15">
        <v>1</v>
      </c>
      <c r="R74" s="15">
        <v>34412.762385626003</v>
      </c>
      <c r="T74" s="15">
        <v>2000</v>
      </c>
      <c r="U74" s="15">
        <v>1</v>
      </c>
      <c r="V74" s="15">
        <v>38088.150714618401</v>
      </c>
      <c r="X74" s="15">
        <v>2000</v>
      </c>
      <c r="Y74" s="15">
        <v>1</v>
      </c>
      <c r="Z74" s="15">
        <v>38108.657296933903</v>
      </c>
      <c r="AB74" s="15">
        <v>2000</v>
      </c>
      <c r="AC74" s="15">
        <v>1</v>
      </c>
      <c r="AD74" s="15">
        <v>38107.330913064798</v>
      </c>
      <c r="AF74" s="15">
        <v>2000</v>
      </c>
      <c r="AG74" s="15">
        <v>1</v>
      </c>
      <c r="AH74" s="15">
        <v>38066.885596007698</v>
      </c>
    </row>
    <row r="75" spans="1:34" x14ac:dyDescent="0.25">
      <c r="A75" s="15">
        <v>2000</v>
      </c>
      <c r="B75" s="15">
        <v>2</v>
      </c>
      <c r="C75" s="15">
        <v>24568.182114263702</v>
      </c>
      <c r="F75" s="15">
        <v>2000</v>
      </c>
      <c r="G75" s="15">
        <v>2</v>
      </c>
      <c r="H75" s="15">
        <v>25761.4063212252</v>
      </c>
      <c r="K75" s="18">
        <v>2000</v>
      </c>
      <c r="L75" s="18">
        <v>2</v>
      </c>
      <c r="M75" s="18">
        <v>24566.472117708199</v>
      </c>
      <c r="P75" s="15">
        <v>2000</v>
      </c>
      <c r="Q75" s="15">
        <v>2</v>
      </c>
      <c r="R75" s="15">
        <v>25761.4063212252</v>
      </c>
      <c r="T75" s="15">
        <v>2000</v>
      </c>
      <c r="U75" s="15">
        <v>2</v>
      </c>
      <c r="V75" s="15">
        <v>27176.9568598238</v>
      </c>
      <c r="X75" s="15">
        <v>2000</v>
      </c>
      <c r="Y75" s="15">
        <v>2</v>
      </c>
      <c r="Z75" s="15">
        <v>27158.512238043</v>
      </c>
      <c r="AB75" s="15">
        <v>2000</v>
      </c>
      <c r="AC75" s="15">
        <v>2</v>
      </c>
      <c r="AD75" s="15">
        <v>27155.918188322801</v>
      </c>
      <c r="AF75" s="15">
        <v>2000</v>
      </c>
      <c r="AG75" s="15">
        <v>2</v>
      </c>
      <c r="AH75" s="15">
        <v>27163.473308029501</v>
      </c>
    </row>
    <row r="76" spans="1:34" x14ac:dyDescent="0.25">
      <c r="A76" s="15">
        <v>2000</v>
      </c>
      <c r="B76" s="15">
        <v>3</v>
      </c>
      <c r="C76" s="15">
        <v>31030.485829184599</v>
      </c>
      <c r="F76" s="15">
        <v>2000</v>
      </c>
      <c r="G76" s="15">
        <v>3</v>
      </c>
      <c r="H76" s="15">
        <v>31193.125815781699</v>
      </c>
      <c r="K76" s="18">
        <v>2000</v>
      </c>
      <c r="L76" s="18">
        <v>3</v>
      </c>
      <c r="M76" s="18">
        <v>31027.346833064199</v>
      </c>
      <c r="P76" s="15">
        <v>2000</v>
      </c>
      <c r="Q76" s="15">
        <v>3</v>
      </c>
      <c r="R76" s="15">
        <v>31193.125815781699</v>
      </c>
      <c r="T76" s="15">
        <v>2000</v>
      </c>
      <c r="U76" s="15">
        <v>3</v>
      </c>
      <c r="V76" s="15">
        <v>30618.867225674701</v>
      </c>
      <c r="X76" s="15">
        <v>2000</v>
      </c>
      <c r="Y76" s="15">
        <v>3</v>
      </c>
      <c r="Z76" s="15">
        <v>30611.900250129202</v>
      </c>
      <c r="AB76" s="15">
        <v>2000</v>
      </c>
      <c r="AC76" s="15">
        <v>3</v>
      </c>
      <c r="AD76" s="15">
        <v>30614.991489910099</v>
      </c>
      <c r="AF76" s="15">
        <v>2000</v>
      </c>
      <c r="AG76" s="15">
        <v>3</v>
      </c>
      <c r="AH76" s="15">
        <v>30634.4163204572</v>
      </c>
    </row>
    <row r="77" spans="1:34" x14ac:dyDescent="0.25">
      <c r="A77" s="15">
        <v>2000</v>
      </c>
      <c r="B77" s="15">
        <v>4</v>
      </c>
      <c r="C77" s="15">
        <v>28725.0733230242</v>
      </c>
      <c r="F77" s="15">
        <v>2000</v>
      </c>
      <c r="G77" s="15">
        <v>4</v>
      </c>
      <c r="H77" s="15">
        <v>28553.8978345303</v>
      </c>
      <c r="K77" s="18">
        <v>2000</v>
      </c>
      <c r="L77" s="18">
        <v>4</v>
      </c>
      <c r="M77" s="18">
        <v>28728.958962188601</v>
      </c>
      <c r="P77" s="15">
        <v>2000</v>
      </c>
      <c r="Q77" s="15">
        <v>4</v>
      </c>
      <c r="R77" s="15">
        <v>28553.8978345303</v>
      </c>
      <c r="T77" s="15">
        <v>2000</v>
      </c>
      <c r="U77" s="15">
        <v>4</v>
      </c>
      <c r="V77" s="15">
        <v>28597.351500003799</v>
      </c>
      <c r="X77" s="15">
        <v>2000</v>
      </c>
      <c r="Y77" s="15">
        <v>4</v>
      </c>
      <c r="Z77" s="15">
        <v>28606.931318571002</v>
      </c>
      <c r="AB77" s="15">
        <v>2000</v>
      </c>
      <c r="AC77" s="15">
        <v>4</v>
      </c>
      <c r="AD77" s="15">
        <v>28603.104442373198</v>
      </c>
      <c r="AF77" s="15">
        <v>2000</v>
      </c>
      <c r="AG77" s="15">
        <v>4</v>
      </c>
      <c r="AH77" s="15">
        <v>28581.435631817902</v>
      </c>
    </row>
    <row r="78" spans="1:34" x14ac:dyDescent="0.25">
      <c r="A78" s="15">
        <v>2000</v>
      </c>
      <c r="B78" s="15">
        <v>5</v>
      </c>
      <c r="C78" s="15">
        <v>25654.6917349748</v>
      </c>
      <c r="F78" s="15">
        <v>2000</v>
      </c>
      <c r="G78" s="15">
        <v>5</v>
      </c>
      <c r="H78" s="15">
        <v>25849.818143312001</v>
      </c>
      <c r="K78" s="18">
        <v>2000</v>
      </c>
      <c r="L78" s="18">
        <v>5</v>
      </c>
      <c r="M78" s="18">
        <v>25651.898434246901</v>
      </c>
      <c r="P78" s="15">
        <v>2000</v>
      </c>
      <c r="Q78" s="15">
        <v>5</v>
      </c>
      <c r="R78" s="15">
        <v>25849.818143312001</v>
      </c>
      <c r="T78" s="15">
        <v>2000</v>
      </c>
      <c r="U78" s="15">
        <v>5</v>
      </c>
      <c r="V78" s="15">
        <v>25282.214414190399</v>
      </c>
      <c r="X78" s="15">
        <v>2000</v>
      </c>
      <c r="Y78" s="15">
        <v>5</v>
      </c>
      <c r="Z78" s="15">
        <v>25275.653328615601</v>
      </c>
      <c r="AB78" s="15">
        <v>2000</v>
      </c>
      <c r="AC78" s="15">
        <v>5</v>
      </c>
      <c r="AD78" s="15">
        <v>25278.311373751701</v>
      </c>
      <c r="AF78" s="15">
        <v>2000</v>
      </c>
      <c r="AG78" s="15">
        <v>5</v>
      </c>
      <c r="AH78" s="15">
        <v>25295.707143206098</v>
      </c>
    </row>
    <row r="79" spans="1:34" x14ac:dyDescent="0.25">
      <c r="A79" s="15">
        <v>2000</v>
      </c>
      <c r="B79" s="15">
        <v>6</v>
      </c>
      <c r="C79" s="15">
        <v>24801.1460056205</v>
      </c>
      <c r="F79" s="15">
        <v>2000</v>
      </c>
      <c r="G79" s="15">
        <v>6</v>
      </c>
      <c r="H79" s="15">
        <v>24976.108929686801</v>
      </c>
      <c r="K79" s="18">
        <v>2000</v>
      </c>
      <c r="L79" s="18">
        <v>6</v>
      </c>
      <c r="M79" s="18">
        <v>24799.0516364621</v>
      </c>
      <c r="P79" s="15">
        <v>2000</v>
      </c>
      <c r="Q79" s="15">
        <v>6</v>
      </c>
      <c r="R79" s="15">
        <v>24976.108929686801</v>
      </c>
      <c r="T79" s="15">
        <v>2000</v>
      </c>
      <c r="U79" s="15">
        <v>6</v>
      </c>
      <c r="V79" s="15">
        <v>24475.266107237399</v>
      </c>
      <c r="X79" s="15">
        <v>2000</v>
      </c>
      <c r="Y79" s="15">
        <v>6</v>
      </c>
      <c r="Z79" s="15">
        <v>24470.1615836686</v>
      </c>
      <c r="AB79" s="15">
        <v>2000</v>
      </c>
      <c r="AC79" s="15">
        <v>6</v>
      </c>
      <c r="AD79" s="15">
        <v>24472.0668996395</v>
      </c>
      <c r="AF79" s="15">
        <v>2000</v>
      </c>
      <c r="AG79" s="15">
        <v>6</v>
      </c>
      <c r="AH79" s="15">
        <v>24485.3506508233</v>
      </c>
    </row>
    <row r="80" spans="1:34" x14ac:dyDescent="0.25">
      <c r="A80" s="15">
        <v>2000</v>
      </c>
      <c r="B80" s="15">
        <v>7</v>
      </c>
      <c r="C80" s="15">
        <v>26398.191262971101</v>
      </c>
      <c r="F80" s="15">
        <v>2000</v>
      </c>
      <c r="G80" s="15">
        <v>7</v>
      </c>
      <c r="H80" s="15">
        <v>26289.204735051098</v>
      </c>
      <c r="K80" s="18">
        <v>2000</v>
      </c>
      <c r="L80" s="18">
        <v>7</v>
      </c>
      <c r="M80" s="18">
        <v>26401.234711345202</v>
      </c>
      <c r="P80" s="15">
        <v>2000</v>
      </c>
      <c r="Q80" s="15">
        <v>7</v>
      </c>
      <c r="R80" s="15">
        <v>26289.204735051098</v>
      </c>
      <c r="T80" s="15">
        <v>2000</v>
      </c>
      <c r="U80" s="15">
        <v>7</v>
      </c>
      <c r="V80" s="15">
        <v>26322.818053828902</v>
      </c>
      <c r="X80" s="15">
        <v>2000</v>
      </c>
      <c r="Y80" s="15">
        <v>7</v>
      </c>
      <c r="Z80" s="15">
        <v>26329.893858479802</v>
      </c>
      <c r="AB80" s="15">
        <v>2000</v>
      </c>
      <c r="AC80" s="15">
        <v>7</v>
      </c>
      <c r="AD80" s="15">
        <v>26326.7516822533</v>
      </c>
      <c r="AF80" s="15">
        <v>2000</v>
      </c>
      <c r="AG80" s="15">
        <v>7</v>
      </c>
      <c r="AH80" s="15">
        <v>26309.668531125801</v>
      </c>
    </row>
    <row r="81" spans="1:34" x14ac:dyDescent="0.25">
      <c r="A81" s="15">
        <v>2000</v>
      </c>
      <c r="B81" s="15">
        <v>8</v>
      </c>
      <c r="C81" s="15">
        <v>24469.622810477598</v>
      </c>
      <c r="F81" s="15">
        <v>2000</v>
      </c>
      <c r="G81" s="15">
        <v>8</v>
      </c>
      <c r="H81" s="15">
        <v>24713.097932226199</v>
      </c>
      <c r="K81" s="18">
        <v>2000</v>
      </c>
      <c r="L81" s="18">
        <v>8</v>
      </c>
      <c r="M81" s="18">
        <v>24466.600552751901</v>
      </c>
      <c r="P81" s="15">
        <v>2000</v>
      </c>
      <c r="Q81" s="15">
        <v>8</v>
      </c>
      <c r="R81" s="15">
        <v>24713.097932226199</v>
      </c>
      <c r="T81" s="15">
        <v>2000</v>
      </c>
      <c r="U81" s="15">
        <v>8</v>
      </c>
      <c r="V81" s="15">
        <v>24581.582695169101</v>
      </c>
      <c r="X81" s="15">
        <v>2000</v>
      </c>
      <c r="Y81" s="15">
        <v>8</v>
      </c>
      <c r="Z81" s="15">
        <v>24577.2882184431</v>
      </c>
      <c r="AB81" s="15">
        <v>2000</v>
      </c>
      <c r="AC81" s="15">
        <v>8</v>
      </c>
      <c r="AD81" s="15">
        <v>24579.783084823699</v>
      </c>
      <c r="AF81" s="15">
        <v>2000</v>
      </c>
      <c r="AG81" s="15">
        <v>8</v>
      </c>
      <c r="AH81" s="15">
        <v>24593.2952164784</v>
      </c>
    </row>
    <row r="82" spans="1:34" x14ac:dyDescent="0.25">
      <c r="A82" s="15">
        <v>2000</v>
      </c>
      <c r="B82" s="15">
        <v>9</v>
      </c>
      <c r="C82" s="15">
        <v>26945.0547990374</v>
      </c>
      <c r="F82" s="15">
        <v>2000</v>
      </c>
      <c r="G82" s="15">
        <v>9</v>
      </c>
      <c r="H82" s="15">
        <v>27076.425918868601</v>
      </c>
      <c r="K82" s="18">
        <v>2000</v>
      </c>
      <c r="L82" s="18">
        <v>9</v>
      </c>
      <c r="M82" s="18">
        <v>26943.562665793499</v>
      </c>
      <c r="P82" s="15">
        <v>2000</v>
      </c>
      <c r="Q82" s="15">
        <v>9</v>
      </c>
      <c r="R82" s="15">
        <v>27076.425918868601</v>
      </c>
      <c r="T82" s="15">
        <v>2000</v>
      </c>
      <c r="U82" s="15">
        <v>9</v>
      </c>
      <c r="V82" s="15">
        <v>26530.077677017001</v>
      </c>
      <c r="X82" s="15">
        <v>2000</v>
      </c>
      <c r="Y82" s="15">
        <v>9</v>
      </c>
      <c r="Z82" s="15">
        <v>26527.9910392456</v>
      </c>
      <c r="AB82" s="15">
        <v>2000</v>
      </c>
      <c r="AC82" s="15">
        <v>9</v>
      </c>
      <c r="AD82" s="15">
        <v>26527.945776643701</v>
      </c>
      <c r="AF82" s="15">
        <v>2000</v>
      </c>
      <c r="AG82" s="15">
        <v>9</v>
      </c>
      <c r="AH82" s="15">
        <v>26532.253247533001</v>
      </c>
    </row>
    <row r="83" spans="1:34" x14ac:dyDescent="0.25">
      <c r="A83" s="15">
        <v>2000</v>
      </c>
      <c r="B83" s="15">
        <v>10</v>
      </c>
      <c r="C83" s="15">
        <v>25193.740705435001</v>
      </c>
      <c r="F83" s="15">
        <v>2000</v>
      </c>
      <c r="G83" s="15">
        <v>10</v>
      </c>
      <c r="H83" s="15">
        <v>25267.433773970501</v>
      </c>
      <c r="K83" s="18">
        <v>2000</v>
      </c>
      <c r="L83" s="18">
        <v>10</v>
      </c>
      <c r="M83" s="18">
        <v>25194.2713672315</v>
      </c>
      <c r="P83" s="15">
        <v>2000</v>
      </c>
      <c r="Q83" s="15">
        <v>10</v>
      </c>
      <c r="R83" s="15">
        <v>25267.433773970501</v>
      </c>
      <c r="T83" s="15">
        <v>2000</v>
      </c>
      <c r="U83" s="15">
        <v>10</v>
      </c>
      <c r="V83" s="15">
        <v>25037.273255171898</v>
      </c>
      <c r="X83" s="15">
        <v>2000</v>
      </c>
      <c r="Y83" s="15">
        <v>10</v>
      </c>
      <c r="Z83" s="15">
        <v>25038.727705943002</v>
      </c>
      <c r="AB83" s="15">
        <v>2000</v>
      </c>
      <c r="AC83" s="15">
        <v>10</v>
      </c>
      <c r="AD83" s="15">
        <v>25037.603698612202</v>
      </c>
      <c r="AF83" s="15">
        <v>2000</v>
      </c>
      <c r="AG83" s="15">
        <v>10</v>
      </c>
      <c r="AH83" s="15">
        <v>25034.047164811102</v>
      </c>
    </row>
    <row r="84" spans="1:34" x14ac:dyDescent="0.25">
      <c r="A84" s="15">
        <v>2000</v>
      </c>
      <c r="B84" s="15">
        <v>11</v>
      </c>
      <c r="C84" s="15">
        <v>25066.884524842499</v>
      </c>
      <c r="F84" s="15">
        <v>2000</v>
      </c>
      <c r="G84" s="15">
        <v>11</v>
      </c>
      <c r="H84" s="15">
        <v>25193.2722299831</v>
      </c>
      <c r="K84" s="18">
        <v>2000</v>
      </c>
      <c r="L84" s="18">
        <v>11</v>
      </c>
      <c r="M84" s="18">
        <v>25065.907580135601</v>
      </c>
      <c r="P84" s="15">
        <v>2000</v>
      </c>
      <c r="Q84" s="15">
        <v>11</v>
      </c>
      <c r="R84" s="15">
        <v>25193.2722299831</v>
      </c>
      <c r="T84" s="15">
        <v>2000</v>
      </c>
      <c r="U84" s="15">
        <v>11</v>
      </c>
      <c r="V84" s="15">
        <v>24982.256150462701</v>
      </c>
      <c r="X84" s="15">
        <v>2000</v>
      </c>
      <c r="Y84" s="15">
        <v>11</v>
      </c>
      <c r="Z84" s="15">
        <v>24980.9856792024</v>
      </c>
      <c r="AB84" s="15">
        <v>2000</v>
      </c>
      <c r="AC84" s="15">
        <v>11</v>
      </c>
      <c r="AD84" s="15">
        <v>24980.674100811801</v>
      </c>
      <c r="AF84" s="15">
        <v>2000</v>
      </c>
      <c r="AG84" s="15">
        <v>11</v>
      </c>
      <c r="AH84" s="15">
        <v>24982.854852221299</v>
      </c>
    </row>
    <row r="85" spans="1:34" x14ac:dyDescent="0.25">
      <c r="A85" s="15">
        <v>2000</v>
      </c>
      <c r="B85" s="15">
        <v>12</v>
      </c>
      <c r="C85" s="15">
        <v>28433.489443868701</v>
      </c>
      <c r="F85" s="15">
        <v>2000</v>
      </c>
      <c r="G85" s="15">
        <v>12</v>
      </c>
      <c r="H85" s="15">
        <v>28367.093127755699</v>
      </c>
      <c r="K85" s="18">
        <v>2000</v>
      </c>
      <c r="L85" s="18">
        <v>12</v>
      </c>
      <c r="M85" s="18">
        <v>28436.1857188988</v>
      </c>
      <c r="P85" s="15">
        <v>2000</v>
      </c>
      <c r="Q85" s="15">
        <v>12</v>
      </c>
      <c r="R85" s="15">
        <v>28367.093127755699</v>
      </c>
      <c r="T85" s="15">
        <v>2000</v>
      </c>
      <c r="U85" s="15">
        <v>12</v>
      </c>
      <c r="V85" s="15">
        <v>27624.089666133299</v>
      </c>
      <c r="X85" s="15">
        <v>2000</v>
      </c>
      <c r="Y85" s="15">
        <v>12</v>
      </c>
      <c r="Z85" s="15">
        <v>27630.8405887353</v>
      </c>
      <c r="AB85" s="15">
        <v>2000</v>
      </c>
      <c r="AC85" s="15">
        <v>12</v>
      </c>
      <c r="AD85" s="15">
        <v>27626.549102904301</v>
      </c>
      <c r="AF85" s="15">
        <v>2000</v>
      </c>
      <c r="AG85" s="15">
        <v>12</v>
      </c>
      <c r="AH85" s="15">
        <v>27608.983884708901</v>
      </c>
    </row>
    <row r="86" spans="1:34" x14ac:dyDescent="0.25">
      <c r="A86" s="15">
        <v>2001</v>
      </c>
      <c r="B86" s="15">
        <v>1</v>
      </c>
      <c r="C86" s="15">
        <v>21662.9664731499</v>
      </c>
      <c r="F86" s="15">
        <v>2001</v>
      </c>
      <c r="G86" s="15">
        <v>1</v>
      </c>
      <c r="H86" s="15">
        <v>21021.751562871999</v>
      </c>
      <c r="K86" s="18">
        <v>2001</v>
      </c>
      <c r="L86" s="18">
        <v>1</v>
      </c>
      <c r="M86" s="18">
        <v>21664.441090892102</v>
      </c>
      <c r="P86" s="15">
        <v>2001</v>
      </c>
      <c r="Q86" s="15">
        <v>1</v>
      </c>
      <c r="R86" s="15">
        <v>21021.751562871999</v>
      </c>
      <c r="T86" s="15">
        <v>2001</v>
      </c>
      <c r="U86" s="15">
        <v>1</v>
      </c>
      <c r="V86" s="15">
        <v>24623.963410219199</v>
      </c>
      <c r="X86" s="15">
        <v>2001</v>
      </c>
      <c r="Y86" s="15">
        <v>1</v>
      </c>
      <c r="Z86" s="15">
        <v>24625.895129039702</v>
      </c>
      <c r="AB86" s="15">
        <v>2001</v>
      </c>
      <c r="AC86" s="15">
        <v>1</v>
      </c>
      <c r="AD86" s="15">
        <v>24633.486661175</v>
      </c>
      <c r="AF86" s="15">
        <v>2001</v>
      </c>
      <c r="AG86" s="15">
        <v>1</v>
      </c>
      <c r="AH86" s="15">
        <v>24640.757149649002</v>
      </c>
    </row>
    <row r="87" spans="1:34" x14ac:dyDescent="0.25">
      <c r="A87" s="15">
        <v>2001</v>
      </c>
      <c r="B87" s="15">
        <v>2</v>
      </c>
      <c r="C87" s="15">
        <v>20676.5389370964</v>
      </c>
      <c r="F87" s="15">
        <v>2001</v>
      </c>
      <c r="G87" s="15">
        <v>2</v>
      </c>
      <c r="H87" s="15">
        <v>20036.820684856</v>
      </c>
      <c r="K87" s="18">
        <v>2001</v>
      </c>
      <c r="L87" s="18">
        <v>2</v>
      </c>
      <c r="M87" s="18">
        <v>20678.000351746301</v>
      </c>
      <c r="P87" s="15">
        <v>2001</v>
      </c>
      <c r="Q87" s="15">
        <v>2</v>
      </c>
      <c r="R87" s="15">
        <v>20036.820684856</v>
      </c>
      <c r="T87" s="15">
        <v>2001</v>
      </c>
      <c r="U87" s="15">
        <v>2</v>
      </c>
      <c r="V87" s="15">
        <v>19361.147592303601</v>
      </c>
      <c r="X87" s="15">
        <v>2001</v>
      </c>
      <c r="Y87" s="15">
        <v>2</v>
      </c>
      <c r="Z87" s="15">
        <v>19361.275634332698</v>
      </c>
      <c r="AB87" s="15">
        <v>2001</v>
      </c>
      <c r="AC87" s="15">
        <v>2</v>
      </c>
      <c r="AD87" s="15">
        <v>19358.592301982299</v>
      </c>
      <c r="AF87" s="15">
        <v>2001</v>
      </c>
      <c r="AG87" s="15">
        <v>2</v>
      </c>
      <c r="AH87" s="15">
        <v>19347.948974419502</v>
      </c>
    </row>
    <row r="88" spans="1:34" x14ac:dyDescent="0.25">
      <c r="A88" s="15">
        <v>2001</v>
      </c>
      <c r="B88" s="15">
        <v>3</v>
      </c>
      <c r="C88" s="15">
        <v>24000.182449628999</v>
      </c>
      <c r="F88" s="15">
        <v>2001</v>
      </c>
      <c r="G88" s="15">
        <v>3</v>
      </c>
      <c r="H88" s="15">
        <v>24070.142383956299</v>
      </c>
      <c r="K88" s="18">
        <v>2001</v>
      </c>
      <c r="L88" s="18">
        <v>3</v>
      </c>
      <c r="M88" s="18">
        <v>24000.016622967902</v>
      </c>
      <c r="P88" s="15">
        <v>2001</v>
      </c>
      <c r="Q88" s="15">
        <v>3</v>
      </c>
      <c r="R88" s="15">
        <v>24070.142383956299</v>
      </c>
      <c r="T88" s="15">
        <v>2001</v>
      </c>
      <c r="U88" s="15">
        <v>3</v>
      </c>
      <c r="V88" s="15">
        <v>23710.8674440961</v>
      </c>
      <c r="X88" s="15">
        <v>2001</v>
      </c>
      <c r="Y88" s="15">
        <v>3</v>
      </c>
      <c r="Z88" s="15">
        <v>23711.5279253388</v>
      </c>
      <c r="AB88" s="15">
        <v>2001</v>
      </c>
      <c r="AC88" s="15">
        <v>3</v>
      </c>
      <c r="AD88" s="15">
        <v>23711.292834132</v>
      </c>
      <c r="AF88" s="15">
        <v>2001</v>
      </c>
      <c r="AG88" s="15">
        <v>3</v>
      </c>
      <c r="AH88" s="15">
        <v>23711.496798427699</v>
      </c>
    </row>
    <row r="89" spans="1:34" x14ac:dyDescent="0.25">
      <c r="A89" s="15">
        <v>2001</v>
      </c>
      <c r="B89" s="15">
        <v>4</v>
      </c>
      <c r="C89" s="15">
        <v>24615.8992712115</v>
      </c>
      <c r="F89" s="15">
        <v>2001</v>
      </c>
      <c r="G89" s="15">
        <v>4</v>
      </c>
      <c r="H89" s="15">
        <v>24640.1936104917</v>
      </c>
      <c r="K89" s="18">
        <v>2001</v>
      </c>
      <c r="L89" s="18">
        <v>4</v>
      </c>
      <c r="M89" s="18">
        <v>24616.766002584201</v>
      </c>
      <c r="P89" s="15">
        <v>2001</v>
      </c>
      <c r="Q89" s="15">
        <v>4</v>
      </c>
      <c r="R89" s="15">
        <v>24640.1936104917</v>
      </c>
      <c r="T89" s="15">
        <v>2001</v>
      </c>
      <c r="U89" s="15">
        <v>4</v>
      </c>
      <c r="V89" s="15">
        <v>24364.3737600063</v>
      </c>
      <c r="X89" s="15">
        <v>2001</v>
      </c>
      <c r="Y89" s="15">
        <v>4</v>
      </c>
      <c r="Z89" s="15">
        <v>24367.067456732198</v>
      </c>
      <c r="AB89" s="15">
        <v>2001</v>
      </c>
      <c r="AC89" s="15">
        <v>4</v>
      </c>
      <c r="AD89" s="15">
        <v>24365.895873661801</v>
      </c>
      <c r="AF89" s="15">
        <v>2001</v>
      </c>
      <c r="AG89" s="15">
        <v>4</v>
      </c>
      <c r="AH89" s="15">
        <v>24360.739454765098</v>
      </c>
    </row>
    <row r="90" spans="1:34" x14ac:dyDescent="0.25">
      <c r="A90" s="15">
        <v>2001</v>
      </c>
      <c r="B90" s="15">
        <v>5</v>
      </c>
      <c r="C90" s="15">
        <v>24217.148278740398</v>
      </c>
      <c r="F90" s="15">
        <v>2001</v>
      </c>
      <c r="G90" s="15">
        <v>5</v>
      </c>
      <c r="H90" s="15">
        <v>24414.126485615601</v>
      </c>
      <c r="K90" s="18">
        <v>2001</v>
      </c>
      <c r="L90" s="18">
        <v>5</v>
      </c>
      <c r="M90" s="18">
        <v>24214.797380445601</v>
      </c>
      <c r="P90" s="15">
        <v>2001</v>
      </c>
      <c r="Q90" s="15">
        <v>5</v>
      </c>
      <c r="R90" s="15">
        <v>24414.126485615601</v>
      </c>
      <c r="T90" s="15">
        <v>2001</v>
      </c>
      <c r="U90" s="15">
        <v>5</v>
      </c>
      <c r="V90" s="15">
        <v>23851.196022548302</v>
      </c>
      <c r="X90" s="15">
        <v>2001</v>
      </c>
      <c r="Y90" s="15">
        <v>5</v>
      </c>
      <c r="Z90" s="15">
        <v>23845.8361940953</v>
      </c>
      <c r="AB90" s="15">
        <v>2001</v>
      </c>
      <c r="AC90" s="15">
        <v>5</v>
      </c>
      <c r="AD90" s="15">
        <v>23847.827580646201</v>
      </c>
      <c r="AF90" s="15">
        <v>2001</v>
      </c>
      <c r="AG90" s="15">
        <v>5</v>
      </c>
      <c r="AH90" s="15">
        <v>23861.936015778301</v>
      </c>
    </row>
    <row r="91" spans="1:34" x14ac:dyDescent="0.25">
      <c r="A91" s="15">
        <v>2001</v>
      </c>
      <c r="B91" s="15">
        <v>6</v>
      </c>
      <c r="C91" s="15">
        <v>23271.502410314799</v>
      </c>
      <c r="F91" s="15">
        <v>2001</v>
      </c>
      <c r="G91" s="15">
        <v>6</v>
      </c>
      <c r="H91" s="15">
        <v>23323.990238622398</v>
      </c>
      <c r="K91" s="18">
        <v>2001</v>
      </c>
      <c r="L91" s="18">
        <v>6</v>
      </c>
      <c r="M91" s="18">
        <v>23272.077607584899</v>
      </c>
      <c r="P91" s="15">
        <v>2001</v>
      </c>
      <c r="Q91" s="15">
        <v>6</v>
      </c>
      <c r="R91" s="15">
        <v>23323.990238622398</v>
      </c>
      <c r="T91" s="15">
        <v>2001</v>
      </c>
      <c r="U91" s="15">
        <v>6</v>
      </c>
      <c r="V91" s="15">
        <v>23035.877665344098</v>
      </c>
      <c r="X91" s="15">
        <v>2001</v>
      </c>
      <c r="Y91" s="15">
        <v>6</v>
      </c>
      <c r="Z91" s="15">
        <v>23037.301998774699</v>
      </c>
      <c r="AB91" s="15">
        <v>2001</v>
      </c>
      <c r="AC91" s="15">
        <v>6</v>
      </c>
      <c r="AD91" s="15">
        <v>23036.357788111301</v>
      </c>
      <c r="AF91" s="15">
        <v>2001</v>
      </c>
      <c r="AG91" s="15">
        <v>6</v>
      </c>
      <c r="AH91" s="15">
        <v>23033.322922893502</v>
      </c>
    </row>
    <row r="92" spans="1:34" x14ac:dyDescent="0.25">
      <c r="A92" s="15">
        <v>2001</v>
      </c>
      <c r="B92" s="15">
        <v>7</v>
      </c>
      <c r="C92" s="15">
        <v>21044.336919510501</v>
      </c>
      <c r="F92" s="15">
        <v>2001</v>
      </c>
      <c r="G92" s="15">
        <v>7</v>
      </c>
      <c r="H92" s="15">
        <v>21087.581824971501</v>
      </c>
      <c r="K92" s="18">
        <v>2001</v>
      </c>
      <c r="L92" s="18">
        <v>7</v>
      </c>
      <c r="M92" s="18">
        <v>21043.8338671282</v>
      </c>
      <c r="P92" s="15">
        <v>2001</v>
      </c>
      <c r="Q92" s="15">
        <v>7</v>
      </c>
      <c r="R92" s="15">
        <v>21087.581824971501</v>
      </c>
      <c r="T92" s="15">
        <v>2001</v>
      </c>
      <c r="U92" s="15">
        <v>7</v>
      </c>
      <c r="V92" s="15">
        <v>20862.017456703699</v>
      </c>
      <c r="X92" s="15">
        <v>2001</v>
      </c>
      <c r="Y92" s="15">
        <v>7</v>
      </c>
      <c r="Z92" s="15">
        <v>20860.782599790102</v>
      </c>
      <c r="AB92" s="15">
        <v>2001</v>
      </c>
      <c r="AC92" s="15">
        <v>7</v>
      </c>
      <c r="AD92" s="15">
        <v>20861.028607668799</v>
      </c>
      <c r="AF92" s="15">
        <v>2001</v>
      </c>
      <c r="AG92" s="15">
        <v>7</v>
      </c>
      <c r="AH92" s="15">
        <v>20864.061697888301</v>
      </c>
    </row>
    <row r="93" spans="1:34" x14ac:dyDescent="0.25">
      <c r="A93" s="15">
        <v>2001</v>
      </c>
      <c r="B93" s="15">
        <v>8</v>
      </c>
      <c r="C93" s="15">
        <v>13893.131189952301</v>
      </c>
      <c r="F93" s="15">
        <v>2001</v>
      </c>
      <c r="G93" s="15">
        <v>8</v>
      </c>
      <c r="H93" s="15">
        <v>14149.318806008599</v>
      </c>
      <c r="K93" s="18">
        <v>2001</v>
      </c>
      <c r="L93" s="18">
        <v>8</v>
      </c>
      <c r="M93" s="18">
        <v>13890.191230194199</v>
      </c>
      <c r="P93" s="15">
        <v>2001</v>
      </c>
      <c r="Q93" s="15">
        <v>8</v>
      </c>
      <c r="R93" s="15">
        <v>14149.318806008599</v>
      </c>
      <c r="T93" s="15">
        <v>2001</v>
      </c>
      <c r="U93" s="15">
        <v>8</v>
      </c>
      <c r="V93" s="15">
        <v>14023.3267741606</v>
      </c>
      <c r="X93" s="15">
        <v>2001</v>
      </c>
      <c r="Y93" s="15">
        <v>8</v>
      </c>
      <c r="Z93" s="15">
        <v>14019.2506604136</v>
      </c>
      <c r="AB93" s="15">
        <v>2001</v>
      </c>
      <c r="AC93" s="15">
        <v>8</v>
      </c>
      <c r="AD93" s="15">
        <v>14021.462062049701</v>
      </c>
      <c r="AF93" s="15">
        <v>2001</v>
      </c>
      <c r="AG93" s="15">
        <v>8</v>
      </c>
      <c r="AH93" s="15">
        <v>14033.9695938942</v>
      </c>
    </row>
    <row r="94" spans="1:34" x14ac:dyDescent="0.25">
      <c r="A94" s="15">
        <v>2001</v>
      </c>
      <c r="B94" s="15">
        <v>9</v>
      </c>
      <c r="C94" s="15">
        <v>15188.2921502345</v>
      </c>
      <c r="F94" s="15">
        <v>2001</v>
      </c>
      <c r="G94" s="15">
        <v>9</v>
      </c>
      <c r="H94" s="15">
        <v>15160.054682603401</v>
      </c>
      <c r="K94" s="18">
        <v>2001</v>
      </c>
      <c r="L94" s="18">
        <v>9</v>
      </c>
      <c r="M94" s="18">
        <v>15190.833378118101</v>
      </c>
      <c r="P94" s="15">
        <v>2001</v>
      </c>
      <c r="Q94" s="15">
        <v>9</v>
      </c>
      <c r="R94" s="15">
        <v>15160.054682603401</v>
      </c>
      <c r="T94" s="15">
        <v>2001</v>
      </c>
      <c r="U94" s="15">
        <v>9</v>
      </c>
      <c r="V94" s="15">
        <v>15035.5530001269</v>
      </c>
      <c r="X94" s="15">
        <v>2001</v>
      </c>
      <c r="Y94" s="15">
        <v>9</v>
      </c>
      <c r="Z94" s="15">
        <v>15042.330153895</v>
      </c>
      <c r="AB94" s="15">
        <v>2001</v>
      </c>
      <c r="AC94" s="15">
        <v>9</v>
      </c>
      <c r="AD94" s="15">
        <v>15038.511458111399</v>
      </c>
      <c r="AF94" s="15">
        <v>2001</v>
      </c>
      <c r="AG94" s="15">
        <v>9</v>
      </c>
      <c r="AH94" s="15">
        <v>15020.611628728</v>
      </c>
    </row>
    <row r="95" spans="1:34" x14ac:dyDescent="0.25">
      <c r="A95" s="15">
        <v>2001</v>
      </c>
      <c r="B95" s="15">
        <v>10</v>
      </c>
      <c r="C95" s="15">
        <v>14157.253215250101</v>
      </c>
      <c r="F95" s="15">
        <v>2001</v>
      </c>
      <c r="G95" s="15">
        <v>10</v>
      </c>
      <c r="H95" s="15">
        <v>14395.7544770488</v>
      </c>
      <c r="K95" s="18">
        <v>2001</v>
      </c>
      <c r="L95" s="18">
        <v>10</v>
      </c>
      <c r="M95" s="18">
        <v>14155.161242399399</v>
      </c>
      <c r="P95" s="15">
        <v>2001</v>
      </c>
      <c r="Q95" s="15">
        <v>10</v>
      </c>
      <c r="R95" s="15">
        <v>14395.7544770488</v>
      </c>
      <c r="T95" s="15">
        <v>2001</v>
      </c>
      <c r="U95" s="15">
        <v>10</v>
      </c>
      <c r="V95" s="15">
        <v>13926.427472175899</v>
      </c>
      <c r="X95" s="15">
        <v>2001</v>
      </c>
      <c r="Y95" s="15">
        <v>10</v>
      </c>
      <c r="Z95" s="15">
        <v>13921.6529199704</v>
      </c>
      <c r="AB95" s="15">
        <v>2001</v>
      </c>
      <c r="AC95" s="15">
        <v>10</v>
      </c>
      <c r="AD95" s="15">
        <v>13922.754686315</v>
      </c>
      <c r="AF95" s="15">
        <v>2001</v>
      </c>
      <c r="AG95" s="15">
        <v>10</v>
      </c>
      <c r="AH95" s="15">
        <v>13933.5767505518</v>
      </c>
    </row>
    <row r="96" spans="1:34" x14ac:dyDescent="0.25">
      <c r="A96" s="15">
        <v>2001</v>
      </c>
      <c r="B96" s="15">
        <v>11</v>
      </c>
      <c r="C96" s="15">
        <v>12988.039489184401</v>
      </c>
      <c r="F96" s="15">
        <v>2001</v>
      </c>
      <c r="G96" s="15">
        <v>11</v>
      </c>
      <c r="H96" s="15">
        <v>13215.3992945887</v>
      </c>
      <c r="K96" s="18">
        <v>2001</v>
      </c>
      <c r="L96" s="18">
        <v>11</v>
      </c>
      <c r="M96" s="18">
        <v>12986.349371321099</v>
      </c>
      <c r="P96" s="15">
        <v>2001</v>
      </c>
      <c r="Q96" s="15">
        <v>11</v>
      </c>
      <c r="R96" s="15">
        <v>13215.3992945887</v>
      </c>
      <c r="T96" s="15">
        <v>2001</v>
      </c>
      <c r="U96" s="15">
        <v>11</v>
      </c>
      <c r="V96" s="15">
        <v>12785.471337430399</v>
      </c>
      <c r="X96" s="15">
        <v>2001</v>
      </c>
      <c r="Y96" s="15">
        <v>11</v>
      </c>
      <c r="Z96" s="15">
        <v>12781.9545133681</v>
      </c>
      <c r="AB96" s="15">
        <v>2001</v>
      </c>
      <c r="AC96" s="15">
        <v>11</v>
      </c>
      <c r="AD96" s="15">
        <v>12782.5635349476</v>
      </c>
      <c r="AF96" s="15">
        <v>2001</v>
      </c>
      <c r="AG96" s="15">
        <v>11</v>
      </c>
      <c r="AH96" s="15">
        <v>12790.397283985099</v>
      </c>
    </row>
    <row r="97" spans="1:34" x14ac:dyDescent="0.25">
      <c r="A97" s="15">
        <v>2001</v>
      </c>
      <c r="B97" s="15">
        <v>12</v>
      </c>
      <c r="C97" s="15">
        <v>11990.346894304101</v>
      </c>
      <c r="F97" s="15">
        <v>2001</v>
      </c>
      <c r="G97" s="15">
        <v>12</v>
      </c>
      <c r="H97" s="15">
        <v>11970.527972354999</v>
      </c>
      <c r="K97" s="18">
        <v>2001</v>
      </c>
      <c r="L97" s="18">
        <v>12</v>
      </c>
      <c r="M97" s="18">
        <v>11993.5583933652</v>
      </c>
      <c r="P97" s="15">
        <v>2001</v>
      </c>
      <c r="Q97" s="15">
        <v>12</v>
      </c>
      <c r="R97" s="15">
        <v>11970.527972354999</v>
      </c>
      <c r="T97" s="15">
        <v>2001</v>
      </c>
      <c r="U97" s="15">
        <v>12</v>
      </c>
      <c r="V97" s="15">
        <v>11203.433036885701</v>
      </c>
      <c r="X97" s="15">
        <v>2001</v>
      </c>
      <c r="Y97" s="15">
        <v>12</v>
      </c>
      <c r="Z97" s="15">
        <v>11210.0689704914</v>
      </c>
      <c r="AB97" s="15">
        <v>2001</v>
      </c>
      <c r="AC97" s="15">
        <v>12</v>
      </c>
      <c r="AD97" s="15">
        <v>11205.1016448876</v>
      </c>
      <c r="AF97" s="15">
        <v>2001</v>
      </c>
      <c r="AG97" s="15">
        <v>12</v>
      </c>
      <c r="AH97" s="15">
        <v>11186.193591425101</v>
      </c>
    </row>
    <row r="98" spans="1:34" x14ac:dyDescent="0.25">
      <c r="A98" s="15">
        <v>2002</v>
      </c>
      <c r="B98" s="15">
        <v>1</v>
      </c>
      <c r="C98" s="15">
        <v>13490.458864480501</v>
      </c>
      <c r="F98" s="15">
        <v>2002</v>
      </c>
      <c r="G98" s="15">
        <v>1</v>
      </c>
      <c r="H98" s="15">
        <v>12598.591860938601</v>
      </c>
      <c r="K98" s="18">
        <v>2002</v>
      </c>
      <c r="L98" s="18">
        <v>1</v>
      </c>
      <c r="M98" s="18">
        <v>13490.4178932948</v>
      </c>
      <c r="P98" s="15">
        <v>2002</v>
      </c>
      <c r="Q98" s="15">
        <v>1</v>
      </c>
      <c r="R98" s="15">
        <v>12598.591860938601</v>
      </c>
      <c r="T98" s="15">
        <v>2002</v>
      </c>
      <c r="U98" s="15">
        <v>1</v>
      </c>
      <c r="V98" s="15">
        <v>16703.799100173201</v>
      </c>
      <c r="X98" s="15">
        <v>2002</v>
      </c>
      <c r="Y98" s="15">
        <v>1</v>
      </c>
      <c r="Z98" s="15">
        <v>16703.780012505998</v>
      </c>
      <c r="AB98" s="15">
        <v>2002</v>
      </c>
      <c r="AC98" s="15">
        <v>1</v>
      </c>
      <c r="AD98" s="15">
        <v>16713.520212251799</v>
      </c>
      <c r="AF98" s="15">
        <v>2002</v>
      </c>
      <c r="AG98" s="15">
        <v>1</v>
      </c>
      <c r="AH98" s="15">
        <v>16727.622800928599</v>
      </c>
    </row>
    <row r="99" spans="1:34" x14ac:dyDescent="0.25">
      <c r="A99" s="15">
        <v>2002</v>
      </c>
      <c r="B99" s="15">
        <v>2</v>
      </c>
      <c r="C99" s="15">
        <v>13429.290921150399</v>
      </c>
      <c r="F99" s="15">
        <v>2002</v>
      </c>
      <c r="G99" s="15">
        <v>2</v>
      </c>
      <c r="H99" s="15">
        <v>12701.6172655719</v>
      </c>
      <c r="K99" s="18">
        <v>2002</v>
      </c>
      <c r="L99" s="18">
        <v>2</v>
      </c>
      <c r="M99" s="18">
        <v>13431.194856272101</v>
      </c>
      <c r="P99" s="15">
        <v>2002</v>
      </c>
      <c r="Q99" s="15">
        <v>2</v>
      </c>
      <c r="R99" s="15">
        <v>12701.6172655719</v>
      </c>
      <c r="T99" s="15">
        <v>2002</v>
      </c>
      <c r="U99" s="15">
        <v>2</v>
      </c>
      <c r="V99" s="15">
        <v>11686.0943663582</v>
      </c>
      <c r="X99" s="15">
        <v>2002</v>
      </c>
      <c r="Y99" s="15">
        <v>2</v>
      </c>
      <c r="Z99" s="15">
        <v>11689.073697338499</v>
      </c>
      <c r="AB99" s="15">
        <v>2002</v>
      </c>
      <c r="AC99" s="15">
        <v>2</v>
      </c>
      <c r="AD99" s="15">
        <v>11686.759352459299</v>
      </c>
      <c r="AF99" s="15">
        <v>2002</v>
      </c>
      <c r="AG99" s="15">
        <v>2</v>
      </c>
      <c r="AH99" s="15">
        <v>11674.886040347699</v>
      </c>
    </row>
    <row r="100" spans="1:34" x14ac:dyDescent="0.25">
      <c r="A100" s="15">
        <v>2002</v>
      </c>
      <c r="B100" s="15">
        <v>3</v>
      </c>
      <c r="C100" s="15">
        <v>11780.1884922069</v>
      </c>
      <c r="F100" s="15">
        <v>2002</v>
      </c>
      <c r="G100" s="15">
        <v>3</v>
      </c>
      <c r="H100" s="15">
        <v>11775.366716815701</v>
      </c>
      <c r="K100" s="18">
        <v>2002</v>
      </c>
      <c r="L100" s="18">
        <v>3</v>
      </c>
      <c r="M100" s="18">
        <v>11783.063081472101</v>
      </c>
      <c r="P100" s="15">
        <v>2002</v>
      </c>
      <c r="Q100" s="15">
        <v>3</v>
      </c>
      <c r="R100" s="15">
        <v>11775.366716815701</v>
      </c>
      <c r="T100" s="15">
        <v>2002</v>
      </c>
      <c r="U100" s="15">
        <v>3</v>
      </c>
      <c r="V100" s="15">
        <v>11640.935574180599</v>
      </c>
      <c r="X100" s="15">
        <v>2002</v>
      </c>
      <c r="Y100" s="15">
        <v>3</v>
      </c>
      <c r="Z100" s="15">
        <v>11648.353759125001</v>
      </c>
      <c r="AB100" s="15">
        <v>2002</v>
      </c>
      <c r="AC100" s="15">
        <v>3</v>
      </c>
      <c r="AD100" s="15">
        <v>11644.773405495</v>
      </c>
      <c r="AF100" s="15">
        <v>2002</v>
      </c>
      <c r="AG100" s="15">
        <v>3</v>
      </c>
      <c r="AH100" s="15">
        <v>11626.6798873262</v>
      </c>
    </row>
    <row r="101" spans="1:34" x14ac:dyDescent="0.25">
      <c r="A101" s="15">
        <v>2002</v>
      </c>
      <c r="B101" s="15">
        <v>4</v>
      </c>
      <c r="C101" s="15">
        <v>13429.4464698637</v>
      </c>
      <c r="F101" s="15">
        <v>2002</v>
      </c>
      <c r="G101" s="15">
        <v>4</v>
      </c>
      <c r="H101" s="15">
        <v>13652.7996264786</v>
      </c>
      <c r="K101" s="18">
        <v>2002</v>
      </c>
      <c r="L101" s="18">
        <v>4</v>
      </c>
      <c r="M101" s="18">
        <v>13427.571325455699</v>
      </c>
      <c r="P101" s="15">
        <v>2002</v>
      </c>
      <c r="Q101" s="15">
        <v>4</v>
      </c>
      <c r="R101" s="15">
        <v>13652.7996264786</v>
      </c>
      <c r="T101" s="15">
        <v>2002</v>
      </c>
      <c r="U101" s="15">
        <v>4</v>
      </c>
      <c r="V101" s="15">
        <v>13084.897414257801</v>
      </c>
      <c r="X101" s="15">
        <v>2002</v>
      </c>
      <c r="Y101" s="15">
        <v>4</v>
      </c>
      <c r="Z101" s="15">
        <v>13080.738574552401</v>
      </c>
      <c r="AB101" s="15">
        <v>2002</v>
      </c>
      <c r="AC101" s="15">
        <v>4</v>
      </c>
      <c r="AD101" s="15">
        <v>13081.950201628701</v>
      </c>
      <c r="AF101" s="15">
        <v>2002</v>
      </c>
      <c r="AG101" s="15">
        <v>4</v>
      </c>
      <c r="AH101" s="15">
        <v>13092.349986843399</v>
      </c>
    </row>
    <row r="102" spans="1:34" x14ac:dyDescent="0.25">
      <c r="A102" s="15">
        <v>2002</v>
      </c>
      <c r="B102" s="15">
        <v>5</v>
      </c>
      <c r="C102" s="15">
        <v>11561.2943974219</v>
      </c>
      <c r="F102" s="15">
        <v>2002</v>
      </c>
      <c r="G102" s="15">
        <v>5</v>
      </c>
      <c r="H102" s="15">
        <v>11790.9815340929</v>
      </c>
      <c r="K102" s="18">
        <v>2002</v>
      </c>
      <c r="L102" s="18">
        <v>5</v>
      </c>
      <c r="M102" s="18">
        <v>11559.059143427099</v>
      </c>
      <c r="P102" s="15">
        <v>2002</v>
      </c>
      <c r="Q102" s="15">
        <v>5</v>
      </c>
      <c r="R102" s="15">
        <v>11790.9815340929</v>
      </c>
      <c r="T102" s="15">
        <v>2002</v>
      </c>
      <c r="U102" s="15">
        <v>5</v>
      </c>
      <c r="V102" s="15">
        <v>11201.858171771701</v>
      </c>
      <c r="X102" s="15">
        <v>2002</v>
      </c>
      <c r="Y102" s="15">
        <v>5</v>
      </c>
      <c r="Z102" s="15">
        <v>11196.5690515361</v>
      </c>
      <c r="AB102" s="15">
        <v>2002</v>
      </c>
      <c r="AC102" s="15">
        <v>5</v>
      </c>
      <c r="AD102" s="15">
        <v>11198.2202803444</v>
      </c>
      <c r="AF102" s="15">
        <v>2002</v>
      </c>
      <c r="AG102" s="15">
        <v>5</v>
      </c>
      <c r="AH102" s="15">
        <v>11211.313308237801</v>
      </c>
    </row>
    <row r="103" spans="1:34" x14ac:dyDescent="0.25">
      <c r="A103" s="15">
        <v>2002</v>
      </c>
      <c r="B103" s="15">
        <v>6</v>
      </c>
      <c r="C103" s="15">
        <v>13344.6781974655</v>
      </c>
      <c r="F103" s="15">
        <v>2002</v>
      </c>
      <c r="G103" s="15">
        <v>6</v>
      </c>
      <c r="H103" s="15">
        <v>13271.3918401667</v>
      </c>
      <c r="K103" s="18">
        <v>2002</v>
      </c>
      <c r="L103" s="18">
        <v>6</v>
      </c>
      <c r="M103" s="18">
        <v>13348.2283703991</v>
      </c>
      <c r="P103" s="15">
        <v>2002</v>
      </c>
      <c r="Q103" s="15">
        <v>6</v>
      </c>
      <c r="R103" s="15">
        <v>13271.3918401667</v>
      </c>
      <c r="T103" s="15">
        <v>2002</v>
      </c>
      <c r="U103" s="15">
        <v>6</v>
      </c>
      <c r="V103" s="15">
        <v>13212.3682502723</v>
      </c>
      <c r="X103" s="15">
        <v>2002</v>
      </c>
      <c r="Y103" s="15">
        <v>6</v>
      </c>
      <c r="Z103" s="15">
        <v>13220.730613953599</v>
      </c>
      <c r="AB103" s="15">
        <v>2002</v>
      </c>
      <c r="AC103" s="15">
        <v>6</v>
      </c>
      <c r="AD103" s="15">
        <v>13216.7004050468</v>
      </c>
      <c r="AF103" s="15">
        <v>2002</v>
      </c>
      <c r="AG103" s="15">
        <v>6</v>
      </c>
      <c r="AH103" s="15">
        <v>13196.0763672379</v>
      </c>
    </row>
    <row r="104" spans="1:34" x14ac:dyDescent="0.25">
      <c r="A104" s="15">
        <v>2002</v>
      </c>
      <c r="B104" s="15">
        <v>7</v>
      </c>
      <c r="C104" s="15">
        <v>12439.3099212203</v>
      </c>
      <c r="F104" s="15">
        <v>2002</v>
      </c>
      <c r="G104" s="15">
        <v>7</v>
      </c>
      <c r="H104" s="15">
        <v>12638.1154139552</v>
      </c>
      <c r="K104" s="18">
        <v>2002</v>
      </c>
      <c r="L104" s="18">
        <v>7</v>
      </c>
      <c r="M104" s="18">
        <v>12435.324869550501</v>
      </c>
      <c r="P104" s="15">
        <v>2002</v>
      </c>
      <c r="Q104" s="15">
        <v>7</v>
      </c>
      <c r="R104" s="15">
        <v>12638.1154139552</v>
      </c>
      <c r="T104" s="15">
        <v>2002</v>
      </c>
      <c r="U104" s="15">
        <v>7</v>
      </c>
      <c r="V104" s="15">
        <v>12145.6437905209</v>
      </c>
      <c r="X104" s="15">
        <v>2002</v>
      </c>
      <c r="Y104" s="15">
        <v>7</v>
      </c>
      <c r="Z104" s="15">
        <v>12136.023060588001</v>
      </c>
      <c r="AB104" s="15">
        <v>2002</v>
      </c>
      <c r="AC104" s="15">
        <v>7</v>
      </c>
      <c r="AD104" s="15">
        <v>12139.656590226599</v>
      </c>
      <c r="AF104" s="15">
        <v>2002</v>
      </c>
      <c r="AG104" s="15">
        <v>7</v>
      </c>
      <c r="AH104" s="15">
        <v>12162.829792815601</v>
      </c>
    </row>
    <row r="105" spans="1:34" x14ac:dyDescent="0.25">
      <c r="A105" s="15">
        <v>2002</v>
      </c>
      <c r="B105" s="15">
        <v>8</v>
      </c>
      <c r="C105" s="15">
        <v>12059.4367779353</v>
      </c>
      <c r="F105" s="15">
        <v>2002</v>
      </c>
      <c r="G105" s="15">
        <v>8</v>
      </c>
      <c r="H105" s="15">
        <v>12177.6393234432</v>
      </c>
      <c r="K105" s="18">
        <v>2002</v>
      </c>
      <c r="L105" s="18">
        <v>8</v>
      </c>
      <c r="M105" s="18">
        <v>12059.445673620599</v>
      </c>
      <c r="P105" s="15">
        <v>2002</v>
      </c>
      <c r="Q105" s="15">
        <v>8</v>
      </c>
      <c r="R105" s="15">
        <v>12177.6393234432</v>
      </c>
      <c r="T105" s="15">
        <v>2002</v>
      </c>
      <c r="U105" s="15">
        <v>8</v>
      </c>
      <c r="V105" s="15">
        <v>12307.0101599234</v>
      </c>
      <c r="X105" s="15">
        <v>2002</v>
      </c>
      <c r="Y105" s="15">
        <v>8</v>
      </c>
      <c r="Z105" s="15">
        <v>12309.844541812399</v>
      </c>
      <c r="AB105" s="15">
        <v>2002</v>
      </c>
      <c r="AC105" s="15">
        <v>8</v>
      </c>
      <c r="AD105" s="15">
        <v>12309.068816053001</v>
      </c>
      <c r="AF105" s="15">
        <v>2002</v>
      </c>
      <c r="AG105" s="15">
        <v>8</v>
      </c>
      <c r="AH105" s="15">
        <v>12304.222945915</v>
      </c>
    </row>
    <row r="106" spans="1:34" x14ac:dyDescent="0.25">
      <c r="A106" s="15">
        <v>2002</v>
      </c>
      <c r="B106" s="15">
        <v>9</v>
      </c>
      <c r="C106" s="15">
        <v>13019.530197802</v>
      </c>
      <c r="F106" s="15">
        <v>2002</v>
      </c>
      <c r="G106" s="15">
        <v>9</v>
      </c>
      <c r="H106" s="15">
        <v>13117.8596721059</v>
      </c>
      <c r="K106" s="18">
        <v>2002</v>
      </c>
      <c r="L106" s="18">
        <v>9</v>
      </c>
      <c r="M106" s="18">
        <v>13020.2774699611</v>
      </c>
      <c r="P106" s="15">
        <v>2002</v>
      </c>
      <c r="Q106" s="15">
        <v>9</v>
      </c>
      <c r="R106" s="15">
        <v>13117.8596721059</v>
      </c>
      <c r="T106" s="15">
        <v>2002</v>
      </c>
      <c r="U106" s="15">
        <v>9</v>
      </c>
      <c r="V106" s="15">
        <v>12867.8517863222</v>
      </c>
      <c r="X106" s="15">
        <v>2002</v>
      </c>
      <c r="Y106" s="15">
        <v>9</v>
      </c>
      <c r="Z106" s="15">
        <v>12869.528904877199</v>
      </c>
      <c r="AB106" s="15">
        <v>2002</v>
      </c>
      <c r="AC106" s="15">
        <v>9</v>
      </c>
      <c r="AD106" s="15">
        <v>12867.8186407762</v>
      </c>
      <c r="AF106" s="15">
        <v>2002</v>
      </c>
      <c r="AG106" s="15">
        <v>9</v>
      </c>
      <c r="AH106" s="15">
        <v>12862.3648525838</v>
      </c>
    </row>
    <row r="107" spans="1:34" x14ac:dyDescent="0.25">
      <c r="A107" s="15">
        <v>2002</v>
      </c>
      <c r="B107" s="15">
        <v>10</v>
      </c>
      <c r="C107" s="15">
        <v>11882.4350357844</v>
      </c>
      <c r="F107" s="15">
        <v>2002</v>
      </c>
      <c r="G107" s="15">
        <v>10</v>
      </c>
      <c r="H107" s="15">
        <v>12143.648861854799</v>
      </c>
      <c r="K107" s="18">
        <v>2002</v>
      </c>
      <c r="L107" s="18">
        <v>10</v>
      </c>
      <c r="M107" s="18">
        <v>11880.287898377501</v>
      </c>
      <c r="P107" s="15">
        <v>2002</v>
      </c>
      <c r="Q107" s="15">
        <v>10</v>
      </c>
      <c r="R107" s="15">
        <v>12143.648861854799</v>
      </c>
      <c r="T107" s="15">
        <v>2002</v>
      </c>
      <c r="U107" s="15">
        <v>10</v>
      </c>
      <c r="V107" s="15">
        <v>11644.043738443401</v>
      </c>
      <c r="X107" s="15">
        <v>2002</v>
      </c>
      <c r="Y107" s="15">
        <v>10</v>
      </c>
      <c r="Z107" s="15">
        <v>11639.088460368799</v>
      </c>
      <c r="AB107" s="15">
        <v>2002</v>
      </c>
      <c r="AC107" s="15">
        <v>10</v>
      </c>
      <c r="AD107" s="15">
        <v>11640.0611009327</v>
      </c>
      <c r="AF107" s="15">
        <v>2002</v>
      </c>
      <c r="AG107" s="15">
        <v>10</v>
      </c>
      <c r="AH107" s="15">
        <v>11650.750900045799</v>
      </c>
    </row>
    <row r="108" spans="1:34" x14ac:dyDescent="0.25">
      <c r="A108" s="15">
        <v>2002</v>
      </c>
      <c r="B108" s="15">
        <v>11</v>
      </c>
      <c r="C108" s="15">
        <v>12213.9915165805</v>
      </c>
      <c r="F108" s="15">
        <v>2002</v>
      </c>
      <c r="G108" s="15">
        <v>11</v>
      </c>
      <c r="H108" s="15">
        <v>12332.114048073799</v>
      </c>
      <c r="K108" s="18">
        <v>2002</v>
      </c>
      <c r="L108" s="18">
        <v>11</v>
      </c>
      <c r="M108" s="18">
        <v>12215.1299501634</v>
      </c>
      <c r="P108" s="15">
        <v>2002</v>
      </c>
      <c r="Q108" s="15">
        <v>11</v>
      </c>
      <c r="R108" s="15">
        <v>12332.114048073799</v>
      </c>
      <c r="T108" s="15">
        <v>2002</v>
      </c>
      <c r="U108" s="15">
        <v>11</v>
      </c>
      <c r="V108" s="15">
        <v>12132.4694912051</v>
      </c>
      <c r="X108" s="15">
        <v>2002</v>
      </c>
      <c r="Y108" s="15">
        <v>11</v>
      </c>
      <c r="Z108" s="15">
        <v>12135.674605935301</v>
      </c>
      <c r="AB108" s="15">
        <v>2002</v>
      </c>
      <c r="AC108" s="15">
        <v>11</v>
      </c>
      <c r="AD108" s="15">
        <v>12133.222654962499</v>
      </c>
      <c r="AF108" s="15">
        <v>2002</v>
      </c>
      <c r="AG108" s="15">
        <v>11</v>
      </c>
      <c r="AH108" s="15">
        <v>12123.6823345376</v>
      </c>
    </row>
    <row r="109" spans="1:34" x14ac:dyDescent="0.25">
      <c r="A109" s="15">
        <v>2002</v>
      </c>
      <c r="B109" s="15">
        <v>12</v>
      </c>
      <c r="C109" s="15">
        <v>14420.4575190905</v>
      </c>
      <c r="F109" s="15">
        <v>2002</v>
      </c>
      <c r="G109" s="15">
        <v>12</v>
      </c>
      <c r="H109" s="15">
        <v>14593.471051459101</v>
      </c>
      <c r="K109" s="18">
        <v>2002</v>
      </c>
      <c r="L109" s="18">
        <v>12</v>
      </c>
      <c r="M109" s="18">
        <v>14420.933508681699</v>
      </c>
      <c r="P109" s="15">
        <v>2002</v>
      </c>
      <c r="Q109" s="15">
        <v>12</v>
      </c>
      <c r="R109" s="15">
        <v>14593.471051459101</v>
      </c>
      <c r="T109" s="15">
        <v>2002</v>
      </c>
      <c r="U109" s="15">
        <v>12</v>
      </c>
      <c r="V109" s="15">
        <v>13774.91022066</v>
      </c>
      <c r="X109" s="15">
        <v>2002</v>
      </c>
      <c r="Y109" s="15">
        <v>12</v>
      </c>
      <c r="Z109" s="15">
        <v>13773.8781016423</v>
      </c>
      <c r="AB109" s="15">
        <v>2002</v>
      </c>
      <c r="AC109" s="15">
        <v>12</v>
      </c>
      <c r="AD109" s="15">
        <v>13771.389009463899</v>
      </c>
      <c r="AF109" s="15">
        <v>2002</v>
      </c>
      <c r="AG109" s="15">
        <v>12</v>
      </c>
      <c r="AH109" s="15">
        <v>13769.9185283638</v>
      </c>
    </row>
    <row r="110" spans="1:34" x14ac:dyDescent="0.25">
      <c r="A110" s="15">
        <v>2003</v>
      </c>
      <c r="B110" s="15">
        <v>1</v>
      </c>
      <c r="C110" s="15">
        <v>17517.010934655998</v>
      </c>
      <c r="F110" s="15">
        <v>2003</v>
      </c>
      <c r="G110" s="15">
        <v>1</v>
      </c>
      <c r="H110" s="15">
        <v>16391.069043510601</v>
      </c>
      <c r="K110" s="18">
        <v>2003</v>
      </c>
      <c r="L110" s="18">
        <v>1</v>
      </c>
      <c r="M110" s="18">
        <v>17515.844947351601</v>
      </c>
      <c r="P110" s="15">
        <v>2003</v>
      </c>
      <c r="Q110" s="15">
        <v>1</v>
      </c>
      <c r="R110" s="15">
        <v>16391.069043510601</v>
      </c>
      <c r="T110" s="15">
        <v>2003</v>
      </c>
      <c r="U110" s="15">
        <v>1</v>
      </c>
      <c r="V110" s="15">
        <v>20918.4449169277</v>
      </c>
      <c r="X110" s="15">
        <v>2003</v>
      </c>
      <c r="Y110" s="15">
        <v>1</v>
      </c>
      <c r="Z110" s="15">
        <v>20916.8074035834</v>
      </c>
      <c r="AB110" s="15">
        <v>2003</v>
      </c>
      <c r="AC110" s="15">
        <v>1</v>
      </c>
      <c r="AD110" s="15">
        <v>20928.372065914798</v>
      </c>
      <c r="AF110" s="15">
        <v>2003</v>
      </c>
      <c r="AG110" s="15">
        <v>1</v>
      </c>
      <c r="AH110" s="15">
        <v>20948.334838465398</v>
      </c>
    </row>
    <row r="111" spans="1:34" x14ac:dyDescent="0.25">
      <c r="A111" s="15">
        <v>2003</v>
      </c>
      <c r="B111" s="15">
        <v>2</v>
      </c>
      <c r="C111" s="15">
        <v>15532.9321799761</v>
      </c>
      <c r="F111" s="15">
        <v>2003</v>
      </c>
      <c r="G111" s="15">
        <v>2</v>
      </c>
      <c r="H111" s="15">
        <v>14833.7419412289</v>
      </c>
      <c r="K111" s="18">
        <v>2003</v>
      </c>
      <c r="L111" s="18">
        <v>2</v>
      </c>
      <c r="M111" s="18">
        <v>15534.6015938778</v>
      </c>
      <c r="P111" s="15">
        <v>2003</v>
      </c>
      <c r="Q111" s="15">
        <v>2</v>
      </c>
      <c r="R111" s="15">
        <v>14833.7419412289</v>
      </c>
      <c r="T111" s="15">
        <v>2003</v>
      </c>
      <c r="U111" s="15">
        <v>2</v>
      </c>
      <c r="V111" s="15">
        <v>13021.2757060444</v>
      </c>
      <c r="X111" s="15">
        <v>2003</v>
      </c>
      <c r="Y111" s="15">
        <v>2</v>
      </c>
      <c r="Z111" s="15">
        <v>13026.5874532736</v>
      </c>
      <c r="AB111" s="15">
        <v>2003</v>
      </c>
      <c r="AC111" s="15">
        <v>2</v>
      </c>
      <c r="AD111" s="15">
        <v>13024.951800357599</v>
      </c>
      <c r="AF111" s="15">
        <v>2003</v>
      </c>
      <c r="AG111" s="15">
        <v>2</v>
      </c>
      <c r="AH111" s="15">
        <v>13013.471018783201</v>
      </c>
    </row>
    <row r="112" spans="1:34" x14ac:dyDescent="0.25">
      <c r="A112" s="15">
        <v>2003</v>
      </c>
      <c r="B112" s="15">
        <v>3</v>
      </c>
      <c r="C112" s="15">
        <v>13541.9607181753</v>
      </c>
      <c r="F112" s="15">
        <v>2003</v>
      </c>
      <c r="G112" s="15">
        <v>3</v>
      </c>
      <c r="H112" s="15">
        <v>13578.344342574999</v>
      </c>
      <c r="K112" s="18">
        <v>2003</v>
      </c>
      <c r="L112" s="18">
        <v>3</v>
      </c>
      <c r="M112" s="18">
        <v>13545.099470667201</v>
      </c>
      <c r="P112" s="15">
        <v>2003</v>
      </c>
      <c r="Q112" s="15">
        <v>3</v>
      </c>
      <c r="R112" s="15">
        <v>13578.344342574999</v>
      </c>
      <c r="T112" s="15">
        <v>2003</v>
      </c>
      <c r="U112" s="15">
        <v>3</v>
      </c>
      <c r="V112" s="15">
        <v>13511.026756664</v>
      </c>
      <c r="X112" s="15">
        <v>2003</v>
      </c>
      <c r="Y112" s="15">
        <v>3</v>
      </c>
      <c r="Z112" s="15">
        <v>13519.0588268016</v>
      </c>
      <c r="AB112" s="15">
        <v>2003</v>
      </c>
      <c r="AC112" s="15">
        <v>3</v>
      </c>
      <c r="AD112" s="15">
        <v>13514.702979216099</v>
      </c>
      <c r="AF112" s="15">
        <v>2003</v>
      </c>
      <c r="AG112" s="15">
        <v>3</v>
      </c>
      <c r="AH112" s="15">
        <v>13493.5785225786</v>
      </c>
    </row>
    <row r="113" spans="1:34" x14ac:dyDescent="0.25">
      <c r="A113" s="15">
        <v>2003</v>
      </c>
      <c r="B113" s="15">
        <v>4</v>
      </c>
      <c r="C113" s="15">
        <v>12219.086085855201</v>
      </c>
      <c r="F113" s="15">
        <v>2003</v>
      </c>
      <c r="G113" s="15">
        <v>4</v>
      </c>
      <c r="H113" s="15">
        <v>12479.618822035</v>
      </c>
      <c r="K113" s="18">
        <v>2003</v>
      </c>
      <c r="L113" s="18">
        <v>4</v>
      </c>
      <c r="M113" s="18">
        <v>12217.3009327363</v>
      </c>
      <c r="P113" s="15">
        <v>2003</v>
      </c>
      <c r="Q113" s="15">
        <v>4</v>
      </c>
      <c r="R113" s="15">
        <v>12479.618822035</v>
      </c>
      <c r="T113" s="15">
        <v>2003</v>
      </c>
      <c r="U113" s="15">
        <v>4</v>
      </c>
      <c r="V113" s="15">
        <v>11972.4121840686</v>
      </c>
      <c r="X113" s="15">
        <v>2003</v>
      </c>
      <c r="Y113" s="15">
        <v>4</v>
      </c>
      <c r="Z113" s="15">
        <v>11968.5256035485</v>
      </c>
      <c r="AB113" s="15">
        <v>2003</v>
      </c>
      <c r="AC113" s="15">
        <v>4</v>
      </c>
      <c r="AD113" s="15">
        <v>11969.201980640401</v>
      </c>
      <c r="AF113" s="15">
        <v>2003</v>
      </c>
      <c r="AG113" s="15">
        <v>4</v>
      </c>
      <c r="AH113" s="15">
        <v>11977.710808637799</v>
      </c>
    </row>
    <row r="114" spans="1:34" x14ac:dyDescent="0.25">
      <c r="A114" s="15">
        <v>2003</v>
      </c>
      <c r="B114" s="15">
        <v>5</v>
      </c>
      <c r="C114" s="15">
        <v>12210.4917641349</v>
      </c>
      <c r="F114" s="15">
        <v>2003</v>
      </c>
      <c r="G114" s="15">
        <v>5</v>
      </c>
      <c r="H114" s="15">
        <v>12317.225127027999</v>
      </c>
      <c r="K114" s="18">
        <v>2003</v>
      </c>
      <c r="L114" s="18">
        <v>5</v>
      </c>
      <c r="M114" s="18">
        <v>12211.206791325099</v>
      </c>
      <c r="P114" s="15">
        <v>2003</v>
      </c>
      <c r="Q114" s="15">
        <v>5</v>
      </c>
      <c r="R114" s="15">
        <v>12317.225127027999</v>
      </c>
      <c r="T114" s="15">
        <v>2003</v>
      </c>
      <c r="U114" s="15">
        <v>5</v>
      </c>
      <c r="V114" s="15">
        <v>11867.1014118654</v>
      </c>
      <c r="X114" s="15">
        <v>2003</v>
      </c>
      <c r="Y114" s="15">
        <v>5</v>
      </c>
      <c r="Z114" s="15">
        <v>11866.649284548501</v>
      </c>
      <c r="AB114" s="15">
        <v>2003</v>
      </c>
      <c r="AC114" s="15">
        <v>5</v>
      </c>
      <c r="AD114" s="15">
        <v>11866.106484628101</v>
      </c>
      <c r="AF114" s="15">
        <v>2003</v>
      </c>
      <c r="AG114" s="15">
        <v>5</v>
      </c>
      <c r="AH114" s="15">
        <v>11866.439301120299</v>
      </c>
    </row>
    <row r="115" spans="1:34" x14ac:dyDescent="0.25">
      <c r="A115" s="15">
        <v>2003</v>
      </c>
      <c r="B115" s="15">
        <v>6</v>
      </c>
      <c r="C115" s="15">
        <v>11921.6489189657</v>
      </c>
      <c r="F115" s="15">
        <v>2003</v>
      </c>
      <c r="G115" s="15">
        <v>6</v>
      </c>
      <c r="H115" s="15">
        <v>12010.9315472131</v>
      </c>
      <c r="K115" s="18">
        <v>2003</v>
      </c>
      <c r="L115" s="18">
        <v>6</v>
      </c>
      <c r="M115" s="18">
        <v>11922.391858360899</v>
      </c>
      <c r="P115" s="15">
        <v>2003</v>
      </c>
      <c r="Q115" s="15">
        <v>6</v>
      </c>
      <c r="R115" s="15">
        <v>12010.9315472131</v>
      </c>
      <c r="T115" s="15">
        <v>2003</v>
      </c>
      <c r="U115" s="15">
        <v>6</v>
      </c>
      <c r="V115" s="15">
        <v>11760.384496119699</v>
      </c>
      <c r="X115" s="15">
        <v>2003</v>
      </c>
      <c r="Y115" s="15">
        <v>6</v>
      </c>
      <c r="Z115" s="15">
        <v>11762.3541614774</v>
      </c>
      <c r="AB115" s="15">
        <v>2003</v>
      </c>
      <c r="AC115" s="15">
        <v>6</v>
      </c>
      <c r="AD115" s="15">
        <v>11760.7982689777</v>
      </c>
      <c r="AF115" s="15">
        <v>2003</v>
      </c>
      <c r="AG115" s="15">
        <v>6</v>
      </c>
      <c r="AH115" s="15">
        <v>11755.3929052032</v>
      </c>
    </row>
    <row r="116" spans="1:34" x14ac:dyDescent="0.25">
      <c r="A116" s="15">
        <v>2003</v>
      </c>
      <c r="B116" s="15">
        <v>7</v>
      </c>
      <c r="C116" s="15">
        <v>8864.2864053518297</v>
      </c>
      <c r="F116" s="15">
        <v>2003</v>
      </c>
      <c r="G116" s="15">
        <v>7</v>
      </c>
      <c r="H116" s="15">
        <v>9077.2747252951704</v>
      </c>
      <c r="K116" s="18">
        <v>2003</v>
      </c>
      <c r="L116" s="18">
        <v>7</v>
      </c>
      <c r="M116" s="18">
        <v>8860.1730439493494</v>
      </c>
      <c r="P116" s="15">
        <v>2003</v>
      </c>
      <c r="Q116" s="15">
        <v>7</v>
      </c>
      <c r="R116" s="15">
        <v>9077.2747252951704</v>
      </c>
      <c r="T116" s="15">
        <v>2003</v>
      </c>
      <c r="U116" s="15">
        <v>7</v>
      </c>
      <c r="V116" s="15">
        <v>8651.2452156180607</v>
      </c>
      <c r="X116" s="15">
        <v>2003</v>
      </c>
      <c r="Y116" s="15">
        <v>7</v>
      </c>
      <c r="Z116" s="15">
        <v>8641.5197876160091</v>
      </c>
      <c r="AB116" s="15">
        <v>2003</v>
      </c>
      <c r="AC116" s="15">
        <v>7</v>
      </c>
      <c r="AD116" s="15">
        <v>8645.1471435618005</v>
      </c>
      <c r="AF116" s="15">
        <v>2003</v>
      </c>
      <c r="AG116" s="15">
        <v>7</v>
      </c>
      <c r="AH116" s="15">
        <v>8668.3313778894208</v>
      </c>
    </row>
    <row r="117" spans="1:34" x14ac:dyDescent="0.25">
      <c r="A117" s="15">
        <v>2003</v>
      </c>
      <c r="B117" s="15">
        <v>8</v>
      </c>
      <c r="C117" s="15">
        <v>13434.8633447958</v>
      </c>
      <c r="F117" s="15">
        <v>2003</v>
      </c>
      <c r="G117" s="15">
        <v>8</v>
      </c>
      <c r="H117" s="15">
        <v>13379.911935371299</v>
      </c>
      <c r="K117" s="18">
        <v>2003</v>
      </c>
      <c r="L117" s="18">
        <v>8</v>
      </c>
      <c r="M117" s="18">
        <v>13438.238515732801</v>
      </c>
      <c r="P117" s="15">
        <v>2003</v>
      </c>
      <c r="Q117" s="15">
        <v>8</v>
      </c>
      <c r="R117" s="15">
        <v>13379.911935371299</v>
      </c>
      <c r="T117" s="15">
        <v>2003</v>
      </c>
      <c r="U117" s="15">
        <v>8</v>
      </c>
      <c r="V117" s="15">
        <v>13738.3369606535</v>
      </c>
      <c r="X117" s="15">
        <v>2003</v>
      </c>
      <c r="Y117" s="15">
        <v>8</v>
      </c>
      <c r="Z117" s="15">
        <v>13748.243992829501</v>
      </c>
      <c r="AB117" s="15">
        <v>2003</v>
      </c>
      <c r="AC117" s="15">
        <v>8</v>
      </c>
      <c r="AD117" s="15">
        <v>13744.1715924003</v>
      </c>
      <c r="AF117" s="15">
        <v>2003</v>
      </c>
      <c r="AG117" s="15">
        <v>8</v>
      </c>
      <c r="AH117" s="15">
        <v>13720.9021043383</v>
      </c>
    </row>
    <row r="118" spans="1:34" x14ac:dyDescent="0.25">
      <c r="A118" s="15">
        <v>2003</v>
      </c>
      <c r="B118" s="15">
        <v>9</v>
      </c>
      <c r="C118" s="15">
        <v>11895.299960251599</v>
      </c>
      <c r="F118" s="15">
        <v>2003</v>
      </c>
      <c r="G118" s="15">
        <v>9</v>
      </c>
      <c r="H118" s="15">
        <v>12114.4647804126</v>
      </c>
      <c r="K118" s="18">
        <v>2003</v>
      </c>
      <c r="L118" s="18">
        <v>9</v>
      </c>
      <c r="M118" s="18">
        <v>11893.512136212201</v>
      </c>
      <c r="P118" s="15">
        <v>2003</v>
      </c>
      <c r="Q118" s="15">
        <v>9</v>
      </c>
      <c r="R118" s="15">
        <v>12114.4647804126</v>
      </c>
      <c r="T118" s="15">
        <v>2003</v>
      </c>
      <c r="U118" s="15">
        <v>9</v>
      </c>
      <c r="V118" s="15">
        <v>11713.860397386899</v>
      </c>
      <c r="X118" s="15">
        <v>2003</v>
      </c>
      <c r="Y118" s="15">
        <v>9</v>
      </c>
      <c r="Z118" s="15">
        <v>11709.4273664461</v>
      </c>
      <c r="AB118" s="15">
        <v>2003</v>
      </c>
      <c r="AC118" s="15">
        <v>9</v>
      </c>
      <c r="AD118" s="15">
        <v>11710.293155297701</v>
      </c>
      <c r="AF118" s="15">
        <v>2003</v>
      </c>
      <c r="AG118" s="15">
        <v>9</v>
      </c>
      <c r="AH118" s="15">
        <v>11719.872204334601</v>
      </c>
    </row>
    <row r="119" spans="1:34" x14ac:dyDescent="0.25">
      <c r="A119" s="15">
        <v>2003</v>
      </c>
      <c r="B119" s="15">
        <v>10</v>
      </c>
      <c r="C119" s="15">
        <v>11964.247391966401</v>
      </c>
      <c r="F119" s="15">
        <v>2003</v>
      </c>
      <c r="G119" s="15">
        <v>10</v>
      </c>
      <c r="H119" s="15">
        <v>12232.6587029314</v>
      </c>
      <c r="K119" s="18">
        <v>2003</v>
      </c>
      <c r="L119" s="18">
        <v>10</v>
      </c>
      <c r="M119" s="18">
        <v>11961.8704570151</v>
      </c>
      <c r="P119" s="15">
        <v>2003</v>
      </c>
      <c r="Q119" s="15">
        <v>10</v>
      </c>
      <c r="R119" s="15">
        <v>12232.6587029314</v>
      </c>
      <c r="T119" s="15">
        <v>2003</v>
      </c>
      <c r="U119" s="15">
        <v>10</v>
      </c>
      <c r="V119" s="15">
        <v>11757.7214079573</v>
      </c>
      <c r="X119" s="15">
        <v>2003</v>
      </c>
      <c r="Y119" s="15">
        <v>10</v>
      </c>
      <c r="Z119" s="15">
        <v>11751.779675952799</v>
      </c>
      <c r="AB119" s="15">
        <v>2003</v>
      </c>
      <c r="AC119" s="15">
        <v>10</v>
      </c>
      <c r="AD119" s="15">
        <v>11753.1376422497</v>
      </c>
      <c r="AF119" s="15">
        <v>2003</v>
      </c>
      <c r="AG119" s="15">
        <v>10</v>
      </c>
      <c r="AH119" s="15">
        <v>11766.1210611522</v>
      </c>
    </row>
    <row r="120" spans="1:34" x14ac:dyDescent="0.25">
      <c r="A120" s="15">
        <v>2003</v>
      </c>
      <c r="B120" s="15">
        <v>11</v>
      </c>
      <c r="C120" s="15">
        <v>15871.212043974299</v>
      </c>
      <c r="F120" s="15">
        <v>2003</v>
      </c>
      <c r="G120" s="15">
        <v>11</v>
      </c>
      <c r="H120" s="15">
        <v>15822.913795144001</v>
      </c>
      <c r="K120" s="18">
        <v>2003</v>
      </c>
      <c r="L120" s="18">
        <v>11</v>
      </c>
      <c r="M120" s="18">
        <v>15875.663968495401</v>
      </c>
      <c r="P120" s="15">
        <v>2003</v>
      </c>
      <c r="Q120" s="15">
        <v>11</v>
      </c>
      <c r="R120" s="15">
        <v>15822.913795144001</v>
      </c>
      <c r="T120" s="15">
        <v>2003</v>
      </c>
      <c r="U120" s="15">
        <v>11</v>
      </c>
      <c r="V120" s="15">
        <v>15922.968405306299</v>
      </c>
      <c r="X120" s="15">
        <v>2003</v>
      </c>
      <c r="Y120" s="15">
        <v>11</v>
      </c>
      <c r="Z120" s="15">
        <v>15933.1123055637</v>
      </c>
      <c r="AB120" s="15">
        <v>2003</v>
      </c>
      <c r="AC120" s="15">
        <v>11</v>
      </c>
      <c r="AD120" s="15">
        <v>15927.6252779521</v>
      </c>
      <c r="AF120" s="15">
        <v>2003</v>
      </c>
      <c r="AG120" s="15">
        <v>11</v>
      </c>
      <c r="AH120" s="15">
        <v>15900.577069107299</v>
      </c>
    </row>
    <row r="121" spans="1:34" x14ac:dyDescent="0.25">
      <c r="A121" s="15">
        <v>2003</v>
      </c>
      <c r="B121" s="15">
        <v>12</v>
      </c>
      <c r="C121" s="15">
        <v>14379.7322349891</v>
      </c>
      <c r="F121" s="15">
        <v>2003</v>
      </c>
      <c r="G121" s="15">
        <v>12</v>
      </c>
      <c r="H121" s="15">
        <v>14709.9563920948</v>
      </c>
      <c r="K121" s="18">
        <v>2003</v>
      </c>
      <c r="L121" s="18">
        <v>12</v>
      </c>
      <c r="M121" s="18">
        <v>14377.4062778186</v>
      </c>
      <c r="P121" s="15">
        <v>2003</v>
      </c>
      <c r="Q121" s="15">
        <v>12</v>
      </c>
      <c r="R121" s="15">
        <v>14709.9563920948</v>
      </c>
      <c r="T121" s="15">
        <v>2003</v>
      </c>
      <c r="U121" s="15">
        <v>12</v>
      </c>
      <c r="V121" s="15">
        <v>13839.417436354301</v>
      </c>
      <c r="X121" s="15">
        <v>2003</v>
      </c>
      <c r="Y121" s="15">
        <v>12</v>
      </c>
      <c r="Z121" s="15">
        <v>13830.436733111201</v>
      </c>
      <c r="AB121" s="15">
        <v>2003</v>
      </c>
      <c r="AC121" s="15">
        <v>12</v>
      </c>
      <c r="AD121" s="15">
        <v>13830.7982174426</v>
      </c>
      <c r="AF121" s="15">
        <v>2003</v>
      </c>
      <c r="AG121" s="15">
        <v>12</v>
      </c>
      <c r="AH121" s="15">
        <v>13847.8262169751</v>
      </c>
    </row>
    <row r="122" spans="1:34" x14ac:dyDescent="0.25">
      <c r="A122" s="15">
        <v>2004</v>
      </c>
      <c r="B122" s="15">
        <v>1</v>
      </c>
      <c r="C122" s="15">
        <v>22362.861787047401</v>
      </c>
      <c r="F122" s="15">
        <v>2004</v>
      </c>
      <c r="G122" s="15">
        <v>1</v>
      </c>
      <c r="H122" s="15">
        <v>21004.500801176</v>
      </c>
      <c r="K122" s="18">
        <v>2004</v>
      </c>
      <c r="L122" s="18">
        <v>1</v>
      </c>
      <c r="M122" s="18">
        <v>22363.405034005798</v>
      </c>
      <c r="P122" s="15">
        <v>2004</v>
      </c>
      <c r="Q122" s="15">
        <v>1</v>
      </c>
      <c r="R122" s="15">
        <v>21004.500801176</v>
      </c>
      <c r="T122" s="15">
        <v>2004</v>
      </c>
      <c r="U122" s="15">
        <v>1</v>
      </c>
      <c r="V122" s="15">
        <v>26085.055531423699</v>
      </c>
      <c r="X122" s="15">
        <v>2004</v>
      </c>
      <c r="Y122" s="15">
        <v>1</v>
      </c>
      <c r="Z122" s="15">
        <v>26092.394130650999</v>
      </c>
      <c r="AB122" s="15">
        <v>2004</v>
      </c>
      <c r="AC122" s="15">
        <v>1</v>
      </c>
      <c r="AD122" s="15">
        <v>26100.960258243998</v>
      </c>
      <c r="AF122" s="15">
        <v>2004</v>
      </c>
      <c r="AG122" s="15">
        <v>1</v>
      </c>
      <c r="AH122" s="15">
        <v>26100.0366534596</v>
      </c>
    </row>
    <row r="123" spans="1:34" x14ac:dyDescent="0.25">
      <c r="A123" s="15">
        <v>2004</v>
      </c>
      <c r="B123" s="15">
        <v>2</v>
      </c>
      <c r="C123" s="15">
        <v>19205.090608525701</v>
      </c>
      <c r="F123" s="15">
        <v>2004</v>
      </c>
      <c r="G123" s="15">
        <v>2</v>
      </c>
      <c r="H123" s="15">
        <v>20253.314678684899</v>
      </c>
      <c r="K123" s="18">
        <v>2004</v>
      </c>
      <c r="L123" s="18">
        <v>2</v>
      </c>
      <c r="M123" s="18">
        <v>19206.465259811201</v>
      </c>
      <c r="P123" s="15">
        <v>2004</v>
      </c>
      <c r="Q123" s="15">
        <v>2</v>
      </c>
      <c r="R123" s="15">
        <v>20253.314678684899</v>
      </c>
      <c r="T123" s="15">
        <v>2004</v>
      </c>
      <c r="U123" s="15">
        <v>2</v>
      </c>
      <c r="V123" s="15">
        <v>19807.695075908301</v>
      </c>
      <c r="X123" s="15">
        <v>2004</v>
      </c>
      <c r="Y123" s="15">
        <v>2</v>
      </c>
      <c r="Z123" s="15">
        <v>19804.3005279114</v>
      </c>
      <c r="AB123" s="15">
        <v>2004</v>
      </c>
      <c r="AC123" s="15">
        <v>2</v>
      </c>
      <c r="AD123" s="15">
        <v>19800.1645196758</v>
      </c>
      <c r="AF123" s="15">
        <v>2004</v>
      </c>
      <c r="AG123" s="15">
        <v>2</v>
      </c>
      <c r="AH123" s="15">
        <v>19788.519214354201</v>
      </c>
    </row>
    <row r="124" spans="1:34" x14ac:dyDescent="0.25">
      <c r="A124" s="15">
        <v>2004</v>
      </c>
      <c r="B124" s="15">
        <v>3</v>
      </c>
      <c r="C124" s="15">
        <v>18140.885965614001</v>
      </c>
      <c r="F124" s="15">
        <v>2004</v>
      </c>
      <c r="G124" s="15">
        <v>3</v>
      </c>
      <c r="H124" s="15">
        <v>18482.6986345689</v>
      </c>
      <c r="K124" s="18">
        <v>2004</v>
      </c>
      <c r="L124" s="18">
        <v>3</v>
      </c>
      <c r="M124" s="18">
        <v>18138.429591426499</v>
      </c>
      <c r="P124" s="15">
        <v>2004</v>
      </c>
      <c r="Q124" s="15">
        <v>3</v>
      </c>
      <c r="R124" s="15">
        <v>18482.6986345689</v>
      </c>
      <c r="T124" s="15">
        <v>2004</v>
      </c>
      <c r="U124" s="15">
        <v>3</v>
      </c>
      <c r="V124" s="15">
        <v>17902.0137401959</v>
      </c>
      <c r="X124" s="15">
        <v>2004</v>
      </c>
      <c r="Y124" s="15">
        <v>3</v>
      </c>
      <c r="Z124" s="15">
        <v>17895.8217447846</v>
      </c>
      <c r="AB124" s="15">
        <v>2004</v>
      </c>
      <c r="AC124" s="15">
        <v>3</v>
      </c>
      <c r="AD124" s="15">
        <v>17896.8637783015</v>
      </c>
      <c r="AF124" s="15">
        <v>2004</v>
      </c>
      <c r="AG124" s="15">
        <v>3</v>
      </c>
      <c r="AH124" s="15">
        <v>17909.480117716899</v>
      </c>
    </row>
    <row r="125" spans="1:34" x14ac:dyDescent="0.25">
      <c r="A125" s="15">
        <v>2004</v>
      </c>
      <c r="B125" s="15">
        <v>4</v>
      </c>
      <c r="C125" s="15">
        <v>16958.051106806499</v>
      </c>
      <c r="F125" s="15">
        <v>2004</v>
      </c>
      <c r="G125" s="15">
        <v>4</v>
      </c>
      <c r="H125" s="15">
        <v>17238.121639864101</v>
      </c>
      <c r="K125" s="18">
        <v>2004</v>
      </c>
      <c r="L125" s="18">
        <v>4</v>
      </c>
      <c r="M125" s="18">
        <v>16956.184449427201</v>
      </c>
      <c r="P125" s="15">
        <v>2004</v>
      </c>
      <c r="Q125" s="15">
        <v>4</v>
      </c>
      <c r="R125" s="15">
        <v>17238.121639864101</v>
      </c>
      <c r="T125" s="15">
        <v>2004</v>
      </c>
      <c r="U125" s="15">
        <v>4</v>
      </c>
      <c r="V125" s="15">
        <v>16755.987606328501</v>
      </c>
      <c r="X125" s="15">
        <v>2004</v>
      </c>
      <c r="Y125" s="15">
        <v>4</v>
      </c>
      <c r="Z125" s="15">
        <v>16751.513800083001</v>
      </c>
      <c r="AB125" s="15">
        <v>2004</v>
      </c>
      <c r="AC125" s="15">
        <v>4</v>
      </c>
      <c r="AD125" s="15">
        <v>16752.0879105883</v>
      </c>
      <c r="AF125" s="15">
        <v>2004</v>
      </c>
      <c r="AG125" s="15">
        <v>4</v>
      </c>
      <c r="AH125" s="15">
        <v>16761.074980025802</v>
      </c>
    </row>
    <row r="126" spans="1:34" x14ac:dyDescent="0.25">
      <c r="A126" s="15">
        <v>2004</v>
      </c>
      <c r="B126" s="15">
        <v>5</v>
      </c>
      <c r="C126" s="15">
        <v>20808.803981565601</v>
      </c>
      <c r="F126" s="15">
        <v>2004</v>
      </c>
      <c r="G126" s="15">
        <v>5</v>
      </c>
      <c r="H126" s="15">
        <v>20773.7355366952</v>
      </c>
      <c r="K126" s="18">
        <v>2004</v>
      </c>
      <c r="L126" s="18">
        <v>5</v>
      </c>
      <c r="M126" s="18">
        <v>20812.498421254801</v>
      </c>
      <c r="P126" s="15">
        <v>2004</v>
      </c>
      <c r="Q126" s="15">
        <v>5</v>
      </c>
      <c r="R126" s="15">
        <v>20773.7355366952</v>
      </c>
      <c r="T126" s="15">
        <v>2004</v>
      </c>
      <c r="U126" s="15">
        <v>5</v>
      </c>
      <c r="V126" s="15">
        <v>20473.114527015299</v>
      </c>
      <c r="X126" s="15">
        <v>2004</v>
      </c>
      <c r="Y126" s="15">
        <v>5</v>
      </c>
      <c r="Z126" s="15">
        <v>20477.3608717141</v>
      </c>
      <c r="AB126" s="15">
        <v>2004</v>
      </c>
      <c r="AC126" s="15">
        <v>5</v>
      </c>
      <c r="AD126" s="15">
        <v>20474.755173596201</v>
      </c>
      <c r="AF126" s="15">
        <v>2004</v>
      </c>
      <c r="AG126" s="15">
        <v>5</v>
      </c>
      <c r="AH126" s="15">
        <v>20462.8476904702</v>
      </c>
    </row>
    <row r="127" spans="1:34" x14ac:dyDescent="0.25">
      <c r="A127" s="15">
        <v>2004</v>
      </c>
      <c r="B127" s="15">
        <v>6</v>
      </c>
      <c r="C127" s="15">
        <v>18828.7490017491</v>
      </c>
      <c r="F127" s="15">
        <v>2004</v>
      </c>
      <c r="G127" s="15">
        <v>6</v>
      </c>
      <c r="H127" s="15">
        <v>19055.112179792799</v>
      </c>
      <c r="K127" s="18">
        <v>2004</v>
      </c>
      <c r="L127" s="18">
        <v>6</v>
      </c>
      <c r="M127" s="18">
        <v>18826.953089323</v>
      </c>
      <c r="P127" s="15">
        <v>2004</v>
      </c>
      <c r="Q127" s="15">
        <v>6</v>
      </c>
      <c r="R127" s="15">
        <v>19055.112179792799</v>
      </c>
      <c r="T127" s="15">
        <v>2004</v>
      </c>
      <c r="U127" s="15">
        <v>6</v>
      </c>
      <c r="V127" s="15">
        <v>18660.896024929301</v>
      </c>
      <c r="X127" s="15">
        <v>2004</v>
      </c>
      <c r="Y127" s="15">
        <v>6</v>
      </c>
      <c r="Z127" s="15">
        <v>18656.905942281101</v>
      </c>
      <c r="AB127" s="15">
        <v>2004</v>
      </c>
      <c r="AC127" s="15">
        <v>6</v>
      </c>
      <c r="AD127" s="15">
        <v>18657.698776574201</v>
      </c>
      <c r="AF127" s="15">
        <v>2004</v>
      </c>
      <c r="AG127" s="15">
        <v>6</v>
      </c>
      <c r="AH127" s="15">
        <v>18666.5448830485</v>
      </c>
    </row>
    <row r="128" spans="1:34" x14ac:dyDescent="0.25">
      <c r="A128" s="15">
        <v>2004</v>
      </c>
      <c r="B128" s="15">
        <v>7</v>
      </c>
      <c r="C128" s="15">
        <v>18680.557345698198</v>
      </c>
      <c r="F128" s="15">
        <v>2004</v>
      </c>
      <c r="G128" s="15">
        <v>7</v>
      </c>
      <c r="H128" s="15">
        <v>18748.7693042844</v>
      </c>
      <c r="K128" s="18">
        <v>2004</v>
      </c>
      <c r="L128" s="18">
        <v>7</v>
      </c>
      <c r="M128" s="18">
        <v>18679.233838804899</v>
      </c>
      <c r="P128" s="15">
        <v>2004</v>
      </c>
      <c r="Q128" s="15">
        <v>7</v>
      </c>
      <c r="R128" s="15">
        <v>18748.7693042844</v>
      </c>
      <c r="T128" s="15">
        <v>2004</v>
      </c>
      <c r="U128" s="15">
        <v>7</v>
      </c>
      <c r="V128" s="15">
        <v>18685.778789563999</v>
      </c>
      <c r="X128" s="15">
        <v>2004</v>
      </c>
      <c r="Y128" s="15">
        <v>7</v>
      </c>
      <c r="Z128" s="15">
        <v>18682.825331468401</v>
      </c>
      <c r="AB128" s="15">
        <v>2004</v>
      </c>
      <c r="AC128" s="15">
        <v>7</v>
      </c>
      <c r="AD128" s="15">
        <v>18683.663157475301</v>
      </c>
      <c r="AF128" s="15">
        <v>2004</v>
      </c>
      <c r="AG128" s="15">
        <v>7</v>
      </c>
      <c r="AH128" s="15">
        <v>18690.019087271499</v>
      </c>
    </row>
    <row r="129" spans="1:34" x14ac:dyDescent="0.25">
      <c r="A129" s="15">
        <v>2004</v>
      </c>
      <c r="B129" s="15">
        <v>8</v>
      </c>
      <c r="C129" s="15">
        <v>19301.049742454401</v>
      </c>
      <c r="F129" s="15">
        <v>2004</v>
      </c>
      <c r="G129" s="15">
        <v>8</v>
      </c>
      <c r="H129" s="15">
        <v>19364.698526013301</v>
      </c>
      <c r="K129" s="18">
        <v>2004</v>
      </c>
      <c r="L129" s="18">
        <v>8</v>
      </c>
      <c r="M129" s="18">
        <v>19301.8371657471</v>
      </c>
      <c r="P129" s="15">
        <v>2004</v>
      </c>
      <c r="Q129" s="15">
        <v>8</v>
      </c>
      <c r="R129" s="15">
        <v>19364.698526013301</v>
      </c>
      <c r="T129" s="15">
        <v>2004</v>
      </c>
      <c r="U129" s="15">
        <v>8</v>
      </c>
      <c r="V129" s="15">
        <v>19453.0569092646</v>
      </c>
      <c r="X129" s="15">
        <v>2004</v>
      </c>
      <c r="Y129" s="15">
        <v>8</v>
      </c>
      <c r="Z129" s="15">
        <v>19456.014020985</v>
      </c>
      <c r="AB129" s="15">
        <v>2004</v>
      </c>
      <c r="AC129" s="15">
        <v>8</v>
      </c>
      <c r="AD129" s="15">
        <v>19454.507805457499</v>
      </c>
      <c r="AF129" s="15">
        <v>2004</v>
      </c>
      <c r="AG129" s="15">
        <v>8</v>
      </c>
      <c r="AH129" s="15">
        <v>19447.428686587798</v>
      </c>
    </row>
    <row r="130" spans="1:34" x14ac:dyDescent="0.25">
      <c r="A130" s="15">
        <v>2004</v>
      </c>
      <c r="B130" s="15">
        <v>9</v>
      </c>
      <c r="C130" s="15">
        <v>20307.706641877699</v>
      </c>
      <c r="F130" s="15">
        <v>2004</v>
      </c>
      <c r="G130" s="15">
        <v>9</v>
      </c>
      <c r="H130" s="15">
        <v>20484.401868952798</v>
      </c>
      <c r="K130" s="18">
        <v>2004</v>
      </c>
      <c r="L130" s="18">
        <v>9</v>
      </c>
      <c r="M130" s="18">
        <v>20306.223093026601</v>
      </c>
      <c r="P130" s="15">
        <v>2004</v>
      </c>
      <c r="Q130" s="15">
        <v>9</v>
      </c>
      <c r="R130" s="15">
        <v>20484.401868952798</v>
      </c>
      <c r="T130" s="15">
        <v>2004</v>
      </c>
      <c r="U130" s="15">
        <v>9</v>
      </c>
      <c r="V130" s="15">
        <v>20233.4127735931</v>
      </c>
      <c r="X130" s="15">
        <v>2004</v>
      </c>
      <c r="Y130" s="15">
        <v>9</v>
      </c>
      <c r="Z130" s="15">
        <v>20229.877562157399</v>
      </c>
      <c r="AB130" s="15">
        <v>2004</v>
      </c>
      <c r="AC130" s="15">
        <v>9</v>
      </c>
      <c r="AD130" s="15">
        <v>20230.572278757201</v>
      </c>
      <c r="AF130" s="15">
        <v>2004</v>
      </c>
      <c r="AG130" s="15">
        <v>9</v>
      </c>
      <c r="AH130" s="15">
        <v>20238.266173552001</v>
      </c>
    </row>
    <row r="131" spans="1:34" x14ac:dyDescent="0.25">
      <c r="A131" s="15">
        <v>2004</v>
      </c>
      <c r="B131" s="15">
        <v>10</v>
      </c>
      <c r="C131" s="15">
        <v>22359.664827432302</v>
      </c>
      <c r="F131" s="15">
        <v>2004</v>
      </c>
      <c r="G131" s="15">
        <v>10</v>
      </c>
      <c r="H131" s="15">
        <v>22301.938247909398</v>
      </c>
      <c r="K131" s="18">
        <v>2004</v>
      </c>
      <c r="L131" s="18">
        <v>10</v>
      </c>
      <c r="M131" s="18">
        <v>22363.0873964239</v>
      </c>
      <c r="P131" s="15">
        <v>2004</v>
      </c>
      <c r="Q131" s="15">
        <v>10</v>
      </c>
      <c r="R131" s="15">
        <v>22301.938247909398</v>
      </c>
      <c r="T131" s="15">
        <v>2004</v>
      </c>
      <c r="U131" s="15">
        <v>10</v>
      </c>
      <c r="V131" s="15">
        <v>22445.019288975102</v>
      </c>
      <c r="X131" s="15">
        <v>2004</v>
      </c>
      <c r="Y131" s="15">
        <v>10</v>
      </c>
      <c r="Z131" s="15">
        <v>22453.029228032599</v>
      </c>
      <c r="AB131" s="15">
        <v>2004</v>
      </c>
      <c r="AC131" s="15">
        <v>10</v>
      </c>
      <c r="AD131" s="15">
        <v>22448.825352179701</v>
      </c>
      <c r="AF131" s="15">
        <v>2004</v>
      </c>
      <c r="AG131" s="15">
        <v>10</v>
      </c>
      <c r="AH131" s="15">
        <v>22427.821638178699</v>
      </c>
    </row>
    <row r="132" spans="1:34" x14ac:dyDescent="0.25">
      <c r="A132" s="15">
        <v>2004</v>
      </c>
      <c r="B132" s="15">
        <v>11</v>
      </c>
      <c r="C132" s="15">
        <v>20948.316009278202</v>
      </c>
      <c r="F132" s="15">
        <v>2004</v>
      </c>
      <c r="G132" s="15">
        <v>11</v>
      </c>
      <c r="H132" s="15">
        <v>21168.354674808499</v>
      </c>
      <c r="K132" s="18">
        <v>2004</v>
      </c>
      <c r="L132" s="18">
        <v>11</v>
      </c>
      <c r="M132" s="18">
        <v>20946.8159683663</v>
      </c>
      <c r="P132" s="15">
        <v>2004</v>
      </c>
      <c r="Q132" s="15">
        <v>11</v>
      </c>
      <c r="R132" s="15">
        <v>21168.354674808499</v>
      </c>
      <c r="T132" s="15">
        <v>2004</v>
      </c>
      <c r="U132" s="15">
        <v>11</v>
      </c>
      <c r="V132" s="15">
        <v>20793.0223954953</v>
      </c>
      <c r="X132" s="15">
        <v>2004</v>
      </c>
      <c r="Y132" s="15">
        <v>11</v>
      </c>
      <c r="Z132" s="15">
        <v>20789.135983554199</v>
      </c>
      <c r="AB132" s="15">
        <v>2004</v>
      </c>
      <c r="AC132" s="15">
        <v>11</v>
      </c>
      <c r="AD132" s="15">
        <v>20789.5673070505</v>
      </c>
      <c r="AF132" s="15">
        <v>2004</v>
      </c>
      <c r="AG132" s="15">
        <v>11</v>
      </c>
      <c r="AH132" s="15">
        <v>20797.230522167101</v>
      </c>
    </row>
    <row r="133" spans="1:34" x14ac:dyDescent="0.25">
      <c r="A133" s="15">
        <v>2004</v>
      </c>
      <c r="B133" s="15">
        <v>12</v>
      </c>
      <c r="C133" s="15">
        <v>22884.660370772599</v>
      </c>
      <c r="F133" s="15">
        <v>2004</v>
      </c>
      <c r="G133" s="15">
        <v>12</v>
      </c>
      <c r="H133" s="15">
        <v>23185.7718799043</v>
      </c>
      <c r="K133" s="18">
        <v>2004</v>
      </c>
      <c r="L133" s="18">
        <v>12</v>
      </c>
      <c r="M133" s="18">
        <v>22882.097013595401</v>
      </c>
      <c r="P133" s="15">
        <v>2004</v>
      </c>
      <c r="Q133" s="15">
        <v>12</v>
      </c>
      <c r="R133" s="15">
        <v>23185.7718799043</v>
      </c>
      <c r="T133" s="15">
        <v>2004</v>
      </c>
      <c r="U133" s="15">
        <v>12</v>
      </c>
      <c r="V133" s="15">
        <v>22591.1765895762</v>
      </c>
      <c r="X133" s="15">
        <v>2004</v>
      </c>
      <c r="Y133" s="15">
        <v>12</v>
      </c>
      <c r="Z133" s="15">
        <v>22581.789968306701</v>
      </c>
      <c r="AB133" s="15">
        <v>2004</v>
      </c>
      <c r="AC133" s="15">
        <v>12</v>
      </c>
      <c r="AD133" s="15">
        <v>22582.3309403926</v>
      </c>
      <c r="AF133" s="15">
        <v>2004</v>
      </c>
      <c r="AG133" s="15">
        <v>12</v>
      </c>
      <c r="AH133" s="15">
        <v>22600.3295158078</v>
      </c>
    </row>
    <row r="134" spans="1:34" x14ac:dyDescent="0.25">
      <c r="A134" s="15">
        <v>2005</v>
      </c>
      <c r="B134" s="15">
        <v>1</v>
      </c>
      <c r="C134" s="15">
        <v>33890.869472669598</v>
      </c>
      <c r="F134" s="15">
        <v>2005</v>
      </c>
      <c r="G134" s="15">
        <v>1</v>
      </c>
      <c r="H134" s="15">
        <v>32347.718749298499</v>
      </c>
      <c r="K134" s="18">
        <v>2005</v>
      </c>
      <c r="L134" s="18">
        <v>1</v>
      </c>
      <c r="M134" s="18">
        <v>33894.626563845399</v>
      </c>
      <c r="P134" s="15">
        <v>2005</v>
      </c>
      <c r="Q134" s="15">
        <v>1</v>
      </c>
      <c r="R134" s="15">
        <v>32347.718749298499</v>
      </c>
      <c r="T134" s="15">
        <v>2005</v>
      </c>
      <c r="U134" s="15">
        <v>1</v>
      </c>
      <c r="V134" s="15">
        <v>37827.454457785199</v>
      </c>
      <c r="X134" s="15">
        <v>2005</v>
      </c>
      <c r="Y134" s="15">
        <v>1</v>
      </c>
      <c r="Z134" s="15">
        <v>37843.0699099013</v>
      </c>
      <c r="AB134" s="15">
        <v>2005</v>
      </c>
      <c r="AC134" s="15">
        <v>1</v>
      </c>
      <c r="AD134" s="15">
        <v>37847.955921462002</v>
      </c>
      <c r="AF134" s="15">
        <v>2005</v>
      </c>
      <c r="AG134" s="15">
        <v>1</v>
      </c>
      <c r="AH134" s="15">
        <v>37827.096829757596</v>
      </c>
    </row>
    <row r="135" spans="1:34" x14ac:dyDescent="0.25">
      <c r="A135" s="15">
        <v>2005</v>
      </c>
      <c r="B135" s="15">
        <v>2</v>
      </c>
      <c r="C135" s="15">
        <v>19464.965455096899</v>
      </c>
      <c r="F135" s="15">
        <v>2005</v>
      </c>
      <c r="G135" s="15">
        <v>2</v>
      </c>
      <c r="H135" s="15">
        <v>19217.000695242899</v>
      </c>
      <c r="K135" s="18">
        <v>2005</v>
      </c>
      <c r="L135" s="18">
        <v>2</v>
      </c>
      <c r="M135" s="18">
        <v>19465.310217175</v>
      </c>
      <c r="P135" s="15">
        <v>2005</v>
      </c>
      <c r="Q135" s="15">
        <v>2</v>
      </c>
      <c r="R135" s="15">
        <v>19217.000695242899</v>
      </c>
      <c r="T135" s="15">
        <v>2005</v>
      </c>
      <c r="U135" s="15">
        <v>2</v>
      </c>
      <c r="V135" s="15">
        <v>15443.9901566547</v>
      </c>
      <c r="X135" s="15">
        <v>2005</v>
      </c>
      <c r="Y135" s="15">
        <v>2</v>
      </c>
      <c r="Z135" s="15">
        <v>15449.1533440564</v>
      </c>
      <c r="AB135" s="15">
        <v>2005</v>
      </c>
      <c r="AC135" s="15">
        <v>2</v>
      </c>
      <c r="AD135" s="15">
        <v>15448.6811896903</v>
      </c>
      <c r="AF135" s="15">
        <v>2005</v>
      </c>
      <c r="AG135" s="15">
        <v>2</v>
      </c>
      <c r="AH135" s="15">
        <v>15442.3023852036</v>
      </c>
    </row>
    <row r="136" spans="1:34" x14ac:dyDescent="0.25">
      <c r="A136" s="15">
        <v>2005</v>
      </c>
      <c r="B136" s="15">
        <v>3</v>
      </c>
      <c r="C136" s="15">
        <v>23797.096997992601</v>
      </c>
      <c r="F136" s="15">
        <v>2005</v>
      </c>
      <c r="G136" s="15">
        <v>3</v>
      </c>
      <c r="H136" s="15">
        <v>24073.928702996702</v>
      </c>
      <c r="K136" s="18">
        <v>2005</v>
      </c>
      <c r="L136" s="18">
        <v>3</v>
      </c>
      <c r="M136" s="18">
        <v>23795.0194216774</v>
      </c>
      <c r="P136" s="15">
        <v>2005</v>
      </c>
      <c r="Q136" s="15">
        <v>3</v>
      </c>
      <c r="R136" s="15">
        <v>24073.928702996702</v>
      </c>
      <c r="T136" s="15">
        <v>2005</v>
      </c>
      <c r="U136" s="15">
        <v>3</v>
      </c>
      <c r="V136" s="15">
        <v>23653.8858283636</v>
      </c>
      <c r="X136" s="15">
        <v>2005</v>
      </c>
      <c r="Y136" s="15">
        <v>3</v>
      </c>
      <c r="Z136" s="15">
        <v>23648.6150702253</v>
      </c>
      <c r="AB136" s="15">
        <v>2005</v>
      </c>
      <c r="AC136" s="15">
        <v>3</v>
      </c>
      <c r="AD136" s="15">
        <v>23649.249494809399</v>
      </c>
      <c r="AF136" s="15">
        <v>2005</v>
      </c>
      <c r="AG136" s="15">
        <v>3</v>
      </c>
      <c r="AH136" s="15">
        <v>23659.525394284799</v>
      </c>
    </row>
    <row r="137" spans="1:34" x14ac:dyDescent="0.25">
      <c r="A137" s="15">
        <v>2005</v>
      </c>
      <c r="B137" s="15">
        <v>4</v>
      </c>
      <c r="C137" s="15">
        <v>25560.9409960189</v>
      </c>
      <c r="F137" s="15">
        <v>2005</v>
      </c>
      <c r="G137" s="15">
        <v>4</v>
      </c>
      <c r="H137" s="15">
        <v>25669.833101030199</v>
      </c>
      <c r="K137" s="18">
        <v>2005</v>
      </c>
      <c r="L137" s="18">
        <v>4</v>
      </c>
      <c r="M137" s="18">
        <v>25561.734429247401</v>
      </c>
      <c r="P137" s="15">
        <v>2005</v>
      </c>
      <c r="Q137" s="15">
        <v>4</v>
      </c>
      <c r="R137" s="15">
        <v>25669.833101030199</v>
      </c>
      <c r="T137" s="15">
        <v>2005</v>
      </c>
      <c r="U137" s="15">
        <v>4</v>
      </c>
      <c r="V137" s="15">
        <v>25578.536004217</v>
      </c>
      <c r="X137" s="15">
        <v>2005</v>
      </c>
      <c r="Y137" s="15">
        <v>4</v>
      </c>
      <c r="Z137" s="15">
        <v>25580.499112971502</v>
      </c>
      <c r="AB137" s="15">
        <v>2005</v>
      </c>
      <c r="AC137" s="15">
        <v>4</v>
      </c>
      <c r="AD137" s="15">
        <v>25578.397013966602</v>
      </c>
      <c r="AF137" s="15">
        <v>2005</v>
      </c>
      <c r="AG137" s="15">
        <v>4</v>
      </c>
      <c r="AH137" s="15">
        <v>25571.4368577366</v>
      </c>
    </row>
    <row r="138" spans="1:34" x14ac:dyDescent="0.25">
      <c r="A138" s="15">
        <v>2005</v>
      </c>
      <c r="B138" s="15">
        <v>5</v>
      </c>
      <c r="C138" s="15">
        <v>24886.9886056797</v>
      </c>
      <c r="F138" s="15">
        <v>2005</v>
      </c>
      <c r="G138" s="15">
        <v>5</v>
      </c>
      <c r="H138" s="15">
        <v>24985.6238785614</v>
      </c>
      <c r="K138" s="18">
        <v>2005</v>
      </c>
      <c r="L138" s="18">
        <v>5</v>
      </c>
      <c r="M138" s="18">
        <v>24887.588338540401</v>
      </c>
      <c r="P138" s="15">
        <v>2005</v>
      </c>
      <c r="Q138" s="15">
        <v>5</v>
      </c>
      <c r="R138" s="15">
        <v>24985.6238785614</v>
      </c>
      <c r="T138" s="15">
        <v>2005</v>
      </c>
      <c r="U138" s="15">
        <v>5</v>
      </c>
      <c r="V138" s="15">
        <v>24380.694631840401</v>
      </c>
      <c r="X138" s="15">
        <v>2005</v>
      </c>
      <c r="Y138" s="15">
        <v>5</v>
      </c>
      <c r="Z138" s="15">
        <v>24375.430986408799</v>
      </c>
      <c r="AB138" s="15">
        <v>2005</v>
      </c>
      <c r="AC138" s="15">
        <v>5</v>
      </c>
      <c r="AD138" s="15">
        <v>24376.836485931501</v>
      </c>
      <c r="AF138" s="15">
        <v>2005</v>
      </c>
      <c r="AG138" s="15">
        <v>5</v>
      </c>
      <c r="AH138" s="15">
        <v>24388.1329457805</v>
      </c>
    </row>
    <row r="139" spans="1:34" x14ac:dyDescent="0.25">
      <c r="A139" s="15">
        <v>2005</v>
      </c>
      <c r="B139" s="15">
        <v>6</v>
      </c>
      <c r="C139" s="15">
        <v>23304.9899476668</v>
      </c>
      <c r="F139" s="15">
        <v>2005</v>
      </c>
      <c r="G139" s="15">
        <v>6</v>
      </c>
      <c r="H139" s="15">
        <v>23461.983995264902</v>
      </c>
      <c r="K139" s="18">
        <v>2005</v>
      </c>
      <c r="L139" s="18">
        <v>6</v>
      </c>
      <c r="M139" s="18">
        <v>23303.959660968299</v>
      </c>
      <c r="P139" s="15">
        <v>2005</v>
      </c>
      <c r="Q139" s="15">
        <v>6</v>
      </c>
      <c r="R139" s="15">
        <v>23461.983995264902</v>
      </c>
      <c r="T139" s="15">
        <v>2005</v>
      </c>
      <c r="U139" s="15">
        <v>6</v>
      </c>
      <c r="V139" s="15">
        <v>23131.891675400901</v>
      </c>
      <c r="X139" s="15">
        <v>2005</v>
      </c>
      <c r="Y139" s="15">
        <v>6</v>
      </c>
      <c r="Z139" s="15">
        <v>23130.173662921399</v>
      </c>
      <c r="AB139" s="15">
        <v>2005</v>
      </c>
      <c r="AC139" s="15">
        <v>6</v>
      </c>
      <c r="AD139" s="15">
        <v>23130.230963644499</v>
      </c>
      <c r="AF139" s="15">
        <v>2005</v>
      </c>
      <c r="AG139" s="15">
        <v>6</v>
      </c>
      <c r="AH139" s="15">
        <v>23133.803907985399</v>
      </c>
    </row>
    <row r="140" spans="1:34" x14ac:dyDescent="0.25">
      <c r="A140" s="15">
        <v>2005</v>
      </c>
      <c r="B140" s="15">
        <v>7</v>
      </c>
      <c r="C140" s="15">
        <v>25742.8574851798</v>
      </c>
      <c r="F140" s="15">
        <v>2005</v>
      </c>
      <c r="G140" s="15">
        <v>7</v>
      </c>
      <c r="H140" s="15">
        <v>25671.687574906598</v>
      </c>
      <c r="K140" s="18">
        <v>2005</v>
      </c>
      <c r="L140" s="18">
        <v>7</v>
      </c>
      <c r="M140" s="18">
        <v>25744.648507902901</v>
      </c>
      <c r="P140" s="15">
        <v>2005</v>
      </c>
      <c r="Q140" s="15">
        <v>7</v>
      </c>
      <c r="R140" s="15">
        <v>25671.687574906598</v>
      </c>
      <c r="T140" s="15">
        <v>2005</v>
      </c>
      <c r="U140" s="15">
        <v>7</v>
      </c>
      <c r="V140" s="15">
        <v>26016.5998761025</v>
      </c>
      <c r="X140" s="15">
        <v>2005</v>
      </c>
      <c r="Y140" s="15">
        <v>7</v>
      </c>
      <c r="Z140" s="15">
        <v>26020.415320018601</v>
      </c>
      <c r="AB140" s="15">
        <v>2005</v>
      </c>
      <c r="AC140" s="15">
        <v>7</v>
      </c>
      <c r="AD140" s="15">
        <v>26018.223903046299</v>
      </c>
      <c r="AF140" s="15">
        <v>2005</v>
      </c>
      <c r="AG140" s="15">
        <v>7</v>
      </c>
      <c r="AH140" s="15">
        <v>26007.4987847829</v>
      </c>
    </row>
    <row r="141" spans="1:34" x14ac:dyDescent="0.25">
      <c r="A141" s="15">
        <v>2005</v>
      </c>
      <c r="B141" s="15">
        <v>8</v>
      </c>
      <c r="C141" s="15">
        <v>23216.362213599201</v>
      </c>
      <c r="F141" s="15">
        <v>2005</v>
      </c>
      <c r="G141" s="15">
        <v>8</v>
      </c>
      <c r="H141" s="15">
        <v>23386.757851204002</v>
      </c>
      <c r="K141" s="18">
        <v>2005</v>
      </c>
      <c r="L141" s="18">
        <v>8</v>
      </c>
      <c r="M141" s="18">
        <v>23214.4335938974</v>
      </c>
      <c r="P141" s="15">
        <v>2005</v>
      </c>
      <c r="Q141" s="15">
        <v>8</v>
      </c>
      <c r="R141" s="15">
        <v>23386.757851204002</v>
      </c>
      <c r="T141" s="15">
        <v>2005</v>
      </c>
      <c r="U141" s="15">
        <v>8</v>
      </c>
      <c r="V141" s="15">
        <v>23260.204171807902</v>
      </c>
      <c r="X141" s="15">
        <v>2005</v>
      </c>
      <c r="Y141" s="15">
        <v>8</v>
      </c>
      <c r="Z141" s="15">
        <v>23256.098377709601</v>
      </c>
      <c r="AB141" s="15">
        <v>2005</v>
      </c>
      <c r="AC141" s="15">
        <v>8</v>
      </c>
      <c r="AD141" s="15">
        <v>23257.368940844699</v>
      </c>
      <c r="AF141" s="15">
        <v>2005</v>
      </c>
      <c r="AG141" s="15">
        <v>8</v>
      </c>
      <c r="AH141" s="15">
        <v>23267.0752330348</v>
      </c>
    </row>
    <row r="142" spans="1:34" x14ac:dyDescent="0.25">
      <c r="A142" s="15">
        <v>2005</v>
      </c>
      <c r="B142" s="15">
        <v>9</v>
      </c>
      <c r="C142" s="15">
        <v>22478.904952508401</v>
      </c>
      <c r="F142" s="15">
        <v>2005</v>
      </c>
      <c r="G142" s="15">
        <v>9</v>
      </c>
      <c r="H142" s="15">
        <v>22613.3853968525</v>
      </c>
      <c r="K142" s="18">
        <v>2005</v>
      </c>
      <c r="L142" s="18">
        <v>9</v>
      </c>
      <c r="M142" s="18">
        <v>22477.429027115501</v>
      </c>
      <c r="P142" s="15">
        <v>2005</v>
      </c>
      <c r="Q142" s="15">
        <v>9</v>
      </c>
      <c r="R142" s="15">
        <v>22613.3853968525</v>
      </c>
      <c r="T142" s="15">
        <v>2005</v>
      </c>
      <c r="U142" s="15">
        <v>9</v>
      </c>
      <c r="V142" s="15">
        <v>22564.220096697201</v>
      </c>
      <c r="X142" s="15">
        <v>2005</v>
      </c>
      <c r="Y142" s="15">
        <v>9</v>
      </c>
      <c r="Z142" s="15">
        <v>22561.0637831731</v>
      </c>
      <c r="AB142" s="15">
        <v>2005</v>
      </c>
      <c r="AC142" s="15">
        <v>9</v>
      </c>
      <c r="AD142" s="15">
        <v>22562.0040201702</v>
      </c>
      <c r="AF142" s="15">
        <v>2005</v>
      </c>
      <c r="AG142" s="15">
        <v>9</v>
      </c>
      <c r="AH142" s="15">
        <v>22569.483955709798</v>
      </c>
    </row>
    <row r="143" spans="1:34" x14ac:dyDescent="0.25">
      <c r="A143" s="15">
        <v>2005</v>
      </c>
      <c r="B143" s="15">
        <v>10</v>
      </c>
      <c r="C143" s="15">
        <v>25768.170723627001</v>
      </c>
      <c r="F143" s="15">
        <v>2005</v>
      </c>
      <c r="G143" s="15">
        <v>10</v>
      </c>
      <c r="H143" s="15">
        <v>25668.836623388499</v>
      </c>
      <c r="K143" s="18">
        <v>2005</v>
      </c>
      <c r="L143" s="18">
        <v>10</v>
      </c>
      <c r="M143" s="18">
        <v>25771.410502887</v>
      </c>
      <c r="P143" s="15">
        <v>2005</v>
      </c>
      <c r="Q143" s="15">
        <v>10</v>
      </c>
      <c r="R143" s="15">
        <v>25668.836623388499</v>
      </c>
      <c r="T143" s="15">
        <v>2005</v>
      </c>
      <c r="U143" s="15">
        <v>10</v>
      </c>
      <c r="V143" s="15">
        <v>26008.391334753</v>
      </c>
      <c r="X143" s="15">
        <v>2005</v>
      </c>
      <c r="Y143" s="15">
        <v>10</v>
      </c>
      <c r="Z143" s="15">
        <v>26016.205384337401</v>
      </c>
      <c r="AB143" s="15">
        <v>2005</v>
      </c>
      <c r="AC143" s="15">
        <v>10</v>
      </c>
      <c r="AD143" s="15">
        <v>26012.505115737</v>
      </c>
      <c r="AF143" s="15">
        <v>2005</v>
      </c>
      <c r="AG143" s="15">
        <v>10</v>
      </c>
      <c r="AH143" s="15">
        <v>25992.7827892815</v>
      </c>
    </row>
    <row r="144" spans="1:34" x14ac:dyDescent="0.25">
      <c r="A144" s="15">
        <v>2005</v>
      </c>
      <c r="B144" s="15">
        <v>11</v>
      </c>
      <c r="C144" s="15">
        <v>26469.4654207842</v>
      </c>
      <c r="F144" s="15">
        <v>2005</v>
      </c>
      <c r="G144" s="15">
        <v>11</v>
      </c>
      <c r="H144" s="15">
        <v>26615.0649893029</v>
      </c>
      <c r="K144" s="18">
        <v>2005</v>
      </c>
      <c r="L144" s="18">
        <v>11</v>
      </c>
      <c r="M144" s="18">
        <v>26468.1785168928</v>
      </c>
      <c r="P144" s="15">
        <v>2005</v>
      </c>
      <c r="Q144" s="15">
        <v>11</v>
      </c>
      <c r="R144" s="15">
        <v>26615.0649893029</v>
      </c>
      <c r="T144" s="15">
        <v>2005</v>
      </c>
      <c r="U144" s="15">
        <v>11</v>
      </c>
      <c r="V144" s="15">
        <v>26344.785376415501</v>
      </c>
      <c r="X144" s="15">
        <v>2005</v>
      </c>
      <c r="Y144" s="15">
        <v>11</v>
      </c>
      <c r="Z144" s="15">
        <v>26342.167301634901</v>
      </c>
      <c r="AB144" s="15">
        <v>2005</v>
      </c>
      <c r="AC144" s="15">
        <v>11</v>
      </c>
      <c r="AD144" s="15">
        <v>26342.300085523599</v>
      </c>
      <c r="AF144" s="15">
        <v>2005</v>
      </c>
      <c r="AG144" s="15">
        <v>11</v>
      </c>
      <c r="AH144" s="15">
        <v>26347.424063499599</v>
      </c>
    </row>
    <row r="145" spans="1:34" x14ac:dyDescent="0.25">
      <c r="A145" s="15">
        <v>2005</v>
      </c>
      <c r="B145" s="15">
        <v>12</v>
      </c>
      <c r="C145" s="15">
        <v>23924.901900940298</v>
      </c>
      <c r="F145" s="15">
        <v>2005</v>
      </c>
      <c r="G145" s="15">
        <v>12</v>
      </c>
      <c r="H145" s="15">
        <v>24018.641584453399</v>
      </c>
      <c r="K145" s="18">
        <v>2005</v>
      </c>
      <c r="L145" s="18">
        <v>12</v>
      </c>
      <c r="M145" s="18">
        <v>23924.863690169699</v>
      </c>
      <c r="P145" s="15">
        <v>2005</v>
      </c>
      <c r="Q145" s="15">
        <v>12</v>
      </c>
      <c r="R145" s="15">
        <v>24018.641584453399</v>
      </c>
      <c r="T145" s="15">
        <v>2005</v>
      </c>
      <c r="U145" s="15">
        <v>12</v>
      </c>
      <c r="V145" s="15">
        <v>23780.7155806271</v>
      </c>
      <c r="X145" s="15">
        <v>2005</v>
      </c>
      <c r="Y145" s="15">
        <v>12</v>
      </c>
      <c r="Z145" s="15">
        <v>23778.2649172813</v>
      </c>
      <c r="AB145" s="15">
        <v>2005</v>
      </c>
      <c r="AC145" s="15">
        <v>12</v>
      </c>
      <c r="AD145" s="15">
        <v>23776.221088250899</v>
      </c>
      <c r="AF145" s="15">
        <v>2005</v>
      </c>
      <c r="AG145" s="15">
        <v>12</v>
      </c>
      <c r="AH145" s="15">
        <v>23777.571468002901</v>
      </c>
    </row>
    <row r="146" spans="1:34" x14ac:dyDescent="0.25">
      <c r="A146" s="15">
        <v>2006</v>
      </c>
      <c r="B146" s="15">
        <v>1</v>
      </c>
      <c r="C146" s="15">
        <v>24025.451074824301</v>
      </c>
      <c r="F146" s="15">
        <v>2006</v>
      </c>
      <c r="G146" s="15">
        <v>1</v>
      </c>
      <c r="H146" s="15">
        <v>22836.512809011299</v>
      </c>
      <c r="K146" s="18">
        <v>2006</v>
      </c>
      <c r="L146" s="18">
        <v>1</v>
      </c>
      <c r="M146" s="18">
        <v>24026.426255603201</v>
      </c>
      <c r="P146" s="15">
        <v>2006</v>
      </c>
      <c r="Q146" s="15">
        <v>1</v>
      </c>
      <c r="R146" s="15">
        <v>22836.512809011299</v>
      </c>
      <c r="T146" s="15">
        <v>2006</v>
      </c>
      <c r="U146" s="15">
        <v>1</v>
      </c>
      <c r="V146" s="15">
        <v>27927.684866763298</v>
      </c>
      <c r="X146" s="15">
        <v>2006</v>
      </c>
      <c r="Y146" s="15">
        <v>1</v>
      </c>
      <c r="Z146" s="15">
        <v>27936.849675141999</v>
      </c>
      <c r="AB146" s="15">
        <v>2006</v>
      </c>
      <c r="AC146" s="15">
        <v>1</v>
      </c>
      <c r="AD146" s="15">
        <v>27943.899932635301</v>
      </c>
      <c r="AF146" s="15">
        <v>2006</v>
      </c>
      <c r="AG146" s="15">
        <v>1</v>
      </c>
      <c r="AH146" s="15">
        <v>27938.834134963101</v>
      </c>
    </row>
    <row r="147" spans="1:34" x14ac:dyDescent="0.25">
      <c r="A147" s="15">
        <v>2006</v>
      </c>
      <c r="B147" s="15">
        <v>2</v>
      </c>
      <c r="C147" s="15">
        <v>37098.589776487199</v>
      </c>
      <c r="F147" s="15">
        <v>2006</v>
      </c>
      <c r="G147" s="15">
        <v>2</v>
      </c>
      <c r="H147" s="15">
        <v>37122.137139622202</v>
      </c>
      <c r="K147" s="18">
        <v>2006</v>
      </c>
      <c r="L147" s="18">
        <v>2</v>
      </c>
      <c r="M147" s="18">
        <v>37098.252355193603</v>
      </c>
      <c r="P147" s="15">
        <v>2006</v>
      </c>
      <c r="Q147" s="15">
        <v>2</v>
      </c>
      <c r="R147" s="15">
        <v>37122.137139622202</v>
      </c>
      <c r="T147" s="15">
        <v>2006</v>
      </c>
      <c r="U147" s="15">
        <v>2</v>
      </c>
      <c r="V147" s="15">
        <v>32100.130622197099</v>
      </c>
      <c r="X147" s="15">
        <v>2006</v>
      </c>
      <c r="Y147" s="15">
        <v>2</v>
      </c>
      <c r="Z147" s="15">
        <v>32102.781758030302</v>
      </c>
      <c r="AB147" s="15">
        <v>2006</v>
      </c>
      <c r="AC147" s="15">
        <v>2</v>
      </c>
      <c r="AD147" s="15">
        <v>32101.4638962149</v>
      </c>
      <c r="AF147" s="15">
        <v>2006</v>
      </c>
      <c r="AG147" s="15">
        <v>2</v>
      </c>
      <c r="AH147" s="15">
        <v>32097.525010879199</v>
      </c>
    </row>
    <row r="148" spans="1:34" x14ac:dyDescent="0.25">
      <c r="A148" s="15">
        <v>2006</v>
      </c>
      <c r="B148" s="15">
        <v>3</v>
      </c>
      <c r="C148" s="15">
        <v>30651.7210499629</v>
      </c>
      <c r="F148" s="15">
        <v>2006</v>
      </c>
      <c r="G148" s="15">
        <v>3</v>
      </c>
      <c r="H148" s="15">
        <v>30859.725363584999</v>
      </c>
      <c r="K148" s="18">
        <v>2006</v>
      </c>
      <c r="L148" s="18">
        <v>3</v>
      </c>
      <c r="M148" s="18">
        <v>30649.656735837201</v>
      </c>
      <c r="P148" s="15">
        <v>2006</v>
      </c>
      <c r="Q148" s="15">
        <v>3</v>
      </c>
      <c r="R148" s="15">
        <v>30859.725363584999</v>
      </c>
      <c r="T148" s="15">
        <v>2006</v>
      </c>
      <c r="U148" s="15">
        <v>3</v>
      </c>
      <c r="V148" s="15">
        <v>30697.490225530299</v>
      </c>
      <c r="X148" s="15">
        <v>2006</v>
      </c>
      <c r="Y148" s="15">
        <v>3</v>
      </c>
      <c r="Z148" s="15">
        <v>30692.1295452513</v>
      </c>
      <c r="AB148" s="15">
        <v>2006</v>
      </c>
      <c r="AC148" s="15">
        <v>3</v>
      </c>
      <c r="AD148" s="15">
        <v>30693.217266308398</v>
      </c>
      <c r="AF148" s="15">
        <v>2006</v>
      </c>
      <c r="AG148" s="15">
        <v>3</v>
      </c>
      <c r="AH148" s="15">
        <v>30704.350043644699</v>
      </c>
    </row>
    <row r="149" spans="1:34" x14ac:dyDescent="0.25">
      <c r="A149" s="15">
        <v>2006</v>
      </c>
      <c r="B149" s="15">
        <v>4</v>
      </c>
      <c r="C149" s="15">
        <v>32927.243589007099</v>
      </c>
      <c r="F149" s="15">
        <v>2006</v>
      </c>
      <c r="G149" s="15">
        <v>4</v>
      </c>
      <c r="H149" s="15">
        <v>32834.848985042503</v>
      </c>
      <c r="K149" s="18">
        <v>2006</v>
      </c>
      <c r="L149" s="18">
        <v>4</v>
      </c>
      <c r="M149" s="18">
        <v>32930.922505394403</v>
      </c>
      <c r="P149" s="15">
        <v>2006</v>
      </c>
      <c r="Q149" s="15">
        <v>4</v>
      </c>
      <c r="R149" s="15">
        <v>32834.848985042503</v>
      </c>
      <c r="T149" s="15">
        <v>2006</v>
      </c>
      <c r="U149" s="15">
        <v>4</v>
      </c>
      <c r="V149" s="15">
        <v>33217.446461214902</v>
      </c>
      <c r="X149" s="15">
        <v>2006</v>
      </c>
      <c r="Y149" s="15">
        <v>4</v>
      </c>
      <c r="Z149" s="15">
        <v>33226.162225598397</v>
      </c>
      <c r="AB149" s="15">
        <v>2006</v>
      </c>
      <c r="AC149" s="15">
        <v>4</v>
      </c>
      <c r="AD149" s="15">
        <v>33221.611216987803</v>
      </c>
      <c r="AF149" s="15">
        <v>2006</v>
      </c>
      <c r="AG149" s="15">
        <v>4</v>
      </c>
      <c r="AH149" s="15">
        <v>33198.503635002402</v>
      </c>
    </row>
    <row r="150" spans="1:34" x14ac:dyDescent="0.25">
      <c r="A150" s="15">
        <v>2006</v>
      </c>
      <c r="B150" s="15">
        <v>5</v>
      </c>
      <c r="C150" s="15">
        <v>27957.927289549702</v>
      </c>
      <c r="F150" s="15">
        <v>2006</v>
      </c>
      <c r="G150" s="15">
        <v>5</v>
      </c>
      <c r="H150" s="15">
        <v>28173.775023956699</v>
      </c>
      <c r="K150" s="18">
        <v>2006</v>
      </c>
      <c r="L150" s="18">
        <v>5</v>
      </c>
      <c r="M150" s="18">
        <v>27955.449345991499</v>
      </c>
      <c r="P150" s="15">
        <v>2006</v>
      </c>
      <c r="Q150" s="15">
        <v>5</v>
      </c>
      <c r="R150" s="15">
        <v>28173.775023956699</v>
      </c>
      <c r="T150" s="15">
        <v>2006</v>
      </c>
      <c r="U150" s="15">
        <v>5</v>
      </c>
      <c r="V150" s="15">
        <v>27456.2515281126</v>
      </c>
      <c r="X150" s="15">
        <v>2006</v>
      </c>
      <c r="Y150" s="15">
        <v>5</v>
      </c>
      <c r="Z150" s="15">
        <v>27443.555696756801</v>
      </c>
      <c r="AB150" s="15">
        <v>2006</v>
      </c>
      <c r="AC150" s="15">
        <v>5</v>
      </c>
      <c r="AD150" s="15">
        <v>27448.2615296613</v>
      </c>
      <c r="AF150" s="15">
        <v>2006</v>
      </c>
      <c r="AG150" s="15">
        <v>5</v>
      </c>
      <c r="AH150" s="15">
        <v>27478.082617006399</v>
      </c>
    </row>
    <row r="151" spans="1:34" x14ac:dyDescent="0.25">
      <c r="A151" s="15">
        <v>2006</v>
      </c>
      <c r="B151" s="15">
        <v>6</v>
      </c>
      <c r="C151" s="15">
        <v>32181.588615450299</v>
      </c>
      <c r="F151" s="15">
        <v>2006</v>
      </c>
      <c r="G151" s="15">
        <v>6</v>
      </c>
      <c r="H151" s="15">
        <v>32264.9943868357</v>
      </c>
      <c r="K151" s="18">
        <v>2006</v>
      </c>
      <c r="L151" s="18">
        <v>6</v>
      </c>
      <c r="M151" s="18">
        <v>32181.134714861299</v>
      </c>
      <c r="P151" s="15">
        <v>2006</v>
      </c>
      <c r="Q151" s="15">
        <v>6</v>
      </c>
      <c r="R151" s="15">
        <v>32264.9943868357</v>
      </c>
      <c r="T151" s="15">
        <v>2006</v>
      </c>
      <c r="U151" s="15">
        <v>6</v>
      </c>
      <c r="V151" s="15">
        <v>31942.900352809302</v>
      </c>
      <c r="X151" s="15">
        <v>2006</v>
      </c>
      <c r="Y151" s="15">
        <v>6</v>
      </c>
      <c r="Z151" s="15">
        <v>31942.585907808501</v>
      </c>
      <c r="AB151" s="15">
        <v>2006</v>
      </c>
      <c r="AC151" s="15">
        <v>6</v>
      </c>
      <c r="AD151" s="15">
        <v>31942.3555402323</v>
      </c>
      <c r="AF151" s="15">
        <v>2006</v>
      </c>
      <c r="AG151" s="15">
        <v>6</v>
      </c>
      <c r="AH151" s="15">
        <v>31942.968566314401</v>
      </c>
    </row>
    <row r="152" spans="1:34" x14ac:dyDescent="0.25">
      <c r="A152" s="15">
        <v>2006</v>
      </c>
      <c r="B152" s="15">
        <v>7</v>
      </c>
      <c r="C152" s="15">
        <v>35101.032021816703</v>
      </c>
      <c r="F152" s="15">
        <v>2006</v>
      </c>
      <c r="G152" s="15">
        <v>7</v>
      </c>
      <c r="H152" s="15">
        <v>35020.346376063797</v>
      </c>
      <c r="K152" s="18">
        <v>2006</v>
      </c>
      <c r="L152" s="18">
        <v>7</v>
      </c>
      <c r="M152" s="18">
        <v>35103.276668533901</v>
      </c>
      <c r="P152" s="15">
        <v>2006</v>
      </c>
      <c r="Q152" s="15">
        <v>7</v>
      </c>
      <c r="R152" s="15">
        <v>35020.346376063797</v>
      </c>
      <c r="T152" s="15">
        <v>2006</v>
      </c>
      <c r="U152" s="15">
        <v>7</v>
      </c>
      <c r="V152" s="15">
        <v>35482.504407148401</v>
      </c>
      <c r="X152" s="15">
        <v>2006</v>
      </c>
      <c r="Y152" s="15">
        <v>7</v>
      </c>
      <c r="Z152" s="15">
        <v>35486.398352938602</v>
      </c>
      <c r="AB152" s="15">
        <v>2006</v>
      </c>
      <c r="AC152" s="15">
        <v>7</v>
      </c>
      <c r="AD152" s="15">
        <v>35483.950398446003</v>
      </c>
      <c r="AF152" s="15">
        <v>2006</v>
      </c>
      <c r="AG152" s="15">
        <v>7</v>
      </c>
      <c r="AH152" s="15">
        <v>35472.658129234398</v>
      </c>
    </row>
    <row r="153" spans="1:34" x14ac:dyDescent="0.25">
      <c r="A153" s="15">
        <v>2006</v>
      </c>
      <c r="B153" s="15">
        <v>8</v>
      </c>
      <c r="C153" s="15">
        <v>34107.145934519103</v>
      </c>
      <c r="F153" s="15">
        <v>2006</v>
      </c>
      <c r="G153" s="15">
        <v>8</v>
      </c>
      <c r="H153" s="15">
        <v>34243.111211917603</v>
      </c>
      <c r="K153" s="18">
        <v>2006</v>
      </c>
      <c r="L153" s="18">
        <v>8</v>
      </c>
      <c r="M153" s="18">
        <v>34105.200244352302</v>
      </c>
      <c r="P153" s="15">
        <v>2006</v>
      </c>
      <c r="Q153" s="15">
        <v>8</v>
      </c>
      <c r="R153" s="15">
        <v>34243.111211917603</v>
      </c>
      <c r="T153" s="15">
        <v>2006</v>
      </c>
      <c r="U153" s="15">
        <v>8</v>
      </c>
      <c r="V153" s="15">
        <v>34262.0614802653</v>
      </c>
      <c r="X153" s="15">
        <v>2006</v>
      </c>
      <c r="Y153" s="15">
        <v>8</v>
      </c>
      <c r="Z153" s="15">
        <v>34258.073163601097</v>
      </c>
      <c r="AB153" s="15">
        <v>2006</v>
      </c>
      <c r="AC153" s="15">
        <v>8</v>
      </c>
      <c r="AD153" s="15">
        <v>34259.561253689397</v>
      </c>
      <c r="AF153" s="15">
        <v>2006</v>
      </c>
      <c r="AG153" s="15">
        <v>8</v>
      </c>
      <c r="AH153" s="15">
        <v>34269.421324866802</v>
      </c>
    </row>
    <row r="154" spans="1:34" x14ac:dyDescent="0.25">
      <c r="A154" s="15">
        <v>2006</v>
      </c>
      <c r="B154" s="15">
        <v>9</v>
      </c>
      <c r="C154" s="15">
        <v>37470.115742730399</v>
      </c>
      <c r="F154" s="15">
        <v>2006</v>
      </c>
      <c r="G154" s="15">
        <v>9</v>
      </c>
      <c r="H154" s="15">
        <v>37417.347786430997</v>
      </c>
      <c r="K154" s="18">
        <v>2006</v>
      </c>
      <c r="L154" s="18">
        <v>9</v>
      </c>
      <c r="M154" s="18">
        <v>37471.521017773899</v>
      </c>
      <c r="P154" s="15">
        <v>2006</v>
      </c>
      <c r="Q154" s="15">
        <v>9</v>
      </c>
      <c r="R154" s="15">
        <v>37417.347786430997</v>
      </c>
      <c r="T154" s="15">
        <v>2006</v>
      </c>
      <c r="U154" s="15">
        <v>9</v>
      </c>
      <c r="V154" s="15">
        <v>37786.553020992404</v>
      </c>
      <c r="X154" s="15">
        <v>2006</v>
      </c>
      <c r="Y154" s="15">
        <v>9</v>
      </c>
      <c r="Z154" s="15">
        <v>37790.532662594997</v>
      </c>
      <c r="AB154" s="15">
        <v>2006</v>
      </c>
      <c r="AC154" s="15">
        <v>9</v>
      </c>
      <c r="AD154" s="15">
        <v>37788.905990539301</v>
      </c>
      <c r="AF154" s="15">
        <v>2006</v>
      </c>
      <c r="AG154" s="15">
        <v>9</v>
      </c>
      <c r="AH154" s="15">
        <v>37779.5858786963</v>
      </c>
    </row>
    <row r="155" spans="1:34" x14ac:dyDescent="0.25">
      <c r="A155" s="15">
        <v>2006</v>
      </c>
      <c r="B155" s="15">
        <v>10</v>
      </c>
      <c r="C155" s="15">
        <v>35506.373667759799</v>
      </c>
      <c r="F155" s="15">
        <v>2006</v>
      </c>
      <c r="G155" s="15">
        <v>10</v>
      </c>
      <c r="H155" s="15">
        <v>35498.493144889202</v>
      </c>
      <c r="K155" s="18">
        <v>2006</v>
      </c>
      <c r="L155" s="18">
        <v>10</v>
      </c>
      <c r="M155" s="18">
        <v>35506.763983448902</v>
      </c>
      <c r="P155" s="15">
        <v>2006</v>
      </c>
      <c r="Q155" s="15">
        <v>10</v>
      </c>
      <c r="R155" s="15">
        <v>35498.493144889202</v>
      </c>
      <c r="T155" s="15">
        <v>2006</v>
      </c>
      <c r="U155" s="15">
        <v>10</v>
      </c>
      <c r="V155" s="15">
        <v>35782.28558109</v>
      </c>
      <c r="X155" s="15">
        <v>2006</v>
      </c>
      <c r="Y155" s="15">
        <v>10</v>
      </c>
      <c r="Z155" s="15">
        <v>35783.760264689903</v>
      </c>
      <c r="AB155" s="15">
        <v>2006</v>
      </c>
      <c r="AC155" s="15">
        <v>10</v>
      </c>
      <c r="AD155" s="15">
        <v>35783.168258632701</v>
      </c>
      <c r="AF155" s="15">
        <v>2006</v>
      </c>
      <c r="AG155" s="15">
        <v>10</v>
      </c>
      <c r="AH155" s="15">
        <v>35780.034242700603</v>
      </c>
    </row>
    <row r="156" spans="1:34" x14ac:dyDescent="0.25">
      <c r="A156" s="15">
        <v>2006</v>
      </c>
      <c r="B156" s="15">
        <v>11</v>
      </c>
      <c r="C156" s="15">
        <v>39343.9951198454</v>
      </c>
      <c r="F156" s="15">
        <v>2006</v>
      </c>
      <c r="G156" s="15">
        <v>11</v>
      </c>
      <c r="H156" s="15">
        <v>39407.598641415803</v>
      </c>
      <c r="K156" s="18">
        <v>2006</v>
      </c>
      <c r="L156" s="18">
        <v>11</v>
      </c>
      <c r="M156" s="18">
        <v>39342.747192663803</v>
      </c>
      <c r="P156" s="15">
        <v>2006</v>
      </c>
      <c r="Q156" s="15">
        <v>11</v>
      </c>
      <c r="R156" s="15">
        <v>39407.598641415803</v>
      </c>
      <c r="T156" s="15">
        <v>2006</v>
      </c>
      <c r="U156" s="15">
        <v>11</v>
      </c>
      <c r="V156" s="15">
        <v>39258.310017190102</v>
      </c>
      <c r="X156" s="15">
        <v>2006</v>
      </c>
      <c r="Y156" s="15">
        <v>11</v>
      </c>
      <c r="Z156" s="15">
        <v>39257.127118760101</v>
      </c>
      <c r="AB156" s="15">
        <v>2006</v>
      </c>
      <c r="AC156" s="15">
        <v>11</v>
      </c>
      <c r="AD156" s="15">
        <v>39257.114734719602</v>
      </c>
      <c r="AF156" s="15">
        <v>2006</v>
      </c>
      <c r="AG156" s="15">
        <v>11</v>
      </c>
      <c r="AH156" s="15">
        <v>39259.739351432203</v>
      </c>
    </row>
    <row r="157" spans="1:34" x14ac:dyDescent="0.25">
      <c r="A157" s="15">
        <v>2006</v>
      </c>
      <c r="B157" s="15">
        <v>12</v>
      </c>
      <c r="C157" s="15">
        <v>41635.224752626702</v>
      </c>
      <c r="F157" s="15">
        <v>2006</v>
      </c>
      <c r="G157" s="15">
        <v>12</v>
      </c>
      <c r="H157" s="15">
        <v>41485.322729848602</v>
      </c>
      <c r="K157" s="18">
        <v>2006</v>
      </c>
      <c r="L157" s="18">
        <v>12</v>
      </c>
      <c r="M157" s="18">
        <v>41637.786913452699</v>
      </c>
      <c r="P157" s="15">
        <v>2006</v>
      </c>
      <c r="Q157" s="15">
        <v>12</v>
      </c>
      <c r="R157" s="15">
        <v>41485.322729848602</v>
      </c>
      <c r="T157" s="15">
        <v>2006</v>
      </c>
      <c r="U157" s="15">
        <v>12</v>
      </c>
      <c r="V157" s="15">
        <v>41677.627700402903</v>
      </c>
      <c r="X157" s="15">
        <v>2006</v>
      </c>
      <c r="Y157" s="15">
        <v>12</v>
      </c>
      <c r="Z157" s="15">
        <v>41683.187378388</v>
      </c>
      <c r="AB157" s="15">
        <v>2006</v>
      </c>
      <c r="AC157" s="15">
        <v>12</v>
      </c>
      <c r="AD157" s="15">
        <v>41678.471110092803</v>
      </c>
      <c r="AF157" s="15">
        <v>2006</v>
      </c>
      <c r="AG157" s="15">
        <v>12</v>
      </c>
      <c r="AH157" s="15">
        <v>41661.1612208718</v>
      </c>
    </row>
    <row r="158" spans="1:34" x14ac:dyDescent="0.25">
      <c r="A158" s="15">
        <v>2007</v>
      </c>
      <c r="B158" s="15">
        <v>1</v>
      </c>
      <c r="C158" s="15">
        <v>28324.066804240301</v>
      </c>
      <c r="F158" s="15">
        <v>2007</v>
      </c>
      <c r="G158" s="15">
        <v>1</v>
      </c>
      <c r="H158" s="15">
        <v>27602.0048660639</v>
      </c>
      <c r="K158" s="18">
        <v>2007</v>
      </c>
      <c r="L158" s="18">
        <v>1</v>
      </c>
      <c r="M158" s="18">
        <v>28322.1439111695</v>
      </c>
      <c r="P158" s="15">
        <v>2007</v>
      </c>
      <c r="Q158" s="15">
        <v>1</v>
      </c>
      <c r="R158" s="15">
        <v>27602.0048660639</v>
      </c>
      <c r="T158" s="15">
        <v>2007</v>
      </c>
      <c r="U158" s="15">
        <v>1</v>
      </c>
      <c r="V158" s="15">
        <v>31711.9273869018</v>
      </c>
      <c r="X158" s="15">
        <v>2007</v>
      </c>
      <c r="Y158" s="15">
        <v>1</v>
      </c>
      <c r="Z158" s="15">
        <v>31711.522548970199</v>
      </c>
      <c r="AB158" s="15">
        <v>2007</v>
      </c>
      <c r="AC158" s="15">
        <v>1</v>
      </c>
      <c r="AD158" s="15">
        <v>31721.027267252401</v>
      </c>
      <c r="AF158" s="15">
        <v>2007</v>
      </c>
      <c r="AG158" s="15">
        <v>1</v>
      </c>
      <c r="AH158" s="15">
        <v>31737.600391410801</v>
      </c>
    </row>
    <row r="159" spans="1:34" x14ac:dyDescent="0.25">
      <c r="A159" s="15">
        <v>2007</v>
      </c>
      <c r="B159" s="15">
        <v>2</v>
      </c>
      <c r="C159" s="15">
        <v>45613.553675491501</v>
      </c>
      <c r="F159" s="15">
        <v>2007</v>
      </c>
      <c r="G159" s="15">
        <v>2</v>
      </c>
      <c r="H159" s="15">
        <v>45931.861131327001</v>
      </c>
      <c r="K159" s="18">
        <v>2007</v>
      </c>
      <c r="L159" s="18">
        <v>2</v>
      </c>
      <c r="M159" s="18">
        <v>45612.5440571156</v>
      </c>
      <c r="P159" s="15">
        <v>2007</v>
      </c>
      <c r="Q159" s="15">
        <v>2</v>
      </c>
      <c r="R159" s="15">
        <v>45931.861131327001</v>
      </c>
      <c r="T159" s="15">
        <v>2007</v>
      </c>
      <c r="U159" s="15">
        <v>2</v>
      </c>
      <c r="V159" s="15">
        <v>39981.7352237468</v>
      </c>
      <c r="X159" s="15">
        <v>2007</v>
      </c>
      <c r="Y159" s="15">
        <v>2</v>
      </c>
      <c r="Z159" s="15">
        <v>39980.940180090001</v>
      </c>
      <c r="AB159" s="15">
        <v>2007</v>
      </c>
      <c r="AC159" s="15">
        <v>2</v>
      </c>
      <c r="AD159" s="15">
        <v>39978.430894340199</v>
      </c>
      <c r="AF159" s="15">
        <v>2007</v>
      </c>
      <c r="AG159" s="15">
        <v>2</v>
      </c>
      <c r="AH159" s="15">
        <v>39977.495800005898</v>
      </c>
    </row>
    <row r="160" spans="1:34" x14ac:dyDescent="0.25">
      <c r="A160" s="15">
        <v>2007</v>
      </c>
      <c r="B160" s="15">
        <v>3</v>
      </c>
      <c r="C160" s="15">
        <v>42684.680748393403</v>
      </c>
      <c r="F160" s="15">
        <v>2007</v>
      </c>
      <c r="G160" s="15">
        <v>3</v>
      </c>
      <c r="H160" s="15">
        <v>42631.597508307197</v>
      </c>
      <c r="K160" s="18">
        <v>2007</v>
      </c>
      <c r="L160" s="18">
        <v>3</v>
      </c>
      <c r="M160" s="18">
        <v>42685.593002742899</v>
      </c>
      <c r="P160" s="15">
        <v>2007</v>
      </c>
      <c r="Q160" s="15">
        <v>3</v>
      </c>
      <c r="R160" s="15">
        <v>42631.597508307197</v>
      </c>
      <c r="T160" s="15">
        <v>2007</v>
      </c>
      <c r="U160" s="15">
        <v>3</v>
      </c>
      <c r="V160" s="15">
        <v>43062.851780285899</v>
      </c>
      <c r="X160" s="15">
        <v>2007</v>
      </c>
      <c r="Y160" s="15">
        <v>3</v>
      </c>
      <c r="Z160" s="15">
        <v>43065.209494269096</v>
      </c>
      <c r="AB160" s="15">
        <v>2007</v>
      </c>
      <c r="AC160" s="15">
        <v>3</v>
      </c>
      <c r="AD160" s="15">
        <v>43063.884203431102</v>
      </c>
      <c r="AF160" s="15">
        <v>2007</v>
      </c>
      <c r="AG160" s="15">
        <v>3</v>
      </c>
      <c r="AH160" s="15">
        <v>43057.214143723097</v>
      </c>
    </row>
    <row r="161" spans="1:34" x14ac:dyDescent="0.25">
      <c r="A161" s="15">
        <v>2007</v>
      </c>
      <c r="B161" s="15">
        <v>4</v>
      </c>
      <c r="C161" s="15">
        <v>39225.891006366001</v>
      </c>
      <c r="F161" s="15">
        <v>2007</v>
      </c>
      <c r="G161" s="15">
        <v>4</v>
      </c>
      <c r="H161" s="15">
        <v>39195.440586154298</v>
      </c>
      <c r="K161" s="18">
        <v>2007</v>
      </c>
      <c r="L161" s="18">
        <v>4</v>
      </c>
      <c r="M161" s="18">
        <v>39226.763276010402</v>
      </c>
      <c r="P161" s="15">
        <v>2007</v>
      </c>
      <c r="Q161" s="15">
        <v>4</v>
      </c>
      <c r="R161" s="15">
        <v>39195.440586154298</v>
      </c>
      <c r="T161" s="15">
        <v>2007</v>
      </c>
      <c r="U161" s="15">
        <v>4</v>
      </c>
      <c r="V161" s="15">
        <v>39580.756370272502</v>
      </c>
      <c r="X161" s="15">
        <v>2007</v>
      </c>
      <c r="Y161" s="15">
        <v>4</v>
      </c>
      <c r="Z161" s="15">
        <v>39583.227432419997</v>
      </c>
      <c r="AB161" s="15">
        <v>2007</v>
      </c>
      <c r="AC161" s="15">
        <v>4</v>
      </c>
      <c r="AD161" s="15">
        <v>39581.829944707701</v>
      </c>
      <c r="AF161" s="15">
        <v>2007</v>
      </c>
      <c r="AG161" s="15">
        <v>4</v>
      </c>
      <c r="AH161" s="15">
        <v>39574.923251637898</v>
      </c>
    </row>
    <row r="162" spans="1:34" x14ac:dyDescent="0.25">
      <c r="A162" s="15">
        <v>2007</v>
      </c>
      <c r="B162" s="15">
        <v>5</v>
      </c>
      <c r="C162" s="15">
        <v>40877.998585269102</v>
      </c>
      <c r="F162" s="15">
        <v>2007</v>
      </c>
      <c r="G162" s="15">
        <v>5</v>
      </c>
      <c r="H162" s="15">
        <v>41047.667450906403</v>
      </c>
      <c r="K162" s="18">
        <v>2007</v>
      </c>
      <c r="L162" s="18">
        <v>5</v>
      </c>
      <c r="M162" s="18">
        <v>40875.340776310702</v>
      </c>
      <c r="P162" s="15">
        <v>2007</v>
      </c>
      <c r="Q162" s="15">
        <v>5</v>
      </c>
      <c r="R162" s="15">
        <v>41047.667450906403</v>
      </c>
      <c r="T162" s="15">
        <v>2007</v>
      </c>
      <c r="U162" s="15">
        <v>5</v>
      </c>
      <c r="V162" s="15">
        <v>40510.644933400297</v>
      </c>
      <c r="X162" s="15">
        <v>2007</v>
      </c>
      <c r="Y162" s="15">
        <v>5</v>
      </c>
      <c r="Z162" s="15">
        <v>40497.789514245502</v>
      </c>
      <c r="AB162" s="15">
        <v>2007</v>
      </c>
      <c r="AC162" s="15">
        <v>5</v>
      </c>
      <c r="AD162" s="15">
        <v>40502.971250521798</v>
      </c>
      <c r="AF162" s="15">
        <v>2007</v>
      </c>
      <c r="AG162" s="15">
        <v>5</v>
      </c>
      <c r="AH162" s="15">
        <v>40533.7893064046</v>
      </c>
    </row>
    <row r="163" spans="1:34" x14ac:dyDescent="0.25">
      <c r="A163" s="15">
        <v>2007</v>
      </c>
      <c r="B163" s="15">
        <v>6</v>
      </c>
      <c r="C163" s="15">
        <v>44768.791808852802</v>
      </c>
      <c r="F163" s="15">
        <v>2007</v>
      </c>
      <c r="G163" s="15">
        <v>6</v>
      </c>
      <c r="H163" s="15">
        <v>44624.454094578097</v>
      </c>
      <c r="K163" s="18">
        <v>2007</v>
      </c>
      <c r="L163" s="18">
        <v>6</v>
      </c>
      <c r="M163" s="18">
        <v>44771.774013904404</v>
      </c>
      <c r="P163" s="15">
        <v>2007</v>
      </c>
      <c r="Q163" s="15">
        <v>6</v>
      </c>
      <c r="R163" s="15">
        <v>44624.454094578097</v>
      </c>
      <c r="T163" s="15">
        <v>2007</v>
      </c>
      <c r="U163" s="15">
        <v>6</v>
      </c>
      <c r="V163" s="15">
        <v>44599.764399139603</v>
      </c>
      <c r="X163" s="15">
        <v>2007</v>
      </c>
      <c r="Y163" s="15">
        <v>6</v>
      </c>
      <c r="Z163" s="15">
        <v>44607.9756356285</v>
      </c>
      <c r="AB163" s="15">
        <v>2007</v>
      </c>
      <c r="AC163" s="15">
        <v>6</v>
      </c>
      <c r="AD163" s="15">
        <v>44604.642893125703</v>
      </c>
      <c r="AF163" s="15">
        <v>2007</v>
      </c>
      <c r="AG163" s="15">
        <v>6</v>
      </c>
      <c r="AH163" s="15">
        <v>44585.078376473197</v>
      </c>
    </row>
    <row r="164" spans="1:34" x14ac:dyDescent="0.25">
      <c r="A164" s="15">
        <v>2007</v>
      </c>
      <c r="B164" s="15">
        <v>7</v>
      </c>
      <c r="C164" s="15">
        <v>38896.099098931001</v>
      </c>
      <c r="F164" s="15">
        <v>2007</v>
      </c>
      <c r="G164" s="15">
        <v>7</v>
      </c>
      <c r="H164" s="15">
        <v>38942.166045130398</v>
      </c>
      <c r="K164" s="18">
        <v>2007</v>
      </c>
      <c r="L164" s="18">
        <v>7</v>
      </c>
      <c r="M164" s="18">
        <v>38896.100861145504</v>
      </c>
      <c r="P164" s="15">
        <v>2007</v>
      </c>
      <c r="Q164" s="15">
        <v>7</v>
      </c>
      <c r="R164" s="15">
        <v>38942.166045130398</v>
      </c>
      <c r="T164" s="15">
        <v>2007</v>
      </c>
      <c r="U164" s="15">
        <v>7</v>
      </c>
      <c r="V164" s="15">
        <v>39295.935553987299</v>
      </c>
      <c r="X164" s="15">
        <v>2007</v>
      </c>
      <c r="Y164" s="15">
        <v>7</v>
      </c>
      <c r="Z164" s="15">
        <v>39293.6621293551</v>
      </c>
      <c r="AB164" s="15">
        <v>2007</v>
      </c>
      <c r="AC164" s="15">
        <v>7</v>
      </c>
      <c r="AD164" s="15">
        <v>39293.590619039896</v>
      </c>
      <c r="AF164" s="15">
        <v>2007</v>
      </c>
      <c r="AG164" s="15">
        <v>7</v>
      </c>
      <c r="AH164" s="15">
        <v>39297.2354187276</v>
      </c>
    </row>
    <row r="165" spans="1:34" x14ac:dyDescent="0.25">
      <c r="A165" s="15">
        <v>2007</v>
      </c>
      <c r="B165" s="15">
        <v>8</v>
      </c>
      <c r="C165" s="15">
        <v>43809.942645720097</v>
      </c>
      <c r="F165" s="15">
        <v>2007</v>
      </c>
      <c r="G165" s="15">
        <v>8</v>
      </c>
      <c r="H165" s="15">
        <v>43943.3306922829</v>
      </c>
      <c r="K165" s="18">
        <v>2007</v>
      </c>
      <c r="L165" s="18">
        <v>8</v>
      </c>
      <c r="M165" s="18">
        <v>43807.5408578633</v>
      </c>
      <c r="P165" s="15">
        <v>2007</v>
      </c>
      <c r="Q165" s="15">
        <v>8</v>
      </c>
      <c r="R165" s="15">
        <v>43943.3306922829</v>
      </c>
      <c r="T165" s="15">
        <v>2007</v>
      </c>
      <c r="U165" s="15">
        <v>8</v>
      </c>
      <c r="V165" s="15">
        <v>44060.971532508796</v>
      </c>
      <c r="X165" s="15">
        <v>2007</v>
      </c>
      <c r="Y165" s="15">
        <v>8</v>
      </c>
      <c r="Z165" s="15">
        <v>44056.036415286297</v>
      </c>
      <c r="AB165" s="15">
        <v>2007</v>
      </c>
      <c r="AC165" s="15">
        <v>8</v>
      </c>
      <c r="AD165" s="15">
        <v>44058.170223347799</v>
      </c>
      <c r="AF165" s="15">
        <v>2007</v>
      </c>
      <c r="AG165" s="15">
        <v>8</v>
      </c>
      <c r="AH165" s="15">
        <v>44070.7941910558</v>
      </c>
    </row>
    <row r="166" spans="1:34" x14ac:dyDescent="0.25">
      <c r="A166" s="15">
        <v>2007</v>
      </c>
      <c r="B166" s="15">
        <v>9</v>
      </c>
      <c r="C166" s="15">
        <v>42471.577274850199</v>
      </c>
      <c r="F166" s="15">
        <v>2007</v>
      </c>
      <c r="G166" s="15">
        <v>9</v>
      </c>
      <c r="H166" s="15">
        <v>42238.494214675302</v>
      </c>
      <c r="K166" s="18">
        <v>2007</v>
      </c>
      <c r="L166" s="18">
        <v>9</v>
      </c>
      <c r="M166" s="18">
        <v>42476.027192037604</v>
      </c>
      <c r="P166" s="15">
        <v>2007</v>
      </c>
      <c r="Q166" s="15">
        <v>9</v>
      </c>
      <c r="R166" s="15">
        <v>42238.494214675302</v>
      </c>
      <c r="T166" s="15">
        <v>2007</v>
      </c>
      <c r="U166" s="15">
        <v>9</v>
      </c>
      <c r="V166" s="15">
        <v>43014.627982588201</v>
      </c>
      <c r="X166" s="15">
        <v>2007</v>
      </c>
      <c r="Y166" s="15">
        <v>9</v>
      </c>
      <c r="Z166" s="15">
        <v>43026.069728363502</v>
      </c>
      <c r="AB166" s="15">
        <v>2007</v>
      </c>
      <c r="AC166" s="15">
        <v>9</v>
      </c>
      <c r="AD166" s="15">
        <v>43021.685532412703</v>
      </c>
      <c r="AF166" s="15">
        <v>2007</v>
      </c>
      <c r="AG166" s="15">
        <v>9</v>
      </c>
      <c r="AH166" s="15">
        <v>42994.689731852297</v>
      </c>
    </row>
    <row r="167" spans="1:34" x14ac:dyDescent="0.25">
      <c r="A167" s="15">
        <v>2007</v>
      </c>
      <c r="B167" s="15">
        <v>10</v>
      </c>
      <c r="C167" s="15">
        <v>44858.8674823283</v>
      </c>
      <c r="F167" s="15">
        <v>2007</v>
      </c>
      <c r="G167" s="15">
        <v>10</v>
      </c>
      <c r="H167" s="15">
        <v>44960.489099177503</v>
      </c>
      <c r="K167" s="18">
        <v>2007</v>
      </c>
      <c r="L167" s="18">
        <v>10</v>
      </c>
      <c r="M167" s="18">
        <v>44856.396694586401</v>
      </c>
      <c r="P167" s="15">
        <v>2007</v>
      </c>
      <c r="Q167" s="15">
        <v>10</v>
      </c>
      <c r="R167" s="15">
        <v>44960.489099177503</v>
      </c>
      <c r="T167" s="15">
        <v>2007</v>
      </c>
      <c r="U167" s="15">
        <v>10</v>
      </c>
      <c r="V167" s="15">
        <v>45141.811366435199</v>
      </c>
      <c r="X167" s="15">
        <v>2007</v>
      </c>
      <c r="Y167" s="15">
        <v>10</v>
      </c>
      <c r="Z167" s="15">
        <v>45136.812821808897</v>
      </c>
      <c r="AB167" s="15">
        <v>2007</v>
      </c>
      <c r="AC167" s="15">
        <v>10</v>
      </c>
      <c r="AD167" s="15">
        <v>45139.314071287001</v>
      </c>
      <c r="AF167" s="15">
        <v>2007</v>
      </c>
      <c r="AG167" s="15">
        <v>10</v>
      </c>
      <c r="AH167" s="15">
        <v>45153.0552551172</v>
      </c>
    </row>
    <row r="168" spans="1:34" x14ac:dyDescent="0.25">
      <c r="A168" s="15">
        <v>2007</v>
      </c>
      <c r="B168" s="15">
        <v>11</v>
      </c>
      <c r="C168" s="15">
        <v>49118.638741753799</v>
      </c>
      <c r="F168" s="15">
        <v>2007</v>
      </c>
      <c r="G168" s="15">
        <v>11</v>
      </c>
      <c r="H168" s="15">
        <v>49133.926643152197</v>
      </c>
      <c r="K168" s="18">
        <v>2007</v>
      </c>
      <c r="L168" s="18">
        <v>11</v>
      </c>
      <c r="M168" s="18">
        <v>49117.256957993202</v>
      </c>
      <c r="P168" s="15">
        <v>2007</v>
      </c>
      <c r="Q168" s="15">
        <v>11</v>
      </c>
      <c r="R168" s="15">
        <v>49133.926643152197</v>
      </c>
      <c r="T168" s="15">
        <v>2007</v>
      </c>
      <c r="U168" s="15">
        <v>11</v>
      </c>
      <c r="V168" s="15">
        <v>48995.970561285401</v>
      </c>
      <c r="X168" s="15">
        <v>2007</v>
      </c>
      <c r="Y168" s="15">
        <v>11</v>
      </c>
      <c r="Z168" s="15">
        <v>48995.657518093503</v>
      </c>
      <c r="AB168" s="15">
        <v>2007</v>
      </c>
      <c r="AC168" s="15">
        <v>11</v>
      </c>
      <c r="AD168" s="15">
        <v>48995.688033927203</v>
      </c>
      <c r="AF168" s="15">
        <v>2007</v>
      </c>
      <c r="AG168" s="15">
        <v>11</v>
      </c>
      <c r="AH168" s="15">
        <v>48997.358194467401</v>
      </c>
    </row>
    <row r="169" spans="1:34" x14ac:dyDescent="0.25">
      <c r="A169" s="15">
        <v>2007</v>
      </c>
      <c r="B169" s="15">
        <v>12</v>
      </c>
      <c r="C169" s="15">
        <v>50618.741624896204</v>
      </c>
      <c r="F169" s="15">
        <v>2007</v>
      </c>
      <c r="G169" s="15">
        <v>12</v>
      </c>
      <c r="H169" s="15">
        <v>50391.873726159298</v>
      </c>
      <c r="K169" s="18">
        <v>2007</v>
      </c>
      <c r="L169" s="18">
        <v>12</v>
      </c>
      <c r="M169" s="18">
        <v>50621.297127998099</v>
      </c>
      <c r="P169" s="15">
        <v>2007</v>
      </c>
      <c r="Q169" s="15">
        <v>12</v>
      </c>
      <c r="R169" s="15">
        <v>50391.873726159298</v>
      </c>
      <c r="T169" s="15">
        <v>2007</v>
      </c>
      <c r="U169" s="15">
        <v>12</v>
      </c>
      <c r="V169" s="15">
        <v>50639.040921607302</v>
      </c>
      <c r="X169" s="15">
        <v>2007</v>
      </c>
      <c r="Y169" s="15">
        <v>12</v>
      </c>
      <c r="Z169" s="15">
        <v>50646.328130264199</v>
      </c>
      <c r="AB169" s="15">
        <v>2007</v>
      </c>
      <c r="AC169" s="15">
        <v>12</v>
      </c>
      <c r="AD169" s="15">
        <v>50642.032281315398</v>
      </c>
      <c r="AF169" s="15">
        <v>2007</v>
      </c>
      <c r="AG169" s="15">
        <v>12</v>
      </c>
      <c r="AH169" s="15">
        <v>50622.945797989698</v>
      </c>
    </row>
    <row r="170" spans="1:34" x14ac:dyDescent="0.25">
      <c r="A170" s="15">
        <v>2008</v>
      </c>
      <c r="B170" s="15">
        <v>1</v>
      </c>
      <c r="C170" s="15">
        <v>53336.930540701898</v>
      </c>
      <c r="F170" s="15">
        <v>2008</v>
      </c>
      <c r="G170" s="15">
        <v>1</v>
      </c>
      <c r="H170" s="15">
        <v>52962.018889017003</v>
      </c>
      <c r="K170" s="18">
        <v>2008</v>
      </c>
      <c r="L170" s="18">
        <v>1</v>
      </c>
      <c r="M170" s="18">
        <v>53334.4929733885</v>
      </c>
      <c r="P170" s="15">
        <v>2008</v>
      </c>
      <c r="Q170" s="15">
        <v>1</v>
      </c>
      <c r="R170" s="15">
        <v>52962.018889017003</v>
      </c>
      <c r="T170" s="15">
        <v>2008</v>
      </c>
      <c r="U170" s="15">
        <v>1</v>
      </c>
      <c r="V170" s="15">
        <v>56160.439853375698</v>
      </c>
      <c r="X170" s="15">
        <v>2008</v>
      </c>
      <c r="Y170" s="15">
        <v>1</v>
      </c>
      <c r="Z170" s="15">
        <v>56157.841926677502</v>
      </c>
      <c r="AB170" s="15">
        <v>2008</v>
      </c>
      <c r="AC170" s="15">
        <v>1</v>
      </c>
      <c r="AD170" s="15">
        <v>56166.524963177202</v>
      </c>
      <c r="AF170" s="15">
        <v>2008</v>
      </c>
      <c r="AG170" s="15">
        <v>1</v>
      </c>
      <c r="AH170" s="15">
        <v>56186.674357140102</v>
      </c>
    </row>
    <row r="171" spans="1:34" x14ac:dyDescent="0.25">
      <c r="A171" s="15">
        <v>2008</v>
      </c>
      <c r="B171" s="15">
        <v>2</v>
      </c>
      <c r="C171" s="15">
        <v>41855.7365369084</v>
      </c>
      <c r="F171" s="15">
        <v>2008</v>
      </c>
      <c r="G171" s="15">
        <v>2</v>
      </c>
      <c r="H171" s="15">
        <v>44071.380781770204</v>
      </c>
      <c r="K171" s="18">
        <v>2008</v>
      </c>
      <c r="L171" s="18">
        <v>2</v>
      </c>
      <c r="M171" s="18">
        <v>41851.360191208798</v>
      </c>
      <c r="P171" s="15">
        <v>2008</v>
      </c>
      <c r="Q171" s="15">
        <v>2</v>
      </c>
      <c r="R171" s="15">
        <v>44071.380781770204</v>
      </c>
      <c r="T171" s="15">
        <v>2008</v>
      </c>
      <c r="U171" s="15">
        <v>2</v>
      </c>
      <c r="V171" s="15">
        <v>39820.314173053703</v>
      </c>
      <c r="X171" s="15">
        <v>2008</v>
      </c>
      <c r="Y171" s="15">
        <v>2</v>
      </c>
      <c r="Z171" s="15">
        <v>39798.245946247698</v>
      </c>
      <c r="AB171" s="15">
        <v>2008</v>
      </c>
      <c r="AC171" s="15">
        <v>2</v>
      </c>
      <c r="AD171" s="15">
        <v>39794.162980228197</v>
      </c>
      <c r="AF171" s="15">
        <v>2008</v>
      </c>
      <c r="AG171" s="15">
        <v>2</v>
      </c>
      <c r="AH171" s="15">
        <v>39811.539260715203</v>
      </c>
    </row>
    <row r="172" spans="1:34" x14ac:dyDescent="0.25">
      <c r="A172" s="15">
        <v>2008</v>
      </c>
      <c r="B172" s="15">
        <v>3</v>
      </c>
      <c r="C172" s="15">
        <v>48018.647772857199</v>
      </c>
      <c r="F172" s="15">
        <v>2008</v>
      </c>
      <c r="G172" s="15">
        <v>3</v>
      </c>
      <c r="H172" s="15">
        <v>47734.636381426797</v>
      </c>
      <c r="K172" s="18">
        <v>2008</v>
      </c>
      <c r="L172" s="18">
        <v>3</v>
      </c>
      <c r="M172" s="18">
        <v>48022.626159108098</v>
      </c>
      <c r="P172" s="15">
        <v>2008</v>
      </c>
      <c r="Q172" s="15">
        <v>3</v>
      </c>
      <c r="R172" s="15">
        <v>47734.636381426797</v>
      </c>
      <c r="T172" s="15">
        <v>2008</v>
      </c>
      <c r="U172" s="15">
        <v>3</v>
      </c>
      <c r="V172" s="15">
        <v>48559.963829753702</v>
      </c>
      <c r="X172" s="15">
        <v>2008</v>
      </c>
      <c r="Y172" s="15">
        <v>3</v>
      </c>
      <c r="Z172" s="15">
        <v>48568.595983081803</v>
      </c>
      <c r="AB172" s="15">
        <v>2008</v>
      </c>
      <c r="AC172" s="15">
        <v>3</v>
      </c>
      <c r="AD172" s="15">
        <v>48565.462603221698</v>
      </c>
      <c r="AF172" s="15">
        <v>2008</v>
      </c>
      <c r="AG172" s="15">
        <v>3</v>
      </c>
      <c r="AH172" s="15">
        <v>48543.316839879102</v>
      </c>
    </row>
    <row r="173" spans="1:34" x14ac:dyDescent="0.25">
      <c r="A173" s="15">
        <v>2008</v>
      </c>
      <c r="B173" s="15">
        <v>4</v>
      </c>
      <c r="C173" s="15">
        <v>50297.898156974901</v>
      </c>
      <c r="F173" s="15">
        <v>2008</v>
      </c>
      <c r="G173" s="15">
        <v>4</v>
      </c>
      <c r="H173" s="15">
        <v>50337.499662414702</v>
      </c>
      <c r="K173" s="18">
        <v>2008</v>
      </c>
      <c r="L173" s="18">
        <v>4</v>
      </c>
      <c r="M173" s="18">
        <v>50296.291351246298</v>
      </c>
      <c r="P173" s="15">
        <v>2008</v>
      </c>
      <c r="Q173" s="15">
        <v>4</v>
      </c>
      <c r="R173" s="15">
        <v>50337.499662414702</v>
      </c>
      <c r="T173" s="15">
        <v>2008</v>
      </c>
      <c r="U173" s="15">
        <v>4</v>
      </c>
      <c r="V173" s="15">
        <v>50598.845365618101</v>
      </c>
      <c r="X173" s="15">
        <v>2008</v>
      </c>
      <c r="Y173" s="15">
        <v>4</v>
      </c>
      <c r="Z173" s="15">
        <v>50596.005771889897</v>
      </c>
      <c r="AB173" s="15">
        <v>2008</v>
      </c>
      <c r="AC173" s="15">
        <v>4</v>
      </c>
      <c r="AD173" s="15">
        <v>50597.5660543794</v>
      </c>
      <c r="AF173" s="15">
        <v>2008</v>
      </c>
      <c r="AG173" s="15">
        <v>4</v>
      </c>
      <c r="AH173" s="15">
        <v>50605.667423945502</v>
      </c>
    </row>
    <row r="174" spans="1:34" x14ac:dyDescent="0.25">
      <c r="A174" s="15">
        <v>2008</v>
      </c>
      <c r="B174" s="15">
        <v>5</v>
      </c>
      <c r="C174" s="15">
        <v>50535.426957375799</v>
      </c>
      <c r="F174" s="15">
        <v>2008</v>
      </c>
      <c r="G174" s="15">
        <v>5</v>
      </c>
      <c r="H174" s="15">
        <v>50518.896564757</v>
      </c>
      <c r="K174" s="18">
        <v>2008</v>
      </c>
      <c r="L174" s="18">
        <v>5</v>
      </c>
      <c r="M174" s="18">
        <v>50535.622191615199</v>
      </c>
      <c r="P174" s="15">
        <v>2008</v>
      </c>
      <c r="Q174" s="15">
        <v>5</v>
      </c>
      <c r="R174" s="15">
        <v>50518.896564757</v>
      </c>
      <c r="T174" s="15">
        <v>2008</v>
      </c>
      <c r="U174" s="15">
        <v>5</v>
      </c>
      <c r="V174" s="15">
        <v>50503.2997335822</v>
      </c>
      <c r="X174" s="15">
        <v>2008</v>
      </c>
      <c r="Y174" s="15">
        <v>5</v>
      </c>
      <c r="Z174" s="15">
        <v>50499.779617420703</v>
      </c>
      <c r="AB174" s="15">
        <v>2008</v>
      </c>
      <c r="AC174" s="15">
        <v>5</v>
      </c>
      <c r="AD174" s="15">
        <v>50501.5666931917</v>
      </c>
      <c r="AF174" s="15">
        <v>2008</v>
      </c>
      <c r="AG174" s="15">
        <v>5</v>
      </c>
      <c r="AH174" s="15">
        <v>50510.805766525402</v>
      </c>
    </row>
    <row r="175" spans="1:34" x14ac:dyDescent="0.25">
      <c r="A175" s="15">
        <v>2008</v>
      </c>
      <c r="B175" s="15">
        <v>6</v>
      </c>
      <c r="C175" s="15">
        <v>46090.4682932082</v>
      </c>
      <c r="F175" s="15">
        <v>2008</v>
      </c>
      <c r="G175" s="15">
        <v>6</v>
      </c>
      <c r="H175" s="15">
        <v>45908.078613160098</v>
      </c>
      <c r="K175" s="18">
        <v>2008</v>
      </c>
      <c r="L175" s="18">
        <v>6</v>
      </c>
      <c r="M175" s="18">
        <v>46093.614058678802</v>
      </c>
      <c r="P175" s="15">
        <v>2008</v>
      </c>
      <c r="Q175" s="15">
        <v>6</v>
      </c>
      <c r="R175" s="15">
        <v>45908.078613160098</v>
      </c>
      <c r="T175" s="15">
        <v>2008</v>
      </c>
      <c r="U175" s="15">
        <v>6</v>
      </c>
      <c r="V175" s="15">
        <v>45967.2616454573</v>
      </c>
      <c r="X175" s="15">
        <v>2008</v>
      </c>
      <c r="Y175" s="15">
        <v>6</v>
      </c>
      <c r="Z175" s="15">
        <v>45975.751631707499</v>
      </c>
      <c r="AB175" s="15">
        <v>2008</v>
      </c>
      <c r="AC175" s="15">
        <v>6</v>
      </c>
      <c r="AD175" s="15">
        <v>45972.638417548304</v>
      </c>
      <c r="AF175" s="15">
        <v>2008</v>
      </c>
      <c r="AG175" s="15">
        <v>6</v>
      </c>
      <c r="AH175" s="15">
        <v>45953.158119045802</v>
      </c>
    </row>
    <row r="176" spans="1:34" x14ac:dyDescent="0.25">
      <c r="A176" s="15">
        <v>2008</v>
      </c>
      <c r="B176" s="15">
        <v>7</v>
      </c>
      <c r="C176" s="15">
        <v>54777.241550009901</v>
      </c>
      <c r="F176" s="15">
        <v>2008</v>
      </c>
      <c r="G176" s="15">
        <v>7</v>
      </c>
      <c r="H176" s="15">
        <v>54933.133554268803</v>
      </c>
      <c r="K176" s="18">
        <v>2008</v>
      </c>
      <c r="L176" s="18">
        <v>7</v>
      </c>
      <c r="M176" s="18">
        <v>54774.698414729603</v>
      </c>
      <c r="P176" s="15">
        <v>2008</v>
      </c>
      <c r="Q176" s="15">
        <v>7</v>
      </c>
      <c r="R176" s="15">
        <v>54933.133554268803</v>
      </c>
      <c r="T176" s="15">
        <v>2008</v>
      </c>
      <c r="U176" s="15">
        <v>7</v>
      </c>
      <c r="V176" s="15">
        <v>55133.101798473399</v>
      </c>
      <c r="X176" s="15">
        <v>2008</v>
      </c>
      <c r="Y176" s="15">
        <v>7</v>
      </c>
      <c r="Z176" s="15">
        <v>55124.592621838601</v>
      </c>
      <c r="AB176" s="15">
        <v>2008</v>
      </c>
      <c r="AC176" s="15">
        <v>7</v>
      </c>
      <c r="AD176" s="15">
        <v>55127.333681450102</v>
      </c>
      <c r="AF176" s="15">
        <v>2008</v>
      </c>
      <c r="AG176" s="15">
        <v>7</v>
      </c>
      <c r="AH176" s="15">
        <v>55146.815003790398</v>
      </c>
    </row>
    <row r="177" spans="1:34" x14ac:dyDescent="0.25">
      <c r="A177" s="15">
        <v>2008</v>
      </c>
      <c r="B177" s="15">
        <v>8</v>
      </c>
      <c r="C177" s="15">
        <v>49351.701805492899</v>
      </c>
      <c r="F177" s="15">
        <v>2008</v>
      </c>
      <c r="G177" s="15">
        <v>8</v>
      </c>
      <c r="H177" s="15">
        <v>49180.855534515802</v>
      </c>
      <c r="K177" s="18">
        <v>2008</v>
      </c>
      <c r="L177" s="18">
        <v>8</v>
      </c>
      <c r="M177" s="18">
        <v>49355.1051330353</v>
      </c>
      <c r="P177" s="15">
        <v>2008</v>
      </c>
      <c r="Q177" s="15">
        <v>8</v>
      </c>
      <c r="R177" s="15">
        <v>49180.855534515802</v>
      </c>
      <c r="T177" s="15">
        <v>2008</v>
      </c>
      <c r="U177" s="15">
        <v>8</v>
      </c>
      <c r="V177" s="15">
        <v>49894.309101829203</v>
      </c>
      <c r="X177" s="15">
        <v>2008</v>
      </c>
      <c r="Y177" s="15">
        <v>8</v>
      </c>
      <c r="Z177" s="15">
        <v>49903.075188341398</v>
      </c>
      <c r="AB177" s="15">
        <v>2008</v>
      </c>
      <c r="AC177" s="15">
        <v>8</v>
      </c>
      <c r="AD177" s="15">
        <v>49899.731110079701</v>
      </c>
      <c r="AF177" s="15">
        <v>2008</v>
      </c>
      <c r="AG177" s="15">
        <v>8</v>
      </c>
      <c r="AH177" s="15">
        <v>49879.0280435284</v>
      </c>
    </row>
    <row r="178" spans="1:34" x14ac:dyDescent="0.25">
      <c r="A178" s="15">
        <v>2008</v>
      </c>
      <c r="B178" s="15">
        <v>9</v>
      </c>
      <c r="C178" s="15">
        <v>50115.801572346099</v>
      </c>
      <c r="F178" s="15">
        <v>2008</v>
      </c>
      <c r="G178" s="15">
        <v>9</v>
      </c>
      <c r="H178" s="15">
        <v>50187.490162764603</v>
      </c>
      <c r="K178" s="18">
        <v>2008</v>
      </c>
      <c r="L178" s="18">
        <v>9</v>
      </c>
      <c r="M178" s="18">
        <v>50114.288291371602</v>
      </c>
      <c r="P178" s="15">
        <v>2008</v>
      </c>
      <c r="Q178" s="15">
        <v>9</v>
      </c>
      <c r="R178" s="15">
        <v>50187.490162764603</v>
      </c>
      <c r="T178" s="15">
        <v>2008</v>
      </c>
      <c r="U178" s="15">
        <v>9</v>
      </c>
      <c r="V178" s="15">
        <v>50478.170559653503</v>
      </c>
      <c r="X178" s="15">
        <v>2008</v>
      </c>
      <c r="Y178" s="15">
        <v>9</v>
      </c>
      <c r="Z178" s="15">
        <v>50475.462783280498</v>
      </c>
      <c r="AB178" s="15">
        <v>2008</v>
      </c>
      <c r="AC178" s="15">
        <v>9</v>
      </c>
      <c r="AD178" s="15">
        <v>50477.005606867097</v>
      </c>
      <c r="AF178" s="15">
        <v>2008</v>
      </c>
      <c r="AG178" s="15">
        <v>9</v>
      </c>
      <c r="AH178" s="15">
        <v>50484.9823563471</v>
      </c>
    </row>
    <row r="179" spans="1:34" x14ac:dyDescent="0.25">
      <c r="A179" s="15">
        <v>2008</v>
      </c>
      <c r="B179" s="15">
        <v>10</v>
      </c>
      <c r="C179" s="15">
        <v>46600.093114879099</v>
      </c>
      <c r="F179" s="15">
        <v>2008</v>
      </c>
      <c r="G179" s="15">
        <v>10</v>
      </c>
      <c r="H179" s="15">
        <v>46703.0902366054</v>
      </c>
      <c r="K179" s="18">
        <v>2008</v>
      </c>
      <c r="L179" s="18">
        <v>10</v>
      </c>
      <c r="M179" s="18">
        <v>46597.5826672392</v>
      </c>
      <c r="P179" s="15">
        <v>2008</v>
      </c>
      <c r="Q179" s="15">
        <v>10</v>
      </c>
      <c r="R179" s="15">
        <v>46703.0902366054</v>
      </c>
      <c r="T179" s="15">
        <v>2008</v>
      </c>
      <c r="U179" s="15">
        <v>10</v>
      </c>
      <c r="V179" s="15">
        <v>46936.205317955602</v>
      </c>
      <c r="X179" s="15">
        <v>2008</v>
      </c>
      <c r="Y179" s="15">
        <v>10</v>
      </c>
      <c r="Z179" s="15">
        <v>46931.327016896699</v>
      </c>
      <c r="AB179" s="15">
        <v>2008</v>
      </c>
      <c r="AC179" s="15">
        <v>10</v>
      </c>
      <c r="AD179" s="15">
        <v>46933.9137039997</v>
      </c>
      <c r="AF179" s="15">
        <v>2008</v>
      </c>
      <c r="AG179" s="15">
        <v>10</v>
      </c>
      <c r="AH179" s="15">
        <v>46947.620692338802</v>
      </c>
    </row>
    <row r="180" spans="1:34" x14ac:dyDescent="0.25">
      <c r="A180" s="15">
        <v>2008</v>
      </c>
      <c r="B180" s="15">
        <v>11</v>
      </c>
      <c r="C180" s="15">
        <v>35398.364483254401</v>
      </c>
      <c r="F180" s="15">
        <v>2008</v>
      </c>
      <c r="G180" s="15">
        <v>11</v>
      </c>
      <c r="H180" s="15">
        <v>35109.152864732299</v>
      </c>
      <c r="K180" s="18">
        <v>2008</v>
      </c>
      <c r="L180" s="18">
        <v>11</v>
      </c>
      <c r="M180" s="18">
        <v>35402.889690159202</v>
      </c>
      <c r="P180" s="15">
        <v>2008</v>
      </c>
      <c r="Q180" s="15">
        <v>11</v>
      </c>
      <c r="R180" s="15">
        <v>35109.152864732299</v>
      </c>
      <c r="T180" s="15">
        <v>2008</v>
      </c>
      <c r="U180" s="15">
        <v>11</v>
      </c>
      <c r="V180" s="15">
        <v>35547.188600447502</v>
      </c>
      <c r="X180" s="15">
        <v>2008</v>
      </c>
      <c r="Y180" s="15">
        <v>11</v>
      </c>
      <c r="Z180" s="15">
        <v>35561.333761768503</v>
      </c>
      <c r="AB180" s="15">
        <v>2008</v>
      </c>
      <c r="AC180" s="15">
        <v>11</v>
      </c>
      <c r="AD180" s="15">
        <v>35555.604834203201</v>
      </c>
      <c r="AF180" s="15">
        <v>2008</v>
      </c>
      <c r="AG180" s="15">
        <v>11</v>
      </c>
      <c r="AH180" s="15">
        <v>35522.118179348799</v>
      </c>
    </row>
    <row r="181" spans="1:34" x14ac:dyDescent="0.25">
      <c r="A181" s="15">
        <v>2008</v>
      </c>
      <c r="B181" s="15">
        <v>12</v>
      </c>
      <c r="C181" s="15">
        <v>27114.904584619901</v>
      </c>
      <c r="F181" s="15">
        <v>2008</v>
      </c>
      <c r="G181" s="15">
        <v>12</v>
      </c>
      <c r="H181" s="15">
        <v>27144.277454655199</v>
      </c>
      <c r="K181" s="18">
        <v>2008</v>
      </c>
      <c r="L181" s="18">
        <v>12</v>
      </c>
      <c r="M181" s="18">
        <v>27111.478595510202</v>
      </c>
      <c r="P181" s="15">
        <v>2008</v>
      </c>
      <c r="Q181" s="15">
        <v>12</v>
      </c>
      <c r="R181" s="15">
        <v>27144.277454655199</v>
      </c>
      <c r="T181" s="15">
        <v>2008</v>
      </c>
      <c r="U181" s="15">
        <v>12</v>
      </c>
      <c r="V181" s="15">
        <v>26830.169374536901</v>
      </c>
      <c r="X181" s="15">
        <v>2008</v>
      </c>
      <c r="Y181" s="15">
        <v>12</v>
      </c>
      <c r="Z181" s="15">
        <v>26824.8918262486</v>
      </c>
      <c r="AB181" s="15">
        <v>2008</v>
      </c>
      <c r="AC181" s="15">
        <v>12</v>
      </c>
      <c r="AD181" s="15">
        <v>26827.090082938601</v>
      </c>
      <c r="AF181" s="15">
        <v>2008</v>
      </c>
      <c r="AG181" s="15">
        <v>12</v>
      </c>
      <c r="AH181" s="15">
        <v>26842.281851610998</v>
      </c>
    </row>
    <row r="182" spans="1:34" x14ac:dyDescent="0.25">
      <c r="A182" s="15">
        <v>2009</v>
      </c>
      <c r="B182" s="15">
        <v>1</v>
      </c>
      <c r="C182" s="15">
        <v>34918.683460253102</v>
      </c>
      <c r="F182" s="15">
        <v>2009</v>
      </c>
      <c r="G182" s="15">
        <v>1</v>
      </c>
      <c r="H182" s="15">
        <v>34624.750313098601</v>
      </c>
      <c r="K182" s="18">
        <v>2009</v>
      </c>
      <c r="L182" s="18">
        <v>1</v>
      </c>
      <c r="M182" s="18">
        <v>34918.6271418217</v>
      </c>
      <c r="P182" s="15">
        <v>2009</v>
      </c>
      <c r="Q182" s="15">
        <v>1</v>
      </c>
      <c r="R182" s="15">
        <v>34624.750313098601</v>
      </c>
      <c r="T182" s="15">
        <v>2009</v>
      </c>
      <c r="U182" s="15">
        <v>1</v>
      </c>
      <c r="V182" s="15">
        <v>37113.779427200898</v>
      </c>
      <c r="X182" s="15">
        <v>2009</v>
      </c>
      <c r="Y182" s="15">
        <v>1</v>
      </c>
      <c r="Z182" s="15">
        <v>37115.4819764731</v>
      </c>
      <c r="AB182" s="15">
        <v>2009</v>
      </c>
      <c r="AC182" s="15">
        <v>1</v>
      </c>
      <c r="AD182" s="15">
        <v>37119.940019104601</v>
      </c>
      <c r="AF182" s="15">
        <v>2009</v>
      </c>
      <c r="AG182" s="15">
        <v>1</v>
      </c>
      <c r="AH182" s="15">
        <v>37125.995955784303</v>
      </c>
    </row>
    <row r="183" spans="1:34" x14ac:dyDescent="0.25">
      <c r="A183" s="15">
        <v>2009</v>
      </c>
      <c r="B183" s="15">
        <v>2</v>
      </c>
      <c r="C183" s="15">
        <v>27988.828029745699</v>
      </c>
      <c r="F183" s="15">
        <v>2009</v>
      </c>
      <c r="G183" s="15">
        <v>2</v>
      </c>
      <c r="H183" s="15">
        <v>28349.323168193401</v>
      </c>
      <c r="K183" s="18">
        <v>2009</v>
      </c>
      <c r="L183" s="18">
        <v>2</v>
      </c>
      <c r="M183" s="18">
        <v>27987.6120062923</v>
      </c>
      <c r="P183" s="15">
        <v>2009</v>
      </c>
      <c r="Q183" s="15">
        <v>2</v>
      </c>
      <c r="R183" s="15">
        <v>28349.323168193401</v>
      </c>
      <c r="T183" s="15">
        <v>2009</v>
      </c>
      <c r="U183" s="15">
        <v>2</v>
      </c>
      <c r="V183" s="15">
        <v>22607.1469843708</v>
      </c>
      <c r="X183" s="15">
        <v>2009</v>
      </c>
      <c r="Y183" s="15">
        <v>2</v>
      </c>
      <c r="Z183" s="15">
        <v>22599.563555047302</v>
      </c>
      <c r="AB183" s="15">
        <v>2009</v>
      </c>
      <c r="AC183" s="15">
        <v>2</v>
      </c>
      <c r="AD183" s="15">
        <v>22595.7518546994</v>
      </c>
      <c r="AF183" s="15">
        <v>2009</v>
      </c>
      <c r="AG183" s="15">
        <v>2</v>
      </c>
      <c r="AH183" s="15">
        <v>22600.502751468401</v>
      </c>
    </row>
    <row r="184" spans="1:34" x14ac:dyDescent="0.25">
      <c r="A184" s="15">
        <v>2009</v>
      </c>
      <c r="B184" s="15">
        <v>3</v>
      </c>
      <c r="C184" s="15">
        <v>37639.447092027898</v>
      </c>
      <c r="F184" s="15">
        <v>2009</v>
      </c>
      <c r="G184" s="15">
        <v>3</v>
      </c>
      <c r="H184" s="15">
        <v>37491.719866805302</v>
      </c>
      <c r="K184" s="18">
        <v>2009</v>
      </c>
      <c r="L184" s="18">
        <v>3</v>
      </c>
      <c r="M184" s="18">
        <v>37640.329850012698</v>
      </c>
      <c r="P184" s="15">
        <v>2009</v>
      </c>
      <c r="Q184" s="15">
        <v>3</v>
      </c>
      <c r="R184" s="15">
        <v>37491.719866805302</v>
      </c>
      <c r="T184" s="15">
        <v>2009</v>
      </c>
      <c r="U184" s="15">
        <v>3</v>
      </c>
      <c r="V184" s="15">
        <v>38100.820567292103</v>
      </c>
      <c r="X184" s="15">
        <v>2009</v>
      </c>
      <c r="Y184" s="15">
        <v>3</v>
      </c>
      <c r="Z184" s="15">
        <v>38101.742769206998</v>
      </c>
      <c r="AB184" s="15">
        <v>2009</v>
      </c>
      <c r="AC184" s="15">
        <v>3</v>
      </c>
      <c r="AD184" s="15">
        <v>38102.322871183198</v>
      </c>
      <c r="AF184" s="15">
        <v>2009</v>
      </c>
      <c r="AG184" s="15">
        <v>3</v>
      </c>
      <c r="AH184" s="15">
        <v>38098.315678260697</v>
      </c>
    </row>
    <row r="185" spans="1:34" x14ac:dyDescent="0.25">
      <c r="A185" s="15">
        <v>2009</v>
      </c>
      <c r="B185" s="15">
        <v>4</v>
      </c>
      <c r="C185" s="15">
        <v>36637.4097593591</v>
      </c>
      <c r="F185" s="15">
        <v>2009</v>
      </c>
      <c r="G185" s="15">
        <v>4</v>
      </c>
      <c r="H185" s="15">
        <v>36631.147957198002</v>
      </c>
      <c r="K185" s="18">
        <v>2009</v>
      </c>
      <c r="L185" s="18">
        <v>4</v>
      </c>
      <c r="M185" s="18">
        <v>36636.2448726195</v>
      </c>
      <c r="P185" s="15">
        <v>2009</v>
      </c>
      <c r="Q185" s="15">
        <v>4</v>
      </c>
      <c r="R185" s="15">
        <v>36631.147957198002</v>
      </c>
      <c r="T185" s="15">
        <v>2009</v>
      </c>
      <c r="U185" s="15">
        <v>4</v>
      </c>
      <c r="V185" s="15">
        <v>36954.371033930802</v>
      </c>
      <c r="X185" s="15">
        <v>2009</v>
      </c>
      <c r="Y185" s="15">
        <v>4</v>
      </c>
      <c r="Z185" s="15">
        <v>36952.809486980601</v>
      </c>
      <c r="AB185" s="15">
        <v>2009</v>
      </c>
      <c r="AC185" s="15">
        <v>4</v>
      </c>
      <c r="AD185" s="15">
        <v>36954.175758946803</v>
      </c>
      <c r="AF185" s="15">
        <v>2009</v>
      </c>
      <c r="AG185" s="15">
        <v>4</v>
      </c>
      <c r="AH185" s="15">
        <v>36960.078164301704</v>
      </c>
    </row>
    <row r="186" spans="1:34" x14ac:dyDescent="0.25">
      <c r="A186" s="15">
        <v>2009</v>
      </c>
      <c r="B186" s="15">
        <v>5</v>
      </c>
      <c r="C186" s="15">
        <v>40785.265500072397</v>
      </c>
      <c r="F186" s="15">
        <v>2009</v>
      </c>
      <c r="G186" s="15">
        <v>5</v>
      </c>
      <c r="H186" s="15">
        <v>40605.646331627198</v>
      </c>
      <c r="K186" s="18">
        <v>2009</v>
      </c>
      <c r="L186" s="18">
        <v>5</v>
      </c>
      <c r="M186" s="18">
        <v>40788.212735080197</v>
      </c>
      <c r="P186" s="15">
        <v>2009</v>
      </c>
      <c r="Q186" s="15">
        <v>5</v>
      </c>
      <c r="R186" s="15">
        <v>40605.646331627198</v>
      </c>
      <c r="T186" s="15">
        <v>2009</v>
      </c>
      <c r="U186" s="15">
        <v>5</v>
      </c>
      <c r="V186" s="15">
        <v>41063.104466917597</v>
      </c>
      <c r="X186" s="15">
        <v>2009</v>
      </c>
      <c r="Y186" s="15">
        <v>5</v>
      </c>
      <c r="Z186" s="15">
        <v>41068.6016097182</v>
      </c>
      <c r="AB186" s="15">
        <v>2009</v>
      </c>
      <c r="AC186" s="15">
        <v>5</v>
      </c>
      <c r="AD186" s="15">
        <v>41066.907081550497</v>
      </c>
      <c r="AF186" s="15">
        <v>2009</v>
      </c>
      <c r="AG186" s="15">
        <v>5</v>
      </c>
      <c r="AH186" s="15">
        <v>41054.897594898699</v>
      </c>
    </row>
    <row r="187" spans="1:34" x14ac:dyDescent="0.25">
      <c r="A187" s="15">
        <v>2009</v>
      </c>
      <c r="B187" s="15">
        <v>6</v>
      </c>
      <c r="C187" s="15">
        <v>39997.892348480302</v>
      </c>
      <c r="F187" s="15">
        <v>2009</v>
      </c>
      <c r="G187" s="15">
        <v>6</v>
      </c>
      <c r="H187" s="15">
        <v>39954.271184270001</v>
      </c>
      <c r="K187" s="18">
        <v>2009</v>
      </c>
      <c r="L187" s="18">
        <v>6</v>
      </c>
      <c r="M187" s="18">
        <v>39998.4711681423</v>
      </c>
      <c r="P187" s="15">
        <v>2009</v>
      </c>
      <c r="Q187" s="15">
        <v>6</v>
      </c>
      <c r="R187" s="15">
        <v>39954.271184270001</v>
      </c>
      <c r="T187" s="15">
        <v>2009</v>
      </c>
      <c r="U187" s="15">
        <v>6</v>
      </c>
      <c r="V187" s="15">
        <v>39689.857065091899</v>
      </c>
      <c r="X187" s="15">
        <v>2009</v>
      </c>
      <c r="Y187" s="15">
        <v>6</v>
      </c>
      <c r="Z187" s="15">
        <v>39691.930133209004</v>
      </c>
      <c r="AB187" s="15">
        <v>2009</v>
      </c>
      <c r="AC187" s="15">
        <v>6</v>
      </c>
      <c r="AD187" s="15">
        <v>39691.747184166197</v>
      </c>
      <c r="AF187" s="15">
        <v>2009</v>
      </c>
      <c r="AG187" s="15">
        <v>6</v>
      </c>
      <c r="AH187" s="15">
        <v>39688.725741908398</v>
      </c>
    </row>
    <row r="188" spans="1:34" x14ac:dyDescent="0.25">
      <c r="A188" s="15">
        <v>2009</v>
      </c>
      <c r="B188" s="15">
        <v>7</v>
      </c>
      <c r="C188" s="15">
        <v>43048.077881208097</v>
      </c>
      <c r="F188" s="15">
        <v>2009</v>
      </c>
      <c r="G188" s="15">
        <v>7</v>
      </c>
      <c r="H188" s="15">
        <v>43169.805667055902</v>
      </c>
      <c r="K188" s="18">
        <v>2009</v>
      </c>
      <c r="L188" s="18">
        <v>7</v>
      </c>
      <c r="M188" s="18">
        <v>43045.8548854568</v>
      </c>
      <c r="P188" s="15">
        <v>2009</v>
      </c>
      <c r="Q188" s="15">
        <v>7</v>
      </c>
      <c r="R188" s="15">
        <v>43169.805667055902</v>
      </c>
      <c r="T188" s="15">
        <v>2009</v>
      </c>
      <c r="U188" s="15">
        <v>7</v>
      </c>
      <c r="V188" s="15">
        <v>43431.4829139797</v>
      </c>
      <c r="X188" s="15">
        <v>2009</v>
      </c>
      <c r="Y188" s="15">
        <v>7</v>
      </c>
      <c r="Z188" s="15">
        <v>43423.877004465699</v>
      </c>
      <c r="AB188" s="15">
        <v>2009</v>
      </c>
      <c r="AC188" s="15">
        <v>7</v>
      </c>
      <c r="AD188" s="15">
        <v>43426.495783965402</v>
      </c>
      <c r="AF188" s="15">
        <v>2009</v>
      </c>
      <c r="AG188" s="15">
        <v>7</v>
      </c>
      <c r="AH188" s="15">
        <v>43444.3776875045</v>
      </c>
    </row>
    <row r="189" spans="1:34" x14ac:dyDescent="0.25">
      <c r="A189" s="15">
        <v>2009</v>
      </c>
      <c r="B189" s="15">
        <v>8</v>
      </c>
      <c r="C189" s="15">
        <v>40615.507923900797</v>
      </c>
      <c r="F189" s="15">
        <v>2009</v>
      </c>
      <c r="G189" s="15">
        <v>8</v>
      </c>
      <c r="H189" s="15">
        <v>40460.758641066401</v>
      </c>
      <c r="K189" s="18">
        <v>2009</v>
      </c>
      <c r="L189" s="18">
        <v>8</v>
      </c>
      <c r="M189" s="18">
        <v>40618.390910308801</v>
      </c>
      <c r="P189" s="15">
        <v>2009</v>
      </c>
      <c r="Q189" s="15">
        <v>8</v>
      </c>
      <c r="R189" s="15">
        <v>40460.758641066401</v>
      </c>
      <c r="T189" s="15">
        <v>2009</v>
      </c>
      <c r="U189" s="15">
        <v>8</v>
      </c>
      <c r="V189" s="15">
        <v>41264.466914518896</v>
      </c>
      <c r="X189" s="15">
        <v>2009</v>
      </c>
      <c r="Y189" s="15">
        <v>8</v>
      </c>
      <c r="Z189" s="15">
        <v>41271.323064168901</v>
      </c>
      <c r="AB189" s="15">
        <v>2009</v>
      </c>
      <c r="AC189" s="15">
        <v>8</v>
      </c>
      <c r="AD189" s="15">
        <v>41268.791585555598</v>
      </c>
      <c r="AF189" s="15">
        <v>2009</v>
      </c>
      <c r="AG189" s="15">
        <v>8</v>
      </c>
      <c r="AH189" s="15">
        <v>41252.822200673902</v>
      </c>
    </row>
    <row r="190" spans="1:34" x14ac:dyDescent="0.25">
      <c r="A190" s="15">
        <v>2009</v>
      </c>
      <c r="B190" s="15">
        <v>9</v>
      </c>
      <c r="C190" s="15">
        <v>44448.053139048403</v>
      </c>
      <c r="F190" s="15">
        <v>2009</v>
      </c>
      <c r="G190" s="15">
        <v>9</v>
      </c>
      <c r="H190" s="15">
        <v>44519.452586649997</v>
      </c>
      <c r="K190" s="18">
        <v>2009</v>
      </c>
      <c r="L190" s="18">
        <v>9</v>
      </c>
      <c r="M190" s="18">
        <v>44446.741994410797</v>
      </c>
      <c r="P190" s="15">
        <v>2009</v>
      </c>
      <c r="Q190" s="15">
        <v>9</v>
      </c>
      <c r="R190" s="15">
        <v>44519.452586649997</v>
      </c>
      <c r="T190" s="15">
        <v>2009</v>
      </c>
      <c r="U190" s="15">
        <v>9</v>
      </c>
      <c r="V190" s="15">
        <v>44825.658221349797</v>
      </c>
      <c r="X190" s="15">
        <v>2009</v>
      </c>
      <c r="Y190" s="15">
        <v>9</v>
      </c>
      <c r="Z190" s="15">
        <v>44823.564638284799</v>
      </c>
      <c r="AB190" s="15">
        <v>2009</v>
      </c>
      <c r="AC190" s="15">
        <v>9</v>
      </c>
      <c r="AD190" s="15">
        <v>44824.891751327297</v>
      </c>
      <c r="AF190" s="15">
        <v>2009</v>
      </c>
      <c r="AG190" s="15">
        <v>9</v>
      </c>
      <c r="AH190" s="15">
        <v>44831.475097643903</v>
      </c>
    </row>
    <row r="191" spans="1:34" x14ac:dyDescent="0.25">
      <c r="A191" s="15">
        <v>2009</v>
      </c>
      <c r="B191" s="15">
        <v>10</v>
      </c>
      <c r="C191" s="15">
        <v>48733.417360008803</v>
      </c>
      <c r="F191" s="15">
        <v>2009</v>
      </c>
      <c r="G191" s="15">
        <v>10</v>
      </c>
      <c r="H191" s="15">
        <v>48709.730940826899</v>
      </c>
      <c r="K191" s="18">
        <v>2009</v>
      </c>
      <c r="L191" s="18">
        <v>10</v>
      </c>
      <c r="M191" s="18">
        <v>48733.738144122399</v>
      </c>
      <c r="P191" s="15">
        <v>2009</v>
      </c>
      <c r="Q191" s="15">
        <v>10</v>
      </c>
      <c r="R191" s="15">
        <v>48709.730940826899</v>
      </c>
      <c r="T191" s="15">
        <v>2009</v>
      </c>
      <c r="U191" s="15">
        <v>10</v>
      </c>
      <c r="V191" s="15">
        <v>49203.348931353597</v>
      </c>
      <c r="X191" s="15">
        <v>2009</v>
      </c>
      <c r="Y191" s="15">
        <v>10</v>
      </c>
      <c r="Z191" s="15">
        <v>49205.284447980899</v>
      </c>
      <c r="AB191" s="15">
        <v>2009</v>
      </c>
      <c r="AC191" s="15">
        <v>10</v>
      </c>
      <c r="AD191" s="15">
        <v>49205.046177529803</v>
      </c>
      <c r="AF191" s="15">
        <v>2009</v>
      </c>
      <c r="AG191" s="15">
        <v>10</v>
      </c>
      <c r="AH191" s="15">
        <v>49201.995597925597</v>
      </c>
    </row>
    <row r="192" spans="1:34" x14ac:dyDescent="0.25">
      <c r="A192" s="15">
        <v>2009</v>
      </c>
      <c r="B192" s="15">
        <v>11</v>
      </c>
      <c r="C192" s="15">
        <v>49427.052667673001</v>
      </c>
      <c r="F192" s="15">
        <v>2009</v>
      </c>
      <c r="G192" s="15">
        <v>11</v>
      </c>
      <c r="H192" s="15">
        <v>49336.648510100698</v>
      </c>
      <c r="K192" s="18">
        <v>2009</v>
      </c>
      <c r="L192" s="18">
        <v>11</v>
      </c>
      <c r="M192" s="18">
        <v>49428.420783406698</v>
      </c>
      <c r="P192" s="15">
        <v>2009</v>
      </c>
      <c r="Q192" s="15">
        <v>11</v>
      </c>
      <c r="R192" s="15">
        <v>49336.648510100698</v>
      </c>
      <c r="T192" s="15">
        <v>2009</v>
      </c>
      <c r="U192" s="15">
        <v>11</v>
      </c>
      <c r="V192" s="15">
        <v>49504.249978584201</v>
      </c>
      <c r="X192" s="15">
        <v>2009</v>
      </c>
      <c r="Y192" s="15">
        <v>11</v>
      </c>
      <c r="Z192" s="15">
        <v>49510.901838571699</v>
      </c>
      <c r="AB192" s="15">
        <v>2009</v>
      </c>
      <c r="AC192" s="15">
        <v>11</v>
      </c>
      <c r="AD192" s="15">
        <v>49508.198204981702</v>
      </c>
      <c r="AF192" s="15">
        <v>2009</v>
      </c>
      <c r="AG192" s="15">
        <v>11</v>
      </c>
      <c r="AH192" s="15">
        <v>49493.076285170799</v>
      </c>
    </row>
    <row r="193" spans="1:34" x14ac:dyDescent="0.25">
      <c r="A193" s="15">
        <v>2009</v>
      </c>
      <c r="B193" s="15">
        <v>12</v>
      </c>
      <c r="C193" s="15">
        <v>53889.981795433901</v>
      </c>
      <c r="F193" s="15">
        <v>2009</v>
      </c>
      <c r="G193" s="15">
        <v>12</v>
      </c>
      <c r="H193" s="15">
        <v>53930.823151545497</v>
      </c>
      <c r="K193" s="18">
        <v>2009</v>
      </c>
      <c r="L193" s="18">
        <v>12</v>
      </c>
      <c r="M193" s="18">
        <v>53886.648862068803</v>
      </c>
      <c r="P193" s="15">
        <v>2009</v>
      </c>
      <c r="Q193" s="15">
        <v>12</v>
      </c>
      <c r="R193" s="15">
        <v>53930.823151545497</v>
      </c>
      <c r="T193" s="15">
        <v>2009</v>
      </c>
      <c r="U193" s="15">
        <v>12</v>
      </c>
      <c r="V193" s="15">
        <v>53610.480507043903</v>
      </c>
      <c r="X193" s="15">
        <v>2009</v>
      </c>
      <c r="Y193" s="15">
        <v>12</v>
      </c>
      <c r="Z193" s="15">
        <v>53606.576669396098</v>
      </c>
      <c r="AB193" s="15">
        <v>2009</v>
      </c>
      <c r="AC193" s="15">
        <v>12</v>
      </c>
      <c r="AD193" s="15">
        <v>53609.211064084797</v>
      </c>
      <c r="AF193" s="15">
        <v>2009</v>
      </c>
      <c r="AG193" s="15">
        <v>12</v>
      </c>
      <c r="AH193" s="15">
        <v>53623.980741399399</v>
      </c>
    </row>
    <row r="194" spans="1:34" x14ac:dyDescent="0.25">
      <c r="A194" s="15">
        <v>2010</v>
      </c>
      <c r="B194" s="15">
        <v>1</v>
      </c>
      <c r="C194" s="15">
        <v>50517.371553111901</v>
      </c>
      <c r="F194" s="15">
        <v>2010</v>
      </c>
      <c r="G194" s="15">
        <v>1</v>
      </c>
      <c r="H194" s="15">
        <v>50282.6124869786</v>
      </c>
      <c r="K194" s="18">
        <v>2010</v>
      </c>
      <c r="L194" s="18">
        <v>1</v>
      </c>
      <c r="M194" s="18">
        <v>50519.960614720199</v>
      </c>
      <c r="P194" s="15">
        <v>2010</v>
      </c>
      <c r="Q194" s="15">
        <v>1</v>
      </c>
      <c r="R194" s="15">
        <v>50282.6124869786</v>
      </c>
      <c r="T194" s="15">
        <v>2010</v>
      </c>
      <c r="U194" s="15">
        <v>1</v>
      </c>
      <c r="V194" s="15">
        <v>52191.672861834799</v>
      </c>
      <c r="X194" s="15">
        <v>2010</v>
      </c>
      <c r="Y194" s="15">
        <v>1</v>
      </c>
      <c r="Z194" s="15">
        <v>52199.001215290402</v>
      </c>
      <c r="AB194" s="15">
        <v>2010</v>
      </c>
      <c r="AC194" s="15">
        <v>1</v>
      </c>
      <c r="AD194" s="15">
        <v>52199.468583187299</v>
      </c>
      <c r="AF194" s="15">
        <v>2010</v>
      </c>
      <c r="AG194" s="15">
        <v>1</v>
      </c>
      <c r="AH194" s="15">
        <v>52189.013909951398</v>
      </c>
    </row>
    <row r="195" spans="1:34" x14ac:dyDescent="0.25">
      <c r="A195" s="15">
        <v>2010</v>
      </c>
      <c r="B195" s="15">
        <v>2</v>
      </c>
      <c r="C195" s="15">
        <v>52961.180790750499</v>
      </c>
      <c r="F195" s="15">
        <v>2010</v>
      </c>
      <c r="G195" s="15">
        <v>2</v>
      </c>
      <c r="H195" s="15">
        <v>52909.270475175297</v>
      </c>
      <c r="K195" s="18">
        <v>2010</v>
      </c>
      <c r="L195" s="18">
        <v>2</v>
      </c>
      <c r="M195" s="18">
        <v>52960.393714342397</v>
      </c>
      <c r="P195" s="15">
        <v>2010</v>
      </c>
      <c r="Q195" s="15">
        <v>2</v>
      </c>
      <c r="R195" s="15">
        <v>52909.270475175297</v>
      </c>
      <c r="T195" s="15">
        <v>2010</v>
      </c>
      <c r="U195" s="15">
        <v>2</v>
      </c>
      <c r="V195" s="15">
        <v>47777.149842532497</v>
      </c>
      <c r="X195" s="15">
        <v>2010</v>
      </c>
      <c r="Y195" s="15">
        <v>2</v>
      </c>
      <c r="Z195" s="15">
        <v>47769.170791078999</v>
      </c>
      <c r="AB195" s="15">
        <v>2010</v>
      </c>
      <c r="AC195" s="15">
        <v>2</v>
      </c>
      <c r="AD195" s="15">
        <v>47765.422517292704</v>
      </c>
      <c r="AF195" s="15">
        <v>2010</v>
      </c>
      <c r="AG195" s="15">
        <v>2</v>
      </c>
      <c r="AH195" s="15">
        <v>47769.864177778203</v>
      </c>
    </row>
    <row r="196" spans="1:34" x14ac:dyDescent="0.25">
      <c r="A196" s="15">
        <v>2010</v>
      </c>
      <c r="B196" s="15">
        <v>3</v>
      </c>
      <c r="C196" s="15">
        <v>49310.683051392698</v>
      </c>
      <c r="F196" s="15">
        <v>2010</v>
      </c>
      <c r="G196" s="15">
        <v>3</v>
      </c>
      <c r="H196" s="15">
        <v>49391.2880906481</v>
      </c>
      <c r="K196" s="18">
        <v>2010</v>
      </c>
      <c r="L196" s="18">
        <v>3</v>
      </c>
      <c r="M196" s="18">
        <v>49308.260240184303</v>
      </c>
      <c r="P196" s="15">
        <v>2010</v>
      </c>
      <c r="Q196" s="15">
        <v>3</v>
      </c>
      <c r="R196" s="15">
        <v>49391.2880906481</v>
      </c>
      <c r="T196" s="15">
        <v>2010</v>
      </c>
      <c r="U196" s="15">
        <v>3</v>
      </c>
      <c r="V196" s="15">
        <v>49781.238521032697</v>
      </c>
      <c r="X196" s="15">
        <v>2010</v>
      </c>
      <c r="Y196" s="15">
        <v>3</v>
      </c>
      <c r="Z196" s="15">
        <v>49773.810170484299</v>
      </c>
      <c r="AB196" s="15">
        <v>2010</v>
      </c>
      <c r="AC196" s="15">
        <v>3</v>
      </c>
      <c r="AD196" s="15">
        <v>49778.112741234298</v>
      </c>
      <c r="AF196" s="15">
        <v>2010</v>
      </c>
      <c r="AG196" s="15">
        <v>3</v>
      </c>
      <c r="AH196" s="15">
        <v>49793.545646874001</v>
      </c>
    </row>
    <row r="197" spans="1:34" x14ac:dyDescent="0.25">
      <c r="A197" s="15">
        <v>2010</v>
      </c>
      <c r="B197" s="15">
        <v>4</v>
      </c>
      <c r="C197" s="15">
        <v>55241.402278925598</v>
      </c>
      <c r="F197" s="15">
        <v>2010</v>
      </c>
      <c r="G197" s="15">
        <v>4</v>
      </c>
      <c r="H197" s="15">
        <v>55269.128363048403</v>
      </c>
      <c r="K197" s="18">
        <v>2010</v>
      </c>
      <c r="L197" s="18">
        <v>4</v>
      </c>
      <c r="M197" s="18">
        <v>55240.187284771302</v>
      </c>
      <c r="P197" s="15">
        <v>2010</v>
      </c>
      <c r="Q197" s="15">
        <v>4</v>
      </c>
      <c r="R197" s="15">
        <v>55269.128363048403</v>
      </c>
      <c r="T197" s="15">
        <v>2010</v>
      </c>
      <c r="U197" s="15">
        <v>4</v>
      </c>
      <c r="V197" s="15">
        <v>55601.753921721102</v>
      </c>
      <c r="X197" s="15">
        <v>2010</v>
      </c>
      <c r="Y197" s="15">
        <v>4</v>
      </c>
      <c r="Z197" s="15">
        <v>55600.437443101102</v>
      </c>
      <c r="AB197" s="15">
        <v>2010</v>
      </c>
      <c r="AC197" s="15">
        <v>4</v>
      </c>
      <c r="AD197" s="15">
        <v>55601.843545423297</v>
      </c>
      <c r="AF197" s="15">
        <v>2010</v>
      </c>
      <c r="AG197" s="15">
        <v>4</v>
      </c>
      <c r="AH197" s="15">
        <v>55607.8459906645</v>
      </c>
    </row>
    <row r="198" spans="1:34" x14ac:dyDescent="0.25">
      <c r="A198" s="15">
        <v>2010</v>
      </c>
      <c r="B198" s="15">
        <v>5</v>
      </c>
      <c r="C198" s="15">
        <v>56427.444902671203</v>
      </c>
      <c r="F198" s="15">
        <v>2010</v>
      </c>
      <c r="G198" s="15">
        <v>5</v>
      </c>
      <c r="H198" s="15">
        <v>56265.325644495402</v>
      </c>
      <c r="K198" s="18">
        <v>2010</v>
      </c>
      <c r="L198" s="18">
        <v>5</v>
      </c>
      <c r="M198" s="18">
        <v>56430.121214500097</v>
      </c>
      <c r="P198" s="15">
        <v>2010</v>
      </c>
      <c r="Q198" s="15">
        <v>5</v>
      </c>
      <c r="R198" s="15">
        <v>56265.325644495402</v>
      </c>
      <c r="T198" s="15">
        <v>2010</v>
      </c>
      <c r="U198" s="15">
        <v>5</v>
      </c>
      <c r="V198" s="15">
        <v>56888.533316094101</v>
      </c>
      <c r="X198" s="15">
        <v>2010</v>
      </c>
      <c r="Y198" s="15">
        <v>5</v>
      </c>
      <c r="Z198" s="15">
        <v>56896.195337732599</v>
      </c>
      <c r="AB198" s="15">
        <v>2010</v>
      </c>
      <c r="AC198" s="15">
        <v>5</v>
      </c>
      <c r="AD198" s="15">
        <v>56893.685485250098</v>
      </c>
      <c r="AF198" s="15">
        <v>2010</v>
      </c>
      <c r="AG198" s="15">
        <v>5</v>
      </c>
      <c r="AH198" s="15">
        <v>56877.010523845398</v>
      </c>
    </row>
    <row r="199" spans="1:34" x14ac:dyDescent="0.25">
      <c r="A199" s="15">
        <v>2010</v>
      </c>
      <c r="B199" s="15">
        <v>6</v>
      </c>
      <c r="C199" s="15">
        <v>59143.159941459802</v>
      </c>
      <c r="F199" s="15">
        <v>2010</v>
      </c>
      <c r="G199" s="15">
        <v>6</v>
      </c>
      <c r="H199" s="15">
        <v>59109.868504934697</v>
      </c>
      <c r="K199" s="18">
        <v>2010</v>
      </c>
      <c r="L199" s="18">
        <v>6</v>
      </c>
      <c r="M199" s="18">
        <v>59144.987999923898</v>
      </c>
      <c r="P199" s="15">
        <v>2010</v>
      </c>
      <c r="Q199" s="15">
        <v>6</v>
      </c>
      <c r="R199" s="15">
        <v>59109.868504934697</v>
      </c>
      <c r="T199" s="15">
        <v>2010</v>
      </c>
      <c r="U199" s="15">
        <v>6</v>
      </c>
      <c r="V199" s="15">
        <v>58835.236637121503</v>
      </c>
      <c r="X199" s="15">
        <v>2010</v>
      </c>
      <c r="Y199" s="15">
        <v>6</v>
      </c>
      <c r="Z199" s="15">
        <v>58837.595915555503</v>
      </c>
      <c r="AB199" s="15">
        <v>2010</v>
      </c>
      <c r="AC199" s="15">
        <v>6</v>
      </c>
      <c r="AD199" s="15">
        <v>58837.289896170601</v>
      </c>
      <c r="AF199" s="15">
        <v>2010</v>
      </c>
      <c r="AG199" s="15">
        <v>6</v>
      </c>
      <c r="AH199" s="15">
        <v>58833.537891755099</v>
      </c>
    </row>
    <row r="200" spans="1:34" x14ac:dyDescent="0.25">
      <c r="A200" s="15">
        <v>2010</v>
      </c>
      <c r="B200" s="15">
        <v>7</v>
      </c>
      <c r="C200" s="15">
        <v>54460.828862575203</v>
      </c>
      <c r="F200" s="15">
        <v>2010</v>
      </c>
      <c r="G200" s="15">
        <v>7</v>
      </c>
      <c r="H200" s="15">
        <v>54419.256163511098</v>
      </c>
      <c r="K200" s="18">
        <v>2010</v>
      </c>
      <c r="L200" s="18">
        <v>7</v>
      </c>
      <c r="M200" s="18">
        <v>54461.4907796716</v>
      </c>
      <c r="P200" s="15">
        <v>2010</v>
      </c>
      <c r="Q200" s="15">
        <v>7</v>
      </c>
      <c r="R200" s="15">
        <v>54419.256163511098</v>
      </c>
      <c r="T200" s="15">
        <v>2010</v>
      </c>
      <c r="U200" s="15">
        <v>7</v>
      </c>
      <c r="V200" s="15">
        <v>54889.409784020201</v>
      </c>
      <c r="X200" s="15">
        <v>2010</v>
      </c>
      <c r="Y200" s="15">
        <v>7</v>
      </c>
      <c r="Z200" s="15">
        <v>54890.094170330303</v>
      </c>
      <c r="AB200" s="15">
        <v>2010</v>
      </c>
      <c r="AC200" s="15">
        <v>7</v>
      </c>
      <c r="AD200" s="15">
        <v>54889.686083555898</v>
      </c>
      <c r="AF200" s="15">
        <v>2010</v>
      </c>
      <c r="AG200" s="15">
        <v>7</v>
      </c>
      <c r="AH200" s="15">
        <v>54888.171716643199</v>
      </c>
    </row>
    <row r="201" spans="1:34" x14ac:dyDescent="0.25">
      <c r="A201" s="15">
        <v>2010</v>
      </c>
      <c r="B201" s="15">
        <v>8</v>
      </c>
      <c r="C201" s="15">
        <v>62050.9867808856</v>
      </c>
      <c r="F201" s="15">
        <v>2010</v>
      </c>
      <c r="G201" s="15">
        <v>8</v>
      </c>
      <c r="H201" s="15">
        <v>62061.582890948601</v>
      </c>
      <c r="K201" s="18">
        <v>2010</v>
      </c>
      <c r="L201" s="18">
        <v>8</v>
      </c>
      <c r="M201" s="18">
        <v>62050.482878864597</v>
      </c>
      <c r="P201" s="15">
        <v>2010</v>
      </c>
      <c r="Q201" s="15">
        <v>8</v>
      </c>
      <c r="R201" s="15">
        <v>62061.582890948601</v>
      </c>
      <c r="T201" s="15">
        <v>2010</v>
      </c>
      <c r="U201" s="15">
        <v>8</v>
      </c>
      <c r="V201" s="15">
        <v>62623.333202434602</v>
      </c>
      <c r="X201" s="15">
        <v>2010</v>
      </c>
      <c r="Y201" s="15">
        <v>8</v>
      </c>
      <c r="Z201" s="15">
        <v>62621.635919464999</v>
      </c>
      <c r="AB201" s="15">
        <v>2010</v>
      </c>
      <c r="AC201" s="15">
        <v>8</v>
      </c>
      <c r="AD201" s="15">
        <v>62622.510248217899</v>
      </c>
      <c r="AF201" s="15">
        <v>2010</v>
      </c>
      <c r="AG201" s="15">
        <v>8</v>
      </c>
      <c r="AH201" s="15">
        <v>62627.330762848898</v>
      </c>
    </row>
    <row r="202" spans="1:34" x14ac:dyDescent="0.25">
      <c r="A202" s="15">
        <v>2010</v>
      </c>
      <c r="B202" s="15">
        <v>9</v>
      </c>
      <c r="C202" s="15">
        <v>62446.325865739098</v>
      </c>
      <c r="F202" s="15">
        <v>2010</v>
      </c>
      <c r="G202" s="15">
        <v>9</v>
      </c>
      <c r="H202" s="15">
        <v>62534.131967857997</v>
      </c>
      <c r="K202" s="18">
        <v>2010</v>
      </c>
      <c r="L202" s="18">
        <v>9</v>
      </c>
      <c r="M202" s="18">
        <v>62444.927006802602</v>
      </c>
      <c r="P202" s="15">
        <v>2010</v>
      </c>
      <c r="Q202" s="15">
        <v>9</v>
      </c>
      <c r="R202" s="15">
        <v>62534.131967857997</v>
      </c>
      <c r="T202" s="15">
        <v>2010</v>
      </c>
      <c r="U202" s="15">
        <v>9</v>
      </c>
      <c r="V202" s="15">
        <v>62740.938513876303</v>
      </c>
      <c r="X202" s="15">
        <v>2010</v>
      </c>
      <c r="Y202" s="15">
        <v>9</v>
      </c>
      <c r="Z202" s="15">
        <v>62738.784177654197</v>
      </c>
      <c r="AB202" s="15">
        <v>2010</v>
      </c>
      <c r="AC202" s="15">
        <v>9</v>
      </c>
      <c r="AD202" s="15">
        <v>62740.011913033297</v>
      </c>
      <c r="AF202" s="15">
        <v>2010</v>
      </c>
      <c r="AG202" s="15">
        <v>9</v>
      </c>
      <c r="AH202" s="15">
        <v>62746.520519166901</v>
      </c>
    </row>
    <row r="203" spans="1:34" x14ac:dyDescent="0.25">
      <c r="A203" s="15">
        <v>2010</v>
      </c>
      <c r="B203" s="15">
        <v>10</v>
      </c>
      <c r="C203" s="15">
        <v>58750.533413599798</v>
      </c>
      <c r="F203" s="15">
        <v>2010</v>
      </c>
      <c r="G203" s="15">
        <v>10</v>
      </c>
      <c r="H203" s="15">
        <v>58608.535434840996</v>
      </c>
      <c r="K203" s="18">
        <v>2010</v>
      </c>
      <c r="L203" s="18">
        <v>10</v>
      </c>
      <c r="M203" s="18">
        <v>58753.651365766898</v>
      </c>
      <c r="P203" s="15">
        <v>2010</v>
      </c>
      <c r="Q203" s="15">
        <v>10</v>
      </c>
      <c r="R203" s="15">
        <v>58608.535434840996</v>
      </c>
      <c r="T203" s="15">
        <v>2010</v>
      </c>
      <c r="U203" s="15">
        <v>10</v>
      </c>
      <c r="V203" s="15">
        <v>59354.827859842298</v>
      </c>
      <c r="X203" s="15">
        <v>2010</v>
      </c>
      <c r="Y203" s="15">
        <v>10</v>
      </c>
      <c r="Z203" s="15">
        <v>59362.972037460597</v>
      </c>
      <c r="AB203" s="15">
        <v>2010</v>
      </c>
      <c r="AC203" s="15">
        <v>10</v>
      </c>
      <c r="AD203" s="15">
        <v>59360.000325332097</v>
      </c>
      <c r="AF203" s="15">
        <v>2010</v>
      </c>
      <c r="AG203" s="15">
        <v>10</v>
      </c>
      <c r="AH203" s="15">
        <v>59341.490617270501</v>
      </c>
    </row>
    <row r="204" spans="1:34" x14ac:dyDescent="0.25">
      <c r="A204" s="15">
        <v>2010</v>
      </c>
      <c r="B204" s="15">
        <v>11</v>
      </c>
      <c r="C204" s="15">
        <v>66625.304826629304</v>
      </c>
      <c r="F204" s="15">
        <v>2010</v>
      </c>
      <c r="G204" s="15">
        <v>11</v>
      </c>
      <c r="H204" s="15">
        <v>66728.770281328907</v>
      </c>
      <c r="K204" s="18">
        <v>2010</v>
      </c>
      <c r="L204" s="18">
        <v>11</v>
      </c>
      <c r="M204" s="18">
        <v>66623.669810192601</v>
      </c>
      <c r="P204" s="15">
        <v>2010</v>
      </c>
      <c r="Q204" s="15">
        <v>11</v>
      </c>
      <c r="R204" s="15">
        <v>66728.770281328907</v>
      </c>
      <c r="T204" s="15">
        <v>2010</v>
      </c>
      <c r="U204" s="15">
        <v>11</v>
      </c>
      <c r="V204" s="15">
        <v>66680.931434408601</v>
      </c>
      <c r="X204" s="15">
        <v>2010</v>
      </c>
      <c r="Y204" s="15">
        <v>11</v>
      </c>
      <c r="Z204" s="15">
        <v>66679.708501662695</v>
      </c>
      <c r="AB204" s="15">
        <v>2010</v>
      </c>
      <c r="AC204" s="15">
        <v>11</v>
      </c>
      <c r="AD204" s="15">
        <v>66680.242491348195</v>
      </c>
      <c r="AF204" s="15">
        <v>2010</v>
      </c>
      <c r="AG204" s="15">
        <v>11</v>
      </c>
      <c r="AH204" s="15">
        <v>66684.226540112402</v>
      </c>
    </row>
    <row r="205" spans="1:34" x14ac:dyDescent="0.25">
      <c r="A205" s="15">
        <v>2010</v>
      </c>
      <c r="B205" s="15">
        <v>12</v>
      </c>
      <c r="C205" s="15">
        <v>68307.347650890006</v>
      </c>
      <c r="F205" s="15">
        <v>2010</v>
      </c>
      <c r="G205" s="15">
        <v>12</v>
      </c>
      <c r="H205" s="15">
        <v>68365.244326831598</v>
      </c>
      <c r="K205" s="18">
        <v>2010</v>
      </c>
      <c r="L205" s="18">
        <v>12</v>
      </c>
      <c r="M205" s="18">
        <v>68303.980279556097</v>
      </c>
      <c r="P205" s="15">
        <v>2010</v>
      </c>
      <c r="Q205" s="15">
        <v>12</v>
      </c>
      <c r="R205" s="15">
        <v>68365.244326831598</v>
      </c>
      <c r="T205" s="15">
        <v>2010</v>
      </c>
      <c r="U205" s="15">
        <v>12</v>
      </c>
      <c r="V205" s="15">
        <v>68041.328340469496</v>
      </c>
      <c r="X205" s="15">
        <v>2010</v>
      </c>
      <c r="Y205" s="15">
        <v>12</v>
      </c>
      <c r="Z205" s="15">
        <v>68038.268663787196</v>
      </c>
      <c r="AB205" s="15">
        <v>2010</v>
      </c>
      <c r="AC205" s="15">
        <v>12</v>
      </c>
      <c r="AD205" s="15">
        <v>68041.1893288883</v>
      </c>
      <c r="AF205" s="15">
        <v>2010</v>
      </c>
      <c r="AG205" s="15">
        <v>12</v>
      </c>
      <c r="AH205" s="15">
        <v>68055.640703732497</v>
      </c>
    </row>
    <row r="206" spans="1:34" x14ac:dyDescent="0.25">
      <c r="A206" s="15">
        <v>2011</v>
      </c>
      <c r="B206" s="15">
        <v>1</v>
      </c>
      <c r="C206" s="15">
        <v>67641.597514551002</v>
      </c>
      <c r="F206" s="15">
        <v>2011</v>
      </c>
      <c r="G206" s="15">
        <v>1</v>
      </c>
      <c r="H206" s="15">
        <v>67531.259622922298</v>
      </c>
      <c r="K206" s="18">
        <v>2011</v>
      </c>
      <c r="L206" s="18">
        <v>1</v>
      </c>
      <c r="M206" s="18">
        <v>67644.089304709894</v>
      </c>
      <c r="P206" s="15">
        <v>2011</v>
      </c>
      <c r="Q206" s="15">
        <v>1</v>
      </c>
      <c r="R206" s="15">
        <v>67531.259622922298</v>
      </c>
      <c r="T206" s="15">
        <v>2011</v>
      </c>
      <c r="U206" s="15">
        <v>1</v>
      </c>
      <c r="V206" s="15">
        <v>68541.675031091101</v>
      </c>
      <c r="X206" s="15">
        <v>2011</v>
      </c>
      <c r="Y206" s="15">
        <v>1</v>
      </c>
      <c r="Z206" s="15">
        <v>68547.698005477097</v>
      </c>
      <c r="AB206" s="15">
        <v>2011</v>
      </c>
      <c r="AC206" s="15">
        <v>1</v>
      </c>
      <c r="AD206" s="15">
        <v>68546.682435864102</v>
      </c>
      <c r="AF206" s="15">
        <v>2011</v>
      </c>
      <c r="AG206" s="15">
        <v>1</v>
      </c>
      <c r="AH206" s="15">
        <v>68535.527003166004</v>
      </c>
    </row>
    <row r="207" spans="1:34" x14ac:dyDescent="0.25">
      <c r="A207" s="15">
        <v>2011</v>
      </c>
      <c r="B207" s="15">
        <v>2</v>
      </c>
      <c r="C207" s="15">
        <v>53294.746708133898</v>
      </c>
      <c r="F207" s="15">
        <v>2011</v>
      </c>
      <c r="G207" s="15">
        <v>2</v>
      </c>
      <c r="H207" s="15">
        <v>52832.915936473197</v>
      </c>
      <c r="K207" s="18">
        <v>2011</v>
      </c>
      <c r="L207" s="18">
        <v>2</v>
      </c>
      <c r="M207" s="18">
        <v>53294.449437568997</v>
      </c>
      <c r="P207" s="15">
        <v>2011</v>
      </c>
      <c r="Q207" s="15">
        <v>2</v>
      </c>
      <c r="R207" s="15">
        <v>52832.915936473197</v>
      </c>
      <c r="T207" s="15">
        <v>2011</v>
      </c>
      <c r="U207" s="15">
        <v>2</v>
      </c>
      <c r="V207" s="15">
        <v>48825.141832109002</v>
      </c>
      <c r="X207" s="15">
        <v>2011</v>
      </c>
      <c r="Y207" s="15">
        <v>2</v>
      </c>
      <c r="Z207" s="15">
        <v>48819.369353133297</v>
      </c>
      <c r="AB207" s="15">
        <v>2011</v>
      </c>
      <c r="AC207" s="15">
        <v>2</v>
      </c>
      <c r="AD207" s="15">
        <v>48816.701850589998</v>
      </c>
      <c r="AF207" s="15">
        <v>2011</v>
      </c>
      <c r="AG207" s="15">
        <v>2</v>
      </c>
      <c r="AH207" s="15">
        <v>48819.2949581551</v>
      </c>
    </row>
    <row r="208" spans="1:34" x14ac:dyDescent="0.25">
      <c r="A208" s="15">
        <v>2011</v>
      </c>
      <c r="B208" s="15">
        <v>3</v>
      </c>
      <c r="C208" s="15">
        <v>65776.213538915297</v>
      </c>
      <c r="F208" s="15">
        <v>2011</v>
      </c>
      <c r="G208" s="15">
        <v>3</v>
      </c>
      <c r="H208" s="15">
        <v>65933.607246133397</v>
      </c>
      <c r="K208" s="18">
        <v>2011</v>
      </c>
      <c r="L208" s="18">
        <v>3</v>
      </c>
      <c r="M208" s="18">
        <v>65773.282124340505</v>
      </c>
      <c r="P208" s="15">
        <v>2011</v>
      </c>
      <c r="Q208" s="15">
        <v>3</v>
      </c>
      <c r="R208" s="15">
        <v>65933.607246133397</v>
      </c>
      <c r="T208" s="15">
        <v>2011</v>
      </c>
      <c r="U208" s="15">
        <v>3</v>
      </c>
      <c r="V208" s="15">
        <v>66282.089021878302</v>
      </c>
      <c r="X208" s="15">
        <v>2011</v>
      </c>
      <c r="Y208" s="15">
        <v>3</v>
      </c>
      <c r="Z208" s="15">
        <v>66274.534855605103</v>
      </c>
      <c r="AB208" s="15">
        <v>2011</v>
      </c>
      <c r="AC208" s="15">
        <v>3</v>
      </c>
      <c r="AD208" s="15">
        <v>66278.952420042595</v>
      </c>
      <c r="AF208" s="15">
        <v>2011</v>
      </c>
      <c r="AG208" s="15">
        <v>3</v>
      </c>
      <c r="AH208" s="15">
        <v>66294.683584820203</v>
      </c>
    </row>
    <row r="209" spans="1:34" x14ac:dyDescent="0.25">
      <c r="A209" s="15">
        <v>2011</v>
      </c>
      <c r="B209" s="15">
        <v>4</v>
      </c>
      <c r="C209" s="15">
        <v>71712.994750905898</v>
      </c>
      <c r="F209" s="15">
        <v>2011</v>
      </c>
      <c r="G209" s="15">
        <v>4</v>
      </c>
      <c r="H209" s="15">
        <v>71632.015853467296</v>
      </c>
      <c r="K209" s="18">
        <v>2011</v>
      </c>
      <c r="L209" s="18">
        <v>4</v>
      </c>
      <c r="M209" s="18">
        <v>71714.531201917096</v>
      </c>
      <c r="P209" s="15">
        <v>2011</v>
      </c>
      <c r="Q209" s="15">
        <v>4</v>
      </c>
      <c r="R209" s="15">
        <v>71632.015853467296</v>
      </c>
      <c r="T209" s="15">
        <v>2011</v>
      </c>
      <c r="U209" s="15">
        <v>4</v>
      </c>
      <c r="V209" s="15">
        <v>72171.4669546933</v>
      </c>
      <c r="X209" s="15">
        <v>2011</v>
      </c>
      <c r="Y209" s="15">
        <v>4</v>
      </c>
      <c r="Z209" s="15">
        <v>72176.834775400304</v>
      </c>
      <c r="AB209" s="15">
        <v>2011</v>
      </c>
      <c r="AC209" s="15">
        <v>4</v>
      </c>
      <c r="AD209" s="15">
        <v>72175.248062119106</v>
      </c>
      <c r="AF209" s="15">
        <v>2011</v>
      </c>
      <c r="AG209" s="15">
        <v>4</v>
      </c>
      <c r="AH209" s="15">
        <v>72164.250533477098</v>
      </c>
    </row>
    <row r="210" spans="1:34" x14ac:dyDescent="0.25">
      <c r="A210" s="15">
        <v>2011</v>
      </c>
      <c r="B210" s="15">
        <v>5</v>
      </c>
      <c r="C210" s="15">
        <v>74440.778248043105</v>
      </c>
      <c r="F210" s="15">
        <v>2011</v>
      </c>
      <c r="G210" s="15">
        <v>5</v>
      </c>
      <c r="H210" s="15">
        <v>74445.725892592993</v>
      </c>
      <c r="K210" s="18">
        <v>2011</v>
      </c>
      <c r="L210" s="18">
        <v>5</v>
      </c>
      <c r="M210" s="18">
        <v>74440.467430296107</v>
      </c>
      <c r="P210" s="15">
        <v>2011</v>
      </c>
      <c r="Q210" s="15">
        <v>5</v>
      </c>
      <c r="R210" s="15">
        <v>74445.725892592993</v>
      </c>
      <c r="T210" s="15">
        <v>2011</v>
      </c>
      <c r="U210" s="15">
        <v>5</v>
      </c>
      <c r="V210" s="15">
        <v>74783.194566544305</v>
      </c>
      <c r="X210" s="15">
        <v>2011</v>
      </c>
      <c r="Y210" s="15">
        <v>5</v>
      </c>
      <c r="Z210" s="15">
        <v>74784.104125749596</v>
      </c>
      <c r="AB210" s="15">
        <v>2011</v>
      </c>
      <c r="AC210" s="15">
        <v>5</v>
      </c>
      <c r="AD210" s="15">
        <v>74784.244883261999</v>
      </c>
      <c r="AF210" s="15">
        <v>2011</v>
      </c>
      <c r="AG210" s="15">
        <v>5</v>
      </c>
      <c r="AH210" s="15">
        <v>74783.880612704001</v>
      </c>
    </row>
    <row r="211" spans="1:34" x14ac:dyDescent="0.25">
      <c r="A211" s="15">
        <v>2011</v>
      </c>
      <c r="B211" s="15">
        <v>6</v>
      </c>
      <c r="C211" s="15">
        <v>74742.202845656502</v>
      </c>
      <c r="F211" s="15">
        <v>2011</v>
      </c>
      <c r="G211" s="15">
        <v>6</v>
      </c>
      <c r="H211" s="15">
        <v>74747.184597777697</v>
      </c>
      <c r="K211" s="18">
        <v>2011</v>
      </c>
      <c r="L211" s="18">
        <v>6</v>
      </c>
      <c r="M211" s="18">
        <v>74745.0643362915</v>
      </c>
      <c r="P211" s="15">
        <v>2011</v>
      </c>
      <c r="Q211" s="15">
        <v>6</v>
      </c>
      <c r="R211" s="15">
        <v>74747.184597777697</v>
      </c>
      <c r="T211" s="15">
        <v>2011</v>
      </c>
      <c r="U211" s="15">
        <v>6</v>
      </c>
      <c r="V211" s="15">
        <v>74448.010300192895</v>
      </c>
      <c r="X211" s="15">
        <v>2011</v>
      </c>
      <c r="Y211" s="15">
        <v>6</v>
      </c>
      <c r="Z211" s="15">
        <v>74450.102572745905</v>
      </c>
      <c r="AB211" s="15">
        <v>2011</v>
      </c>
      <c r="AC211" s="15">
        <v>6</v>
      </c>
      <c r="AD211" s="15">
        <v>74449.718299504602</v>
      </c>
      <c r="AF211" s="15">
        <v>2011</v>
      </c>
      <c r="AG211" s="15">
        <v>6</v>
      </c>
      <c r="AH211" s="15">
        <v>74446.093093844407</v>
      </c>
    </row>
    <row r="212" spans="1:34" x14ac:dyDescent="0.25">
      <c r="A212" s="15">
        <v>2011</v>
      </c>
      <c r="B212" s="15">
        <v>7</v>
      </c>
      <c r="C212" s="15">
        <v>68959.097611973397</v>
      </c>
      <c r="F212" s="15">
        <v>2011</v>
      </c>
      <c r="G212" s="15">
        <v>7</v>
      </c>
      <c r="H212" s="15">
        <v>68770.528736111897</v>
      </c>
      <c r="K212" s="18">
        <v>2011</v>
      </c>
      <c r="L212" s="18">
        <v>7</v>
      </c>
      <c r="M212" s="18">
        <v>68962.684273110601</v>
      </c>
      <c r="P212" s="15">
        <v>2011</v>
      </c>
      <c r="Q212" s="15">
        <v>7</v>
      </c>
      <c r="R212" s="15">
        <v>68770.528736111897</v>
      </c>
      <c r="T212" s="15">
        <v>2011</v>
      </c>
      <c r="U212" s="15">
        <v>7</v>
      </c>
      <c r="V212" s="15">
        <v>69448.293620111494</v>
      </c>
      <c r="X212" s="15">
        <v>2011</v>
      </c>
      <c r="Y212" s="15">
        <v>7</v>
      </c>
      <c r="Z212" s="15">
        <v>69457.156899251699</v>
      </c>
      <c r="AB212" s="15">
        <v>2011</v>
      </c>
      <c r="AC212" s="15">
        <v>7</v>
      </c>
      <c r="AD212" s="15">
        <v>69453.618516318704</v>
      </c>
      <c r="AF212" s="15">
        <v>2011</v>
      </c>
      <c r="AG212" s="15">
        <v>7</v>
      </c>
      <c r="AH212" s="15">
        <v>69432.643770187104</v>
      </c>
    </row>
    <row r="213" spans="1:34" x14ac:dyDescent="0.25">
      <c r="A213" s="15">
        <v>2011</v>
      </c>
      <c r="B213" s="15">
        <v>8</v>
      </c>
      <c r="C213" s="15">
        <v>72894.295386276295</v>
      </c>
      <c r="F213" s="15">
        <v>2011</v>
      </c>
      <c r="G213" s="15">
        <v>8</v>
      </c>
      <c r="H213" s="15">
        <v>73079.327094147404</v>
      </c>
      <c r="K213" s="18">
        <v>2011</v>
      </c>
      <c r="L213" s="18">
        <v>8</v>
      </c>
      <c r="M213" s="18">
        <v>72890.492163457297</v>
      </c>
      <c r="P213" s="15">
        <v>2011</v>
      </c>
      <c r="Q213" s="15">
        <v>8</v>
      </c>
      <c r="R213" s="15">
        <v>73079.327094147404</v>
      </c>
      <c r="T213" s="15">
        <v>2011</v>
      </c>
      <c r="U213" s="15">
        <v>8</v>
      </c>
      <c r="V213" s="15">
        <v>73320.3470717983</v>
      </c>
      <c r="X213" s="15">
        <v>2011</v>
      </c>
      <c r="Y213" s="15">
        <v>8</v>
      </c>
      <c r="Z213" s="15">
        <v>73310.765331913906</v>
      </c>
      <c r="AB213" s="15">
        <v>2011</v>
      </c>
      <c r="AC213" s="15">
        <v>8</v>
      </c>
      <c r="AD213" s="15">
        <v>73314.596924382306</v>
      </c>
      <c r="AF213" s="15">
        <v>2011</v>
      </c>
      <c r="AG213" s="15">
        <v>8</v>
      </c>
      <c r="AH213" s="15">
        <v>73338.173702762506</v>
      </c>
    </row>
    <row r="214" spans="1:34" x14ac:dyDescent="0.25">
      <c r="A214" s="15">
        <v>2011</v>
      </c>
      <c r="B214" s="15">
        <v>9</v>
      </c>
      <c r="C214" s="15">
        <v>69006.700427763397</v>
      </c>
      <c r="F214" s="15">
        <v>2011</v>
      </c>
      <c r="G214" s="15">
        <v>9</v>
      </c>
      <c r="H214" s="15">
        <v>69120.942975371305</v>
      </c>
      <c r="K214" s="18">
        <v>2011</v>
      </c>
      <c r="L214" s="18">
        <v>9</v>
      </c>
      <c r="M214" s="18">
        <v>69005.110154905095</v>
      </c>
      <c r="P214" s="15">
        <v>2011</v>
      </c>
      <c r="Q214" s="15">
        <v>9</v>
      </c>
      <c r="R214" s="15">
        <v>69120.942975371305</v>
      </c>
      <c r="T214" s="15">
        <v>2011</v>
      </c>
      <c r="U214" s="15">
        <v>9</v>
      </c>
      <c r="V214" s="15">
        <v>69209.715158798601</v>
      </c>
      <c r="X214" s="15">
        <v>2011</v>
      </c>
      <c r="Y214" s="15">
        <v>9</v>
      </c>
      <c r="Z214" s="15">
        <v>69206.885807717103</v>
      </c>
      <c r="AB214" s="15">
        <v>2011</v>
      </c>
      <c r="AC214" s="15">
        <v>9</v>
      </c>
      <c r="AD214" s="15">
        <v>69208.249460652602</v>
      </c>
      <c r="AF214" s="15">
        <v>2011</v>
      </c>
      <c r="AG214" s="15">
        <v>9</v>
      </c>
      <c r="AH214" s="15">
        <v>69216.201316942999</v>
      </c>
    </row>
    <row r="215" spans="1:34" x14ac:dyDescent="0.25">
      <c r="A215" s="15">
        <v>2011</v>
      </c>
      <c r="B215" s="15">
        <v>10</v>
      </c>
      <c r="C215" s="15">
        <v>65175.321312469699</v>
      </c>
      <c r="F215" s="15">
        <v>2011</v>
      </c>
      <c r="G215" s="15">
        <v>10</v>
      </c>
      <c r="H215" s="15">
        <v>65044.630373025502</v>
      </c>
      <c r="K215" s="18">
        <v>2011</v>
      </c>
      <c r="L215" s="18">
        <v>10</v>
      </c>
      <c r="M215" s="18">
        <v>65178.621937993703</v>
      </c>
      <c r="P215" s="15">
        <v>2011</v>
      </c>
      <c r="Q215" s="15">
        <v>10</v>
      </c>
      <c r="R215" s="15">
        <v>65044.630373025502</v>
      </c>
      <c r="T215" s="15">
        <v>2011</v>
      </c>
      <c r="U215" s="15">
        <v>10</v>
      </c>
      <c r="V215" s="15">
        <v>65787.818972467503</v>
      </c>
      <c r="X215" s="15">
        <v>2011</v>
      </c>
      <c r="Y215" s="15">
        <v>10</v>
      </c>
      <c r="Z215" s="15">
        <v>65795.808180814303</v>
      </c>
      <c r="AB215" s="15">
        <v>2011</v>
      </c>
      <c r="AC215" s="15">
        <v>10</v>
      </c>
      <c r="AD215" s="15">
        <v>65792.737285690397</v>
      </c>
      <c r="AF215" s="15">
        <v>2011</v>
      </c>
      <c r="AG215" s="15">
        <v>10</v>
      </c>
      <c r="AH215" s="15">
        <v>65774.533572839602</v>
      </c>
    </row>
    <row r="216" spans="1:34" x14ac:dyDescent="0.25">
      <c r="A216" s="15">
        <v>2011</v>
      </c>
      <c r="B216" s="15">
        <v>11</v>
      </c>
      <c r="C216" s="15">
        <v>65562.834486435095</v>
      </c>
      <c r="F216" s="15">
        <v>2011</v>
      </c>
      <c r="G216" s="15">
        <v>11</v>
      </c>
      <c r="H216" s="15">
        <v>65697.619469973404</v>
      </c>
      <c r="K216" s="18">
        <v>2011</v>
      </c>
      <c r="L216" s="18">
        <v>11</v>
      </c>
      <c r="M216" s="18">
        <v>65561.050035996494</v>
      </c>
      <c r="P216" s="15">
        <v>2011</v>
      </c>
      <c r="Q216" s="15">
        <v>11</v>
      </c>
      <c r="R216" s="15">
        <v>65697.619469973404</v>
      </c>
      <c r="T216" s="15">
        <v>2011</v>
      </c>
      <c r="U216" s="15">
        <v>11</v>
      </c>
      <c r="V216" s="15">
        <v>65667.122641973299</v>
      </c>
      <c r="X216" s="15">
        <v>2011</v>
      </c>
      <c r="Y216" s="15">
        <v>11</v>
      </c>
      <c r="Z216" s="15">
        <v>65665.000549415199</v>
      </c>
      <c r="AB216" s="15">
        <v>2011</v>
      </c>
      <c r="AC216" s="15">
        <v>11</v>
      </c>
      <c r="AD216" s="15">
        <v>65665.963013762695</v>
      </c>
      <c r="AF216" s="15">
        <v>2011</v>
      </c>
      <c r="AG216" s="15">
        <v>11</v>
      </c>
      <c r="AH216" s="15">
        <v>65672.226687644899</v>
      </c>
    </row>
    <row r="217" spans="1:34" x14ac:dyDescent="0.25">
      <c r="A217" s="15">
        <v>2011</v>
      </c>
      <c r="B217" s="15">
        <v>12</v>
      </c>
      <c r="C217" s="15">
        <v>57768.293999612099</v>
      </c>
      <c r="F217" s="15">
        <v>2011</v>
      </c>
      <c r="G217" s="15">
        <v>12</v>
      </c>
      <c r="H217" s="15">
        <v>57706.323746498398</v>
      </c>
      <c r="K217" s="18">
        <v>2011</v>
      </c>
      <c r="L217" s="18">
        <v>12</v>
      </c>
      <c r="M217" s="18">
        <v>57767.868467311499</v>
      </c>
      <c r="P217" s="15">
        <v>2011</v>
      </c>
      <c r="Q217" s="15">
        <v>12</v>
      </c>
      <c r="R217" s="15">
        <v>57706.323746498398</v>
      </c>
      <c r="T217" s="15">
        <v>2011</v>
      </c>
      <c r="U217" s="15">
        <v>12</v>
      </c>
      <c r="V217" s="15">
        <v>57672.487624219903</v>
      </c>
      <c r="X217" s="15">
        <v>2011</v>
      </c>
      <c r="Y217" s="15">
        <v>12</v>
      </c>
      <c r="Z217" s="15">
        <v>57676.837555546801</v>
      </c>
      <c r="AB217" s="15">
        <v>2011</v>
      </c>
      <c r="AC217" s="15">
        <v>12</v>
      </c>
      <c r="AD217" s="15">
        <v>57676.882894405797</v>
      </c>
      <c r="AF217" s="15">
        <v>2011</v>
      </c>
      <c r="AG217" s="15">
        <v>12</v>
      </c>
      <c r="AH217" s="15">
        <v>57673.465725711903</v>
      </c>
    </row>
    <row r="218" spans="1:34" x14ac:dyDescent="0.25">
      <c r="A218" s="15">
        <v>2012</v>
      </c>
      <c r="B218" s="15">
        <v>1</v>
      </c>
      <c r="C218" s="15">
        <v>62846.947664022598</v>
      </c>
      <c r="F218" s="15">
        <v>2012</v>
      </c>
      <c r="G218" s="15">
        <v>1</v>
      </c>
      <c r="H218" s="15">
        <v>62922.782366110303</v>
      </c>
      <c r="K218" s="18">
        <v>2012</v>
      </c>
      <c r="L218" s="18">
        <v>1</v>
      </c>
      <c r="M218" s="18">
        <v>62846.4088260559</v>
      </c>
      <c r="P218" s="15">
        <v>2012</v>
      </c>
      <c r="Q218" s="15">
        <v>1</v>
      </c>
      <c r="R218" s="15">
        <v>62922.782366110303</v>
      </c>
      <c r="T218" s="15">
        <v>2012</v>
      </c>
      <c r="U218" s="15">
        <v>1</v>
      </c>
      <c r="V218" s="15">
        <v>63078.947722934201</v>
      </c>
      <c r="X218" s="15">
        <v>2012</v>
      </c>
      <c r="Y218" s="15">
        <v>1</v>
      </c>
      <c r="Z218" s="15">
        <v>63077.983130689201</v>
      </c>
      <c r="AB218" s="15">
        <v>2012</v>
      </c>
      <c r="AC218" s="15">
        <v>1</v>
      </c>
      <c r="AD218" s="15">
        <v>63078.691690564097</v>
      </c>
      <c r="AF218" s="15">
        <v>2012</v>
      </c>
      <c r="AG218" s="15">
        <v>1</v>
      </c>
      <c r="AH218" s="15">
        <v>63082.706840712803</v>
      </c>
    </row>
    <row r="219" spans="1:34" x14ac:dyDescent="0.25">
      <c r="A219" s="15">
        <v>2012</v>
      </c>
      <c r="B219" s="15">
        <v>2</v>
      </c>
      <c r="C219" s="15">
        <v>62492.570075303302</v>
      </c>
      <c r="F219" s="15">
        <v>2012</v>
      </c>
      <c r="G219" s="15">
        <v>2</v>
      </c>
      <c r="H219" s="15">
        <v>63495.232270640197</v>
      </c>
      <c r="K219" s="18">
        <v>2012</v>
      </c>
      <c r="L219" s="18">
        <v>2</v>
      </c>
      <c r="M219" s="18">
        <v>62489.766595352899</v>
      </c>
      <c r="P219" s="15">
        <v>2012</v>
      </c>
      <c r="Q219" s="15">
        <v>2</v>
      </c>
      <c r="R219" s="15">
        <v>63495.232270640197</v>
      </c>
      <c r="T219" s="15">
        <v>2012</v>
      </c>
      <c r="U219" s="15">
        <v>2</v>
      </c>
      <c r="V219" s="15">
        <v>62497.419250500199</v>
      </c>
      <c r="X219" s="15">
        <v>2012</v>
      </c>
      <c r="Y219" s="15">
        <v>2</v>
      </c>
      <c r="Z219" s="15">
        <v>62477.451536004999</v>
      </c>
      <c r="AB219" s="15">
        <v>2012</v>
      </c>
      <c r="AC219" s="15">
        <v>2</v>
      </c>
      <c r="AD219" s="15">
        <v>62475.527853429499</v>
      </c>
      <c r="AF219" s="15">
        <v>2012</v>
      </c>
      <c r="AG219" s="15">
        <v>2</v>
      </c>
      <c r="AH219" s="15">
        <v>62490.408119314801</v>
      </c>
    </row>
    <row r="220" spans="1:34" x14ac:dyDescent="0.25">
      <c r="A220" s="15">
        <v>2012</v>
      </c>
      <c r="B220" s="15">
        <v>3</v>
      </c>
      <c r="C220" s="15">
        <v>63402.663367314002</v>
      </c>
      <c r="F220" s="15">
        <v>2012</v>
      </c>
      <c r="G220" s="15">
        <v>3</v>
      </c>
      <c r="H220" s="15">
        <v>63472.828527973397</v>
      </c>
      <c r="K220" s="18">
        <v>2012</v>
      </c>
      <c r="L220" s="18">
        <v>3</v>
      </c>
      <c r="M220" s="18">
        <v>63402.015682810503</v>
      </c>
      <c r="P220" s="15">
        <v>2012</v>
      </c>
      <c r="Q220" s="15">
        <v>3</v>
      </c>
      <c r="R220" s="15">
        <v>63472.828527973397</v>
      </c>
      <c r="T220" s="15">
        <v>2012</v>
      </c>
      <c r="U220" s="15">
        <v>3</v>
      </c>
      <c r="V220" s="15">
        <v>63928.406356839798</v>
      </c>
      <c r="X220" s="15">
        <v>2012</v>
      </c>
      <c r="Y220" s="15">
        <v>3</v>
      </c>
      <c r="Z220" s="15">
        <v>63926.963373844199</v>
      </c>
      <c r="AB220" s="15">
        <v>2012</v>
      </c>
      <c r="AC220" s="15">
        <v>3</v>
      </c>
      <c r="AD220" s="15">
        <v>63928.670655776798</v>
      </c>
      <c r="AF220" s="15">
        <v>2012</v>
      </c>
      <c r="AG220" s="15">
        <v>3</v>
      </c>
      <c r="AH220" s="15">
        <v>63929.231567285897</v>
      </c>
    </row>
    <row r="221" spans="1:34" x14ac:dyDescent="0.25">
      <c r="A221" s="15">
        <v>2012</v>
      </c>
      <c r="B221" s="15">
        <v>4</v>
      </c>
      <c r="C221" s="15">
        <v>53904.345017120002</v>
      </c>
      <c r="F221" s="15">
        <v>2012</v>
      </c>
      <c r="G221" s="15">
        <v>4</v>
      </c>
      <c r="H221" s="15">
        <v>53866.064793109297</v>
      </c>
      <c r="K221" s="18">
        <v>2012</v>
      </c>
      <c r="L221" s="18">
        <v>4</v>
      </c>
      <c r="M221" s="18">
        <v>53905.534311063398</v>
      </c>
      <c r="P221" s="15">
        <v>2012</v>
      </c>
      <c r="Q221" s="15">
        <v>4</v>
      </c>
      <c r="R221" s="15">
        <v>53866.064793109297</v>
      </c>
      <c r="T221" s="15">
        <v>2012</v>
      </c>
      <c r="U221" s="15">
        <v>4</v>
      </c>
      <c r="V221" s="15">
        <v>54293.457435923403</v>
      </c>
      <c r="X221" s="15">
        <v>2012</v>
      </c>
      <c r="Y221" s="15">
        <v>4</v>
      </c>
      <c r="Z221" s="15">
        <v>54298.512089117503</v>
      </c>
      <c r="AB221" s="15">
        <v>2012</v>
      </c>
      <c r="AC221" s="15">
        <v>4</v>
      </c>
      <c r="AD221" s="15">
        <v>54296.891441154403</v>
      </c>
      <c r="AF221" s="15">
        <v>2012</v>
      </c>
      <c r="AG221" s="15">
        <v>4</v>
      </c>
      <c r="AH221" s="15">
        <v>54286.480338447902</v>
      </c>
    </row>
    <row r="222" spans="1:34" x14ac:dyDescent="0.25">
      <c r="A222" s="15">
        <v>2012</v>
      </c>
      <c r="B222" s="15">
        <v>5</v>
      </c>
      <c r="C222" s="15">
        <v>53750.340668128702</v>
      </c>
      <c r="F222" s="15">
        <v>2012</v>
      </c>
      <c r="G222" s="15">
        <v>5</v>
      </c>
      <c r="H222" s="15">
        <v>53927.156568947503</v>
      </c>
      <c r="K222" s="18">
        <v>2012</v>
      </c>
      <c r="L222" s="18">
        <v>5</v>
      </c>
      <c r="M222" s="18">
        <v>53747.067084285503</v>
      </c>
      <c r="P222" s="15">
        <v>2012</v>
      </c>
      <c r="Q222" s="15">
        <v>5</v>
      </c>
      <c r="R222" s="15">
        <v>53927.156568947503</v>
      </c>
      <c r="T222" s="15">
        <v>2012</v>
      </c>
      <c r="U222" s="15">
        <v>5</v>
      </c>
      <c r="V222" s="15">
        <v>53935.5230233693</v>
      </c>
      <c r="X222" s="15">
        <v>2012</v>
      </c>
      <c r="Y222" s="15">
        <v>5</v>
      </c>
      <c r="Z222" s="15">
        <v>53929.661394983799</v>
      </c>
      <c r="AB222" s="15">
        <v>2012</v>
      </c>
      <c r="AC222" s="15">
        <v>5</v>
      </c>
      <c r="AD222" s="15">
        <v>53932.4716234566</v>
      </c>
      <c r="AF222" s="15">
        <v>2012</v>
      </c>
      <c r="AG222" s="15">
        <v>5</v>
      </c>
      <c r="AH222" s="15">
        <v>53948.570942450999</v>
      </c>
    </row>
    <row r="223" spans="1:34" x14ac:dyDescent="0.25">
      <c r="A223" s="15">
        <v>2012</v>
      </c>
      <c r="B223" s="15">
        <v>6</v>
      </c>
      <c r="C223" s="15">
        <v>48517.642527340802</v>
      </c>
      <c r="F223" s="15">
        <v>2012</v>
      </c>
      <c r="G223" s="15">
        <v>6</v>
      </c>
      <c r="H223" s="15">
        <v>48408.385673655997</v>
      </c>
      <c r="K223" s="18">
        <v>2012</v>
      </c>
      <c r="L223" s="18">
        <v>6</v>
      </c>
      <c r="M223" s="18">
        <v>48524.261083527199</v>
      </c>
      <c r="P223" s="15">
        <v>2012</v>
      </c>
      <c r="Q223" s="15">
        <v>6</v>
      </c>
      <c r="R223" s="15">
        <v>48408.385673655997</v>
      </c>
      <c r="T223" s="15">
        <v>2012</v>
      </c>
      <c r="U223" s="15">
        <v>6</v>
      </c>
      <c r="V223" s="15">
        <v>48437.095828537698</v>
      </c>
      <c r="X223" s="15">
        <v>2012</v>
      </c>
      <c r="Y223" s="15">
        <v>6</v>
      </c>
      <c r="Z223" s="15">
        <v>48444.977604270003</v>
      </c>
      <c r="AB223" s="15">
        <v>2012</v>
      </c>
      <c r="AC223" s="15">
        <v>6</v>
      </c>
      <c r="AD223" s="15">
        <v>48441.774894700298</v>
      </c>
      <c r="AF223" s="15">
        <v>2012</v>
      </c>
      <c r="AG223" s="15">
        <v>6</v>
      </c>
      <c r="AH223" s="15">
        <v>48422.660105950701</v>
      </c>
    </row>
    <row r="224" spans="1:34" x14ac:dyDescent="0.25">
      <c r="A224" s="15">
        <v>2012</v>
      </c>
      <c r="B224" s="15">
        <v>7</v>
      </c>
      <c r="C224" s="15">
        <v>63230.822008535601</v>
      </c>
      <c r="F224" s="15">
        <v>2012</v>
      </c>
      <c r="G224" s="15">
        <v>7</v>
      </c>
      <c r="H224" s="15">
        <v>63214.380459044201</v>
      </c>
      <c r="K224" s="18">
        <v>2012</v>
      </c>
      <c r="L224" s="18">
        <v>7</v>
      </c>
      <c r="M224" s="18">
        <v>63231.443944292798</v>
      </c>
      <c r="P224" s="15">
        <v>2012</v>
      </c>
      <c r="Q224" s="15">
        <v>7</v>
      </c>
      <c r="R224" s="15">
        <v>63214.380459044201</v>
      </c>
      <c r="T224" s="15">
        <v>2012</v>
      </c>
      <c r="U224" s="15">
        <v>7</v>
      </c>
      <c r="V224" s="15">
        <v>63531.929880325297</v>
      </c>
      <c r="X224" s="15">
        <v>2012</v>
      </c>
      <c r="Y224" s="15">
        <v>7</v>
      </c>
      <c r="Z224" s="15">
        <v>63534.429922423398</v>
      </c>
      <c r="AB224" s="15">
        <v>2012</v>
      </c>
      <c r="AC224" s="15">
        <v>7</v>
      </c>
      <c r="AD224" s="15">
        <v>63533.694000143099</v>
      </c>
      <c r="AF224" s="15">
        <v>2012</v>
      </c>
      <c r="AG224" s="15">
        <v>7</v>
      </c>
      <c r="AH224" s="15">
        <v>63528.8828294868</v>
      </c>
    </row>
    <row r="225" spans="1:34" x14ac:dyDescent="0.25">
      <c r="A225" s="15">
        <v>2012</v>
      </c>
      <c r="B225" s="15">
        <v>8</v>
      </c>
      <c r="C225" s="15">
        <v>69273.294990725102</v>
      </c>
      <c r="F225" s="15">
        <v>2012</v>
      </c>
      <c r="G225" s="15">
        <v>8</v>
      </c>
      <c r="H225" s="15">
        <v>69481.096230020295</v>
      </c>
      <c r="K225" s="18">
        <v>2012</v>
      </c>
      <c r="L225" s="18">
        <v>8</v>
      </c>
      <c r="M225" s="18">
        <v>69269.509837268197</v>
      </c>
      <c r="P225" s="15">
        <v>2012</v>
      </c>
      <c r="Q225" s="15">
        <v>8</v>
      </c>
      <c r="R225" s="15">
        <v>69481.096230020295</v>
      </c>
      <c r="T225" s="15">
        <v>2012</v>
      </c>
      <c r="U225" s="15">
        <v>8</v>
      </c>
      <c r="V225" s="15">
        <v>69561.749613284206</v>
      </c>
      <c r="X225" s="15">
        <v>2012</v>
      </c>
      <c r="Y225" s="15">
        <v>8</v>
      </c>
      <c r="Z225" s="15">
        <v>69552.564518654297</v>
      </c>
      <c r="AB225" s="15">
        <v>2012</v>
      </c>
      <c r="AC225" s="15">
        <v>8</v>
      </c>
      <c r="AD225" s="15">
        <v>69556.010836859496</v>
      </c>
      <c r="AF225" s="15">
        <v>2012</v>
      </c>
      <c r="AG225" s="15">
        <v>8</v>
      </c>
      <c r="AH225" s="15">
        <v>69578.270173649697</v>
      </c>
    </row>
    <row r="226" spans="1:34" x14ac:dyDescent="0.25">
      <c r="A226" s="15">
        <v>2012</v>
      </c>
      <c r="B226" s="15">
        <v>9</v>
      </c>
      <c r="C226" s="15">
        <v>60959.945818783301</v>
      </c>
      <c r="F226" s="15">
        <v>2012</v>
      </c>
      <c r="G226" s="15">
        <v>9</v>
      </c>
      <c r="H226" s="15">
        <v>60785.094629903797</v>
      </c>
      <c r="K226" s="18">
        <v>2012</v>
      </c>
      <c r="L226" s="18">
        <v>9</v>
      </c>
      <c r="M226" s="18">
        <v>60964.366236452297</v>
      </c>
      <c r="P226" s="15">
        <v>2012</v>
      </c>
      <c r="Q226" s="15">
        <v>9</v>
      </c>
      <c r="R226" s="15">
        <v>60785.094629903797</v>
      </c>
      <c r="T226" s="15">
        <v>2012</v>
      </c>
      <c r="U226" s="15">
        <v>9</v>
      </c>
      <c r="V226" s="15">
        <v>61320.715626235899</v>
      </c>
      <c r="X226" s="15">
        <v>2012</v>
      </c>
      <c r="Y226" s="15">
        <v>9</v>
      </c>
      <c r="Z226" s="15">
        <v>61331.683637299699</v>
      </c>
      <c r="AB226" s="15">
        <v>2012</v>
      </c>
      <c r="AC226" s="15">
        <v>9</v>
      </c>
      <c r="AD226" s="15">
        <v>61327.173888379002</v>
      </c>
      <c r="AF226" s="15">
        <v>2012</v>
      </c>
      <c r="AG226" s="15">
        <v>9</v>
      </c>
      <c r="AH226" s="15">
        <v>61300.928379487901</v>
      </c>
    </row>
    <row r="227" spans="1:34" x14ac:dyDescent="0.25">
      <c r="A227" s="15">
        <v>2012</v>
      </c>
      <c r="B227" s="15">
        <v>10</v>
      </c>
      <c r="C227" s="15">
        <v>67794.717786107198</v>
      </c>
      <c r="F227" s="15">
        <v>2012</v>
      </c>
      <c r="G227" s="15">
        <v>10</v>
      </c>
      <c r="H227" s="15">
        <v>67971.169848769496</v>
      </c>
      <c r="K227" s="18">
        <v>2012</v>
      </c>
      <c r="L227" s="18">
        <v>10</v>
      </c>
      <c r="M227" s="18">
        <v>67792.252715122901</v>
      </c>
      <c r="P227" s="15">
        <v>2012</v>
      </c>
      <c r="Q227" s="15">
        <v>10</v>
      </c>
      <c r="R227" s="15">
        <v>67971.169848769496</v>
      </c>
      <c r="T227" s="15">
        <v>2012</v>
      </c>
      <c r="U227" s="15">
        <v>10</v>
      </c>
      <c r="V227" s="15">
        <v>68168.692422336593</v>
      </c>
      <c r="X227" s="15">
        <v>2012</v>
      </c>
      <c r="Y227" s="15">
        <v>10</v>
      </c>
      <c r="Z227" s="15">
        <v>68162.301873120698</v>
      </c>
      <c r="AB227" s="15">
        <v>2012</v>
      </c>
      <c r="AC227" s="15">
        <v>10</v>
      </c>
      <c r="AD227" s="15">
        <v>68164.900949567906</v>
      </c>
      <c r="AF227" s="15">
        <v>2012</v>
      </c>
      <c r="AG227" s="15">
        <v>10</v>
      </c>
      <c r="AH227" s="15">
        <v>68181.759363132005</v>
      </c>
    </row>
    <row r="228" spans="1:34" x14ac:dyDescent="0.25">
      <c r="A228" s="15">
        <v>2012</v>
      </c>
      <c r="B228" s="15">
        <v>11</v>
      </c>
      <c r="C228" s="15">
        <v>68816.468374339296</v>
      </c>
      <c r="F228" s="15">
        <v>2012</v>
      </c>
      <c r="G228" s="15">
        <v>11</v>
      </c>
      <c r="H228" s="15">
        <v>68970.031675462102</v>
      </c>
      <c r="K228" s="18">
        <v>2012</v>
      </c>
      <c r="L228" s="18">
        <v>11</v>
      </c>
      <c r="M228" s="18">
        <v>68814.282360868296</v>
      </c>
      <c r="P228" s="15">
        <v>2012</v>
      </c>
      <c r="Q228" s="15">
        <v>11</v>
      </c>
      <c r="R228" s="15">
        <v>68970.031675462102</v>
      </c>
      <c r="T228" s="15">
        <v>2012</v>
      </c>
      <c r="U228" s="15">
        <v>11</v>
      </c>
      <c r="V228" s="15">
        <v>68915.873769799597</v>
      </c>
      <c r="X228" s="15">
        <v>2012</v>
      </c>
      <c r="Y228" s="15">
        <v>11</v>
      </c>
      <c r="Z228" s="15">
        <v>68912.274912362394</v>
      </c>
      <c r="AB228" s="15">
        <v>2012</v>
      </c>
      <c r="AC228" s="15">
        <v>11</v>
      </c>
      <c r="AD228" s="15">
        <v>68913.729911479997</v>
      </c>
      <c r="AF228" s="15">
        <v>2012</v>
      </c>
      <c r="AG228" s="15">
        <v>11</v>
      </c>
      <c r="AH228" s="15">
        <v>68923.132701568495</v>
      </c>
    </row>
    <row r="229" spans="1:34" x14ac:dyDescent="0.25">
      <c r="A229" s="15">
        <v>2012</v>
      </c>
      <c r="B229" s="15">
        <v>12</v>
      </c>
      <c r="C229" s="15">
        <v>69715.0446526593</v>
      </c>
      <c r="F229" s="15">
        <v>2012</v>
      </c>
      <c r="G229" s="15">
        <v>12</v>
      </c>
      <c r="H229" s="15">
        <v>69493.819927013697</v>
      </c>
      <c r="K229" s="18">
        <v>2012</v>
      </c>
      <c r="L229" s="18">
        <v>12</v>
      </c>
      <c r="M229" s="18">
        <v>69717.487842433693</v>
      </c>
      <c r="P229" s="15">
        <v>2012</v>
      </c>
      <c r="Q229" s="15">
        <v>12</v>
      </c>
      <c r="R229" s="15">
        <v>69493.819927013697</v>
      </c>
      <c r="T229" s="15">
        <v>2012</v>
      </c>
      <c r="U229" s="15">
        <v>12</v>
      </c>
      <c r="V229" s="15">
        <v>69710.303692345202</v>
      </c>
      <c r="X229" s="15">
        <v>2012</v>
      </c>
      <c r="Y229" s="15">
        <v>12</v>
      </c>
      <c r="Z229" s="15">
        <v>69721.687807742201</v>
      </c>
      <c r="AB229" s="15">
        <v>2012</v>
      </c>
      <c r="AC229" s="15">
        <v>12</v>
      </c>
      <c r="AD229" s="15">
        <v>69718.710948134001</v>
      </c>
      <c r="AF229" s="15">
        <v>2012</v>
      </c>
      <c r="AG229" s="15">
        <v>12</v>
      </c>
      <c r="AH229" s="15">
        <v>69697.164348466395</v>
      </c>
    </row>
    <row r="230" spans="1:34" x14ac:dyDescent="0.25">
      <c r="A230" s="15">
        <v>2013</v>
      </c>
      <c r="B230" s="15">
        <v>1</v>
      </c>
      <c r="C230" s="15">
        <v>64243.567394719299</v>
      </c>
      <c r="F230" s="15">
        <v>2013</v>
      </c>
      <c r="G230" s="15">
        <v>1</v>
      </c>
      <c r="H230" s="15">
        <v>64453.912167402603</v>
      </c>
      <c r="K230" s="18">
        <v>2013</v>
      </c>
      <c r="L230" s="18">
        <v>1</v>
      </c>
      <c r="M230" s="18">
        <v>64239.9342163236</v>
      </c>
      <c r="P230" s="15">
        <v>2013</v>
      </c>
      <c r="Q230" s="15">
        <v>1</v>
      </c>
      <c r="R230" s="15">
        <v>64453.912167402603</v>
      </c>
      <c r="T230" s="15">
        <v>2013</v>
      </c>
      <c r="U230" s="15">
        <v>1</v>
      </c>
      <c r="V230" s="15">
        <v>64153.720555816202</v>
      </c>
      <c r="X230" s="15">
        <v>2013</v>
      </c>
      <c r="Y230" s="15">
        <v>1</v>
      </c>
      <c r="Z230" s="15">
        <v>64145.518706802402</v>
      </c>
      <c r="AB230" s="15">
        <v>2013</v>
      </c>
      <c r="AC230" s="15">
        <v>1</v>
      </c>
      <c r="AD230" s="15">
        <v>64148.610460055803</v>
      </c>
      <c r="AF230" s="15">
        <v>2013</v>
      </c>
      <c r="AG230" s="15">
        <v>1</v>
      </c>
      <c r="AH230" s="15">
        <v>64168.5378434874</v>
      </c>
    </row>
    <row r="231" spans="1:34" x14ac:dyDescent="0.25">
      <c r="A231" s="15">
        <v>2013</v>
      </c>
      <c r="B231" s="15">
        <v>2</v>
      </c>
      <c r="C231" s="15">
        <v>59993.0750791104</v>
      </c>
      <c r="F231" s="15">
        <v>2013</v>
      </c>
      <c r="G231" s="15">
        <v>2</v>
      </c>
      <c r="H231" s="15">
        <v>59078.076191800603</v>
      </c>
      <c r="K231" s="18">
        <v>2013</v>
      </c>
      <c r="L231" s="18">
        <v>2</v>
      </c>
      <c r="M231" s="18">
        <v>59993.916122266099</v>
      </c>
      <c r="P231" s="15">
        <v>2013</v>
      </c>
      <c r="Q231" s="15">
        <v>2</v>
      </c>
      <c r="R231" s="15">
        <v>59078.076191800603</v>
      </c>
      <c r="T231" s="15">
        <v>2013</v>
      </c>
      <c r="U231" s="15">
        <v>2</v>
      </c>
      <c r="V231" s="15">
        <v>57112.095834912703</v>
      </c>
      <c r="X231" s="15">
        <v>2013</v>
      </c>
      <c r="Y231" s="15">
        <v>2</v>
      </c>
      <c r="Z231" s="15">
        <v>57113.005507756898</v>
      </c>
      <c r="AB231" s="15">
        <v>2013</v>
      </c>
      <c r="AC231" s="15">
        <v>2</v>
      </c>
      <c r="AD231" s="15">
        <v>57112.626134368598</v>
      </c>
      <c r="AF231" s="15">
        <v>2013</v>
      </c>
      <c r="AG231" s="15">
        <v>2</v>
      </c>
      <c r="AH231" s="15">
        <v>57109.465496623801</v>
      </c>
    </row>
    <row r="232" spans="1:34" x14ac:dyDescent="0.25">
      <c r="A232" s="15">
        <v>2013</v>
      </c>
      <c r="B232" s="15">
        <v>3</v>
      </c>
      <c r="C232" s="15">
        <v>73662.111049202605</v>
      </c>
      <c r="F232" s="15">
        <v>2013</v>
      </c>
      <c r="G232" s="15">
        <v>3</v>
      </c>
      <c r="H232" s="15">
        <v>73596.809005220901</v>
      </c>
      <c r="K232" s="18">
        <v>2013</v>
      </c>
      <c r="L232" s="18">
        <v>3</v>
      </c>
      <c r="M232" s="18">
        <v>73663.8564093647</v>
      </c>
      <c r="P232" s="15">
        <v>2013</v>
      </c>
      <c r="Q232" s="15">
        <v>3</v>
      </c>
      <c r="R232" s="15">
        <v>73596.809005220901</v>
      </c>
      <c r="T232" s="15">
        <v>2013</v>
      </c>
      <c r="U232" s="15">
        <v>3</v>
      </c>
      <c r="V232" s="15">
        <v>74139.021972360104</v>
      </c>
      <c r="X232" s="15">
        <v>2013</v>
      </c>
      <c r="Y232" s="15">
        <v>3</v>
      </c>
      <c r="Z232" s="15">
        <v>74144.755132847698</v>
      </c>
      <c r="AB232" s="15">
        <v>2013</v>
      </c>
      <c r="AC232" s="15">
        <v>3</v>
      </c>
      <c r="AD232" s="15">
        <v>74143.159523272407</v>
      </c>
      <c r="AF232" s="15">
        <v>2013</v>
      </c>
      <c r="AG232" s="15">
        <v>3</v>
      </c>
      <c r="AH232" s="15">
        <v>74126.655326587701</v>
      </c>
    </row>
    <row r="233" spans="1:34" x14ac:dyDescent="0.25">
      <c r="A233" s="15">
        <v>2013</v>
      </c>
      <c r="B233" s="15">
        <v>4</v>
      </c>
      <c r="C233" s="15">
        <v>71468.126987108306</v>
      </c>
      <c r="F233" s="15">
        <v>2013</v>
      </c>
      <c r="G233" s="15">
        <v>4</v>
      </c>
      <c r="H233" s="15">
        <v>71597.211819174394</v>
      </c>
      <c r="K233" s="18">
        <v>2013</v>
      </c>
      <c r="L233" s="18">
        <v>4</v>
      </c>
      <c r="M233" s="18">
        <v>71466.079316201794</v>
      </c>
      <c r="P233" s="15">
        <v>2013</v>
      </c>
      <c r="Q233" s="15">
        <v>4</v>
      </c>
      <c r="R233" s="15">
        <v>71597.211819174394</v>
      </c>
      <c r="T233" s="15">
        <v>2013</v>
      </c>
      <c r="U233" s="15">
        <v>4</v>
      </c>
      <c r="V233" s="15">
        <v>71616.633176395</v>
      </c>
      <c r="X233" s="15">
        <v>2013</v>
      </c>
      <c r="Y233" s="15">
        <v>4</v>
      </c>
      <c r="Z233" s="15">
        <v>71613.328335686005</v>
      </c>
      <c r="AB233" s="15">
        <v>2013</v>
      </c>
      <c r="AC233" s="15">
        <v>4</v>
      </c>
      <c r="AD233" s="15">
        <v>71614.738200131906</v>
      </c>
      <c r="AF233" s="15">
        <v>2013</v>
      </c>
      <c r="AG233" s="15">
        <v>4</v>
      </c>
      <c r="AH233" s="15">
        <v>71623.291618020303</v>
      </c>
    </row>
    <row r="234" spans="1:34" x14ac:dyDescent="0.25">
      <c r="A234" s="15">
        <v>2013</v>
      </c>
      <c r="B234" s="15">
        <v>5</v>
      </c>
      <c r="C234" s="15">
        <v>73553.188280154194</v>
      </c>
      <c r="F234" s="15">
        <v>2013</v>
      </c>
      <c r="G234" s="15">
        <v>5</v>
      </c>
      <c r="H234" s="15">
        <v>73738.6734418126</v>
      </c>
      <c r="K234" s="18">
        <v>2013</v>
      </c>
      <c r="L234" s="18">
        <v>5</v>
      </c>
      <c r="M234" s="18">
        <v>73550.031898526897</v>
      </c>
      <c r="P234" s="15">
        <v>2013</v>
      </c>
      <c r="Q234" s="15">
        <v>5</v>
      </c>
      <c r="R234" s="15">
        <v>73738.6734418126</v>
      </c>
      <c r="T234" s="15">
        <v>2013</v>
      </c>
      <c r="U234" s="15">
        <v>5</v>
      </c>
      <c r="V234" s="15">
        <v>73678.768430774697</v>
      </c>
      <c r="X234" s="15">
        <v>2013</v>
      </c>
      <c r="Y234" s="15">
        <v>5</v>
      </c>
      <c r="Z234" s="15">
        <v>73672.5493051581</v>
      </c>
      <c r="AB234" s="15">
        <v>2013</v>
      </c>
      <c r="AC234" s="15">
        <v>5</v>
      </c>
      <c r="AD234" s="15">
        <v>73675.243160476602</v>
      </c>
      <c r="AF234" s="15">
        <v>2013</v>
      </c>
      <c r="AG234" s="15">
        <v>5</v>
      </c>
      <c r="AH234" s="15">
        <v>73691.178412208406</v>
      </c>
    </row>
    <row r="235" spans="1:34" x14ac:dyDescent="0.25">
      <c r="A235" s="15">
        <v>2013</v>
      </c>
      <c r="B235" s="15">
        <v>6</v>
      </c>
      <c r="C235" s="15">
        <v>59744.011866405897</v>
      </c>
      <c r="F235" s="15">
        <v>2013</v>
      </c>
      <c r="G235" s="15">
        <v>6</v>
      </c>
      <c r="H235" s="15">
        <v>59511.339154117202</v>
      </c>
      <c r="K235" s="18">
        <v>2013</v>
      </c>
      <c r="L235" s="18">
        <v>6</v>
      </c>
      <c r="M235" s="18">
        <v>59753.434033496997</v>
      </c>
      <c r="P235" s="15">
        <v>2013</v>
      </c>
      <c r="Q235" s="15">
        <v>6</v>
      </c>
      <c r="R235" s="15">
        <v>59511.339154117202</v>
      </c>
      <c r="T235" s="15">
        <v>2013</v>
      </c>
      <c r="U235" s="15">
        <v>6</v>
      </c>
      <c r="V235" s="15">
        <v>59751.087891401199</v>
      </c>
      <c r="X235" s="15">
        <v>2013</v>
      </c>
      <c r="Y235" s="15">
        <v>6</v>
      </c>
      <c r="Z235" s="15">
        <v>59764.698138974498</v>
      </c>
      <c r="AB235" s="15">
        <v>2013</v>
      </c>
      <c r="AC235" s="15">
        <v>6</v>
      </c>
      <c r="AD235" s="15">
        <v>59758.716853065896</v>
      </c>
      <c r="AF235" s="15">
        <v>2013</v>
      </c>
      <c r="AG235" s="15">
        <v>6</v>
      </c>
      <c r="AH235" s="15">
        <v>59724.127386337699</v>
      </c>
    </row>
    <row r="236" spans="1:34" x14ac:dyDescent="0.25">
      <c r="A236" s="15">
        <v>2013</v>
      </c>
      <c r="B236" s="15">
        <v>7</v>
      </c>
      <c r="C236" s="15">
        <v>67785.843048929804</v>
      </c>
      <c r="F236" s="15">
        <v>2013</v>
      </c>
      <c r="G236" s="15">
        <v>7</v>
      </c>
      <c r="H236" s="15">
        <v>67943.560019527504</v>
      </c>
      <c r="K236" s="18">
        <v>2013</v>
      </c>
      <c r="L236" s="18">
        <v>7</v>
      </c>
      <c r="M236" s="18">
        <v>67783.599910671895</v>
      </c>
      <c r="P236" s="15">
        <v>2013</v>
      </c>
      <c r="Q236" s="15">
        <v>7</v>
      </c>
      <c r="R236" s="15">
        <v>67943.560019527504</v>
      </c>
      <c r="T236" s="15">
        <v>2013</v>
      </c>
      <c r="U236" s="15">
        <v>7</v>
      </c>
      <c r="V236" s="15">
        <v>67925.532510005403</v>
      </c>
      <c r="X236" s="15">
        <v>2013</v>
      </c>
      <c r="Y236" s="15">
        <v>7</v>
      </c>
      <c r="Z236" s="15">
        <v>67920.447429335603</v>
      </c>
      <c r="AB236" s="15">
        <v>2013</v>
      </c>
      <c r="AC236" s="15">
        <v>7</v>
      </c>
      <c r="AD236" s="15">
        <v>67922.587019664701</v>
      </c>
      <c r="AF236" s="15">
        <v>2013</v>
      </c>
      <c r="AG236" s="15">
        <v>7</v>
      </c>
      <c r="AH236" s="15">
        <v>67935.804560619203</v>
      </c>
    </row>
    <row r="237" spans="1:34" x14ac:dyDescent="0.25">
      <c r="A237" s="15">
        <v>2013</v>
      </c>
      <c r="B237" s="15">
        <v>8</v>
      </c>
      <c r="C237" s="15">
        <v>61672.752585156602</v>
      </c>
      <c r="F237" s="15">
        <v>2013</v>
      </c>
      <c r="G237" s="15">
        <v>8</v>
      </c>
      <c r="H237" s="15">
        <v>61761.672553979603</v>
      </c>
      <c r="K237" s="18">
        <v>2013</v>
      </c>
      <c r="L237" s="18">
        <v>8</v>
      </c>
      <c r="M237" s="18">
        <v>61671.830692004303</v>
      </c>
      <c r="P237" s="15">
        <v>2013</v>
      </c>
      <c r="Q237" s="15">
        <v>8</v>
      </c>
      <c r="R237" s="15">
        <v>61761.672553979603</v>
      </c>
      <c r="T237" s="15">
        <v>2013</v>
      </c>
      <c r="U237" s="15">
        <v>8</v>
      </c>
      <c r="V237" s="15">
        <v>61952.230574377703</v>
      </c>
      <c r="X237" s="15">
        <v>2013</v>
      </c>
      <c r="Y237" s="15">
        <v>8</v>
      </c>
      <c r="Z237" s="15">
        <v>61949.856744479897</v>
      </c>
      <c r="AB237" s="15">
        <v>2013</v>
      </c>
      <c r="AC237" s="15">
        <v>8</v>
      </c>
      <c r="AD237" s="15">
        <v>61950.175163420899</v>
      </c>
      <c r="AF237" s="15">
        <v>2013</v>
      </c>
      <c r="AG237" s="15">
        <v>8</v>
      </c>
      <c r="AH237" s="15">
        <v>61954.992283314801</v>
      </c>
    </row>
    <row r="238" spans="1:34" x14ac:dyDescent="0.25">
      <c r="A238" s="15">
        <v>2013</v>
      </c>
      <c r="B238" s="15">
        <v>9</v>
      </c>
      <c r="C238" s="15">
        <v>62771.566287247602</v>
      </c>
      <c r="F238" s="15">
        <v>2013</v>
      </c>
      <c r="G238" s="15">
        <v>9</v>
      </c>
      <c r="H238" s="15">
        <v>62779.060174420403</v>
      </c>
      <c r="K238" s="18">
        <v>2013</v>
      </c>
      <c r="L238" s="18">
        <v>9</v>
      </c>
      <c r="M238" s="18">
        <v>62772.7796680545</v>
      </c>
      <c r="P238" s="15">
        <v>2013</v>
      </c>
      <c r="Q238" s="15">
        <v>9</v>
      </c>
      <c r="R238" s="15">
        <v>62779.060174420403</v>
      </c>
      <c r="T238" s="15">
        <v>2013</v>
      </c>
      <c r="U238" s="15">
        <v>9</v>
      </c>
      <c r="V238" s="15">
        <v>62975.559396412697</v>
      </c>
      <c r="X238" s="15">
        <v>2013</v>
      </c>
      <c r="Y238" s="15">
        <v>9</v>
      </c>
      <c r="Z238" s="15">
        <v>62978.329464288203</v>
      </c>
      <c r="AB238" s="15">
        <v>2013</v>
      </c>
      <c r="AC238" s="15">
        <v>9</v>
      </c>
      <c r="AD238" s="15">
        <v>62977.056321142103</v>
      </c>
      <c r="AF238" s="15">
        <v>2013</v>
      </c>
      <c r="AG238" s="15">
        <v>9</v>
      </c>
      <c r="AH238" s="15">
        <v>62970.769048950096</v>
      </c>
    </row>
    <row r="239" spans="1:34" x14ac:dyDescent="0.25">
      <c r="A239" s="15">
        <v>2013</v>
      </c>
      <c r="B239" s="15">
        <v>10</v>
      </c>
      <c r="C239" s="15">
        <v>63758.210799694803</v>
      </c>
      <c r="F239" s="15">
        <v>2013</v>
      </c>
      <c r="G239" s="15">
        <v>10</v>
      </c>
      <c r="H239" s="15">
        <v>63867.727750554302</v>
      </c>
      <c r="K239" s="18">
        <v>2013</v>
      </c>
      <c r="L239" s="18">
        <v>10</v>
      </c>
      <c r="M239" s="18">
        <v>63758.416994387801</v>
      </c>
      <c r="P239" s="15">
        <v>2013</v>
      </c>
      <c r="Q239" s="15">
        <v>10</v>
      </c>
      <c r="R239" s="15">
        <v>63867.727750554302</v>
      </c>
      <c r="T239" s="15">
        <v>2013</v>
      </c>
      <c r="U239" s="15">
        <v>10</v>
      </c>
      <c r="V239" s="15">
        <v>64135.813695655801</v>
      </c>
      <c r="X239" s="15">
        <v>2013</v>
      </c>
      <c r="Y239" s="15">
        <v>10</v>
      </c>
      <c r="Z239" s="15">
        <v>64132.472576836801</v>
      </c>
      <c r="AB239" s="15">
        <v>2013</v>
      </c>
      <c r="AC239" s="15">
        <v>10</v>
      </c>
      <c r="AD239" s="15">
        <v>64133.392795138097</v>
      </c>
      <c r="AF239" s="15">
        <v>2013</v>
      </c>
      <c r="AG239" s="15">
        <v>10</v>
      </c>
      <c r="AH239" s="15">
        <v>64142.9019946146</v>
      </c>
    </row>
    <row r="240" spans="1:34" x14ac:dyDescent="0.25">
      <c r="A240" s="15">
        <v>2013</v>
      </c>
      <c r="B240" s="15">
        <v>11</v>
      </c>
      <c r="C240" s="15">
        <v>54427.727737621899</v>
      </c>
      <c r="F240" s="15">
        <v>2013</v>
      </c>
      <c r="G240" s="15">
        <v>11</v>
      </c>
      <c r="H240" s="15">
        <v>54464.443544203103</v>
      </c>
      <c r="K240" s="18">
        <v>2013</v>
      </c>
      <c r="L240" s="18">
        <v>11</v>
      </c>
      <c r="M240" s="18">
        <v>54428.371980378703</v>
      </c>
      <c r="P240" s="15">
        <v>2013</v>
      </c>
      <c r="Q240" s="15">
        <v>11</v>
      </c>
      <c r="R240" s="15">
        <v>54464.443544203103</v>
      </c>
      <c r="T240" s="15">
        <v>2013</v>
      </c>
      <c r="U240" s="15">
        <v>11</v>
      </c>
      <c r="V240" s="15">
        <v>54614.629485400699</v>
      </c>
      <c r="X240" s="15">
        <v>2013</v>
      </c>
      <c r="Y240" s="15">
        <v>11</v>
      </c>
      <c r="Z240" s="15">
        <v>54616.856165534002</v>
      </c>
      <c r="AB240" s="15">
        <v>2013</v>
      </c>
      <c r="AC240" s="15">
        <v>11</v>
      </c>
      <c r="AD240" s="15">
        <v>54616.030071631198</v>
      </c>
      <c r="AF240" s="15">
        <v>2013</v>
      </c>
      <c r="AG240" s="15">
        <v>11</v>
      </c>
      <c r="AH240" s="15">
        <v>54611.671433391602</v>
      </c>
    </row>
    <row r="241" spans="1:34" x14ac:dyDescent="0.25">
      <c r="A241" s="15">
        <v>2013</v>
      </c>
      <c r="B241" s="15">
        <v>12</v>
      </c>
      <c r="C241" s="15">
        <v>52569.962787249598</v>
      </c>
      <c r="F241" s="15">
        <v>2013</v>
      </c>
      <c r="G241" s="15">
        <v>12</v>
      </c>
      <c r="H241" s="15">
        <v>52548.043735104598</v>
      </c>
      <c r="K241" s="18">
        <v>2013</v>
      </c>
      <c r="L241" s="18">
        <v>12</v>
      </c>
      <c r="M241" s="18">
        <v>52569.556748930001</v>
      </c>
      <c r="P241" s="15">
        <v>2013</v>
      </c>
      <c r="Q241" s="15">
        <v>12</v>
      </c>
      <c r="R241" s="15">
        <v>52548.043735104598</v>
      </c>
      <c r="T241" s="15">
        <v>2013</v>
      </c>
      <c r="U241" s="15">
        <v>12</v>
      </c>
      <c r="V241" s="15">
        <v>52584.242378123003</v>
      </c>
      <c r="X241" s="15">
        <v>2013</v>
      </c>
      <c r="Y241" s="15">
        <v>12</v>
      </c>
      <c r="Z241" s="15">
        <v>52588.464057735699</v>
      </c>
      <c r="AB241" s="15">
        <v>2013</v>
      </c>
      <c r="AC241" s="15">
        <v>12</v>
      </c>
      <c r="AD241" s="15">
        <v>52588.779923806098</v>
      </c>
      <c r="AF241" s="15">
        <v>2013</v>
      </c>
      <c r="AG241" s="15">
        <v>12</v>
      </c>
      <c r="AH241" s="15">
        <v>52585.303621592597</v>
      </c>
    </row>
    <row r="242" spans="1:34" x14ac:dyDescent="0.25">
      <c r="A242" s="15">
        <v>2014</v>
      </c>
      <c r="B242" s="15">
        <v>1</v>
      </c>
      <c r="C242" s="15">
        <v>56240.008874626699</v>
      </c>
      <c r="F242" s="15">
        <v>2014</v>
      </c>
      <c r="G242" s="15">
        <v>1</v>
      </c>
      <c r="H242" s="15">
        <v>56380.307866138697</v>
      </c>
      <c r="K242" s="18">
        <v>2014</v>
      </c>
      <c r="L242" s="18">
        <v>1</v>
      </c>
      <c r="M242" s="18">
        <v>56231.973481908601</v>
      </c>
      <c r="P242" s="15">
        <v>2014</v>
      </c>
      <c r="Q242" s="15">
        <v>1</v>
      </c>
      <c r="R242" s="15">
        <v>56380.307866138697</v>
      </c>
      <c r="T242" s="15">
        <v>2014</v>
      </c>
      <c r="U242" s="15">
        <v>1</v>
      </c>
      <c r="V242" s="15">
        <v>56233.039358340597</v>
      </c>
      <c r="X242" s="15">
        <v>2014</v>
      </c>
      <c r="Y242" s="15">
        <v>1</v>
      </c>
      <c r="Z242" s="15">
        <v>56226.020629207902</v>
      </c>
      <c r="AB242" s="15">
        <v>2014</v>
      </c>
      <c r="AC242" s="15">
        <v>1</v>
      </c>
      <c r="AD242" s="15">
        <v>56229.508951778698</v>
      </c>
      <c r="AF242" s="15">
        <v>2014</v>
      </c>
      <c r="AG242" s="15">
        <v>1</v>
      </c>
      <c r="AH242" s="15">
        <v>56247.464533976199</v>
      </c>
    </row>
    <row r="243" spans="1:34" x14ac:dyDescent="0.25">
      <c r="A243" s="15">
        <v>2014</v>
      </c>
      <c r="B243" s="15">
        <v>2</v>
      </c>
      <c r="C243" s="15">
        <v>58101.509888176697</v>
      </c>
      <c r="F243" s="15">
        <v>2014</v>
      </c>
      <c r="G243" s="15">
        <v>2</v>
      </c>
      <c r="H243" s="15">
        <v>57085.863347912498</v>
      </c>
      <c r="K243" s="18">
        <v>2014</v>
      </c>
      <c r="L243" s="18">
        <v>2</v>
      </c>
      <c r="M243" s="18">
        <v>58103.869953886802</v>
      </c>
      <c r="P243" s="15">
        <v>2014</v>
      </c>
      <c r="Q243" s="15">
        <v>2</v>
      </c>
      <c r="R243" s="15">
        <v>57085.863347912498</v>
      </c>
      <c r="T243" s="15">
        <v>2014</v>
      </c>
      <c r="U243" s="15">
        <v>2</v>
      </c>
      <c r="V243" s="15">
        <v>55415.509230861302</v>
      </c>
      <c r="X243" s="15">
        <v>2014</v>
      </c>
      <c r="Y243" s="15">
        <v>2</v>
      </c>
      <c r="Z243" s="15">
        <v>55419.6717775898</v>
      </c>
      <c r="AB243" s="15">
        <v>2014</v>
      </c>
      <c r="AC243" s="15">
        <v>2</v>
      </c>
      <c r="AD243" s="15">
        <v>55419.717578217198</v>
      </c>
      <c r="AF243" s="15">
        <v>2014</v>
      </c>
      <c r="AG243" s="15">
        <v>2</v>
      </c>
      <c r="AH243" s="15">
        <v>55413.776212497003</v>
      </c>
    </row>
    <row r="244" spans="1:34" x14ac:dyDescent="0.25">
      <c r="A244" s="15">
        <v>2014</v>
      </c>
      <c r="B244" s="15">
        <v>3</v>
      </c>
      <c r="C244" s="15">
        <v>52615.437193967598</v>
      </c>
      <c r="F244" s="15">
        <v>2014</v>
      </c>
      <c r="G244" s="15">
        <v>3</v>
      </c>
      <c r="H244" s="15">
        <v>52577.826385245797</v>
      </c>
      <c r="K244" s="18">
        <v>2014</v>
      </c>
      <c r="L244" s="18">
        <v>3</v>
      </c>
      <c r="M244" s="18">
        <v>52617.0484225279</v>
      </c>
      <c r="P244" s="15">
        <v>2014</v>
      </c>
      <c r="Q244" s="15">
        <v>3</v>
      </c>
      <c r="R244" s="15">
        <v>52577.826385245797</v>
      </c>
      <c r="T244" s="15">
        <v>2014</v>
      </c>
      <c r="U244" s="15">
        <v>3</v>
      </c>
      <c r="V244" s="15">
        <v>52989.331143103198</v>
      </c>
      <c r="X244" s="15">
        <v>2014</v>
      </c>
      <c r="Y244" s="15">
        <v>3</v>
      </c>
      <c r="Z244" s="15">
        <v>52993.2997357325</v>
      </c>
      <c r="AB244" s="15">
        <v>2014</v>
      </c>
      <c r="AC244" s="15">
        <v>3</v>
      </c>
      <c r="AD244" s="15">
        <v>52991.561420334001</v>
      </c>
      <c r="AF244" s="15">
        <v>2014</v>
      </c>
      <c r="AG244" s="15">
        <v>3</v>
      </c>
      <c r="AH244" s="15">
        <v>52976.8124123136</v>
      </c>
    </row>
    <row r="245" spans="1:34" x14ac:dyDescent="0.25">
      <c r="A245" s="15">
        <v>2014</v>
      </c>
      <c r="B245" s="15">
        <v>4</v>
      </c>
      <c r="C245" s="15">
        <v>54815.209670012802</v>
      </c>
      <c r="F245" s="15">
        <v>2014</v>
      </c>
      <c r="G245" s="15">
        <v>4</v>
      </c>
      <c r="H245" s="15">
        <v>54964.756751926499</v>
      </c>
      <c r="K245" s="18">
        <v>2014</v>
      </c>
      <c r="L245" s="18">
        <v>4</v>
      </c>
      <c r="M245" s="18">
        <v>54813.572872083401</v>
      </c>
      <c r="P245" s="15">
        <v>2014</v>
      </c>
      <c r="Q245" s="15">
        <v>4</v>
      </c>
      <c r="R245" s="15">
        <v>54964.756751926499</v>
      </c>
      <c r="T245" s="15">
        <v>2014</v>
      </c>
      <c r="U245" s="15">
        <v>4</v>
      </c>
      <c r="V245" s="15">
        <v>54932.164298465097</v>
      </c>
      <c r="X245" s="15">
        <v>2014</v>
      </c>
      <c r="Y245" s="15">
        <v>4</v>
      </c>
      <c r="Z245" s="15">
        <v>54927.974688274102</v>
      </c>
      <c r="AB245" s="15">
        <v>2014</v>
      </c>
      <c r="AC245" s="15">
        <v>4</v>
      </c>
      <c r="AD245" s="15">
        <v>54929.565519877098</v>
      </c>
      <c r="AF245" s="15">
        <v>2014</v>
      </c>
      <c r="AG245" s="15">
        <v>4</v>
      </c>
      <c r="AH245" s="15">
        <v>54939.345599946697</v>
      </c>
    </row>
    <row r="246" spans="1:34" x14ac:dyDescent="0.25">
      <c r="A246" s="15">
        <v>2014</v>
      </c>
      <c r="B246" s="15">
        <v>5</v>
      </c>
      <c r="C246" s="15">
        <v>47155.160856722199</v>
      </c>
      <c r="F246" s="15">
        <v>2014</v>
      </c>
      <c r="G246" s="15">
        <v>5</v>
      </c>
      <c r="H246" s="15">
        <v>47198.778559088001</v>
      </c>
      <c r="K246" s="18">
        <v>2014</v>
      </c>
      <c r="L246" s="18">
        <v>5</v>
      </c>
      <c r="M246" s="18">
        <v>47155.413771778003</v>
      </c>
      <c r="P246" s="15">
        <v>2014</v>
      </c>
      <c r="Q246" s="15">
        <v>5</v>
      </c>
      <c r="R246" s="15">
        <v>47198.778559088001</v>
      </c>
      <c r="T246" s="15">
        <v>2014</v>
      </c>
      <c r="U246" s="15">
        <v>5</v>
      </c>
      <c r="V246" s="15">
        <v>47346.366543295597</v>
      </c>
      <c r="X246" s="15">
        <v>2014</v>
      </c>
      <c r="Y246" s="15">
        <v>5</v>
      </c>
      <c r="Z246" s="15">
        <v>47346.754219116003</v>
      </c>
      <c r="AB246" s="15">
        <v>2014</v>
      </c>
      <c r="AC246" s="15">
        <v>5</v>
      </c>
      <c r="AD246" s="15">
        <v>47346.368600380199</v>
      </c>
      <c r="AF246" s="15">
        <v>2014</v>
      </c>
      <c r="AG246" s="15">
        <v>5</v>
      </c>
      <c r="AH246" s="15">
        <v>47344.707739993399</v>
      </c>
    </row>
    <row r="247" spans="1:34" x14ac:dyDescent="0.25">
      <c r="A247" s="15">
        <v>2014</v>
      </c>
      <c r="B247" s="15">
        <v>6</v>
      </c>
      <c r="C247" s="15">
        <v>46054.312499087799</v>
      </c>
      <c r="F247" s="15">
        <v>2014</v>
      </c>
      <c r="G247" s="15">
        <v>6</v>
      </c>
      <c r="H247" s="15">
        <v>45983.364885979703</v>
      </c>
      <c r="K247" s="18">
        <v>2014</v>
      </c>
      <c r="L247" s="18">
        <v>6</v>
      </c>
      <c r="M247" s="18">
        <v>46060.615007546803</v>
      </c>
      <c r="P247" s="15">
        <v>2014</v>
      </c>
      <c r="Q247" s="15">
        <v>6</v>
      </c>
      <c r="R247" s="15">
        <v>45983.364885979703</v>
      </c>
      <c r="T247" s="15">
        <v>2014</v>
      </c>
      <c r="U247" s="15">
        <v>6</v>
      </c>
      <c r="V247" s="15">
        <v>45978.942023992699</v>
      </c>
      <c r="X247" s="15">
        <v>2014</v>
      </c>
      <c r="Y247" s="15">
        <v>6</v>
      </c>
      <c r="Z247" s="15">
        <v>45983.681218002799</v>
      </c>
      <c r="AB247" s="15">
        <v>2014</v>
      </c>
      <c r="AC247" s="15">
        <v>6</v>
      </c>
      <c r="AD247" s="15">
        <v>45980.583781022702</v>
      </c>
      <c r="AF247" s="15">
        <v>2014</v>
      </c>
      <c r="AG247" s="15">
        <v>6</v>
      </c>
      <c r="AH247" s="15">
        <v>45965.472718799698</v>
      </c>
    </row>
    <row r="248" spans="1:34" x14ac:dyDescent="0.25">
      <c r="A248" s="15">
        <v>2014</v>
      </c>
      <c r="B248" s="15">
        <v>7</v>
      </c>
      <c r="C248" s="15">
        <v>45690.930427919397</v>
      </c>
      <c r="F248" s="15">
        <v>2014</v>
      </c>
      <c r="G248" s="15">
        <v>7</v>
      </c>
      <c r="H248" s="15">
        <v>45881.497211305199</v>
      </c>
      <c r="K248" s="18">
        <v>2014</v>
      </c>
      <c r="L248" s="18">
        <v>7</v>
      </c>
      <c r="M248" s="18">
        <v>45688.869502276997</v>
      </c>
      <c r="P248" s="15">
        <v>2014</v>
      </c>
      <c r="Q248" s="15">
        <v>7</v>
      </c>
      <c r="R248" s="15">
        <v>45881.497211305199</v>
      </c>
      <c r="T248" s="15">
        <v>2014</v>
      </c>
      <c r="U248" s="15">
        <v>7</v>
      </c>
      <c r="V248" s="15">
        <v>45764.951959201098</v>
      </c>
      <c r="X248" s="15">
        <v>2014</v>
      </c>
      <c r="Y248" s="15">
        <v>7</v>
      </c>
      <c r="Z248" s="15">
        <v>45758.508871384103</v>
      </c>
      <c r="AB248" s="15">
        <v>2014</v>
      </c>
      <c r="AC248" s="15">
        <v>7</v>
      </c>
      <c r="AD248" s="15">
        <v>45760.509818016202</v>
      </c>
      <c r="AF248" s="15">
        <v>2014</v>
      </c>
      <c r="AG248" s="15">
        <v>7</v>
      </c>
      <c r="AH248" s="15">
        <v>45775.393810694099</v>
      </c>
    </row>
    <row r="249" spans="1:34" x14ac:dyDescent="0.25">
      <c r="A249" s="15">
        <v>2014</v>
      </c>
      <c r="B249" s="15">
        <v>8</v>
      </c>
      <c r="C249" s="15">
        <v>41601.851140067898</v>
      </c>
      <c r="F249" s="15">
        <v>2014</v>
      </c>
      <c r="G249" s="15">
        <v>8</v>
      </c>
      <c r="H249" s="15">
        <v>41566.583018017402</v>
      </c>
      <c r="K249" s="18">
        <v>2014</v>
      </c>
      <c r="L249" s="18">
        <v>8</v>
      </c>
      <c r="M249" s="18">
        <v>41604.369296814999</v>
      </c>
      <c r="P249" s="15">
        <v>2014</v>
      </c>
      <c r="Q249" s="15">
        <v>8</v>
      </c>
      <c r="R249" s="15">
        <v>41566.583018017402</v>
      </c>
      <c r="T249" s="15">
        <v>2014</v>
      </c>
      <c r="U249" s="15">
        <v>8</v>
      </c>
      <c r="V249" s="15">
        <v>41842.505817977799</v>
      </c>
      <c r="X249" s="15">
        <v>2014</v>
      </c>
      <c r="Y249" s="15">
        <v>8</v>
      </c>
      <c r="Z249" s="15">
        <v>41847.372555809598</v>
      </c>
      <c r="AB249" s="15">
        <v>2014</v>
      </c>
      <c r="AC249" s="15">
        <v>8</v>
      </c>
      <c r="AD249" s="15">
        <v>41844.197954651499</v>
      </c>
      <c r="AF249" s="15">
        <v>2014</v>
      </c>
      <c r="AG249" s="15">
        <v>8</v>
      </c>
      <c r="AH249" s="15">
        <v>41830.463918441703</v>
      </c>
    </row>
    <row r="250" spans="1:34" x14ac:dyDescent="0.25">
      <c r="A250" s="15">
        <v>2014</v>
      </c>
      <c r="B250" s="15">
        <v>9</v>
      </c>
      <c r="C250" s="15">
        <v>48418.307072802803</v>
      </c>
      <c r="F250" s="15">
        <v>2014</v>
      </c>
      <c r="G250" s="15">
        <v>9</v>
      </c>
      <c r="H250" s="15">
        <v>48602.597144797903</v>
      </c>
      <c r="K250" s="18">
        <v>2014</v>
      </c>
      <c r="L250" s="18">
        <v>9</v>
      </c>
      <c r="M250" s="18">
        <v>48416.716910985298</v>
      </c>
      <c r="P250" s="15">
        <v>2014</v>
      </c>
      <c r="Q250" s="15">
        <v>9</v>
      </c>
      <c r="R250" s="15">
        <v>48602.597144797903</v>
      </c>
      <c r="T250" s="15">
        <v>2014</v>
      </c>
      <c r="U250" s="15">
        <v>9</v>
      </c>
      <c r="V250" s="15">
        <v>48485.965038320399</v>
      </c>
      <c r="X250" s="15">
        <v>2014</v>
      </c>
      <c r="Y250" s="15">
        <v>9</v>
      </c>
      <c r="Z250" s="15">
        <v>48480.948903978096</v>
      </c>
      <c r="AB250" s="15">
        <v>2014</v>
      </c>
      <c r="AC250" s="15">
        <v>9</v>
      </c>
      <c r="AD250" s="15">
        <v>48482.582628071897</v>
      </c>
      <c r="AF250" s="15">
        <v>2014</v>
      </c>
      <c r="AG250" s="15">
        <v>9</v>
      </c>
      <c r="AH250" s="15">
        <v>48495.473380936797</v>
      </c>
    </row>
    <row r="251" spans="1:34" x14ac:dyDescent="0.25">
      <c r="A251" s="15">
        <v>2014</v>
      </c>
      <c r="B251" s="15">
        <v>10</v>
      </c>
      <c r="C251" s="15">
        <v>50122.708567330003</v>
      </c>
      <c r="F251" s="15">
        <v>2014</v>
      </c>
      <c r="G251" s="15">
        <v>10</v>
      </c>
      <c r="H251" s="15">
        <v>50184.640287409697</v>
      </c>
      <c r="K251" s="18">
        <v>2014</v>
      </c>
      <c r="L251" s="18">
        <v>10</v>
      </c>
      <c r="M251" s="18">
        <v>50125.131589302298</v>
      </c>
      <c r="P251" s="15">
        <v>2014</v>
      </c>
      <c r="Q251" s="15">
        <v>10</v>
      </c>
      <c r="R251" s="15">
        <v>50184.640287409697</v>
      </c>
      <c r="T251" s="15">
        <v>2014</v>
      </c>
      <c r="U251" s="15">
        <v>10</v>
      </c>
      <c r="V251" s="15">
        <v>50518.8392464797</v>
      </c>
      <c r="X251" s="15">
        <v>2014</v>
      </c>
      <c r="Y251" s="15">
        <v>10</v>
      </c>
      <c r="Z251" s="15">
        <v>50517.974927823299</v>
      </c>
      <c r="AB251" s="15">
        <v>2014</v>
      </c>
      <c r="AC251" s="15">
        <v>10</v>
      </c>
      <c r="AD251" s="15">
        <v>50517.6490495123</v>
      </c>
      <c r="AF251" s="15">
        <v>2014</v>
      </c>
      <c r="AG251" s="15">
        <v>10</v>
      </c>
      <c r="AH251" s="15">
        <v>50522.419962982902</v>
      </c>
    </row>
    <row r="252" spans="1:34" x14ac:dyDescent="0.25">
      <c r="A252" s="15">
        <v>2014</v>
      </c>
      <c r="B252" s="15">
        <v>11</v>
      </c>
      <c r="C252" s="15">
        <v>49304.037269249697</v>
      </c>
      <c r="F252" s="15">
        <v>2014</v>
      </c>
      <c r="G252" s="15">
        <v>11</v>
      </c>
      <c r="H252" s="15">
        <v>49199.520749967101</v>
      </c>
      <c r="K252" s="18">
        <v>2014</v>
      </c>
      <c r="L252" s="18">
        <v>11</v>
      </c>
      <c r="M252" s="18">
        <v>49307.332010616803</v>
      </c>
      <c r="P252" s="15">
        <v>2014</v>
      </c>
      <c r="Q252" s="15">
        <v>11</v>
      </c>
      <c r="R252" s="15">
        <v>49199.520749967101</v>
      </c>
      <c r="T252" s="15">
        <v>2014</v>
      </c>
      <c r="U252" s="15">
        <v>11</v>
      </c>
      <c r="V252" s="15">
        <v>49594.859777194499</v>
      </c>
      <c r="X252" s="15">
        <v>2014</v>
      </c>
      <c r="Y252" s="15">
        <v>11</v>
      </c>
      <c r="Z252" s="15">
        <v>49604.240406245801</v>
      </c>
      <c r="AB252" s="15">
        <v>2014</v>
      </c>
      <c r="AC252" s="15">
        <v>11</v>
      </c>
      <c r="AD252" s="15">
        <v>49601.174103522899</v>
      </c>
      <c r="AF252" s="15">
        <v>2014</v>
      </c>
      <c r="AG252" s="15">
        <v>11</v>
      </c>
      <c r="AH252" s="15">
        <v>49581.818593497999</v>
      </c>
    </row>
    <row r="253" spans="1:34" x14ac:dyDescent="0.25">
      <c r="A253" s="15">
        <v>2014</v>
      </c>
      <c r="B253" s="15">
        <v>12</v>
      </c>
      <c r="C253" s="15">
        <v>48093.583883933803</v>
      </c>
      <c r="F253" s="15">
        <v>2014</v>
      </c>
      <c r="G253" s="15">
        <v>12</v>
      </c>
      <c r="H253" s="15">
        <v>48242.815752442802</v>
      </c>
      <c r="K253" s="18">
        <v>2014</v>
      </c>
      <c r="L253" s="18">
        <v>12</v>
      </c>
      <c r="M253" s="18">
        <v>48089.723770178702</v>
      </c>
      <c r="P253" s="15">
        <v>2014</v>
      </c>
      <c r="Q253" s="15">
        <v>12</v>
      </c>
      <c r="R253" s="15">
        <v>48242.815752442802</v>
      </c>
      <c r="T253" s="15">
        <v>2014</v>
      </c>
      <c r="U253" s="15">
        <v>12</v>
      </c>
      <c r="V253" s="15">
        <v>48083.385082835201</v>
      </c>
      <c r="X253" s="15">
        <v>2014</v>
      </c>
      <c r="Y253" s="15">
        <v>12</v>
      </c>
      <c r="Z253" s="15">
        <v>48081.413322180502</v>
      </c>
      <c r="AB253" s="15">
        <v>2014</v>
      </c>
      <c r="AC253" s="15">
        <v>12</v>
      </c>
      <c r="AD253" s="15">
        <v>48085.421518941497</v>
      </c>
      <c r="AF253" s="15">
        <v>2014</v>
      </c>
      <c r="AG253" s="15">
        <v>12</v>
      </c>
      <c r="AH253" s="15">
        <v>48099.7749485971</v>
      </c>
    </row>
    <row r="254" spans="1:34" x14ac:dyDescent="0.25">
      <c r="A254" s="15">
        <v>2015</v>
      </c>
      <c r="B254" s="15">
        <v>1</v>
      </c>
      <c r="C254" s="15">
        <v>46939.859841360798</v>
      </c>
      <c r="F254" s="15">
        <v>2015</v>
      </c>
      <c r="G254" s="15">
        <v>1</v>
      </c>
      <c r="H254" s="15">
        <v>46825.396640717699</v>
      </c>
      <c r="K254" s="18">
        <v>2015</v>
      </c>
      <c r="L254" s="18">
        <v>1</v>
      </c>
      <c r="M254" s="18">
        <v>46929.714165550999</v>
      </c>
      <c r="P254" s="15">
        <v>2015</v>
      </c>
      <c r="Q254" s="15">
        <v>1</v>
      </c>
      <c r="R254" s="15">
        <v>46825.396640717699</v>
      </c>
      <c r="T254" s="15">
        <v>2015</v>
      </c>
      <c r="U254" s="15">
        <v>1</v>
      </c>
      <c r="V254" s="15">
        <v>47071.025498999101</v>
      </c>
      <c r="X254" s="15">
        <v>2015</v>
      </c>
      <c r="Y254" s="15">
        <v>1</v>
      </c>
      <c r="Z254" s="15">
        <v>47073.462463236698</v>
      </c>
      <c r="AB254" s="15">
        <v>2015</v>
      </c>
      <c r="AC254" s="15">
        <v>1</v>
      </c>
      <c r="AD254" s="15">
        <v>47074.7444220381</v>
      </c>
      <c r="AF254" s="15">
        <v>2015</v>
      </c>
      <c r="AG254" s="15">
        <v>1</v>
      </c>
      <c r="AH254" s="15">
        <v>47071.991208564497</v>
      </c>
    </row>
    <row r="255" spans="1:34" x14ac:dyDescent="0.25">
      <c r="A255" s="15">
        <v>2015</v>
      </c>
      <c r="B255" s="15">
        <v>2</v>
      </c>
      <c r="C255" s="15">
        <v>50133.718882307898</v>
      </c>
      <c r="F255" s="15">
        <v>2015</v>
      </c>
      <c r="G255" s="15">
        <v>2</v>
      </c>
      <c r="H255" s="15">
        <v>49143.9716101347</v>
      </c>
      <c r="K255" s="18">
        <v>2015</v>
      </c>
      <c r="L255" s="18">
        <v>2</v>
      </c>
      <c r="M255" s="18">
        <v>50136.742119016199</v>
      </c>
      <c r="P255" s="15">
        <v>2015</v>
      </c>
      <c r="Q255" s="15">
        <v>2</v>
      </c>
      <c r="R255" s="15">
        <v>49143.9716101347</v>
      </c>
      <c r="T255" s="15">
        <v>2015</v>
      </c>
      <c r="U255" s="15">
        <v>2</v>
      </c>
      <c r="V255" s="15">
        <v>47966.917000561698</v>
      </c>
      <c r="X255" s="15">
        <v>2015</v>
      </c>
      <c r="Y255" s="15">
        <v>2</v>
      </c>
      <c r="Z255" s="15">
        <v>47973.521069626702</v>
      </c>
      <c r="AB255" s="15">
        <v>2015</v>
      </c>
      <c r="AC255" s="15">
        <v>2</v>
      </c>
      <c r="AD255" s="15">
        <v>47974.234368386598</v>
      </c>
      <c r="AF255" s="15">
        <v>2015</v>
      </c>
      <c r="AG255" s="15">
        <v>2</v>
      </c>
      <c r="AH255" s="15">
        <v>47966.647332841298</v>
      </c>
    </row>
    <row r="256" spans="1:34" x14ac:dyDescent="0.25">
      <c r="A256" s="15">
        <v>2015</v>
      </c>
      <c r="B256" s="15">
        <v>3</v>
      </c>
      <c r="C256" s="15">
        <v>45560.405399439704</v>
      </c>
      <c r="F256" s="15">
        <v>2015</v>
      </c>
      <c r="G256" s="15">
        <v>3</v>
      </c>
      <c r="H256" s="15">
        <v>45653.846102897602</v>
      </c>
      <c r="K256" s="18">
        <v>2015</v>
      </c>
      <c r="L256" s="18">
        <v>3</v>
      </c>
      <c r="M256" s="18">
        <v>45559.363181099303</v>
      </c>
      <c r="P256" s="15">
        <v>2015</v>
      </c>
      <c r="Q256" s="15">
        <v>3</v>
      </c>
      <c r="R256" s="15">
        <v>45653.846102897602</v>
      </c>
      <c r="T256" s="15">
        <v>2015</v>
      </c>
      <c r="U256" s="15">
        <v>3</v>
      </c>
      <c r="V256" s="15">
        <v>45573.924553266501</v>
      </c>
      <c r="X256" s="15">
        <v>2015</v>
      </c>
      <c r="Y256" s="15">
        <v>3</v>
      </c>
      <c r="Z256" s="15">
        <v>45569.541096381603</v>
      </c>
      <c r="AB256" s="15">
        <v>2015</v>
      </c>
      <c r="AC256" s="15">
        <v>3</v>
      </c>
      <c r="AD256" s="15">
        <v>45570.313630255303</v>
      </c>
      <c r="AF256" s="15">
        <v>2015</v>
      </c>
      <c r="AG256" s="15">
        <v>3</v>
      </c>
      <c r="AH256" s="15">
        <v>45572.279894462597</v>
      </c>
    </row>
    <row r="257" spans="1:34" x14ac:dyDescent="0.25">
      <c r="A257" s="15">
        <v>2015</v>
      </c>
      <c r="B257" s="15">
        <v>4</v>
      </c>
      <c r="C257" s="15">
        <v>41606.685233549499</v>
      </c>
      <c r="F257" s="15">
        <v>2015</v>
      </c>
      <c r="G257" s="15">
        <v>4</v>
      </c>
      <c r="H257" s="15">
        <v>41762.435574096402</v>
      </c>
      <c r="K257" s="18">
        <v>2015</v>
      </c>
      <c r="L257" s="18">
        <v>4</v>
      </c>
      <c r="M257" s="18">
        <v>41605.910628735997</v>
      </c>
      <c r="P257" s="15">
        <v>2015</v>
      </c>
      <c r="Q257" s="15">
        <v>4</v>
      </c>
      <c r="R257" s="15">
        <v>41762.435574096402</v>
      </c>
      <c r="T257" s="15">
        <v>2015</v>
      </c>
      <c r="U257" s="15">
        <v>4</v>
      </c>
      <c r="V257" s="15">
        <v>41562.796095454098</v>
      </c>
      <c r="X257" s="15">
        <v>2015</v>
      </c>
      <c r="Y257" s="15">
        <v>4</v>
      </c>
      <c r="Z257" s="15">
        <v>41556.625029264702</v>
      </c>
      <c r="AB257" s="15">
        <v>2015</v>
      </c>
      <c r="AC257" s="15">
        <v>4</v>
      </c>
      <c r="AD257" s="15">
        <v>41558.329310253997</v>
      </c>
      <c r="AF257" s="15">
        <v>2015</v>
      </c>
      <c r="AG257" s="15">
        <v>4</v>
      </c>
      <c r="AH257" s="15">
        <v>41569.820434420697</v>
      </c>
    </row>
    <row r="258" spans="1:34" x14ac:dyDescent="0.25">
      <c r="A258" s="15">
        <v>2015</v>
      </c>
      <c r="B258" s="15">
        <v>5</v>
      </c>
      <c r="C258" s="15">
        <v>43635.573801693899</v>
      </c>
      <c r="F258" s="15">
        <v>2015</v>
      </c>
      <c r="G258" s="15">
        <v>5</v>
      </c>
      <c r="H258" s="15">
        <v>43521.173905611802</v>
      </c>
      <c r="K258" s="18">
        <v>2015</v>
      </c>
      <c r="L258" s="18">
        <v>5</v>
      </c>
      <c r="M258" s="18">
        <v>43640.276559663398</v>
      </c>
      <c r="P258" s="15">
        <v>2015</v>
      </c>
      <c r="Q258" s="15">
        <v>5</v>
      </c>
      <c r="R258" s="15">
        <v>43521.173905611802</v>
      </c>
      <c r="T258" s="15">
        <v>2015</v>
      </c>
      <c r="U258" s="15">
        <v>5</v>
      </c>
      <c r="V258" s="15">
        <v>43820.929686449301</v>
      </c>
      <c r="X258" s="15">
        <v>2015</v>
      </c>
      <c r="Y258" s="15">
        <v>5</v>
      </c>
      <c r="Z258" s="15">
        <v>43827.147949147497</v>
      </c>
      <c r="AB258" s="15">
        <v>2015</v>
      </c>
      <c r="AC258" s="15">
        <v>5</v>
      </c>
      <c r="AD258" s="15">
        <v>43823.2007883556</v>
      </c>
      <c r="AF258" s="15">
        <v>2015</v>
      </c>
      <c r="AG258" s="15">
        <v>5</v>
      </c>
      <c r="AH258" s="15">
        <v>43803.366794282199</v>
      </c>
    </row>
    <row r="259" spans="1:34" x14ac:dyDescent="0.25">
      <c r="A259" s="15">
        <v>2015</v>
      </c>
      <c r="B259" s="15">
        <v>6</v>
      </c>
      <c r="C259" s="15">
        <v>47926.619111686698</v>
      </c>
      <c r="F259" s="15">
        <v>2015</v>
      </c>
      <c r="G259" s="15">
        <v>6</v>
      </c>
      <c r="H259" s="15">
        <v>48038.225079654803</v>
      </c>
      <c r="K259" s="18">
        <v>2015</v>
      </c>
      <c r="L259" s="18">
        <v>6</v>
      </c>
      <c r="M259" s="18">
        <v>47928.927685298899</v>
      </c>
      <c r="P259" s="15">
        <v>2015</v>
      </c>
      <c r="Q259" s="15">
        <v>6</v>
      </c>
      <c r="R259" s="15">
        <v>48038.225079654803</v>
      </c>
      <c r="T259" s="15">
        <v>2015</v>
      </c>
      <c r="U259" s="15">
        <v>6</v>
      </c>
      <c r="V259" s="15">
        <v>47743.353914453903</v>
      </c>
      <c r="X259" s="15">
        <v>2015</v>
      </c>
      <c r="Y259" s="15">
        <v>6</v>
      </c>
      <c r="Z259" s="15">
        <v>47738.331171636797</v>
      </c>
      <c r="AB259" s="15">
        <v>2015</v>
      </c>
      <c r="AC259" s="15">
        <v>6</v>
      </c>
      <c r="AD259" s="15">
        <v>47738.2050748943</v>
      </c>
      <c r="AF259" s="15">
        <v>2015</v>
      </c>
      <c r="AG259" s="15">
        <v>6</v>
      </c>
      <c r="AH259" s="15">
        <v>47743.539053605899</v>
      </c>
    </row>
    <row r="260" spans="1:34" x14ac:dyDescent="0.25">
      <c r="A260" s="15">
        <v>2015</v>
      </c>
      <c r="B260" s="15">
        <v>7</v>
      </c>
      <c r="C260" s="15">
        <v>42055.601436707402</v>
      </c>
      <c r="F260" s="15">
        <v>2015</v>
      </c>
      <c r="G260" s="15">
        <v>7</v>
      </c>
      <c r="H260" s="15">
        <v>42291.975404702098</v>
      </c>
      <c r="K260" s="18">
        <v>2015</v>
      </c>
      <c r="L260" s="18">
        <v>7</v>
      </c>
      <c r="M260" s="18">
        <v>42054.757730796999</v>
      </c>
      <c r="P260" s="15">
        <v>2015</v>
      </c>
      <c r="Q260" s="15">
        <v>7</v>
      </c>
      <c r="R260" s="15">
        <v>42291.975404702098</v>
      </c>
      <c r="T260" s="15">
        <v>2015</v>
      </c>
      <c r="U260" s="15">
        <v>7</v>
      </c>
      <c r="V260" s="15">
        <v>42057.115329221902</v>
      </c>
      <c r="X260" s="15">
        <v>2015</v>
      </c>
      <c r="Y260" s="15">
        <v>7</v>
      </c>
      <c r="Z260" s="15">
        <v>42047.661014841899</v>
      </c>
      <c r="AB260" s="15">
        <v>2015</v>
      </c>
      <c r="AC260" s="15">
        <v>7</v>
      </c>
      <c r="AD260" s="15">
        <v>42049.360818589397</v>
      </c>
      <c r="AF260" s="15">
        <v>2015</v>
      </c>
      <c r="AG260" s="15">
        <v>7</v>
      </c>
      <c r="AH260" s="15">
        <v>42068.461016478999</v>
      </c>
    </row>
    <row r="261" spans="1:34" x14ac:dyDescent="0.25">
      <c r="A261" s="15">
        <v>2015</v>
      </c>
      <c r="B261" s="15">
        <v>8</v>
      </c>
      <c r="C261" s="15">
        <v>45116.070935322401</v>
      </c>
      <c r="F261" s="15">
        <v>2015</v>
      </c>
      <c r="G261" s="15">
        <v>8</v>
      </c>
      <c r="H261" s="15">
        <v>45094.633171677102</v>
      </c>
      <c r="K261" s="18">
        <v>2015</v>
      </c>
      <c r="L261" s="18">
        <v>8</v>
      </c>
      <c r="M261" s="18">
        <v>45120.547168220997</v>
      </c>
      <c r="P261" s="15">
        <v>2015</v>
      </c>
      <c r="Q261" s="15">
        <v>8</v>
      </c>
      <c r="R261" s="15">
        <v>45094.633171677102</v>
      </c>
      <c r="T261" s="15">
        <v>2015</v>
      </c>
      <c r="U261" s="15">
        <v>8</v>
      </c>
      <c r="V261" s="15">
        <v>45260.033502621598</v>
      </c>
      <c r="X261" s="15">
        <v>2015</v>
      </c>
      <c r="Y261" s="15">
        <v>8</v>
      </c>
      <c r="Z261" s="15">
        <v>45265.356267257703</v>
      </c>
      <c r="AB261" s="15">
        <v>2015</v>
      </c>
      <c r="AC261" s="15">
        <v>8</v>
      </c>
      <c r="AD261" s="15">
        <v>45260.924094088397</v>
      </c>
      <c r="AF261" s="15">
        <v>2015</v>
      </c>
      <c r="AG261" s="15">
        <v>8</v>
      </c>
      <c r="AH261" s="15">
        <v>45244.958772101098</v>
      </c>
    </row>
    <row r="262" spans="1:34" x14ac:dyDescent="0.25">
      <c r="A262" s="15">
        <v>2015</v>
      </c>
      <c r="B262" s="15">
        <v>9</v>
      </c>
      <c r="C262" s="15">
        <v>45429.0834076666</v>
      </c>
      <c r="F262" s="15">
        <v>2015</v>
      </c>
      <c r="G262" s="15">
        <v>9</v>
      </c>
      <c r="H262" s="15">
        <v>45650.574052657299</v>
      </c>
      <c r="K262" s="18">
        <v>2015</v>
      </c>
      <c r="L262" s="18">
        <v>9</v>
      </c>
      <c r="M262" s="18">
        <v>45428.185671095402</v>
      </c>
      <c r="P262" s="15">
        <v>2015</v>
      </c>
      <c r="Q262" s="15">
        <v>9</v>
      </c>
      <c r="R262" s="15">
        <v>45650.574052657299</v>
      </c>
      <c r="T262" s="15">
        <v>2015</v>
      </c>
      <c r="U262" s="15">
        <v>9</v>
      </c>
      <c r="V262" s="15">
        <v>45549.076229447302</v>
      </c>
      <c r="X262" s="15">
        <v>2015</v>
      </c>
      <c r="Y262" s="15">
        <v>9</v>
      </c>
      <c r="Z262" s="15">
        <v>45543.142837162297</v>
      </c>
      <c r="AB262" s="15">
        <v>2015</v>
      </c>
      <c r="AC262" s="15">
        <v>9</v>
      </c>
      <c r="AD262" s="15">
        <v>45544.774974347798</v>
      </c>
      <c r="AF262" s="15">
        <v>2015</v>
      </c>
      <c r="AG262" s="15">
        <v>9</v>
      </c>
      <c r="AH262" s="15">
        <v>45561.065200931698</v>
      </c>
    </row>
    <row r="263" spans="1:34" x14ac:dyDescent="0.25">
      <c r="A263" s="15">
        <v>2015</v>
      </c>
      <c r="B263" s="15">
        <v>10</v>
      </c>
      <c r="C263" s="15">
        <v>38933.659831527999</v>
      </c>
      <c r="F263" s="15">
        <v>2015</v>
      </c>
      <c r="G263" s="15">
        <v>10</v>
      </c>
      <c r="H263" s="15">
        <v>38804.015192526596</v>
      </c>
      <c r="K263" s="18">
        <v>2015</v>
      </c>
      <c r="L263" s="18">
        <v>10</v>
      </c>
      <c r="M263" s="18">
        <v>38940.9938312636</v>
      </c>
      <c r="P263" s="15">
        <v>2015</v>
      </c>
      <c r="Q263" s="15">
        <v>10</v>
      </c>
      <c r="R263" s="15">
        <v>38804.015192526596</v>
      </c>
      <c r="T263" s="15">
        <v>2015</v>
      </c>
      <c r="U263" s="15">
        <v>10</v>
      </c>
      <c r="V263" s="15">
        <v>39448.036686184198</v>
      </c>
      <c r="X263" s="15">
        <v>2015</v>
      </c>
      <c r="Y263" s="15">
        <v>10</v>
      </c>
      <c r="Z263" s="15">
        <v>39457.605583437798</v>
      </c>
      <c r="AB263" s="15">
        <v>2015</v>
      </c>
      <c r="AC263" s="15">
        <v>10</v>
      </c>
      <c r="AD263" s="15">
        <v>39453.262991023803</v>
      </c>
      <c r="AF263" s="15">
        <v>2015</v>
      </c>
      <c r="AG263" s="15">
        <v>10</v>
      </c>
      <c r="AH263" s="15">
        <v>39436.085120707998</v>
      </c>
    </row>
    <row r="264" spans="1:34" x14ac:dyDescent="0.25">
      <c r="A264" s="15">
        <v>2015</v>
      </c>
      <c r="B264" s="15">
        <v>11</v>
      </c>
      <c r="C264" s="15">
        <v>40667.847916782797</v>
      </c>
      <c r="F264" s="15">
        <v>2015</v>
      </c>
      <c r="G264" s="15">
        <v>11</v>
      </c>
      <c r="H264" s="15">
        <v>40714.788584582602</v>
      </c>
      <c r="K264" s="18">
        <v>2015</v>
      </c>
      <c r="L264" s="18">
        <v>11</v>
      </c>
      <c r="M264" s="18">
        <v>40666.419153843199</v>
      </c>
      <c r="P264" s="15">
        <v>2015</v>
      </c>
      <c r="Q264" s="15">
        <v>11</v>
      </c>
      <c r="R264" s="15">
        <v>40714.788584582602</v>
      </c>
      <c r="T264" s="15">
        <v>2015</v>
      </c>
      <c r="U264" s="15">
        <v>11</v>
      </c>
      <c r="V264" s="15">
        <v>40919.648773917499</v>
      </c>
      <c r="X264" s="15">
        <v>2015</v>
      </c>
      <c r="Y264" s="15">
        <v>11</v>
      </c>
      <c r="Z264" s="15">
        <v>40923.819512709902</v>
      </c>
      <c r="AB264" s="15">
        <v>2015</v>
      </c>
      <c r="AC264" s="15">
        <v>11</v>
      </c>
      <c r="AD264" s="15">
        <v>40924.665382605199</v>
      </c>
      <c r="AF264" s="15">
        <v>2015</v>
      </c>
      <c r="AG264" s="15">
        <v>11</v>
      </c>
      <c r="AH264" s="15">
        <v>40924.395223018299</v>
      </c>
    </row>
    <row r="265" spans="1:34" x14ac:dyDescent="0.25">
      <c r="A265" s="15">
        <v>2015</v>
      </c>
      <c r="B265" s="15">
        <v>12</v>
      </c>
      <c r="C265" s="15">
        <v>39519.843558749999</v>
      </c>
      <c r="F265" s="15">
        <v>2015</v>
      </c>
      <c r="G265" s="15">
        <v>12</v>
      </c>
      <c r="H265" s="15">
        <v>39690.422271319003</v>
      </c>
      <c r="K265" s="18">
        <v>2015</v>
      </c>
      <c r="L265" s="18">
        <v>12</v>
      </c>
      <c r="M265" s="18">
        <v>39512.186062335102</v>
      </c>
      <c r="P265" s="15">
        <v>2015</v>
      </c>
      <c r="Q265" s="15">
        <v>12</v>
      </c>
      <c r="R265" s="15">
        <v>39690.422271319003</v>
      </c>
      <c r="T265" s="15">
        <v>2015</v>
      </c>
      <c r="U265" s="15">
        <v>12</v>
      </c>
      <c r="V265" s="15">
        <v>39679.607745531997</v>
      </c>
      <c r="X265" s="15">
        <v>2015</v>
      </c>
      <c r="Y265" s="15">
        <v>12</v>
      </c>
      <c r="Z265" s="15">
        <v>39680.0456033425</v>
      </c>
      <c r="AB265" s="15">
        <v>2015</v>
      </c>
      <c r="AC265" s="15">
        <v>12</v>
      </c>
      <c r="AD265" s="15">
        <v>39685.584402988803</v>
      </c>
      <c r="AF265" s="15">
        <v>2015</v>
      </c>
      <c r="AG265" s="15">
        <v>12</v>
      </c>
      <c r="AH265" s="15">
        <v>39700.782334045303</v>
      </c>
    </row>
    <row r="266" spans="1:34" x14ac:dyDescent="0.25">
      <c r="A266" s="15">
        <v>2016</v>
      </c>
      <c r="B266" s="15">
        <v>1</v>
      </c>
      <c r="C266" s="15">
        <v>40156.164724952003</v>
      </c>
      <c r="F266" s="15">
        <v>2016</v>
      </c>
      <c r="G266" s="15">
        <v>1</v>
      </c>
      <c r="H266" s="15">
        <v>39787.550802510297</v>
      </c>
      <c r="K266" s="18">
        <v>2016</v>
      </c>
      <c r="L266" s="18">
        <v>1</v>
      </c>
      <c r="M266" s="18">
        <v>40139.682960465099</v>
      </c>
      <c r="P266" s="15">
        <v>2016</v>
      </c>
      <c r="Q266" s="15">
        <v>1</v>
      </c>
      <c r="R266" s="15">
        <v>39787.550802510297</v>
      </c>
      <c r="T266" s="15">
        <v>2016</v>
      </c>
      <c r="U266" s="15">
        <v>1</v>
      </c>
      <c r="V266" s="15">
        <v>40493.254036453203</v>
      </c>
      <c r="X266" s="15">
        <v>2016</v>
      </c>
      <c r="Y266" s="15">
        <v>1</v>
      </c>
      <c r="Z266" s="15">
        <v>40506.865822474603</v>
      </c>
      <c r="AB266" s="15">
        <v>2016</v>
      </c>
      <c r="AC266" s="15">
        <v>1</v>
      </c>
      <c r="AD266" s="15">
        <v>40506.492512124903</v>
      </c>
      <c r="AF266" s="15">
        <v>2016</v>
      </c>
      <c r="AG266" s="15">
        <v>1</v>
      </c>
      <c r="AH266" s="15">
        <v>40482.208619707897</v>
      </c>
    </row>
    <row r="267" spans="1:34" x14ac:dyDescent="0.25">
      <c r="A267" s="15">
        <v>2016</v>
      </c>
      <c r="B267" s="15">
        <v>2</v>
      </c>
      <c r="C267" s="15">
        <v>36929.913408332897</v>
      </c>
      <c r="F267" s="15">
        <v>2016</v>
      </c>
      <c r="G267" s="15">
        <v>2</v>
      </c>
      <c r="H267" s="15">
        <v>37697.726331865</v>
      </c>
      <c r="K267" s="18">
        <v>2016</v>
      </c>
      <c r="L267" s="18">
        <v>2</v>
      </c>
      <c r="M267" s="18">
        <v>36940.496751687497</v>
      </c>
      <c r="P267" s="15">
        <v>2016</v>
      </c>
      <c r="Q267" s="15">
        <v>2</v>
      </c>
      <c r="R267" s="15">
        <v>37697.726331865</v>
      </c>
      <c r="T267" s="15">
        <v>2016</v>
      </c>
      <c r="U267" s="15">
        <v>2</v>
      </c>
      <c r="V267" s="15">
        <v>38730.839051625197</v>
      </c>
      <c r="X267" s="15">
        <v>2016</v>
      </c>
      <c r="Y267" s="15">
        <v>2</v>
      </c>
      <c r="Z267" s="15">
        <v>38721.850824205503</v>
      </c>
      <c r="AB267" s="15">
        <v>2016</v>
      </c>
      <c r="AC267" s="15">
        <v>2</v>
      </c>
      <c r="AD267" s="15">
        <v>38722.7117061108</v>
      </c>
      <c r="AF267" s="15">
        <v>2016</v>
      </c>
      <c r="AG267" s="15">
        <v>2</v>
      </c>
      <c r="AH267" s="15">
        <v>38726.509464219598</v>
      </c>
    </row>
    <row r="268" spans="1:34" x14ac:dyDescent="0.25">
      <c r="A268" s="15">
        <v>2016</v>
      </c>
      <c r="B268" s="15">
        <v>3</v>
      </c>
      <c r="C268" s="15">
        <v>40699.227173107298</v>
      </c>
      <c r="F268" s="15">
        <v>2016</v>
      </c>
      <c r="G268" s="15">
        <v>3</v>
      </c>
      <c r="H268" s="15">
        <v>40936.114391213101</v>
      </c>
      <c r="K268" s="18">
        <v>2016</v>
      </c>
      <c r="L268" s="18">
        <v>3</v>
      </c>
      <c r="M268" s="18">
        <v>40692.510377652499</v>
      </c>
      <c r="P268" s="15">
        <v>2016</v>
      </c>
      <c r="Q268" s="15">
        <v>3</v>
      </c>
      <c r="R268" s="15">
        <v>40936.114391213101</v>
      </c>
      <c r="T268" s="15">
        <v>2016</v>
      </c>
      <c r="U268" s="15">
        <v>3</v>
      </c>
      <c r="V268" s="15">
        <v>40351.294755351097</v>
      </c>
      <c r="X268" s="15">
        <v>2016</v>
      </c>
      <c r="Y268" s="15">
        <v>3</v>
      </c>
      <c r="Z268" s="15">
        <v>40336.873054037002</v>
      </c>
      <c r="AB268" s="15">
        <v>2016</v>
      </c>
      <c r="AC268" s="15">
        <v>3</v>
      </c>
      <c r="AD268" s="15">
        <v>40340.614008411103</v>
      </c>
      <c r="AF268" s="15">
        <v>2016</v>
      </c>
      <c r="AG268" s="15">
        <v>3</v>
      </c>
      <c r="AH268" s="15">
        <v>40360.326334244703</v>
      </c>
    </row>
    <row r="269" spans="1:34" x14ac:dyDescent="0.25">
      <c r="A269" s="15">
        <v>2016</v>
      </c>
      <c r="B269" s="15">
        <v>4</v>
      </c>
      <c r="C269" s="15">
        <v>42641.004725010098</v>
      </c>
      <c r="F269" s="15">
        <v>2016</v>
      </c>
      <c r="G269" s="15">
        <v>4</v>
      </c>
      <c r="H269" s="15">
        <v>42665.033900563503</v>
      </c>
      <c r="K269" s="18">
        <v>2016</v>
      </c>
      <c r="L269" s="18">
        <v>4</v>
      </c>
      <c r="M269" s="18">
        <v>42642.784253983198</v>
      </c>
      <c r="P269" s="15">
        <v>2016</v>
      </c>
      <c r="Q269" s="15">
        <v>4</v>
      </c>
      <c r="R269" s="15">
        <v>42665.033900563503</v>
      </c>
      <c r="T269" s="15">
        <v>2016</v>
      </c>
      <c r="U269" s="15">
        <v>4</v>
      </c>
      <c r="V269" s="15">
        <v>42546.641395984203</v>
      </c>
      <c r="X269" s="15">
        <v>2016</v>
      </c>
      <c r="Y269" s="15">
        <v>4</v>
      </c>
      <c r="Z269" s="15">
        <v>42545.4549617905</v>
      </c>
      <c r="AB269" s="15">
        <v>2016</v>
      </c>
      <c r="AC269" s="15">
        <v>4</v>
      </c>
      <c r="AD269" s="15">
        <v>42543.845186727398</v>
      </c>
      <c r="AF269" s="15">
        <v>2016</v>
      </c>
      <c r="AG269" s="15">
        <v>4</v>
      </c>
      <c r="AH269" s="15">
        <v>42538.045236653401</v>
      </c>
    </row>
    <row r="270" spans="1:34" x14ac:dyDescent="0.25">
      <c r="A270" s="15">
        <v>2016</v>
      </c>
      <c r="B270" s="15">
        <v>5</v>
      </c>
      <c r="C270" s="15">
        <v>37714.358158434603</v>
      </c>
      <c r="F270" s="15">
        <v>2016</v>
      </c>
      <c r="G270" s="15">
        <v>5</v>
      </c>
      <c r="H270" s="15">
        <v>37762.352922404498</v>
      </c>
      <c r="K270" s="18">
        <v>2016</v>
      </c>
      <c r="L270" s="18">
        <v>5</v>
      </c>
      <c r="M270" s="18">
        <v>37717.574852077298</v>
      </c>
      <c r="P270" s="15">
        <v>2016</v>
      </c>
      <c r="Q270" s="15">
        <v>5</v>
      </c>
      <c r="R270" s="15">
        <v>37762.352922404498</v>
      </c>
      <c r="T270" s="15">
        <v>2016</v>
      </c>
      <c r="U270" s="15">
        <v>5</v>
      </c>
      <c r="V270" s="15">
        <v>37622.849648364398</v>
      </c>
      <c r="X270" s="15">
        <v>2016</v>
      </c>
      <c r="Y270" s="15">
        <v>5</v>
      </c>
      <c r="Z270" s="15">
        <v>37620.332896968597</v>
      </c>
      <c r="AB270" s="15">
        <v>2016</v>
      </c>
      <c r="AC270" s="15">
        <v>5</v>
      </c>
      <c r="AD270" s="15">
        <v>37618.224081564404</v>
      </c>
      <c r="AF270" s="15">
        <v>2016</v>
      </c>
      <c r="AG270" s="15">
        <v>5</v>
      </c>
      <c r="AH270" s="15">
        <v>37614.240851321803</v>
      </c>
    </row>
    <row r="271" spans="1:34" x14ac:dyDescent="0.25">
      <c r="A271" s="15">
        <v>2016</v>
      </c>
      <c r="B271" s="15">
        <v>6</v>
      </c>
      <c r="C271" s="15">
        <v>37887.697147953302</v>
      </c>
      <c r="F271" s="15">
        <v>2016</v>
      </c>
      <c r="G271" s="15">
        <v>6</v>
      </c>
      <c r="H271" s="15">
        <v>38041.302045654404</v>
      </c>
      <c r="K271" s="18">
        <v>2016</v>
      </c>
      <c r="L271" s="18">
        <v>6</v>
      </c>
      <c r="M271" s="18">
        <v>37889.422411076703</v>
      </c>
      <c r="P271" s="15">
        <v>2016</v>
      </c>
      <c r="Q271" s="15">
        <v>6</v>
      </c>
      <c r="R271" s="15">
        <v>38041.302045654404</v>
      </c>
      <c r="T271" s="15">
        <v>2016</v>
      </c>
      <c r="U271" s="15">
        <v>6</v>
      </c>
      <c r="V271" s="15">
        <v>37665.4324717446</v>
      </c>
      <c r="X271" s="15">
        <v>2016</v>
      </c>
      <c r="Y271" s="15">
        <v>6</v>
      </c>
      <c r="Z271" s="15">
        <v>37657.145828768902</v>
      </c>
      <c r="AB271" s="15">
        <v>2016</v>
      </c>
      <c r="AC271" s="15">
        <v>6</v>
      </c>
      <c r="AD271" s="15">
        <v>37656.786572349803</v>
      </c>
      <c r="AF271" s="15">
        <v>2016</v>
      </c>
      <c r="AG271" s="15">
        <v>6</v>
      </c>
      <c r="AH271" s="15">
        <v>37665.445250456702</v>
      </c>
    </row>
    <row r="272" spans="1:34" x14ac:dyDescent="0.25">
      <c r="A272" s="15">
        <v>2016</v>
      </c>
      <c r="B272" s="15">
        <v>7</v>
      </c>
      <c r="C272" s="15">
        <v>39669.753367605001</v>
      </c>
      <c r="F272" s="15">
        <v>2016</v>
      </c>
      <c r="G272" s="15">
        <v>7</v>
      </c>
      <c r="H272" s="15">
        <v>39640.197445994898</v>
      </c>
      <c r="K272" s="18">
        <v>2016</v>
      </c>
      <c r="L272" s="18">
        <v>7</v>
      </c>
      <c r="M272" s="18">
        <v>39676.949869228803</v>
      </c>
      <c r="P272" s="15">
        <v>2016</v>
      </c>
      <c r="Q272" s="15">
        <v>7</v>
      </c>
      <c r="R272" s="15">
        <v>39640.197445994898</v>
      </c>
      <c r="T272" s="15">
        <v>2016</v>
      </c>
      <c r="U272" s="15">
        <v>7</v>
      </c>
      <c r="V272" s="15">
        <v>39802.393566315302</v>
      </c>
      <c r="X272" s="15">
        <v>2016</v>
      </c>
      <c r="Y272" s="15">
        <v>7</v>
      </c>
      <c r="Z272" s="15">
        <v>39804.542391645598</v>
      </c>
      <c r="AB272" s="15">
        <v>2016</v>
      </c>
      <c r="AC272" s="15">
        <v>7</v>
      </c>
      <c r="AD272" s="15">
        <v>39799.478608225203</v>
      </c>
      <c r="AF272" s="15">
        <v>2016</v>
      </c>
      <c r="AG272" s="15">
        <v>7</v>
      </c>
      <c r="AH272" s="15">
        <v>39786.628364725599</v>
      </c>
    </row>
    <row r="273" spans="1:34" x14ac:dyDescent="0.25">
      <c r="A273" s="15">
        <v>2016</v>
      </c>
      <c r="B273" s="15">
        <v>8</v>
      </c>
      <c r="C273" s="15">
        <v>37857.332504210397</v>
      </c>
      <c r="F273" s="15">
        <v>2016</v>
      </c>
      <c r="G273" s="15">
        <v>8</v>
      </c>
      <c r="H273" s="15">
        <v>38154.5224085472</v>
      </c>
      <c r="K273" s="18">
        <v>2016</v>
      </c>
      <c r="L273" s="18">
        <v>8</v>
      </c>
      <c r="M273" s="18">
        <v>37858.835454568398</v>
      </c>
      <c r="P273" s="15">
        <v>2016</v>
      </c>
      <c r="Q273" s="15">
        <v>8</v>
      </c>
      <c r="R273" s="15">
        <v>38154.5224085472</v>
      </c>
      <c r="T273" s="15">
        <v>2016</v>
      </c>
      <c r="U273" s="15">
        <v>8</v>
      </c>
      <c r="V273" s="15">
        <v>37716.465835651201</v>
      </c>
      <c r="X273" s="15">
        <v>2016</v>
      </c>
      <c r="Y273" s="15">
        <v>8</v>
      </c>
      <c r="Z273" s="15">
        <v>37707.563918267399</v>
      </c>
      <c r="AB273" s="15">
        <v>2016</v>
      </c>
      <c r="AC273" s="15">
        <v>8</v>
      </c>
      <c r="AD273" s="15">
        <v>37707.6057988416</v>
      </c>
      <c r="AF273" s="15">
        <v>2016</v>
      </c>
      <c r="AG273" s="15">
        <v>8</v>
      </c>
      <c r="AH273" s="15">
        <v>37725.928396611896</v>
      </c>
    </row>
    <row r="274" spans="1:34" x14ac:dyDescent="0.25">
      <c r="A274" s="15">
        <v>2016</v>
      </c>
      <c r="B274" s="15">
        <v>9</v>
      </c>
      <c r="C274" s="15">
        <v>35463.157372928901</v>
      </c>
      <c r="F274" s="15">
        <v>2016</v>
      </c>
      <c r="G274" s="15">
        <v>9</v>
      </c>
      <c r="H274" s="15">
        <v>35725.558839220401</v>
      </c>
      <c r="K274" s="18">
        <v>2016</v>
      </c>
      <c r="L274" s="18">
        <v>9</v>
      </c>
      <c r="M274" s="18">
        <v>35463.974781524201</v>
      </c>
      <c r="P274" s="15">
        <v>2016</v>
      </c>
      <c r="Q274" s="15">
        <v>9</v>
      </c>
      <c r="R274" s="15">
        <v>35725.558839220401</v>
      </c>
      <c r="T274" s="15">
        <v>2016</v>
      </c>
      <c r="U274" s="15">
        <v>9</v>
      </c>
      <c r="V274" s="15">
        <v>35634.135988214803</v>
      </c>
      <c r="X274" s="15">
        <v>2016</v>
      </c>
      <c r="Y274" s="15">
        <v>9</v>
      </c>
      <c r="Z274" s="15">
        <v>35626.418422308503</v>
      </c>
      <c r="AB274" s="15">
        <v>2016</v>
      </c>
      <c r="AC274" s="15">
        <v>9</v>
      </c>
      <c r="AD274" s="15">
        <v>35627.263540499902</v>
      </c>
      <c r="AF274" s="15">
        <v>2016</v>
      </c>
      <c r="AG274" s="15">
        <v>9</v>
      </c>
      <c r="AH274" s="15">
        <v>35647.701622220797</v>
      </c>
    </row>
    <row r="275" spans="1:34" x14ac:dyDescent="0.25">
      <c r="A275" s="15">
        <v>2016</v>
      </c>
      <c r="B275" s="15">
        <v>10</v>
      </c>
      <c r="C275" s="15">
        <v>34060.459025116797</v>
      </c>
      <c r="F275" s="15">
        <v>2016</v>
      </c>
      <c r="G275" s="15">
        <v>10</v>
      </c>
      <c r="H275" s="15">
        <v>33804.022819939099</v>
      </c>
      <c r="K275" s="18">
        <v>2016</v>
      </c>
      <c r="L275" s="18">
        <v>10</v>
      </c>
      <c r="M275" s="18">
        <v>34072.043517823302</v>
      </c>
      <c r="P275" s="15">
        <v>2016</v>
      </c>
      <c r="Q275" s="15">
        <v>10</v>
      </c>
      <c r="R275" s="15">
        <v>33804.022819939099</v>
      </c>
      <c r="T275" s="15">
        <v>2016</v>
      </c>
      <c r="U275" s="15">
        <v>10</v>
      </c>
      <c r="V275" s="15">
        <v>34752.100347996296</v>
      </c>
      <c r="X275" s="15">
        <v>2016</v>
      </c>
      <c r="Y275" s="15">
        <v>10</v>
      </c>
      <c r="Z275" s="15">
        <v>34767.527641303197</v>
      </c>
      <c r="AB275" s="15">
        <v>2016</v>
      </c>
      <c r="AC275" s="15">
        <v>10</v>
      </c>
      <c r="AD275" s="15">
        <v>34759.007378494702</v>
      </c>
      <c r="AF275" s="15">
        <v>2016</v>
      </c>
      <c r="AG275" s="15">
        <v>10</v>
      </c>
      <c r="AH275" s="15">
        <v>34727.139254488102</v>
      </c>
    </row>
    <row r="276" spans="1:34" x14ac:dyDescent="0.25">
      <c r="A276" s="15">
        <v>2016</v>
      </c>
      <c r="B276" s="15">
        <v>11</v>
      </c>
      <c r="C276" s="15">
        <v>40991.137662169502</v>
      </c>
      <c r="F276" s="15">
        <v>2016</v>
      </c>
      <c r="G276" s="15">
        <v>11</v>
      </c>
      <c r="H276" s="15">
        <v>41197.147324768499</v>
      </c>
      <c r="K276" s="18">
        <v>2016</v>
      </c>
      <c r="L276" s="18">
        <v>11</v>
      </c>
      <c r="M276" s="18">
        <v>40987.525266088604</v>
      </c>
      <c r="P276" s="15">
        <v>2016</v>
      </c>
      <c r="Q276" s="15">
        <v>11</v>
      </c>
      <c r="R276" s="15">
        <v>41197.147324768499</v>
      </c>
      <c r="T276" s="15">
        <v>2016</v>
      </c>
      <c r="U276" s="15">
        <v>11</v>
      </c>
      <c r="V276" s="15">
        <v>41420.520192762298</v>
      </c>
      <c r="X276" s="15">
        <v>2016</v>
      </c>
      <c r="Y276" s="15">
        <v>11</v>
      </c>
      <c r="Z276" s="15">
        <v>41416.976987753696</v>
      </c>
      <c r="AB276" s="15">
        <v>2016</v>
      </c>
      <c r="AC276" s="15">
        <v>11</v>
      </c>
      <c r="AD276" s="15">
        <v>41419.253591146102</v>
      </c>
      <c r="AF276" s="15">
        <v>2016</v>
      </c>
      <c r="AG276" s="15">
        <v>11</v>
      </c>
      <c r="AH276" s="15">
        <v>41437.9780801948</v>
      </c>
    </row>
    <row r="277" spans="1:34" x14ac:dyDescent="0.25">
      <c r="A277" s="15">
        <v>2016</v>
      </c>
      <c r="B277" s="15">
        <v>12</v>
      </c>
      <c r="C277" s="15">
        <v>48853.111389576901</v>
      </c>
      <c r="F277" s="15">
        <v>2016</v>
      </c>
      <c r="G277" s="15">
        <v>12</v>
      </c>
      <c r="H277" s="15">
        <v>48921.180638485501</v>
      </c>
      <c r="K277" s="18">
        <v>2016</v>
      </c>
      <c r="L277" s="18">
        <v>12</v>
      </c>
      <c r="M277" s="18">
        <v>48847.706987462203</v>
      </c>
      <c r="P277" s="15">
        <v>2016</v>
      </c>
      <c r="Q277" s="15">
        <v>12</v>
      </c>
      <c r="R277" s="15">
        <v>48921.180638485501</v>
      </c>
      <c r="T277" s="15">
        <v>2016</v>
      </c>
      <c r="U277" s="15">
        <v>12</v>
      </c>
      <c r="V277" s="15">
        <v>49263.3517232386</v>
      </c>
      <c r="X277" s="15">
        <v>2016</v>
      </c>
      <c r="Y277" s="15">
        <v>12</v>
      </c>
      <c r="Z277" s="15">
        <v>49287.775847542303</v>
      </c>
      <c r="AB277" s="15">
        <v>2016</v>
      </c>
      <c r="AC277" s="15">
        <v>12</v>
      </c>
      <c r="AD277" s="15">
        <v>49298.550542810699</v>
      </c>
      <c r="AF277" s="15">
        <v>2016</v>
      </c>
      <c r="AG277" s="15">
        <v>12</v>
      </c>
      <c r="AH277" s="15">
        <v>49291.509447213102</v>
      </c>
    </row>
    <row r="278" spans="1:34" x14ac:dyDescent="0.25">
      <c r="A278" s="15">
        <v>2017</v>
      </c>
      <c r="B278" s="15">
        <v>1</v>
      </c>
      <c r="C278" s="15">
        <v>46687.889332635597</v>
      </c>
      <c r="F278" s="15">
        <v>2017</v>
      </c>
      <c r="G278" s="15">
        <v>1</v>
      </c>
      <c r="H278" s="15">
        <v>46136.756520774499</v>
      </c>
      <c r="K278" s="18">
        <v>2017</v>
      </c>
      <c r="L278" s="18">
        <v>1</v>
      </c>
      <c r="M278" s="18">
        <v>46644.440328087898</v>
      </c>
      <c r="P278" s="15">
        <v>2017</v>
      </c>
      <c r="Q278" s="15">
        <v>1</v>
      </c>
      <c r="R278" s="15">
        <v>46136.756520774499</v>
      </c>
      <c r="T278" s="15">
        <v>2017</v>
      </c>
      <c r="U278" s="15">
        <v>1</v>
      </c>
      <c r="V278" s="15">
        <v>47117.217977930202</v>
      </c>
      <c r="X278" s="15">
        <v>2017</v>
      </c>
      <c r="Y278" s="15">
        <v>1</v>
      </c>
      <c r="Z278" s="15">
        <v>47126.633881013702</v>
      </c>
      <c r="AB278" s="15">
        <v>2017</v>
      </c>
      <c r="AC278" s="15">
        <v>1</v>
      </c>
      <c r="AD278" s="15">
        <v>47131.168635545197</v>
      </c>
      <c r="AF278" s="15">
        <v>2017</v>
      </c>
      <c r="AG278" s="15">
        <v>1</v>
      </c>
      <c r="AH278" s="15">
        <v>47120.575008235399</v>
      </c>
    </row>
    <row r="279" spans="1:34" x14ac:dyDescent="0.25">
      <c r="A279" s="15">
        <v>2017</v>
      </c>
      <c r="B279" s="15">
        <v>2</v>
      </c>
      <c r="C279" s="15">
        <v>29586.6880148247</v>
      </c>
      <c r="F279" s="15">
        <v>2017</v>
      </c>
      <c r="G279" s="15">
        <v>2</v>
      </c>
      <c r="H279" s="15">
        <v>28530.953942137501</v>
      </c>
      <c r="K279" s="18">
        <v>2017</v>
      </c>
      <c r="L279" s="18">
        <v>2</v>
      </c>
      <c r="M279" s="18">
        <v>29611.885609259502</v>
      </c>
      <c r="P279" s="15">
        <v>2017</v>
      </c>
      <c r="Q279" s="15">
        <v>2</v>
      </c>
      <c r="R279" s="15">
        <v>28530.953942137501</v>
      </c>
      <c r="T279" s="15">
        <v>2017</v>
      </c>
      <c r="U279" s="15">
        <v>2</v>
      </c>
      <c r="V279" s="15">
        <v>27764.7401352468</v>
      </c>
      <c r="X279" s="15">
        <v>2017</v>
      </c>
      <c r="Y279" s="15">
        <v>2</v>
      </c>
      <c r="Z279" s="15">
        <v>27773.7178181001</v>
      </c>
      <c r="AB279" s="15">
        <v>2017</v>
      </c>
      <c r="AC279" s="15">
        <v>2</v>
      </c>
      <c r="AD279" s="15">
        <v>27774.370173999501</v>
      </c>
      <c r="AF279" s="15">
        <v>2017</v>
      </c>
      <c r="AG279" s="15">
        <v>2</v>
      </c>
      <c r="AH279" s="15">
        <v>27764.321431652399</v>
      </c>
    </row>
    <row r="280" spans="1:34" x14ac:dyDescent="0.25">
      <c r="A280" s="15">
        <v>2017</v>
      </c>
      <c r="B280" s="15">
        <v>3</v>
      </c>
      <c r="C280" s="15">
        <v>34449.390895847602</v>
      </c>
      <c r="F280" s="15">
        <v>2017</v>
      </c>
      <c r="G280" s="15">
        <v>3</v>
      </c>
      <c r="H280" s="15">
        <v>34806.423617496097</v>
      </c>
      <c r="K280" s="18">
        <v>2017</v>
      </c>
      <c r="L280" s="18">
        <v>3</v>
      </c>
      <c r="M280" s="18">
        <v>34441.684319169697</v>
      </c>
      <c r="P280" s="15">
        <v>2017</v>
      </c>
      <c r="Q280" s="15">
        <v>3</v>
      </c>
      <c r="R280" s="15">
        <v>34806.423617496097</v>
      </c>
      <c r="T280" s="15">
        <v>2017</v>
      </c>
      <c r="U280" s="15">
        <v>3</v>
      </c>
      <c r="V280" s="15">
        <v>33764.409559726097</v>
      </c>
      <c r="X280" s="15">
        <v>2017</v>
      </c>
      <c r="Y280" s="15">
        <v>3</v>
      </c>
      <c r="Z280" s="15">
        <v>33749.639287018603</v>
      </c>
      <c r="AB280" s="15">
        <v>2017</v>
      </c>
      <c r="AC280" s="15">
        <v>3</v>
      </c>
      <c r="AD280" s="15">
        <v>33753.528272901698</v>
      </c>
      <c r="AF280" s="15">
        <v>2017</v>
      </c>
      <c r="AG280" s="15">
        <v>3</v>
      </c>
      <c r="AH280" s="15">
        <v>33763.4836773719</v>
      </c>
    </row>
    <row r="281" spans="1:34" x14ac:dyDescent="0.25">
      <c r="A281" s="15">
        <v>2017</v>
      </c>
      <c r="B281" s="15">
        <v>4</v>
      </c>
      <c r="C281" s="15">
        <v>37442.195567996001</v>
      </c>
      <c r="F281" s="15">
        <v>2017</v>
      </c>
      <c r="G281" s="15">
        <v>4</v>
      </c>
      <c r="H281" s="15">
        <v>37354.946614221197</v>
      </c>
      <c r="K281" s="18">
        <v>2017</v>
      </c>
      <c r="L281" s="18">
        <v>4</v>
      </c>
      <c r="M281" s="18">
        <v>37448.128235959703</v>
      </c>
      <c r="P281" s="15">
        <v>2017</v>
      </c>
      <c r="Q281" s="15">
        <v>4</v>
      </c>
      <c r="R281" s="15">
        <v>37354.946614221197</v>
      </c>
      <c r="T281" s="15">
        <v>2017</v>
      </c>
      <c r="U281" s="15">
        <v>4</v>
      </c>
      <c r="V281" s="15">
        <v>37327.993216915202</v>
      </c>
      <c r="X281" s="15">
        <v>2017</v>
      </c>
      <c r="Y281" s="15">
        <v>4</v>
      </c>
      <c r="Z281" s="15">
        <v>37326.986880409997</v>
      </c>
      <c r="AB281" s="15">
        <v>2017</v>
      </c>
      <c r="AC281" s="15">
        <v>4</v>
      </c>
      <c r="AD281" s="15">
        <v>37322.4661648611</v>
      </c>
      <c r="AF281" s="15">
        <v>2017</v>
      </c>
      <c r="AG281" s="15">
        <v>4</v>
      </c>
      <c r="AH281" s="15">
        <v>37300.371524286798</v>
      </c>
    </row>
    <row r="282" spans="1:34" x14ac:dyDescent="0.25">
      <c r="A282" s="15">
        <v>2017</v>
      </c>
      <c r="B282" s="15">
        <v>5</v>
      </c>
      <c r="C282" s="15">
        <v>42169.622272691799</v>
      </c>
      <c r="F282" s="15">
        <v>2017</v>
      </c>
      <c r="G282" s="15">
        <v>5</v>
      </c>
      <c r="H282" s="15">
        <v>42226.524337677904</v>
      </c>
      <c r="K282" s="18">
        <v>2017</v>
      </c>
      <c r="L282" s="18">
        <v>5</v>
      </c>
      <c r="M282" s="18">
        <v>42179.002061726802</v>
      </c>
      <c r="P282" s="15">
        <v>2017</v>
      </c>
      <c r="Q282" s="15">
        <v>5</v>
      </c>
      <c r="R282" s="15">
        <v>42226.524337677904</v>
      </c>
      <c r="T282" s="15">
        <v>2017</v>
      </c>
      <c r="U282" s="15">
        <v>5</v>
      </c>
      <c r="V282" s="15">
        <v>41725.882984306401</v>
      </c>
      <c r="X282" s="15">
        <v>2017</v>
      </c>
      <c r="Y282" s="15">
        <v>5</v>
      </c>
      <c r="Z282" s="15">
        <v>41704.376329368199</v>
      </c>
      <c r="AB282" s="15">
        <v>2017</v>
      </c>
      <c r="AC282" s="15">
        <v>5</v>
      </c>
      <c r="AD282" s="15">
        <v>41697.770027337298</v>
      </c>
      <c r="AF282" s="15">
        <v>2017</v>
      </c>
      <c r="AG282" s="15">
        <v>5</v>
      </c>
      <c r="AH282" s="15">
        <v>41708.453490147498</v>
      </c>
    </row>
    <row r="283" spans="1:34" x14ac:dyDescent="0.25">
      <c r="A283" s="15">
        <v>2017</v>
      </c>
      <c r="B283" s="15">
        <v>6</v>
      </c>
      <c r="C283" s="15">
        <v>42677.096439951303</v>
      </c>
      <c r="F283" s="15">
        <v>2017</v>
      </c>
      <c r="G283" s="15">
        <v>6</v>
      </c>
      <c r="H283" s="15">
        <v>42981.108902591601</v>
      </c>
      <c r="K283" s="18">
        <v>2017</v>
      </c>
      <c r="L283" s="18">
        <v>6</v>
      </c>
      <c r="M283" s="18">
        <v>42676.237751044799</v>
      </c>
      <c r="P283" s="15">
        <v>2017</v>
      </c>
      <c r="Q283" s="15">
        <v>6</v>
      </c>
      <c r="R283" s="15">
        <v>42981.108902591601</v>
      </c>
      <c r="T283" s="15">
        <v>2017</v>
      </c>
      <c r="U283" s="15">
        <v>6</v>
      </c>
      <c r="V283" s="15">
        <v>42326.067309845501</v>
      </c>
      <c r="X283" s="15">
        <v>2017</v>
      </c>
      <c r="Y283" s="15">
        <v>6</v>
      </c>
      <c r="Z283" s="15">
        <v>42318.1738965275</v>
      </c>
      <c r="AB283" s="15">
        <v>2017</v>
      </c>
      <c r="AC283" s="15">
        <v>6</v>
      </c>
      <c r="AD283" s="15">
        <v>42319.2707515988</v>
      </c>
      <c r="AF283" s="15">
        <v>2017</v>
      </c>
      <c r="AG283" s="15">
        <v>6</v>
      </c>
      <c r="AH283" s="15">
        <v>42333.425697744497</v>
      </c>
    </row>
    <row r="284" spans="1:34" x14ac:dyDescent="0.25">
      <c r="A284" s="15">
        <v>2017</v>
      </c>
      <c r="B284" s="15">
        <v>7</v>
      </c>
      <c r="C284" s="15">
        <v>40194.506695284399</v>
      </c>
      <c r="F284" s="15">
        <v>2017</v>
      </c>
      <c r="G284" s="15">
        <v>7</v>
      </c>
      <c r="H284" s="15">
        <v>40258.0586058189</v>
      </c>
      <c r="K284" s="18">
        <v>2017</v>
      </c>
      <c r="L284" s="18">
        <v>7</v>
      </c>
      <c r="M284" s="18">
        <v>40202.137215973802</v>
      </c>
      <c r="P284" s="15">
        <v>2017</v>
      </c>
      <c r="Q284" s="15">
        <v>7</v>
      </c>
      <c r="R284" s="15">
        <v>40258.0586058189</v>
      </c>
      <c r="T284" s="15">
        <v>2017</v>
      </c>
      <c r="U284" s="15">
        <v>7</v>
      </c>
      <c r="V284" s="15">
        <v>40259.430726439197</v>
      </c>
      <c r="X284" s="15">
        <v>2017</v>
      </c>
      <c r="Y284" s="15">
        <v>7</v>
      </c>
      <c r="Z284" s="15">
        <v>40261.720117561999</v>
      </c>
      <c r="AB284" s="15">
        <v>2017</v>
      </c>
      <c r="AC284" s="15">
        <v>7</v>
      </c>
      <c r="AD284" s="15">
        <v>40256.895947547098</v>
      </c>
      <c r="AF284" s="15">
        <v>2017</v>
      </c>
      <c r="AG284" s="15">
        <v>7</v>
      </c>
      <c r="AH284" s="15">
        <v>40247.620433521202</v>
      </c>
    </row>
    <row r="285" spans="1:34" x14ac:dyDescent="0.25">
      <c r="A285" s="15">
        <v>2017</v>
      </c>
      <c r="B285" s="15">
        <v>8</v>
      </c>
      <c r="C285" s="15">
        <v>38592.128407086901</v>
      </c>
      <c r="F285" s="15">
        <v>2017</v>
      </c>
      <c r="G285" s="15">
        <v>8</v>
      </c>
      <c r="H285" s="15">
        <v>38941.130466809998</v>
      </c>
      <c r="K285" s="18">
        <v>2017</v>
      </c>
      <c r="L285" s="18">
        <v>8</v>
      </c>
      <c r="M285" s="18">
        <v>38595.427833909998</v>
      </c>
      <c r="P285" s="15">
        <v>2017</v>
      </c>
      <c r="Q285" s="15">
        <v>8</v>
      </c>
      <c r="R285" s="15">
        <v>38941.130466809998</v>
      </c>
      <c r="T285" s="15">
        <v>2017</v>
      </c>
      <c r="U285" s="15">
        <v>8</v>
      </c>
      <c r="V285" s="15">
        <v>38545.336766217202</v>
      </c>
      <c r="X285" s="15">
        <v>2017</v>
      </c>
      <c r="Y285" s="15">
        <v>8</v>
      </c>
      <c r="Z285" s="15">
        <v>38536.6035626413</v>
      </c>
      <c r="AB285" s="15">
        <v>2017</v>
      </c>
      <c r="AC285" s="15">
        <v>8</v>
      </c>
      <c r="AD285" s="15">
        <v>38536.161682063597</v>
      </c>
      <c r="AF285" s="15">
        <v>2017</v>
      </c>
      <c r="AG285" s="15">
        <v>8</v>
      </c>
      <c r="AH285" s="15">
        <v>38556.758533950997</v>
      </c>
    </row>
    <row r="286" spans="1:34" x14ac:dyDescent="0.25">
      <c r="A286" s="15">
        <v>2017</v>
      </c>
      <c r="B286" s="15">
        <v>9</v>
      </c>
      <c r="C286" s="15">
        <v>41957.259676092799</v>
      </c>
      <c r="F286" s="15">
        <v>2017</v>
      </c>
      <c r="G286" s="15">
        <v>9</v>
      </c>
      <c r="H286" s="15">
        <v>42131.952857754397</v>
      </c>
      <c r="K286" s="18">
        <v>2017</v>
      </c>
      <c r="L286" s="18">
        <v>9</v>
      </c>
      <c r="M286" s="18">
        <v>41962.768293141497</v>
      </c>
      <c r="P286" s="15">
        <v>2017</v>
      </c>
      <c r="Q286" s="15">
        <v>9</v>
      </c>
      <c r="R286" s="15">
        <v>42131.952857754397</v>
      </c>
      <c r="T286" s="15">
        <v>2017</v>
      </c>
      <c r="U286" s="15">
        <v>9</v>
      </c>
      <c r="V286" s="15">
        <v>42307.403757873901</v>
      </c>
      <c r="X286" s="15">
        <v>2017</v>
      </c>
      <c r="Y286" s="15">
        <v>9</v>
      </c>
      <c r="Z286" s="15">
        <v>42305.377182872297</v>
      </c>
      <c r="AB286" s="15">
        <v>2017</v>
      </c>
      <c r="AC286" s="15">
        <v>9</v>
      </c>
      <c r="AD286" s="15">
        <v>42302.671571173902</v>
      </c>
      <c r="AF286" s="15">
        <v>2017</v>
      </c>
      <c r="AG286" s="15">
        <v>9</v>
      </c>
      <c r="AH286" s="15">
        <v>42310.218335270903</v>
      </c>
    </row>
    <row r="287" spans="1:34" x14ac:dyDescent="0.25">
      <c r="A287" s="15">
        <v>2017</v>
      </c>
      <c r="B287" s="15">
        <v>10</v>
      </c>
      <c r="C287" s="15">
        <v>39534.679441034503</v>
      </c>
      <c r="F287" s="15">
        <v>2017</v>
      </c>
      <c r="G287" s="15">
        <v>10</v>
      </c>
      <c r="H287" s="15">
        <v>39472.466797716799</v>
      </c>
      <c r="K287" s="18">
        <v>2017</v>
      </c>
      <c r="L287" s="18">
        <v>10</v>
      </c>
      <c r="M287" s="18">
        <v>39546.298237054601</v>
      </c>
      <c r="P287" s="15">
        <v>2017</v>
      </c>
      <c r="Q287" s="15">
        <v>10</v>
      </c>
      <c r="R287" s="15">
        <v>39472.466797716799</v>
      </c>
      <c r="T287" s="15">
        <v>2017</v>
      </c>
      <c r="U287" s="15">
        <v>10</v>
      </c>
      <c r="V287" s="15">
        <v>40178.980479551203</v>
      </c>
      <c r="X287" s="15">
        <v>2017</v>
      </c>
      <c r="Y287" s="15">
        <v>10</v>
      </c>
      <c r="Z287" s="15">
        <v>40186.4860968703</v>
      </c>
      <c r="AB287" s="15">
        <v>2017</v>
      </c>
      <c r="AC287" s="15">
        <v>10</v>
      </c>
      <c r="AD287" s="15">
        <v>40179.5120208683</v>
      </c>
      <c r="AF287" s="15">
        <v>2017</v>
      </c>
      <c r="AG287" s="15">
        <v>10</v>
      </c>
      <c r="AH287" s="15">
        <v>40168.038696095799</v>
      </c>
    </row>
    <row r="288" spans="1:34" x14ac:dyDescent="0.25">
      <c r="A288" s="15">
        <v>2017</v>
      </c>
      <c r="B288" s="15">
        <v>11</v>
      </c>
      <c r="C288" s="15">
        <v>39300.0167111591</v>
      </c>
      <c r="F288" s="15">
        <v>2017</v>
      </c>
      <c r="G288" s="15">
        <v>11</v>
      </c>
      <c r="H288" s="15">
        <v>39511.220068709103</v>
      </c>
      <c r="K288" s="18">
        <v>2017</v>
      </c>
      <c r="L288" s="18">
        <v>11</v>
      </c>
      <c r="M288" s="18">
        <v>39301.249199186197</v>
      </c>
      <c r="P288" s="15">
        <v>2017</v>
      </c>
      <c r="Q288" s="15">
        <v>11</v>
      </c>
      <c r="R288" s="15">
        <v>39511.220068709103</v>
      </c>
      <c r="T288" s="15">
        <v>2017</v>
      </c>
      <c r="U288" s="15">
        <v>11</v>
      </c>
      <c r="V288" s="15">
        <v>40053.886673060297</v>
      </c>
      <c r="X288" s="15">
        <v>2017</v>
      </c>
      <c r="Y288" s="15">
        <v>11</v>
      </c>
      <c r="Z288" s="15">
        <v>40050.209632117301</v>
      </c>
      <c r="AB288" s="15">
        <v>2017</v>
      </c>
      <c r="AC288" s="15">
        <v>11</v>
      </c>
      <c r="AD288" s="15">
        <v>40050.4329350158</v>
      </c>
      <c r="AF288" s="15">
        <v>2017</v>
      </c>
      <c r="AG288" s="15">
        <v>11</v>
      </c>
      <c r="AH288" s="15">
        <v>40071.938333195802</v>
      </c>
    </row>
    <row r="289" spans="1:34" x14ac:dyDescent="0.25">
      <c r="A289" s="15">
        <v>2017</v>
      </c>
      <c r="B289" s="15">
        <v>12</v>
      </c>
      <c r="C289" s="15">
        <v>42350.274005195402</v>
      </c>
      <c r="F289" s="15">
        <v>2017</v>
      </c>
      <c r="G289" s="15">
        <v>12</v>
      </c>
      <c r="H289" s="15">
        <v>42487.360016674298</v>
      </c>
      <c r="K289" s="18">
        <v>2017</v>
      </c>
      <c r="L289" s="18">
        <v>12</v>
      </c>
      <c r="M289" s="18">
        <v>42352.901916006398</v>
      </c>
      <c r="P289" s="15">
        <v>2017</v>
      </c>
      <c r="Q289" s="15">
        <v>12</v>
      </c>
      <c r="R289" s="15">
        <v>42487.360016674298</v>
      </c>
      <c r="T289" s="15">
        <v>2017</v>
      </c>
      <c r="U289" s="15">
        <v>12</v>
      </c>
      <c r="V289" s="15">
        <v>43054.633208558102</v>
      </c>
      <c r="X289" s="15">
        <v>2017</v>
      </c>
      <c r="Y289" s="15">
        <v>12</v>
      </c>
      <c r="Z289" s="15">
        <v>43103.494696149501</v>
      </c>
      <c r="AB289" s="15">
        <v>2017</v>
      </c>
      <c r="AC289" s="15">
        <v>12</v>
      </c>
      <c r="AD289" s="15">
        <v>43118.650040203203</v>
      </c>
      <c r="AF289" s="15">
        <v>2017</v>
      </c>
      <c r="AG289" s="15">
        <v>12</v>
      </c>
      <c r="AH289" s="15">
        <v>43092.650241673997</v>
      </c>
    </row>
    <row r="290" spans="1:34" x14ac:dyDescent="0.25">
      <c r="A290" s="15">
        <v>2018</v>
      </c>
      <c r="B290" s="15">
        <v>1</v>
      </c>
      <c r="C290" s="15">
        <v>39615.166094246197</v>
      </c>
      <c r="F290" s="15">
        <v>2018</v>
      </c>
      <c r="G290" s="15">
        <v>1</v>
      </c>
      <c r="H290" s="15">
        <v>38258.888616480901</v>
      </c>
      <c r="K290" s="18">
        <v>2018</v>
      </c>
      <c r="L290" s="18">
        <v>1</v>
      </c>
      <c r="M290" s="18">
        <v>39524.7569923462</v>
      </c>
      <c r="P290" s="15">
        <v>2018</v>
      </c>
      <c r="Q290" s="15">
        <v>1</v>
      </c>
      <c r="R290" s="15">
        <v>38258.888616480901</v>
      </c>
      <c r="T290" s="15">
        <v>2018</v>
      </c>
      <c r="U290" s="15">
        <v>1</v>
      </c>
      <c r="V290" s="15">
        <v>40181.601504023703</v>
      </c>
      <c r="X290" s="15">
        <v>2018</v>
      </c>
      <c r="Y290" s="15">
        <v>1</v>
      </c>
      <c r="Z290" s="15">
        <v>40188.979992379602</v>
      </c>
      <c r="AB290" s="15">
        <v>2018</v>
      </c>
      <c r="AC290" s="15">
        <v>1</v>
      </c>
      <c r="AD290" s="15">
        <v>40200.923044778399</v>
      </c>
      <c r="AF290" s="15">
        <v>2018</v>
      </c>
      <c r="AG290" s="15">
        <v>1</v>
      </c>
      <c r="AH290" s="15">
        <v>40199.163037926701</v>
      </c>
    </row>
    <row r="291" spans="1:34" x14ac:dyDescent="0.25">
      <c r="A291" s="15">
        <v>2018</v>
      </c>
      <c r="B291" s="15">
        <v>2</v>
      </c>
      <c r="C291" s="15">
        <v>42369.068162023403</v>
      </c>
      <c r="F291" s="15">
        <v>2018</v>
      </c>
      <c r="G291" s="15">
        <v>2</v>
      </c>
      <c r="H291" s="15">
        <v>41327.570926030101</v>
      </c>
      <c r="K291" s="18">
        <v>2018</v>
      </c>
      <c r="L291" s="18">
        <v>2</v>
      </c>
      <c r="M291" s="18">
        <v>42406.688115089397</v>
      </c>
      <c r="P291" s="15">
        <v>2018</v>
      </c>
      <c r="Q291" s="15">
        <v>2</v>
      </c>
      <c r="R291" s="15">
        <v>41327.570926030101</v>
      </c>
      <c r="T291" s="15">
        <v>2018</v>
      </c>
      <c r="U291" s="15">
        <v>2</v>
      </c>
      <c r="V291" s="15">
        <v>40393.1106952474</v>
      </c>
      <c r="X291" s="15">
        <v>2018</v>
      </c>
      <c r="Y291" s="15">
        <v>2</v>
      </c>
      <c r="Z291" s="15">
        <v>40402.6654487255</v>
      </c>
      <c r="AB291" s="15">
        <v>2018</v>
      </c>
      <c r="AC291" s="15">
        <v>2</v>
      </c>
      <c r="AD291" s="15">
        <v>40403.894739239498</v>
      </c>
      <c r="AF291" s="15">
        <v>2018</v>
      </c>
      <c r="AG291" s="15">
        <v>2</v>
      </c>
      <c r="AH291" s="15">
        <v>40389.346446510703</v>
      </c>
    </row>
    <row r="292" spans="1:34" x14ac:dyDescent="0.25">
      <c r="A292" s="15">
        <v>2018</v>
      </c>
      <c r="B292" s="15">
        <v>3</v>
      </c>
      <c r="C292" s="15">
        <v>45890.161611355703</v>
      </c>
      <c r="F292" s="15">
        <v>2018</v>
      </c>
      <c r="G292" s="15">
        <v>3</v>
      </c>
      <c r="H292" s="15">
        <v>46516.069478489902</v>
      </c>
      <c r="K292" s="18">
        <v>2018</v>
      </c>
      <c r="L292" s="18">
        <v>3</v>
      </c>
      <c r="M292" s="18">
        <v>45887.129677912402</v>
      </c>
      <c r="P292" s="15">
        <v>2018</v>
      </c>
      <c r="Q292" s="15">
        <v>3</v>
      </c>
      <c r="R292" s="15">
        <v>46516.069478489902</v>
      </c>
      <c r="T292" s="15">
        <v>2018</v>
      </c>
      <c r="U292" s="15">
        <v>3</v>
      </c>
      <c r="V292" s="15">
        <v>45073.768477387799</v>
      </c>
      <c r="X292" s="15">
        <v>2018</v>
      </c>
      <c r="Y292" s="15">
        <v>3</v>
      </c>
      <c r="Z292" s="15">
        <v>45067.301548856201</v>
      </c>
      <c r="AB292" s="15">
        <v>2018</v>
      </c>
      <c r="AC292" s="15">
        <v>3</v>
      </c>
      <c r="AD292" s="15">
        <v>45067.6265440024</v>
      </c>
      <c r="AF292" s="15">
        <v>2018</v>
      </c>
      <c r="AG292" s="15">
        <v>3</v>
      </c>
      <c r="AH292" s="15">
        <v>45055.721026008097</v>
      </c>
    </row>
    <row r="293" spans="1:34" x14ac:dyDescent="0.25">
      <c r="A293" s="15">
        <v>2018</v>
      </c>
      <c r="B293" s="15">
        <v>4</v>
      </c>
      <c r="C293" s="15">
        <v>44963.428231985497</v>
      </c>
      <c r="F293" s="15">
        <v>2018</v>
      </c>
      <c r="G293" s="15">
        <v>4</v>
      </c>
      <c r="H293" s="15">
        <v>44975.584669732802</v>
      </c>
      <c r="K293" s="18">
        <v>2018</v>
      </c>
      <c r="L293" s="18">
        <v>4</v>
      </c>
      <c r="M293" s="18">
        <v>44974.184936945698</v>
      </c>
      <c r="P293" s="15">
        <v>2018</v>
      </c>
      <c r="Q293" s="15">
        <v>4</v>
      </c>
      <c r="R293" s="15">
        <v>44975.584669732802</v>
      </c>
      <c r="T293" s="15">
        <v>2018</v>
      </c>
      <c r="U293" s="15">
        <v>4</v>
      </c>
      <c r="V293" s="15">
        <v>44496.720253153297</v>
      </c>
      <c r="X293" s="15">
        <v>2018</v>
      </c>
      <c r="Y293" s="15">
        <v>4</v>
      </c>
      <c r="Z293" s="15">
        <v>44474.7980824857</v>
      </c>
      <c r="AB293" s="15">
        <v>2018</v>
      </c>
      <c r="AC293" s="15">
        <v>4</v>
      </c>
      <c r="AD293" s="15">
        <v>44472.339966350097</v>
      </c>
      <c r="AF293" s="15">
        <v>2018</v>
      </c>
      <c r="AG293" s="15">
        <v>4</v>
      </c>
      <c r="AH293" s="15">
        <v>44463.381162992002</v>
      </c>
    </row>
    <row r="294" spans="1:34" x14ac:dyDescent="0.25">
      <c r="A294" s="15">
        <v>2018</v>
      </c>
      <c r="B294" s="15">
        <v>5</v>
      </c>
      <c r="C294" s="15">
        <v>43887.722902442001</v>
      </c>
      <c r="F294" s="15">
        <v>2018</v>
      </c>
      <c r="G294" s="15">
        <v>5</v>
      </c>
      <c r="H294" s="15">
        <v>43873.218278010798</v>
      </c>
      <c r="K294" s="18">
        <v>2018</v>
      </c>
      <c r="L294" s="18">
        <v>5</v>
      </c>
      <c r="M294" s="18">
        <v>43904.960338968704</v>
      </c>
      <c r="P294" s="15">
        <v>2018</v>
      </c>
      <c r="Q294" s="15">
        <v>5</v>
      </c>
      <c r="R294" s="15">
        <v>43873.218278010798</v>
      </c>
      <c r="T294" s="15">
        <v>2018</v>
      </c>
      <c r="U294" s="15">
        <v>5</v>
      </c>
      <c r="V294" s="15">
        <v>43264.429061043498</v>
      </c>
      <c r="X294" s="15">
        <v>2018</v>
      </c>
      <c r="Y294" s="15">
        <v>5</v>
      </c>
      <c r="Z294" s="15">
        <v>43232.072708381602</v>
      </c>
      <c r="AB294" s="15">
        <v>2018</v>
      </c>
      <c r="AC294" s="15">
        <v>5</v>
      </c>
      <c r="AD294" s="15">
        <v>43217.950879262396</v>
      </c>
      <c r="AF294" s="15">
        <v>2018</v>
      </c>
      <c r="AG294" s="15">
        <v>5</v>
      </c>
      <c r="AH294" s="15">
        <v>43228.426931928501</v>
      </c>
    </row>
    <row r="295" spans="1:34" x14ac:dyDescent="0.25">
      <c r="A295" s="15">
        <v>2018</v>
      </c>
      <c r="B295" s="15">
        <v>6</v>
      </c>
      <c r="C295" s="15">
        <v>38543.150601545101</v>
      </c>
      <c r="F295" s="15">
        <v>2018</v>
      </c>
      <c r="G295" s="15">
        <v>6</v>
      </c>
      <c r="H295" s="15">
        <v>39077.134413625099</v>
      </c>
      <c r="K295" s="18">
        <v>2018</v>
      </c>
      <c r="L295" s="18">
        <v>6</v>
      </c>
      <c r="M295" s="18">
        <v>38543.557557603301</v>
      </c>
      <c r="P295" s="15">
        <v>2018</v>
      </c>
      <c r="Q295" s="15">
        <v>6</v>
      </c>
      <c r="R295" s="15">
        <v>39077.134413625099</v>
      </c>
      <c r="T295" s="15">
        <v>2018</v>
      </c>
      <c r="U295" s="15">
        <v>6</v>
      </c>
      <c r="V295" s="15">
        <v>38213.057328441297</v>
      </c>
      <c r="X295" s="15">
        <v>2018</v>
      </c>
      <c r="Y295" s="15">
        <v>6</v>
      </c>
      <c r="Z295" s="15">
        <v>38213.985459724499</v>
      </c>
      <c r="AB295" s="15">
        <v>2018</v>
      </c>
      <c r="AC295" s="15">
        <v>6</v>
      </c>
      <c r="AD295" s="15">
        <v>38212.750779731403</v>
      </c>
      <c r="AF295" s="15">
        <v>2018</v>
      </c>
      <c r="AG295" s="15">
        <v>6</v>
      </c>
      <c r="AH295" s="15">
        <v>38214.104298319602</v>
      </c>
    </row>
    <row r="296" spans="1:34" x14ac:dyDescent="0.25">
      <c r="A296" s="15">
        <v>2018</v>
      </c>
      <c r="B296" s="15">
        <v>7</v>
      </c>
      <c r="C296" s="15">
        <v>42409.235921615902</v>
      </c>
      <c r="F296" s="15">
        <v>2018</v>
      </c>
      <c r="G296" s="15">
        <v>7</v>
      </c>
      <c r="H296" s="15">
        <v>42541.443958301999</v>
      </c>
      <c r="K296" s="18">
        <v>2018</v>
      </c>
      <c r="L296" s="18">
        <v>7</v>
      </c>
      <c r="M296" s="18">
        <v>42413.424608768502</v>
      </c>
      <c r="P296" s="15">
        <v>2018</v>
      </c>
      <c r="Q296" s="15">
        <v>7</v>
      </c>
      <c r="R296" s="15">
        <v>42541.443958301999</v>
      </c>
      <c r="T296" s="15">
        <v>2018</v>
      </c>
      <c r="U296" s="15">
        <v>7</v>
      </c>
      <c r="V296" s="15">
        <v>42331.029010893901</v>
      </c>
      <c r="X296" s="15">
        <v>2018</v>
      </c>
      <c r="Y296" s="15">
        <v>7</v>
      </c>
      <c r="Z296" s="15">
        <v>42327.218651645198</v>
      </c>
      <c r="AB296" s="15">
        <v>2018</v>
      </c>
      <c r="AC296" s="15">
        <v>7</v>
      </c>
      <c r="AD296" s="15">
        <v>42324.911783220101</v>
      </c>
      <c r="AF296" s="15">
        <v>2018</v>
      </c>
      <c r="AG296" s="15">
        <v>7</v>
      </c>
      <c r="AH296" s="15">
        <v>42335.842349994797</v>
      </c>
    </row>
    <row r="297" spans="1:34" x14ac:dyDescent="0.25">
      <c r="A297" s="15">
        <v>2018</v>
      </c>
      <c r="B297" s="15">
        <v>8</v>
      </c>
      <c r="C297" s="15">
        <v>42214.973234334902</v>
      </c>
      <c r="F297" s="15">
        <v>2018</v>
      </c>
      <c r="G297" s="15">
        <v>8</v>
      </c>
      <c r="H297" s="15">
        <v>42480.906678566898</v>
      </c>
      <c r="K297" s="18">
        <v>2018</v>
      </c>
      <c r="L297" s="18">
        <v>8</v>
      </c>
      <c r="M297" s="18">
        <v>42219.345337889703</v>
      </c>
      <c r="P297" s="15">
        <v>2018</v>
      </c>
      <c r="Q297" s="15">
        <v>8</v>
      </c>
      <c r="R297" s="15">
        <v>42480.906678566898</v>
      </c>
      <c r="T297" s="15">
        <v>2018</v>
      </c>
      <c r="U297" s="15">
        <v>8</v>
      </c>
      <c r="V297" s="15">
        <v>42255.773867254502</v>
      </c>
      <c r="X297" s="15">
        <v>2018</v>
      </c>
      <c r="Y297" s="15">
        <v>8</v>
      </c>
      <c r="Z297" s="15">
        <v>42246.261575528297</v>
      </c>
      <c r="AB297" s="15">
        <v>2018</v>
      </c>
      <c r="AC297" s="15">
        <v>8</v>
      </c>
      <c r="AD297" s="15">
        <v>42245.057807896803</v>
      </c>
      <c r="AF297" s="15">
        <v>2018</v>
      </c>
      <c r="AG297" s="15">
        <v>8</v>
      </c>
      <c r="AH297" s="15">
        <v>42271.3220507929</v>
      </c>
    </row>
    <row r="298" spans="1:34" x14ac:dyDescent="0.25">
      <c r="A298" s="15">
        <v>2018</v>
      </c>
      <c r="B298" s="15">
        <v>9</v>
      </c>
      <c r="C298" s="15">
        <v>33857.783020647999</v>
      </c>
      <c r="F298" s="15">
        <v>2018</v>
      </c>
      <c r="G298" s="15">
        <v>9</v>
      </c>
      <c r="H298" s="15">
        <v>34001.859056747999</v>
      </c>
      <c r="K298" s="18">
        <v>2018</v>
      </c>
      <c r="L298" s="18">
        <v>9</v>
      </c>
      <c r="M298" s="18">
        <v>33869.219031269902</v>
      </c>
      <c r="P298" s="15">
        <v>2018</v>
      </c>
      <c r="Q298" s="15">
        <v>9</v>
      </c>
      <c r="R298" s="15">
        <v>34001.859056747999</v>
      </c>
      <c r="T298" s="15">
        <v>2018</v>
      </c>
      <c r="U298" s="15">
        <v>9</v>
      </c>
      <c r="V298" s="15">
        <v>34379.145115667801</v>
      </c>
      <c r="X298" s="15">
        <v>2018</v>
      </c>
      <c r="Y298" s="15">
        <v>9</v>
      </c>
      <c r="Z298" s="15">
        <v>34383.318554562298</v>
      </c>
      <c r="AB298" s="15">
        <v>2018</v>
      </c>
      <c r="AC298" s="15">
        <v>9</v>
      </c>
      <c r="AD298" s="15">
        <v>34375.703894862803</v>
      </c>
      <c r="AF298" s="15">
        <v>2018</v>
      </c>
      <c r="AG298" s="15">
        <v>9</v>
      </c>
      <c r="AH298" s="15">
        <v>34370.866433812502</v>
      </c>
    </row>
    <row r="299" spans="1:34" x14ac:dyDescent="0.25">
      <c r="A299" s="15">
        <v>2018</v>
      </c>
      <c r="B299" s="15">
        <v>10</v>
      </c>
      <c r="C299" s="15">
        <v>33170.490690198501</v>
      </c>
      <c r="F299" s="15">
        <v>2018</v>
      </c>
      <c r="G299" s="15">
        <v>10</v>
      </c>
      <c r="H299" s="15">
        <v>33391.517250780002</v>
      </c>
      <c r="K299" s="18">
        <v>2018</v>
      </c>
      <c r="L299" s="18">
        <v>10</v>
      </c>
      <c r="M299" s="18">
        <v>33181.425758265803</v>
      </c>
      <c r="P299" s="15">
        <v>2018</v>
      </c>
      <c r="Q299" s="15">
        <v>10</v>
      </c>
      <c r="R299" s="15">
        <v>33391.517250780002</v>
      </c>
      <c r="T299" s="15">
        <v>2018</v>
      </c>
      <c r="U299" s="15">
        <v>10</v>
      </c>
      <c r="V299" s="15">
        <v>33802.144879113897</v>
      </c>
      <c r="X299" s="15">
        <v>2018</v>
      </c>
      <c r="Y299" s="15">
        <v>10</v>
      </c>
      <c r="Z299" s="15">
        <v>33798.4136156682</v>
      </c>
      <c r="AB299" s="15">
        <v>2018</v>
      </c>
      <c r="AC299" s="15">
        <v>10</v>
      </c>
      <c r="AD299" s="15">
        <v>33793.284567577997</v>
      </c>
      <c r="AF299" s="15">
        <v>2018</v>
      </c>
      <c r="AG299" s="15">
        <v>10</v>
      </c>
      <c r="AH299" s="15">
        <v>33812.704884124098</v>
      </c>
    </row>
    <row r="300" spans="1:34" x14ac:dyDescent="0.25">
      <c r="A300" s="15">
        <v>2018</v>
      </c>
      <c r="B300" s="15">
        <v>11</v>
      </c>
      <c r="C300" s="15">
        <v>31077.140916119301</v>
      </c>
      <c r="F300" s="15">
        <v>2018</v>
      </c>
      <c r="G300" s="15">
        <v>11</v>
      </c>
      <c r="H300" s="15">
        <v>31428.6533596753</v>
      </c>
      <c r="K300" s="18">
        <v>2018</v>
      </c>
      <c r="L300" s="18">
        <v>11</v>
      </c>
      <c r="M300" s="18">
        <v>31084.794686574602</v>
      </c>
      <c r="P300" s="15">
        <v>2018</v>
      </c>
      <c r="Q300" s="15">
        <v>11</v>
      </c>
      <c r="R300" s="15">
        <v>31428.6533596753</v>
      </c>
      <c r="T300" s="15">
        <v>2018</v>
      </c>
      <c r="U300" s="15">
        <v>11</v>
      </c>
      <c r="V300" s="15">
        <v>32076.8863522994</v>
      </c>
      <c r="X300" s="15">
        <v>2018</v>
      </c>
      <c r="Y300" s="15">
        <v>11</v>
      </c>
      <c r="Z300" s="15">
        <v>32072.550388150401</v>
      </c>
      <c r="AB300" s="15">
        <v>2018</v>
      </c>
      <c r="AC300" s="15">
        <v>11</v>
      </c>
      <c r="AD300" s="15">
        <v>32069.865507861199</v>
      </c>
      <c r="AF300" s="15">
        <v>2018</v>
      </c>
      <c r="AG300" s="15">
        <v>11</v>
      </c>
      <c r="AH300" s="15">
        <v>32096.329819433198</v>
      </c>
    </row>
    <row r="301" spans="1:34" x14ac:dyDescent="0.25">
      <c r="A301" s="15">
        <v>2018</v>
      </c>
      <c r="B301" s="15">
        <v>12</v>
      </c>
      <c r="C301" s="15">
        <v>28364.169162417398</v>
      </c>
      <c r="F301" s="15">
        <v>2018</v>
      </c>
      <c r="G301" s="15">
        <v>12</v>
      </c>
      <c r="H301" s="15">
        <v>28876.450934340799</v>
      </c>
      <c r="K301" s="18">
        <v>2018</v>
      </c>
      <c r="L301" s="18">
        <v>12</v>
      </c>
      <c r="M301" s="18">
        <v>28374.148187688701</v>
      </c>
      <c r="P301" s="15">
        <v>2018</v>
      </c>
      <c r="Q301" s="15">
        <v>12</v>
      </c>
      <c r="R301" s="15">
        <v>28876.450934340799</v>
      </c>
      <c r="T301" s="15">
        <v>2018</v>
      </c>
      <c r="U301" s="15">
        <v>12</v>
      </c>
      <c r="V301" s="15">
        <v>29212.200086796202</v>
      </c>
      <c r="X301" s="15">
        <v>2018</v>
      </c>
      <c r="Y301" s="15">
        <v>12</v>
      </c>
      <c r="Z301" s="15">
        <v>29288.909514831401</v>
      </c>
      <c r="AB301" s="15">
        <v>2018</v>
      </c>
      <c r="AC301" s="15">
        <v>12</v>
      </c>
      <c r="AD301" s="15">
        <v>29315.7441874947</v>
      </c>
      <c r="AF301" s="15">
        <v>2018</v>
      </c>
      <c r="AG301" s="15">
        <v>12</v>
      </c>
      <c r="AH301" s="15">
        <v>29280.866387498401</v>
      </c>
    </row>
    <row r="302" spans="1:34" x14ac:dyDescent="0.25">
      <c r="A302" s="15">
        <v>2019</v>
      </c>
      <c r="B302" s="15">
        <v>1</v>
      </c>
      <c r="C302" s="15">
        <v>32236.939999513899</v>
      </c>
      <c r="F302" s="15">
        <v>2019</v>
      </c>
      <c r="G302" s="15">
        <v>1</v>
      </c>
      <c r="H302" s="15">
        <v>29386.383742515402</v>
      </c>
      <c r="K302" s="18">
        <v>2019</v>
      </c>
      <c r="L302" s="18">
        <v>1</v>
      </c>
      <c r="M302" s="18">
        <v>32109.156827848601</v>
      </c>
      <c r="P302" s="15">
        <v>2019</v>
      </c>
      <c r="Q302" s="15">
        <v>1</v>
      </c>
      <c r="R302" s="15">
        <v>29386.383742515402</v>
      </c>
      <c r="T302" s="15">
        <v>2019</v>
      </c>
      <c r="U302" s="15">
        <v>1</v>
      </c>
      <c r="V302" s="15">
        <v>32892.818509253499</v>
      </c>
      <c r="X302" s="15">
        <v>2019</v>
      </c>
      <c r="Y302" s="15">
        <v>1</v>
      </c>
      <c r="Z302" s="15">
        <v>32903.866920591303</v>
      </c>
      <c r="AB302" s="15">
        <v>2019</v>
      </c>
      <c r="AC302" s="15">
        <v>1</v>
      </c>
      <c r="AD302" s="15">
        <v>32921.1449368916</v>
      </c>
      <c r="AF302" s="15">
        <v>2019</v>
      </c>
      <c r="AG302" s="15">
        <v>1</v>
      </c>
      <c r="AH302" s="15">
        <v>32908.063614628001</v>
      </c>
    </row>
    <row r="303" spans="1:34" x14ac:dyDescent="0.25">
      <c r="A303" s="15">
        <v>2019</v>
      </c>
      <c r="B303" s="15">
        <v>2</v>
      </c>
      <c r="C303" s="15">
        <v>35665.917447711203</v>
      </c>
      <c r="F303" s="15">
        <v>2019</v>
      </c>
      <c r="G303" s="15">
        <v>2</v>
      </c>
      <c r="H303" s="15">
        <v>34792.6554326021</v>
      </c>
      <c r="K303" s="18">
        <v>2019</v>
      </c>
      <c r="L303" s="18">
        <v>2</v>
      </c>
      <c r="M303" s="18">
        <v>35702.684340161999</v>
      </c>
      <c r="P303" s="15">
        <v>2019</v>
      </c>
      <c r="Q303" s="15">
        <v>2</v>
      </c>
      <c r="R303" s="15">
        <v>34792.6554326021</v>
      </c>
      <c r="T303" s="15">
        <v>2019</v>
      </c>
      <c r="U303" s="15">
        <v>2</v>
      </c>
      <c r="V303" s="15">
        <v>33764.802591699401</v>
      </c>
      <c r="X303" s="15">
        <v>2019</v>
      </c>
      <c r="Y303" s="15">
        <v>2</v>
      </c>
      <c r="Z303" s="15">
        <v>33772.798451983203</v>
      </c>
      <c r="AB303" s="15">
        <v>2019</v>
      </c>
      <c r="AC303" s="15">
        <v>2</v>
      </c>
      <c r="AD303" s="15">
        <v>33776.482822288803</v>
      </c>
      <c r="AF303" s="15">
        <v>2019</v>
      </c>
      <c r="AG303" s="15">
        <v>2</v>
      </c>
      <c r="AH303" s="15">
        <v>33753.328883108901</v>
      </c>
    </row>
    <row r="304" spans="1:34" x14ac:dyDescent="0.25">
      <c r="A304" s="15">
        <v>2019</v>
      </c>
      <c r="B304" s="15">
        <v>3</v>
      </c>
      <c r="C304" s="15">
        <v>26543.529512368201</v>
      </c>
      <c r="F304" s="15">
        <v>2019</v>
      </c>
      <c r="G304" s="15">
        <v>3</v>
      </c>
      <c r="H304" s="15">
        <v>27489.568071898801</v>
      </c>
      <c r="K304" s="18">
        <v>2019</v>
      </c>
      <c r="L304" s="18">
        <v>3</v>
      </c>
      <c r="M304" s="18">
        <v>26546.512738452398</v>
      </c>
      <c r="P304" s="15">
        <v>2019</v>
      </c>
      <c r="Q304" s="15">
        <v>3</v>
      </c>
      <c r="R304" s="15">
        <v>27489.568071898801</v>
      </c>
      <c r="T304" s="15">
        <v>2019</v>
      </c>
      <c r="U304" s="15">
        <v>3</v>
      </c>
      <c r="V304" s="15">
        <v>25579.002248136901</v>
      </c>
      <c r="X304" s="15">
        <v>2019</v>
      </c>
      <c r="Y304" s="15">
        <v>3</v>
      </c>
      <c r="Z304" s="15">
        <v>25581.661919731701</v>
      </c>
      <c r="AB304" s="15">
        <v>2019</v>
      </c>
      <c r="AC304" s="15">
        <v>3</v>
      </c>
      <c r="AD304" s="15">
        <v>25579.322267565502</v>
      </c>
      <c r="AF304" s="15">
        <v>2019</v>
      </c>
      <c r="AG304" s="15">
        <v>3</v>
      </c>
      <c r="AH304" s="15">
        <v>25534.903892767201</v>
      </c>
    </row>
    <row r="305" spans="1:34" x14ac:dyDescent="0.25">
      <c r="A305" s="15">
        <v>2019</v>
      </c>
      <c r="B305" s="15">
        <v>4</v>
      </c>
      <c r="C305" s="15">
        <v>28776.352432605101</v>
      </c>
      <c r="F305" s="15">
        <v>2019</v>
      </c>
      <c r="G305" s="15">
        <v>4</v>
      </c>
      <c r="H305" s="15">
        <v>28808.1655083806</v>
      </c>
      <c r="K305" s="18">
        <v>2019</v>
      </c>
      <c r="L305" s="18">
        <v>4</v>
      </c>
      <c r="M305" s="18">
        <v>28791.7705206959</v>
      </c>
      <c r="P305" s="15">
        <v>2019</v>
      </c>
      <c r="Q305" s="15">
        <v>4</v>
      </c>
      <c r="R305" s="15">
        <v>28808.1655083806</v>
      </c>
      <c r="T305" s="15">
        <v>2019</v>
      </c>
      <c r="U305" s="15">
        <v>4</v>
      </c>
      <c r="V305" s="15">
        <v>27941.508834345699</v>
      </c>
      <c r="X305" s="15">
        <v>2019</v>
      </c>
      <c r="Y305" s="15">
        <v>4</v>
      </c>
      <c r="Z305" s="15">
        <v>27896.8354428202</v>
      </c>
      <c r="AB305" s="15">
        <v>2019</v>
      </c>
      <c r="AC305" s="15">
        <v>4</v>
      </c>
      <c r="AD305" s="15">
        <v>27896.1625263694</v>
      </c>
      <c r="AF305" s="15">
        <v>2019</v>
      </c>
      <c r="AG305" s="15">
        <v>4</v>
      </c>
      <c r="AH305" s="15">
        <v>27892.899919182099</v>
      </c>
    </row>
    <row r="306" spans="1:34" x14ac:dyDescent="0.25">
      <c r="A306" s="15">
        <v>2019</v>
      </c>
      <c r="B306" s="15">
        <v>5</v>
      </c>
      <c r="C306" s="15">
        <v>27901.830784611298</v>
      </c>
      <c r="F306" s="15">
        <v>2019</v>
      </c>
      <c r="G306" s="15">
        <v>5</v>
      </c>
      <c r="H306" s="15">
        <v>27804.956221928402</v>
      </c>
      <c r="K306" s="18">
        <v>2019</v>
      </c>
      <c r="L306" s="18">
        <v>5</v>
      </c>
      <c r="M306" s="18">
        <v>27925.612784659199</v>
      </c>
      <c r="P306" s="15">
        <v>2019</v>
      </c>
      <c r="Q306" s="15">
        <v>5</v>
      </c>
      <c r="R306" s="15">
        <v>27804.956221928402</v>
      </c>
      <c r="T306" s="15">
        <v>2019</v>
      </c>
      <c r="U306" s="15">
        <v>5</v>
      </c>
      <c r="V306" s="15">
        <v>27108.263909236</v>
      </c>
      <c r="X306" s="15">
        <v>2019</v>
      </c>
      <c r="Y306" s="15">
        <v>5</v>
      </c>
      <c r="Z306" s="15">
        <v>27060.9890213787</v>
      </c>
      <c r="AB306" s="15">
        <v>2019</v>
      </c>
      <c r="AC306" s="15">
        <v>5</v>
      </c>
      <c r="AD306" s="15">
        <v>27037.7707587849</v>
      </c>
      <c r="AF306" s="15">
        <v>2019</v>
      </c>
      <c r="AG306" s="15">
        <v>5</v>
      </c>
      <c r="AH306" s="15">
        <v>27049.561440697998</v>
      </c>
    </row>
    <row r="307" spans="1:34" x14ac:dyDescent="0.25">
      <c r="A307" s="15">
        <v>2019</v>
      </c>
      <c r="B307" s="15">
        <v>6</v>
      </c>
      <c r="C307" s="15">
        <v>25062.489732708698</v>
      </c>
      <c r="F307" s="15">
        <v>2019</v>
      </c>
      <c r="G307" s="15">
        <v>6</v>
      </c>
      <c r="H307" s="15">
        <v>25961.509794409201</v>
      </c>
      <c r="K307" s="18">
        <v>2019</v>
      </c>
      <c r="L307" s="18">
        <v>6</v>
      </c>
      <c r="M307" s="18">
        <v>25063.493219824199</v>
      </c>
      <c r="P307" s="15">
        <v>2019</v>
      </c>
      <c r="Q307" s="15">
        <v>6</v>
      </c>
      <c r="R307" s="15">
        <v>25961.509794409201</v>
      </c>
      <c r="T307" s="15">
        <v>2019</v>
      </c>
      <c r="U307" s="15">
        <v>6</v>
      </c>
      <c r="V307" s="15">
        <v>24824.294088082599</v>
      </c>
      <c r="X307" s="15">
        <v>2019</v>
      </c>
      <c r="Y307" s="15">
        <v>6</v>
      </c>
      <c r="Z307" s="15">
        <v>24831.800547221501</v>
      </c>
      <c r="AB307" s="15">
        <v>2019</v>
      </c>
      <c r="AC307" s="15">
        <v>6</v>
      </c>
      <c r="AD307" s="15">
        <v>24824.746965841299</v>
      </c>
      <c r="AF307" s="15">
        <v>2019</v>
      </c>
      <c r="AG307" s="15">
        <v>6</v>
      </c>
      <c r="AH307" s="15">
        <v>24817.4031000297</v>
      </c>
    </row>
    <row r="308" spans="1:34" x14ac:dyDescent="0.25">
      <c r="A308" s="15">
        <v>2019</v>
      </c>
      <c r="B308" s="15">
        <v>7</v>
      </c>
      <c r="C308" s="15">
        <v>21249.884383722001</v>
      </c>
      <c r="F308" s="15">
        <v>2019</v>
      </c>
      <c r="G308" s="15">
        <v>7</v>
      </c>
      <c r="H308" s="15">
        <v>21403.495053598399</v>
      </c>
      <c r="K308" s="18">
        <v>2019</v>
      </c>
      <c r="L308" s="18">
        <v>7</v>
      </c>
      <c r="M308" s="18">
        <v>21250.430684532101</v>
      </c>
      <c r="P308" s="15">
        <v>2019</v>
      </c>
      <c r="Q308" s="15">
        <v>7</v>
      </c>
      <c r="R308" s="15">
        <v>21403.495053598399</v>
      </c>
      <c r="T308" s="15">
        <v>2019</v>
      </c>
      <c r="U308" s="15">
        <v>7</v>
      </c>
      <c r="V308" s="15">
        <v>21104.413319140102</v>
      </c>
      <c r="X308" s="15">
        <v>2019</v>
      </c>
      <c r="Y308" s="15">
        <v>7</v>
      </c>
      <c r="Z308" s="15">
        <v>21092.8544940994</v>
      </c>
      <c r="AB308" s="15">
        <v>2019</v>
      </c>
      <c r="AC308" s="15">
        <v>7</v>
      </c>
      <c r="AD308" s="15">
        <v>21089.6002842569</v>
      </c>
      <c r="AF308" s="15">
        <v>2019</v>
      </c>
      <c r="AG308" s="15">
        <v>7</v>
      </c>
      <c r="AH308" s="15">
        <v>21131.5129603967</v>
      </c>
    </row>
    <row r="309" spans="1:34" x14ac:dyDescent="0.25">
      <c r="A309" s="15">
        <v>2019</v>
      </c>
      <c r="B309" s="15">
        <v>8</v>
      </c>
      <c r="C309" s="15">
        <v>24874.001665084601</v>
      </c>
      <c r="F309" s="15">
        <v>2019</v>
      </c>
      <c r="G309" s="15">
        <v>8</v>
      </c>
      <c r="H309" s="15">
        <v>24883.1913451455</v>
      </c>
      <c r="K309" s="18">
        <v>2019</v>
      </c>
      <c r="L309" s="18">
        <v>8</v>
      </c>
      <c r="M309" s="18">
        <v>24882.999244357499</v>
      </c>
      <c r="P309" s="15">
        <v>2019</v>
      </c>
      <c r="Q309" s="15">
        <v>8</v>
      </c>
      <c r="R309" s="15">
        <v>24883.1913451455</v>
      </c>
      <c r="T309" s="15">
        <v>2019</v>
      </c>
      <c r="U309" s="15">
        <v>8</v>
      </c>
      <c r="V309" s="15">
        <v>25111.510721873299</v>
      </c>
      <c r="X309" s="15">
        <v>2019</v>
      </c>
      <c r="Y309" s="15">
        <v>8</v>
      </c>
      <c r="Z309" s="15">
        <v>25108.4734517529</v>
      </c>
      <c r="AB309" s="15">
        <v>2019</v>
      </c>
      <c r="AC309" s="15">
        <v>8</v>
      </c>
      <c r="AD309" s="15">
        <v>25100.6561630537</v>
      </c>
      <c r="AF309" s="15">
        <v>2019</v>
      </c>
      <c r="AG309" s="15">
        <v>8</v>
      </c>
      <c r="AH309" s="15">
        <v>25127.325122588401</v>
      </c>
    </row>
    <row r="310" spans="1:34" x14ac:dyDescent="0.25">
      <c r="A310" s="15">
        <v>2019</v>
      </c>
      <c r="B310" s="15">
        <v>9</v>
      </c>
      <c r="C310" s="15">
        <v>22911.175274757399</v>
      </c>
      <c r="F310" s="15">
        <v>2019</v>
      </c>
      <c r="G310" s="15">
        <v>9</v>
      </c>
      <c r="H310" s="15">
        <v>23362.89601705</v>
      </c>
      <c r="K310" s="18">
        <v>2019</v>
      </c>
      <c r="L310" s="18">
        <v>9</v>
      </c>
      <c r="M310" s="18">
        <v>22924.5995303567</v>
      </c>
      <c r="P310" s="15">
        <v>2019</v>
      </c>
      <c r="Q310" s="15">
        <v>9</v>
      </c>
      <c r="R310" s="15">
        <v>23362.89601705</v>
      </c>
      <c r="T310" s="15">
        <v>2019</v>
      </c>
      <c r="U310" s="15">
        <v>9</v>
      </c>
      <c r="V310" s="15">
        <v>23407.755080201499</v>
      </c>
      <c r="X310" s="15">
        <v>2019</v>
      </c>
      <c r="Y310" s="15">
        <v>9</v>
      </c>
      <c r="Z310" s="15">
        <v>23406.5373653442</v>
      </c>
      <c r="AB310" s="15">
        <v>2019</v>
      </c>
      <c r="AC310" s="15">
        <v>9</v>
      </c>
      <c r="AD310" s="15">
        <v>23399.155867120498</v>
      </c>
      <c r="AF310" s="15">
        <v>2019</v>
      </c>
      <c r="AG310" s="15">
        <v>9</v>
      </c>
      <c r="AH310" s="15">
        <v>23427.8274413365</v>
      </c>
    </row>
    <row r="311" spans="1:34" x14ac:dyDescent="0.25">
      <c r="A311" s="15">
        <v>2019</v>
      </c>
      <c r="B311" s="15">
        <v>10</v>
      </c>
      <c r="C311" s="15">
        <v>26048.822111117901</v>
      </c>
      <c r="F311" s="15">
        <v>2019</v>
      </c>
      <c r="G311" s="15">
        <v>10</v>
      </c>
      <c r="H311" s="15">
        <v>26661.028044755902</v>
      </c>
      <c r="K311" s="18">
        <v>2019</v>
      </c>
      <c r="L311" s="18">
        <v>10</v>
      </c>
      <c r="M311" s="18">
        <v>26063.6660911982</v>
      </c>
      <c r="P311" s="15">
        <v>2019</v>
      </c>
      <c r="Q311" s="15">
        <v>10</v>
      </c>
      <c r="R311" s="15">
        <v>26661.028044755902</v>
      </c>
      <c r="T311" s="15">
        <v>2019</v>
      </c>
      <c r="U311" s="15">
        <v>10</v>
      </c>
      <c r="V311" s="15">
        <v>26726.981896649198</v>
      </c>
      <c r="X311" s="15">
        <v>2019</v>
      </c>
      <c r="Y311" s="15">
        <v>10</v>
      </c>
      <c r="Z311" s="15">
        <v>26724.317496691499</v>
      </c>
      <c r="AB311" s="15">
        <v>2019</v>
      </c>
      <c r="AC311" s="15">
        <v>10</v>
      </c>
      <c r="AD311" s="15">
        <v>26720.415789092101</v>
      </c>
      <c r="AF311" s="15">
        <v>2019</v>
      </c>
      <c r="AG311" s="15">
        <v>10</v>
      </c>
      <c r="AH311" s="15">
        <v>26760.579319596902</v>
      </c>
    </row>
    <row r="312" spans="1:34" x14ac:dyDescent="0.25">
      <c r="A312" s="15">
        <v>2019</v>
      </c>
      <c r="B312" s="15">
        <v>11</v>
      </c>
      <c r="C312" s="15">
        <v>22671.123966549501</v>
      </c>
      <c r="F312" s="15">
        <v>2019</v>
      </c>
      <c r="G312" s="15">
        <v>11</v>
      </c>
      <c r="H312" s="15">
        <v>23167.6472382879</v>
      </c>
      <c r="K312" s="18">
        <v>2019</v>
      </c>
      <c r="L312" s="18">
        <v>11</v>
      </c>
      <c r="M312" s="18">
        <v>22688.079185007598</v>
      </c>
      <c r="P312" s="15">
        <v>2019</v>
      </c>
      <c r="Q312" s="15">
        <v>11</v>
      </c>
      <c r="R312" s="15">
        <v>23167.6472382879</v>
      </c>
      <c r="T312" s="15">
        <v>2019</v>
      </c>
      <c r="U312" s="15">
        <v>11</v>
      </c>
      <c r="V312" s="15">
        <v>23836.976035363899</v>
      </c>
      <c r="X312" s="15">
        <v>2019</v>
      </c>
      <c r="Y312" s="15">
        <v>11</v>
      </c>
      <c r="Z312" s="15">
        <v>23846.995884761702</v>
      </c>
      <c r="AB312" s="15">
        <v>2019</v>
      </c>
      <c r="AC312" s="15">
        <v>11</v>
      </c>
      <c r="AD312" s="15">
        <v>23843.580225287002</v>
      </c>
      <c r="AF312" s="15">
        <v>2019</v>
      </c>
      <c r="AG312" s="15">
        <v>11</v>
      </c>
      <c r="AH312" s="15">
        <v>23855.743289055499</v>
      </c>
    </row>
    <row r="313" spans="1:34" x14ac:dyDescent="0.25">
      <c r="A313" s="15">
        <v>2019</v>
      </c>
      <c r="B313" s="15">
        <v>12</v>
      </c>
      <c r="C313" s="15">
        <v>20345.041411701</v>
      </c>
      <c r="F313" s="15">
        <v>2019</v>
      </c>
      <c r="G313" s="15">
        <v>12</v>
      </c>
      <c r="H313" s="15">
        <v>21123.906144766399</v>
      </c>
      <c r="K313" s="18">
        <v>2019</v>
      </c>
      <c r="L313" s="18">
        <v>12</v>
      </c>
      <c r="M313" s="18">
        <v>20356.911272076399</v>
      </c>
      <c r="P313" s="15">
        <v>2019</v>
      </c>
      <c r="Q313" s="15">
        <v>12</v>
      </c>
      <c r="R313" s="15">
        <v>21123.906144766399</v>
      </c>
      <c r="T313" s="15">
        <v>2019</v>
      </c>
      <c r="U313" s="15">
        <v>12</v>
      </c>
      <c r="V313" s="15">
        <v>21134.932223415799</v>
      </c>
      <c r="X313" s="15">
        <v>2019</v>
      </c>
      <c r="Y313" s="15">
        <v>12</v>
      </c>
      <c r="Z313" s="15">
        <v>21223.1726703803</v>
      </c>
      <c r="AB313" s="15">
        <v>2019</v>
      </c>
      <c r="AC313" s="15">
        <v>12</v>
      </c>
      <c r="AD313" s="15">
        <v>21262.517703281199</v>
      </c>
      <c r="AF313" s="15">
        <v>2019</v>
      </c>
      <c r="AG313" s="15">
        <v>12</v>
      </c>
      <c r="AH313" s="15">
        <v>21232.255256296299</v>
      </c>
    </row>
    <row r="314" spans="1:34" x14ac:dyDescent="0.25">
      <c r="A314" s="15">
        <v>2020</v>
      </c>
      <c r="B314" s="15">
        <v>1</v>
      </c>
      <c r="C314" s="15">
        <v>38202.388616917699</v>
      </c>
      <c r="F314" s="15">
        <v>2020</v>
      </c>
      <c r="G314" s="15">
        <v>1</v>
      </c>
      <c r="H314" s="15">
        <v>33648.667183794103</v>
      </c>
      <c r="K314" s="18">
        <v>2020</v>
      </c>
      <c r="L314" s="18">
        <v>1</v>
      </c>
      <c r="M314" s="18">
        <v>38055.024459187502</v>
      </c>
      <c r="P314" s="15">
        <v>2020</v>
      </c>
      <c r="Q314" s="15">
        <v>1</v>
      </c>
      <c r="R314" s="15">
        <v>33648.667183794103</v>
      </c>
      <c r="T314" s="15">
        <v>2020</v>
      </c>
      <c r="U314" s="15">
        <v>1</v>
      </c>
      <c r="V314" s="15">
        <v>38762.780429627703</v>
      </c>
      <c r="X314" s="15">
        <v>2020</v>
      </c>
      <c r="Y314" s="15">
        <v>1</v>
      </c>
      <c r="Z314" s="15">
        <v>38780.333779006403</v>
      </c>
      <c r="AB314" s="15">
        <v>2020</v>
      </c>
      <c r="AC314" s="15">
        <v>1</v>
      </c>
      <c r="AD314" s="15">
        <v>38807.958681529097</v>
      </c>
      <c r="AF314" s="15">
        <v>2020</v>
      </c>
      <c r="AG314" s="15">
        <v>1</v>
      </c>
      <c r="AH314" s="15">
        <v>38769.9170110103</v>
      </c>
    </row>
    <row r="315" spans="1:34" x14ac:dyDescent="0.25">
      <c r="A315" s="15">
        <v>2020</v>
      </c>
      <c r="B315" s="15">
        <v>2</v>
      </c>
      <c r="C315" s="15">
        <v>28325.251684426501</v>
      </c>
      <c r="F315" s="15">
        <v>2020</v>
      </c>
      <c r="G315" s="15">
        <v>2</v>
      </c>
      <c r="H315" s="15">
        <v>29104.449369681501</v>
      </c>
      <c r="K315" s="18">
        <v>2020</v>
      </c>
      <c r="L315" s="18">
        <v>2</v>
      </c>
      <c r="M315" s="18">
        <v>28357.217954355001</v>
      </c>
      <c r="P315" s="15">
        <v>2020</v>
      </c>
      <c r="Q315" s="15">
        <v>2</v>
      </c>
      <c r="R315" s="15">
        <v>29104.449369681501</v>
      </c>
      <c r="T315" s="15">
        <v>2020</v>
      </c>
      <c r="U315" s="15">
        <v>2</v>
      </c>
      <c r="V315" s="15">
        <v>30416.932309095198</v>
      </c>
      <c r="X315" s="15">
        <v>2020</v>
      </c>
      <c r="Y315" s="15">
        <v>2</v>
      </c>
      <c r="Z315" s="15">
        <v>30414.535425435199</v>
      </c>
      <c r="AB315" s="15">
        <v>2020</v>
      </c>
      <c r="AC315" s="15">
        <v>2</v>
      </c>
      <c r="AD315" s="15">
        <v>30423.162233895899</v>
      </c>
      <c r="AF315" s="15">
        <v>2020</v>
      </c>
      <c r="AG315" s="15">
        <v>2</v>
      </c>
      <c r="AH315" s="15">
        <v>30363.175044900501</v>
      </c>
    </row>
    <row r="316" spans="1:34" x14ac:dyDescent="0.25">
      <c r="A316" s="15">
        <v>2020</v>
      </c>
      <c r="B316" s="15">
        <v>3</v>
      </c>
      <c r="C316" s="15">
        <v>14721.7941157689</v>
      </c>
      <c r="F316" s="15">
        <v>2020</v>
      </c>
      <c r="G316" s="15">
        <v>3</v>
      </c>
      <c r="H316" s="15">
        <v>16342.5362749859</v>
      </c>
      <c r="K316" s="18">
        <v>2020</v>
      </c>
      <c r="L316" s="18">
        <v>3</v>
      </c>
      <c r="M316" s="18">
        <v>14720.3006674181</v>
      </c>
      <c r="P316" s="15">
        <v>2020</v>
      </c>
      <c r="Q316" s="15">
        <v>3</v>
      </c>
      <c r="R316" s="15">
        <v>16342.5362749859</v>
      </c>
      <c r="T316" s="15">
        <v>2020</v>
      </c>
      <c r="U316" s="15">
        <v>3</v>
      </c>
      <c r="V316" s="15">
        <v>13613.265324054701</v>
      </c>
      <c r="X316" s="15">
        <v>2020</v>
      </c>
      <c r="Y316" s="15">
        <v>3</v>
      </c>
      <c r="Z316" s="15">
        <v>13608.4886334526</v>
      </c>
      <c r="AB316" s="15">
        <v>2020</v>
      </c>
      <c r="AC316" s="15">
        <v>3</v>
      </c>
      <c r="AD316" s="15">
        <v>13611.1922547332</v>
      </c>
      <c r="AF316" s="15">
        <v>2020</v>
      </c>
      <c r="AG316" s="15">
        <v>3</v>
      </c>
      <c r="AH316" s="15">
        <v>13556.800493880301</v>
      </c>
    </row>
    <row r="317" spans="1:34" x14ac:dyDescent="0.25">
      <c r="A317" s="15">
        <v>2020</v>
      </c>
      <c r="B317" s="15">
        <v>4</v>
      </c>
      <c r="C317" s="15">
        <v>-800.62244430469502</v>
      </c>
      <c r="F317" s="15">
        <v>2020</v>
      </c>
      <c r="G317" s="15">
        <v>4</v>
      </c>
      <c r="H317" s="15">
        <v>-767.56880865795097</v>
      </c>
      <c r="K317" s="18">
        <v>2020</v>
      </c>
      <c r="L317" s="18">
        <v>4</v>
      </c>
      <c r="M317" s="18">
        <v>-782.88602836549899</v>
      </c>
      <c r="P317" s="15">
        <v>2020</v>
      </c>
      <c r="Q317" s="15">
        <v>4</v>
      </c>
      <c r="R317" s="15">
        <v>-767.56880865795097</v>
      </c>
      <c r="T317" s="15">
        <v>2020</v>
      </c>
      <c r="U317" s="15">
        <v>4</v>
      </c>
      <c r="V317" s="15">
        <v>-1874.97140029554</v>
      </c>
      <c r="X317" s="15">
        <v>2020</v>
      </c>
      <c r="Y317" s="15">
        <v>4</v>
      </c>
      <c r="Z317" s="15">
        <v>-1935.8403886497299</v>
      </c>
      <c r="AB317" s="15">
        <v>2020</v>
      </c>
      <c r="AC317" s="15">
        <v>4</v>
      </c>
      <c r="AD317" s="15">
        <v>-1939.38639215843</v>
      </c>
      <c r="AF317" s="15">
        <v>2020</v>
      </c>
      <c r="AG317" s="15">
        <v>4</v>
      </c>
      <c r="AH317" s="15">
        <v>-1966.7223374823</v>
      </c>
    </row>
    <row r="318" spans="1:34" x14ac:dyDescent="0.25">
      <c r="A318" s="15">
        <v>2020</v>
      </c>
      <c r="B318" s="15">
        <v>5</v>
      </c>
      <c r="C318" s="15">
        <v>5759.6412137552397</v>
      </c>
      <c r="F318" s="15">
        <v>2020</v>
      </c>
      <c r="G318" s="15">
        <v>5</v>
      </c>
      <c r="H318" s="15">
        <v>5241.4335778929699</v>
      </c>
      <c r="K318" s="18">
        <v>2020</v>
      </c>
      <c r="L318" s="18">
        <v>5</v>
      </c>
      <c r="M318" s="18">
        <v>5784.7904130097204</v>
      </c>
      <c r="P318" s="15">
        <v>2020</v>
      </c>
      <c r="Q318" s="15">
        <v>5</v>
      </c>
      <c r="R318" s="15">
        <v>5241.4335778929699</v>
      </c>
      <c r="T318" s="15">
        <v>2020</v>
      </c>
      <c r="U318" s="15">
        <v>5</v>
      </c>
      <c r="V318" s="15">
        <v>5163.7085009684997</v>
      </c>
      <c r="X318" s="15">
        <v>2020</v>
      </c>
      <c r="Y318" s="15">
        <v>5</v>
      </c>
      <c r="Z318" s="15">
        <v>5120.15348997001</v>
      </c>
      <c r="AB318" s="15">
        <v>2020</v>
      </c>
      <c r="AC318" s="15">
        <v>5</v>
      </c>
      <c r="AD318" s="15">
        <v>5083.2465801730996</v>
      </c>
      <c r="AF318" s="15">
        <v>2020</v>
      </c>
      <c r="AG318" s="15">
        <v>5</v>
      </c>
      <c r="AH318" s="15">
        <v>5062.8502026047599</v>
      </c>
    </row>
    <row r="319" spans="1:34" x14ac:dyDescent="0.25">
      <c r="A319" s="15">
        <v>2020</v>
      </c>
      <c r="B319" s="15">
        <v>6</v>
      </c>
      <c r="C319" s="15">
        <v>14102.718515361999</v>
      </c>
      <c r="F319" s="15">
        <v>2020</v>
      </c>
      <c r="G319" s="15">
        <v>6</v>
      </c>
      <c r="H319" s="15">
        <v>15736.16798783</v>
      </c>
      <c r="K319" s="18">
        <v>2020</v>
      </c>
      <c r="L319" s="18">
        <v>6</v>
      </c>
      <c r="M319" s="18">
        <v>14094.743909799899</v>
      </c>
      <c r="P319" s="15">
        <v>2020</v>
      </c>
      <c r="Q319" s="15">
        <v>6</v>
      </c>
      <c r="R319" s="15">
        <v>15736.16798783</v>
      </c>
      <c r="T319" s="15">
        <v>2020</v>
      </c>
      <c r="U319" s="15">
        <v>6</v>
      </c>
      <c r="V319" s="15">
        <v>13674.254504833099</v>
      </c>
      <c r="X319" s="15">
        <v>2020</v>
      </c>
      <c r="Y319" s="15">
        <v>6</v>
      </c>
      <c r="Z319" s="15">
        <v>13657.797012937301</v>
      </c>
      <c r="AB319" s="15">
        <v>2020</v>
      </c>
      <c r="AC319" s="15">
        <v>6</v>
      </c>
      <c r="AD319" s="15">
        <v>13644.561187654401</v>
      </c>
      <c r="AF319" s="15">
        <v>2020</v>
      </c>
      <c r="AG319" s="15">
        <v>6</v>
      </c>
      <c r="AH319" s="15">
        <v>13693.324537799201</v>
      </c>
    </row>
    <row r="320" spans="1:34" x14ac:dyDescent="0.25">
      <c r="A320" s="15">
        <v>2020</v>
      </c>
      <c r="B320" s="15">
        <v>7</v>
      </c>
      <c r="C320" s="15">
        <v>21430.695200248101</v>
      </c>
      <c r="F320" s="15">
        <v>2020</v>
      </c>
      <c r="G320" s="15">
        <v>7</v>
      </c>
      <c r="H320" s="15">
        <v>21275.028542258598</v>
      </c>
      <c r="K320" s="18">
        <v>2020</v>
      </c>
      <c r="L320" s="18">
        <v>7</v>
      </c>
      <c r="M320" s="18">
        <v>21429.956193386799</v>
      </c>
      <c r="P320" s="15">
        <v>2020</v>
      </c>
      <c r="Q320" s="15">
        <v>7</v>
      </c>
      <c r="R320" s="15">
        <v>21275.028542258598</v>
      </c>
      <c r="T320" s="15">
        <v>2020</v>
      </c>
      <c r="U320" s="15">
        <v>7</v>
      </c>
      <c r="V320" s="15">
        <v>21312.498302598298</v>
      </c>
      <c r="X320" s="15">
        <v>2020</v>
      </c>
      <c r="Y320" s="15">
        <v>7</v>
      </c>
      <c r="Z320" s="15">
        <v>21294.657233404701</v>
      </c>
      <c r="AB320" s="15">
        <v>2020</v>
      </c>
      <c r="AC320" s="15">
        <v>7</v>
      </c>
      <c r="AD320" s="15">
        <v>21279.0385119085</v>
      </c>
      <c r="AF320" s="15">
        <v>2020</v>
      </c>
      <c r="AG320" s="15">
        <v>7</v>
      </c>
      <c r="AH320" s="15">
        <v>21357.643907190399</v>
      </c>
    </row>
    <row r="321" spans="1:34" x14ac:dyDescent="0.25">
      <c r="A321" s="15">
        <v>2020</v>
      </c>
      <c r="B321" s="15">
        <v>8</v>
      </c>
      <c r="C321" s="15">
        <v>21091.421357667699</v>
      </c>
      <c r="F321" s="15">
        <v>2020</v>
      </c>
      <c r="G321" s="15">
        <v>8</v>
      </c>
      <c r="H321" s="15">
        <v>21034.9266452298</v>
      </c>
      <c r="K321" s="18">
        <v>2020</v>
      </c>
      <c r="L321" s="18">
        <v>8</v>
      </c>
      <c r="M321" s="18">
        <v>21106.472544032698</v>
      </c>
      <c r="P321" s="15">
        <v>2020</v>
      </c>
      <c r="Q321" s="15">
        <v>8</v>
      </c>
      <c r="R321" s="15">
        <v>21034.9266452298</v>
      </c>
      <c r="T321" s="15">
        <v>2020</v>
      </c>
      <c r="U321" s="15">
        <v>8</v>
      </c>
      <c r="V321" s="15">
        <v>21481.207692910401</v>
      </c>
      <c r="X321" s="15">
        <v>2020</v>
      </c>
      <c r="Y321" s="15">
        <v>8</v>
      </c>
      <c r="Z321" s="15">
        <v>21482.9671328431</v>
      </c>
      <c r="AB321" s="15">
        <v>2020</v>
      </c>
      <c r="AC321" s="15">
        <v>8</v>
      </c>
      <c r="AD321" s="15">
        <v>21462.7501341223</v>
      </c>
      <c r="AF321" s="15">
        <v>2020</v>
      </c>
      <c r="AG321" s="15">
        <v>8</v>
      </c>
      <c r="AH321" s="15">
        <v>21516.819651226298</v>
      </c>
    </row>
    <row r="322" spans="1:34" x14ac:dyDescent="0.25">
      <c r="A322" s="15">
        <v>2020</v>
      </c>
      <c r="B322" s="15">
        <v>9</v>
      </c>
      <c r="C322" s="15">
        <v>25622.1432020227</v>
      </c>
      <c r="F322" s="15">
        <v>2020</v>
      </c>
      <c r="G322" s="15">
        <v>9</v>
      </c>
      <c r="H322" s="15">
        <v>26467.720254117099</v>
      </c>
      <c r="K322" s="18">
        <v>2020</v>
      </c>
      <c r="L322" s="18">
        <v>9</v>
      </c>
      <c r="M322" s="18">
        <v>25641.361804532</v>
      </c>
      <c r="P322" s="15">
        <v>2020</v>
      </c>
      <c r="Q322" s="15">
        <v>9</v>
      </c>
      <c r="R322" s="15">
        <v>26467.720254117099</v>
      </c>
      <c r="T322" s="15">
        <v>2020</v>
      </c>
      <c r="U322" s="15">
        <v>9</v>
      </c>
      <c r="V322" s="15">
        <v>26045.116994456301</v>
      </c>
      <c r="X322" s="15">
        <v>2020</v>
      </c>
      <c r="Y322" s="15">
        <v>9</v>
      </c>
      <c r="Z322" s="15">
        <v>26040.680293288799</v>
      </c>
      <c r="AB322" s="15">
        <v>2020</v>
      </c>
      <c r="AC322" s="15">
        <v>9</v>
      </c>
      <c r="AD322" s="15">
        <v>26031.584605668198</v>
      </c>
      <c r="AF322" s="15">
        <v>2020</v>
      </c>
      <c r="AG322" s="15">
        <v>9</v>
      </c>
      <c r="AH322" s="15">
        <v>26115.9215059694</v>
      </c>
    </row>
    <row r="323" spans="1:34" x14ac:dyDescent="0.25">
      <c r="A323" s="15">
        <v>2020</v>
      </c>
      <c r="B323" s="15">
        <v>10</v>
      </c>
      <c r="C323" s="15">
        <v>23936.041603043599</v>
      </c>
      <c r="F323" s="15">
        <v>2020</v>
      </c>
      <c r="G323" s="15">
        <v>10</v>
      </c>
      <c r="H323" s="15">
        <v>24720.106833733698</v>
      </c>
      <c r="K323" s="18">
        <v>2020</v>
      </c>
      <c r="L323" s="18">
        <v>10</v>
      </c>
      <c r="M323" s="18">
        <v>23962.088059672202</v>
      </c>
      <c r="P323" s="15">
        <v>2020</v>
      </c>
      <c r="Q323" s="15">
        <v>10</v>
      </c>
      <c r="R323" s="15">
        <v>24720.106833733698</v>
      </c>
      <c r="T323" s="15">
        <v>2020</v>
      </c>
      <c r="U323" s="15">
        <v>10</v>
      </c>
      <c r="V323" s="15">
        <v>24699.5320001625</v>
      </c>
      <c r="X323" s="15">
        <v>2020</v>
      </c>
      <c r="Y323" s="15">
        <v>10</v>
      </c>
      <c r="Z323" s="15">
        <v>24709.325569310498</v>
      </c>
      <c r="AB323" s="15">
        <v>2020</v>
      </c>
      <c r="AC323" s="15">
        <v>10</v>
      </c>
      <c r="AD323" s="15">
        <v>24705.909507977402</v>
      </c>
      <c r="AF323" s="15">
        <v>2020</v>
      </c>
      <c r="AG323" s="15">
        <v>10</v>
      </c>
      <c r="AH323" s="15">
        <v>24762.357184017401</v>
      </c>
    </row>
    <row r="324" spans="1:34" x14ac:dyDescent="0.25">
      <c r="A324" s="15">
        <v>2020</v>
      </c>
      <c r="B324" s="15">
        <v>11</v>
      </c>
      <c r="C324" s="15">
        <v>27659.548386039402</v>
      </c>
      <c r="F324" s="15">
        <v>2020</v>
      </c>
      <c r="G324" s="15">
        <v>11</v>
      </c>
      <c r="H324" s="15">
        <v>28803.1063526244</v>
      </c>
      <c r="K324" s="18">
        <v>2020</v>
      </c>
      <c r="L324" s="18">
        <v>11</v>
      </c>
      <c r="M324" s="18">
        <v>27685.9490747251</v>
      </c>
      <c r="P324" s="15">
        <v>2020</v>
      </c>
      <c r="Q324" s="15">
        <v>11</v>
      </c>
      <c r="R324" s="15">
        <v>28803.1063526244</v>
      </c>
      <c r="T324" s="15">
        <v>2020</v>
      </c>
      <c r="U324" s="15">
        <v>11</v>
      </c>
      <c r="V324" s="15">
        <v>28791.096631591699</v>
      </c>
      <c r="X324" s="15">
        <v>2020</v>
      </c>
      <c r="Y324" s="15">
        <v>11</v>
      </c>
      <c r="Z324" s="15">
        <v>28814.816810873999</v>
      </c>
      <c r="AB324" s="15">
        <v>2020</v>
      </c>
      <c r="AC324" s="15">
        <v>11</v>
      </c>
      <c r="AD324" s="15">
        <v>28819.640608984901</v>
      </c>
      <c r="AF324" s="15">
        <v>2020</v>
      </c>
      <c r="AG324" s="15">
        <v>11</v>
      </c>
      <c r="AH324" s="15">
        <v>28830.388499356199</v>
      </c>
    </row>
    <row r="325" spans="1:34" x14ac:dyDescent="0.25">
      <c r="A325" s="15">
        <v>2020</v>
      </c>
      <c r="B325" s="15">
        <v>12</v>
      </c>
      <c r="C325" s="15">
        <v>34235.092425352697</v>
      </c>
      <c r="F325" s="15">
        <v>2020</v>
      </c>
      <c r="G325" s="15">
        <v>12</v>
      </c>
      <c r="H325" s="15">
        <v>43975.664665951503</v>
      </c>
      <c r="K325" s="18">
        <v>2020</v>
      </c>
      <c r="L325" s="18">
        <v>12</v>
      </c>
      <c r="M325" s="18">
        <v>34249.110264814401</v>
      </c>
      <c r="P325" s="15">
        <v>2020</v>
      </c>
      <c r="Q325" s="15">
        <v>12</v>
      </c>
      <c r="R325" s="15">
        <v>43975.664665951503</v>
      </c>
      <c r="T325" s="15">
        <v>2020</v>
      </c>
      <c r="U325" s="15">
        <v>12</v>
      </c>
      <c r="V325" s="15">
        <v>34915.130083354001</v>
      </c>
      <c r="X325" s="15">
        <v>2020</v>
      </c>
      <c r="Y325" s="15">
        <v>12</v>
      </c>
      <c r="Z325" s="15">
        <v>35021.6790883785</v>
      </c>
      <c r="AB325" s="15">
        <v>2020</v>
      </c>
      <c r="AC325" s="15">
        <v>12</v>
      </c>
      <c r="AD325" s="15">
        <v>35082.351633455401</v>
      </c>
      <c r="AF325" s="15">
        <v>2020</v>
      </c>
      <c r="AG325" s="15">
        <v>12</v>
      </c>
      <c r="AH325" s="15">
        <v>35034.967693994397</v>
      </c>
    </row>
    <row r="326" spans="1:34" x14ac:dyDescent="0.25">
      <c r="A326" s="15">
        <v>2021</v>
      </c>
      <c r="B326" s="15">
        <v>1</v>
      </c>
      <c r="C326" s="15">
        <v>45073.410979667802</v>
      </c>
      <c r="F326" s="15">
        <v>2021</v>
      </c>
      <c r="G326" s="15">
        <v>1</v>
      </c>
      <c r="H326" s="15">
        <v>41585.908812616501</v>
      </c>
      <c r="K326" s="18">
        <v>2021</v>
      </c>
      <c r="L326" s="18">
        <v>1</v>
      </c>
      <c r="M326" s="18">
        <v>44936.741861873503</v>
      </c>
      <c r="P326" s="15">
        <v>2021</v>
      </c>
      <c r="Q326" s="15">
        <v>1</v>
      </c>
      <c r="R326" s="15">
        <v>41585.908812616501</v>
      </c>
      <c r="T326" s="15">
        <v>2021</v>
      </c>
      <c r="U326" s="15">
        <v>1</v>
      </c>
      <c r="V326" s="15">
        <v>45750.130930609703</v>
      </c>
      <c r="X326" s="15">
        <v>2021</v>
      </c>
      <c r="Y326" s="15">
        <v>1</v>
      </c>
      <c r="Z326" s="15">
        <v>45791.123404990503</v>
      </c>
      <c r="AB326" s="15">
        <v>2021</v>
      </c>
      <c r="AC326" s="15">
        <v>1</v>
      </c>
      <c r="AD326" s="15">
        <v>45829.544543956501</v>
      </c>
      <c r="AF326" s="15">
        <v>2021</v>
      </c>
      <c r="AG326" s="15">
        <v>1</v>
      </c>
      <c r="AH326" s="15">
        <v>45705.843380918297</v>
      </c>
    </row>
    <row r="327" spans="1:34" x14ac:dyDescent="0.25">
      <c r="A327" s="15">
        <v>2021</v>
      </c>
      <c r="B327" s="15">
        <v>2</v>
      </c>
      <c r="C327" s="15">
        <v>25108.123723777699</v>
      </c>
      <c r="F327" s="15">
        <v>2021</v>
      </c>
      <c r="G327" s="15">
        <v>2</v>
      </c>
      <c r="H327" s="15">
        <v>28911.713646859</v>
      </c>
      <c r="K327" s="18">
        <v>2021</v>
      </c>
      <c r="L327" s="18">
        <v>2</v>
      </c>
      <c r="M327" s="18">
        <v>25122.1547341855</v>
      </c>
      <c r="P327" s="15">
        <v>2021</v>
      </c>
      <c r="Q327" s="15">
        <v>2</v>
      </c>
      <c r="R327" s="15">
        <v>28911.713646859</v>
      </c>
      <c r="T327" s="15">
        <v>2021</v>
      </c>
      <c r="U327" s="15">
        <v>2</v>
      </c>
      <c r="V327" s="15">
        <v>23431.094427648499</v>
      </c>
      <c r="X327" s="15">
        <v>2021</v>
      </c>
      <c r="Y327" s="15">
        <v>2</v>
      </c>
      <c r="Z327" s="15">
        <v>23439.809638282601</v>
      </c>
      <c r="AB327" s="15">
        <v>2021</v>
      </c>
      <c r="AC327" s="15">
        <v>2</v>
      </c>
      <c r="AD327" s="15">
        <v>23466.228153708798</v>
      </c>
      <c r="AF327" s="15">
        <v>2021</v>
      </c>
      <c r="AG327" s="15">
        <v>2</v>
      </c>
      <c r="AH327" s="15">
        <v>23345.650595940999</v>
      </c>
    </row>
    <row r="328" spans="1:34" x14ac:dyDescent="0.25">
      <c r="A328" s="15">
        <v>2021</v>
      </c>
      <c r="B328" s="15">
        <v>3</v>
      </c>
      <c r="C328" s="15">
        <v>36891.331406087302</v>
      </c>
      <c r="K328" s="18">
        <v>2021</v>
      </c>
      <c r="L328" s="18">
        <v>3</v>
      </c>
      <c r="M328" s="18">
        <v>36881.988840170299</v>
      </c>
      <c r="T328" s="15">
        <v>2021</v>
      </c>
      <c r="U328" s="15">
        <v>3</v>
      </c>
      <c r="V328" s="15">
        <v>35708.883051506797</v>
      </c>
      <c r="X328" s="15">
        <v>2021</v>
      </c>
      <c r="Y328" s="15">
        <v>3</v>
      </c>
      <c r="Z328" s="15">
        <v>35690.736012206398</v>
      </c>
      <c r="AB328" s="15">
        <v>2021</v>
      </c>
      <c r="AC328" s="15">
        <v>3</v>
      </c>
      <c r="AD328" s="15">
        <v>35702.212750033403</v>
      </c>
      <c r="AF328" s="15">
        <v>2021</v>
      </c>
      <c r="AG328" s="15">
        <v>3</v>
      </c>
      <c r="AH328" s="15">
        <v>35603.755400929098</v>
      </c>
    </row>
    <row r="329" spans="1:34" x14ac:dyDescent="0.25">
      <c r="A329" s="15">
        <v>2021</v>
      </c>
      <c r="B329" s="15">
        <v>4</v>
      </c>
      <c r="C329" s="15">
        <v>28575.543487029001</v>
      </c>
      <c r="K329" s="18">
        <v>2021</v>
      </c>
      <c r="L329" s="18">
        <v>4</v>
      </c>
      <c r="M329" s="18">
        <v>28585.317925525102</v>
      </c>
      <c r="T329" s="15">
        <v>2021</v>
      </c>
      <c r="U329" s="15">
        <v>4</v>
      </c>
      <c r="V329" s="15">
        <v>27523.423335242998</v>
      </c>
      <c r="X329" s="15">
        <v>2021</v>
      </c>
      <c r="Y329" s="15">
        <v>4</v>
      </c>
      <c r="Z329" s="15">
        <v>27444.802581776399</v>
      </c>
      <c r="AB329" s="15">
        <v>2021</v>
      </c>
      <c r="AC329" s="15">
        <v>4</v>
      </c>
      <c r="AD329" s="15">
        <v>27436.904414330998</v>
      </c>
      <c r="AF329" s="15">
        <v>2021</v>
      </c>
      <c r="AG329" s="15">
        <v>4</v>
      </c>
      <c r="AH329" s="15">
        <v>27379.975901821101</v>
      </c>
    </row>
    <row r="330" spans="1:34" x14ac:dyDescent="0.25">
      <c r="A330" s="15">
        <v>2021</v>
      </c>
      <c r="B330" s="15">
        <v>5</v>
      </c>
      <c r="C330" s="15">
        <v>36826.049081536701</v>
      </c>
      <c r="K330" s="18">
        <v>2021</v>
      </c>
      <c r="L330" s="18">
        <v>5</v>
      </c>
      <c r="M330" s="18">
        <v>36840.807892105302</v>
      </c>
      <c r="T330" s="15">
        <v>2021</v>
      </c>
      <c r="U330" s="15">
        <v>5</v>
      </c>
      <c r="V330" s="15">
        <v>36273.825238456899</v>
      </c>
      <c r="X330" s="15">
        <v>2021</v>
      </c>
      <c r="Y330" s="15">
        <v>5</v>
      </c>
      <c r="Z330" s="15">
        <v>36208.105082451999</v>
      </c>
      <c r="AB330" s="15">
        <v>2021</v>
      </c>
      <c r="AC330" s="15">
        <v>5</v>
      </c>
      <c r="AD330" s="15">
        <v>36156.518801633902</v>
      </c>
      <c r="AF330" s="15">
        <v>2021</v>
      </c>
      <c r="AG330" s="15">
        <v>5</v>
      </c>
      <c r="AH330" s="15">
        <v>36150.298324846801</v>
      </c>
    </row>
    <row r="331" spans="1:34" x14ac:dyDescent="0.25">
      <c r="A331" s="15">
        <v>2021</v>
      </c>
      <c r="B331" s="15">
        <v>6</v>
      </c>
      <c r="C331" s="15">
        <v>38706.1426863542</v>
      </c>
      <c r="K331" s="18">
        <v>2021</v>
      </c>
      <c r="L331" s="18">
        <v>6</v>
      </c>
      <c r="M331" s="18">
        <v>38693.962692087902</v>
      </c>
      <c r="T331" s="15">
        <v>2021</v>
      </c>
      <c r="U331" s="15">
        <v>6</v>
      </c>
      <c r="V331" s="15">
        <v>38350.054504370899</v>
      </c>
      <c r="X331" s="15">
        <v>2021</v>
      </c>
      <c r="Y331" s="15">
        <v>6</v>
      </c>
      <c r="Z331" s="15">
        <v>38325.036801787697</v>
      </c>
      <c r="AB331" s="15">
        <v>2021</v>
      </c>
      <c r="AC331" s="15">
        <v>6</v>
      </c>
      <c r="AD331" s="15">
        <v>38289.7727417766</v>
      </c>
      <c r="AF331" s="15">
        <v>2021</v>
      </c>
      <c r="AG331" s="15">
        <v>6</v>
      </c>
      <c r="AH331" s="15">
        <v>38348.863556525197</v>
      </c>
    </row>
    <row r="332" spans="1:34" x14ac:dyDescent="0.25">
      <c r="A332" s="15">
        <v>2021</v>
      </c>
      <c r="B332" s="15">
        <v>7</v>
      </c>
      <c r="C332" s="15">
        <v>33292.689018040997</v>
      </c>
      <c r="K332" s="18">
        <v>2021</v>
      </c>
      <c r="L332" s="18">
        <v>7</v>
      </c>
      <c r="M332" s="18">
        <v>33284.498123752899</v>
      </c>
      <c r="T332" s="15">
        <v>2021</v>
      </c>
      <c r="U332" s="15">
        <v>7</v>
      </c>
      <c r="V332" s="15">
        <v>33350.309351940698</v>
      </c>
      <c r="X332" s="15">
        <v>2021</v>
      </c>
      <c r="Y332" s="15">
        <v>7</v>
      </c>
      <c r="Z332" s="15">
        <v>33326.995035264903</v>
      </c>
      <c r="AB332" s="15">
        <v>2021</v>
      </c>
      <c r="AC332" s="15">
        <v>7</v>
      </c>
      <c r="AD332" s="15">
        <v>33287.948983378803</v>
      </c>
      <c r="AF332" s="15">
        <v>2021</v>
      </c>
      <c r="AG332" s="15">
        <v>7</v>
      </c>
      <c r="AH332" s="15">
        <v>33433.260303010502</v>
      </c>
    </row>
    <row r="333" spans="1:34" x14ac:dyDescent="0.25">
      <c r="A333" s="15">
        <v>2021</v>
      </c>
      <c r="B333" s="15">
        <v>8</v>
      </c>
      <c r="C333" s="15">
        <v>31861.5059280434</v>
      </c>
      <c r="K333" s="18">
        <v>2021</v>
      </c>
      <c r="L333" s="18">
        <v>8</v>
      </c>
      <c r="M333" s="18">
        <v>31870.690373784098</v>
      </c>
      <c r="T333" s="15">
        <v>2021</v>
      </c>
      <c r="U333" s="15">
        <v>8</v>
      </c>
      <c r="V333" s="15">
        <v>32174.9579311325</v>
      </c>
      <c r="X333" s="15">
        <v>2021</v>
      </c>
      <c r="Y333" s="15">
        <v>8</v>
      </c>
      <c r="Z333" s="15">
        <v>32163.608921542502</v>
      </c>
      <c r="AB333" s="15">
        <v>2021</v>
      </c>
      <c r="AC333" s="15">
        <v>8</v>
      </c>
      <c r="AD333" s="15">
        <v>32131.679448727202</v>
      </c>
      <c r="AF333" s="15">
        <v>2021</v>
      </c>
      <c r="AG333" s="15">
        <v>8</v>
      </c>
      <c r="AH333" s="15">
        <v>32294.5120376142</v>
      </c>
    </row>
    <row r="334" spans="1:34" x14ac:dyDescent="0.25">
      <c r="A334" s="15">
        <v>2021</v>
      </c>
      <c r="B334" s="15">
        <v>9</v>
      </c>
      <c r="C334" s="15">
        <v>36751.203129505499</v>
      </c>
      <c r="K334" s="18">
        <v>2021</v>
      </c>
      <c r="L334" s="18">
        <v>9</v>
      </c>
      <c r="M334" s="18">
        <v>36778.404586529701</v>
      </c>
      <c r="T334" s="15">
        <v>2021</v>
      </c>
      <c r="U334" s="15">
        <v>9</v>
      </c>
      <c r="V334" s="15">
        <v>37193.086072667298</v>
      </c>
      <c r="X334" s="15">
        <v>2021</v>
      </c>
      <c r="Y334" s="15">
        <v>9</v>
      </c>
      <c r="Z334" s="15">
        <v>37191.304730762102</v>
      </c>
      <c r="AB334" s="15">
        <v>2021</v>
      </c>
      <c r="AC334" s="15">
        <v>9</v>
      </c>
      <c r="AD334" s="15">
        <v>37176.594766029797</v>
      </c>
      <c r="AF334" s="15">
        <v>2021</v>
      </c>
      <c r="AG334" s="15">
        <v>9</v>
      </c>
      <c r="AH334" s="15">
        <v>37332.517623260799</v>
      </c>
    </row>
    <row r="335" spans="1:34" x14ac:dyDescent="0.25">
      <c r="A335" s="15">
        <v>2021</v>
      </c>
      <c r="B335" s="15">
        <v>10</v>
      </c>
      <c r="C335" s="15">
        <v>37372.867590328002</v>
      </c>
      <c r="K335" s="18">
        <v>2021</v>
      </c>
      <c r="L335" s="18">
        <v>10</v>
      </c>
      <c r="M335" s="18">
        <v>37422.582773595197</v>
      </c>
      <c r="T335" s="15">
        <v>2021</v>
      </c>
      <c r="U335" s="15">
        <v>10</v>
      </c>
      <c r="V335" s="15">
        <v>38163.497486206703</v>
      </c>
      <c r="X335" s="15">
        <v>2021</v>
      </c>
      <c r="Y335" s="15">
        <v>10</v>
      </c>
      <c r="Z335" s="15">
        <v>38191.485003841197</v>
      </c>
      <c r="AB335" s="15">
        <v>2021</v>
      </c>
      <c r="AC335" s="15">
        <v>10</v>
      </c>
      <c r="AD335" s="15">
        <v>38188.155830340897</v>
      </c>
      <c r="AF335" s="15">
        <v>2021</v>
      </c>
      <c r="AG335" s="15">
        <v>10</v>
      </c>
      <c r="AH335" s="15">
        <v>38272.402050070101</v>
      </c>
    </row>
    <row r="336" spans="1:34" x14ac:dyDescent="0.25">
      <c r="A336" s="15">
        <v>2021</v>
      </c>
      <c r="B336" s="15">
        <v>11</v>
      </c>
      <c r="C336" s="15">
        <v>39424.043975246299</v>
      </c>
      <c r="K336" s="18">
        <v>2021</v>
      </c>
      <c r="L336" s="18">
        <v>11</v>
      </c>
      <c r="M336" s="18">
        <v>39483.900999924997</v>
      </c>
      <c r="T336" s="15">
        <v>2021</v>
      </c>
      <c r="U336" s="15">
        <v>11</v>
      </c>
      <c r="V336" s="15">
        <v>40242.448837648299</v>
      </c>
      <c r="X336" s="15">
        <v>2021</v>
      </c>
      <c r="Y336" s="15">
        <v>11</v>
      </c>
      <c r="Z336" s="15">
        <v>40280.240570612703</v>
      </c>
      <c r="AB336" s="15">
        <v>2021</v>
      </c>
      <c r="AC336" s="15">
        <v>11</v>
      </c>
      <c r="AD336" s="15">
        <v>40299.7336777807</v>
      </c>
      <c r="AF336" s="15">
        <v>2021</v>
      </c>
      <c r="AG336" s="15">
        <v>11</v>
      </c>
      <c r="AH336" s="15">
        <v>40328.322280357497</v>
      </c>
    </row>
    <row r="337" spans="1:34" x14ac:dyDescent="0.25">
      <c r="A337" s="15">
        <v>2021</v>
      </c>
      <c r="B337" s="15">
        <v>12</v>
      </c>
      <c r="C337" s="15">
        <v>44026.721151980702</v>
      </c>
      <c r="K337" s="18">
        <v>2021</v>
      </c>
      <c r="L337" s="18">
        <v>12</v>
      </c>
      <c r="M337" s="18">
        <v>44092.551397351803</v>
      </c>
      <c r="T337" s="15">
        <v>2021</v>
      </c>
      <c r="U337" s="15">
        <v>12</v>
      </c>
      <c r="V337" s="15">
        <v>44673.507347606799</v>
      </c>
      <c r="X337" s="15">
        <v>2021</v>
      </c>
      <c r="Y337" s="15">
        <v>12</v>
      </c>
      <c r="Z337" s="15">
        <v>44791.902227352199</v>
      </c>
      <c r="AB337" s="15">
        <v>2021</v>
      </c>
      <c r="AC337" s="15">
        <v>12</v>
      </c>
      <c r="AD337" s="15">
        <v>44864.820066349697</v>
      </c>
      <c r="AF337" s="15">
        <v>2021</v>
      </c>
      <c r="AG337" s="15">
        <v>12</v>
      </c>
      <c r="AH337" s="15">
        <v>44784.642416245901</v>
      </c>
    </row>
    <row r="338" spans="1:34" x14ac:dyDescent="0.25">
      <c r="A338" s="15">
        <v>2022</v>
      </c>
      <c r="B338" s="15">
        <v>1</v>
      </c>
      <c r="C338" s="15">
        <v>39856.640471315899</v>
      </c>
      <c r="K338" s="18">
        <v>2022</v>
      </c>
      <c r="L338" s="18">
        <v>1</v>
      </c>
      <c r="M338" s="18">
        <v>39673.591155777103</v>
      </c>
      <c r="T338" s="15">
        <v>2022</v>
      </c>
      <c r="U338" s="15">
        <v>1</v>
      </c>
      <c r="V338" s="15">
        <v>40330.391474980497</v>
      </c>
      <c r="X338" s="15">
        <v>2022</v>
      </c>
      <c r="Y338" s="15">
        <v>1</v>
      </c>
      <c r="Z338" s="15">
        <v>40409.4024791107</v>
      </c>
      <c r="AB338" s="15">
        <v>2022</v>
      </c>
      <c r="AC338" s="15">
        <v>1</v>
      </c>
      <c r="AD338" s="15">
        <v>40472.9993955299</v>
      </c>
      <c r="AF338" s="15">
        <v>2022</v>
      </c>
      <c r="AG338" s="15">
        <v>1</v>
      </c>
      <c r="AH338" s="15">
        <v>40274.0757671834</v>
      </c>
    </row>
    <row r="339" spans="1:34" x14ac:dyDescent="0.25">
      <c r="A339" s="15">
        <v>2022</v>
      </c>
      <c r="B339" s="15">
        <v>2</v>
      </c>
      <c r="C339" s="15">
        <v>41750.905042725499</v>
      </c>
      <c r="K339" s="18">
        <v>2022</v>
      </c>
      <c r="L339" s="18">
        <v>2</v>
      </c>
      <c r="M339" s="18">
        <v>41733.667330325101</v>
      </c>
      <c r="T339" s="15">
        <v>2022</v>
      </c>
      <c r="U339" s="15">
        <v>2</v>
      </c>
      <c r="V339" s="15">
        <v>39911.550139656203</v>
      </c>
      <c r="X339" s="15">
        <v>2022</v>
      </c>
      <c r="Y339" s="15">
        <v>2</v>
      </c>
      <c r="Z339" s="15">
        <v>39974.4327948992</v>
      </c>
      <c r="AB339" s="15">
        <v>2022</v>
      </c>
      <c r="AC339" s="15">
        <v>2</v>
      </c>
      <c r="AD339" s="15">
        <v>40037.439301705999</v>
      </c>
      <c r="AF339" s="15">
        <v>2022</v>
      </c>
      <c r="AG339" s="15">
        <v>2</v>
      </c>
      <c r="AH339" s="15">
        <v>39793.554342481402</v>
      </c>
    </row>
    <row r="340" spans="1:34" x14ac:dyDescent="0.25">
      <c r="A340" s="15">
        <v>2022</v>
      </c>
      <c r="B340" s="15">
        <v>3</v>
      </c>
      <c r="C340" s="15">
        <v>42383.890297110003</v>
      </c>
      <c r="K340" s="18">
        <v>2022</v>
      </c>
      <c r="L340" s="18">
        <v>3</v>
      </c>
      <c r="M340" s="18">
        <v>42375.220496095499</v>
      </c>
      <c r="T340" s="15">
        <v>2022</v>
      </c>
      <c r="U340" s="15">
        <v>3</v>
      </c>
      <c r="V340" s="15">
        <v>41423.960767288598</v>
      </c>
      <c r="X340" s="15">
        <v>2022</v>
      </c>
      <c r="Y340" s="15">
        <v>3</v>
      </c>
      <c r="Z340" s="15">
        <v>41380.927441397202</v>
      </c>
      <c r="AB340" s="15">
        <v>2022</v>
      </c>
      <c r="AC340" s="15">
        <v>3</v>
      </c>
      <c r="AD340" s="15">
        <v>41410.128438036198</v>
      </c>
      <c r="AF340" s="15">
        <v>2022</v>
      </c>
      <c r="AG340" s="15">
        <v>3</v>
      </c>
      <c r="AH340" s="15">
        <v>41201.154193353999</v>
      </c>
    </row>
    <row r="341" spans="1:34" x14ac:dyDescent="0.25">
      <c r="A341" s="15">
        <v>2022</v>
      </c>
      <c r="B341" s="15">
        <v>4</v>
      </c>
      <c r="C341" s="15">
        <v>44325.746193440798</v>
      </c>
      <c r="K341" s="18">
        <v>2022</v>
      </c>
      <c r="L341" s="18">
        <v>4</v>
      </c>
      <c r="M341" s="18">
        <v>44337.098469235403</v>
      </c>
      <c r="T341" s="15">
        <v>2022</v>
      </c>
      <c r="U341" s="15">
        <v>4</v>
      </c>
      <c r="V341" s="15">
        <v>43655.888220205801</v>
      </c>
      <c r="X341" s="15">
        <v>2022</v>
      </c>
      <c r="Y341" s="15">
        <v>4</v>
      </c>
      <c r="Z341" s="15">
        <v>43493.755482925</v>
      </c>
      <c r="AB341" s="15">
        <v>2022</v>
      </c>
      <c r="AC341" s="15">
        <v>4</v>
      </c>
      <c r="AD341" s="15">
        <v>43546.205163152197</v>
      </c>
      <c r="AF341" s="15">
        <v>2022</v>
      </c>
      <c r="AG341" s="15">
        <v>4</v>
      </c>
      <c r="AH341" s="15">
        <v>43263.717233007097</v>
      </c>
    </row>
    <row r="342" spans="1:34" x14ac:dyDescent="0.25">
      <c r="A342" s="15">
        <v>2022</v>
      </c>
      <c r="B342" s="15">
        <v>5</v>
      </c>
      <c r="C342" s="15">
        <v>47303.200987161603</v>
      </c>
      <c r="K342" s="18">
        <v>2022</v>
      </c>
      <c r="L342" s="18">
        <v>5</v>
      </c>
      <c r="M342" s="18">
        <v>47296.065089304</v>
      </c>
      <c r="T342" s="15">
        <v>2022</v>
      </c>
      <c r="U342" s="15">
        <v>5</v>
      </c>
      <c r="V342" s="15">
        <v>46865.152519403498</v>
      </c>
      <c r="X342" s="15">
        <v>2022</v>
      </c>
      <c r="Y342" s="15">
        <v>5</v>
      </c>
      <c r="Z342" s="15">
        <v>46769.422210784804</v>
      </c>
      <c r="AB342" s="15">
        <v>2022</v>
      </c>
      <c r="AC342" s="15">
        <v>5</v>
      </c>
      <c r="AD342" s="15">
        <v>46611.9642987888</v>
      </c>
      <c r="AF342" s="15">
        <v>2022</v>
      </c>
      <c r="AG342" s="15">
        <v>5</v>
      </c>
      <c r="AH342" s="15">
        <v>46804.212268240903</v>
      </c>
    </row>
    <row r="343" spans="1:34" x14ac:dyDescent="0.25">
      <c r="A343" s="15">
        <v>2022</v>
      </c>
      <c r="B343" s="15">
        <v>6</v>
      </c>
      <c r="C343" s="15">
        <v>47043.336096282699</v>
      </c>
      <c r="K343" s="18">
        <v>2022</v>
      </c>
      <c r="L343" s="18">
        <v>6</v>
      </c>
      <c r="M343" s="18">
        <v>47016.747705620597</v>
      </c>
      <c r="T343" s="15">
        <v>2022</v>
      </c>
      <c r="U343" s="15">
        <v>6</v>
      </c>
      <c r="V343" s="15">
        <v>46688.619309174697</v>
      </c>
      <c r="X343" s="15">
        <v>2022</v>
      </c>
      <c r="Y343" s="15">
        <v>6</v>
      </c>
      <c r="Z343" s="15">
        <v>46659.251428420699</v>
      </c>
      <c r="AB343" s="15">
        <v>2022</v>
      </c>
      <c r="AC343" s="15">
        <v>6</v>
      </c>
      <c r="AD343" s="15">
        <v>46577.509979938703</v>
      </c>
      <c r="AF343" s="15">
        <v>2022</v>
      </c>
      <c r="AG343" s="15">
        <v>6</v>
      </c>
      <c r="AH343" s="15">
        <v>46519.353611202103</v>
      </c>
    </row>
    <row r="344" spans="1:34" x14ac:dyDescent="0.25">
      <c r="A344" s="15">
        <v>2022</v>
      </c>
      <c r="B344" s="15">
        <v>7</v>
      </c>
      <c r="C344" s="15">
        <v>46656.913508396698</v>
      </c>
      <c r="K344" s="18">
        <v>2022</v>
      </c>
      <c r="L344" s="18">
        <v>7</v>
      </c>
      <c r="M344" s="18">
        <v>46624.465791570699</v>
      </c>
      <c r="T344" s="15">
        <v>2022</v>
      </c>
      <c r="U344" s="15">
        <v>7</v>
      </c>
      <c r="V344" s="15">
        <v>46893.630550539601</v>
      </c>
      <c r="X344" s="15">
        <v>2022</v>
      </c>
      <c r="Y344" s="15">
        <v>7</v>
      </c>
      <c r="Z344" s="15">
        <v>46870.510759052799</v>
      </c>
      <c r="AB344" s="15">
        <v>2022</v>
      </c>
      <c r="AC344" s="15">
        <v>7</v>
      </c>
      <c r="AD344" s="15">
        <v>46809.696529156499</v>
      </c>
      <c r="AF344" s="15">
        <v>2022</v>
      </c>
      <c r="AG344" s="15">
        <v>7</v>
      </c>
      <c r="AH344" s="15">
        <v>47301.761019593898</v>
      </c>
    </row>
    <row r="345" spans="1:34" x14ac:dyDescent="0.25">
      <c r="A345" s="15">
        <v>2022</v>
      </c>
      <c r="B345" s="15">
        <v>8</v>
      </c>
      <c r="C345" s="15">
        <v>45974.000256979503</v>
      </c>
      <c r="K345" s="18">
        <v>2022</v>
      </c>
      <c r="L345" s="18">
        <v>8</v>
      </c>
      <c r="M345" s="18">
        <v>45964.043154716303</v>
      </c>
      <c r="T345" s="15">
        <v>2022</v>
      </c>
      <c r="U345" s="15">
        <v>8</v>
      </c>
      <c r="V345" s="15">
        <v>46151.050017913702</v>
      </c>
      <c r="X345" s="15">
        <v>2022</v>
      </c>
      <c r="Y345" s="15">
        <v>8</v>
      </c>
      <c r="Z345" s="15">
        <v>46136.857400112101</v>
      </c>
      <c r="AB345" s="15">
        <v>2022</v>
      </c>
      <c r="AC345" s="15">
        <v>8</v>
      </c>
      <c r="AD345" s="15">
        <v>46103.404802596699</v>
      </c>
      <c r="AF345" s="15">
        <v>2022</v>
      </c>
      <c r="AG345" s="15">
        <v>8</v>
      </c>
      <c r="AH345" s="15">
        <v>46418.526740790301</v>
      </c>
    </row>
    <row r="346" spans="1:34" x14ac:dyDescent="0.25">
      <c r="A346" s="15">
        <v>2022</v>
      </c>
      <c r="B346" s="15">
        <v>9</v>
      </c>
      <c r="C346" s="15">
        <v>45121.992838423197</v>
      </c>
      <c r="K346" s="18">
        <v>2022</v>
      </c>
      <c r="L346" s="18">
        <v>9</v>
      </c>
      <c r="M346" s="18">
        <v>45151.7632513922</v>
      </c>
      <c r="T346" s="15">
        <v>2022</v>
      </c>
      <c r="U346" s="15">
        <v>9</v>
      </c>
      <c r="V346" s="15">
        <v>45479.8464528689</v>
      </c>
      <c r="X346" s="15">
        <v>2022</v>
      </c>
      <c r="Y346" s="15">
        <v>9</v>
      </c>
      <c r="Z346" s="15">
        <v>45487.540190830499</v>
      </c>
      <c r="AB346" s="15">
        <v>2022</v>
      </c>
      <c r="AC346" s="15">
        <v>9</v>
      </c>
      <c r="AD346" s="15">
        <v>45473.949689153502</v>
      </c>
      <c r="AF346" s="15">
        <v>2022</v>
      </c>
      <c r="AG346" s="15">
        <v>9</v>
      </c>
      <c r="AH346" s="15">
        <v>45681.857342648698</v>
      </c>
    </row>
    <row r="347" spans="1:34" x14ac:dyDescent="0.25">
      <c r="A347" s="15">
        <v>2022</v>
      </c>
      <c r="B347" s="15">
        <v>10</v>
      </c>
      <c r="C347" s="15">
        <v>48609.126295230199</v>
      </c>
      <c r="K347" s="18">
        <v>2022</v>
      </c>
      <c r="L347" s="18">
        <v>10</v>
      </c>
      <c r="M347" s="18">
        <v>48699.919342359302</v>
      </c>
      <c r="T347" s="15">
        <v>2022</v>
      </c>
      <c r="U347" s="15">
        <v>10</v>
      </c>
      <c r="V347" s="15">
        <v>49285.706470790901</v>
      </c>
      <c r="X347" s="15">
        <v>2022</v>
      </c>
      <c r="Y347" s="15">
        <v>10</v>
      </c>
      <c r="Z347" s="15">
        <v>49329.0536280862</v>
      </c>
      <c r="AB347" s="15">
        <v>2022</v>
      </c>
      <c r="AC347" s="15">
        <v>10</v>
      </c>
      <c r="AD347" s="15">
        <v>49330.0594347386</v>
      </c>
      <c r="AF347" s="15">
        <v>2022</v>
      </c>
      <c r="AG347" s="15">
        <v>10</v>
      </c>
      <c r="AH347" s="15">
        <v>49420.745783049897</v>
      </c>
    </row>
    <row r="348" spans="1:34" x14ac:dyDescent="0.25">
      <c r="A348" s="15">
        <v>2022</v>
      </c>
      <c r="B348" s="15">
        <v>11</v>
      </c>
      <c r="C348" s="15">
        <v>45575.351014660599</v>
      </c>
      <c r="K348" s="18">
        <v>2022</v>
      </c>
      <c r="L348" s="18">
        <v>11</v>
      </c>
      <c r="M348" s="18">
        <v>45732.843358886799</v>
      </c>
      <c r="T348" s="15">
        <v>2022</v>
      </c>
      <c r="U348" s="15">
        <v>11</v>
      </c>
      <c r="V348" s="15">
        <v>46220.429027698701</v>
      </c>
      <c r="X348" s="15">
        <v>2022</v>
      </c>
      <c r="Y348" s="15">
        <v>11</v>
      </c>
      <c r="Z348" s="15">
        <v>46282.817255832997</v>
      </c>
      <c r="AB348" s="15">
        <v>2022</v>
      </c>
      <c r="AC348" s="15">
        <v>11</v>
      </c>
      <c r="AD348" s="15">
        <v>46313.181251583199</v>
      </c>
      <c r="AF348" s="15">
        <v>2022</v>
      </c>
      <c r="AG348" s="15">
        <v>11</v>
      </c>
      <c r="AH348" s="15">
        <v>46306.142563829198</v>
      </c>
    </row>
    <row r="349" spans="1:34" x14ac:dyDescent="0.25">
      <c r="A349" s="15">
        <v>2022</v>
      </c>
      <c r="B349" s="15">
        <v>12</v>
      </c>
      <c r="C349" s="15">
        <v>42793.5243993314</v>
      </c>
      <c r="K349" s="18">
        <v>2022</v>
      </c>
      <c r="L349" s="18">
        <v>12</v>
      </c>
      <c r="M349" s="18">
        <v>43016.812647349398</v>
      </c>
      <c r="T349" s="15">
        <v>2022</v>
      </c>
      <c r="U349" s="15">
        <v>12</v>
      </c>
      <c r="V349" s="15">
        <v>43540.926804346796</v>
      </c>
      <c r="X349" s="15">
        <v>2022</v>
      </c>
      <c r="Y349" s="15">
        <v>12</v>
      </c>
      <c r="Z349" s="15">
        <v>43677.1549438363</v>
      </c>
      <c r="AB349" s="15">
        <v>2022</v>
      </c>
      <c r="AC349" s="15">
        <v>12</v>
      </c>
      <c r="AD349" s="15">
        <v>43757.123085501902</v>
      </c>
      <c r="AF349" s="15">
        <v>2022</v>
      </c>
      <c r="AG349" s="15">
        <v>12</v>
      </c>
      <c r="AH349" s="15">
        <v>43598.227628198001</v>
      </c>
    </row>
    <row r="350" spans="1:34" x14ac:dyDescent="0.25">
      <c r="A350" s="15">
        <v>2023</v>
      </c>
      <c r="B350" s="15">
        <v>1</v>
      </c>
      <c r="C350" s="15">
        <v>47530.821320037903</v>
      </c>
      <c r="K350" s="18">
        <v>2023</v>
      </c>
      <c r="L350" s="18">
        <v>1</v>
      </c>
      <c r="M350" s="18">
        <v>47147.474462790902</v>
      </c>
      <c r="T350" s="15">
        <v>2023</v>
      </c>
      <c r="U350" s="15">
        <v>1</v>
      </c>
      <c r="V350" s="15">
        <v>47453.930578616899</v>
      </c>
      <c r="X350" s="15">
        <v>2023</v>
      </c>
      <c r="Y350" s="15">
        <v>1</v>
      </c>
      <c r="Z350" s="15">
        <v>47560.2340658967</v>
      </c>
      <c r="AB350" s="15">
        <v>2023</v>
      </c>
      <c r="AC350" s="15">
        <v>1</v>
      </c>
      <c r="AD350" s="15">
        <v>47649.321257640397</v>
      </c>
      <c r="AF350" s="15">
        <v>2023</v>
      </c>
      <c r="AG350" s="15">
        <v>1</v>
      </c>
      <c r="AH350" s="15">
        <v>47374.949733577501</v>
      </c>
    </row>
    <row r="351" spans="1:34" x14ac:dyDescent="0.25">
      <c r="A351" s="15">
        <v>2023</v>
      </c>
      <c r="B351" s="15">
        <v>2</v>
      </c>
      <c r="C351" s="15">
        <v>51260.333629012501</v>
      </c>
      <c r="K351" s="18">
        <v>2023</v>
      </c>
      <c r="L351" s="18">
        <v>2</v>
      </c>
      <c r="M351" s="18">
        <v>51208.816948009997</v>
      </c>
      <c r="T351" s="15">
        <v>2023</v>
      </c>
      <c r="U351" s="15">
        <v>2</v>
      </c>
      <c r="V351" s="15">
        <v>49355.674178446803</v>
      </c>
      <c r="X351" s="15">
        <v>2023</v>
      </c>
      <c r="Y351" s="15">
        <v>2</v>
      </c>
      <c r="Z351" s="15">
        <v>49468.770488864298</v>
      </c>
      <c r="AB351" s="15">
        <v>2023</v>
      </c>
      <c r="AC351" s="15">
        <v>2</v>
      </c>
      <c r="AD351" s="15">
        <v>49580.295859605401</v>
      </c>
      <c r="AF351" s="15">
        <v>2023</v>
      </c>
      <c r="AG351" s="15">
        <v>2</v>
      </c>
      <c r="AH351" s="15">
        <v>49204.736130117897</v>
      </c>
    </row>
    <row r="352" spans="1:34" x14ac:dyDescent="0.25">
      <c r="A352" s="15">
        <v>2023</v>
      </c>
      <c r="B352" s="15">
        <v>3</v>
      </c>
      <c r="C352" s="15">
        <v>54878.159885840701</v>
      </c>
      <c r="K352" s="18">
        <v>2023</v>
      </c>
      <c r="L352" s="18">
        <v>3</v>
      </c>
      <c r="M352" s="18">
        <v>54868.931604150901</v>
      </c>
      <c r="T352" s="15">
        <v>2023</v>
      </c>
      <c r="U352" s="15">
        <v>3</v>
      </c>
      <c r="V352" s="15">
        <v>54174.313396382298</v>
      </c>
      <c r="X352" s="15">
        <v>2023</v>
      </c>
      <c r="Y352" s="15">
        <v>3</v>
      </c>
      <c r="Z352" s="15">
        <v>54098.654523954603</v>
      </c>
      <c r="AB352" s="15">
        <v>2023</v>
      </c>
      <c r="AC352" s="15">
        <v>3</v>
      </c>
      <c r="AD352" s="15">
        <v>54181.1973828626</v>
      </c>
      <c r="AF352" s="15">
        <v>2023</v>
      </c>
      <c r="AG352" s="15">
        <v>3</v>
      </c>
      <c r="AH352" s="15">
        <v>53849.607702618603</v>
      </c>
    </row>
    <row r="353" spans="1:34" x14ac:dyDescent="0.25">
      <c r="A353" s="15">
        <v>2023</v>
      </c>
      <c r="B353" s="15">
        <v>4</v>
      </c>
      <c r="C353" s="15">
        <v>55821.161814686697</v>
      </c>
      <c r="K353" s="18">
        <v>2023</v>
      </c>
      <c r="L353" s="18">
        <v>4</v>
      </c>
      <c r="M353" s="18">
        <v>55830.107203097003</v>
      </c>
      <c r="T353" s="15">
        <v>2023</v>
      </c>
      <c r="U353" s="15">
        <v>4</v>
      </c>
      <c r="V353" s="15">
        <v>55739.812413680302</v>
      </c>
      <c r="X353" s="15">
        <v>2023</v>
      </c>
      <c r="Y353" s="15">
        <v>4</v>
      </c>
      <c r="Z353" s="15">
        <v>55503.4568357647</v>
      </c>
      <c r="AB353" s="15">
        <v>2023</v>
      </c>
      <c r="AC353" s="15">
        <v>4</v>
      </c>
      <c r="AD353" s="15">
        <v>55676.602098005002</v>
      </c>
      <c r="AF353" s="15">
        <v>2023</v>
      </c>
      <c r="AG353" s="15">
        <v>4</v>
      </c>
      <c r="AH353" s="15">
        <v>55169.087648792098</v>
      </c>
    </row>
    <row r="354" spans="1:34" x14ac:dyDescent="0.25">
      <c r="A354" s="15">
        <v>2023</v>
      </c>
      <c r="B354" s="15">
        <v>5</v>
      </c>
      <c r="C354" s="15">
        <v>53009.098142794202</v>
      </c>
      <c r="K354" s="18">
        <v>2023</v>
      </c>
      <c r="L354" s="18">
        <v>5</v>
      </c>
      <c r="M354" s="18">
        <v>52984.224610445701</v>
      </c>
      <c r="T354" s="15">
        <v>2023</v>
      </c>
      <c r="U354" s="15">
        <v>5</v>
      </c>
      <c r="V354" s="15">
        <v>52683.946790859001</v>
      </c>
      <c r="X354" s="15">
        <v>2023</v>
      </c>
      <c r="Y354" s="15">
        <v>5</v>
      </c>
      <c r="Z354" s="15">
        <v>52554.490894585397</v>
      </c>
      <c r="AB354" s="15">
        <v>2023</v>
      </c>
      <c r="AC354" s="15">
        <v>5</v>
      </c>
      <c r="AD354" s="15">
        <v>52173.478312913103</v>
      </c>
      <c r="AF354" s="15">
        <v>2023</v>
      </c>
      <c r="AG354" s="15">
        <v>5</v>
      </c>
      <c r="AH354" s="15">
        <v>52563.087805642797</v>
      </c>
    </row>
    <row r="355" spans="1:34" x14ac:dyDescent="0.25">
      <c r="A355" s="15">
        <v>2023</v>
      </c>
      <c r="B355" s="15">
        <v>6</v>
      </c>
      <c r="C355" s="15">
        <v>52499.755438970999</v>
      </c>
      <c r="K355" s="18">
        <v>2023</v>
      </c>
      <c r="L355" s="18">
        <v>6</v>
      </c>
      <c r="M355" s="18">
        <v>52466.328523213597</v>
      </c>
      <c r="T355" s="15">
        <v>2023</v>
      </c>
      <c r="U355" s="15">
        <v>6</v>
      </c>
      <c r="V355" s="15">
        <v>52045.920840610401</v>
      </c>
      <c r="X355" s="15">
        <v>2023</v>
      </c>
      <c r="Y355" s="15">
        <v>6</v>
      </c>
      <c r="Z355" s="15">
        <v>52015.831769135701</v>
      </c>
      <c r="AB355" s="15">
        <v>2023</v>
      </c>
      <c r="AC355" s="15">
        <v>6</v>
      </c>
      <c r="AD355" s="15">
        <v>51886.001344530901</v>
      </c>
      <c r="AF355" s="15">
        <v>2023</v>
      </c>
      <c r="AG355" s="15">
        <v>6</v>
      </c>
      <c r="AH355" s="15">
        <v>51718.291973006897</v>
      </c>
    </row>
    <row r="356" spans="1:34" x14ac:dyDescent="0.25">
      <c r="A356" s="15">
        <v>2023</v>
      </c>
      <c r="B356" s="15">
        <v>7</v>
      </c>
      <c r="C356" s="15">
        <v>51345.751923568598</v>
      </c>
      <c r="K356" s="18">
        <v>2023</v>
      </c>
      <c r="L356" s="18">
        <v>7</v>
      </c>
      <c r="M356" s="18">
        <v>51288.480071169703</v>
      </c>
      <c r="T356" s="15">
        <v>2023</v>
      </c>
      <c r="U356" s="15">
        <v>7</v>
      </c>
      <c r="V356" s="15">
        <v>51634.457558883201</v>
      </c>
      <c r="X356" s="15">
        <v>2023</v>
      </c>
      <c r="Y356" s="15">
        <v>7</v>
      </c>
      <c r="Z356" s="15">
        <v>51606.482262469297</v>
      </c>
      <c r="AB356" s="15">
        <v>2023</v>
      </c>
      <c r="AC356" s="15">
        <v>7</v>
      </c>
      <c r="AD356" s="15">
        <v>51531.125526801101</v>
      </c>
      <c r="AF356" s="15">
        <v>2023</v>
      </c>
      <c r="AG356" s="15">
        <v>7</v>
      </c>
      <c r="AH356" s="15">
        <v>52422.505467395102</v>
      </c>
    </row>
    <row r="357" spans="1:34" x14ac:dyDescent="0.25">
      <c r="A357" s="15">
        <v>2023</v>
      </c>
      <c r="B357" s="15">
        <v>8</v>
      </c>
      <c r="C357" s="15">
        <v>54908.574140760204</v>
      </c>
      <c r="K357" s="18">
        <v>2023</v>
      </c>
      <c r="L357" s="18">
        <v>8</v>
      </c>
      <c r="M357" s="18">
        <v>54878.954236081299</v>
      </c>
      <c r="T357" s="15">
        <v>2023</v>
      </c>
      <c r="U357" s="15">
        <v>8</v>
      </c>
      <c r="V357" s="15">
        <v>55050.217163930298</v>
      </c>
      <c r="X357" s="15">
        <v>2023</v>
      </c>
      <c r="Y357" s="15">
        <v>8</v>
      </c>
      <c r="Z357" s="15">
        <v>55042.058677386602</v>
      </c>
      <c r="AB357" s="15">
        <v>2023</v>
      </c>
      <c r="AC357" s="15">
        <v>8</v>
      </c>
      <c r="AD357" s="15">
        <v>55010.288921171901</v>
      </c>
      <c r="AF357" s="15">
        <v>2023</v>
      </c>
      <c r="AG357" s="15">
        <v>8</v>
      </c>
      <c r="AH357" s="15">
        <v>55468.7551920197</v>
      </c>
    </row>
    <row r="358" spans="1:34" x14ac:dyDescent="0.25">
      <c r="A358" s="15">
        <v>2023</v>
      </c>
      <c r="B358" s="15">
        <v>9</v>
      </c>
      <c r="C358" s="15">
        <v>51074.607808541703</v>
      </c>
      <c r="K358" s="18">
        <v>2023</v>
      </c>
      <c r="L358" s="18">
        <v>9</v>
      </c>
      <c r="M358" s="18">
        <v>51107.173896750101</v>
      </c>
      <c r="T358" s="15">
        <v>2023</v>
      </c>
      <c r="U358" s="15">
        <v>9</v>
      </c>
      <c r="V358" s="15">
        <v>51444.786160463998</v>
      </c>
      <c r="X358" s="15">
        <v>2023</v>
      </c>
      <c r="Y358" s="15">
        <v>9</v>
      </c>
      <c r="Z358" s="15">
        <v>51467.649446354197</v>
      </c>
      <c r="AB358" s="15">
        <v>2023</v>
      </c>
      <c r="AC358" s="15">
        <v>9</v>
      </c>
      <c r="AD358" s="15">
        <v>51458.496270369898</v>
      </c>
      <c r="AF358" s="15">
        <v>2023</v>
      </c>
      <c r="AG358" s="15">
        <v>9</v>
      </c>
      <c r="AH358" s="15">
        <v>51692.685307858897</v>
      </c>
    </row>
    <row r="359" spans="1:34" x14ac:dyDescent="0.25">
      <c r="A359" s="15">
        <v>2023</v>
      </c>
      <c r="B359" s="15">
        <v>10</v>
      </c>
      <c r="C359" s="15">
        <v>46506.925106594899</v>
      </c>
      <c r="K359" s="18">
        <v>2023</v>
      </c>
      <c r="L359" s="18">
        <v>10</v>
      </c>
      <c r="M359" s="18">
        <v>46641.565376291102</v>
      </c>
      <c r="T359" s="15">
        <v>2023</v>
      </c>
      <c r="U359" s="15">
        <v>10</v>
      </c>
      <c r="V359" s="15">
        <v>46990.485511141298</v>
      </c>
      <c r="X359" s="15">
        <v>2023</v>
      </c>
      <c r="Y359" s="15">
        <v>10</v>
      </c>
      <c r="Z359" s="15">
        <v>47041.6612323808</v>
      </c>
      <c r="AB359" s="15">
        <v>2023</v>
      </c>
      <c r="AC359" s="15">
        <v>10</v>
      </c>
      <c r="AD359" s="15">
        <v>47055.804356769302</v>
      </c>
      <c r="AF359" s="15">
        <v>2023</v>
      </c>
      <c r="AG359" s="15">
        <v>10</v>
      </c>
      <c r="AH359" s="15">
        <v>47157.067702982</v>
      </c>
    </row>
    <row r="360" spans="1:34" x14ac:dyDescent="0.25">
      <c r="A360" s="15">
        <v>2023</v>
      </c>
      <c r="B360" s="15">
        <v>11</v>
      </c>
      <c r="C360" s="15">
        <v>48295.845079661303</v>
      </c>
      <c r="K360" s="18">
        <v>2023</v>
      </c>
      <c r="L360" s="18">
        <v>11</v>
      </c>
      <c r="M360" s="18">
        <v>48570.749418558698</v>
      </c>
      <c r="T360" s="15">
        <v>2023</v>
      </c>
      <c r="U360" s="15">
        <v>11</v>
      </c>
      <c r="V360" s="15">
        <v>48827.177330561499</v>
      </c>
      <c r="X360" s="15">
        <v>2023</v>
      </c>
      <c r="Y360" s="15">
        <v>11</v>
      </c>
      <c r="Z360" s="15">
        <v>48913.336895859902</v>
      </c>
      <c r="AB360" s="15">
        <v>2023</v>
      </c>
      <c r="AC360" s="15">
        <v>11</v>
      </c>
      <c r="AD360" s="15">
        <v>48954.714977125201</v>
      </c>
      <c r="AF360" s="15">
        <v>2023</v>
      </c>
      <c r="AG360" s="15">
        <v>11</v>
      </c>
      <c r="AH360" s="15">
        <v>48906.3990385457</v>
      </c>
    </row>
    <row r="361" spans="1:34" x14ac:dyDescent="0.25">
      <c r="A361" s="15">
        <v>2023</v>
      </c>
      <c r="B361" s="15">
        <v>12</v>
      </c>
      <c r="C361" s="15">
        <v>44691.309690047499</v>
      </c>
      <c r="K361" s="18">
        <v>2023</v>
      </c>
      <c r="L361" s="18">
        <v>12</v>
      </c>
      <c r="M361" s="18">
        <v>45108.399306616098</v>
      </c>
      <c r="T361" s="15">
        <v>2023</v>
      </c>
      <c r="U361" s="15">
        <v>12</v>
      </c>
      <c r="V361" s="15">
        <v>45525.319779981299</v>
      </c>
      <c r="X361" s="15">
        <v>2023</v>
      </c>
      <c r="Y361" s="15">
        <v>12</v>
      </c>
      <c r="Z361" s="15">
        <v>45667.827347785802</v>
      </c>
      <c r="AB361" s="15">
        <v>2023</v>
      </c>
      <c r="AC361" s="15">
        <v>12</v>
      </c>
      <c r="AD361" s="15">
        <v>45743.146530706297</v>
      </c>
      <c r="AF361" s="15">
        <v>2023</v>
      </c>
      <c r="AG361" s="15">
        <v>12</v>
      </c>
      <c r="AH361" s="15">
        <v>45512.720288400902</v>
      </c>
    </row>
    <row r="362" spans="1:34" x14ac:dyDescent="0.25">
      <c r="A362" s="15">
        <v>2024</v>
      </c>
      <c r="B362" s="15">
        <v>1</v>
      </c>
      <c r="C362" s="15">
        <v>41758.205550893399</v>
      </c>
      <c r="K362" s="18">
        <v>2024</v>
      </c>
      <c r="L362" s="18">
        <v>1</v>
      </c>
      <c r="M362" s="18">
        <v>41100.394475315901</v>
      </c>
      <c r="T362" s="15">
        <v>2024</v>
      </c>
      <c r="U362" s="15">
        <v>1</v>
      </c>
      <c r="V362" s="15">
        <v>41119.712375331299</v>
      </c>
      <c r="X362" s="15">
        <v>2024</v>
      </c>
      <c r="Y362" s="15">
        <v>1</v>
      </c>
      <c r="Z362" s="15">
        <v>41258.763087969201</v>
      </c>
      <c r="AB362" s="15">
        <v>2024</v>
      </c>
      <c r="AC362" s="15">
        <v>1</v>
      </c>
      <c r="AD362" s="15">
        <v>41367.000575852202</v>
      </c>
      <c r="AF362" s="15">
        <v>2024</v>
      </c>
      <c r="AG362" s="15">
        <v>1</v>
      </c>
      <c r="AH362" s="15">
        <v>41022.654164447697</v>
      </c>
    </row>
    <row r="363" spans="1:34" x14ac:dyDescent="0.25">
      <c r="A363" s="15">
        <v>2024</v>
      </c>
      <c r="B363" s="15">
        <v>2</v>
      </c>
      <c r="C363" s="15">
        <v>41448.328524146898</v>
      </c>
      <c r="K363" s="18">
        <v>2024</v>
      </c>
      <c r="L363" s="18">
        <v>2</v>
      </c>
      <c r="M363" s="18">
        <v>41369.924881680701</v>
      </c>
      <c r="T363" s="15">
        <v>2024</v>
      </c>
      <c r="U363" s="15">
        <v>2</v>
      </c>
      <c r="V363" s="15">
        <v>43126.980967598101</v>
      </c>
      <c r="X363" s="15">
        <v>2024</v>
      </c>
      <c r="Y363" s="15">
        <v>2</v>
      </c>
      <c r="Z363" s="15">
        <v>43285.726216737799</v>
      </c>
      <c r="AB363" s="15">
        <v>2024</v>
      </c>
      <c r="AC363" s="15">
        <v>2</v>
      </c>
      <c r="AD363" s="15">
        <v>43445.936580477202</v>
      </c>
      <c r="AF363" s="15">
        <v>2024</v>
      </c>
      <c r="AG363" s="15">
        <v>2</v>
      </c>
      <c r="AH363" s="15">
        <v>42957.385212553803</v>
      </c>
    </row>
    <row r="364" spans="1:34" x14ac:dyDescent="0.25">
      <c r="A364" s="15">
        <v>2024</v>
      </c>
      <c r="B364" s="15">
        <v>3</v>
      </c>
      <c r="C364" s="15">
        <v>39946.159447694503</v>
      </c>
      <c r="K364" s="18">
        <v>2024</v>
      </c>
      <c r="L364" s="18">
        <v>3</v>
      </c>
      <c r="M364" s="18">
        <v>39944.799099104202</v>
      </c>
      <c r="T364" s="15">
        <v>2024</v>
      </c>
      <c r="U364" s="15">
        <v>3</v>
      </c>
      <c r="V364" s="15">
        <v>39735.553723021701</v>
      </c>
      <c r="X364" s="15">
        <v>2024</v>
      </c>
      <c r="Y364" s="15">
        <v>3</v>
      </c>
      <c r="Z364" s="15">
        <v>39639.750493209103</v>
      </c>
      <c r="AB364" s="15">
        <v>2024</v>
      </c>
      <c r="AC364" s="15">
        <v>3</v>
      </c>
      <c r="AD364" s="15">
        <v>39776.128837038203</v>
      </c>
      <c r="AF364" s="15">
        <v>2024</v>
      </c>
      <c r="AG364" s="15">
        <v>3</v>
      </c>
      <c r="AH364" s="15">
        <v>39289.839534621897</v>
      </c>
    </row>
    <row r="365" spans="1:34" x14ac:dyDescent="0.25">
      <c r="A365" s="15">
        <v>2024</v>
      </c>
      <c r="B365" s="15">
        <v>4</v>
      </c>
      <c r="C365" s="15">
        <v>41084.681156729202</v>
      </c>
      <c r="K365" s="18">
        <v>2024</v>
      </c>
      <c r="L365" s="18">
        <v>4</v>
      </c>
      <c r="M365" s="18">
        <v>41086.820147760198</v>
      </c>
      <c r="T365" s="15">
        <v>2024</v>
      </c>
      <c r="U365" s="15">
        <v>4</v>
      </c>
      <c r="V365" s="15">
        <v>41257.293120574497</v>
      </c>
      <c r="X365" s="15">
        <v>2024</v>
      </c>
      <c r="Y365" s="15">
        <v>4</v>
      </c>
      <c r="Z365" s="15">
        <v>40907.529772591501</v>
      </c>
      <c r="AB365" s="15">
        <v>2024</v>
      </c>
      <c r="AC365" s="15">
        <v>4</v>
      </c>
      <c r="AD365" s="15">
        <v>41240.361648597704</v>
      </c>
      <c r="AF365" s="15">
        <v>2024</v>
      </c>
      <c r="AG365" s="15">
        <v>4</v>
      </c>
      <c r="AH365" s="15">
        <v>40524.114869501798</v>
      </c>
    </row>
    <row r="366" spans="1:34" x14ac:dyDescent="0.25">
      <c r="A366" s="15">
        <v>2024</v>
      </c>
      <c r="B366" s="15">
        <v>5</v>
      </c>
      <c r="C366" s="15">
        <v>38132.107473736804</v>
      </c>
      <c r="K366" s="18">
        <v>2024</v>
      </c>
      <c r="L366" s="18">
        <v>5</v>
      </c>
      <c r="M366" s="18">
        <v>38098.323372547798</v>
      </c>
      <c r="T366" s="15">
        <v>2024</v>
      </c>
      <c r="U366" s="15">
        <v>5</v>
      </c>
      <c r="V366" s="15">
        <v>38021.5098507894</v>
      </c>
      <c r="X366" s="15">
        <v>2024</v>
      </c>
      <c r="Y366" s="15">
        <v>5</v>
      </c>
      <c r="Z366" s="15">
        <v>37871.891624322998</v>
      </c>
      <c r="AB366" s="15">
        <v>2024</v>
      </c>
      <c r="AC366" s="15">
        <v>5</v>
      </c>
      <c r="AD366" s="15">
        <v>37249.522051538603</v>
      </c>
      <c r="AF366" s="15">
        <v>2024</v>
      </c>
      <c r="AG366" s="15">
        <v>5</v>
      </c>
      <c r="AH366" s="15">
        <v>37851.872658909502</v>
      </c>
    </row>
    <row r="367" spans="1:34" x14ac:dyDescent="0.25">
      <c r="A367" s="15">
        <v>2024</v>
      </c>
      <c r="B367" s="15">
        <v>6</v>
      </c>
      <c r="C367" s="15">
        <v>34125.366841298201</v>
      </c>
      <c r="K367" s="18">
        <v>2024</v>
      </c>
      <c r="L367" s="18">
        <v>6</v>
      </c>
      <c r="M367" s="18">
        <v>34092.430146662002</v>
      </c>
      <c r="T367" s="15">
        <v>2024</v>
      </c>
      <c r="U367" s="15">
        <v>6</v>
      </c>
      <c r="V367" s="15">
        <v>33781.150544705299</v>
      </c>
      <c r="X367" s="15">
        <v>2024</v>
      </c>
      <c r="Y367" s="15">
        <v>6</v>
      </c>
      <c r="Z367" s="15">
        <v>33766.7108580602</v>
      </c>
      <c r="AB367" s="15">
        <v>2024</v>
      </c>
      <c r="AC367" s="15">
        <v>6</v>
      </c>
      <c r="AD367" s="15">
        <v>33582.126744346097</v>
      </c>
      <c r="AF367" s="15">
        <v>2024</v>
      </c>
      <c r="AG367" s="15">
        <v>6</v>
      </c>
      <c r="AH367" s="15">
        <v>33266.3925647672</v>
      </c>
    </row>
    <row r="368" spans="1:34" x14ac:dyDescent="0.25">
      <c r="A368" s="15">
        <v>2024</v>
      </c>
      <c r="B368" s="15">
        <v>7</v>
      </c>
      <c r="C368" s="15">
        <v>43538.4555917404</v>
      </c>
      <c r="K368" s="18">
        <v>2024</v>
      </c>
      <c r="L368" s="18">
        <v>7</v>
      </c>
      <c r="M368" s="18">
        <v>43457.008064618203</v>
      </c>
      <c r="T368" s="15">
        <v>2024</v>
      </c>
      <c r="U368" s="15">
        <v>7</v>
      </c>
      <c r="V368" s="15">
        <v>43607.577288660403</v>
      </c>
      <c r="X368" s="15">
        <v>2024</v>
      </c>
      <c r="Y368" s="15">
        <v>7</v>
      </c>
      <c r="Z368" s="15">
        <v>43568.082620476598</v>
      </c>
      <c r="AB368" s="15">
        <v>2024</v>
      </c>
      <c r="AC368" s="15">
        <v>7</v>
      </c>
      <c r="AD368" s="15">
        <v>43488.708821198699</v>
      </c>
      <c r="AF368" s="15">
        <v>2024</v>
      </c>
      <c r="AG368" s="15">
        <v>7</v>
      </c>
      <c r="AH368" s="15">
        <v>44847.617387516002</v>
      </c>
    </row>
    <row r="369" spans="1:34" x14ac:dyDescent="0.25">
      <c r="A369" s="15">
        <v>2024</v>
      </c>
      <c r="B369" s="15">
        <v>8</v>
      </c>
      <c r="C369" s="15">
        <v>44040.115293325398</v>
      </c>
      <c r="K369" s="18">
        <v>2024</v>
      </c>
      <c r="L369" s="18">
        <v>8</v>
      </c>
      <c r="M369" s="18">
        <v>43998.784480984199</v>
      </c>
      <c r="T369" s="15">
        <v>2024</v>
      </c>
      <c r="U369" s="15">
        <v>8</v>
      </c>
      <c r="V369" s="15">
        <v>44214.509356953298</v>
      </c>
      <c r="X369" s="15">
        <v>2024</v>
      </c>
      <c r="Y369" s="15">
        <v>8</v>
      </c>
      <c r="Z369" s="15">
        <v>44225.846777525403</v>
      </c>
      <c r="AB369" s="15">
        <v>2024</v>
      </c>
      <c r="AC369" s="15">
        <v>8</v>
      </c>
      <c r="AD369" s="15">
        <v>44197.689840980202</v>
      </c>
      <c r="AF369" s="15">
        <v>2024</v>
      </c>
      <c r="AG369" s="15">
        <v>8</v>
      </c>
      <c r="AH369" s="15">
        <v>44757.4479213839</v>
      </c>
    </row>
    <row r="370" spans="1:34" x14ac:dyDescent="0.25">
      <c r="A370" s="15">
        <v>2024</v>
      </c>
      <c r="B370" s="15">
        <v>9</v>
      </c>
      <c r="C370" s="15">
        <v>44019.230036288398</v>
      </c>
      <c r="K370" s="18">
        <v>2024</v>
      </c>
      <c r="L370" s="18">
        <v>9</v>
      </c>
      <c r="M370" s="18">
        <v>44054.3012466238</v>
      </c>
      <c r="T370" s="15">
        <v>2024</v>
      </c>
      <c r="U370" s="15">
        <v>9</v>
      </c>
      <c r="V370" s="15">
        <v>44233.748401484103</v>
      </c>
      <c r="X370" s="15">
        <v>2024</v>
      </c>
      <c r="Y370" s="15">
        <v>9</v>
      </c>
      <c r="Z370" s="15">
        <v>44267.272397301102</v>
      </c>
      <c r="AB370" s="15">
        <v>2024</v>
      </c>
      <c r="AC370" s="15">
        <v>9</v>
      </c>
      <c r="AD370" s="15">
        <v>44266.879282541202</v>
      </c>
      <c r="AF370" s="15">
        <v>2024</v>
      </c>
      <c r="AG370" s="15">
        <v>9</v>
      </c>
      <c r="AH370" s="15">
        <v>44512.5717873057</v>
      </c>
    </row>
    <row r="371" spans="1:34" x14ac:dyDescent="0.25">
      <c r="A371" s="15">
        <v>2024</v>
      </c>
      <c r="B371" s="15">
        <v>10</v>
      </c>
      <c r="C371" s="15">
        <v>45477.688677522499</v>
      </c>
      <c r="K371" s="18">
        <v>2024</v>
      </c>
      <c r="L371" s="18">
        <v>10</v>
      </c>
      <c r="M371" s="18">
        <v>45658.451713706701</v>
      </c>
      <c r="T371" s="15">
        <v>2024</v>
      </c>
      <c r="U371" s="15">
        <v>10</v>
      </c>
      <c r="V371" s="15">
        <v>45804.665726823398</v>
      </c>
      <c r="X371" s="15">
        <v>2024</v>
      </c>
      <c r="Y371" s="15">
        <v>10</v>
      </c>
      <c r="Z371" s="15">
        <v>45855.529163301297</v>
      </c>
      <c r="AB371" s="15">
        <v>2024</v>
      </c>
      <c r="AC371" s="15">
        <v>10</v>
      </c>
      <c r="AD371" s="15">
        <v>45881.635412400901</v>
      </c>
      <c r="AF371" s="15">
        <v>2024</v>
      </c>
      <c r="AG371" s="15">
        <v>10</v>
      </c>
      <c r="AH371" s="15">
        <v>45965.358021031599</v>
      </c>
    </row>
    <row r="372" spans="1:34" x14ac:dyDescent="0.25">
      <c r="A372" s="15">
        <v>2024</v>
      </c>
      <c r="B372" s="15">
        <v>11</v>
      </c>
      <c r="C372" s="15">
        <v>46533.180527947603</v>
      </c>
      <c r="K372" s="18">
        <v>2024</v>
      </c>
      <c r="L372" s="18">
        <v>11</v>
      </c>
      <c r="M372" s="18">
        <v>46930.1440046438</v>
      </c>
      <c r="T372" s="15">
        <v>2024</v>
      </c>
      <c r="U372" s="15">
        <v>11</v>
      </c>
      <c r="V372" s="15">
        <v>47217.678505739401</v>
      </c>
      <c r="X372" s="15">
        <v>2024</v>
      </c>
      <c r="Y372" s="15">
        <v>11</v>
      </c>
      <c r="Z372" s="15">
        <v>47314.737813236497</v>
      </c>
      <c r="AB372" s="15">
        <v>2024</v>
      </c>
      <c r="AC372" s="15">
        <v>11</v>
      </c>
      <c r="AD372" s="15">
        <v>47362.440818855801</v>
      </c>
      <c r="AF372" s="15">
        <v>2024</v>
      </c>
      <c r="AG372" s="15">
        <v>11</v>
      </c>
      <c r="AH372" s="15">
        <v>47243.6287313141</v>
      </c>
    </row>
    <row r="373" spans="1:34" x14ac:dyDescent="0.25">
      <c r="A373" s="15">
        <v>2024</v>
      </c>
      <c r="B373" s="15">
        <v>12</v>
      </c>
      <c r="C373" s="15">
        <v>44801.675738547798</v>
      </c>
      <c r="K373" s="18">
        <v>2024</v>
      </c>
      <c r="L373" s="18">
        <v>12</v>
      </c>
      <c r="M373" s="18">
        <v>45405.624438990999</v>
      </c>
      <c r="T373" s="15">
        <v>2024</v>
      </c>
      <c r="U373" s="15">
        <v>12</v>
      </c>
      <c r="V373" s="15">
        <v>45497.012004532298</v>
      </c>
      <c r="X373" s="15">
        <v>2024</v>
      </c>
      <c r="Y373" s="15">
        <v>12</v>
      </c>
      <c r="Z373" s="15">
        <v>45623.071014073401</v>
      </c>
      <c r="AB373" s="15">
        <v>2024</v>
      </c>
      <c r="AC373" s="15">
        <v>12</v>
      </c>
      <c r="AD373" s="15">
        <v>45703.737268429599</v>
      </c>
      <c r="AF373" s="15">
        <v>2024</v>
      </c>
      <c r="AG373" s="15">
        <v>12</v>
      </c>
      <c r="AH373" s="15">
        <v>45435.137675745202</v>
      </c>
    </row>
    <row r="374" spans="1:34" x14ac:dyDescent="0.25">
      <c r="K374" s="18">
        <v>2025</v>
      </c>
      <c r="L374" s="18">
        <v>1</v>
      </c>
      <c r="M374" s="18">
        <v>48238.1996987803</v>
      </c>
      <c r="T374" s="15">
        <v>2025</v>
      </c>
      <c r="U374" s="15">
        <v>1</v>
      </c>
      <c r="V374" s="15">
        <v>48217.715496925797</v>
      </c>
      <c r="X374" s="15">
        <v>2025</v>
      </c>
      <c r="Y374" s="15">
        <v>1</v>
      </c>
      <c r="Z374" s="15">
        <v>48362.263247151299</v>
      </c>
      <c r="AB374" s="15">
        <v>2025</v>
      </c>
      <c r="AC374" s="15">
        <v>1</v>
      </c>
      <c r="AD374" s="15">
        <v>48481.312628207401</v>
      </c>
      <c r="AF374" s="15">
        <v>2025</v>
      </c>
      <c r="AG374" s="15">
        <v>1</v>
      </c>
      <c r="AH374" s="15">
        <v>48075.564120645999</v>
      </c>
    </row>
    <row r="375" spans="1:34" x14ac:dyDescent="0.25">
      <c r="T375" s="15">
        <v>2025</v>
      </c>
      <c r="U375" s="15">
        <v>2</v>
      </c>
      <c r="V375" s="15">
        <v>46146.678341872903</v>
      </c>
      <c r="X375" s="15">
        <v>2025</v>
      </c>
      <c r="Y375" s="15">
        <v>2</v>
      </c>
      <c r="Z375" s="15">
        <v>46333.3422028899</v>
      </c>
      <c r="AB375" s="15">
        <v>2025</v>
      </c>
      <c r="AC375" s="15">
        <v>2</v>
      </c>
      <c r="AD375" s="15">
        <v>46530.0741015397</v>
      </c>
      <c r="AF375" s="15">
        <v>2025</v>
      </c>
      <c r="AG375" s="15">
        <v>2</v>
      </c>
      <c r="AH375" s="15">
        <v>45964.314536139798</v>
      </c>
    </row>
    <row r="376" spans="1:34" x14ac:dyDescent="0.25">
      <c r="T376" s="15">
        <v>2025</v>
      </c>
      <c r="U376" s="15">
        <v>3</v>
      </c>
      <c r="V376" s="15">
        <v>38522.848938722702</v>
      </c>
      <c r="X376" s="15">
        <v>2025</v>
      </c>
      <c r="Y376" s="15">
        <v>3</v>
      </c>
      <c r="Z376" s="15">
        <v>38392.621921213104</v>
      </c>
      <c r="AB376" s="15">
        <v>2025</v>
      </c>
      <c r="AC376" s="15">
        <v>3</v>
      </c>
      <c r="AD376" s="15">
        <v>38590.619628893</v>
      </c>
      <c r="AF376" s="15">
        <v>2025</v>
      </c>
      <c r="AG376" s="15">
        <v>3</v>
      </c>
      <c r="AH376" s="15">
        <v>38046.833385649799</v>
      </c>
    </row>
    <row r="377" spans="1:34" x14ac:dyDescent="0.25">
      <c r="X377" s="15">
        <v>2025</v>
      </c>
      <c r="Y377" s="15">
        <v>4</v>
      </c>
      <c r="Z377" s="15">
        <v>43373.653565734603</v>
      </c>
      <c r="AB377" s="15">
        <v>2025</v>
      </c>
      <c r="AC377" s="15">
        <v>4</v>
      </c>
      <c r="AD377" s="15">
        <v>43827.619179214802</v>
      </c>
      <c r="AF377" s="15">
        <v>2025</v>
      </c>
      <c r="AG377" s="15">
        <v>4</v>
      </c>
      <c r="AH377" s="15">
        <v>43023.3004089108</v>
      </c>
    </row>
    <row r="378" spans="1:34" x14ac:dyDescent="0.25">
      <c r="AB378" s="15">
        <v>2025</v>
      </c>
      <c r="AC378" s="15">
        <v>5</v>
      </c>
      <c r="AD378" s="15">
        <v>48446.824158970601</v>
      </c>
      <c r="AF378" s="15">
        <v>2025</v>
      </c>
      <c r="AG378" s="15">
        <v>5</v>
      </c>
      <c r="AH378" s="15">
        <v>49138.565943192501</v>
      </c>
    </row>
    <row r="379" spans="1:34" x14ac:dyDescent="0.25">
      <c r="AF379" s="15">
        <v>2025</v>
      </c>
      <c r="AG379" s="15">
        <v>6</v>
      </c>
      <c r="AH379" s="15">
        <v>42786.2326755986</v>
      </c>
    </row>
    <row r="380" spans="1:34" x14ac:dyDescent="0.25">
      <c r="AF380" s="15">
        <v>2025</v>
      </c>
      <c r="AG380" s="15">
        <v>7</v>
      </c>
      <c r="AH380" s="15">
        <v>37366.436335583101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Gráficos</vt:lpstr>
      </vt:variant>
      <vt:variant>
        <vt:i4>3</vt:i4>
      </vt:variant>
    </vt:vector>
  </HeadingPairs>
  <TitlesOfParts>
    <vt:vector size="15" baseType="lpstr">
      <vt:lpstr>Hoja1</vt:lpstr>
      <vt:lpstr>Hoja12</vt:lpstr>
      <vt:lpstr>Hoja11</vt:lpstr>
      <vt:lpstr>Hoja10</vt:lpstr>
      <vt:lpstr>Hoja9</vt:lpstr>
      <vt:lpstr>Hoja8</vt:lpstr>
      <vt:lpstr>Hoja6</vt:lpstr>
      <vt:lpstr>Hoja5</vt:lpstr>
      <vt:lpstr>Hoja4</vt:lpstr>
      <vt:lpstr>Hoja3</vt:lpstr>
      <vt:lpstr>Hoja2</vt:lpstr>
      <vt:lpstr>Hoja7</vt:lpstr>
      <vt:lpstr>Gráfico1 (3)</vt:lpstr>
      <vt:lpstr>Gráfico1 (2)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cp:lastPrinted>2021-08-05T21:54:03Z</cp:lastPrinted>
  <dcterms:created xsi:type="dcterms:W3CDTF">2019-02-17T20:59:05Z</dcterms:created>
  <dcterms:modified xsi:type="dcterms:W3CDTF">2026-05-20T18:54:59Z</dcterms:modified>
</cp:coreProperties>
</file>