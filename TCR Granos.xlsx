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/dev/downloader/"/>
    </mc:Choice>
  </mc:AlternateContent>
  <xr:revisionPtr revIDLastSave="0" documentId="8_{A024B46A-CD22-6A4B-97FF-6A1924DB7F93}" xr6:coauthVersionLast="47" xr6:coauthVersionMax="47" xr10:uidLastSave="{00000000-0000-0000-0000-000000000000}"/>
  <bookViews>
    <workbookView xWindow="42160" yWindow="-14820" windowWidth="50800" windowHeight="26860" activeTab="3" xr2:uid="{00000000-000D-0000-FFFF-FFFF00000000}"/>
  </bookViews>
  <sheets>
    <sheet name="GRAFICO 4 granos" sheetId="22" r:id="rId1"/>
    <sheet name="GRAFICO TRIGO (2)" sheetId="21" r:id="rId2"/>
    <sheet name="GRAFICO SOJA (2)" sheetId="19" r:id="rId3"/>
    <sheet name="4 GRANOS" sheetId="15" r:id="rId4"/>
    <sheet name="SOJA" sheetId="1" r:id="rId5"/>
    <sheet name="TRIGO" sheetId="2" r:id="rId6"/>
    <sheet name="MAIZ" sheetId="9" r:id="rId7"/>
    <sheet name="GIRASOL" sheetId="11" r:id="rId8"/>
  </sheets>
  <externalReferences>
    <externalReference r:id="rId9"/>
    <externalReference r:id="rId10"/>
  </externalReferences>
  <definedNames>
    <definedName name="_COM01">#REF!</definedName>
    <definedName name="_COM02">#REF!</definedName>
    <definedName name="_COM03">#REF!</definedName>
    <definedName name="_COM04">#REF!</definedName>
    <definedName name="_COM05">#REF!</definedName>
    <definedName name="_COM06">#REF!</definedName>
    <definedName name="_COM07">#REF!</definedName>
    <definedName name="_COM08">#REF!</definedName>
    <definedName name="_COM09">#REF!</definedName>
    <definedName name="_COM10">#REF!</definedName>
    <definedName name="_COM11">#REF!</definedName>
    <definedName name="_COM12">#REF!</definedName>
    <definedName name="_Key1" hidden="1">#REF!</definedName>
    <definedName name="_Order1" hidden="1">255</definedName>
    <definedName name="_Sort" hidden="1">#REF!</definedName>
    <definedName name="\0">#REF!</definedName>
    <definedName name="AGREG">#REF!</definedName>
    <definedName name="_xlnm.Extract">#REF!</definedName>
    <definedName name="BLANCO">#REF!</definedName>
    <definedName name="COM00">#REF!</definedName>
    <definedName name="COM04B">#REF!</definedName>
    <definedName name="COM08B">#REF!</definedName>
    <definedName name="COM12B">#REF!</definedName>
    <definedName name="COMOBS">#REF!</definedName>
    <definedName name="CORRE1">#REF!</definedName>
    <definedName name="CORRE12">#REF!</definedName>
    <definedName name="CORRE13">#REF!</definedName>
    <definedName name="CORRE14">#REF!</definedName>
    <definedName name="CORRE15">#REF!</definedName>
    <definedName name="CORRE2">#REF!</definedName>
    <definedName name="CORRE3">#REF!</definedName>
    <definedName name="CORRE4">#REF!</definedName>
    <definedName name="CORRE5">#REF!</definedName>
    <definedName name="CORRE6">#REF!</definedName>
    <definedName name="CORRE7">#REF!</definedName>
    <definedName name="CRIDES">#REF!</definedName>
    <definedName name="CRIHAS">#REF!</definedName>
    <definedName name="CRILIMP">#REF!</definedName>
    <definedName name="CRILIMP2">#REF!</definedName>
    <definedName name="_xlnm.Criteria">#REF!</definedName>
    <definedName name="FERIA">#REF!</definedName>
    <definedName name="FIN">#REF!</definedName>
    <definedName name="FORDESPLDIA">#REF!</definedName>
    <definedName name="FORMULA1">#REF!</definedName>
    <definedName name="FORMULA2">#REF!</definedName>
    <definedName name="FORMULA3">#REF!</definedName>
    <definedName name="IND">#REF!</definedName>
    <definedName name="INDDES">#REF!</definedName>
    <definedName name="INDHAS">#REF!</definedName>
    <definedName name="INI">#REF!</definedName>
    <definedName name="LIMP">#REF!</definedName>
    <definedName name="PON_FEC_TOT">#REF!</definedName>
    <definedName name="PON_RAN1_PRIV">#REF!</definedName>
    <definedName name="PON_RAN1_PUB">#REF!</definedName>
    <definedName name="PON_RAN1_TOT">#REF!</definedName>
    <definedName name="PON_REP">#REF!</definedName>
    <definedName name="PUB_DAT_PRI_EXT">#REF!</definedName>
    <definedName name="PUB_DAT_PRI_NAC">#REF!</definedName>
    <definedName name="PUB_DAT_PUB_EXT">#REF!</definedName>
    <definedName name="PUB_DAT_PUB_NAC">#REF!</definedName>
    <definedName name="PUB_DAT_TOT_EXT">#REF!</definedName>
    <definedName name="PUB_DAT_TOT_NAC">#REF!</definedName>
    <definedName name="PUB_FEC_EXT">#REF!</definedName>
    <definedName name="PUB_FEC_NAC">#REF!</definedName>
    <definedName name="PUB_REP">#REF!</definedName>
    <definedName name="RANOBS">#REF!</definedName>
    <definedName name="SUBRAY">#REF!</definedName>
    <definedName name="SUBRAY1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59" i="15" l="1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E355" i="11"/>
  <c r="E363" i="11"/>
  <c r="E367" i="11"/>
  <c r="E371" i="11"/>
  <c r="E375" i="11"/>
  <c r="E410" i="15"/>
  <c r="E411" i="15"/>
  <c r="D348" i="9"/>
  <c r="D348" i="11" s="1"/>
  <c r="E348" i="9"/>
  <c r="E348" i="11" s="1"/>
  <c r="D349" i="9"/>
  <c r="D349" i="11" s="1"/>
  <c r="E349" i="9"/>
  <c r="E349" i="11" s="1"/>
  <c r="D350" i="9"/>
  <c r="D350" i="11" s="1"/>
  <c r="E350" i="9"/>
  <c r="E350" i="11" s="1"/>
  <c r="D351" i="9"/>
  <c r="D351" i="11" s="1"/>
  <c r="E351" i="9"/>
  <c r="E351" i="11" s="1"/>
  <c r="D352" i="9"/>
  <c r="D352" i="11" s="1"/>
  <c r="E352" i="9"/>
  <c r="E352" i="11" s="1"/>
  <c r="D353" i="9"/>
  <c r="D353" i="11" s="1"/>
  <c r="E353" i="9"/>
  <c r="E353" i="11" s="1"/>
  <c r="D354" i="9"/>
  <c r="D354" i="11" s="1"/>
  <c r="E354" i="9"/>
  <c r="E354" i="11" s="1"/>
  <c r="D355" i="9"/>
  <c r="D355" i="11" s="1"/>
  <c r="E355" i="9"/>
  <c r="D356" i="9"/>
  <c r="D356" i="11" s="1"/>
  <c r="E356" i="9"/>
  <c r="E356" i="11" s="1"/>
  <c r="D357" i="9"/>
  <c r="D357" i="11" s="1"/>
  <c r="E357" i="9"/>
  <c r="E357" i="11" s="1"/>
  <c r="D358" i="9"/>
  <c r="D358" i="11" s="1"/>
  <c r="E358" i="9"/>
  <c r="E358" i="11" s="1"/>
  <c r="D359" i="9"/>
  <c r="D359" i="11" s="1"/>
  <c r="E359" i="9"/>
  <c r="E359" i="11" s="1"/>
  <c r="D360" i="9"/>
  <c r="D360" i="11" s="1"/>
  <c r="E360" i="9"/>
  <c r="E360" i="11" s="1"/>
  <c r="D361" i="9"/>
  <c r="D361" i="11" s="1"/>
  <c r="E361" i="9"/>
  <c r="E361" i="11" s="1"/>
  <c r="D362" i="9"/>
  <c r="D362" i="11" s="1"/>
  <c r="E362" i="9"/>
  <c r="E362" i="11" s="1"/>
  <c r="D363" i="9"/>
  <c r="D363" i="11" s="1"/>
  <c r="E363" i="9"/>
  <c r="D364" i="9"/>
  <c r="D364" i="11" s="1"/>
  <c r="E364" i="9"/>
  <c r="E364" i="11" s="1"/>
  <c r="D365" i="9"/>
  <c r="D365" i="11" s="1"/>
  <c r="E365" i="9"/>
  <c r="E365" i="11" s="1"/>
  <c r="D366" i="9"/>
  <c r="D366" i="11" s="1"/>
  <c r="E366" i="9"/>
  <c r="E366" i="11" s="1"/>
  <c r="D367" i="9"/>
  <c r="D367" i="11" s="1"/>
  <c r="E367" i="9"/>
  <c r="D368" i="9"/>
  <c r="D368" i="11" s="1"/>
  <c r="E368" i="9"/>
  <c r="E368" i="11" s="1"/>
  <c r="D369" i="9"/>
  <c r="D369" i="11" s="1"/>
  <c r="E369" i="9"/>
  <c r="E369" i="11" s="1"/>
  <c r="D370" i="9"/>
  <c r="D370" i="11" s="1"/>
  <c r="E370" i="9"/>
  <c r="E370" i="11" s="1"/>
  <c r="D371" i="9"/>
  <c r="D371" i="11" s="1"/>
  <c r="E371" i="9"/>
  <c r="D372" i="9"/>
  <c r="D372" i="11" s="1"/>
  <c r="E372" i="9"/>
  <c r="E372" i="11" s="1"/>
  <c r="D373" i="9"/>
  <c r="D373" i="11" s="1"/>
  <c r="E373" i="9"/>
  <c r="E373" i="11" s="1"/>
  <c r="D374" i="9"/>
  <c r="D374" i="11" s="1"/>
  <c r="E374" i="9"/>
  <c r="E374" i="11" s="1"/>
  <c r="D375" i="9"/>
  <c r="D375" i="11" s="1"/>
  <c r="E375" i="9"/>
  <c r="D376" i="9"/>
  <c r="D376" i="11" s="1"/>
  <c r="E376" i="9"/>
  <c r="E376" i="11" s="1"/>
  <c r="D377" i="9"/>
  <c r="D377" i="11" s="1"/>
  <c r="E377" i="9"/>
  <c r="E377" i="11" s="1"/>
  <c r="D378" i="9"/>
  <c r="D378" i="11" s="1"/>
  <c r="E378" i="9"/>
  <c r="E378" i="11" s="1"/>
  <c r="D379" i="9"/>
  <c r="D379" i="11" s="1"/>
  <c r="E379" i="9"/>
  <c r="E379" i="11" s="1"/>
  <c r="D380" i="9"/>
  <c r="D380" i="11" s="1"/>
  <c r="E380" i="9"/>
  <c r="E380" i="11" s="1"/>
  <c r="D381" i="9"/>
  <c r="D381" i="11" s="1"/>
  <c r="E381" i="9"/>
  <c r="E381" i="11" s="1"/>
  <c r="D382" i="9"/>
  <c r="D382" i="11" s="1"/>
  <c r="E382" i="9"/>
  <c r="E382" i="11" s="1"/>
  <c r="D383" i="9"/>
  <c r="D383" i="11" s="1"/>
  <c r="E383" i="9"/>
  <c r="E383" i="11" s="1"/>
  <c r="D384" i="9"/>
  <c r="D384" i="11" s="1"/>
  <c r="E384" i="9"/>
  <c r="E384" i="11" s="1"/>
  <c r="D385" i="9"/>
  <c r="D385" i="11" s="1"/>
  <c r="E385" i="9"/>
  <c r="E385" i="11" s="1"/>
  <c r="D386" i="9"/>
  <c r="D386" i="11" s="1"/>
  <c r="E386" i="9"/>
  <c r="E386" i="11" s="1"/>
  <c r="D387" i="9"/>
  <c r="D387" i="11" s="1"/>
  <c r="E387" i="9"/>
  <c r="E387" i="11" s="1"/>
  <c r="D388" i="9"/>
  <c r="D388" i="11" s="1"/>
  <c r="E388" i="9"/>
  <c r="E388" i="11" s="1"/>
  <c r="D389" i="9"/>
  <c r="D389" i="11" s="1"/>
  <c r="E389" i="9"/>
  <c r="E389" i="11" s="1"/>
  <c r="D390" i="9"/>
  <c r="D390" i="11" s="1"/>
  <c r="E390" i="9"/>
  <c r="E390" i="11" s="1"/>
  <c r="D391" i="9"/>
  <c r="D391" i="11" s="1"/>
  <c r="E391" i="9"/>
  <c r="E391" i="11" s="1"/>
  <c r="D392" i="9"/>
  <c r="D392" i="11" s="1"/>
  <c r="E392" i="9"/>
  <c r="E392" i="11" s="1"/>
  <c r="D393" i="9"/>
  <c r="D393" i="11" s="1"/>
  <c r="E393" i="9"/>
  <c r="E393" i="11" s="1"/>
  <c r="D394" i="9"/>
  <c r="D394" i="11" s="1"/>
  <c r="E394" i="9"/>
  <c r="E394" i="11" s="1"/>
  <c r="D395" i="9"/>
  <c r="D395" i="11" s="1"/>
  <c r="E395" i="9"/>
  <c r="E395" i="11" s="1"/>
  <c r="D396" i="9"/>
  <c r="D396" i="11" s="1"/>
  <c r="E396" i="9"/>
  <c r="E396" i="11" s="1"/>
  <c r="D397" i="9"/>
  <c r="D397" i="11" s="1"/>
  <c r="E397" i="9"/>
  <c r="E397" i="11" s="1"/>
  <c r="D398" i="9"/>
  <c r="D398" i="11" s="1"/>
  <c r="E398" i="9"/>
  <c r="E398" i="11" s="1"/>
  <c r="D399" i="9"/>
  <c r="D399" i="11" s="1"/>
  <c r="E399" i="9"/>
  <c r="E399" i="11" s="1"/>
  <c r="D400" i="9"/>
  <c r="D400" i="11" s="1"/>
  <c r="E400" i="9"/>
  <c r="E400" i="11" s="1"/>
  <c r="D401" i="9"/>
  <c r="D401" i="11" s="1"/>
  <c r="E401" i="9"/>
  <c r="E401" i="11" s="1"/>
  <c r="D402" i="9"/>
  <c r="D402" i="11" s="1"/>
  <c r="E402" i="9"/>
  <c r="E402" i="11" s="1"/>
  <c r="D403" i="9"/>
  <c r="D403" i="11" s="1"/>
  <c r="E403" i="9"/>
  <c r="E403" i="11" s="1"/>
  <c r="D404" i="9"/>
  <c r="D404" i="11" s="1"/>
  <c r="E404" i="9"/>
  <c r="E404" i="11" s="1"/>
  <c r="D405" i="9"/>
  <c r="D405" i="11" s="1"/>
  <c r="E405" i="9"/>
  <c r="E405" i="11" s="1"/>
  <c r="D406" i="9"/>
  <c r="D406" i="11" s="1"/>
  <c r="E406" i="9"/>
  <c r="E406" i="11" s="1"/>
  <c r="D407" i="9"/>
  <c r="E407" i="9"/>
  <c r="D408" i="9"/>
  <c r="E408" i="9"/>
  <c r="D409" i="9"/>
  <c r="E409" i="9"/>
  <c r="D379" i="2"/>
  <c r="E379" i="2"/>
  <c r="D380" i="2"/>
  <c r="E380" i="2"/>
  <c r="D381" i="2"/>
  <c r="E381" i="2"/>
  <c r="D382" i="2"/>
  <c r="E382" i="2"/>
  <c r="D383" i="2"/>
  <c r="E383" i="2"/>
  <c r="D384" i="2"/>
  <c r="E384" i="2"/>
  <c r="D385" i="2"/>
  <c r="E385" i="2"/>
  <c r="D386" i="2"/>
  <c r="E386" i="2"/>
  <c r="D387" i="2"/>
  <c r="E387" i="2"/>
  <c r="D388" i="2"/>
  <c r="E388" i="2"/>
  <c r="D389" i="2"/>
  <c r="E389" i="2"/>
  <c r="D390" i="2"/>
  <c r="E390" i="2"/>
  <c r="D391" i="2"/>
  <c r="E391" i="2"/>
  <c r="D392" i="2"/>
  <c r="E392" i="2"/>
  <c r="D393" i="2"/>
  <c r="E393" i="2"/>
  <c r="D394" i="2"/>
  <c r="E394" i="2"/>
  <c r="D395" i="2"/>
  <c r="E395" i="2"/>
  <c r="D396" i="2"/>
  <c r="E396" i="2"/>
  <c r="D397" i="2"/>
  <c r="E397" i="2"/>
  <c r="D398" i="2"/>
  <c r="E398" i="2"/>
  <c r="D399" i="2"/>
  <c r="E399" i="2"/>
  <c r="D400" i="2"/>
  <c r="E400" i="2"/>
  <c r="D401" i="2"/>
  <c r="E401" i="2"/>
  <c r="D402" i="2"/>
  <c r="E402" i="2"/>
  <c r="D403" i="2"/>
  <c r="E403" i="2"/>
  <c r="D404" i="2"/>
  <c r="E404" i="2"/>
  <c r="D405" i="2"/>
  <c r="E405" i="2"/>
  <c r="D406" i="2"/>
  <c r="E406" i="2"/>
  <c r="C409" i="15"/>
  <c r="D409" i="15"/>
  <c r="C410" i="15"/>
  <c r="D410" i="15"/>
  <c r="C411" i="15"/>
  <c r="D411" i="15"/>
  <c r="E403" i="1"/>
  <c r="E404" i="1"/>
  <c r="E405" i="1"/>
  <c r="E40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E409" i="15" l="1"/>
  <c r="G405" i="1"/>
  <c r="H405" i="1" s="1"/>
  <c r="K405" i="1" s="1"/>
  <c r="C407" i="15" s="1"/>
  <c r="G5" i="1"/>
  <c r="G396" i="1"/>
  <c r="H396" i="1" s="1"/>
  <c r="K396" i="1" s="1"/>
  <c r="C398" i="15" s="1"/>
  <c r="G26" i="1"/>
  <c r="G403" i="1"/>
  <c r="H403" i="1" s="1"/>
  <c r="K403" i="1" s="1"/>
  <c r="C405" i="15" s="1"/>
  <c r="G2" i="1"/>
  <c r="H2" i="1" s="1"/>
  <c r="F2" i="1"/>
  <c r="G406" i="1"/>
  <c r="H406" i="1" s="1"/>
  <c r="K406" i="1" s="1"/>
  <c r="C408" i="15" s="1"/>
  <c r="F406" i="1"/>
  <c r="J406" i="1" s="1"/>
  <c r="F405" i="1"/>
  <c r="J405" i="1" s="1"/>
  <c r="F404" i="1"/>
  <c r="J404" i="1" s="1"/>
  <c r="G404" i="1"/>
  <c r="H404" i="1" s="1"/>
  <c r="K404" i="1" s="1"/>
  <c r="C406" i="15" s="1"/>
  <c r="F401" i="1"/>
  <c r="J401" i="1" s="1"/>
  <c r="G397" i="1"/>
  <c r="H397" i="1" s="1"/>
  <c r="K397" i="1" s="1"/>
  <c r="C399" i="15" s="1"/>
  <c r="F397" i="1"/>
  <c r="J397" i="1" s="1"/>
  <c r="F396" i="1"/>
  <c r="J396" i="1" s="1"/>
  <c r="G395" i="1"/>
  <c r="H395" i="1" s="1"/>
  <c r="K395" i="1" s="1"/>
  <c r="C397" i="15" s="1"/>
  <c r="F395" i="1"/>
  <c r="J395" i="1" s="1"/>
  <c r="G401" i="1"/>
  <c r="H401" i="1" s="1"/>
  <c r="K401" i="1" s="1"/>
  <c r="C403" i="15" s="1"/>
  <c r="G400" i="1"/>
  <c r="H400" i="1" s="1"/>
  <c r="K400" i="1" s="1"/>
  <c r="C402" i="15" s="1"/>
  <c r="F400" i="1"/>
  <c r="J400" i="1" s="1"/>
  <c r="G399" i="1"/>
  <c r="H399" i="1" s="1"/>
  <c r="K399" i="1" s="1"/>
  <c r="C401" i="15" s="1"/>
  <c r="F399" i="1"/>
  <c r="J399" i="1" s="1"/>
  <c r="G398" i="1"/>
  <c r="H398" i="1" s="1"/>
  <c r="K398" i="1" s="1"/>
  <c r="C400" i="15" s="1"/>
  <c r="F402" i="1"/>
  <c r="J402" i="1" s="1"/>
  <c r="F398" i="1"/>
  <c r="J398" i="1" s="1"/>
  <c r="F403" i="1"/>
  <c r="J403" i="1" s="1"/>
  <c r="G402" i="1"/>
  <c r="H402" i="1" s="1"/>
  <c r="K402" i="1" s="1"/>
  <c r="C404" i="15" s="1"/>
  <c r="G376" i="1" l="1"/>
  <c r="G377" i="1"/>
  <c r="G375" i="1"/>
  <c r="G380" i="1"/>
  <c r="H380" i="1" s="1"/>
  <c r="K380" i="1" s="1"/>
  <c r="C382" i="15" s="1"/>
  <c r="G379" i="1"/>
  <c r="H379" i="1" s="1"/>
  <c r="K379" i="1" s="1"/>
  <c r="C381" i="15" s="1"/>
  <c r="G374" i="1"/>
  <c r="G378" i="1"/>
  <c r="F380" i="1"/>
  <c r="J380" i="1" s="1"/>
  <c r="G381" i="1" l="1"/>
  <c r="H381" i="1" s="1"/>
  <c r="K381" i="1" s="1"/>
  <c r="C383" i="15" s="1"/>
  <c r="F381" i="1"/>
  <c r="J381" i="1" s="1"/>
  <c r="F379" i="1"/>
  <c r="J379" i="1" s="1"/>
  <c r="G387" i="1" l="1"/>
  <c r="G386" i="1"/>
  <c r="F385" i="1"/>
  <c r="J385" i="1" s="1"/>
  <c r="G385" i="1"/>
  <c r="H385" i="1" s="1"/>
  <c r="K385" i="1" s="1"/>
  <c r="C387" i="15" s="1"/>
  <c r="F384" i="1"/>
  <c r="J384" i="1" s="1"/>
  <c r="G384" i="1"/>
  <c r="H384" i="1" s="1"/>
  <c r="K384" i="1" s="1"/>
  <c r="C386" i="15" s="1"/>
  <c r="G382" i="1"/>
  <c r="H382" i="1" s="1"/>
  <c r="K382" i="1" s="1"/>
  <c r="C384" i="15" s="1"/>
  <c r="F382" i="1"/>
  <c r="J382" i="1" s="1"/>
  <c r="D378" i="2"/>
  <c r="I348" i="2"/>
  <c r="I349" i="2" s="1"/>
  <c r="I350" i="2" s="1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F388" i="1" l="1"/>
  <c r="J388" i="1" s="1"/>
  <c r="G388" i="1"/>
  <c r="H388" i="1" s="1"/>
  <c r="K388" i="1" s="1"/>
  <c r="C390" i="15" s="1"/>
  <c r="G383" i="1"/>
  <c r="H383" i="1" s="1"/>
  <c r="K383" i="1" s="1"/>
  <c r="C385" i="15" s="1"/>
  <c r="F383" i="1"/>
  <c r="J383" i="1" s="1"/>
  <c r="I351" i="2"/>
  <c r="E374" i="2"/>
  <c r="G366" i="1"/>
  <c r="H366" i="1" s="1"/>
  <c r="K366" i="1" s="1"/>
  <c r="C368" i="15" s="1"/>
  <c r="G372" i="1"/>
  <c r="H372" i="1" s="1"/>
  <c r="K372" i="1" s="1"/>
  <c r="C374" i="15" s="1"/>
  <c r="G364" i="1"/>
  <c r="H364" i="1" s="1"/>
  <c r="K364" i="1" s="1"/>
  <c r="C366" i="15" s="1"/>
  <c r="F356" i="1"/>
  <c r="J356" i="1" s="1"/>
  <c r="F348" i="1"/>
  <c r="J348" i="1" s="1"/>
  <c r="F340" i="1"/>
  <c r="J340" i="1" s="1"/>
  <c r="F332" i="1"/>
  <c r="J332" i="1" s="1"/>
  <c r="F324" i="1"/>
  <c r="F316" i="1"/>
  <c r="F308" i="1"/>
  <c r="J308" i="1" s="1"/>
  <c r="F284" i="1"/>
  <c r="F276" i="1"/>
  <c r="J276" i="1" s="1"/>
  <c r="F268" i="1"/>
  <c r="J268" i="1" s="1"/>
  <c r="F260" i="1"/>
  <c r="J260" i="1" s="1"/>
  <c r="F252" i="1"/>
  <c r="J252" i="1" s="1"/>
  <c r="F244" i="1"/>
  <c r="J244" i="1" s="1"/>
  <c r="F236" i="1"/>
  <c r="J236" i="1" s="1"/>
  <c r="F228" i="1"/>
  <c r="J228" i="1" s="1"/>
  <c r="F220" i="1"/>
  <c r="J220" i="1" s="1"/>
  <c r="F212" i="1"/>
  <c r="J212" i="1" s="1"/>
  <c r="F204" i="1"/>
  <c r="J204" i="1" s="1"/>
  <c r="F196" i="1"/>
  <c r="J196" i="1" s="1"/>
  <c r="F188" i="1"/>
  <c r="J188" i="1" s="1"/>
  <c r="F180" i="1"/>
  <c r="J180" i="1" s="1"/>
  <c r="F172" i="1"/>
  <c r="J172" i="1" s="1"/>
  <c r="F164" i="1"/>
  <c r="J164" i="1" s="1"/>
  <c r="F156" i="1"/>
  <c r="J156" i="1" s="1"/>
  <c r="F148" i="1"/>
  <c r="J148" i="1" s="1"/>
  <c r="F140" i="1"/>
  <c r="J140" i="1" s="1"/>
  <c r="F132" i="1"/>
  <c r="J132" i="1" s="1"/>
  <c r="F124" i="1"/>
  <c r="J124" i="1" s="1"/>
  <c r="F116" i="1"/>
  <c r="J116" i="1" s="1"/>
  <c r="F108" i="1"/>
  <c r="J108" i="1" s="1"/>
  <c r="F100" i="1"/>
  <c r="J100" i="1" s="1"/>
  <c r="F92" i="1"/>
  <c r="F84" i="1"/>
  <c r="F76" i="1"/>
  <c r="F68" i="1"/>
  <c r="F60" i="1"/>
  <c r="F52" i="1"/>
  <c r="F44" i="1"/>
  <c r="F36" i="1"/>
  <c r="F28" i="1"/>
  <c r="F20" i="1"/>
  <c r="F12" i="1"/>
  <c r="F46" i="1"/>
  <c r="G365" i="1"/>
  <c r="H365" i="1" s="1"/>
  <c r="K365" i="1" s="1"/>
  <c r="C367" i="15" s="1"/>
  <c r="F371" i="1"/>
  <c r="J371" i="1" s="1"/>
  <c r="G363" i="1"/>
  <c r="H363" i="1" s="1"/>
  <c r="K363" i="1" s="1"/>
  <c r="C365" i="15" s="1"/>
  <c r="F355" i="1"/>
  <c r="J355" i="1" s="1"/>
  <c r="F347" i="1"/>
  <c r="J347" i="1" s="1"/>
  <c r="F339" i="1"/>
  <c r="J339" i="1" s="1"/>
  <c r="F331" i="1"/>
  <c r="J331" i="1" s="1"/>
  <c r="F323" i="1"/>
  <c r="F307" i="1"/>
  <c r="J307" i="1" s="1"/>
  <c r="F283" i="1"/>
  <c r="F275" i="1"/>
  <c r="J275" i="1" s="1"/>
  <c r="F267" i="1"/>
  <c r="J267" i="1" s="1"/>
  <c r="F259" i="1"/>
  <c r="J259" i="1" s="1"/>
  <c r="F251" i="1"/>
  <c r="J251" i="1" s="1"/>
  <c r="F243" i="1"/>
  <c r="J243" i="1" s="1"/>
  <c r="F235" i="1"/>
  <c r="J235" i="1" s="1"/>
  <c r="F227" i="1"/>
  <c r="J227" i="1" s="1"/>
  <c r="F219" i="1"/>
  <c r="J219" i="1" s="1"/>
  <c r="F211" i="1"/>
  <c r="J211" i="1" s="1"/>
  <c r="F203" i="1"/>
  <c r="J203" i="1" s="1"/>
  <c r="F195" i="1"/>
  <c r="J195" i="1" s="1"/>
  <c r="F187" i="1"/>
  <c r="J187" i="1" s="1"/>
  <c r="F179" i="1"/>
  <c r="J179" i="1" s="1"/>
  <c r="F171" i="1"/>
  <c r="J171" i="1" s="1"/>
  <c r="F163" i="1"/>
  <c r="J163" i="1" s="1"/>
  <c r="F155" i="1"/>
  <c r="J155" i="1" s="1"/>
  <c r="F147" i="1"/>
  <c r="J147" i="1" s="1"/>
  <c r="F139" i="1"/>
  <c r="J139" i="1" s="1"/>
  <c r="F131" i="1"/>
  <c r="J131" i="1" s="1"/>
  <c r="F123" i="1"/>
  <c r="J123" i="1" s="1"/>
  <c r="F115" i="1"/>
  <c r="J115" i="1" s="1"/>
  <c r="F107" i="1"/>
  <c r="J107" i="1" s="1"/>
  <c r="F99" i="1"/>
  <c r="J99" i="1" s="1"/>
  <c r="F91" i="1"/>
  <c r="F83" i="1"/>
  <c r="F75" i="1"/>
  <c r="F67" i="1"/>
  <c r="F59" i="1"/>
  <c r="F51" i="1"/>
  <c r="F43" i="1"/>
  <c r="F35" i="1"/>
  <c r="F27" i="1"/>
  <c r="F19" i="1"/>
  <c r="F11" i="1"/>
  <c r="F368" i="1"/>
  <c r="J368" i="1" s="1"/>
  <c r="F346" i="1"/>
  <c r="J346" i="1" s="1"/>
  <c r="F314" i="1"/>
  <c r="F306" i="1"/>
  <c r="J306" i="1" s="1"/>
  <c r="F282" i="1"/>
  <c r="J282" i="1" s="1"/>
  <c r="F274" i="1"/>
  <c r="J274" i="1" s="1"/>
  <c r="F266" i="1"/>
  <c r="J266" i="1" s="1"/>
  <c r="F258" i="1"/>
  <c r="J258" i="1" s="1"/>
  <c r="F250" i="1"/>
  <c r="J250" i="1" s="1"/>
  <c r="F242" i="1"/>
  <c r="J242" i="1" s="1"/>
  <c r="F234" i="1"/>
  <c r="J234" i="1" s="1"/>
  <c r="F226" i="1"/>
  <c r="J226" i="1" s="1"/>
  <c r="F218" i="1"/>
  <c r="J218" i="1" s="1"/>
  <c r="F210" i="1"/>
  <c r="J210" i="1" s="1"/>
  <c r="F202" i="1"/>
  <c r="J202" i="1" s="1"/>
  <c r="F194" i="1"/>
  <c r="J194" i="1" s="1"/>
  <c r="F186" i="1"/>
  <c r="J186" i="1" s="1"/>
  <c r="F178" i="1"/>
  <c r="J178" i="1" s="1"/>
  <c r="F170" i="1"/>
  <c r="J170" i="1" s="1"/>
  <c r="F162" i="1"/>
  <c r="J162" i="1" s="1"/>
  <c r="F154" i="1"/>
  <c r="J154" i="1" s="1"/>
  <c r="F146" i="1"/>
  <c r="J146" i="1" s="1"/>
  <c r="F138" i="1"/>
  <c r="J138" i="1" s="1"/>
  <c r="F130" i="1"/>
  <c r="J130" i="1" s="1"/>
  <c r="F122" i="1"/>
  <c r="J122" i="1" s="1"/>
  <c r="F114" i="1"/>
  <c r="J114" i="1" s="1"/>
  <c r="F106" i="1"/>
  <c r="J106" i="1" s="1"/>
  <c r="F98" i="1"/>
  <c r="J98" i="1" s="1"/>
  <c r="F90" i="1"/>
  <c r="F82" i="1"/>
  <c r="F74" i="1"/>
  <c r="F66" i="1"/>
  <c r="F58" i="1"/>
  <c r="F50" i="1"/>
  <c r="F42" i="1"/>
  <c r="F34" i="1"/>
  <c r="F26" i="1"/>
  <c r="F18" i="1"/>
  <c r="F10" i="1"/>
  <c r="F370" i="1"/>
  <c r="J370" i="1" s="1"/>
  <c r="F330" i="1"/>
  <c r="J330" i="1" s="1"/>
  <c r="F369" i="1"/>
  <c r="J369" i="1" s="1"/>
  <c r="F361" i="1"/>
  <c r="J361" i="1" s="1"/>
  <c r="F353" i="1"/>
  <c r="J353" i="1" s="1"/>
  <c r="F345" i="1"/>
  <c r="J345" i="1" s="1"/>
  <c r="F337" i="1"/>
  <c r="J337" i="1" s="1"/>
  <c r="F329" i="1"/>
  <c r="J329" i="1" s="1"/>
  <c r="F321" i="1"/>
  <c r="F313" i="1"/>
  <c r="F305" i="1"/>
  <c r="J305" i="1" s="1"/>
  <c r="F289" i="1"/>
  <c r="J289" i="1" s="1"/>
  <c r="F281" i="1"/>
  <c r="J281" i="1" s="1"/>
  <c r="F273" i="1"/>
  <c r="J273" i="1" s="1"/>
  <c r="F265" i="1"/>
  <c r="J265" i="1" s="1"/>
  <c r="F257" i="1"/>
  <c r="J257" i="1" s="1"/>
  <c r="F249" i="1"/>
  <c r="J249" i="1" s="1"/>
  <c r="F241" i="1"/>
  <c r="J241" i="1" s="1"/>
  <c r="F233" i="1"/>
  <c r="J233" i="1" s="1"/>
  <c r="F225" i="1"/>
  <c r="J225" i="1" s="1"/>
  <c r="F217" i="1"/>
  <c r="J217" i="1" s="1"/>
  <c r="F209" i="1"/>
  <c r="J209" i="1" s="1"/>
  <c r="F201" i="1"/>
  <c r="J201" i="1" s="1"/>
  <c r="F193" i="1"/>
  <c r="J193" i="1" s="1"/>
  <c r="F185" i="1"/>
  <c r="J185" i="1" s="1"/>
  <c r="F177" i="1"/>
  <c r="J177" i="1" s="1"/>
  <c r="F169" i="1"/>
  <c r="J169" i="1" s="1"/>
  <c r="F161" i="1"/>
  <c r="J161" i="1" s="1"/>
  <c r="F153" i="1"/>
  <c r="J153" i="1" s="1"/>
  <c r="F145" i="1"/>
  <c r="J145" i="1" s="1"/>
  <c r="F137" i="1"/>
  <c r="J137" i="1" s="1"/>
  <c r="F129" i="1"/>
  <c r="J129" i="1" s="1"/>
  <c r="F121" i="1"/>
  <c r="J121" i="1" s="1"/>
  <c r="F113" i="1"/>
  <c r="J113" i="1" s="1"/>
  <c r="F105" i="1"/>
  <c r="J105" i="1" s="1"/>
  <c r="F97" i="1"/>
  <c r="F89" i="1"/>
  <c r="F81" i="1"/>
  <c r="F73" i="1"/>
  <c r="F65" i="1"/>
  <c r="F57" i="1"/>
  <c r="F49" i="1"/>
  <c r="F41" i="1"/>
  <c r="F33" i="1"/>
  <c r="F25" i="1"/>
  <c r="F17" i="1"/>
  <c r="F9" i="1"/>
  <c r="F354" i="1"/>
  <c r="J354" i="1" s="1"/>
  <c r="F322" i="1"/>
  <c r="G368" i="1"/>
  <c r="H368" i="1" s="1"/>
  <c r="K368" i="1" s="1"/>
  <c r="C370" i="15" s="1"/>
  <c r="F360" i="1"/>
  <c r="J360" i="1" s="1"/>
  <c r="F352" i="1"/>
  <c r="J352" i="1" s="1"/>
  <c r="F344" i="1"/>
  <c r="J344" i="1" s="1"/>
  <c r="F336" i="1"/>
  <c r="J336" i="1" s="1"/>
  <c r="F328" i="1"/>
  <c r="J328" i="1" s="1"/>
  <c r="F320" i="1"/>
  <c r="F312" i="1"/>
  <c r="F304" i="1"/>
  <c r="J304" i="1" s="1"/>
  <c r="F288" i="1"/>
  <c r="F280" i="1"/>
  <c r="J280" i="1" s="1"/>
  <c r="F272" i="1"/>
  <c r="J272" i="1" s="1"/>
  <c r="F264" i="1"/>
  <c r="J264" i="1" s="1"/>
  <c r="F256" i="1"/>
  <c r="J256" i="1" s="1"/>
  <c r="F248" i="1"/>
  <c r="J248" i="1" s="1"/>
  <c r="F240" i="1"/>
  <c r="J240" i="1" s="1"/>
  <c r="F232" i="1"/>
  <c r="J232" i="1" s="1"/>
  <c r="F224" i="1"/>
  <c r="J224" i="1" s="1"/>
  <c r="F216" i="1"/>
  <c r="J216" i="1" s="1"/>
  <c r="F208" i="1"/>
  <c r="J208" i="1" s="1"/>
  <c r="F200" i="1"/>
  <c r="J200" i="1" s="1"/>
  <c r="F192" i="1"/>
  <c r="J192" i="1" s="1"/>
  <c r="F184" i="1"/>
  <c r="J184" i="1" s="1"/>
  <c r="F176" i="1"/>
  <c r="J176" i="1" s="1"/>
  <c r="F168" i="1"/>
  <c r="J168" i="1" s="1"/>
  <c r="F160" i="1"/>
  <c r="J160" i="1" s="1"/>
  <c r="F152" i="1"/>
  <c r="J152" i="1" s="1"/>
  <c r="F144" i="1"/>
  <c r="J144" i="1" s="1"/>
  <c r="F136" i="1"/>
  <c r="J136" i="1" s="1"/>
  <c r="F128" i="1"/>
  <c r="J128" i="1" s="1"/>
  <c r="F120" i="1"/>
  <c r="J120" i="1" s="1"/>
  <c r="F112" i="1"/>
  <c r="J112" i="1" s="1"/>
  <c r="F104" i="1"/>
  <c r="J104" i="1" s="1"/>
  <c r="F96" i="1"/>
  <c r="F88" i="1"/>
  <c r="F80" i="1"/>
  <c r="F72" i="1"/>
  <c r="F64" i="1"/>
  <c r="F56" i="1"/>
  <c r="F48" i="1"/>
  <c r="F40" i="1"/>
  <c r="F32" i="1"/>
  <c r="F24" i="1"/>
  <c r="F16" i="1"/>
  <c r="F8" i="1"/>
  <c r="G362" i="1"/>
  <c r="H362" i="1" s="1"/>
  <c r="K362" i="1" s="1"/>
  <c r="C364" i="15" s="1"/>
  <c r="F338" i="1"/>
  <c r="J338" i="1" s="1"/>
  <c r="F367" i="1"/>
  <c r="J367" i="1" s="1"/>
  <c r="F359" i="1"/>
  <c r="J359" i="1" s="1"/>
  <c r="F351" i="1"/>
  <c r="J351" i="1" s="1"/>
  <c r="F343" i="1"/>
  <c r="J343" i="1" s="1"/>
  <c r="F335" i="1"/>
  <c r="J335" i="1" s="1"/>
  <c r="F327" i="1"/>
  <c r="J327" i="1" s="1"/>
  <c r="F319" i="1"/>
  <c r="F311" i="1"/>
  <c r="F303" i="1"/>
  <c r="J303" i="1" s="1"/>
  <c r="F287" i="1"/>
  <c r="F279" i="1"/>
  <c r="J279" i="1" s="1"/>
  <c r="F271" i="1"/>
  <c r="J271" i="1" s="1"/>
  <c r="F263" i="1"/>
  <c r="J263" i="1" s="1"/>
  <c r="F255" i="1"/>
  <c r="J255" i="1" s="1"/>
  <c r="F247" i="1"/>
  <c r="J247" i="1" s="1"/>
  <c r="F239" i="1"/>
  <c r="J239" i="1" s="1"/>
  <c r="F231" i="1"/>
  <c r="J231" i="1" s="1"/>
  <c r="F223" i="1"/>
  <c r="J223" i="1" s="1"/>
  <c r="F215" i="1"/>
  <c r="J215" i="1" s="1"/>
  <c r="F207" i="1"/>
  <c r="J207" i="1" s="1"/>
  <c r="F199" i="1"/>
  <c r="J199" i="1" s="1"/>
  <c r="F191" i="1"/>
  <c r="J191" i="1" s="1"/>
  <c r="F183" i="1"/>
  <c r="J183" i="1" s="1"/>
  <c r="F175" i="1"/>
  <c r="J175" i="1" s="1"/>
  <c r="F167" i="1"/>
  <c r="J167" i="1" s="1"/>
  <c r="F159" i="1"/>
  <c r="J159" i="1" s="1"/>
  <c r="F151" i="1"/>
  <c r="J151" i="1" s="1"/>
  <c r="F143" i="1"/>
  <c r="J143" i="1" s="1"/>
  <c r="F135" i="1"/>
  <c r="J135" i="1" s="1"/>
  <c r="F127" i="1"/>
  <c r="J127" i="1" s="1"/>
  <c r="F119" i="1"/>
  <c r="J119" i="1" s="1"/>
  <c r="F111" i="1"/>
  <c r="J111" i="1" s="1"/>
  <c r="F103" i="1"/>
  <c r="J103" i="1" s="1"/>
  <c r="F95" i="1"/>
  <c r="F87" i="1"/>
  <c r="F79" i="1"/>
  <c r="F71" i="1"/>
  <c r="F63" i="1"/>
  <c r="F55" i="1"/>
  <c r="F47" i="1"/>
  <c r="F39" i="1"/>
  <c r="F31" i="1"/>
  <c r="F23" i="1"/>
  <c r="F15" i="1"/>
  <c r="F7" i="1"/>
  <c r="H374" i="1"/>
  <c r="K374" i="1" s="1"/>
  <c r="C376" i="15" s="1"/>
  <c r="F374" i="1"/>
  <c r="J374" i="1" s="1"/>
  <c r="F326" i="1"/>
  <c r="J326" i="1" s="1"/>
  <c r="F278" i="1"/>
  <c r="J278" i="1" s="1"/>
  <c r="F230" i="1"/>
  <c r="J230" i="1" s="1"/>
  <c r="F190" i="1"/>
  <c r="J190" i="1" s="1"/>
  <c r="F142" i="1"/>
  <c r="J142" i="1" s="1"/>
  <c r="F102" i="1"/>
  <c r="J102" i="1" s="1"/>
  <c r="F70" i="1"/>
  <c r="F30" i="1"/>
  <c r="F350" i="1"/>
  <c r="J350" i="1" s="1"/>
  <c r="F310" i="1"/>
  <c r="F270" i="1"/>
  <c r="J270" i="1" s="1"/>
  <c r="F222" i="1"/>
  <c r="J222" i="1" s="1"/>
  <c r="F174" i="1"/>
  <c r="J174" i="1" s="1"/>
  <c r="F126" i="1"/>
  <c r="J126" i="1" s="1"/>
  <c r="F78" i="1"/>
  <c r="F14" i="1"/>
  <c r="G367" i="1"/>
  <c r="H367" i="1" s="1"/>
  <c r="K367" i="1" s="1"/>
  <c r="C369" i="15" s="1"/>
  <c r="F357" i="1"/>
  <c r="J357" i="1" s="1"/>
  <c r="F333" i="1"/>
  <c r="J333" i="1" s="1"/>
  <c r="F277" i="1"/>
  <c r="J277" i="1" s="1"/>
  <c r="F229" i="1"/>
  <c r="J229" i="1" s="1"/>
  <c r="F197" i="1"/>
  <c r="J197" i="1" s="1"/>
  <c r="F149" i="1"/>
  <c r="J149" i="1" s="1"/>
  <c r="F109" i="1"/>
  <c r="J109" i="1" s="1"/>
  <c r="F69" i="1"/>
  <c r="F45" i="1"/>
  <c r="F21" i="1"/>
  <c r="G370" i="1"/>
  <c r="H370" i="1" s="1"/>
  <c r="K370" i="1" s="1"/>
  <c r="C372" i="15" s="1"/>
  <c r="F372" i="1"/>
  <c r="J372" i="1" s="1"/>
  <c r="F364" i="1"/>
  <c r="J364" i="1" s="1"/>
  <c r="F4" i="1"/>
  <c r="F334" i="1"/>
  <c r="J334" i="1" s="1"/>
  <c r="F286" i="1"/>
  <c r="F238" i="1"/>
  <c r="J238" i="1" s="1"/>
  <c r="F182" i="1"/>
  <c r="J182" i="1" s="1"/>
  <c r="F118" i="1"/>
  <c r="J118" i="1" s="1"/>
  <c r="F86" i="1"/>
  <c r="F38" i="1"/>
  <c r="F325" i="1"/>
  <c r="J325" i="1" s="1"/>
  <c r="F269" i="1"/>
  <c r="J269" i="1" s="1"/>
  <c r="F221" i="1"/>
  <c r="J221" i="1" s="1"/>
  <c r="F173" i="1"/>
  <c r="J173" i="1" s="1"/>
  <c r="F133" i="1"/>
  <c r="J133" i="1" s="1"/>
  <c r="F101" i="1"/>
  <c r="J101" i="1" s="1"/>
  <c r="F77" i="1"/>
  <c r="F53" i="1"/>
  <c r="F29" i="1"/>
  <c r="G373" i="1"/>
  <c r="H373" i="1" s="1"/>
  <c r="K373" i="1" s="1"/>
  <c r="C375" i="15" s="1"/>
  <c r="G361" i="1"/>
  <c r="H361" i="1" s="1"/>
  <c r="K361" i="1" s="1"/>
  <c r="C363" i="15" s="1"/>
  <c r="F363" i="1"/>
  <c r="J363" i="1" s="1"/>
  <c r="F3" i="1"/>
  <c r="G371" i="1"/>
  <c r="H371" i="1" s="1"/>
  <c r="K371" i="1" s="1"/>
  <c r="C373" i="15" s="1"/>
  <c r="F358" i="1"/>
  <c r="J358" i="1" s="1"/>
  <c r="F318" i="1"/>
  <c r="F262" i="1"/>
  <c r="J262" i="1" s="1"/>
  <c r="F214" i="1"/>
  <c r="J214" i="1" s="1"/>
  <c r="F166" i="1"/>
  <c r="J166" i="1" s="1"/>
  <c r="F134" i="1"/>
  <c r="J134" i="1" s="1"/>
  <c r="F94" i="1"/>
  <c r="F54" i="1"/>
  <c r="F22" i="1"/>
  <c r="F373" i="1"/>
  <c r="J373" i="1" s="1"/>
  <c r="F349" i="1"/>
  <c r="J349" i="1" s="1"/>
  <c r="F317" i="1"/>
  <c r="F261" i="1"/>
  <c r="J261" i="1" s="1"/>
  <c r="F245" i="1"/>
  <c r="J245" i="1" s="1"/>
  <c r="F213" i="1"/>
  <c r="J213" i="1" s="1"/>
  <c r="F189" i="1"/>
  <c r="J189" i="1" s="1"/>
  <c r="F165" i="1"/>
  <c r="J165" i="1" s="1"/>
  <c r="F141" i="1"/>
  <c r="J141" i="1" s="1"/>
  <c r="F125" i="1"/>
  <c r="J125" i="1" s="1"/>
  <c r="F93" i="1"/>
  <c r="F61" i="1"/>
  <c r="F13" i="1"/>
  <c r="G369" i="1"/>
  <c r="H369" i="1" s="1"/>
  <c r="K369" i="1" s="1"/>
  <c r="C371" i="15" s="1"/>
  <c r="F362" i="1"/>
  <c r="J362" i="1" s="1"/>
  <c r="F342" i="1"/>
  <c r="J342" i="1" s="1"/>
  <c r="F302" i="1"/>
  <c r="J302" i="1" s="1"/>
  <c r="F254" i="1"/>
  <c r="J254" i="1" s="1"/>
  <c r="F206" i="1"/>
  <c r="J206" i="1" s="1"/>
  <c r="F158" i="1"/>
  <c r="J158" i="1" s="1"/>
  <c r="F110" i="1"/>
  <c r="J110" i="1" s="1"/>
  <c r="F62" i="1"/>
  <c r="F6" i="1"/>
  <c r="F365" i="1"/>
  <c r="J365" i="1" s="1"/>
  <c r="F341" i="1"/>
  <c r="J341" i="1" s="1"/>
  <c r="F309" i="1"/>
  <c r="J309" i="1" s="1"/>
  <c r="F285" i="1"/>
  <c r="F253" i="1"/>
  <c r="J253" i="1" s="1"/>
  <c r="F237" i="1"/>
  <c r="J237" i="1" s="1"/>
  <c r="F205" i="1"/>
  <c r="J205" i="1" s="1"/>
  <c r="F181" i="1"/>
  <c r="J181" i="1" s="1"/>
  <c r="F157" i="1"/>
  <c r="J157" i="1" s="1"/>
  <c r="F117" i="1"/>
  <c r="J117" i="1" s="1"/>
  <c r="F85" i="1"/>
  <c r="F37" i="1"/>
  <c r="F5" i="1"/>
  <c r="F366" i="1"/>
  <c r="J366" i="1" s="1"/>
  <c r="F246" i="1"/>
  <c r="J246" i="1" s="1"/>
  <c r="F198" i="1"/>
  <c r="J198" i="1" s="1"/>
  <c r="F150" i="1"/>
  <c r="J150" i="1" s="1"/>
  <c r="G360" i="1"/>
  <c r="H360" i="1" s="1"/>
  <c r="K360" i="1" s="1"/>
  <c r="C362" i="15" s="1"/>
  <c r="G389" i="1" l="1"/>
  <c r="H389" i="1" s="1"/>
  <c r="K389" i="1" s="1"/>
  <c r="C391" i="15" s="1"/>
  <c r="F389" i="1"/>
  <c r="J389" i="1" s="1"/>
  <c r="I352" i="2"/>
  <c r="H375" i="1"/>
  <c r="K375" i="1" s="1"/>
  <c r="C377" i="15" s="1"/>
  <c r="G393" i="1" l="1"/>
  <c r="H393" i="1" s="1"/>
  <c r="K393" i="1" s="1"/>
  <c r="C395" i="15" s="1"/>
  <c r="F393" i="1"/>
  <c r="J393" i="1" s="1"/>
  <c r="F390" i="1"/>
  <c r="J390" i="1" s="1"/>
  <c r="G390" i="1"/>
  <c r="H390" i="1" s="1"/>
  <c r="K390" i="1" s="1"/>
  <c r="C392" i="15" s="1"/>
  <c r="H376" i="1"/>
  <c r="K376" i="1" s="1"/>
  <c r="C378" i="15" s="1"/>
  <c r="E375" i="2"/>
  <c r="I353" i="2"/>
  <c r="F375" i="1"/>
  <c r="J375" i="1" s="1"/>
  <c r="F376" i="1"/>
  <c r="J376" i="1" s="1"/>
  <c r="E345" i="9"/>
  <c r="E347" i="2"/>
  <c r="D346" i="2"/>
  <c r="E346" i="2"/>
  <c r="D328" i="9"/>
  <c r="D328" i="11" s="1"/>
  <c r="D329" i="9"/>
  <c r="D329" i="11" s="1"/>
  <c r="D330" i="9"/>
  <c r="D330" i="11" s="1"/>
  <c r="D331" i="9"/>
  <c r="D331" i="11" s="1"/>
  <c r="D332" i="9"/>
  <c r="D332" i="11" s="1"/>
  <c r="D333" i="9"/>
  <c r="D333" i="11" s="1"/>
  <c r="D334" i="9"/>
  <c r="D334" i="11" s="1"/>
  <c r="D335" i="9"/>
  <c r="D335" i="11" s="1"/>
  <c r="D336" i="9"/>
  <c r="D336" i="11" s="1"/>
  <c r="D337" i="9"/>
  <c r="D337" i="11" s="1"/>
  <c r="D328" i="2"/>
  <c r="D329" i="2"/>
  <c r="D330" i="2"/>
  <c r="D331" i="2"/>
  <c r="D332" i="2"/>
  <c r="D333" i="2"/>
  <c r="D334" i="2"/>
  <c r="D335" i="2"/>
  <c r="D336" i="2"/>
  <c r="D337" i="2"/>
  <c r="E344" i="9"/>
  <c r="G394" i="1" l="1"/>
  <c r="H394" i="1" s="1"/>
  <c r="K394" i="1" s="1"/>
  <c r="C396" i="15" s="1"/>
  <c r="F394" i="1"/>
  <c r="J394" i="1" s="1"/>
  <c r="G391" i="1"/>
  <c r="H391" i="1" s="1"/>
  <c r="K391" i="1" s="1"/>
  <c r="C393" i="15" s="1"/>
  <c r="F391" i="1"/>
  <c r="J391" i="1" s="1"/>
  <c r="H377" i="1"/>
  <c r="K377" i="1" s="1"/>
  <c r="C379" i="15" s="1"/>
  <c r="E376" i="2"/>
  <c r="I354" i="2"/>
  <c r="E347" i="9"/>
  <c r="E347" i="11" s="1"/>
  <c r="G356" i="1"/>
  <c r="H356" i="1" s="1"/>
  <c r="K356" i="1" s="1"/>
  <c r="C358" i="15" s="1"/>
  <c r="G353" i="1"/>
  <c r="H353" i="1" s="1"/>
  <c r="K353" i="1" s="1"/>
  <c r="C355" i="15" s="1"/>
  <c r="G355" i="1"/>
  <c r="H355" i="1" s="1"/>
  <c r="K355" i="1" s="1"/>
  <c r="C357" i="15" s="1"/>
  <c r="G350" i="1"/>
  <c r="H350" i="1" s="1"/>
  <c r="K350" i="1" s="1"/>
  <c r="C352" i="15" s="1"/>
  <c r="G348" i="1"/>
  <c r="H348" i="1" s="1"/>
  <c r="K348" i="1" s="1"/>
  <c r="C350" i="15" s="1"/>
  <c r="G358" i="1"/>
  <c r="H358" i="1" s="1"/>
  <c r="K358" i="1" s="1"/>
  <c r="C360" i="15" s="1"/>
  <c r="G349" i="1"/>
  <c r="H349" i="1" s="1"/>
  <c r="K349" i="1" s="1"/>
  <c r="C351" i="15" s="1"/>
  <c r="G354" i="1"/>
  <c r="H354" i="1" s="1"/>
  <c r="K354" i="1" s="1"/>
  <c r="C356" i="15" s="1"/>
  <c r="G357" i="1"/>
  <c r="H357" i="1" s="1"/>
  <c r="K357" i="1" s="1"/>
  <c r="C359" i="15" s="1"/>
  <c r="G352" i="1"/>
  <c r="H352" i="1" s="1"/>
  <c r="K352" i="1" s="1"/>
  <c r="C354" i="15" s="1"/>
  <c r="G359" i="1"/>
  <c r="H359" i="1" s="1"/>
  <c r="K359" i="1" s="1"/>
  <c r="C361" i="15" s="1"/>
  <c r="G351" i="1"/>
  <c r="H351" i="1" s="1"/>
  <c r="K351" i="1" s="1"/>
  <c r="C353" i="15" s="1"/>
  <c r="E346" i="9"/>
  <c r="E346" i="11" s="1"/>
  <c r="D346" i="9"/>
  <c r="D346" i="11" s="1"/>
  <c r="E345" i="11"/>
  <c r="E344" i="11"/>
  <c r="E345" i="2"/>
  <c r="E344" i="2"/>
  <c r="F392" i="1" l="1"/>
  <c r="J392" i="1" s="1"/>
  <c r="G392" i="1"/>
  <c r="E377" i="2"/>
  <c r="H378" i="1"/>
  <c r="K378" i="1" s="1"/>
  <c r="C380" i="15" s="1"/>
  <c r="E378" i="2"/>
  <c r="F378" i="1"/>
  <c r="J378" i="1" s="1"/>
  <c r="F377" i="1"/>
  <c r="J377" i="1" s="1"/>
  <c r="I355" i="2"/>
  <c r="E340" i="2"/>
  <c r="E340" i="9"/>
  <c r="E339" i="9"/>
  <c r="E339" i="2"/>
  <c r="E335" i="2"/>
  <c r="E335" i="9"/>
  <c r="E334" i="2"/>
  <c r="E334" i="9"/>
  <c r="E341" i="2"/>
  <c r="E341" i="9"/>
  <c r="E338" i="2"/>
  <c r="E338" i="9"/>
  <c r="E337" i="2"/>
  <c r="E337" i="9"/>
  <c r="E343" i="9"/>
  <c r="E343" i="2"/>
  <c r="E342" i="2"/>
  <c r="E342" i="9"/>
  <c r="E333" i="2"/>
  <c r="E333" i="9"/>
  <c r="E332" i="9"/>
  <c r="E332" i="2"/>
  <c r="E336" i="9"/>
  <c r="E336" i="2"/>
  <c r="H392" i="1" l="1"/>
  <c r="K392" i="1" s="1"/>
  <c r="C394" i="15" s="1"/>
  <c r="I356" i="2"/>
  <c r="G347" i="1"/>
  <c r="G346" i="1"/>
  <c r="H346" i="1" s="1"/>
  <c r="K346" i="1" s="1"/>
  <c r="C348" i="15" s="1"/>
  <c r="E340" i="11"/>
  <c r="E335" i="11"/>
  <c r="G339" i="1"/>
  <c r="G345" i="1"/>
  <c r="G344" i="1"/>
  <c r="E332" i="11"/>
  <c r="E334" i="11"/>
  <c r="E336" i="11"/>
  <c r="E343" i="11"/>
  <c r="E330" i="9"/>
  <c r="E330" i="2"/>
  <c r="E331" i="9"/>
  <c r="E331" i="2"/>
  <c r="E333" i="11"/>
  <c r="E337" i="11"/>
  <c r="E341" i="11"/>
  <c r="E339" i="11"/>
  <c r="E342" i="11"/>
  <c r="E338" i="11"/>
  <c r="E329" i="9"/>
  <c r="E329" i="2"/>
  <c r="E328" i="9"/>
  <c r="E328" i="2"/>
  <c r="G335" i="1"/>
  <c r="H335" i="1" s="1"/>
  <c r="K335" i="1" s="1"/>
  <c r="G343" i="1"/>
  <c r="G336" i="1"/>
  <c r="H336" i="1" s="1"/>
  <c r="K336" i="1" s="1"/>
  <c r="G338" i="1"/>
  <c r="G340" i="1"/>
  <c r="G342" i="1"/>
  <c r="G337" i="1"/>
  <c r="H337" i="1" s="1"/>
  <c r="K337" i="1" s="1"/>
  <c r="G341" i="1"/>
  <c r="G334" i="1"/>
  <c r="H334" i="1" s="1"/>
  <c r="K334" i="1" s="1"/>
  <c r="G330" i="1"/>
  <c r="H330" i="1" s="1"/>
  <c r="K330" i="1" s="1"/>
  <c r="G333" i="1"/>
  <c r="H333" i="1" s="1"/>
  <c r="K333" i="1" s="1"/>
  <c r="G331" i="1"/>
  <c r="H331" i="1" s="1"/>
  <c r="K331" i="1" s="1"/>
  <c r="G332" i="1"/>
  <c r="H332" i="1" s="1"/>
  <c r="K332" i="1" s="1"/>
  <c r="D326" i="2"/>
  <c r="D327" i="2"/>
  <c r="D326" i="9"/>
  <c r="D326" i="11" s="1"/>
  <c r="D327" i="9"/>
  <c r="I357" i="2" l="1"/>
  <c r="C334" i="15"/>
  <c r="C338" i="15"/>
  <c r="E328" i="11"/>
  <c r="C333" i="15"/>
  <c r="E331" i="11"/>
  <c r="E329" i="11"/>
  <c r="C335" i="15"/>
  <c r="C332" i="15"/>
  <c r="E330" i="11"/>
  <c r="C336" i="15"/>
  <c r="C339" i="15"/>
  <c r="C337" i="15"/>
  <c r="E327" i="2"/>
  <c r="E327" i="9"/>
  <c r="E326" i="9"/>
  <c r="E326" i="2"/>
  <c r="D327" i="11"/>
  <c r="D321" i="2"/>
  <c r="E321" i="2"/>
  <c r="D322" i="2"/>
  <c r="I322" i="2" s="1"/>
  <c r="E322" i="2"/>
  <c r="D323" i="2"/>
  <c r="I323" i="2" s="1"/>
  <c r="E323" i="2"/>
  <c r="D324" i="2"/>
  <c r="E324" i="2"/>
  <c r="D325" i="2"/>
  <c r="E325" i="2"/>
  <c r="D321" i="9"/>
  <c r="D321" i="11" s="1"/>
  <c r="E321" i="9"/>
  <c r="D322" i="9"/>
  <c r="D322" i="11" s="1"/>
  <c r="I322" i="11" s="1"/>
  <c r="E322" i="9"/>
  <c r="E322" i="11" s="1"/>
  <c r="D323" i="9"/>
  <c r="D323" i="11" s="1"/>
  <c r="I323" i="11" s="1"/>
  <c r="E323" i="9"/>
  <c r="D324" i="9"/>
  <c r="E324" i="9"/>
  <c r="E324" i="11" s="1"/>
  <c r="D325" i="9"/>
  <c r="E325" i="9"/>
  <c r="I358" i="2" l="1"/>
  <c r="I322" i="9"/>
  <c r="I323" i="9"/>
  <c r="E327" i="11"/>
  <c r="E326" i="11"/>
  <c r="E323" i="11"/>
  <c r="E321" i="11"/>
  <c r="E325" i="11"/>
  <c r="D325" i="11"/>
  <c r="I324" i="9"/>
  <c r="D324" i="11"/>
  <c r="I321" i="11"/>
  <c r="I321" i="2"/>
  <c r="I324" i="2"/>
  <c r="I321" i="9"/>
  <c r="D320" i="9"/>
  <c r="D320" i="11" s="1"/>
  <c r="D320" i="2"/>
  <c r="I359" i="2" l="1"/>
  <c r="I324" i="11"/>
  <c r="I320" i="11"/>
  <c r="I320" i="9"/>
  <c r="I320" i="2"/>
  <c r="D317" i="9"/>
  <c r="I317" i="9" s="1"/>
  <c r="D318" i="9"/>
  <c r="D318" i="11" s="1"/>
  <c r="I318" i="11" s="1"/>
  <c r="D319" i="9"/>
  <c r="D319" i="11" s="1"/>
  <c r="I319" i="11" s="1"/>
  <c r="D315" i="2"/>
  <c r="D316" i="2"/>
  <c r="I316" i="2" s="1"/>
  <c r="D317" i="2"/>
  <c r="D318" i="2"/>
  <c r="D319" i="2"/>
  <c r="I319" i="2" s="1"/>
  <c r="E315" i="2"/>
  <c r="E316" i="2"/>
  <c r="E317" i="2"/>
  <c r="I360" i="2" l="1"/>
  <c r="I318" i="9"/>
  <c r="D317" i="11"/>
  <c r="I317" i="11" s="1"/>
  <c r="E318" i="9"/>
  <c r="E318" i="11" s="1"/>
  <c r="E318" i="2"/>
  <c r="E317" i="9"/>
  <c r="I319" i="9"/>
  <c r="I318" i="2"/>
  <c r="I317" i="2"/>
  <c r="I361" i="2" l="1"/>
  <c r="G328" i="1"/>
  <c r="H328" i="1" s="1"/>
  <c r="K328" i="1" s="1"/>
  <c r="G329" i="1"/>
  <c r="H329" i="1" s="1"/>
  <c r="K329" i="1" s="1"/>
  <c r="G327" i="1"/>
  <c r="H327" i="1" s="1"/>
  <c r="K327" i="1" s="1"/>
  <c r="G326" i="1"/>
  <c r="H326" i="1" s="1"/>
  <c r="K326" i="1" s="1"/>
  <c r="E317" i="11"/>
  <c r="E3" i="9"/>
  <c r="E5" i="9"/>
  <c r="E9" i="9"/>
  <c r="E9" i="11" s="1"/>
  <c r="E11" i="2"/>
  <c r="E13" i="9"/>
  <c r="I315" i="1"/>
  <c r="E4" i="2"/>
  <c r="E5" i="2"/>
  <c r="E6" i="2"/>
  <c r="E12" i="2"/>
  <c r="I315" i="2"/>
  <c r="E4" i="9"/>
  <c r="E4" i="11" s="1"/>
  <c r="E6" i="9"/>
  <c r="E6" i="11" s="1"/>
  <c r="E12" i="9"/>
  <c r="E12" i="11" s="1"/>
  <c r="E315" i="9"/>
  <c r="D315" i="9"/>
  <c r="I315" i="9" s="1"/>
  <c r="I316" i="1"/>
  <c r="J316" i="1" s="1"/>
  <c r="E316" i="9"/>
  <c r="E316" i="11" s="1"/>
  <c r="D316" i="9"/>
  <c r="D316" i="11" s="1"/>
  <c r="I316" i="11" s="1"/>
  <c r="E109" i="9"/>
  <c r="E14" i="9"/>
  <c r="E14" i="11" s="1"/>
  <c r="E15" i="9"/>
  <c r="E15" i="11" s="1"/>
  <c r="E16" i="9"/>
  <c r="E16" i="11" s="1"/>
  <c r="E17" i="9"/>
  <c r="E17" i="11" s="1"/>
  <c r="E18" i="9"/>
  <c r="E18" i="11" s="1"/>
  <c r="E19" i="9"/>
  <c r="E20" i="9"/>
  <c r="E22" i="9"/>
  <c r="E22" i="11" s="1"/>
  <c r="E23" i="9"/>
  <c r="E23" i="11" s="1"/>
  <c r="E24" i="9"/>
  <c r="E24" i="11" s="1"/>
  <c r="E25" i="9"/>
  <c r="E25" i="11" s="1"/>
  <c r="E26" i="9"/>
  <c r="E26" i="11" s="1"/>
  <c r="E27" i="9"/>
  <c r="E28" i="9"/>
  <c r="E28" i="11" s="1"/>
  <c r="E29" i="9"/>
  <c r="E30" i="9"/>
  <c r="E30" i="11" s="1"/>
  <c r="E31" i="9"/>
  <c r="E31" i="11" s="1"/>
  <c r="E32" i="9"/>
  <c r="E32" i="11" s="1"/>
  <c r="E33" i="9"/>
  <c r="E33" i="11" s="1"/>
  <c r="E34" i="9"/>
  <c r="E34" i="11" s="1"/>
  <c r="E35" i="9"/>
  <c r="E35" i="11" s="1"/>
  <c r="E36" i="9"/>
  <c r="E36" i="11" s="1"/>
  <c r="E37" i="9"/>
  <c r="E37" i="11" s="1"/>
  <c r="E38" i="9"/>
  <c r="E38" i="11" s="1"/>
  <c r="E40" i="9"/>
  <c r="E40" i="11" s="1"/>
  <c r="E41" i="9"/>
  <c r="E41" i="11" s="1"/>
  <c r="E42" i="9"/>
  <c r="E42" i="11" s="1"/>
  <c r="E44" i="9"/>
  <c r="E44" i="11" s="1"/>
  <c r="E45" i="9"/>
  <c r="E45" i="11" s="1"/>
  <c r="E46" i="9"/>
  <c r="E47" i="9"/>
  <c r="E47" i="11" s="1"/>
  <c r="E49" i="9"/>
  <c r="E49" i="11" s="1"/>
  <c r="E50" i="9"/>
  <c r="E50" i="11" s="1"/>
  <c r="E51" i="9"/>
  <c r="E52" i="9"/>
  <c r="E52" i="11" s="1"/>
  <c r="E53" i="9"/>
  <c r="E53" i="11" s="1"/>
  <c r="E54" i="9"/>
  <c r="E54" i="11" s="1"/>
  <c r="E55" i="9"/>
  <c r="E55" i="11" s="1"/>
  <c r="E56" i="9"/>
  <c r="E56" i="11" s="1"/>
  <c r="E57" i="9"/>
  <c r="E57" i="11" s="1"/>
  <c r="E58" i="9"/>
  <c r="E58" i="11" s="1"/>
  <c r="E59" i="9"/>
  <c r="E60" i="9"/>
  <c r="E60" i="11" s="1"/>
  <c r="E61" i="9"/>
  <c r="E62" i="9"/>
  <c r="E62" i="11" s="1"/>
  <c r="E63" i="9"/>
  <c r="E64" i="9"/>
  <c r="E64" i="11" s="1"/>
  <c r="E65" i="9"/>
  <c r="E65" i="11" s="1"/>
  <c r="E66" i="9"/>
  <c r="E66" i="11" s="1"/>
  <c r="E67" i="9"/>
  <c r="E68" i="9"/>
  <c r="E68" i="11" s="1"/>
  <c r="E69" i="9"/>
  <c r="E69" i="11" s="1"/>
  <c r="E70" i="9"/>
  <c r="E70" i="11" s="1"/>
  <c r="E71" i="9"/>
  <c r="E71" i="11" s="1"/>
  <c r="E73" i="9"/>
  <c r="E73" i="11" s="1"/>
  <c r="E74" i="9"/>
  <c r="E74" i="11" s="1"/>
  <c r="E75" i="9"/>
  <c r="E76" i="9"/>
  <c r="E76" i="11" s="1"/>
  <c r="E78" i="9"/>
  <c r="E78" i="11" s="1"/>
  <c r="E79" i="9"/>
  <c r="E79" i="11" s="1"/>
  <c r="E80" i="9"/>
  <c r="E80" i="11" s="1"/>
  <c r="E81" i="9"/>
  <c r="E81" i="11" s="1"/>
  <c r="E82" i="9"/>
  <c r="E82" i="11" s="1"/>
  <c r="E83" i="9"/>
  <c r="E85" i="9"/>
  <c r="E85" i="11" s="1"/>
  <c r="E86" i="9"/>
  <c r="E87" i="9"/>
  <c r="E87" i="11" s="1"/>
  <c r="E88" i="9"/>
  <c r="E88" i="11" s="1"/>
  <c r="E89" i="9"/>
  <c r="E89" i="11" s="1"/>
  <c r="E91" i="9"/>
  <c r="E91" i="11" s="1"/>
  <c r="E92" i="9"/>
  <c r="E92" i="11" s="1"/>
  <c r="E93" i="9"/>
  <c r="E94" i="9"/>
  <c r="E94" i="11" s="1"/>
  <c r="E95" i="9"/>
  <c r="E96" i="9"/>
  <c r="E96" i="11" s="1"/>
  <c r="E97" i="9"/>
  <c r="E97" i="11" s="1"/>
  <c r="E98" i="9"/>
  <c r="E98" i="11" s="1"/>
  <c r="E99" i="9"/>
  <c r="E99" i="11" s="1"/>
  <c r="E100" i="9"/>
  <c r="E100" i="11" s="1"/>
  <c r="E101" i="9"/>
  <c r="E101" i="11" s="1"/>
  <c r="E102" i="9"/>
  <c r="E102" i="11" s="1"/>
  <c r="E104" i="9"/>
  <c r="E105" i="9"/>
  <c r="E105" i="11" s="1"/>
  <c r="E106" i="9"/>
  <c r="E106" i="11" s="1"/>
  <c r="E107" i="9"/>
  <c r="E108" i="9"/>
  <c r="E108" i="11" s="1"/>
  <c r="E110" i="9"/>
  <c r="E111" i="9"/>
  <c r="E112" i="9"/>
  <c r="E113" i="9"/>
  <c r="E113" i="11" s="1"/>
  <c r="E114" i="9"/>
  <c r="E114" i="11" s="1"/>
  <c r="E115" i="9"/>
  <c r="E115" i="11" s="1"/>
  <c r="E116" i="9"/>
  <c r="E116" i="11" s="1"/>
  <c r="E118" i="9"/>
  <c r="E118" i="11" s="1"/>
  <c r="E119" i="9"/>
  <c r="E119" i="11" s="1"/>
  <c r="E120" i="9"/>
  <c r="E121" i="9"/>
  <c r="E121" i="11" s="1"/>
  <c r="E122" i="9"/>
  <c r="E122" i="11" s="1"/>
  <c r="E123" i="9"/>
  <c r="E123" i="11" s="1"/>
  <c r="E124" i="9"/>
  <c r="E124" i="11" s="1"/>
  <c r="E125" i="9"/>
  <c r="E125" i="11" s="1"/>
  <c r="E126" i="9"/>
  <c r="E127" i="9"/>
  <c r="E127" i="11" s="1"/>
  <c r="E128" i="9"/>
  <c r="E128" i="11" s="1"/>
  <c r="E129" i="9"/>
  <c r="E129" i="11" s="1"/>
  <c r="E130" i="9"/>
  <c r="E132" i="9"/>
  <c r="E133" i="9"/>
  <c r="E134" i="9"/>
  <c r="E134" i="11" s="1"/>
  <c r="E135" i="9"/>
  <c r="E135" i="11" s="1"/>
  <c r="E136" i="9"/>
  <c r="E136" i="11" s="1"/>
  <c r="E137" i="9"/>
  <c r="E137" i="11" s="1"/>
  <c r="E138" i="9"/>
  <c r="E138" i="11" s="1"/>
  <c r="E139" i="9"/>
  <c r="E139" i="11" s="1"/>
  <c r="E141" i="9"/>
  <c r="E141" i="11" s="1"/>
  <c r="E142" i="9"/>
  <c r="E143" i="9"/>
  <c r="E143" i="11" s="1"/>
  <c r="E144" i="9"/>
  <c r="E144" i="11" s="1"/>
  <c r="E146" i="9"/>
  <c r="E146" i="11" s="1"/>
  <c r="E147" i="9"/>
  <c r="E147" i="11" s="1"/>
  <c r="E148" i="9"/>
  <c r="E148" i="11" s="1"/>
  <c r="E149" i="9"/>
  <c r="E149" i="11" s="1"/>
  <c r="E150" i="9"/>
  <c r="E150" i="11" s="1"/>
  <c r="E152" i="9"/>
  <c r="E153" i="9"/>
  <c r="E153" i="11" s="1"/>
  <c r="E154" i="9"/>
  <c r="E155" i="9"/>
  <c r="E155" i="11" s="1"/>
  <c r="E156" i="9"/>
  <c r="E157" i="9"/>
  <c r="E157" i="11" s="1"/>
  <c r="E158" i="9"/>
  <c r="E158" i="11" s="1"/>
  <c r="E159" i="9"/>
  <c r="E160" i="9"/>
  <c r="E160" i="11" s="1"/>
  <c r="E161" i="9"/>
  <c r="E162" i="9"/>
  <c r="E162" i="11" s="1"/>
  <c r="E163" i="9"/>
  <c r="E163" i="11" s="1"/>
  <c r="E164" i="9"/>
  <c r="E165" i="9"/>
  <c r="E165" i="11" s="1"/>
  <c r="E166" i="9"/>
  <c r="E166" i="11" s="1"/>
  <c r="E167" i="9"/>
  <c r="E167" i="11" s="1"/>
  <c r="E169" i="9"/>
  <c r="E169" i="11" s="1"/>
  <c r="E170" i="9"/>
  <c r="E170" i="11" s="1"/>
  <c r="E171" i="9"/>
  <c r="E171" i="11" s="1"/>
  <c r="E172" i="9"/>
  <c r="E172" i="11" s="1"/>
  <c r="E173" i="9"/>
  <c r="E173" i="11" s="1"/>
  <c r="E174" i="9"/>
  <c r="E174" i="11" s="1"/>
  <c r="E175" i="9"/>
  <c r="E176" i="9"/>
  <c r="E176" i="11" s="1"/>
  <c r="E177" i="9"/>
  <c r="E177" i="11" s="1"/>
  <c r="E179" i="9"/>
  <c r="E179" i="11" s="1"/>
  <c r="E180" i="9"/>
  <c r="E180" i="11" s="1"/>
  <c r="E181" i="9"/>
  <c r="E181" i="11" s="1"/>
  <c r="E182" i="9"/>
  <c r="E182" i="11" s="1"/>
  <c r="E183" i="9"/>
  <c r="E183" i="11" s="1"/>
  <c r="E184" i="9"/>
  <c r="E185" i="9"/>
  <c r="E185" i="11" s="1"/>
  <c r="E186" i="9"/>
  <c r="E187" i="9"/>
  <c r="E187" i="11" s="1"/>
  <c r="E188" i="9"/>
  <c r="E189" i="9"/>
  <c r="E189" i="11" s="1"/>
  <c r="E190" i="9"/>
  <c r="E190" i="11" s="1"/>
  <c r="E191" i="9"/>
  <c r="E191" i="11" s="1"/>
  <c r="E192" i="9"/>
  <c r="E193" i="9"/>
  <c r="E193" i="11" s="1"/>
  <c r="E194" i="9"/>
  <c r="E195" i="9"/>
  <c r="E195" i="11" s="1"/>
  <c r="E196" i="9"/>
  <c r="E197" i="9"/>
  <c r="E197" i="11" s="1"/>
  <c r="E198" i="9"/>
  <c r="E198" i="11" s="1"/>
  <c r="E199" i="9"/>
  <c r="E199" i="11" s="1"/>
  <c r="E200" i="9"/>
  <c r="E201" i="9"/>
  <c r="E201" i="11" s="1"/>
  <c r="E202" i="9"/>
  <c r="E203" i="9"/>
  <c r="E203" i="11" s="1"/>
  <c r="E204" i="9"/>
  <c r="E205" i="9"/>
  <c r="E205" i="11" s="1"/>
  <c r="E206" i="9"/>
  <c r="E206" i="11" s="1"/>
  <c r="E207" i="9"/>
  <c r="E208" i="9"/>
  <c r="E209" i="9"/>
  <c r="E209" i="11" s="1"/>
  <c r="E210" i="9"/>
  <c r="E210" i="11" s="1"/>
  <c r="E211" i="9"/>
  <c r="E211" i="11" s="1"/>
  <c r="E212" i="9"/>
  <c r="E213" i="9"/>
  <c r="E213" i="11" s="1"/>
  <c r="E214" i="9"/>
  <c r="E215" i="9"/>
  <c r="E215" i="11" s="1"/>
  <c r="E217" i="9"/>
  <c r="E217" i="11" s="1"/>
  <c r="E218" i="9"/>
  <c r="E219" i="9"/>
  <c r="E219" i="11" s="1"/>
  <c r="E221" i="9"/>
  <c r="E221" i="11" s="1"/>
  <c r="E222" i="9"/>
  <c r="E223" i="9"/>
  <c r="E224" i="9"/>
  <c r="E225" i="9"/>
  <c r="E225" i="11" s="1"/>
  <c r="E226" i="9"/>
  <c r="E226" i="11" s="1"/>
  <c r="E227" i="9"/>
  <c r="E227" i="11" s="1"/>
  <c r="E228" i="9"/>
  <c r="E229" i="9"/>
  <c r="E229" i="11" s="1"/>
  <c r="E230" i="9"/>
  <c r="E230" i="11" s="1"/>
  <c r="E232" i="9"/>
  <c r="E232" i="11" s="1"/>
  <c r="E233" i="9"/>
  <c r="E233" i="11" s="1"/>
  <c r="E234" i="9"/>
  <c r="E234" i="11" s="1"/>
  <c r="E235" i="9"/>
  <c r="E236" i="9"/>
  <c r="E237" i="9"/>
  <c r="E237" i="11" s="1"/>
  <c r="E238" i="9"/>
  <c r="E238" i="11" s="1"/>
  <c r="E239" i="9"/>
  <c r="E239" i="11" s="1"/>
  <c r="E240" i="9"/>
  <c r="E240" i="11" s="1"/>
  <c r="E241" i="9"/>
  <c r="E241" i="11" s="1"/>
  <c r="E242" i="9"/>
  <c r="E242" i="11" s="1"/>
  <c r="E244" i="9"/>
  <c r="E244" i="11" s="1"/>
  <c r="E245" i="9"/>
  <c r="E245" i="11" s="1"/>
  <c r="E246" i="9"/>
  <c r="E246" i="11" s="1"/>
  <c r="E247" i="9"/>
  <c r="E247" i="11" s="1"/>
  <c r="E248" i="9"/>
  <c r="E248" i="11" s="1"/>
  <c r="E249" i="9"/>
  <c r="E249" i="11" s="1"/>
  <c r="E250" i="9"/>
  <c r="E250" i="11" s="1"/>
  <c r="E251" i="9"/>
  <c r="E251" i="11" s="1"/>
  <c r="E252" i="9"/>
  <c r="E252" i="11" s="1"/>
  <c r="E253" i="9"/>
  <c r="E253" i="11" s="1"/>
  <c r="E254" i="9"/>
  <c r="E254" i="11" s="1"/>
  <c r="E255" i="9"/>
  <c r="E255" i="11" s="1"/>
  <c r="E256" i="9"/>
  <c r="E256" i="11" s="1"/>
  <c r="E257" i="9"/>
  <c r="E257" i="11" s="1"/>
  <c r="E258" i="9"/>
  <c r="E258" i="11" s="1"/>
  <c r="E260" i="9"/>
  <c r="E260" i="11" s="1"/>
  <c r="E261" i="9"/>
  <c r="E261" i="11" s="1"/>
  <c r="E262" i="9"/>
  <c r="E262" i="11" s="1"/>
  <c r="E263" i="9"/>
  <c r="E263" i="11" s="1"/>
  <c r="E264" i="9"/>
  <c r="E264" i="11" s="1"/>
  <c r="E266" i="9"/>
  <c r="E266" i="11" s="1"/>
  <c r="E268" i="9"/>
  <c r="E268" i="11" s="1"/>
  <c r="E269" i="9"/>
  <c r="E269" i="11" s="1"/>
  <c r="E270" i="9"/>
  <c r="E270" i="11" s="1"/>
  <c r="E271" i="9"/>
  <c r="E271" i="11" s="1"/>
  <c r="E272" i="9"/>
  <c r="E272" i="11" s="1"/>
  <c r="E273" i="9"/>
  <c r="E274" i="9"/>
  <c r="E274" i="11" s="1"/>
  <c r="E275" i="9"/>
  <c r="E276" i="9"/>
  <c r="E276" i="11" s="1"/>
  <c r="E277" i="9"/>
  <c r="E277" i="11" s="1"/>
  <c r="E109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40" i="2"/>
  <c r="E41" i="2"/>
  <c r="E42" i="2"/>
  <c r="E44" i="2"/>
  <c r="E45" i="2"/>
  <c r="E46" i="2"/>
  <c r="E47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3" i="2"/>
  <c r="E74" i="2"/>
  <c r="E75" i="2"/>
  <c r="E76" i="2"/>
  <c r="E77" i="2"/>
  <c r="E78" i="2"/>
  <c r="E79" i="2"/>
  <c r="E80" i="2"/>
  <c r="E81" i="2"/>
  <c r="E82" i="2"/>
  <c r="E83" i="2"/>
  <c r="E85" i="2"/>
  <c r="E86" i="2"/>
  <c r="E87" i="2"/>
  <c r="E88" i="2"/>
  <c r="E89" i="2"/>
  <c r="E91" i="2"/>
  <c r="E92" i="2"/>
  <c r="E93" i="2"/>
  <c r="E94" i="2"/>
  <c r="E95" i="2"/>
  <c r="E96" i="2"/>
  <c r="E97" i="2"/>
  <c r="E98" i="2"/>
  <c r="E99" i="2"/>
  <c r="E100" i="2"/>
  <c r="E101" i="2"/>
  <c r="E102" i="2"/>
  <c r="E104" i="2"/>
  <c r="E105" i="2"/>
  <c r="E106" i="2"/>
  <c r="E107" i="2"/>
  <c r="E108" i="2"/>
  <c r="E110" i="2"/>
  <c r="E111" i="2"/>
  <c r="E112" i="2"/>
  <c r="E113" i="2"/>
  <c r="E114" i="2"/>
  <c r="E115" i="2"/>
  <c r="E116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2" i="2"/>
  <c r="E133" i="2"/>
  <c r="E134" i="2"/>
  <c r="E135" i="2"/>
  <c r="E136" i="2"/>
  <c r="E137" i="2"/>
  <c r="E138" i="2"/>
  <c r="E139" i="2"/>
  <c r="E141" i="2"/>
  <c r="E142" i="2"/>
  <c r="E143" i="2"/>
  <c r="E144" i="2"/>
  <c r="E146" i="2"/>
  <c r="E147" i="2"/>
  <c r="E148" i="2"/>
  <c r="E149" i="2"/>
  <c r="E150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9" i="2"/>
  <c r="E170" i="2"/>
  <c r="E171" i="2"/>
  <c r="E172" i="2"/>
  <c r="E173" i="2"/>
  <c r="E174" i="2"/>
  <c r="E175" i="2"/>
  <c r="E176" i="2"/>
  <c r="E177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7" i="2"/>
  <c r="E218" i="2"/>
  <c r="E219" i="2"/>
  <c r="E221" i="2"/>
  <c r="E222" i="2"/>
  <c r="E223" i="2"/>
  <c r="E224" i="2"/>
  <c r="E225" i="2"/>
  <c r="E226" i="2"/>
  <c r="E227" i="2"/>
  <c r="E228" i="2"/>
  <c r="E229" i="2"/>
  <c r="E230" i="2"/>
  <c r="E232" i="2"/>
  <c r="E233" i="2"/>
  <c r="E234" i="2"/>
  <c r="E235" i="2"/>
  <c r="E236" i="2"/>
  <c r="E237" i="2"/>
  <c r="E238" i="2"/>
  <c r="E239" i="2"/>
  <c r="E240" i="2"/>
  <c r="E241" i="2"/>
  <c r="E242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60" i="2"/>
  <c r="E261" i="2"/>
  <c r="E262" i="2"/>
  <c r="E263" i="2"/>
  <c r="E264" i="2"/>
  <c r="E266" i="2"/>
  <c r="E268" i="2"/>
  <c r="E269" i="2"/>
  <c r="E270" i="2"/>
  <c r="E271" i="2"/>
  <c r="E272" i="2"/>
  <c r="E273" i="2"/>
  <c r="E274" i="2"/>
  <c r="E275" i="2"/>
  <c r="E276" i="2"/>
  <c r="E277" i="2"/>
  <c r="D314" i="9"/>
  <c r="I314" i="9" s="1"/>
  <c r="E314" i="9"/>
  <c r="E314" i="2"/>
  <c r="D314" i="2"/>
  <c r="I314" i="2" s="1"/>
  <c r="I310" i="1"/>
  <c r="J310" i="1" s="1"/>
  <c r="C308" i="11"/>
  <c r="I308" i="9"/>
  <c r="I309" i="9" s="1"/>
  <c r="D305" i="9"/>
  <c r="D305" i="11" s="1"/>
  <c r="D302" i="2"/>
  <c r="D2" i="2"/>
  <c r="D2" i="9"/>
  <c r="D2" i="11" s="1"/>
  <c r="D3" i="2"/>
  <c r="D3" i="9"/>
  <c r="D3" i="11" s="1"/>
  <c r="D4" i="2"/>
  <c r="D4" i="9"/>
  <c r="D4" i="11" s="1"/>
  <c r="D5" i="2"/>
  <c r="D5" i="9"/>
  <c r="D5" i="11" s="1"/>
  <c r="D6" i="2"/>
  <c r="D6" i="9"/>
  <c r="D6" i="11" s="1"/>
  <c r="D7" i="2"/>
  <c r="D7" i="9"/>
  <c r="D7" i="11" s="1"/>
  <c r="D8" i="2"/>
  <c r="D8" i="9"/>
  <c r="D8" i="11" s="1"/>
  <c r="D9" i="2"/>
  <c r="D9" i="9"/>
  <c r="D9" i="11" s="1"/>
  <c r="D10" i="2"/>
  <c r="D10" i="9"/>
  <c r="D10" i="11" s="1"/>
  <c r="D11" i="2"/>
  <c r="D11" i="9"/>
  <c r="D11" i="11" s="1"/>
  <c r="D12" i="2"/>
  <c r="D12" i="9"/>
  <c r="D12" i="11" s="1"/>
  <c r="D13" i="2"/>
  <c r="D13" i="9"/>
  <c r="D13" i="11" s="1"/>
  <c r="D14" i="2"/>
  <c r="D14" i="9"/>
  <c r="D14" i="11" s="1"/>
  <c r="D15" i="2"/>
  <c r="D15" i="9"/>
  <c r="D15" i="11" s="1"/>
  <c r="D16" i="2"/>
  <c r="D16" i="9"/>
  <c r="D16" i="11" s="1"/>
  <c r="D17" i="2"/>
  <c r="D17" i="9"/>
  <c r="D17" i="11" s="1"/>
  <c r="D18" i="2"/>
  <c r="D18" i="9"/>
  <c r="D18" i="11" s="1"/>
  <c r="D19" i="2"/>
  <c r="D19" i="9"/>
  <c r="D19" i="11" s="1"/>
  <c r="D20" i="2"/>
  <c r="D20" i="9"/>
  <c r="D20" i="11" s="1"/>
  <c r="D21" i="2"/>
  <c r="D21" i="9"/>
  <c r="D21" i="11" s="1"/>
  <c r="D22" i="2"/>
  <c r="D22" i="9"/>
  <c r="D22" i="11" s="1"/>
  <c r="D23" i="2"/>
  <c r="D23" i="9"/>
  <c r="D23" i="11" s="1"/>
  <c r="D24" i="2"/>
  <c r="D24" i="9"/>
  <c r="D24" i="11" s="1"/>
  <c r="D25" i="2"/>
  <c r="D25" i="9"/>
  <c r="D25" i="11" s="1"/>
  <c r="D26" i="2"/>
  <c r="D26" i="9"/>
  <c r="D26" i="11" s="1"/>
  <c r="D27" i="2"/>
  <c r="D27" i="9"/>
  <c r="D27" i="11" s="1"/>
  <c r="D28" i="2"/>
  <c r="D28" i="9"/>
  <c r="D28" i="11" s="1"/>
  <c r="D29" i="2"/>
  <c r="D29" i="9"/>
  <c r="D29" i="11" s="1"/>
  <c r="D30" i="2"/>
  <c r="D30" i="9"/>
  <c r="D30" i="11" s="1"/>
  <c r="D31" i="2"/>
  <c r="D31" i="9"/>
  <c r="D31" i="11" s="1"/>
  <c r="D32" i="2"/>
  <c r="D32" i="9"/>
  <c r="D32" i="11" s="1"/>
  <c r="D33" i="2"/>
  <c r="D33" i="9"/>
  <c r="D33" i="11" s="1"/>
  <c r="D34" i="2"/>
  <c r="D34" i="9"/>
  <c r="D34" i="11" s="1"/>
  <c r="D35" i="2"/>
  <c r="D35" i="9"/>
  <c r="D35" i="11" s="1"/>
  <c r="D36" i="2"/>
  <c r="D36" i="9"/>
  <c r="D36" i="11" s="1"/>
  <c r="D37" i="2"/>
  <c r="D37" i="9"/>
  <c r="D37" i="11" s="1"/>
  <c r="D38" i="2"/>
  <c r="D38" i="9"/>
  <c r="D38" i="11" s="1"/>
  <c r="D39" i="2"/>
  <c r="D39" i="9"/>
  <c r="D39" i="11" s="1"/>
  <c r="D40" i="2"/>
  <c r="D40" i="9"/>
  <c r="D40" i="11" s="1"/>
  <c r="D41" i="2"/>
  <c r="D41" i="9"/>
  <c r="D41" i="11" s="1"/>
  <c r="D42" i="2"/>
  <c r="D42" i="9"/>
  <c r="D42" i="11" s="1"/>
  <c r="D43" i="2"/>
  <c r="D43" i="9"/>
  <c r="D43" i="11" s="1"/>
  <c r="D44" i="2"/>
  <c r="D44" i="9"/>
  <c r="D44" i="11" s="1"/>
  <c r="D45" i="2"/>
  <c r="D45" i="9"/>
  <c r="D45" i="11" s="1"/>
  <c r="D46" i="2"/>
  <c r="D46" i="9"/>
  <c r="D46" i="11" s="1"/>
  <c r="D47" i="2"/>
  <c r="D47" i="9"/>
  <c r="D47" i="11" s="1"/>
  <c r="D48" i="2"/>
  <c r="D48" i="9"/>
  <c r="D48" i="11" s="1"/>
  <c r="D49" i="2"/>
  <c r="D49" i="9"/>
  <c r="D49" i="11" s="1"/>
  <c r="D50" i="2"/>
  <c r="D50" i="9"/>
  <c r="D50" i="11" s="1"/>
  <c r="D51" i="2"/>
  <c r="D51" i="9"/>
  <c r="D51" i="11" s="1"/>
  <c r="D52" i="2"/>
  <c r="D52" i="9"/>
  <c r="D52" i="11" s="1"/>
  <c r="D53" i="2"/>
  <c r="D53" i="9"/>
  <c r="D53" i="11" s="1"/>
  <c r="D54" i="2"/>
  <c r="D54" i="9"/>
  <c r="D54" i="11" s="1"/>
  <c r="D55" i="2"/>
  <c r="D55" i="9"/>
  <c r="D55" i="11" s="1"/>
  <c r="D56" i="2"/>
  <c r="D56" i="9"/>
  <c r="D56" i="11" s="1"/>
  <c r="D57" i="2"/>
  <c r="D57" i="9"/>
  <c r="D57" i="11" s="1"/>
  <c r="D58" i="2"/>
  <c r="D58" i="9"/>
  <c r="D58" i="11" s="1"/>
  <c r="D59" i="2"/>
  <c r="D59" i="9"/>
  <c r="D59" i="11" s="1"/>
  <c r="D60" i="2"/>
  <c r="D60" i="9"/>
  <c r="D60" i="11" s="1"/>
  <c r="D61" i="2"/>
  <c r="D61" i="9"/>
  <c r="D61" i="11" s="1"/>
  <c r="D62" i="2"/>
  <c r="D62" i="9"/>
  <c r="D62" i="11" s="1"/>
  <c r="D63" i="2"/>
  <c r="D63" i="9"/>
  <c r="D63" i="11" s="1"/>
  <c r="D64" i="2"/>
  <c r="D64" i="9"/>
  <c r="D64" i="11" s="1"/>
  <c r="D65" i="2"/>
  <c r="D65" i="9"/>
  <c r="D65" i="11" s="1"/>
  <c r="D66" i="2"/>
  <c r="D66" i="9"/>
  <c r="D66" i="11" s="1"/>
  <c r="D67" i="2"/>
  <c r="D67" i="9"/>
  <c r="D67" i="11" s="1"/>
  <c r="D68" i="2"/>
  <c r="D68" i="9"/>
  <c r="D68" i="11" s="1"/>
  <c r="D69" i="2"/>
  <c r="D69" i="9"/>
  <c r="D69" i="11" s="1"/>
  <c r="D70" i="2"/>
  <c r="D70" i="9"/>
  <c r="D70" i="11" s="1"/>
  <c r="D71" i="2"/>
  <c r="D71" i="9"/>
  <c r="D71" i="11" s="1"/>
  <c r="D72" i="2"/>
  <c r="D72" i="9"/>
  <c r="D72" i="11" s="1"/>
  <c r="D73" i="2"/>
  <c r="D73" i="9"/>
  <c r="D73" i="11" s="1"/>
  <c r="D74" i="2"/>
  <c r="D74" i="9"/>
  <c r="D74" i="11" s="1"/>
  <c r="D75" i="2"/>
  <c r="D75" i="9"/>
  <c r="D75" i="11" s="1"/>
  <c r="D76" i="2"/>
  <c r="D76" i="9"/>
  <c r="D76" i="11" s="1"/>
  <c r="D77" i="2"/>
  <c r="D77" i="9"/>
  <c r="D77" i="11" s="1"/>
  <c r="D78" i="2"/>
  <c r="D78" i="9"/>
  <c r="D78" i="11" s="1"/>
  <c r="D79" i="2"/>
  <c r="D79" i="9"/>
  <c r="D79" i="11" s="1"/>
  <c r="D80" i="2"/>
  <c r="D80" i="9"/>
  <c r="D80" i="11" s="1"/>
  <c r="D81" i="2"/>
  <c r="D81" i="9"/>
  <c r="D81" i="11" s="1"/>
  <c r="D82" i="2"/>
  <c r="D82" i="9"/>
  <c r="D82" i="11" s="1"/>
  <c r="D83" i="2"/>
  <c r="D83" i="9"/>
  <c r="D83" i="11" s="1"/>
  <c r="D84" i="2"/>
  <c r="D84" i="9"/>
  <c r="D84" i="11" s="1"/>
  <c r="D85" i="2"/>
  <c r="D85" i="9"/>
  <c r="D85" i="11" s="1"/>
  <c r="D86" i="2"/>
  <c r="D86" i="9"/>
  <c r="D86" i="11" s="1"/>
  <c r="D87" i="2"/>
  <c r="D87" i="9"/>
  <c r="D87" i="11" s="1"/>
  <c r="D88" i="2"/>
  <c r="D88" i="9"/>
  <c r="D88" i="11" s="1"/>
  <c r="D89" i="2"/>
  <c r="D89" i="9"/>
  <c r="D89" i="11" s="1"/>
  <c r="D90" i="2"/>
  <c r="D90" i="9"/>
  <c r="D90" i="11" s="1"/>
  <c r="D91" i="2"/>
  <c r="D91" i="9"/>
  <c r="D91" i="11" s="1"/>
  <c r="D92" i="2"/>
  <c r="D92" i="9"/>
  <c r="D92" i="11" s="1"/>
  <c r="D93" i="2"/>
  <c r="D93" i="9"/>
  <c r="D93" i="11" s="1"/>
  <c r="D94" i="2"/>
  <c r="D94" i="9"/>
  <c r="D94" i="11" s="1"/>
  <c r="D95" i="2"/>
  <c r="D95" i="9"/>
  <c r="D95" i="11" s="1"/>
  <c r="D96" i="2"/>
  <c r="D96" i="9"/>
  <c r="D96" i="11" s="1"/>
  <c r="D97" i="2"/>
  <c r="D97" i="9"/>
  <c r="D97" i="11" s="1"/>
  <c r="D98" i="2"/>
  <c r="D98" i="9"/>
  <c r="D98" i="11" s="1"/>
  <c r="D99" i="2"/>
  <c r="D99" i="9"/>
  <c r="D99" i="11" s="1"/>
  <c r="D100" i="2"/>
  <c r="D100" i="9"/>
  <c r="D100" i="11" s="1"/>
  <c r="D101" i="2"/>
  <c r="D101" i="9"/>
  <c r="D101" i="11" s="1"/>
  <c r="D102" i="2"/>
  <c r="D102" i="9"/>
  <c r="D102" i="11" s="1"/>
  <c r="D103" i="2"/>
  <c r="D103" i="9"/>
  <c r="D103" i="11" s="1"/>
  <c r="D104" i="2"/>
  <c r="D104" i="9"/>
  <c r="D104" i="11" s="1"/>
  <c r="D105" i="2"/>
  <c r="D105" i="9"/>
  <c r="D105" i="11" s="1"/>
  <c r="D106" i="2"/>
  <c r="D106" i="9"/>
  <c r="D106" i="11" s="1"/>
  <c r="D107" i="2"/>
  <c r="D107" i="9"/>
  <c r="D107" i="11" s="1"/>
  <c r="D108" i="2"/>
  <c r="D108" i="9"/>
  <c r="D108" i="11" s="1"/>
  <c r="D109" i="2"/>
  <c r="D109" i="9"/>
  <c r="D110" i="2"/>
  <c r="D110" i="9"/>
  <c r="D110" i="11" s="1"/>
  <c r="D111" i="2"/>
  <c r="D111" i="9"/>
  <c r="D111" i="11" s="1"/>
  <c r="D112" i="2"/>
  <c r="D112" i="9"/>
  <c r="D112" i="11" s="1"/>
  <c r="D113" i="2"/>
  <c r="D113" i="9"/>
  <c r="D113" i="11" s="1"/>
  <c r="D114" i="2"/>
  <c r="D114" i="9"/>
  <c r="D114" i="11" s="1"/>
  <c r="D115" i="2"/>
  <c r="D115" i="9"/>
  <c r="D115" i="11" s="1"/>
  <c r="D116" i="2"/>
  <c r="D116" i="9"/>
  <c r="D116" i="11" s="1"/>
  <c r="D117" i="2"/>
  <c r="D117" i="9"/>
  <c r="D117" i="11" s="1"/>
  <c r="D118" i="2"/>
  <c r="D118" i="9"/>
  <c r="D118" i="11" s="1"/>
  <c r="D119" i="2"/>
  <c r="D119" i="9"/>
  <c r="D119" i="11" s="1"/>
  <c r="D120" i="2"/>
  <c r="D120" i="9"/>
  <c r="D120" i="11" s="1"/>
  <c r="D121" i="2"/>
  <c r="D121" i="9"/>
  <c r="D121" i="11" s="1"/>
  <c r="D122" i="2"/>
  <c r="D122" i="9"/>
  <c r="D122" i="11" s="1"/>
  <c r="D123" i="2"/>
  <c r="D123" i="9"/>
  <c r="D123" i="11" s="1"/>
  <c r="D124" i="2"/>
  <c r="D124" i="9"/>
  <c r="D124" i="11" s="1"/>
  <c r="D125" i="2"/>
  <c r="D125" i="9"/>
  <c r="D125" i="11" s="1"/>
  <c r="D126" i="2"/>
  <c r="D126" i="9"/>
  <c r="D126" i="11" s="1"/>
  <c r="D127" i="2"/>
  <c r="D127" i="9"/>
  <c r="D127" i="11" s="1"/>
  <c r="D128" i="2"/>
  <c r="D128" i="9"/>
  <c r="D128" i="11" s="1"/>
  <c r="D129" i="2"/>
  <c r="D129" i="9"/>
  <c r="D129" i="11" s="1"/>
  <c r="D130" i="2"/>
  <c r="D130" i="9"/>
  <c r="D130" i="11" s="1"/>
  <c r="D131" i="2"/>
  <c r="D131" i="9"/>
  <c r="D131" i="11" s="1"/>
  <c r="D132" i="2"/>
  <c r="D132" i="9"/>
  <c r="D132" i="11" s="1"/>
  <c r="D133" i="2"/>
  <c r="D133" i="9"/>
  <c r="D133" i="11" s="1"/>
  <c r="D134" i="2"/>
  <c r="D134" i="9"/>
  <c r="D134" i="11" s="1"/>
  <c r="D135" i="2"/>
  <c r="D135" i="9"/>
  <c r="D135" i="11" s="1"/>
  <c r="D136" i="2"/>
  <c r="D136" i="9"/>
  <c r="D136" i="11" s="1"/>
  <c r="D137" i="2"/>
  <c r="D137" i="9"/>
  <c r="D137" i="11" s="1"/>
  <c r="D138" i="2"/>
  <c r="D138" i="9"/>
  <c r="D138" i="11" s="1"/>
  <c r="D139" i="2"/>
  <c r="D139" i="9"/>
  <c r="D139" i="11" s="1"/>
  <c r="D140" i="2"/>
  <c r="D140" i="9"/>
  <c r="D140" i="11" s="1"/>
  <c r="D141" i="2"/>
  <c r="D141" i="9"/>
  <c r="D141" i="11" s="1"/>
  <c r="D142" i="2"/>
  <c r="D142" i="9"/>
  <c r="D142" i="11" s="1"/>
  <c r="D143" i="2"/>
  <c r="D143" i="9"/>
  <c r="D143" i="11" s="1"/>
  <c r="D144" i="2"/>
  <c r="D144" i="9"/>
  <c r="D144" i="11" s="1"/>
  <c r="D145" i="2"/>
  <c r="D145" i="9"/>
  <c r="D145" i="11" s="1"/>
  <c r="D146" i="2"/>
  <c r="D146" i="9"/>
  <c r="D146" i="11" s="1"/>
  <c r="D147" i="2"/>
  <c r="D147" i="9"/>
  <c r="D147" i="11" s="1"/>
  <c r="D148" i="2"/>
  <c r="D148" i="9"/>
  <c r="D148" i="11" s="1"/>
  <c r="D149" i="2"/>
  <c r="D149" i="9"/>
  <c r="D149" i="11" s="1"/>
  <c r="D150" i="2"/>
  <c r="D150" i="9"/>
  <c r="D150" i="11" s="1"/>
  <c r="D151" i="2"/>
  <c r="D151" i="9"/>
  <c r="D151" i="11" s="1"/>
  <c r="D152" i="2"/>
  <c r="D152" i="9"/>
  <c r="D152" i="11" s="1"/>
  <c r="D153" i="2"/>
  <c r="D153" i="9"/>
  <c r="D153" i="11" s="1"/>
  <c r="D154" i="2"/>
  <c r="D154" i="9"/>
  <c r="D154" i="11" s="1"/>
  <c r="D155" i="2"/>
  <c r="D155" i="9"/>
  <c r="D155" i="11" s="1"/>
  <c r="D156" i="2"/>
  <c r="D156" i="9"/>
  <c r="D156" i="11" s="1"/>
  <c r="D157" i="2"/>
  <c r="D157" i="9"/>
  <c r="D157" i="11" s="1"/>
  <c r="D158" i="2"/>
  <c r="D158" i="9"/>
  <c r="D158" i="11" s="1"/>
  <c r="D159" i="2"/>
  <c r="D159" i="9"/>
  <c r="D159" i="11" s="1"/>
  <c r="D160" i="2"/>
  <c r="D160" i="9"/>
  <c r="D160" i="11" s="1"/>
  <c r="D161" i="2"/>
  <c r="D161" i="9"/>
  <c r="D161" i="11" s="1"/>
  <c r="D162" i="2"/>
  <c r="D162" i="9"/>
  <c r="D162" i="11" s="1"/>
  <c r="D163" i="2"/>
  <c r="D163" i="9"/>
  <c r="D163" i="11" s="1"/>
  <c r="D164" i="2"/>
  <c r="D164" i="9"/>
  <c r="D164" i="11" s="1"/>
  <c r="D165" i="2"/>
  <c r="D165" i="9"/>
  <c r="D165" i="11" s="1"/>
  <c r="D166" i="2"/>
  <c r="D166" i="9"/>
  <c r="D166" i="11" s="1"/>
  <c r="D167" i="2"/>
  <c r="D167" i="9"/>
  <c r="D167" i="11" s="1"/>
  <c r="D168" i="2"/>
  <c r="D168" i="9"/>
  <c r="D168" i="11" s="1"/>
  <c r="D169" i="2"/>
  <c r="D169" i="9"/>
  <c r="D169" i="11" s="1"/>
  <c r="D170" i="2"/>
  <c r="D170" i="9"/>
  <c r="D170" i="11" s="1"/>
  <c r="D171" i="2"/>
  <c r="D171" i="9"/>
  <c r="D171" i="11" s="1"/>
  <c r="D172" i="2"/>
  <c r="D172" i="9"/>
  <c r="D172" i="11" s="1"/>
  <c r="D173" i="2"/>
  <c r="D173" i="9"/>
  <c r="D173" i="11" s="1"/>
  <c r="D174" i="2"/>
  <c r="D174" i="9"/>
  <c r="D174" i="11" s="1"/>
  <c r="D175" i="2"/>
  <c r="D175" i="9"/>
  <c r="D175" i="11" s="1"/>
  <c r="D176" i="2"/>
  <c r="D176" i="9"/>
  <c r="D176" i="11" s="1"/>
  <c r="D177" i="2"/>
  <c r="D177" i="9"/>
  <c r="D177" i="11" s="1"/>
  <c r="D178" i="2"/>
  <c r="D178" i="9"/>
  <c r="D178" i="11" s="1"/>
  <c r="D179" i="2"/>
  <c r="D179" i="9"/>
  <c r="D179" i="11" s="1"/>
  <c r="D180" i="2"/>
  <c r="D180" i="9"/>
  <c r="D180" i="11" s="1"/>
  <c r="D181" i="2"/>
  <c r="D181" i="9"/>
  <c r="D181" i="11" s="1"/>
  <c r="D182" i="2"/>
  <c r="D182" i="9"/>
  <c r="D182" i="11" s="1"/>
  <c r="D183" i="2"/>
  <c r="D183" i="9"/>
  <c r="D183" i="11" s="1"/>
  <c r="D184" i="2"/>
  <c r="D184" i="9"/>
  <c r="D184" i="11" s="1"/>
  <c r="D185" i="2"/>
  <c r="D185" i="9"/>
  <c r="D185" i="11" s="1"/>
  <c r="D186" i="2"/>
  <c r="D186" i="9"/>
  <c r="D186" i="11" s="1"/>
  <c r="D187" i="2"/>
  <c r="D187" i="9"/>
  <c r="D187" i="11" s="1"/>
  <c r="D188" i="2"/>
  <c r="D188" i="9"/>
  <c r="D188" i="11" s="1"/>
  <c r="D189" i="2"/>
  <c r="D189" i="9"/>
  <c r="D189" i="11" s="1"/>
  <c r="D190" i="2"/>
  <c r="D190" i="9"/>
  <c r="D190" i="11" s="1"/>
  <c r="D191" i="2"/>
  <c r="D191" i="9"/>
  <c r="D191" i="11" s="1"/>
  <c r="D192" i="2"/>
  <c r="D192" i="9"/>
  <c r="D192" i="11" s="1"/>
  <c r="D193" i="2"/>
  <c r="D193" i="9"/>
  <c r="D193" i="11" s="1"/>
  <c r="D194" i="2"/>
  <c r="D194" i="9"/>
  <c r="D194" i="11" s="1"/>
  <c r="D195" i="2"/>
  <c r="D195" i="9"/>
  <c r="D195" i="11" s="1"/>
  <c r="D196" i="2"/>
  <c r="D196" i="9"/>
  <c r="D196" i="11" s="1"/>
  <c r="D197" i="2"/>
  <c r="D197" i="9"/>
  <c r="D197" i="11" s="1"/>
  <c r="D198" i="2"/>
  <c r="D198" i="9"/>
  <c r="D198" i="11" s="1"/>
  <c r="D199" i="2"/>
  <c r="D199" i="9"/>
  <c r="D199" i="11" s="1"/>
  <c r="D200" i="2"/>
  <c r="D200" i="9"/>
  <c r="D200" i="11" s="1"/>
  <c r="D201" i="2"/>
  <c r="D201" i="9"/>
  <c r="D201" i="11" s="1"/>
  <c r="D202" i="2"/>
  <c r="D202" i="9"/>
  <c r="D202" i="11" s="1"/>
  <c r="D203" i="2"/>
  <c r="D203" i="9"/>
  <c r="D203" i="11" s="1"/>
  <c r="D204" i="2"/>
  <c r="D204" i="9"/>
  <c r="D204" i="11" s="1"/>
  <c r="D205" i="2"/>
  <c r="D205" i="9"/>
  <c r="D205" i="11" s="1"/>
  <c r="D206" i="2"/>
  <c r="D206" i="9"/>
  <c r="D206" i="11" s="1"/>
  <c r="D207" i="2"/>
  <c r="D207" i="9"/>
  <c r="D207" i="11" s="1"/>
  <c r="D208" i="2"/>
  <c r="D208" i="9"/>
  <c r="D208" i="11" s="1"/>
  <c r="D209" i="2"/>
  <c r="D209" i="9"/>
  <c r="D209" i="11" s="1"/>
  <c r="D210" i="2"/>
  <c r="D210" i="9"/>
  <c r="D210" i="11" s="1"/>
  <c r="D211" i="2"/>
  <c r="D211" i="9"/>
  <c r="D211" i="11" s="1"/>
  <c r="D212" i="2"/>
  <c r="D212" i="9"/>
  <c r="D212" i="11" s="1"/>
  <c r="D213" i="2"/>
  <c r="D213" i="9"/>
  <c r="D213" i="11" s="1"/>
  <c r="D214" i="2"/>
  <c r="D214" i="9"/>
  <c r="D214" i="11" s="1"/>
  <c r="D215" i="2"/>
  <c r="D215" i="9"/>
  <c r="D215" i="11" s="1"/>
  <c r="D216" i="2"/>
  <c r="D216" i="9"/>
  <c r="D216" i="11" s="1"/>
  <c r="D217" i="2"/>
  <c r="D217" i="9"/>
  <c r="D217" i="11" s="1"/>
  <c r="D218" i="2"/>
  <c r="D218" i="9"/>
  <c r="D218" i="11" s="1"/>
  <c r="D219" i="2"/>
  <c r="D219" i="9"/>
  <c r="D219" i="11" s="1"/>
  <c r="D220" i="2"/>
  <c r="D220" i="9"/>
  <c r="D220" i="11" s="1"/>
  <c r="D221" i="2"/>
  <c r="D221" i="9"/>
  <c r="D221" i="11" s="1"/>
  <c r="D222" i="2"/>
  <c r="D222" i="9"/>
  <c r="D222" i="11" s="1"/>
  <c r="D223" i="2"/>
  <c r="D223" i="9"/>
  <c r="D223" i="11" s="1"/>
  <c r="D224" i="2"/>
  <c r="D224" i="9"/>
  <c r="D224" i="11" s="1"/>
  <c r="D225" i="2"/>
  <c r="D225" i="9"/>
  <c r="D225" i="11" s="1"/>
  <c r="D226" i="2"/>
  <c r="D226" i="9"/>
  <c r="D226" i="11" s="1"/>
  <c r="D227" i="2"/>
  <c r="D227" i="9"/>
  <c r="D227" i="11" s="1"/>
  <c r="D228" i="2"/>
  <c r="D228" i="9"/>
  <c r="D228" i="11" s="1"/>
  <c r="D229" i="2"/>
  <c r="D229" i="9"/>
  <c r="D229" i="11" s="1"/>
  <c r="D230" i="2"/>
  <c r="D230" i="9"/>
  <c r="D230" i="11" s="1"/>
  <c r="D231" i="2"/>
  <c r="D231" i="9"/>
  <c r="D231" i="11" s="1"/>
  <c r="D232" i="2"/>
  <c r="D232" i="9"/>
  <c r="D232" i="11" s="1"/>
  <c r="D233" i="2"/>
  <c r="D233" i="9"/>
  <c r="D233" i="11" s="1"/>
  <c r="D234" i="2"/>
  <c r="D234" i="9"/>
  <c r="D234" i="11" s="1"/>
  <c r="D235" i="2"/>
  <c r="D235" i="9"/>
  <c r="D235" i="11" s="1"/>
  <c r="D236" i="2"/>
  <c r="D236" i="9"/>
  <c r="D236" i="11" s="1"/>
  <c r="D237" i="2"/>
  <c r="D237" i="9"/>
  <c r="D237" i="11" s="1"/>
  <c r="D238" i="2"/>
  <c r="D238" i="9"/>
  <c r="D238" i="11" s="1"/>
  <c r="D239" i="2"/>
  <c r="D239" i="9"/>
  <c r="D239" i="11" s="1"/>
  <c r="D240" i="2"/>
  <c r="D240" i="9"/>
  <c r="D240" i="11" s="1"/>
  <c r="D241" i="2"/>
  <c r="D241" i="9"/>
  <c r="D241" i="11" s="1"/>
  <c r="D242" i="2"/>
  <c r="D242" i="9"/>
  <c r="D242" i="11" s="1"/>
  <c r="D243" i="2"/>
  <c r="D243" i="9"/>
  <c r="D243" i="11" s="1"/>
  <c r="D244" i="2"/>
  <c r="D244" i="9"/>
  <c r="D244" i="11" s="1"/>
  <c r="D245" i="2"/>
  <c r="D245" i="9"/>
  <c r="D245" i="11" s="1"/>
  <c r="D246" i="2"/>
  <c r="D246" i="9"/>
  <c r="D246" i="11" s="1"/>
  <c r="D247" i="2"/>
  <c r="D247" i="9"/>
  <c r="D247" i="11" s="1"/>
  <c r="D248" i="2"/>
  <c r="D248" i="9"/>
  <c r="D248" i="11" s="1"/>
  <c r="D249" i="2"/>
  <c r="D249" i="9"/>
  <c r="D249" i="11" s="1"/>
  <c r="D250" i="2"/>
  <c r="D250" i="9"/>
  <c r="D250" i="11" s="1"/>
  <c r="D251" i="2"/>
  <c r="D251" i="9"/>
  <c r="D251" i="11" s="1"/>
  <c r="D252" i="2"/>
  <c r="D252" i="9"/>
  <c r="D252" i="11" s="1"/>
  <c r="D253" i="2"/>
  <c r="D253" i="9"/>
  <c r="D253" i="11" s="1"/>
  <c r="D254" i="2"/>
  <c r="D254" i="9"/>
  <c r="D254" i="11" s="1"/>
  <c r="D255" i="2"/>
  <c r="D255" i="9"/>
  <c r="D255" i="11" s="1"/>
  <c r="D256" i="2"/>
  <c r="D256" i="9"/>
  <c r="D256" i="11" s="1"/>
  <c r="D257" i="2"/>
  <c r="D257" i="9"/>
  <c r="D257" i="11" s="1"/>
  <c r="D258" i="2"/>
  <c r="D258" i="9"/>
  <c r="D258" i="11" s="1"/>
  <c r="D259" i="2"/>
  <c r="D259" i="9"/>
  <c r="D259" i="11" s="1"/>
  <c r="D260" i="2"/>
  <c r="D260" i="9"/>
  <c r="D260" i="11" s="1"/>
  <c r="D261" i="2"/>
  <c r="D261" i="9"/>
  <c r="D261" i="11" s="1"/>
  <c r="D262" i="2"/>
  <c r="D262" i="9"/>
  <c r="D262" i="11" s="1"/>
  <c r="D263" i="2"/>
  <c r="D263" i="9"/>
  <c r="D263" i="11" s="1"/>
  <c r="D264" i="2"/>
  <c r="D264" i="9"/>
  <c r="D264" i="11" s="1"/>
  <c r="D265" i="2"/>
  <c r="D265" i="9"/>
  <c r="D265" i="11" s="1"/>
  <c r="D266" i="2"/>
  <c r="D266" i="9"/>
  <c r="D266" i="11" s="1"/>
  <c r="D267" i="2"/>
  <c r="D267" i="9"/>
  <c r="D267" i="11" s="1"/>
  <c r="D268" i="2"/>
  <c r="D268" i="9"/>
  <c r="D268" i="11" s="1"/>
  <c r="D269" i="2"/>
  <c r="D269" i="9"/>
  <c r="D269" i="11" s="1"/>
  <c r="D270" i="2"/>
  <c r="D270" i="9"/>
  <c r="D270" i="11" s="1"/>
  <c r="D271" i="2"/>
  <c r="D271" i="9"/>
  <c r="D271" i="11" s="1"/>
  <c r="D272" i="2"/>
  <c r="D272" i="9"/>
  <c r="D272" i="11" s="1"/>
  <c r="D273" i="2"/>
  <c r="D273" i="9"/>
  <c r="D273" i="11" s="1"/>
  <c r="D274" i="2"/>
  <c r="D274" i="9"/>
  <c r="D274" i="11" s="1"/>
  <c r="D275" i="2"/>
  <c r="D275" i="9"/>
  <c r="D275" i="11" s="1"/>
  <c r="D276" i="2"/>
  <c r="D276" i="9"/>
  <c r="D277" i="2"/>
  <c r="D277" i="9"/>
  <c r="D277" i="11" s="1"/>
  <c r="D278" i="9"/>
  <c r="D278" i="11" s="1"/>
  <c r="D279" i="9"/>
  <c r="D279" i="11" s="1"/>
  <c r="D280" i="9"/>
  <c r="D280" i="11" s="1"/>
  <c r="D281" i="9"/>
  <c r="D281" i="11" s="1"/>
  <c r="D282" i="9"/>
  <c r="D282" i="11" s="1"/>
  <c r="D283" i="9"/>
  <c r="D283" i="11" s="1"/>
  <c r="D284" i="9"/>
  <c r="D284" i="11" s="1"/>
  <c r="D285" i="9"/>
  <c r="D285" i="11" s="1"/>
  <c r="D286" i="9"/>
  <c r="D286" i="11" s="1"/>
  <c r="D287" i="9"/>
  <c r="D287" i="11" s="1"/>
  <c r="D288" i="9"/>
  <c r="D288" i="11" s="1"/>
  <c r="D289" i="9"/>
  <c r="D289" i="11" s="1"/>
  <c r="I292" i="9"/>
  <c r="I293" i="9" s="1"/>
  <c r="I294" i="9" s="1"/>
  <c r="I295" i="9" s="1"/>
  <c r="I296" i="9" s="1"/>
  <c r="I297" i="9" s="1"/>
  <c r="I298" i="9" s="1"/>
  <c r="I299" i="9" s="1"/>
  <c r="I300" i="9" s="1"/>
  <c r="I301" i="9" s="1"/>
  <c r="I302" i="9" s="1"/>
  <c r="I303" i="9" s="1"/>
  <c r="I304" i="9" s="1"/>
  <c r="I305" i="9" s="1"/>
  <c r="I306" i="9" s="1"/>
  <c r="I194" i="9"/>
  <c r="I195" i="9" s="1"/>
  <c r="I196" i="9" s="1"/>
  <c r="I197" i="9" s="1"/>
  <c r="I198" i="9" s="1"/>
  <c r="I199" i="9" s="1"/>
  <c r="I200" i="9" s="1"/>
  <c r="I201" i="9" s="1"/>
  <c r="I202" i="9" s="1"/>
  <c r="I203" i="9" s="1"/>
  <c r="I204" i="9" s="1"/>
  <c r="I205" i="9" s="1"/>
  <c r="I206" i="9" s="1"/>
  <c r="I207" i="9" s="1"/>
  <c r="I208" i="9" s="1"/>
  <c r="I209" i="9" s="1"/>
  <c r="I210" i="9" s="1"/>
  <c r="I211" i="9" s="1"/>
  <c r="I212" i="9" s="1"/>
  <c r="I213" i="9" s="1"/>
  <c r="I214" i="9" s="1"/>
  <c r="I215" i="9" s="1"/>
  <c r="I216" i="9" s="1"/>
  <c r="I217" i="9" s="1"/>
  <c r="I218" i="9" s="1"/>
  <c r="I219" i="9" s="1"/>
  <c r="I220" i="9" s="1"/>
  <c r="I221" i="9" s="1"/>
  <c r="I222" i="9" s="1"/>
  <c r="I223" i="9" s="1"/>
  <c r="I224" i="9" s="1"/>
  <c r="I225" i="9" s="1"/>
  <c r="I226" i="9" s="1"/>
  <c r="I227" i="9" s="1"/>
  <c r="I228" i="9" s="1"/>
  <c r="I229" i="9" s="1"/>
  <c r="I230" i="9" s="1"/>
  <c r="I231" i="9" s="1"/>
  <c r="I232" i="9" s="1"/>
  <c r="I233" i="9" s="1"/>
  <c r="I234" i="9" s="1"/>
  <c r="I235" i="9" s="1"/>
  <c r="I236" i="9" s="1"/>
  <c r="I237" i="9" s="1"/>
  <c r="I238" i="9" s="1"/>
  <c r="I239" i="9" s="1"/>
  <c r="I240" i="9" s="1"/>
  <c r="I241" i="9" s="1"/>
  <c r="I242" i="9" s="1"/>
  <c r="I243" i="9" s="1"/>
  <c r="I244" i="9" s="1"/>
  <c r="I245" i="9" s="1"/>
  <c r="I246" i="9" s="1"/>
  <c r="I247" i="9" s="1"/>
  <c r="I248" i="9" s="1"/>
  <c r="I249" i="9" s="1"/>
  <c r="I250" i="9" s="1"/>
  <c r="I251" i="9" s="1"/>
  <c r="I252" i="9" s="1"/>
  <c r="I253" i="9" s="1"/>
  <c r="I254" i="9" s="1"/>
  <c r="I255" i="9" s="1"/>
  <c r="I256" i="9" s="1"/>
  <c r="I257" i="9" s="1"/>
  <c r="I258" i="9" s="1"/>
  <c r="I259" i="9" s="1"/>
  <c r="I260" i="9" s="1"/>
  <c r="I261" i="9" s="1"/>
  <c r="I262" i="9" s="1"/>
  <c r="I263" i="9" s="1"/>
  <c r="I264" i="9" s="1"/>
  <c r="I265" i="9" s="1"/>
  <c r="I266" i="9" s="1"/>
  <c r="I267" i="9" s="1"/>
  <c r="I268" i="9" s="1"/>
  <c r="I269" i="9" s="1"/>
  <c r="I270" i="9" s="1"/>
  <c r="I271" i="9" s="1"/>
  <c r="I272" i="9" s="1"/>
  <c r="I273" i="9" s="1"/>
  <c r="I274" i="9" s="1"/>
  <c r="I275" i="9" s="1"/>
  <c r="I276" i="9" s="1"/>
  <c r="I277" i="9" s="1"/>
  <c r="D278" i="2"/>
  <c r="D279" i="2"/>
  <c r="D280" i="2"/>
  <c r="D281" i="2"/>
  <c r="D282" i="2"/>
  <c r="D283" i="2"/>
  <c r="D284" i="2"/>
  <c r="D285" i="2"/>
  <c r="D286" i="2"/>
  <c r="D287" i="2"/>
  <c r="D288" i="2"/>
  <c r="D289" i="2"/>
  <c r="I290" i="1"/>
  <c r="I291" i="1" s="1"/>
  <c r="I292" i="1" s="1"/>
  <c r="I293" i="1" s="1"/>
  <c r="I294" i="1" s="1"/>
  <c r="I295" i="1" s="1"/>
  <c r="I283" i="1"/>
  <c r="I97" i="1"/>
  <c r="F2" i="15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3" i="9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22" i="9" s="1"/>
  <c r="I23" i="9" s="1"/>
  <c r="I24" i="9" s="1"/>
  <c r="I25" i="9" s="1"/>
  <c r="I26" i="9" s="1"/>
  <c r="I27" i="9" s="1"/>
  <c r="I28" i="9" s="1"/>
  <c r="I29" i="9" s="1"/>
  <c r="I30" i="9" s="1"/>
  <c r="I31" i="9" s="1"/>
  <c r="I32" i="9" s="1"/>
  <c r="I33" i="9" s="1"/>
  <c r="I34" i="9" s="1"/>
  <c r="I35" i="9" s="1"/>
  <c r="I36" i="9" s="1"/>
  <c r="I37" i="9" s="1"/>
  <c r="I38" i="9" s="1"/>
  <c r="I39" i="9" s="1"/>
  <c r="I40" i="9" s="1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60" i="9" s="1"/>
  <c r="I61" i="9" s="1"/>
  <c r="I62" i="9" s="1"/>
  <c r="I63" i="9" s="1"/>
  <c r="I64" i="9" s="1"/>
  <c r="I65" i="9" s="1"/>
  <c r="I66" i="9" s="1"/>
  <c r="I67" i="9" s="1"/>
  <c r="I68" i="9" s="1"/>
  <c r="I69" i="9" s="1"/>
  <c r="I70" i="9" s="1"/>
  <c r="I71" i="9" s="1"/>
  <c r="I72" i="9" s="1"/>
  <c r="I73" i="9" s="1"/>
  <c r="I74" i="9" s="1"/>
  <c r="I75" i="9" s="1"/>
  <c r="I76" i="9" s="1"/>
  <c r="I77" i="9" s="1"/>
  <c r="I78" i="9" s="1"/>
  <c r="I79" i="9" s="1"/>
  <c r="I80" i="9" s="1"/>
  <c r="I81" i="9" s="1"/>
  <c r="I82" i="9" s="1"/>
  <c r="I83" i="9" s="1"/>
  <c r="I84" i="9" s="1"/>
  <c r="I85" i="9" s="1"/>
  <c r="I86" i="9" s="1"/>
  <c r="I87" i="9" s="1"/>
  <c r="I88" i="9" s="1"/>
  <c r="I89" i="9" s="1"/>
  <c r="I90" i="9" s="1"/>
  <c r="I91" i="9" s="1"/>
  <c r="I92" i="9" s="1"/>
  <c r="I93" i="9" s="1"/>
  <c r="I94" i="9" s="1"/>
  <c r="I95" i="9" s="1"/>
  <c r="I96" i="9" s="1"/>
  <c r="I97" i="9" s="1"/>
  <c r="I98" i="9" s="1"/>
  <c r="I99" i="9" s="1"/>
  <c r="I100" i="9" s="1"/>
  <c r="I101" i="9" s="1"/>
  <c r="I102" i="9" s="1"/>
  <c r="I103" i="9" s="1"/>
  <c r="I104" i="9" s="1"/>
  <c r="I105" i="9" s="1"/>
  <c r="I106" i="9" s="1"/>
  <c r="I107" i="9" s="1"/>
  <c r="I108" i="9" s="1"/>
  <c r="I109" i="9" s="1"/>
  <c r="I110" i="9" s="1"/>
  <c r="I111" i="9" s="1"/>
  <c r="I3" i="11"/>
  <c r="I4" i="11" s="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I98" i="11" s="1"/>
  <c r="I99" i="11" s="1"/>
  <c r="I100" i="11" s="1"/>
  <c r="I101" i="11" s="1"/>
  <c r="I102" i="11" s="1"/>
  <c r="I103" i="11" s="1"/>
  <c r="I104" i="11" s="1"/>
  <c r="I105" i="11" s="1"/>
  <c r="I106" i="11" s="1"/>
  <c r="I107" i="11" s="1"/>
  <c r="I108" i="11" s="1"/>
  <c r="I109" i="11" s="1"/>
  <c r="I110" i="11" s="1"/>
  <c r="I112" i="11"/>
  <c r="I114" i="2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14" i="9"/>
  <c r="I115" i="9" s="1"/>
  <c r="I116" i="9" s="1"/>
  <c r="I117" i="9" s="1"/>
  <c r="I118" i="9" s="1"/>
  <c r="I119" i="9" s="1"/>
  <c r="I120" i="9" s="1"/>
  <c r="I121" i="9" s="1"/>
  <c r="I122" i="9" s="1"/>
  <c r="I123" i="9" s="1"/>
  <c r="I124" i="9" s="1"/>
  <c r="I125" i="9" s="1"/>
  <c r="I126" i="9" s="1"/>
  <c r="I127" i="9" s="1"/>
  <c r="I128" i="9" s="1"/>
  <c r="I129" i="9" s="1"/>
  <c r="I130" i="9" s="1"/>
  <c r="I131" i="9" s="1"/>
  <c r="I132" i="9" s="1"/>
  <c r="I133" i="9" s="1"/>
  <c r="I134" i="9" s="1"/>
  <c r="I135" i="9" s="1"/>
  <c r="I136" i="9" s="1"/>
  <c r="I137" i="9" s="1"/>
  <c r="I138" i="9" s="1"/>
  <c r="I139" i="9" s="1"/>
  <c r="I140" i="9" s="1"/>
  <c r="I141" i="9" s="1"/>
  <c r="I142" i="9" s="1"/>
  <c r="I143" i="9" s="1"/>
  <c r="I144" i="9" s="1"/>
  <c r="I145" i="9" s="1"/>
  <c r="I146" i="9" s="1"/>
  <c r="I147" i="9" s="1"/>
  <c r="I148" i="9" s="1"/>
  <c r="I149" i="9" s="1"/>
  <c r="I150" i="9" s="1"/>
  <c r="I151" i="9" s="1"/>
  <c r="I152" i="9" s="1"/>
  <c r="I153" i="9" s="1"/>
  <c r="I154" i="9" s="1"/>
  <c r="I155" i="9" s="1"/>
  <c r="I156" i="9" s="1"/>
  <c r="I157" i="9" s="1"/>
  <c r="I158" i="9" s="1"/>
  <c r="I159" i="9" s="1"/>
  <c r="I160" i="9" s="1"/>
  <c r="I161" i="9" s="1"/>
  <c r="I162" i="9" s="1"/>
  <c r="I163" i="9" s="1"/>
  <c r="I164" i="9" s="1"/>
  <c r="I165" i="9" s="1"/>
  <c r="I166" i="9" s="1"/>
  <c r="I167" i="9" s="1"/>
  <c r="I168" i="9" s="1"/>
  <c r="I169" i="9" s="1"/>
  <c r="I170" i="9" s="1"/>
  <c r="I171" i="9" s="1"/>
  <c r="I172" i="9" s="1"/>
  <c r="I173" i="9" s="1"/>
  <c r="I174" i="9" s="1"/>
  <c r="I175" i="9" s="1"/>
  <c r="I176" i="9" s="1"/>
  <c r="I177" i="9" s="1"/>
  <c r="I178" i="9" s="1"/>
  <c r="I179" i="9" s="1"/>
  <c r="I114" i="11"/>
  <c r="I115" i="11" s="1"/>
  <c r="I116" i="11" s="1"/>
  <c r="I117" i="11" s="1"/>
  <c r="I118" i="11" s="1"/>
  <c r="I119" i="11" s="1"/>
  <c r="I120" i="11" s="1"/>
  <c r="I121" i="11" s="1"/>
  <c r="I122" i="11" s="1"/>
  <c r="I123" i="11" s="1"/>
  <c r="I124" i="11" s="1"/>
  <c r="I125" i="11" s="1"/>
  <c r="I126" i="11" s="1"/>
  <c r="I127" i="11" s="1"/>
  <c r="I128" i="11" s="1"/>
  <c r="I129" i="11" s="1"/>
  <c r="I130" i="11" s="1"/>
  <c r="I131" i="11" s="1"/>
  <c r="I132" i="11" s="1"/>
  <c r="I133" i="11" s="1"/>
  <c r="I134" i="11" s="1"/>
  <c r="I135" i="11" s="1"/>
  <c r="I136" i="11" s="1"/>
  <c r="I137" i="11" s="1"/>
  <c r="I138" i="11" s="1"/>
  <c r="I139" i="11" s="1"/>
  <c r="I140" i="11" s="1"/>
  <c r="I141" i="11" s="1"/>
  <c r="I142" i="11" s="1"/>
  <c r="I143" i="11" s="1"/>
  <c r="I144" i="11" s="1"/>
  <c r="I145" i="11" s="1"/>
  <c r="I146" i="11" s="1"/>
  <c r="I147" i="11" s="1"/>
  <c r="I148" i="11" s="1"/>
  <c r="I149" i="11" s="1"/>
  <c r="I150" i="11" s="1"/>
  <c r="I151" i="11" s="1"/>
  <c r="I152" i="11" s="1"/>
  <c r="I153" i="11" s="1"/>
  <c r="I154" i="11" s="1"/>
  <c r="I155" i="11" s="1"/>
  <c r="I156" i="11" s="1"/>
  <c r="I157" i="11" s="1"/>
  <c r="I158" i="11" s="1"/>
  <c r="I159" i="11" s="1"/>
  <c r="I160" i="11" s="1"/>
  <c r="I161" i="11" s="1"/>
  <c r="I162" i="11" s="1"/>
  <c r="I163" i="11" s="1"/>
  <c r="I164" i="11" s="1"/>
  <c r="I165" i="11" s="1"/>
  <c r="I166" i="11" s="1"/>
  <c r="I167" i="11" s="1"/>
  <c r="I168" i="11" s="1"/>
  <c r="I169" i="11" s="1"/>
  <c r="I170" i="11" s="1"/>
  <c r="I171" i="11" s="1"/>
  <c r="I172" i="11" s="1"/>
  <c r="I173" i="11" s="1"/>
  <c r="I174" i="11" s="1"/>
  <c r="I175" i="11" s="1"/>
  <c r="I176" i="11" s="1"/>
  <c r="I177" i="11" s="1"/>
  <c r="I178" i="11" s="1"/>
  <c r="I179" i="11" s="1"/>
  <c r="I181" i="2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181" i="9"/>
  <c r="I182" i="9" s="1"/>
  <c r="I183" i="9" s="1"/>
  <c r="I184" i="9" s="1"/>
  <c r="I185" i="9" s="1"/>
  <c r="I186" i="9" s="1"/>
  <c r="I187" i="9" s="1"/>
  <c r="I188" i="9" s="1"/>
  <c r="I189" i="9" s="1"/>
  <c r="I190" i="9" s="1"/>
  <c r="I191" i="9" s="1"/>
  <c r="I192" i="9" s="1"/>
  <c r="I181" i="11"/>
  <c r="I182" i="11" s="1"/>
  <c r="I183" i="11" s="1"/>
  <c r="I184" i="11" s="1"/>
  <c r="I185" i="11" s="1"/>
  <c r="I186" i="11" s="1"/>
  <c r="I187" i="11" s="1"/>
  <c r="I188" i="11" s="1"/>
  <c r="I189" i="11" s="1"/>
  <c r="I190" i="11" s="1"/>
  <c r="I191" i="11" s="1"/>
  <c r="I192" i="11" s="1"/>
  <c r="I193" i="11" s="1"/>
  <c r="I194" i="11" s="1"/>
  <c r="I195" i="11" s="1"/>
  <c r="I196" i="11" s="1"/>
  <c r="I197" i="11" s="1"/>
  <c r="I198" i="11" s="1"/>
  <c r="I199" i="11" s="1"/>
  <c r="I200" i="11" s="1"/>
  <c r="I201" i="11" s="1"/>
  <c r="I202" i="11" s="1"/>
  <c r="I203" i="11" s="1"/>
  <c r="I204" i="11" s="1"/>
  <c r="I205" i="11" s="1"/>
  <c r="I206" i="11" s="1"/>
  <c r="I207" i="11" s="1"/>
  <c r="I208" i="11" s="1"/>
  <c r="I209" i="11" s="1"/>
  <c r="I210" i="11" s="1"/>
  <c r="I211" i="11" s="1"/>
  <c r="I212" i="11" s="1"/>
  <c r="I213" i="11" s="1"/>
  <c r="I214" i="11" s="1"/>
  <c r="I215" i="11" s="1"/>
  <c r="I216" i="11" s="1"/>
  <c r="I217" i="11" s="1"/>
  <c r="I218" i="11" s="1"/>
  <c r="I219" i="11" s="1"/>
  <c r="I220" i="11" s="1"/>
  <c r="I221" i="11" s="1"/>
  <c r="I222" i="11" s="1"/>
  <c r="I223" i="11" s="1"/>
  <c r="I224" i="11" s="1"/>
  <c r="I225" i="11" s="1"/>
  <c r="I226" i="11" s="1"/>
  <c r="I227" i="11" s="1"/>
  <c r="I228" i="11" s="1"/>
  <c r="I229" i="11" s="1"/>
  <c r="I230" i="11" s="1"/>
  <c r="I231" i="11" s="1"/>
  <c r="I232" i="11" s="1"/>
  <c r="I233" i="11" s="1"/>
  <c r="I234" i="11" s="1"/>
  <c r="I235" i="11" s="1"/>
  <c r="I236" i="11" s="1"/>
  <c r="I237" i="11" s="1"/>
  <c r="I238" i="11" s="1"/>
  <c r="I239" i="11" s="1"/>
  <c r="I240" i="11" s="1"/>
  <c r="I241" i="11" s="1"/>
  <c r="I242" i="11" s="1"/>
  <c r="I243" i="11" s="1"/>
  <c r="I244" i="11" s="1"/>
  <c r="I245" i="11" s="1"/>
  <c r="I246" i="11" s="1"/>
  <c r="I247" i="11" s="1"/>
  <c r="I248" i="11" s="1"/>
  <c r="I249" i="11" s="1"/>
  <c r="I250" i="11" s="1"/>
  <c r="I251" i="11" s="1"/>
  <c r="I252" i="11" s="1"/>
  <c r="I253" i="11" s="1"/>
  <c r="I254" i="11" s="1"/>
  <c r="I255" i="11" s="1"/>
  <c r="I256" i="11" s="1"/>
  <c r="I257" i="11" s="1"/>
  <c r="I258" i="11" s="1"/>
  <c r="I259" i="11" s="1"/>
  <c r="I260" i="11" s="1"/>
  <c r="I261" i="11" s="1"/>
  <c r="I262" i="11" s="1"/>
  <c r="I263" i="11" s="1"/>
  <c r="I264" i="11" s="1"/>
  <c r="I265" i="11" s="1"/>
  <c r="I266" i="11" s="1"/>
  <c r="I267" i="11" s="1"/>
  <c r="I268" i="11" s="1"/>
  <c r="I269" i="11" s="1"/>
  <c r="I270" i="11" s="1"/>
  <c r="I271" i="11" s="1"/>
  <c r="I272" i="11" s="1"/>
  <c r="I273" i="11" s="1"/>
  <c r="I274" i="11" s="1"/>
  <c r="I275" i="11" s="1"/>
  <c r="I276" i="11" s="1"/>
  <c r="P40" i="15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Q40" i="15"/>
  <c r="Q41" i="15" s="1"/>
  <c r="Q42" i="15" s="1"/>
  <c r="Q43" i="15" s="1"/>
  <c r="Q44" i="15" s="1"/>
  <c r="Q45" i="15" s="1"/>
  <c r="Q46" i="15" s="1"/>
  <c r="Q47" i="15" s="1"/>
  <c r="Q48" i="15" s="1"/>
  <c r="Q49" i="15" s="1"/>
  <c r="Q50" i="15" s="1"/>
  <c r="Q51" i="15" s="1"/>
  <c r="Q52" i="15" s="1"/>
  <c r="Q53" i="15" s="1"/>
  <c r="Q54" i="15" s="1"/>
  <c r="Q55" i="15" s="1"/>
  <c r="Q56" i="15" s="1"/>
  <c r="Q57" i="15" s="1"/>
  <c r="Q58" i="15" s="1"/>
  <c r="Q59" i="15" s="1"/>
  <c r="Q60" i="15" s="1"/>
  <c r="Q61" i="15" s="1"/>
  <c r="Q62" i="15" s="1"/>
  <c r="Q63" i="15" s="1"/>
  <c r="Q64" i="15" s="1"/>
  <c r="Q65" i="15" s="1"/>
  <c r="Q66" i="15" s="1"/>
  <c r="Q67" i="15" s="1"/>
  <c r="Q68" i="15" s="1"/>
  <c r="Q69" i="15" s="1"/>
  <c r="Q70" i="15" s="1"/>
  <c r="Q71" i="15" s="1"/>
  <c r="Q72" i="15" s="1"/>
  <c r="Q73" i="15" s="1"/>
  <c r="Q74" i="15" s="1"/>
  <c r="Q75" i="15" s="1"/>
  <c r="Q76" i="15" s="1"/>
  <c r="Q77" i="15" s="1"/>
  <c r="Q78" i="15" s="1"/>
  <c r="Q79" i="15" s="1"/>
  <c r="Q80" i="15" s="1"/>
  <c r="Q81" i="15" s="1"/>
  <c r="Q82" i="15" s="1"/>
  <c r="Q83" i="15" s="1"/>
  <c r="Q84" i="15" s="1"/>
  <c r="Q85" i="15" s="1"/>
  <c r="Q86" i="15" s="1"/>
  <c r="Q87" i="15" s="1"/>
  <c r="Q88" i="15" s="1"/>
  <c r="Q89" i="15" s="1"/>
  <c r="Q90" i="15" s="1"/>
  <c r="Q91" i="15" s="1"/>
  <c r="Q92" i="15" s="1"/>
  <c r="Q93" i="15" s="1"/>
  <c r="Q94" i="15" s="1"/>
  <c r="Q95" i="15" s="1"/>
  <c r="Q96" i="15" s="1"/>
  <c r="Q97" i="15" s="1"/>
  <c r="Q98" i="15" s="1"/>
  <c r="Q99" i="15" s="1"/>
  <c r="Q100" i="15" s="1"/>
  <c r="Q101" i="15" s="1"/>
  <c r="Q102" i="15" s="1"/>
  <c r="Q103" i="15" s="1"/>
  <c r="Q104" i="15" s="1"/>
  <c r="Q105" i="15" s="1"/>
  <c r="Q106" i="15" s="1"/>
  <c r="Q107" i="15" s="1"/>
  <c r="Q108" i="15" s="1"/>
  <c r="Q109" i="15" s="1"/>
  <c r="Q110" i="15" s="1"/>
  <c r="Q111" i="15" s="1"/>
  <c r="Q112" i="15" s="1"/>
  <c r="Q113" i="15" s="1"/>
  <c r="Q114" i="15" s="1"/>
  <c r="Q115" i="15" s="1"/>
  <c r="Q116" i="15" s="1"/>
  <c r="Q117" i="15" s="1"/>
  <c r="Q118" i="15" s="1"/>
  <c r="Q119" i="15" s="1"/>
  <c r="Q120" i="15" s="1"/>
  <c r="Q121" i="15" s="1"/>
  <c r="Q122" i="15" s="1"/>
  <c r="Q123" i="15" s="1"/>
  <c r="Q124" i="15" s="1"/>
  <c r="Q125" i="15" s="1"/>
  <c r="Q126" i="15" s="1"/>
  <c r="Q127" i="15" s="1"/>
  <c r="Q128" i="15" s="1"/>
  <c r="Q129" i="15" s="1"/>
  <c r="Q130" i="15" s="1"/>
  <c r="Q131" i="15" s="1"/>
  <c r="Q132" i="15" s="1"/>
  <c r="Q133" i="15" s="1"/>
  <c r="Q134" i="15" s="1"/>
  <c r="Q135" i="15" s="1"/>
  <c r="Q136" i="15" s="1"/>
  <c r="Q137" i="15" s="1"/>
  <c r="Q138" i="15" s="1"/>
  <c r="Q139" i="15" s="1"/>
  <c r="Q140" i="15" s="1"/>
  <c r="Q141" i="15" s="1"/>
  <c r="Q142" i="15" s="1"/>
  <c r="Q143" i="15" s="1"/>
  <c r="Q144" i="15" s="1"/>
  <c r="Q145" i="15" s="1"/>
  <c r="Q146" i="15" s="1"/>
  <c r="Q147" i="15" s="1"/>
  <c r="Q148" i="15" s="1"/>
  <c r="Q149" i="15" s="1"/>
  <c r="Q150" i="15" s="1"/>
  <c r="Q151" i="15" s="1"/>
  <c r="Q152" i="15" s="1"/>
  <c r="Q153" i="15" s="1"/>
  <c r="Q154" i="15" s="1"/>
  <c r="Q155" i="15" s="1"/>
  <c r="Q156" i="15" s="1"/>
  <c r="Q157" i="15" s="1"/>
  <c r="Q158" i="15" s="1"/>
  <c r="Q159" i="15" s="1"/>
  <c r="Q160" i="15" s="1"/>
  <c r="Q161" i="15" s="1"/>
  <c r="Q162" i="15" s="1"/>
  <c r="Q163" i="15" s="1"/>
  <c r="Q164" i="15" s="1"/>
  <c r="Q165" i="15" s="1"/>
  <c r="Q166" i="15" s="1"/>
  <c r="Q167" i="15" s="1"/>
  <c r="Q168" i="15" s="1"/>
  <c r="Q169" i="15" s="1"/>
  <c r="Q170" i="15" s="1"/>
  <c r="Q171" i="15" s="1"/>
  <c r="Q172" i="15" s="1"/>
  <c r="Q173" i="15" s="1"/>
  <c r="Q174" i="15" s="1"/>
  <c r="Q175" i="15" s="1"/>
  <c r="Q176" i="15" s="1"/>
  <c r="Q177" i="15" s="1"/>
  <c r="Q178" i="15" s="1"/>
  <c r="Q179" i="15" s="1"/>
  <c r="Q180" i="15" s="1"/>
  <c r="Q181" i="15" s="1"/>
  <c r="Q182" i="15" s="1"/>
  <c r="Q183" i="15" s="1"/>
  <c r="Q184" i="15" s="1"/>
  <c r="Q185" i="15" s="1"/>
  <c r="Q186" i="15" s="1"/>
  <c r="Q187" i="15" s="1"/>
  <c r="Q188" i="15" s="1"/>
  <c r="Q189" i="15" s="1"/>
  <c r="Q190" i="15" s="1"/>
  <c r="Q191" i="15" s="1"/>
  <c r="Q192" i="15" s="1"/>
  <c r="Q193" i="15" s="1"/>
  <c r="Q194" i="15" s="1"/>
  <c r="Q195" i="15" s="1"/>
  <c r="Q196" i="15" s="1"/>
  <c r="Q197" i="15" s="1"/>
  <c r="Q198" i="15" s="1"/>
  <c r="Q199" i="15" s="1"/>
  <c r="Q200" i="15" s="1"/>
  <c r="Q201" i="15" s="1"/>
  <c r="Q202" i="15" s="1"/>
  <c r="Q203" i="15" s="1"/>
  <c r="Q204" i="15" s="1"/>
  <c r="Q205" i="15" s="1"/>
  <c r="Q206" i="15" s="1"/>
  <c r="Q207" i="15" s="1"/>
  <c r="Q208" i="15" s="1"/>
  <c r="Q209" i="15" s="1"/>
  <c r="Q210" i="15" s="1"/>
  <c r="Q211" i="15" s="1"/>
  <c r="Q212" i="15" s="1"/>
  <c r="Q213" i="15" s="1"/>
  <c r="Q214" i="15" s="1"/>
  <c r="Q215" i="15" s="1"/>
  <c r="Q216" i="15" s="1"/>
  <c r="Q217" i="15" s="1"/>
  <c r="Q218" i="15" s="1"/>
  <c r="Q219" i="15" s="1"/>
  <c r="Q220" i="15" s="1"/>
  <c r="Q221" i="15" s="1"/>
  <c r="Q222" i="15" s="1"/>
  <c r="Q223" i="15" s="1"/>
  <c r="Q224" i="15" s="1"/>
  <c r="Q225" i="15" s="1"/>
  <c r="Q226" i="15" s="1"/>
  <c r="Q227" i="15" s="1"/>
  <c r="Q228" i="15" s="1"/>
  <c r="Q229" i="15" s="1"/>
  <c r="Q230" i="15" s="1"/>
  <c r="Q231" i="15" s="1"/>
  <c r="Q232" i="15" s="1"/>
  <c r="Q233" i="15" s="1"/>
  <c r="Q234" i="15" s="1"/>
  <c r="Q235" i="15" s="1"/>
  <c r="Q236" i="15" s="1"/>
  <c r="Q237" i="15" s="1"/>
  <c r="Q238" i="15" s="1"/>
  <c r="Q239" i="15" s="1"/>
  <c r="Q240" i="15" s="1"/>
  <c r="Q241" i="15" s="1"/>
  <c r="Q242" i="15" s="1"/>
  <c r="Q243" i="15" s="1"/>
  <c r="Q244" i="15" s="1"/>
  <c r="Q245" i="15" s="1"/>
  <c r="Q246" i="15" s="1"/>
  <c r="Q247" i="15" s="1"/>
  <c r="Q248" i="15" s="1"/>
  <c r="Q249" i="15" s="1"/>
  <c r="Q250" i="15" s="1"/>
  <c r="Q251" i="15" s="1"/>
  <c r="Q252" i="15" s="1"/>
  <c r="Q253" i="15" s="1"/>
  <c r="Q254" i="15" s="1"/>
  <c r="Q255" i="15" s="1"/>
  <c r="Q256" i="15" s="1"/>
  <c r="Q257" i="15" s="1"/>
  <c r="Q258" i="15" s="1"/>
  <c r="Q259" i="15" s="1"/>
  <c r="Q260" i="15" s="1"/>
  <c r="Q261" i="15" s="1"/>
  <c r="Q262" i="15" s="1"/>
  <c r="Q263" i="15" s="1"/>
  <c r="Q264" i="15" s="1"/>
  <c r="Q265" i="15" s="1"/>
  <c r="Q266" i="15" s="1"/>
  <c r="Q267" i="15" s="1"/>
  <c r="Q268" i="15" s="1"/>
  <c r="Q269" i="15" s="1"/>
  <c r="Q270" i="15" s="1"/>
  <c r="Q271" i="15" s="1"/>
  <c r="Q272" i="15" s="1"/>
  <c r="Q273" i="15" s="1"/>
  <c r="Q274" i="15" s="1"/>
  <c r="Q275" i="15" s="1"/>
  <c r="Q276" i="15" s="1"/>
  <c r="Q277" i="15" s="1"/>
  <c r="Q278" i="15" s="1"/>
  <c r="Q279" i="15" s="1"/>
  <c r="Q280" i="15" s="1"/>
  <c r="Q281" i="15" s="1"/>
  <c r="D303" i="9"/>
  <c r="D303" i="11" s="1"/>
  <c r="D303" i="2"/>
  <c r="D302" i="9"/>
  <c r="D302" i="11" s="1"/>
  <c r="D304" i="2"/>
  <c r="D304" i="9"/>
  <c r="D304" i="11" s="1"/>
  <c r="D305" i="2"/>
  <c r="D306" i="9"/>
  <c r="D306" i="11" s="1"/>
  <c r="D306" i="2"/>
  <c r="D307" i="2"/>
  <c r="D307" i="9"/>
  <c r="D307" i="11" s="1"/>
  <c r="D308" i="9"/>
  <c r="D308" i="11" s="1"/>
  <c r="D308" i="2"/>
  <c r="D310" i="2"/>
  <c r="I310" i="2" s="1"/>
  <c r="D310" i="9"/>
  <c r="I310" i="9" s="1"/>
  <c r="D309" i="2"/>
  <c r="D309" i="9"/>
  <c r="D309" i="11" s="1"/>
  <c r="D300" i="9"/>
  <c r="D300" i="11" s="1"/>
  <c r="I311" i="1"/>
  <c r="J311" i="1" s="1"/>
  <c r="D311" i="2"/>
  <c r="I311" i="2" s="1"/>
  <c r="D311" i="9"/>
  <c r="I311" i="9" s="1"/>
  <c r="C315" i="1"/>
  <c r="D292" i="9"/>
  <c r="D292" i="11" s="1"/>
  <c r="D312" i="2"/>
  <c r="I312" i="2" s="1"/>
  <c r="I312" i="1"/>
  <c r="J312" i="1" s="1"/>
  <c r="D312" i="9"/>
  <c r="D312" i="11" s="1"/>
  <c r="I312" i="11" s="1"/>
  <c r="D313" i="2"/>
  <c r="I313" i="2" s="1"/>
  <c r="I313" i="1"/>
  <c r="J313" i="1" s="1"/>
  <c r="D313" i="9"/>
  <c r="I313" i="9" s="1"/>
  <c r="I314" i="1"/>
  <c r="J314" i="1" s="1"/>
  <c r="E299" i="2"/>
  <c r="E286" i="2"/>
  <c r="E313" i="2"/>
  <c r="E281" i="2"/>
  <c r="E308" i="2"/>
  <c r="E293" i="2"/>
  <c r="E278" i="2"/>
  <c r="E301" i="2"/>
  <c r="E289" i="9"/>
  <c r="E282" i="2"/>
  <c r="E310" i="2"/>
  <c r="E296" i="2"/>
  <c r="E304" i="2"/>
  <c r="E302" i="2"/>
  <c r="E288" i="9"/>
  <c r="E307" i="2"/>
  <c r="E291" i="9"/>
  <c r="E291" i="11" s="1"/>
  <c r="E295" i="9"/>
  <c r="E295" i="11" s="1"/>
  <c r="E290" i="2"/>
  <c r="E282" i="9"/>
  <c r="E282" i="11" s="1"/>
  <c r="E300" i="2"/>
  <c r="E312" i="2"/>
  <c r="E309" i="2"/>
  <c r="E313" i="9"/>
  <c r="E313" i="11" s="1"/>
  <c r="E287" i="2"/>
  <c r="E293" i="9"/>
  <c r="E293" i="11" s="1"/>
  <c r="E303" i="2"/>
  <c r="E280" i="2"/>
  <c r="E311" i="2"/>
  <c r="E298" i="9"/>
  <c r="E298" i="11" s="1"/>
  <c r="E279" i="9"/>
  <c r="E298" i="2"/>
  <c r="E288" i="2"/>
  <c r="E287" i="9"/>
  <c r="E287" i="11" s="1"/>
  <c r="E311" i="9"/>
  <c r="E279" i="2"/>
  <c r="E291" i="2"/>
  <c r="E297" i="9"/>
  <c r="E297" i="11" s="1"/>
  <c r="E312" i="9"/>
  <c r="E312" i="11" s="1"/>
  <c r="E280" i="9"/>
  <c r="E306" i="9"/>
  <c r="E306" i="2"/>
  <c r="E284" i="9"/>
  <c r="E284" i="11" s="1"/>
  <c r="G252" i="1"/>
  <c r="H252" i="1" s="1"/>
  <c r="K252" i="1" s="1"/>
  <c r="E303" i="9"/>
  <c r="E303" i="11" s="1"/>
  <c r="E305" i="2"/>
  <c r="E296" i="9"/>
  <c r="E289" i="2"/>
  <c r="E290" i="9"/>
  <c r="E284" i="2"/>
  <c r="E300" i="9"/>
  <c r="E300" i="11" s="1"/>
  <c r="E295" i="2"/>
  <c r="E283" i="2"/>
  <c r="E294" i="9"/>
  <c r="E302" i="9"/>
  <c r="E302" i="11" s="1"/>
  <c r="E304" i="9"/>
  <c r="E304" i="11" s="1"/>
  <c r="E285" i="9"/>
  <c r="E285" i="11" s="1"/>
  <c r="E301" i="9"/>
  <c r="E297" i="2"/>
  <c r="G295" i="1"/>
  <c r="E283" i="9"/>
  <c r="E283" i="11" s="1"/>
  <c r="E310" i="9"/>
  <c r="E310" i="11" s="1"/>
  <c r="E294" i="2"/>
  <c r="G276" i="1"/>
  <c r="H276" i="1" s="1"/>
  <c r="K276" i="1" s="1"/>
  <c r="E292" i="2"/>
  <c r="E308" i="9"/>
  <c r="E308" i="11" s="1"/>
  <c r="G310" i="1"/>
  <c r="H310" i="1" s="1"/>
  <c r="E292" i="9"/>
  <c r="E292" i="11" s="1"/>
  <c r="G285" i="1"/>
  <c r="H285" i="1" s="1"/>
  <c r="E307" i="9"/>
  <c r="E307" i="11" s="1"/>
  <c r="E309" i="9"/>
  <c r="E309" i="11" s="1"/>
  <c r="E278" i="9"/>
  <c r="E305" i="9"/>
  <c r="E305" i="11" s="1"/>
  <c r="E299" i="9"/>
  <c r="E299" i="11" s="1"/>
  <c r="E286" i="9"/>
  <c r="G286" i="1"/>
  <c r="H286" i="1" s="1"/>
  <c r="E281" i="9"/>
  <c r="E281" i="11" s="1"/>
  <c r="E285" i="2"/>
  <c r="G272" i="1"/>
  <c r="H272" i="1" s="1"/>
  <c r="K272" i="1" s="1"/>
  <c r="I317" i="1"/>
  <c r="J317" i="1" s="1"/>
  <c r="I318" i="1"/>
  <c r="J318" i="1" s="1"/>
  <c r="K412" i="15" l="1"/>
  <c r="K411" i="15"/>
  <c r="K410" i="15"/>
  <c r="K409" i="15"/>
  <c r="F390" i="2"/>
  <c r="F393" i="2"/>
  <c r="F381" i="2"/>
  <c r="F399" i="2"/>
  <c r="F403" i="2"/>
  <c r="F398" i="2"/>
  <c r="F406" i="2"/>
  <c r="F383" i="2"/>
  <c r="F388" i="2"/>
  <c r="F391" i="2"/>
  <c r="F396" i="2"/>
  <c r="F389" i="2"/>
  <c r="F402" i="2"/>
  <c r="F404" i="2"/>
  <c r="F401" i="2"/>
  <c r="F380" i="2"/>
  <c r="F395" i="2"/>
  <c r="F394" i="2"/>
  <c r="F405" i="2"/>
  <c r="F400" i="2"/>
  <c r="F386" i="2"/>
  <c r="F387" i="2"/>
  <c r="F382" i="2"/>
  <c r="F397" i="2"/>
  <c r="J397" i="2" s="1"/>
  <c r="F392" i="2"/>
  <c r="F379" i="2"/>
  <c r="F384" i="2"/>
  <c r="F385" i="2"/>
  <c r="D109" i="11"/>
  <c r="F381" i="9"/>
  <c r="F349" i="9"/>
  <c r="F350" i="9"/>
  <c r="F365" i="9"/>
  <c r="F382" i="9"/>
  <c r="F397" i="9"/>
  <c r="F366" i="9"/>
  <c r="F398" i="9"/>
  <c r="F357" i="9"/>
  <c r="F374" i="9"/>
  <c r="F389" i="9"/>
  <c r="F406" i="9"/>
  <c r="F372" i="9"/>
  <c r="F371" i="9"/>
  <c r="F379" i="9"/>
  <c r="F355" i="9"/>
  <c r="F400" i="9"/>
  <c r="F377" i="9"/>
  <c r="F375" i="9"/>
  <c r="F362" i="9"/>
  <c r="F359" i="9"/>
  <c r="F370" i="9"/>
  <c r="F388" i="9"/>
  <c r="F368" i="9"/>
  <c r="F390" i="9"/>
  <c r="F369" i="9"/>
  <c r="F351" i="9"/>
  <c r="F396" i="9"/>
  <c r="F354" i="9"/>
  <c r="F383" i="9"/>
  <c r="F378" i="9"/>
  <c r="F386" i="9"/>
  <c r="F380" i="9"/>
  <c r="F363" i="9"/>
  <c r="F403" i="9"/>
  <c r="F348" i="9"/>
  <c r="F373" i="9"/>
  <c r="F392" i="9"/>
  <c r="F360" i="9"/>
  <c r="F395" i="9"/>
  <c r="F356" i="9"/>
  <c r="F361" i="9"/>
  <c r="F385" i="9"/>
  <c r="F376" i="9"/>
  <c r="F404" i="9"/>
  <c r="F394" i="9"/>
  <c r="F402" i="9"/>
  <c r="F353" i="9"/>
  <c r="F364" i="9"/>
  <c r="F367" i="9"/>
  <c r="F384" i="9"/>
  <c r="F405" i="9"/>
  <c r="F358" i="9"/>
  <c r="F401" i="9"/>
  <c r="F387" i="9"/>
  <c r="F391" i="9"/>
  <c r="F393" i="9"/>
  <c r="F352" i="9"/>
  <c r="F399" i="9"/>
  <c r="I284" i="1"/>
  <c r="J283" i="1"/>
  <c r="I96" i="1"/>
  <c r="J97" i="1"/>
  <c r="F358" i="2"/>
  <c r="F363" i="2"/>
  <c r="F348" i="2"/>
  <c r="F349" i="2"/>
  <c r="F361" i="2"/>
  <c r="F368" i="2"/>
  <c r="F351" i="2"/>
  <c r="F372" i="2"/>
  <c r="F367" i="2"/>
  <c r="F350" i="2"/>
  <c r="F353" i="2"/>
  <c r="F371" i="2"/>
  <c r="F355" i="2"/>
  <c r="F357" i="2"/>
  <c r="F360" i="2"/>
  <c r="F362" i="2"/>
  <c r="F373" i="2"/>
  <c r="F359" i="2"/>
  <c r="F352" i="2"/>
  <c r="F370" i="2"/>
  <c r="F354" i="2"/>
  <c r="F366" i="2"/>
  <c r="F365" i="2"/>
  <c r="F364" i="2"/>
  <c r="F369" i="2"/>
  <c r="F356" i="2"/>
  <c r="F374" i="2"/>
  <c r="F375" i="2"/>
  <c r="F376" i="2"/>
  <c r="F377" i="2"/>
  <c r="F378" i="2"/>
  <c r="I362" i="2"/>
  <c r="C309" i="11"/>
  <c r="D300" i="2"/>
  <c r="F300" i="2" s="1"/>
  <c r="F300" i="1"/>
  <c r="J300" i="1" s="1"/>
  <c r="D292" i="2"/>
  <c r="F292" i="2" s="1"/>
  <c r="F292" i="1"/>
  <c r="J292" i="1" s="1"/>
  <c r="D293" i="2"/>
  <c r="F293" i="2" s="1"/>
  <c r="F293" i="1"/>
  <c r="J293" i="1" s="1"/>
  <c r="D299" i="2"/>
  <c r="F299" i="2" s="1"/>
  <c r="F299" i="1"/>
  <c r="J299" i="1" s="1"/>
  <c r="D291" i="2"/>
  <c r="F291" i="2" s="1"/>
  <c r="F291" i="1"/>
  <c r="J291" i="1" s="1"/>
  <c r="D301" i="2"/>
  <c r="F301" i="2" s="1"/>
  <c r="F301" i="1"/>
  <c r="J301" i="1" s="1"/>
  <c r="D298" i="2"/>
  <c r="F298" i="2" s="1"/>
  <c r="F298" i="1"/>
  <c r="J298" i="1" s="1"/>
  <c r="D290" i="9"/>
  <c r="D290" i="11" s="1"/>
  <c r="F290" i="1"/>
  <c r="J290" i="1" s="1"/>
  <c r="D297" i="9"/>
  <c r="D297" i="11" s="1"/>
  <c r="F297" i="1"/>
  <c r="J297" i="1" s="1"/>
  <c r="F296" i="1"/>
  <c r="J296" i="1" s="1"/>
  <c r="F315" i="1"/>
  <c r="J315" i="1" s="1"/>
  <c r="F295" i="1"/>
  <c r="J295" i="1" s="1"/>
  <c r="D294" i="2"/>
  <c r="F294" i="2" s="1"/>
  <c r="F294" i="1"/>
  <c r="J294" i="1" s="1"/>
  <c r="D276" i="11"/>
  <c r="F346" i="9"/>
  <c r="F346" i="2"/>
  <c r="D293" i="9"/>
  <c r="D293" i="11" s="1"/>
  <c r="H295" i="1"/>
  <c r="K295" i="1" s="1"/>
  <c r="C297" i="15" s="1"/>
  <c r="F335" i="9"/>
  <c r="F332" i="9"/>
  <c r="F336" i="9"/>
  <c r="F337" i="9"/>
  <c r="F333" i="9"/>
  <c r="F334" i="9"/>
  <c r="F329" i="9"/>
  <c r="F330" i="9"/>
  <c r="F331" i="9"/>
  <c r="F328" i="9"/>
  <c r="F335" i="2"/>
  <c r="F334" i="2"/>
  <c r="F337" i="2"/>
  <c r="F332" i="2"/>
  <c r="F333" i="2"/>
  <c r="F336" i="2"/>
  <c r="F330" i="2"/>
  <c r="F328" i="2"/>
  <c r="F331" i="2"/>
  <c r="F329" i="2"/>
  <c r="C331" i="15"/>
  <c r="C330" i="15"/>
  <c r="D295" i="9"/>
  <c r="D295" i="11" s="1"/>
  <c r="D313" i="11"/>
  <c r="I313" i="11" s="1"/>
  <c r="D311" i="11"/>
  <c r="I311" i="11" s="1"/>
  <c r="C328" i="15"/>
  <c r="C274" i="15"/>
  <c r="C329" i="15"/>
  <c r="C254" i="15"/>
  <c r="D296" i="9"/>
  <c r="D296" i="11" s="1"/>
  <c r="D299" i="9"/>
  <c r="D299" i="11" s="1"/>
  <c r="K310" i="1"/>
  <c r="D296" i="2"/>
  <c r="F296" i="2" s="1"/>
  <c r="F282" i="9"/>
  <c r="F256" i="9"/>
  <c r="F170" i="9"/>
  <c r="F124" i="9"/>
  <c r="D310" i="11"/>
  <c r="I310" i="11" s="1"/>
  <c r="D295" i="2"/>
  <c r="F295" i="2" s="1"/>
  <c r="F280" i="9"/>
  <c r="F313" i="9"/>
  <c r="F135" i="9"/>
  <c r="I312" i="9"/>
  <c r="F327" i="9"/>
  <c r="F326" i="9"/>
  <c r="F326" i="2"/>
  <c r="F327" i="2"/>
  <c r="F311" i="9"/>
  <c r="F25" i="9"/>
  <c r="D298" i="9"/>
  <c r="D298" i="11" s="1"/>
  <c r="F322" i="9"/>
  <c r="F321" i="9"/>
  <c r="F323" i="9"/>
  <c r="F325" i="9"/>
  <c r="F324" i="9"/>
  <c r="F322" i="2"/>
  <c r="F325" i="2"/>
  <c r="F324" i="2"/>
  <c r="F321" i="2"/>
  <c r="F323" i="2"/>
  <c r="F113" i="2"/>
  <c r="F270" i="2"/>
  <c r="F165" i="2"/>
  <c r="F200" i="2"/>
  <c r="F75" i="2"/>
  <c r="F34" i="2"/>
  <c r="F120" i="2"/>
  <c r="F153" i="2"/>
  <c r="F154" i="2"/>
  <c r="F89" i="2"/>
  <c r="F235" i="2"/>
  <c r="F274" i="2"/>
  <c r="F255" i="2"/>
  <c r="F179" i="2"/>
  <c r="F161" i="2"/>
  <c r="F134" i="2"/>
  <c r="F116" i="2"/>
  <c r="F107" i="2"/>
  <c r="F71" i="2"/>
  <c r="F28" i="2"/>
  <c r="F215" i="2"/>
  <c r="F114" i="2"/>
  <c r="F203" i="2"/>
  <c r="F167" i="9"/>
  <c r="F247" i="2"/>
  <c r="F23" i="2"/>
  <c r="F31" i="2"/>
  <c r="F261" i="2"/>
  <c r="F278" i="2"/>
  <c r="F313" i="2"/>
  <c r="F164" i="2"/>
  <c r="F184" i="2"/>
  <c r="F102" i="2"/>
  <c r="F68" i="2"/>
  <c r="F40" i="2"/>
  <c r="F16" i="2"/>
  <c r="F253" i="2"/>
  <c r="F224" i="2"/>
  <c r="F195" i="2"/>
  <c r="F191" i="2"/>
  <c r="F170" i="2"/>
  <c r="F149" i="2"/>
  <c r="F66" i="2"/>
  <c r="F121" i="2"/>
  <c r="F148" i="2"/>
  <c r="F221" i="2"/>
  <c r="F199" i="2"/>
  <c r="F58" i="2"/>
  <c r="F192" i="2"/>
  <c r="F226" i="2"/>
  <c r="F139" i="2"/>
  <c r="F277" i="2"/>
  <c r="F187" i="2"/>
  <c r="F128" i="2"/>
  <c r="F271" i="2"/>
  <c r="F129" i="2"/>
  <c r="F269" i="9"/>
  <c r="F104" i="2"/>
  <c r="F250" i="2"/>
  <c r="F157" i="2"/>
  <c r="F217" i="2"/>
  <c r="F242" i="2"/>
  <c r="F42" i="2"/>
  <c r="F95" i="2"/>
  <c r="F175" i="2"/>
  <c r="F112" i="2"/>
  <c r="F252" i="2"/>
  <c r="F183" i="2"/>
  <c r="F176" i="2"/>
  <c r="F173" i="2"/>
  <c r="F94" i="2"/>
  <c r="F76" i="2"/>
  <c r="F287" i="2"/>
  <c r="F302" i="2"/>
  <c r="F137" i="2"/>
  <c r="F19" i="2"/>
  <c r="F208" i="2"/>
  <c r="F15" i="2"/>
  <c r="F24" i="2"/>
  <c r="F130" i="2"/>
  <c r="F197" i="2"/>
  <c r="F262" i="2"/>
  <c r="F241" i="2"/>
  <c r="F141" i="2"/>
  <c r="F32" i="2"/>
  <c r="F50" i="2"/>
  <c r="F305" i="2"/>
  <c r="F280" i="2"/>
  <c r="F269" i="2"/>
  <c r="F51" i="2"/>
  <c r="F169" i="2"/>
  <c r="F234" i="2"/>
  <c r="F78" i="2"/>
  <c r="F86" i="2"/>
  <c r="F272" i="2"/>
  <c r="F251" i="2"/>
  <c r="F229" i="2"/>
  <c r="F111" i="2"/>
  <c r="F264" i="2"/>
  <c r="F283" i="2"/>
  <c r="F258" i="2"/>
  <c r="F288" i="2"/>
  <c r="F303" i="2"/>
  <c r="F25" i="2"/>
  <c r="F156" i="2"/>
  <c r="F59" i="2"/>
  <c r="F209" i="2"/>
  <c r="F143" i="2"/>
  <c r="F233" i="2"/>
  <c r="F147" i="2"/>
  <c r="F244" i="2"/>
  <c r="F218" i="2"/>
  <c r="F211" i="2"/>
  <c r="E311" i="11"/>
  <c r="D301" i="9"/>
  <c r="D301" i="11" s="1"/>
  <c r="F27" i="2"/>
  <c r="F87" i="2"/>
  <c r="F55" i="2"/>
  <c r="F52" i="2"/>
  <c r="F46" i="2"/>
  <c r="F36" i="2"/>
  <c r="F155" i="2"/>
  <c r="F65" i="2"/>
  <c r="F49" i="2"/>
  <c r="F14" i="2"/>
  <c r="D315" i="11"/>
  <c r="I315" i="11" s="1"/>
  <c r="F63" i="2"/>
  <c r="F60" i="2"/>
  <c r="F124" i="2"/>
  <c r="D314" i="11"/>
  <c r="I314" i="11" s="1"/>
  <c r="I316" i="9"/>
  <c r="F213" i="2"/>
  <c r="F163" i="2"/>
  <c r="F307" i="2"/>
  <c r="F318" i="9"/>
  <c r="F317" i="9"/>
  <c r="F225" i="2"/>
  <c r="F260" i="2"/>
  <c r="F207" i="2"/>
  <c r="F88" i="2"/>
  <c r="F44" i="2"/>
  <c r="F240" i="2"/>
  <c r="D297" i="2"/>
  <c r="F297" i="2" s="1"/>
  <c r="D291" i="9"/>
  <c r="D291" i="11" s="1"/>
  <c r="F281" i="2"/>
  <c r="F289" i="2"/>
  <c r="F273" i="2"/>
  <c r="F254" i="2"/>
  <c r="F246" i="2"/>
  <c r="F70" i="2"/>
  <c r="F54" i="2"/>
  <c r="F35" i="2"/>
  <c r="F285" i="2"/>
  <c r="F304" i="2"/>
  <c r="F160" i="2"/>
  <c r="F138" i="2"/>
  <c r="F125" i="2"/>
  <c r="F122" i="2"/>
  <c r="F97" i="2"/>
  <c r="F245" i="2"/>
  <c r="F236" i="2"/>
  <c r="F227" i="2"/>
  <c r="F201" i="2"/>
  <c r="F193" i="2"/>
  <c r="F185" i="2"/>
  <c r="F167" i="2"/>
  <c r="F159" i="2"/>
  <c r="F132" i="2"/>
  <c r="F123" i="2"/>
  <c r="F96" i="2"/>
  <c r="F69" i="2"/>
  <c r="F26" i="2"/>
  <c r="F18" i="2"/>
  <c r="F33" i="2"/>
  <c r="F77" i="2"/>
  <c r="F308" i="2"/>
  <c r="F105" i="2"/>
  <c r="F83" i="2"/>
  <c r="F80" i="2"/>
  <c r="F41" i="2"/>
  <c r="F213" i="9"/>
  <c r="F278" i="9"/>
  <c r="E278" i="11"/>
  <c r="E289" i="11"/>
  <c r="F289" i="9"/>
  <c r="F155" i="9"/>
  <c r="F11" i="2"/>
  <c r="F311" i="2"/>
  <c r="F306" i="2"/>
  <c r="F263" i="2"/>
  <c r="F115" i="2"/>
  <c r="F98" i="2"/>
  <c r="F67" i="2"/>
  <c r="F20" i="2"/>
  <c r="F17" i="2"/>
  <c r="F6" i="2"/>
  <c r="F268" i="2"/>
  <c r="F257" i="2"/>
  <c r="F249" i="2"/>
  <c r="F232" i="2"/>
  <c r="F223" i="2"/>
  <c r="F205" i="2"/>
  <c r="F189" i="2"/>
  <c r="F181" i="2"/>
  <c r="F172" i="2"/>
  <c r="F146" i="2"/>
  <c r="F136" i="2"/>
  <c r="F127" i="2"/>
  <c r="F119" i="2"/>
  <c r="F100" i="2"/>
  <c r="F92" i="2"/>
  <c r="F82" i="2"/>
  <c r="F74" i="2"/>
  <c r="F57" i="2"/>
  <c r="F38" i="2"/>
  <c r="F30" i="2"/>
  <c r="F22" i="2"/>
  <c r="F109" i="2"/>
  <c r="F315" i="2"/>
  <c r="F317" i="2"/>
  <c r="F318" i="2"/>
  <c r="F316" i="2"/>
  <c r="F284" i="2"/>
  <c r="F275" i="2"/>
  <c r="F256" i="2"/>
  <c r="F248" i="2"/>
  <c r="F239" i="2"/>
  <c r="F230" i="2"/>
  <c r="F222" i="2"/>
  <c r="F212" i="2"/>
  <c r="F204" i="2"/>
  <c r="F196" i="2"/>
  <c r="F188" i="2"/>
  <c r="F180" i="2"/>
  <c r="F171" i="2"/>
  <c r="F162" i="2"/>
  <c r="F144" i="2"/>
  <c r="F135" i="2"/>
  <c r="F126" i="2"/>
  <c r="F118" i="2"/>
  <c r="F108" i="2"/>
  <c r="F99" i="2"/>
  <c r="F91" i="2"/>
  <c r="F81" i="2"/>
  <c r="F73" i="2"/>
  <c r="F64" i="2"/>
  <c r="F56" i="2"/>
  <c r="F47" i="2"/>
  <c r="F37" i="2"/>
  <c r="F29" i="2"/>
  <c r="F21" i="2"/>
  <c r="F237" i="2"/>
  <c r="F228" i="2"/>
  <c r="F219" i="2"/>
  <c r="F210" i="2"/>
  <c r="F202" i="2"/>
  <c r="F194" i="2"/>
  <c r="F186" i="2"/>
  <c r="F177" i="2"/>
  <c r="F152" i="2"/>
  <c r="F142" i="2"/>
  <c r="F133" i="2"/>
  <c r="F106" i="2"/>
  <c r="F79" i="2"/>
  <c r="F62" i="2"/>
  <c r="F45" i="2"/>
  <c r="F276" i="2"/>
  <c r="F279" i="2"/>
  <c r="F310" i="2"/>
  <c r="F312" i="2"/>
  <c r="F286" i="2"/>
  <c r="F309" i="2"/>
  <c r="F314" i="2"/>
  <c r="F238" i="2"/>
  <c r="D290" i="2"/>
  <c r="F290" i="2" s="1"/>
  <c r="D294" i="9"/>
  <c r="D294" i="11" s="1"/>
  <c r="E159" i="11"/>
  <c r="F159" i="9"/>
  <c r="E46" i="11"/>
  <c r="F46" i="9"/>
  <c r="E29" i="11"/>
  <c r="F29" i="9"/>
  <c r="F275" i="9"/>
  <c r="F254" i="9"/>
  <c r="E290" i="11"/>
  <c r="F303" i="9"/>
  <c r="F252" i="9"/>
  <c r="F260" i="9"/>
  <c r="F288" i="9"/>
  <c r="F101" i="9"/>
  <c r="F65" i="9"/>
  <c r="F40" i="9"/>
  <c r="F91" i="9"/>
  <c r="E214" i="11"/>
  <c r="F214" i="9"/>
  <c r="E207" i="11"/>
  <c r="F207" i="9"/>
  <c r="E175" i="11"/>
  <c r="F175" i="9"/>
  <c r="E61" i="11"/>
  <c r="F61" i="9"/>
  <c r="F271" i="9"/>
  <c r="F246" i="9"/>
  <c r="F250" i="9"/>
  <c r="F312" i="9"/>
  <c r="F279" i="9"/>
  <c r="F137" i="9"/>
  <c r="F123" i="9"/>
  <c r="F32" i="9"/>
  <c r="F177" i="9"/>
  <c r="F53" i="9"/>
  <c r="F92" i="9"/>
  <c r="F211" i="9"/>
  <c r="E104" i="11"/>
  <c r="F104" i="9"/>
  <c r="F95" i="9"/>
  <c r="E86" i="11"/>
  <c r="F86" i="9"/>
  <c r="E13" i="11"/>
  <c r="F13" i="9"/>
  <c r="F263" i="9"/>
  <c r="F284" i="9"/>
  <c r="F308" i="9"/>
  <c r="F244" i="9"/>
  <c r="F300" i="9"/>
  <c r="F261" i="9"/>
  <c r="F262" i="9"/>
  <c r="F307" i="9"/>
  <c r="F281" i="9"/>
  <c r="F227" i="9"/>
  <c r="F136" i="9"/>
  <c r="F187" i="9"/>
  <c r="F233" i="9"/>
  <c r="F219" i="9"/>
  <c r="F222" i="9"/>
  <c r="E222" i="11"/>
  <c r="E59" i="11"/>
  <c r="F59" i="9"/>
  <c r="E109" i="11"/>
  <c r="F346" i="11" s="1"/>
  <c r="F197" i="9"/>
  <c r="F73" i="9"/>
  <c r="F239" i="9"/>
  <c r="F226" i="9"/>
  <c r="F173" i="9"/>
  <c r="F66" i="9"/>
  <c r="F14" i="9"/>
  <c r="F180" i="9"/>
  <c r="F149" i="9"/>
  <c r="F160" i="9"/>
  <c r="F56" i="9"/>
  <c r="F41" i="9"/>
  <c r="F234" i="9"/>
  <c r="F203" i="9"/>
  <c r="F240" i="9"/>
  <c r="F221" i="9"/>
  <c r="F210" i="9"/>
  <c r="F35" i="9"/>
  <c r="F74" i="9"/>
  <c r="F182" i="9"/>
  <c r="F229" i="9"/>
  <c r="F176" i="9"/>
  <c r="F99" i="9"/>
  <c r="F68" i="9"/>
  <c r="F165" i="9"/>
  <c r="F81" i="9"/>
  <c r="F17" i="9"/>
  <c r="F128" i="9"/>
  <c r="F69" i="9"/>
  <c r="F71" i="9"/>
  <c r="F115" i="9"/>
  <c r="F122" i="9"/>
  <c r="F22" i="9"/>
  <c r="F97" i="9"/>
  <c r="F18" i="9"/>
  <c r="F79" i="9"/>
  <c r="F179" i="9"/>
  <c r="F60" i="9"/>
  <c r="F185" i="9"/>
  <c r="F42" i="9"/>
  <c r="F30" i="9"/>
  <c r="F24" i="9"/>
  <c r="F106" i="9"/>
  <c r="F87" i="9"/>
  <c r="F4" i="9"/>
  <c r="F163" i="9"/>
  <c r="F146" i="9"/>
  <c r="F166" i="9"/>
  <c r="F143" i="9"/>
  <c r="F98" i="9"/>
  <c r="F45" i="9"/>
  <c r="F82" i="9"/>
  <c r="F105" i="9"/>
  <c r="F162" i="9"/>
  <c r="F50" i="9"/>
  <c r="F147" i="9"/>
  <c r="F125" i="9"/>
  <c r="F88" i="9"/>
  <c r="F76" i="9"/>
  <c r="F153" i="9"/>
  <c r="F169" i="9"/>
  <c r="F171" i="9"/>
  <c r="F181" i="9"/>
  <c r="F129" i="9"/>
  <c r="F201" i="9"/>
  <c r="F158" i="9"/>
  <c r="F238" i="9"/>
  <c r="F89" i="9"/>
  <c r="F139" i="9"/>
  <c r="F118" i="9"/>
  <c r="F28" i="9"/>
  <c r="F52" i="9"/>
  <c r="F58" i="9"/>
  <c r="F193" i="9"/>
  <c r="F49" i="9"/>
  <c r="F183" i="9"/>
  <c r="F26" i="9"/>
  <c r="F198" i="9"/>
  <c r="F119" i="9"/>
  <c r="F241" i="9"/>
  <c r="F304" i="9"/>
  <c r="F245" i="9"/>
  <c r="F309" i="9"/>
  <c r="F174" i="9"/>
  <c r="F102" i="9"/>
  <c r="F34" i="9"/>
  <c r="F85" i="9"/>
  <c r="F113" i="9"/>
  <c r="F191" i="9"/>
  <c r="F9" i="9"/>
  <c r="F15" i="9"/>
  <c r="E111" i="11"/>
  <c r="F111" i="9"/>
  <c r="E93" i="11"/>
  <c r="F93" i="9"/>
  <c r="E20" i="11"/>
  <c r="F20" i="9"/>
  <c r="F249" i="9"/>
  <c r="F258" i="9"/>
  <c r="F273" i="9"/>
  <c r="F257" i="9"/>
  <c r="F268" i="9"/>
  <c r="F286" i="9"/>
  <c r="F127" i="9"/>
  <c r="F96" i="9"/>
  <c r="F57" i="9"/>
  <c r="F157" i="9"/>
  <c r="F38" i="9"/>
  <c r="F150" i="9"/>
  <c r="F242" i="9"/>
  <c r="F114" i="9"/>
  <c r="E154" i="11"/>
  <c r="F154" i="9"/>
  <c r="F126" i="9"/>
  <c r="E126" i="11"/>
  <c r="F266" i="9"/>
  <c r="F287" i="9"/>
  <c r="F285" i="9"/>
  <c r="F253" i="9"/>
  <c r="F141" i="9"/>
  <c r="F37" i="9"/>
  <c r="F54" i="9"/>
  <c r="F206" i="9"/>
  <c r="F199" i="9"/>
  <c r="F36" i="9"/>
  <c r="F215" i="9"/>
  <c r="F12" i="9"/>
  <c r="F248" i="9"/>
  <c r="F270" i="9"/>
  <c r="F277" i="9"/>
  <c r="F251" i="9"/>
  <c r="F302" i="9"/>
  <c r="F276" i="9"/>
  <c r="F305" i="9"/>
  <c r="F272" i="9"/>
  <c r="F306" i="9"/>
  <c r="F121" i="9"/>
  <c r="F70" i="9"/>
  <c r="F134" i="9"/>
  <c r="F33" i="9"/>
  <c r="F205" i="9"/>
  <c r="F44" i="9"/>
  <c r="F230" i="9"/>
  <c r="F64" i="9"/>
  <c r="F144" i="9"/>
  <c r="F80" i="9"/>
  <c r="F190" i="9"/>
  <c r="F237" i="9"/>
  <c r="F109" i="9"/>
  <c r="J109" i="9" s="1"/>
  <c r="E194" i="11"/>
  <c r="F194" i="9"/>
  <c r="E152" i="11"/>
  <c r="F152" i="9"/>
  <c r="E142" i="11"/>
  <c r="F142" i="9"/>
  <c r="F150" i="2"/>
  <c r="F61" i="2"/>
  <c r="F53" i="2"/>
  <c r="F166" i="2"/>
  <c r="F158" i="2"/>
  <c r="F174" i="2"/>
  <c r="F85" i="2"/>
  <c r="F107" i="9"/>
  <c r="F12" i="2"/>
  <c r="F5" i="9"/>
  <c r="F214" i="2"/>
  <c r="F206" i="2"/>
  <c r="F198" i="2"/>
  <c r="F190" i="2"/>
  <c r="F182" i="2"/>
  <c r="F101" i="2"/>
  <c r="F93" i="2"/>
  <c r="F172" i="9"/>
  <c r="J172" i="9" s="1"/>
  <c r="F110" i="2"/>
  <c r="F16" i="9"/>
  <c r="F148" i="9"/>
  <c r="E107" i="11"/>
  <c r="F247" i="9"/>
  <c r="E294" i="11"/>
  <c r="F62" i="9"/>
  <c r="F47" i="9"/>
  <c r="F55" i="9"/>
  <c r="F316" i="9"/>
  <c r="F5" i="2"/>
  <c r="F266" i="2"/>
  <c r="F108" i="9"/>
  <c r="F94" i="9"/>
  <c r="F100" i="9"/>
  <c r="F78" i="9"/>
  <c r="F31" i="9"/>
  <c r="F195" i="9"/>
  <c r="F4" i="2"/>
  <c r="F274" i="9"/>
  <c r="F310" i="9"/>
  <c r="E279" i="11"/>
  <c r="E301" i="11"/>
  <c r="F232" i="9"/>
  <c r="F116" i="9"/>
  <c r="E286" i="11"/>
  <c r="F217" i="9"/>
  <c r="F209" i="9"/>
  <c r="E288" i="11"/>
  <c r="E280" i="11"/>
  <c r="F264" i="9"/>
  <c r="F138" i="9"/>
  <c r="F255" i="9"/>
  <c r="E306" i="11"/>
  <c r="F225" i="9"/>
  <c r="F23" i="9"/>
  <c r="F189" i="9"/>
  <c r="F6" i="9"/>
  <c r="C278" i="15"/>
  <c r="G278" i="1"/>
  <c r="H278" i="1" s="1"/>
  <c r="K278" i="1" s="1"/>
  <c r="E296" i="11"/>
  <c r="G249" i="1"/>
  <c r="H249" i="1" s="1"/>
  <c r="K249" i="1" s="1"/>
  <c r="G264" i="1"/>
  <c r="H264" i="1" s="1"/>
  <c r="K264" i="1" s="1"/>
  <c r="G251" i="1"/>
  <c r="H251" i="1" s="1"/>
  <c r="K251" i="1" s="1"/>
  <c r="G309" i="1"/>
  <c r="H309" i="1" s="1"/>
  <c r="K309" i="1" s="1"/>
  <c r="G275" i="1"/>
  <c r="H275" i="1" s="1"/>
  <c r="K275" i="1" s="1"/>
  <c r="G311" i="1"/>
  <c r="H311" i="1" s="1"/>
  <c r="K311" i="1" s="1"/>
  <c r="G283" i="1"/>
  <c r="H283" i="1" s="1"/>
  <c r="K283" i="1" s="1"/>
  <c r="F282" i="2"/>
  <c r="F67" i="9"/>
  <c r="E67" i="11"/>
  <c r="E48" i="9"/>
  <c r="E48" i="2"/>
  <c r="F48" i="2" s="1"/>
  <c r="G290" i="1"/>
  <c r="H290" i="1" s="1"/>
  <c r="K290" i="1" s="1"/>
  <c r="G262" i="1"/>
  <c r="H262" i="1" s="1"/>
  <c r="K262" i="1" s="1"/>
  <c r="G303" i="1"/>
  <c r="H303" i="1" s="1"/>
  <c r="K303" i="1" s="1"/>
  <c r="G265" i="1"/>
  <c r="H265" i="1" s="1"/>
  <c r="K265" i="1" s="1"/>
  <c r="G250" i="1"/>
  <c r="H250" i="1" s="1"/>
  <c r="K250" i="1" s="1"/>
  <c r="G277" i="1"/>
  <c r="H277" i="1" s="1"/>
  <c r="K277" i="1" s="1"/>
  <c r="E200" i="11"/>
  <c r="F200" i="9"/>
  <c r="E196" i="11"/>
  <c r="F196" i="9"/>
  <c r="E192" i="11"/>
  <c r="F192" i="9"/>
  <c r="E188" i="11"/>
  <c r="F188" i="9"/>
  <c r="F156" i="9"/>
  <c r="E156" i="11"/>
  <c r="E151" i="9"/>
  <c r="E151" i="2"/>
  <c r="F151" i="2" s="1"/>
  <c r="E132" i="11"/>
  <c r="F132" i="9"/>
  <c r="F292" i="9"/>
  <c r="G305" i="1"/>
  <c r="H305" i="1" s="1"/>
  <c r="K305" i="1" s="1"/>
  <c r="G300" i="1"/>
  <c r="H300" i="1" s="1"/>
  <c r="K300" i="1" s="1"/>
  <c r="G296" i="1"/>
  <c r="H296" i="1" s="1"/>
  <c r="K296" i="1" s="1"/>
  <c r="G255" i="1"/>
  <c r="H255" i="1" s="1"/>
  <c r="K255" i="1" s="1"/>
  <c r="G304" i="1"/>
  <c r="H304" i="1" s="1"/>
  <c r="K304" i="1" s="1"/>
  <c r="G269" i="1"/>
  <c r="H269" i="1" s="1"/>
  <c r="K269" i="1" s="1"/>
  <c r="E10" i="2"/>
  <c r="F10" i="2" s="1"/>
  <c r="E10" i="9"/>
  <c r="G279" i="1"/>
  <c r="H279" i="1" s="1"/>
  <c r="K279" i="1" s="1"/>
  <c r="G244" i="1"/>
  <c r="H244" i="1" s="1"/>
  <c r="K244" i="1" s="1"/>
  <c r="G308" i="1"/>
  <c r="H308" i="1" s="1"/>
  <c r="K308" i="1" s="1"/>
  <c r="G297" i="1"/>
  <c r="H297" i="1" s="1"/>
  <c r="K297" i="1" s="1"/>
  <c r="G254" i="1"/>
  <c r="H254" i="1" s="1"/>
  <c r="K254" i="1" s="1"/>
  <c r="G258" i="1"/>
  <c r="H258" i="1" s="1"/>
  <c r="K258" i="1" s="1"/>
  <c r="G260" i="1"/>
  <c r="H260" i="1" s="1"/>
  <c r="K260" i="1" s="1"/>
  <c r="G268" i="1"/>
  <c r="H268" i="1" s="1"/>
  <c r="K268" i="1" s="1"/>
  <c r="G271" i="1"/>
  <c r="H271" i="1" s="1"/>
  <c r="K271" i="1" s="1"/>
  <c r="G299" i="1"/>
  <c r="H299" i="1" s="1"/>
  <c r="K299" i="1" s="1"/>
  <c r="G298" i="1"/>
  <c r="H298" i="1" s="1"/>
  <c r="K298" i="1" s="1"/>
  <c r="G270" i="1"/>
  <c r="H270" i="1" s="1"/>
  <c r="K270" i="1" s="1"/>
  <c r="G257" i="1"/>
  <c r="H257" i="1" s="1"/>
  <c r="K257" i="1" s="1"/>
  <c r="E2" i="2"/>
  <c r="E2" i="9"/>
  <c r="G312" i="1"/>
  <c r="H312" i="1" s="1"/>
  <c r="K312" i="1" s="1"/>
  <c r="G280" i="1"/>
  <c r="H280" i="1" s="1"/>
  <c r="K280" i="1" s="1"/>
  <c r="G274" i="1"/>
  <c r="H274" i="1" s="1"/>
  <c r="K274" i="1" s="1"/>
  <c r="G284" i="1"/>
  <c r="H284" i="1" s="1"/>
  <c r="K284" i="1" s="1"/>
  <c r="G243" i="1"/>
  <c r="H243" i="1" s="1"/>
  <c r="K243" i="1" s="1"/>
  <c r="G259" i="1"/>
  <c r="H259" i="1" s="1"/>
  <c r="K259" i="1" s="1"/>
  <c r="G293" i="1"/>
  <c r="H293" i="1" s="1"/>
  <c r="K293" i="1" s="1"/>
  <c r="G306" i="1"/>
  <c r="H306" i="1" s="1"/>
  <c r="K306" i="1" s="1"/>
  <c r="G292" i="1"/>
  <c r="H292" i="1" s="1"/>
  <c r="K292" i="1" s="1"/>
  <c r="G256" i="1"/>
  <c r="H256" i="1" s="1"/>
  <c r="K256" i="1" s="1"/>
  <c r="G267" i="1"/>
  <c r="H267" i="1" s="1"/>
  <c r="K267" i="1" s="1"/>
  <c r="G245" i="1"/>
  <c r="H245" i="1" s="1"/>
  <c r="K245" i="1" s="1"/>
  <c r="G289" i="1"/>
  <c r="H289" i="1" s="1"/>
  <c r="K289" i="1" s="1"/>
  <c r="G282" i="1"/>
  <c r="H282" i="1" s="1"/>
  <c r="K282" i="1" s="1"/>
  <c r="G301" i="1"/>
  <c r="H301" i="1" s="1"/>
  <c r="K301" i="1" s="1"/>
  <c r="G287" i="1"/>
  <c r="H287" i="1" s="1"/>
  <c r="G248" i="1"/>
  <c r="H248" i="1" s="1"/>
  <c r="K248" i="1" s="1"/>
  <c r="G266" i="1"/>
  <c r="H266" i="1" s="1"/>
  <c r="K266" i="1" s="1"/>
  <c r="G263" i="1"/>
  <c r="H263" i="1" s="1"/>
  <c r="K263" i="1" s="1"/>
  <c r="G246" i="1"/>
  <c r="H246" i="1" s="1"/>
  <c r="K246" i="1" s="1"/>
  <c r="G288" i="1"/>
  <c r="H288" i="1" s="1"/>
  <c r="F315" i="9"/>
  <c r="E315" i="11"/>
  <c r="G294" i="1"/>
  <c r="H294" i="1" s="1"/>
  <c r="K294" i="1" s="1"/>
  <c r="G307" i="1"/>
  <c r="H307" i="1" s="1"/>
  <c r="K307" i="1" s="1"/>
  <c r="G291" i="1"/>
  <c r="H291" i="1" s="1"/>
  <c r="K291" i="1" s="1"/>
  <c r="G281" i="1"/>
  <c r="H281" i="1" s="1"/>
  <c r="K281" i="1" s="1"/>
  <c r="G253" i="1"/>
  <c r="H253" i="1" s="1"/>
  <c r="K253" i="1" s="1"/>
  <c r="G247" i="1"/>
  <c r="H247" i="1" s="1"/>
  <c r="K247" i="1" s="1"/>
  <c r="G302" i="1"/>
  <c r="H302" i="1" s="1"/>
  <c r="K302" i="1" s="1"/>
  <c r="G261" i="1"/>
  <c r="H261" i="1" s="1"/>
  <c r="K261" i="1" s="1"/>
  <c r="G273" i="1"/>
  <c r="H273" i="1" s="1"/>
  <c r="K273" i="1" s="1"/>
  <c r="E235" i="11"/>
  <c r="F235" i="9"/>
  <c r="E145" i="2"/>
  <c r="F145" i="2" s="1"/>
  <c r="E145" i="9"/>
  <c r="E133" i="11"/>
  <c r="F133" i="9"/>
  <c r="E27" i="11"/>
  <c r="F27" i="9"/>
  <c r="E21" i="9"/>
  <c r="E3" i="11"/>
  <c r="F3" i="9"/>
  <c r="E220" i="2"/>
  <c r="F220" i="2" s="1"/>
  <c r="E220" i="9"/>
  <c r="E161" i="11"/>
  <c r="F161" i="9"/>
  <c r="E131" i="9"/>
  <c r="E131" i="2"/>
  <c r="F131" i="2" s="1"/>
  <c r="E120" i="11"/>
  <c r="F120" i="9"/>
  <c r="E72" i="9"/>
  <c r="E72" i="2"/>
  <c r="F72" i="2" s="1"/>
  <c r="E19" i="11"/>
  <c r="F19" i="9"/>
  <c r="E224" i="11"/>
  <c r="F224" i="9"/>
  <c r="F212" i="9"/>
  <c r="E212" i="11"/>
  <c r="E208" i="11"/>
  <c r="F208" i="9"/>
  <c r="E204" i="11"/>
  <c r="F204" i="9"/>
  <c r="E168" i="2"/>
  <c r="F168" i="2" s="1"/>
  <c r="E168" i="9"/>
  <c r="E130" i="11"/>
  <c r="F130" i="9"/>
  <c r="E39" i="2"/>
  <c r="F39" i="2" s="1"/>
  <c r="E39" i="9"/>
  <c r="E228" i="11"/>
  <c r="F228" i="9"/>
  <c r="E223" i="11"/>
  <c r="F223" i="9"/>
  <c r="E218" i="11"/>
  <c r="F218" i="9"/>
  <c r="E186" i="11"/>
  <c r="F186" i="9"/>
  <c r="E112" i="11"/>
  <c r="F112" i="9"/>
  <c r="E84" i="9"/>
  <c r="E84" i="2"/>
  <c r="F84" i="2" s="1"/>
  <c r="E314" i="11"/>
  <c r="F314" i="9"/>
  <c r="E267" i="9"/>
  <c r="F267" i="9" s="1"/>
  <c r="E267" i="2"/>
  <c r="F267" i="2" s="1"/>
  <c r="E117" i="9"/>
  <c r="E117" i="2"/>
  <c r="F117" i="2" s="1"/>
  <c r="E83" i="11"/>
  <c r="F83" i="9"/>
  <c r="E77" i="9"/>
  <c r="F63" i="9"/>
  <c r="E63" i="11"/>
  <c r="E216" i="2"/>
  <c r="F216" i="2" s="1"/>
  <c r="E216" i="9"/>
  <c r="E184" i="11"/>
  <c r="F184" i="9"/>
  <c r="E178" i="9"/>
  <c r="E178" i="2"/>
  <c r="F178" i="2" s="1"/>
  <c r="E140" i="2"/>
  <c r="F140" i="2" s="1"/>
  <c r="E140" i="9"/>
  <c r="E103" i="2"/>
  <c r="F103" i="2" s="1"/>
  <c r="E103" i="9"/>
  <c r="E90" i="9"/>
  <c r="E90" i="2"/>
  <c r="F90" i="2" s="1"/>
  <c r="E51" i="11"/>
  <c r="F51" i="9"/>
  <c r="E43" i="9"/>
  <c r="E43" i="2"/>
  <c r="F43" i="2" s="1"/>
  <c r="E259" i="2"/>
  <c r="F259" i="2" s="1"/>
  <c r="E259" i="9"/>
  <c r="E236" i="11"/>
  <c r="F236" i="9"/>
  <c r="E231" i="9"/>
  <c r="E231" i="2"/>
  <c r="F231" i="2" s="1"/>
  <c r="E202" i="11"/>
  <c r="F202" i="9"/>
  <c r="E164" i="11"/>
  <c r="F164" i="9"/>
  <c r="E110" i="11"/>
  <c r="F110" i="9"/>
  <c r="F75" i="9"/>
  <c r="E75" i="11"/>
  <c r="E11" i="9"/>
  <c r="E13" i="2"/>
  <c r="F13" i="2" s="1"/>
  <c r="E9" i="2"/>
  <c r="F9" i="2" s="1"/>
  <c r="F283" i="9"/>
  <c r="E8" i="2"/>
  <c r="E8" i="9"/>
  <c r="G315" i="1"/>
  <c r="H315" i="1" s="1"/>
  <c r="K315" i="1" s="1"/>
  <c r="G314" i="1"/>
  <c r="H314" i="1" s="1"/>
  <c r="K314" i="1" s="1"/>
  <c r="G317" i="1"/>
  <c r="H317" i="1" s="1"/>
  <c r="K317" i="1" s="1"/>
  <c r="H26" i="1"/>
  <c r="G171" i="1"/>
  <c r="H171" i="1" s="1"/>
  <c r="K171" i="1" s="1"/>
  <c r="G318" i="1"/>
  <c r="H318" i="1" s="1"/>
  <c r="K318" i="1" s="1"/>
  <c r="G93" i="1"/>
  <c r="H93" i="1" s="1"/>
  <c r="G187" i="1"/>
  <c r="H187" i="1" s="1"/>
  <c r="K187" i="1" s="1"/>
  <c r="G157" i="1"/>
  <c r="H157" i="1" s="1"/>
  <c r="K157" i="1" s="1"/>
  <c r="G227" i="1"/>
  <c r="H227" i="1" s="1"/>
  <c r="K227" i="1" s="1"/>
  <c r="G72" i="1"/>
  <c r="H72" i="1" s="1"/>
  <c r="G181" i="1"/>
  <c r="H181" i="1" s="1"/>
  <c r="K181" i="1" s="1"/>
  <c r="G37" i="1"/>
  <c r="H37" i="1" s="1"/>
  <c r="G212" i="1"/>
  <c r="H212" i="1" s="1"/>
  <c r="K212" i="1" s="1"/>
  <c r="G159" i="1"/>
  <c r="H159" i="1" s="1"/>
  <c r="K159" i="1" s="1"/>
  <c r="G53" i="1"/>
  <c r="H53" i="1" s="1"/>
  <c r="G178" i="1"/>
  <c r="H178" i="1" s="1"/>
  <c r="K178" i="1" s="1"/>
  <c r="G173" i="1"/>
  <c r="H173" i="1" s="1"/>
  <c r="K173" i="1" s="1"/>
  <c r="G237" i="1"/>
  <c r="H237" i="1" s="1"/>
  <c r="K237" i="1" s="1"/>
  <c r="G215" i="1"/>
  <c r="H215" i="1" s="1"/>
  <c r="K215" i="1" s="1"/>
  <c r="G76" i="1"/>
  <c r="H76" i="1" s="1"/>
  <c r="G21" i="1"/>
  <c r="H21" i="1" s="1"/>
  <c r="G66" i="1"/>
  <c r="H66" i="1" s="1"/>
  <c r="G92" i="1"/>
  <c r="H92" i="1" s="1"/>
  <c r="G313" i="1"/>
  <c r="H313" i="1" s="1"/>
  <c r="K313" i="1" s="1"/>
  <c r="G185" i="1"/>
  <c r="H185" i="1" s="1"/>
  <c r="K185" i="1" s="1"/>
  <c r="G126" i="1"/>
  <c r="H126" i="1" s="1"/>
  <c r="K126" i="1" s="1"/>
  <c r="G233" i="1"/>
  <c r="H233" i="1" s="1"/>
  <c r="K233" i="1" s="1"/>
  <c r="G31" i="1"/>
  <c r="H31" i="1" s="1"/>
  <c r="G10" i="1"/>
  <c r="H10" i="1" s="1"/>
  <c r="G218" i="1"/>
  <c r="H218" i="1" s="1"/>
  <c r="K218" i="1" s="1"/>
  <c r="G224" i="1"/>
  <c r="H224" i="1" s="1"/>
  <c r="K224" i="1" s="1"/>
  <c r="G67" i="1"/>
  <c r="H67" i="1" s="1"/>
  <c r="G229" i="1"/>
  <c r="H229" i="1" s="1"/>
  <c r="K229" i="1" s="1"/>
  <c r="G75" i="1"/>
  <c r="H75" i="1" s="1"/>
  <c r="G14" i="1"/>
  <c r="H14" i="1" s="1"/>
  <c r="G144" i="1"/>
  <c r="H144" i="1" s="1"/>
  <c r="K144" i="1" s="1"/>
  <c r="G91" i="1"/>
  <c r="H91" i="1" s="1"/>
  <c r="G125" i="1"/>
  <c r="H125" i="1" s="1"/>
  <c r="K125" i="1" s="1"/>
  <c r="G35" i="1"/>
  <c r="H35" i="1" s="1"/>
  <c r="G138" i="1"/>
  <c r="H138" i="1" s="1"/>
  <c r="K138" i="1" s="1"/>
  <c r="G43" i="1"/>
  <c r="H43" i="1" s="1"/>
  <c r="G134" i="1"/>
  <c r="H134" i="1" s="1"/>
  <c r="K134" i="1" s="1"/>
  <c r="H5" i="1"/>
  <c r="G174" i="1"/>
  <c r="H174" i="1" s="1"/>
  <c r="K174" i="1" s="1"/>
  <c r="G56" i="1"/>
  <c r="H56" i="1" s="1"/>
  <c r="G87" i="1"/>
  <c r="H87" i="1" s="1"/>
  <c r="G45" i="1"/>
  <c r="H45" i="1" s="1"/>
  <c r="G202" i="1"/>
  <c r="H202" i="1" s="1"/>
  <c r="K202" i="1" s="1"/>
  <c r="G64" i="1"/>
  <c r="H64" i="1" s="1"/>
  <c r="G170" i="1"/>
  <c r="H170" i="1" s="1"/>
  <c r="K170" i="1" s="1"/>
  <c r="G122" i="1"/>
  <c r="H122" i="1" s="1"/>
  <c r="K122" i="1" s="1"/>
  <c r="G206" i="1"/>
  <c r="H206" i="1" s="1"/>
  <c r="K206" i="1" s="1"/>
  <c r="G216" i="1"/>
  <c r="H216" i="1" s="1"/>
  <c r="K216" i="1" s="1"/>
  <c r="G47" i="1"/>
  <c r="H47" i="1" s="1"/>
  <c r="G50" i="1"/>
  <c r="H50" i="1" s="1"/>
  <c r="G208" i="1"/>
  <c r="H208" i="1" s="1"/>
  <c r="K208" i="1" s="1"/>
  <c r="G176" i="1"/>
  <c r="H176" i="1" s="1"/>
  <c r="K176" i="1" s="1"/>
  <c r="G165" i="1"/>
  <c r="H165" i="1" s="1"/>
  <c r="K165" i="1" s="1"/>
  <c r="G7" i="1"/>
  <c r="H7" i="1" s="1"/>
  <c r="G150" i="1"/>
  <c r="H150" i="1" s="1"/>
  <c r="K150" i="1" s="1"/>
  <c r="G214" i="1"/>
  <c r="H214" i="1" s="1"/>
  <c r="K214" i="1" s="1"/>
  <c r="G204" i="1"/>
  <c r="H204" i="1" s="1"/>
  <c r="K204" i="1" s="1"/>
  <c r="G242" i="1"/>
  <c r="H242" i="1" s="1"/>
  <c r="K242" i="1" s="1"/>
  <c r="G103" i="1"/>
  <c r="H103" i="1" s="1"/>
  <c r="K103" i="1" s="1"/>
  <c r="G130" i="1"/>
  <c r="H130" i="1" s="1"/>
  <c r="K130" i="1" s="1"/>
  <c r="G105" i="1"/>
  <c r="H105" i="1" s="1"/>
  <c r="K105" i="1" s="1"/>
  <c r="G33" i="1"/>
  <c r="H33" i="1" s="1"/>
  <c r="G41" i="1"/>
  <c r="H41" i="1" s="1"/>
  <c r="G228" i="1"/>
  <c r="H228" i="1" s="1"/>
  <c r="K228" i="1" s="1"/>
  <c r="G94" i="1"/>
  <c r="H94" i="1" s="1"/>
  <c r="G71" i="1"/>
  <c r="H71" i="1" s="1"/>
  <c r="G70" i="1"/>
  <c r="H70" i="1" s="1"/>
  <c r="G59" i="1"/>
  <c r="H59" i="1" s="1"/>
  <c r="G85" i="1"/>
  <c r="H85" i="1" s="1"/>
  <c r="G49" i="1"/>
  <c r="H49" i="1" s="1"/>
  <c r="G34" i="1"/>
  <c r="H34" i="1" s="1"/>
  <c r="G133" i="1"/>
  <c r="H133" i="1" s="1"/>
  <c r="K133" i="1" s="1"/>
  <c r="G11" i="1"/>
  <c r="H11" i="1" s="1"/>
  <c r="G13" i="1"/>
  <c r="H13" i="1" s="1"/>
  <c r="G175" i="1"/>
  <c r="H175" i="1" s="1"/>
  <c r="K175" i="1" s="1"/>
  <c r="G48" i="1"/>
  <c r="H48" i="1" s="1"/>
  <c r="G147" i="1"/>
  <c r="H147" i="1" s="1"/>
  <c r="K147" i="1" s="1"/>
  <c r="G140" i="1"/>
  <c r="H140" i="1" s="1"/>
  <c r="K140" i="1" s="1"/>
  <c r="G3" i="1"/>
  <c r="H3" i="1" s="1"/>
  <c r="G139" i="1"/>
  <c r="H139" i="1" s="1"/>
  <c r="K139" i="1" s="1"/>
  <c r="G177" i="1"/>
  <c r="H177" i="1" s="1"/>
  <c r="K177" i="1" s="1"/>
  <c r="G131" i="1"/>
  <c r="H131" i="1" s="1"/>
  <c r="K131" i="1" s="1"/>
  <c r="G42" i="1"/>
  <c r="H42" i="1" s="1"/>
  <c r="G124" i="1"/>
  <c r="H124" i="1" s="1"/>
  <c r="K124" i="1" s="1"/>
  <c r="G207" i="1"/>
  <c r="H207" i="1" s="1"/>
  <c r="K207" i="1" s="1"/>
  <c r="G114" i="1"/>
  <c r="H114" i="1" s="1"/>
  <c r="K114" i="1" s="1"/>
  <c r="G95" i="1"/>
  <c r="H95" i="1" s="1"/>
  <c r="G186" i="1"/>
  <c r="H186" i="1" s="1"/>
  <c r="K186" i="1" s="1"/>
  <c r="G104" i="1"/>
  <c r="H104" i="1" s="1"/>
  <c r="K104" i="1" s="1"/>
  <c r="G219" i="1"/>
  <c r="H219" i="1" s="1"/>
  <c r="K219" i="1" s="1"/>
  <c r="G203" i="1"/>
  <c r="H203" i="1" s="1"/>
  <c r="K203" i="1" s="1"/>
  <c r="G235" i="1"/>
  <c r="H235" i="1" s="1"/>
  <c r="K235" i="1" s="1"/>
  <c r="G201" i="1"/>
  <c r="H201" i="1" s="1"/>
  <c r="K201" i="1" s="1"/>
  <c r="G46" i="1"/>
  <c r="H46" i="1" s="1"/>
  <c r="G164" i="1"/>
  <c r="H164" i="1" s="1"/>
  <c r="K164" i="1" s="1"/>
  <c r="G194" i="1"/>
  <c r="H194" i="1" s="1"/>
  <c r="K194" i="1" s="1"/>
  <c r="G111" i="1"/>
  <c r="H111" i="1" s="1"/>
  <c r="K111" i="1" s="1"/>
  <c r="G18" i="1"/>
  <c r="H18" i="1" s="1"/>
  <c r="G79" i="1"/>
  <c r="H79" i="1" s="1"/>
  <c r="G9" i="1"/>
  <c r="H9" i="1" s="1"/>
  <c r="G153" i="1"/>
  <c r="H153" i="1" s="1"/>
  <c r="K153" i="1" s="1"/>
  <c r="G182" i="1"/>
  <c r="H182" i="1" s="1"/>
  <c r="K182" i="1" s="1"/>
  <c r="G36" i="1"/>
  <c r="H36" i="1" s="1"/>
  <c r="G30" i="1"/>
  <c r="H30" i="1" s="1"/>
  <c r="G77" i="1"/>
  <c r="H77" i="1" s="1"/>
  <c r="G99" i="1"/>
  <c r="H99" i="1" s="1"/>
  <c r="K99" i="1" s="1"/>
  <c r="G40" i="1"/>
  <c r="H40" i="1" s="1"/>
  <c r="G89" i="1"/>
  <c r="H89" i="1" s="1"/>
  <c r="G101" i="1"/>
  <c r="H101" i="1" s="1"/>
  <c r="K101" i="1" s="1"/>
  <c r="G137" i="1"/>
  <c r="H137" i="1" s="1"/>
  <c r="K137" i="1" s="1"/>
  <c r="G102" i="1"/>
  <c r="H102" i="1" s="1"/>
  <c r="K102" i="1" s="1"/>
  <c r="G167" i="1"/>
  <c r="H167" i="1" s="1"/>
  <c r="K167" i="1" s="1"/>
  <c r="G222" i="1"/>
  <c r="H222" i="1" s="1"/>
  <c r="K222" i="1" s="1"/>
  <c r="G73" i="1"/>
  <c r="H73" i="1" s="1"/>
  <c r="G109" i="1"/>
  <c r="H109" i="1" s="1"/>
  <c r="K109" i="1" s="1"/>
  <c r="G6" i="1"/>
  <c r="H6" i="1" s="1"/>
  <c r="G190" i="1"/>
  <c r="H190" i="1" s="1"/>
  <c r="K190" i="1" s="1"/>
  <c r="G106" i="1"/>
  <c r="H106" i="1" s="1"/>
  <c r="K106" i="1" s="1"/>
  <c r="G15" i="1"/>
  <c r="H15" i="1" s="1"/>
  <c r="G168" i="1"/>
  <c r="H168" i="1" s="1"/>
  <c r="K168" i="1" s="1"/>
  <c r="G142" i="1"/>
  <c r="H142" i="1" s="1"/>
  <c r="K142" i="1" s="1"/>
  <c r="G12" i="1"/>
  <c r="H12" i="1" s="1"/>
  <c r="G155" i="1"/>
  <c r="H155" i="1" s="1"/>
  <c r="K155" i="1" s="1"/>
  <c r="G28" i="1"/>
  <c r="H28" i="1" s="1"/>
  <c r="G211" i="1"/>
  <c r="H211" i="1" s="1"/>
  <c r="K211" i="1" s="1"/>
  <c r="G117" i="1"/>
  <c r="H117" i="1" s="1"/>
  <c r="K117" i="1" s="1"/>
  <c r="G115" i="1"/>
  <c r="H115" i="1" s="1"/>
  <c r="K115" i="1" s="1"/>
  <c r="G129" i="1"/>
  <c r="H129" i="1" s="1"/>
  <c r="K129" i="1" s="1"/>
  <c r="G231" i="1"/>
  <c r="H231" i="1" s="1"/>
  <c r="K231" i="1" s="1"/>
  <c r="G65" i="1"/>
  <c r="H65" i="1" s="1"/>
  <c r="G58" i="1"/>
  <c r="H58" i="1" s="1"/>
  <c r="G156" i="1"/>
  <c r="H156" i="1" s="1"/>
  <c r="K156" i="1" s="1"/>
  <c r="G236" i="1"/>
  <c r="H236" i="1" s="1"/>
  <c r="K236" i="1" s="1"/>
  <c r="G107" i="1"/>
  <c r="H107" i="1" s="1"/>
  <c r="K107" i="1" s="1"/>
  <c r="G128" i="1"/>
  <c r="H128" i="1" s="1"/>
  <c r="K128" i="1" s="1"/>
  <c r="G108" i="1"/>
  <c r="H108" i="1" s="1"/>
  <c r="K108" i="1" s="1"/>
  <c r="G100" i="1"/>
  <c r="H100" i="1" s="1"/>
  <c r="K100" i="1" s="1"/>
  <c r="G172" i="1"/>
  <c r="H172" i="1" s="1"/>
  <c r="K172" i="1" s="1"/>
  <c r="G154" i="1"/>
  <c r="H154" i="1" s="1"/>
  <c r="K154" i="1" s="1"/>
  <c r="G149" i="1"/>
  <c r="H149" i="1" s="1"/>
  <c r="K149" i="1" s="1"/>
  <c r="G163" i="1"/>
  <c r="H163" i="1" s="1"/>
  <c r="K163" i="1" s="1"/>
  <c r="G55" i="1"/>
  <c r="H55" i="1" s="1"/>
  <c r="G80" i="1"/>
  <c r="H80" i="1" s="1"/>
  <c r="G88" i="1"/>
  <c r="H88" i="1" s="1"/>
  <c r="G166" i="1"/>
  <c r="H166" i="1" s="1"/>
  <c r="K166" i="1" s="1"/>
  <c r="G230" i="1"/>
  <c r="H230" i="1" s="1"/>
  <c r="K230" i="1" s="1"/>
  <c r="G83" i="1"/>
  <c r="H83" i="1" s="1"/>
  <c r="G38" i="1"/>
  <c r="H38" i="1" s="1"/>
  <c r="G52" i="1"/>
  <c r="H52" i="1" s="1"/>
  <c r="G44" i="1"/>
  <c r="H44" i="1" s="1"/>
  <c r="G84" i="1"/>
  <c r="H84" i="1" s="1"/>
  <c r="G39" i="1"/>
  <c r="H39" i="1" s="1"/>
  <c r="G62" i="1"/>
  <c r="H62" i="1" s="1"/>
  <c r="G86" i="1"/>
  <c r="H86" i="1" s="1"/>
  <c r="G68" i="1"/>
  <c r="H68" i="1" s="1"/>
  <c r="G152" i="1"/>
  <c r="H152" i="1" s="1"/>
  <c r="K152" i="1" s="1"/>
  <c r="G16" i="1"/>
  <c r="H16" i="1" s="1"/>
  <c r="G61" i="1"/>
  <c r="H61" i="1" s="1"/>
  <c r="G127" i="1"/>
  <c r="H127" i="1" s="1"/>
  <c r="K127" i="1" s="1"/>
  <c r="G112" i="1"/>
  <c r="H112" i="1" s="1"/>
  <c r="K112" i="1" s="1"/>
  <c r="G158" i="1"/>
  <c r="H158" i="1" s="1"/>
  <c r="K158" i="1" s="1"/>
  <c r="G161" i="1"/>
  <c r="H161" i="1" s="1"/>
  <c r="K161" i="1" s="1"/>
  <c r="G25" i="1"/>
  <c r="H25" i="1" s="1"/>
  <c r="G196" i="1"/>
  <c r="H196" i="1" s="1"/>
  <c r="K196" i="1" s="1"/>
  <c r="G96" i="1"/>
  <c r="H96" i="1" s="1"/>
  <c r="K96" i="1" s="1"/>
  <c r="G183" i="1"/>
  <c r="H183" i="1" s="1"/>
  <c r="K183" i="1" s="1"/>
  <c r="G116" i="1"/>
  <c r="H116" i="1" s="1"/>
  <c r="K116" i="1" s="1"/>
  <c r="G113" i="1"/>
  <c r="H113" i="1" s="1"/>
  <c r="K113" i="1" s="1"/>
  <c r="G118" i="1"/>
  <c r="H118" i="1" s="1"/>
  <c r="K118" i="1" s="1"/>
  <c r="G239" i="1"/>
  <c r="H239" i="1" s="1"/>
  <c r="K239" i="1" s="1"/>
  <c r="G179" i="1"/>
  <c r="H179" i="1" s="1"/>
  <c r="K179" i="1" s="1"/>
  <c r="G192" i="1"/>
  <c r="H192" i="1" s="1"/>
  <c r="K192" i="1" s="1"/>
  <c r="G225" i="1"/>
  <c r="H225" i="1" s="1"/>
  <c r="K225" i="1" s="1"/>
  <c r="G160" i="1"/>
  <c r="H160" i="1" s="1"/>
  <c r="K160" i="1" s="1"/>
  <c r="G213" i="1"/>
  <c r="H213" i="1" s="1"/>
  <c r="K213" i="1" s="1"/>
  <c r="G20" i="1"/>
  <c r="H20" i="1" s="1"/>
  <c r="G98" i="1"/>
  <c r="H98" i="1" s="1"/>
  <c r="K98" i="1" s="1"/>
  <c r="G81" i="1"/>
  <c r="H81" i="1" s="1"/>
  <c r="G188" i="1"/>
  <c r="H188" i="1" s="1"/>
  <c r="K188" i="1" s="1"/>
  <c r="G195" i="1"/>
  <c r="H195" i="1" s="1"/>
  <c r="K195" i="1" s="1"/>
  <c r="G123" i="1"/>
  <c r="H123" i="1" s="1"/>
  <c r="K123" i="1" s="1"/>
  <c r="G97" i="1"/>
  <c r="H97" i="1" s="1"/>
  <c r="K97" i="1" s="1"/>
  <c r="G217" i="1"/>
  <c r="H217" i="1" s="1"/>
  <c r="K217" i="1" s="1"/>
  <c r="G17" i="1"/>
  <c r="H17" i="1" s="1"/>
  <c r="G169" i="1"/>
  <c r="H169" i="1" s="1"/>
  <c r="K169" i="1" s="1"/>
  <c r="G136" i="1"/>
  <c r="H136" i="1" s="1"/>
  <c r="K136" i="1" s="1"/>
  <c r="G24" i="1"/>
  <c r="H24" i="1" s="1"/>
  <c r="G191" i="1"/>
  <c r="H191" i="1" s="1"/>
  <c r="K191" i="1" s="1"/>
  <c r="G226" i="1"/>
  <c r="H226" i="1" s="1"/>
  <c r="K226" i="1" s="1"/>
  <c r="G238" i="1"/>
  <c r="H238" i="1" s="1"/>
  <c r="K238" i="1" s="1"/>
  <c r="G199" i="1"/>
  <c r="H199" i="1" s="1"/>
  <c r="K199" i="1" s="1"/>
  <c r="G198" i="1"/>
  <c r="H198" i="1" s="1"/>
  <c r="K198" i="1" s="1"/>
  <c r="G240" i="1"/>
  <c r="H240" i="1" s="1"/>
  <c r="K240" i="1" s="1"/>
  <c r="G193" i="1"/>
  <c r="H193" i="1" s="1"/>
  <c r="K193" i="1" s="1"/>
  <c r="G121" i="1"/>
  <c r="H121" i="1" s="1"/>
  <c r="K121" i="1" s="1"/>
  <c r="G27" i="1"/>
  <c r="H27" i="1" s="1"/>
  <c r="G78" i="1"/>
  <c r="H78" i="1" s="1"/>
  <c r="G143" i="1"/>
  <c r="H143" i="1" s="1"/>
  <c r="K143" i="1" s="1"/>
  <c r="G51" i="1"/>
  <c r="H51" i="1" s="1"/>
  <c r="G19" i="1"/>
  <c r="H19" i="1" s="1"/>
  <c r="G241" i="1"/>
  <c r="H241" i="1" s="1"/>
  <c r="K241" i="1" s="1"/>
  <c r="G22" i="1"/>
  <c r="H22" i="1" s="1"/>
  <c r="G234" i="1"/>
  <c r="H234" i="1" s="1"/>
  <c r="K234" i="1" s="1"/>
  <c r="G54" i="1"/>
  <c r="H54" i="1" s="1"/>
  <c r="G148" i="1"/>
  <c r="H148" i="1" s="1"/>
  <c r="K148" i="1" s="1"/>
  <c r="G205" i="1"/>
  <c r="H205" i="1" s="1"/>
  <c r="K205" i="1" s="1"/>
  <c r="G200" i="1"/>
  <c r="H200" i="1" s="1"/>
  <c r="K200" i="1" s="1"/>
  <c r="G32" i="1"/>
  <c r="H32" i="1" s="1"/>
  <c r="G29" i="1"/>
  <c r="H29" i="1" s="1"/>
  <c r="G4" i="1"/>
  <c r="H4" i="1" s="1"/>
  <c r="G135" i="1"/>
  <c r="H135" i="1" s="1"/>
  <c r="K135" i="1" s="1"/>
  <c r="G189" i="1"/>
  <c r="H189" i="1" s="1"/>
  <c r="K189" i="1" s="1"/>
  <c r="G180" i="1"/>
  <c r="H180" i="1" s="1"/>
  <c r="K180" i="1" s="1"/>
  <c r="G220" i="1"/>
  <c r="H220" i="1" s="1"/>
  <c r="K220" i="1" s="1"/>
  <c r="G145" i="1"/>
  <c r="H145" i="1" s="1"/>
  <c r="K145" i="1" s="1"/>
  <c r="G63" i="1"/>
  <c r="H63" i="1" s="1"/>
  <c r="G110" i="1"/>
  <c r="H110" i="1" s="1"/>
  <c r="K110" i="1" s="1"/>
  <c r="G232" i="1"/>
  <c r="H232" i="1" s="1"/>
  <c r="K232" i="1" s="1"/>
  <c r="G146" i="1"/>
  <c r="H146" i="1" s="1"/>
  <c r="K146" i="1" s="1"/>
  <c r="G210" i="1"/>
  <c r="H210" i="1" s="1"/>
  <c r="K210" i="1" s="1"/>
  <c r="G184" i="1"/>
  <c r="H184" i="1" s="1"/>
  <c r="K184" i="1" s="1"/>
  <c r="G209" i="1"/>
  <c r="H209" i="1" s="1"/>
  <c r="K209" i="1" s="1"/>
  <c r="G151" i="1"/>
  <c r="H151" i="1" s="1"/>
  <c r="K151" i="1" s="1"/>
  <c r="G8" i="1"/>
  <c r="H8" i="1" s="1"/>
  <c r="G221" i="1"/>
  <c r="H221" i="1" s="1"/>
  <c r="K221" i="1" s="1"/>
  <c r="G69" i="1"/>
  <c r="H69" i="1" s="1"/>
  <c r="G82" i="1"/>
  <c r="H82" i="1" s="1"/>
  <c r="G162" i="1"/>
  <c r="H162" i="1" s="1"/>
  <c r="K162" i="1" s="1"/>
  <c r="G23" i="1"/>
  <c r="H23" i="1" s="1"/>
  <c r="G74" i="1"/>
  <c r="H74" i="1" s="1"/>
  <c r="G119" i="1"/>
  <c r="H119" i="1" s="1"/>
  <c r="K119" i="1" s="1"/>
  <c r="G120" i="1"/>
  <c r="H120" i="1" s="1"/>
  <c r="K120" i="1" s="1"/>
  <c r="G60" i="1"/>
  <c r="H60" i="1" s="1"/>
  <c r="G223" i="1"/>
  <c r="H223" i="1" s="1"/>
  <c r="K223" i="1" s="1"/>
  <c r="G132" i="1"/>
  <c r="H132" i="1" s="1"/>
  <c r="K132" i="1" s="1"/>
  <c r="G197" i="1"/>
  <c r="H197" i="1" s="1"/>
  <c r="K197" i="1" s="1"/>
  <c r="G57" i="1"/>
  <c r="H57" i="1" s="1"/>
  <c r="G90" i="1"/>
  <c r="H90" i="1" s="1"/>
  <c r="G141" i="1"/>
  <c r="H141" i="1" s="1"/>
  <c r="K141" i="1" s="1"/>
  <c r="E243" i="9"/>
  <c r="E243" i="2"/>
  <c r="E275" i="11"/>
  <c r="E265" i="9"/>
  <c r="E265" i="2"/>
  <c r="E273" i="11"/>
  <c r="E95" i="11"/>
  <c r="E5" i="11"/>
  <c r="E7" i="2"/>
  <c r="E7" i="9"/>
  <c r="E3" i="2"/>
  <c r="G316" i="1"/>
  <c r="H316" i="1" s="1"/>
  <c r="K316" i="1" s="1"/>
  <c r="I319" i="1"/>
  <c r="J319" i="1" s="1"/>
  <c r="J387" i="9" l="1"/>
  <c r="J402" i="9"/>
  <c r="J360" i="9"/>
  <c r="J378" i="9"/>
  <c r="J388" i="9"/>
  <c r="J379" i="9"/>
  <c r="J366" i="9"/>
  <c r="J401" i="9"/>
  <c r="J394" i="9"/>
  <c r="J392" i="9"/>
  <c r="J383" i="9"/>
  <c r="J370" i="9"/>
  <c r="J371" i="9"/>
  <c r="J397" i="9"/>
  <c r="J358" i="9"/>
  <c r="J404" i="9"/>
  <c r="J373" i="9"/>
  <c r="J354" i="9"/>
  <c r="J359" i="9"/>
  <c r="J372" i="9"/>
  <c r="J382" i="9"/>
  <c r="F361" i="11"/>
  <c r="F373" i="11"/>
  <c r="F381" i="11"/>
  <c r="F366" i="11"/>
  <c r="F389" i="11"/>
  <c r="F385" i="11"/>
  <c r="F388" i="11"/>
  <c r="F390" i="11"/>
  <c r="F364" i="11"/>
  <c r="F401" i="11"/>
  <c r="F404" i="11"/>
  <c r="F406" i="11"/>
  <c r="F380" i="11"/>
  <c r="F402" i="11"/>
  <c r="F379" i="11"/>
  <c r="F375" i="11"/>
  <c r="F367" i="11"/>
  <c r="F376" i="11"/>
  <c r="F399" i="11"/>
  <c r="F392" i="11"/>
  <c r="F355" i="11"/>
  <c r="F350" i="11"/>
  <c r="F353" i="11"/>
  <c r="F372" i="11"/>
  <c r="F363" i="11"/>
  <c r="F354" i="11"/>
  <c r="F368" i="11"/>
  <c r="F400" i="11"/>
  <c r="F357" i="11"/>
  <c r="F349" i="11"/>
  <c r="F384" i="11"/>
  <c r="F398" i="11"/>
  <c r="F405" i="11"/>
  <c r="F371" i="11"/>
  <c r="F387" i="11"/>
  <c r="F359" i="11"/>
  <c r="F348" i="11"/>
  <c r="F360" i="11"/>
  <c r="F352" i="11"/>
  <c r="F386" i="11"/>
  <c r="F396" i="11"/>
  <c r="F377" i="11"/>
  <c r="F382" i="11"/>
  <c r="F397" i="11"/>
  <c r="F395" i="11"/>
  <c r="F391" i="11"/>
  <c r="F356" i="11"/>
  <c r="F403" i="11"/>
  <c r="F369" i="11"/>
  <c r="F374" i="11"/>
  <c r="F393" i="11"/>
  <c r="F394" i="11"/>
  <c r="F351" i="11"/>
  <c r="F362" i="11"/>
  <c r="F358" i="11"/>
  <c r="F365" i="11"/>
  <c r="F378" i="11"/>
  <c r="F383" i="11"/>
  <c r="F370" i="11"/>
  <c r="J398" i="2"/>
  <c r="J402" i="2"/>
  <c r="J403" i="2"/>
  <c r="J387" i="2"/>
  <c r="J400" i="2"/>
  <c r="J389" i="2"/>
  <c r="J399" i="2"/>
  <c r="J405" i="2"/>
  <c r="J396" i="2"/>
  <c r="G386" i="2"/>
  <c r="H386" i="2" s="1"/>
  <c r="G389" i="2"/>
  <c r="H389" i="2" s="1"/>
  <c r="K389" i="2" s="1"/>
  <c r="D391" i="15" s="1"/>
  <c r="G401" i="2"/>
  <c r="H401" i="2" s="1"/>
  <c r="K401" i="2" s="1"/>
  <c r="D403" i="15" s="1"/>
  <c r="G404" i="2"/>
  <c r="H404" i="2" s="1"/>
  <c r="K404" i="2" s="1"/>
  <c r="D406" i="15" s="1"/>
  <c r="G385" i="2"/>
  <c r="H385" i="2" s="1"/>
  <c r="G400" i="2"/>
  <c r="H400" i="2" s="1"/>
  <c r="K400" i="2" s="1"/>
  <c r="D402" i="15" s="1"/>
  <c r="G392" i="2"/>
  <c r="H392" i="2" s="1"/>
  <c r="K392" i="2" s="1"/>
  <c r="D394" i="15" s="1"/>
  <c r="G388" i="2"/>
  <c r="H388" i="2" s="1"/>
  <c r="K388" i="2" s="1"/>
  <c r="D390" i="15" s="1"/>
  <c r="G395" i="2"/>
  <c r="H395" i="2" s="1"/>
  <c r="K395" i="2" s="1"/>
  <c r="D397" i="15" s="1"/>
  <c r="G380" i="2"/>
  <c r="H380" i="2" s="1"/>
  <c r="G393" i="2"/>
  <c r="H393" i="2" s="1"/>
  <c r="K393" i="2" s="1"/>
  <c r="D395" i="15" s="1"/>
  <c r="G391" i="2"/>
  <c r="H391" i="2" s="1"/>
  <c r="K391" i="2" s="1"/>
  <c r="D393" i="15" s="1"/>
  <c r="G394" i="2"/>
  <c r="H394" i="2" s="1"/>
  <c r="K394" i="2" s="1"/>
  <c r="D396" i="15" s="1"/>
  <c r="G381" i="2"/>
  <c r="H381" i="2" s="1"/>
  <c r="G396" i="2"/>
  <c r="H396" i="2" s="1"/>
  <c r="K396" i="2" s="1"/>
  <c r="D398" i="15" s="1"/>
  <c r="G382" i="2"/>
  <c r="H382" i="2" s="1"/>
  <c r="G406" i="2"/>
  <c r="H406" i="2" s="1"/>
  <c r="K406" i="2" s="1"/>
  <c r="D408" i="15" s="1"/>
  <c r="G399" i="2"/>
  <c r="H399" i="2" s="1"/>
  <c r="K399" i="2" s="1"/>
  <c r="D401" i="15" s="1"/>
  <c r="G379" i="2"/>
  <c r="H379" i="2" s="1"/>
  <c r="G390" i="2"/>
  <c r="H390" i="2" s="1"/>
  <c r="K390" i="2" s="1"/>
  <c r="D392" i="15" s="1"/>
  <c r="G398" i="2"/>
  <c r="H398" i="2" s="1"/>
  <c r="K398" i="2" s="1"/>
  <c r="D400" i="15" s="1"/>
  <c r="G403" i="2"/>
  <c r="H403" i="2" s="1"/>
  <c r="K403" i="2" s="1"/>
  <c r="D405" i="15" s="1"/>
  <c r="G384" i="2"/>
  <c r="H384" i="2" s="1"/>
  <c r="G383" i="2"/>
  <c r="H383" i="2" s="1"/>
  <c r="G405" i="2"/>
  <c r="H405" i="2" s="1"/>
  <c r="K405" i="2" s="1"/>
  <c r="D407" i="15" s="1"/>
  <c r="G387" i="2"/>
  <c r="H387" i="2" s="1"/>
  <c r="K387" i="2" s="1"/>
  <c r="D389" i="15" s="1"/>
  <c r="G397" i="2"/>
  <c r="H397" i="2" s="1"/>
  <c r="K397" i="2" s="1"/>
  <c r="D399" i="15" s="1"/>
  <c r="G402" i="2"/>
  <c r="H402" i="2" s="1"/>
  <c r="K402" i="2" s="1"/>
  <c r="D404" i="15" s="1"/>
  <c r="J406" i="2"/>
  <c r="J404" i="2"/>
  <c r="J394" i="2"/>
  <c r="J391" i="2"/>
  <c r="J393" i="2"/>
  <c r="J401" i="2"/>
  <c r="J392" i="2"/>
  <c r="J395" i="2"/>
  <c r="J388" i="2"/>
  <c r="J390" i="2"/>
  <c r="J405" i="9"/>
  <c r="J376" i="9"/>
  <c r="J348" i="9"/>
  <c r="J396" i="9"/>
  <c r="J362" i="9"/>
  <c r="J406" i="9"/>
  <c r="J365" i="9"/>
  <c r="G398" i="9"/>
  <c r="H398" i="9" s="1"/>
  <c r="K398" i="9" s="1"/>
  <c r="E400" i="15" s="1"/>
  <c r="K400" i="15" s="1"/>
  <c r="G393" i="9"/>
  <c r="H393" i="9" s="1"/>
  <c r="K393" i="9" s="1"/>
  <c r="E395" i="15" s="1"/>
  <c r="K395" i="15" s="1"/>
  <c r="G349" i="9"/>
  <c r="H349" i="9" s="1"/>
  <c r="K349" i="9" s="1"/>
  <c r="E351" i="15" s="1"/>
  <c r="G376" i="9"/>
  <c r="H376" i="9" s="1"/>
  <c r="K376" i="9" s="1"/>
  <c r="E378" i="15" s="1"/>
  <c r="G408" i="9"/>
  <c r="G357" i="9"/>
  <c r="H357" i="9" s="1"/>
  <c r="K357" i="9" s="1"/>
  <c r="E359" i="15" s="1"/>
  <c r="G366" i="9"/>
  <c r="H366" i="9" s="1"/>
  <c r="K366" i="9" s="1"/>
  <c r="E368" i="15" s="1"/>
  <c r="G350" i="9"/>
  <c r="H350" i="9" s="1"/>
  <c r="K350" i="9" s="1"/>
  <c r="E352" i="15" s="1"/>
  <c r="G365" i="9"/>
  <c r="H365" i="9" s="1"/>
  <c r="K365" i="9" s="1"/>
  <c r="E367" i="15" s="1"/>
  <c r="G382" i="9"/>
  <c r="H382" i="9" s="1"/>
  <c r="K382" i="9" s="1"/>
  <c r="E384" i="15" s="1"/>
  <c r="G397" i="9"/>
  <c r="H397" i="9" s="1"/>
  <c r="K397" i="9" s="1"/>
  <c r="E399" i="15" s="1"/>
  <c r="K399" i="15" s="1"/>
  <c r="G360" i="9"/>
  <c r="H360" i="9" s="1"/>
  <c r="K360" i="9" s="1"/>
  <c r="E362" i="15" s="1"/>
  <c r="G392" i="9"/>
  <c r="H392" i="9" s="1"/>
  <c r="K392" i="9" s="1"/>
  <c r="E394" i="15" s="1"/>
  <c r="G369" i="9"/>
  <c r="H369" i="9" s="1"/>
  <c r="K369" i="9" s="1"/>
  <c r="E371" i="15" s="1"/>
  <c r="G381" i="9"/>
  <c r="H381" i="9" s="1"/>
  <c r="K381" i="9" s="1"/>
  <c r="E383" i="15" s="1"/>
  <c r="G401" i="9"/>
  <c r="H401" i="9" s="1"/>
  <c r="K401" i="9" s="1"/>
  <c r="E403" i="15" s="1"/>
  <c r="K403" i="15" s="1"/>
  <c r="G368" i="9"/>
  <c r="H368" i="9" s="1"/>
  <c r="K368" i="9" s="1"/>
  <c r="E370" i="15" s="1"/>
  <c r="G400" i="9"/>
  <c r="H400" i="9" s="1"/>
  <c r="K400" i="9" s="1"/>
  <c r="E402" i="15" s="1"/>
  <c r="K402" i="15" s="1"/>
  <c r="G374" i="9"/>
  <c r="H374" i="9" s="1"/>
  <c r="K374" i="9" s="1"/>
  <c r="E376" i="15" s="1"/>
  <c r="G377" i="9"/>
  <c r="H377" i="9" s="1"/>
  <c r="K377" i="9" s="1"/>
  <c r="E379" i="15" s="1"/>
  <c r="G389" i="9"/>
  <c r="H389" i="9" s="1"/>
  <c r="K389" i="9" s="1"/>
  <c r="E391" i="15" s="1"/>
  <c r="K391" i="15" s="1"/>
  <c r="G406" i="9"/>
  <c r="H406" i="9" s="1"/>
  <c r="K406" i="9" s="1"/>
  <c r="E408" i="15" s="1"/>
  <c r="G409" i="9"/>
  <c r="G405" i="9"/>
  <c r="H405" i="9" s="1"/>
  <c r="K405" i="9" s="1"/>
  <c r="E407" i="15" s="1"/>
  <c r="G352" i="9"/>
  <c r="H352" i="9" s="1"/>
  <c r="K352" i="9" s="1"/>
  <c r="E354" i="15" s="1"/>
  <c r="G383" i="9"/>
  <c r="H383" i="9" s="1"/>
  <c r="K383" i="9" s="1"/>
  <c r="E385" i="15" s="1"/>
  <c r="G403" i="9"/>
  <c r="H403" i="9" s="1"/>
  <c r="K403" i="9" s="1"/>
  <c r="E405" i="15" s="1"/>
  <c r="K405" i="15" s="1"/>
  <c r="G371" i="9"/>
  <c r="H371" i="9" s="1"/>
  <c r="K371" i="9" s="1"/>
  <c r="E373" i="15" s="1"/>
  <c r="G386" i="9"/>
  <c r="H386" i="9" s="1"/>
  <c r="K386" i="9" s="1"/>
  <c r="E388" i="15" s="1"/>
  <c r="G378" i="9"/>
  <c r="H378" i="9" s="1"/>
  <c r="K378" i="9" s="1"/>
  <c r="E380" i="15" s="1"/>
  <c r="G380" i="9"/>
  <c r="H380" i="9" s="1"/>
  <c r="K380" i="9" s="1"/>
  <c r="E382" i="15" s="1"/>
  <c r="G388" i="9"/>
  <c r="H388" i="9" s="1"/>
  <c r="K388" i="9" s="1"/>
  <c r="E390" i="15" s="1"/>
  <c r="G394" i="9"/>
  <c r="H394" i="9" s="1"/>
  <c r="K394" i="9" s="1"/>
  <c r="E396" i="15" s="1"/>
  <c r="K396" i="15" s="1"/>
  <c r="G385" i="9"/>
  <c r="H385" i="9" s="1"/>
  <c r="K385" i="9" s="1"/>
  <c r="E387" i="15" s="1"/>
  <c r="G390" i="9"/>
  <c r="H390" i="9" s="1"/>
  <c r="K390" i="9" s="1"/>
  <c r="E392" i="15" s="1"/>
  <c r="G372" i="9"/>
  <c r="H372" i="9" s="1"/>
  <c r="K372" i="9" s="1"/>
  <c r="E374" i="15" s="1"/>
  <c r="G373" i="9"/>
  <c r="H373" i="9" s="1"/>
  <c r="K373" i="9" s="1"/>
  <c r="E375" i="15" s="1"/>
  <c r="G351" i="9"/>
  <c r="H351" i="9" s="1"/>
  <c r="K351" i="9" s="1"/>
  <c r="E353" i="15" s="1"/>
  <c r="G359" i="9"/>
  <c r="H359" i="9" s="1"/>
  <c r="K359" i="9" s="1"/>
  <c r="E361" i="15" s="1"/>
  <c r="G367" i="9"/>
  <c r="H367" i="9" s="1"/>
  <c r="K367" i="9" s="1"/>
  <c r="E369" i="15" s="1"/>
  <c r="G395" i="9"/>
  <c r="H395" i="9" s="1"/>
  <c r="K395" i="9" s="1"/>
  <c r="E397" i="15" s="1"/>
  <c r="G363" i="9"/>
  <c r="H363" i="9" s="1"/>
  <c r="K363" i="9" s="1"/>
  <c r="E365" i="15" s="1"/>
  <c r="G370" i="9"/>
  <c r="H370" i="9" s="1"/>
  <c r="K370" i="9" s="1"/>
  <c r="E372" i="15" s="1"/>
  <c r="G355" i="9"/>
  <c r="H355" i="9" s="1"/>
  <c r="K355" i="9" s="1"/>
  <c r="E357" i="15" s="1"/>
  <c r="G402" i="9"/>
  <c r="H402" i="9" s="1"/>
  <c r="K402" i="9" s="1"/>
  <c r="E404" i="15" s="1"/>
  <c r="K404" i="15" s="1"/>
  <c r="G364" i="9"/>
  <c r="H364" i="9" s="1"/>
  <c r="K364" i="9" s="1"/>
  <c r="E366" i="15" s="1"/>
  <c r="G361" i="9"/>
  <c r="H361" i="9" s="1"/>
  <c r="K361" i="9" s="1"/>
  <c r="E363" i="15" s="1"/>
  <c r="G407" i="9"/>
  <c r="G348" i="9"/>
  <c r="H348" i="9" s="1"/>
  <c r="K348" i="9" s="1"/>
  <c r="E350" i="15" s="1"/>
  <c r="G356" i="9"/>
  <c r="H356" i="9" s="1"/>
  <c r="K356" i="9" s="1"/>
  <c r="E358" i="15" s="1"/>
  <c r="G362" i="9"/>
  <c r="H362" i="9" s="1"/>
  <c r="K362" i="9" s="1"/>
  <c r="E364" i="15" s="1"/>
  <c r="G384" i="9"/>
  <c r="H384" i="9" s="1"/>
  <c r="K384" i="9" s="1"/>
  <c r="E386" i="15" s="1"/>
  <c r="G353" i="9"/>
  <c r="H353" i="9" s="1"/>
  <c r="K353" i="9" s="1"/>
  <c r="E355" i="15" s="1"/>
  <c r="G404" i="9"/>
  <c r="H404" i="9" s="1"/>
  <c r="K404" i="9" s="1"/>
  <c r="E406" i="15" s="1"/>
  <c r="K406" i="15" s="1"/>
  <c r="G396" i="9"/>
  <c r="H396" i="9" s="1"/>
  <c r="K396" i="9" s="1"/>
  <c r="E398" i="15" s="1"/>
  <c r="G387" i="9"/>
  <c r="H387" i="9" s="1"/>
  <c r="K387" i="9" s="1"/>
  <c r="E389" i="15" s="1"/>
  <c r="G354" i="9"/>
  <c r="H354" i="9" s="1"/>
  <c r="K354" i="9" s="1"/>
  <c r="E356" i="15" s="1"/>
  <c r="G358" i="9"/>
  <c r="H358" i="9" s="1"/>
  <c r="K358" i="9" s="1"/>
  <c r="E360" i="15" s="1"/>
  <c r="G391" i="9"/>
  <c r="H391" i="9" s="1"/>
  <c r="K391" i="9" s="1"/>
  <c r="E393" i="15" s="1"/>
  <c r="K393" i="15" s="1"/>
  <c r="G399" i="9"/>
  <c r="H399" i="9" s="1"/>
  <c r="K399" i="9" s="1"/>
  <c r="E401" i="15" s="1"/>
  <c r="K401" i="15" s="1"/>
  <c r="G375" i="9"/>
  <c r="H375" i="9" s="1"/>
  <c r="K375" i="9" s="1"/>
  <c r="E377" i="15" s="1"/>
  <c r="G379" i="9"/>
  <c r="H379" i="9" s="1"/>
  <c r="K379" i="9" s="1"/>
  <c r="E381" i="15" s="1"/>
  <c r="J399" i="9"/>
  <c r="J384" i="9"/>
  <c r="J385" i="9"/>
  <c r="J403" i="9"/>
  <c r="J351" i="9"/>
  <c r="J375" i="9"/>
  <c r="J389" i="9"/>
  <c r="J350" i="9"/>
  <c r="J352" i="9"/>
  <c r="J367" i="9"/>
  <c r="J361" i="9"/>
  <c r="J363" i="9"/>
  <c r="J369" i="9"/>
  <c r="J377" i="9"/>
  <c r="J374" i="9"/>
  <c r="J349" i="9"/>
  <c r="J393" i="9"/>
  <c r="J364" i="9"/>
  <c r="J356" i="9"/>
  <c r="J380" i="9"/>
  <c r="J390" i="9"/>
  <c r="J400" i="9"/>
  <c r="J357" i="9"/>
  <c r="J381" i="9"/>
  <c r="J391" i="9"/>
  <c r="J353" i="9"/>
  <c r="J395" i="9"/>
  <c r="J386" i="9"/>
  <c r="J368" i="9"/>
  <c r="J355" i="9"/>
  <c r="J398" i="9"/>
  <c r="I95" i="1"/>
  <c r="J96" i="1"/>
  <c r="F297" i="9"/>
  <c r="J297" i="9" s="1"/>
  <c r="I285" i="1"/>
  <c r="J284" i="1"/>
  <c r="J361" i="2"/>
  <c r="J357" i="2"/>
  <c r="G349" i="2"/>
  <c r="H349" i="2" s="1"/>
  <c r="K349" i="2" s="1"/>
  <c r="D351" i="15" s="1"/>
  <c r="G369" i="2"/>
  <c r="H369" i="2" s="1"/>
  <c r="G370" i="2"/>
  <c r="H370" i="2" s="1"/>
  <c r="G355" i="2"/>
  <c r="H355" i="2" s="1"/>
  <c r="K355" i="2" s="1"/>
  <c r="D357" i="15" s="1"/>
  <c r="G358" i="2"/>
  <c r="H358" i="2" s="1"/>
  <c r="K358" i="2" s="1"/>
  <c r="D360" i="15" s="1"/>
  <c r="G362" i="2"/>
  <c r="H362" i="2" s="1"/>
  <c r="K362" i="2" s="1"/>
  <c r="D364" i="15" s="1"/>
  <c r="K364" i="15" s="1"/>
  <c r="G364" i="2"/>
  <c r="H364" i="2" s="1"/>
  <c r="G350" i="2"/>
  <c r="H350" i="2" s="1"/>
  <c r="K350" i="2" s="1"/>
  <c r="D352" i="15" s="1"/>
  <c r="G373" i="2"/>
  <c r="H373" i="2" s="1"/>
  <c r="G361" i="2"/>
  <c r="H361" i="2" s="1"/>
  <c r="K361" i="2" s="1"/>
  <c r="D363" i="15" s="1"/>
  <c r="K363" i="15" s="1"/>
  <c r="G368" i="2"/>
  <c r="H368" i="2" s="1"/>
  <c r="G367" i="2"/>
  <c r="H367" i="2" s="1"/>
  <c r="G357" i="2"/>
  <c r="H357" i="2" s="1"/>
  <c r="K357" i="2" s="1"/>
  <c r="D359" i="15" s="1"/>
  <c r="K359" i="15" s="1"/>
  <c r="G360" i="2"/>
  <c r="H360" i="2" s="1"/>
  <c r="K360" i="2" s="1"/>
  <c r="D362" i="15" s="1"/>
  <c r="K362" i="15" s="1"/>
  <c r="G359" i="2"/>
  <c r="H359" i="2" s="1"/>
  <c r="K359" i="2" s="1"/>
  <c r="D361" i="15" s="1"/>
  <c r="G353" i="2"/>
  <c r="H353" i="2" s="1"/>
  <c r="K353" i="2" s="1"/>
  <c r="D355" i="15" s="1"/>
  <c r="G351" i="2"/>
  <c r="H351" i="2" s="1"/>
  <c r="K351" i="2" s="1"/>
  <c r="D353" i="15" s="1"/>
  <c r="G356" i="2"/>
  <c r="H356" i="2" s="1"/>
  <c r="K356" i="2" s="1"/>
  <c r="D358" i="15" s="1"/>
  <c r="G348" i="2"/>
  <c r="H348" i="2" s="1"/>
  <c r="K348" i="2" s="1"/>
  <c r="D350" i="15" s="1"/>
  <c r="G365" i="2"/>
  <c r="H365" i="2" s="1"/>
  <c r="G371" i="2"/>
  <c r="H371" i="2" s="1"/>
  <c r="G354" i="2"/>
  <c r="H354" i="2" s="1"/>
  <c r="K354" i="2" s="1"/>
  <c r="D356" i="15" s="1"/>
  <c r="G352" i="2"/>
  <c r="H352" i="2" s="1"/>
  <c r="K352" i="2" s="1"/>
  <c r="D354" i="15" s="1"/>
  <c r="G366" i="2"/>
  <c r="H366" i="2" s="1"/>
  <c r="G363" i="2"/>
  <c r="H363" i="2" s="1"/>
  <c r="G372" i="2"/>
  <c r="H372" i="2" s="1"/>
  <c r="G374" i="2"/>
  <c r="H374" i="2" s="1"/>
  <c r="G375" i="2"/>
  <c r="H375" i="2" s="1"/>
  <c r="G376" i="2"/>
  <c r="H376" i="2" s="1"/>
  <c r="G377" i="2"/>
  <c r="H377" i="2" s="1"/>
  <c r="G378" i="2"/>
  <c r="H378" i="2" s="1"/>
  <c r="J360" i="2"/>
  <c r="J351" i="2"/>
  <c r="J354" i="2"/>
  <c r="J355" i="2"/>
  <c r="J349" i="2"/>
  <c r="J352" i="2"/>
  <c r="J353" i="2"/>
  <c r="J348" i="2"/>
  <c r="J356" i="2"/>
  <c r="J359" i="2"/>
  <c r="J350" i="2"/>
  <c r="J358" i="2"/>
  <c r="J362" i="2"/>
  <c r="I363" i="2"/>
  <c r="F290" i="9"/>
  <c r="J290" i="9" s="1"/>
  <c r="F295" i="9"/>
  <c r="J295" i="9" s="1"/>
  <c r="F293" i="9"/>
  <c r="J293" i="9" s="1"/>
  <c r="J346" i="2"/>
  <c r="G347" i="2"/>
  <c r="G347" i="9"/>
  <c r="J309" i="2"/>
  <c r="G346" i="9"/>
  <c r="H346" i="9" s="1"/>
  <c r="K346" i="9" s="1"/>
  <c r="E348" i="15" s="1"/>
  <c r="J346" i="9"/>
  <c r="G346" i="2"/>
  <c r="H346" i="2" s="1"/>
  <c r="K346" i="2" s="1"/>
  <c r="D348" i="15" s="1"/>
  <c r="F296" i="9"/>
  <c r="J296" i="9" s="1"/>
  <c r="F298" i="9"/>
  <c r="J298" i="9" s="1"/>
  <c r="J333" i="2"/>
  <c r="J336" i="2"/>
  <c r="J335" i="2"/>
  <c r="J330" i="9"/>
  <c r="J336" i="9"/>
  <c r="J329" i="9"/>
  <c r="J332" i="9"/>
  <c r="J332" i="2"/>
  <c r="J334" i="9"/>
  <c r="J335" i="9"/>
  <c r="F327" i="11"/>
  <c r="F336" i="11"/>
  <c r="F337" i="11"/>
  <c r="F334" i="11"/>
  <c r="F335" i="11"/>
  <c r="F332" i="11"/>
  <c r="F333" i="11"/>
  <c r="F328" i="11"/>
  <c r="F330" i="11"/>
  <c r="F331" i="11"/>
  <c r="F329" i="11"/>
  <c r="J329" i="2"/>
  <c r="J337" i="2"/>
  <c r="J333" i="9"/>
  <c r="G345" i="9"/>
  <c r="G344" i="9"/>
  <c r="G336" i="9"/>
  <c r="H336" i="9" s="1"/>
  <c r="K336" i="9" s="1"/>
  <c r="E338" i="15" s="1"/>
  <c r="G337" i="9"/>
  <c r="H337" i="9" s="1"/>
  <c r="K337" i="9" s="1"/>
  <c r="E339" i="15" s="1"/>
  <c r="G339" i="9"/>
  <c r="G332" i="9"/>
  <c r="H332" i="9" s="1"/>
  <c r="K332" i="9" s="1"/>
  <c r="E334" i="15" s="1"/>
  <c r="G340" i="9"/>
  <c r="G334" i="9"/>
  <c r="H334" i="9" s="1"/>
  <c r="K334" i="9" s="1"/>
  <c r="E336" i="15" s="1"/>
  <c r="G338" i="9"/>
  <c r="G341" i="9"/>
  <c r="G333" i="9"/>
  <c r="H333" i="9" s="1"/>
  <c r="K333" i="9" s="1"/>
  <c r="G343" i="9"/>
  <c r="G342" i="9"/>
  <c r="G335" i="9"/>
  <c r="H335" i="9" s="1"/>
  <c r="K335" i="9" s="1"/>
  <c r="E337" i="15" s="1"/>
  <c r="G331" i="9"/>
  <c r="H331" i="9" s="1"/>
  <c r="K331" i="9" s="1"/>
  <c r="E333" i="15" s="1"/>
  <c r="G330" i="9"/>
  <c r="H330" i="9" s="1"/>
  <c r="K330" i="9" s="1"/>
  <c r="E332" i="15" s="1"/>
  <c r="G329" i="9"/>
  <c r="H329" i="9" s="1"/>
  <c r="K329" i="9" s="1"/>
  <c r="E331" i="15" s="1"/>
  <c r="G328" i="9"/>
  <c r="H328" i="9" s="1"/>
  <c r="K328" i="9" s="1"/>
  <c r="E330" i="15" s="1"/>
  <c r="J331" i="2"/>
  <c r="J334" i="2"/>
  <c r="J328" i="2"/>
  <c r="J328" i="9"/>
  <c r="J103" i="2"/>
  <c r="G345" i="2"/>
  <c r="G344" i="2"/>
  <c r="G343" i="2"/>
  <c r="G338" i="2"/>
  <c r="G332" i="2"/>
  <c r="H332" i="2" s="1"/>
  <c r="K332" i="2" s="1"/>
  <c r="D334" i="15" s="1"/>
  <c r="G339" i="2"/>
  <c r="G336" i="2"/>
  <c r="H336" i="2" s="1"/>
  <c r="K336" i="2" s="1"/>
  <c r="D338" i="15" s="1"/>
  <c r="G340" i="2"/>
  <c r="G335" i="2"/>
  <c r="H335" i="2" s="1"/>
  <c r="K335" i="2" s="1"/>
  <c r="D337" i="15" s="1"/>
  <c r="G333" i="2"/>
  <c r="H333" i="2" s="1"/>
  <c r="K333" i="2" s="1"/>
  <c r="G337" i="2"/>
  <c r="H337" i="2" s="1"/>
  <c r="K337" i="2" s="1"/>
  <c r="D339" i="15" s="1"/>
  <c r="G342" i="2"/>
  <c r="G334" i="2"/>
  <c r="H334" i="2" s="1"/>
  <c r="K334" i="2" s="1"/>
  <c r="D336" i="15" s="1"/>
  <c r="G341" i="2"/>
  <c r="G328" i="2"/>
  <c r="H328" i="2" s="1"/>
  <c r="K328" i="2" s="1"/>
  <c r="D330" i="15" s="1"/>
  <c r="G331" i="2"/>
  <c r="H331" i="2" s="1"/>
  <c r="K331" i="2" s="1"/>
  <c r="D333" i="15" s="1"/>
  <c r="G330" i="2"/>
  <c r="H330" i="2" s="1"/>
  <c r="K330" i="2" s="1"/>
  <c r="D332" i="15" s="1"/>
  <c r="G329" i="2"/>
  <c r="H329" i="2" s="1"/>
  <c r="K329" i="2" s="1"/>
  <c r="D331" i="15" s="1"/>
  <c r="J330" i="2"/>
  <c r="J331" i="9"/>
  <c r="J337" i="9"/>
  <c r="F299" i="9"/>
  <c r="J299" i="9" s="1"/>
  <c r="C164" i="15"/>
  <c r="C182" i="15"/>
  <c r="C171" i="15"/>
  <c r="C125" i="15"/>
  <c r="C145" i="15"/>
  <c r="C162" i="15"/>
  <c r="C233" i="15"/>
  <c r="C103" i="15"/>
  <c r="C203" i="15"/>
  <c r="C106" i="15"/>
  <c r="C149" i="15"/>
  <c r="C244" i="15"/>
  <c r="C210" i="15"/>
  <c r="C146" i="15"/>
  <c r="C187" i="15"/>
  <c r="C217" i="15"/>
  <c r="C229" i="15"/>
  <c r="C286" i="15"/>
  <c r="C262" i="15"/>
  <c r="C279" i="15"/>
  <c r="C277" i="15"/>
  <c r="C122" i="15"/>
  <c r="C318" i="15"/>
  <c r="C234" i="15"/>
  <c r="C134" i="15"/>
  <c r="C137" i="15"/>
  <c r="C240" i="15"/>
  <c r="C225" i="15"/>
  <c r="C100" i="15"/>
  <c r="C212" i="15"/>
  <c r="C147" i="15"/>
  <c r="C202" i="15"/>
  <c r="C195" i="15"/>
  <c r="C197" i="15"/>
  <c r="C227" i="15"/>
  <c r="C120" i="15"/>
  <c r="C165" i="15"/>
  <c r="C110" i="15"/>
  <c r="C108" i="15"/>
  <c r="C111" i="15"/>
  <c r="C224" i="15"/>
  <c r="C188" i="15"/>
  <c r="C133" i="15"/>
  <c r="C124" i="15"/>
  <c r="C176" i="15"/>
  <c r="C226" i="15"/>
  <c r="C235" i="15"/>
  <c r="C180" i="15"/>
  <c r="C214" i="15"/>
  <c r="C159" i="15"/>
  <c r="C319" i="15"/>
  <c r="C309" i="15"/>
  <c r="C248" i="15"/>
  <c r="C276" i="15"/>
  <c r="C252" i="15"/>
  <c r="C311" i="15"/>
  <c r="C150" i="15"/>
  <c r="C191" i="15"/>
  <c r="C121" i="15"/>
  <c r="C186" i="15"/>
  <c r="C213" i="15"/>
  <c r="C143" i="15"/>
  <c r="C223" i="15"/>
  <c r="C222" i="15"/>
  <c r="C207" i="15"/>
  <c r="C228" i="15"/>
  <c r="C138" i="15"/>
  <c r="C115" i="15"/>
  <c r="C163" i="15"/>
  <c r="C156" i="15"/>
  <c r="C130" i="15"/>
  <c r="C169" i="15"/>
  <c r="C155" i="15"/>
  <c r="C166" i="15"/>
  <c r="C179" i="15"/>
  <c r="C177" i="15"/>
  <c r="C206" i="15"/>
  <c r="C167" i="15"/>
  <c r="C204" i="15"/>
  <c r="C128" i="15"/>
  <c r="C189" i="15"/>
  <c r="C275" i="15"/>
  <c r="C265" i="15"/>
  <c r="C284" i="15"/>
  <c r="C261" i="15"/>
  <c r="C282" i="15"/>
  <c r="C259" i="15"/>
  <c r="C256" i="15"/>
  <c r="C267" i="15"/>
  <c r="C253" i="15"/>
  <c r="C148" i="15"/>
  <c r="C242" i="15"/>
  <c r="C194" i="15"/>
  <c r="C118" i="15"/>
  <c r="C154" i="15"/>
  <c r="C157" i="15"/>
  <c r="C192" i="15"/>
  <c r="C113" i="15"/>
  <c r="C237" i="15"/>
  <c r="C107" i="15"/>
  <c r="C220" i="15"/>
  <c r="C263" i="15"/>
  <c r="C268" i="15"/>
  <c r="C291" i="15"/>
  <c r="C245" i="15"/>
  <c r="C272" i="15"/>
  <c r="C305" i="15"/>
  <c r="C266" i="15"/>
  <c r="C200" i="15"/>
  <c r="C193" i="15"/>
  <c r="C219" i="15"/>
  <c r="C190" i="15"/>
  <c r="C185" i="15"/>
  <c r="C160" i="15"/>
  <c r="C174" i="15"/>
  <c r="C109" i="15"/>
  <c r="C131" i="15"/>
  <c r="C205" i="15"/>
  <c r="C141" i="15"/>
  <c r="C216" i="15"/>
  <c r="C218" i="15"/>
  <c r="C172" i="15"/>
  <c r="C136" i="15"/>
  <c r="C140" i="15"/>
  <c r="C239" i="15"/>
  <c r="C316" i="15"/>
  <c r="C304" i="15"/>
  <c r="C250" i="15"/>
  <c r="C247" i="15"/>
  <c r="C314" i="15"/>
  <c r="C310" i="15"/>
  <c r="C271" i="15"/>
  <c r="C264" i="15"/>
  <c r="C251" i="15"/>
  <c r="C215" i="15"/>
  <c r="C98" i="15"/>
  <c r="C114" i="15"/>
  <c r="C232" i="15"/>
  <c r="C144" i="15"/>
  <c r="C104" i="15"/>
  <c r="C101" i="15"/>
  <c r="C116" i="15"/>
  <c r="C230" i="15"/>
  <c r="C132" i="15"/>
  <c r="C208" i="15"/>
  <c r="C161" i="15"/>
  <c r="C320" i="15"/>
  <c r="C317" i="15"/>
  <c r="C249" i="15"/>
  <c r="C269" i="15"/>
  <c r="C246" i="15"/>
  <c r="C306" i="15"/>
  <c r="C243" i="15"/>
  <c r="C236" i="15"/>
  <c r="C123" i="15"/>
  <c r="C201" i="15"/>
  <c r="C99" i="15"/>
  <c r="C129" i="15"/>
  <c r="C168" i="15"/>
  <c r="C151" i="15"/>
  <c r="C238" i="15"/>
  <c r="C117" i="15"/>
  <c r="C170" i="15"/>
  <c r="C196" i="15"/>
  <c r="C209" i="15"/>
  <c r="C135" i="15"/>
  <c r="C152" i="15"/>
  <c r="C178" i="15"/>
  <c r="C127" i="15"/>
  <c r="C175" i="15"/>
  <c r="C183" i="15"/>
  <c r="C255" i="15"/>
  <c r="C258" i="15"/>
  <c r="C273" i="15"/>
  <c r="C281" i="15"/>
  <c r="C257" i="15"/>
  <c r="C285" i="15"/>
  <c r="C280" i="15"/>
  <c r="C312" i="15"/>
  <c r="C153" i="15"/>
  <c r="C199" i="15"/>
  <c r="C211" i="15"/>
  <c r="C181" i="15"/>
  <c r="C241" i="15"/>
  <c r="C198" i="15"/>
  <c r="C102" i="15"/>
  <c r="C158" i="15"/>
  <c r="C119" i="15"/>
  <c r="C139" i="15"/>
  <c r="C184" i="15"/>
  <c r="C221" i="15"/>
  <c r="C126" i="15"/>
  <c r="C142" i="15"/>
  <c r="C105" i="15"/>
  <c r="C231" i="15"/>
  <c r="C173" i="15"/>
  <c r="C283" i="15"/>
  <c r="C270" i="15"/>
  <c r="C313" i="15"/>
  <c r="C299" i="15"/>
  <c r="C300" i="15"/>
  <c r="C294" i="15"/>
  <c r="C298" i="15"/>
  <c r="C301" i="15"/>
  <c r="C293" i="15"/>
  <c r="C302" i="15"/>
  <c r="C295" i="15"/>
  <c r="C292" i="15"/>
  <c r="J281" i="2"/>
  <c r="J298" i="2"/>
  <c r="F301" i="9"/>
  <c r="J301" i="9" s="1"/>
  <c r="J327" i="2"/>
  <c r="J96" i="2"/>
  <c r="J169" i="2"/>
  <c r="J176" i="2"/>
  <c r="J123" i="2"/>
  <c r="J283" i="2"/>
  <c r="J78" i="2"/>
  <c r="J247" i="2"/>
  <c r="J326" i="2"/>
  <c r="G327" i="9"/>
  <c r="H327" i="9" s="1"/>
  <c r="K327" i="9" s="1"/>
  <c r="E329" i="15" s="1"/>
  <c r="G326" i="9"/>
  <c r="H326" i="9" s="1"/>
  <c r="K326" i="9" s="1"/>
  <c r="J133" i="2"/>
  <c r="J229" i="2"/>
  <c r="G326" i="2"/>
  <c r="H326" i="2" s="1"/>
  <c r="K326" i="2" s="1"/>
  <c r="G327" i="2"/>
  <c r="H327" i="2" s="1"/>
  <c r="K327" i="2" s="1"/>
  <c r="D329" i="15" s="1"/>
  <c r="J326" i="9"/>
  <c r="J327" i="9"/>
  <c r="F326" i="11"/>
  <c r="J220" i="2"/>
  <c r="J101" i="2"/>
  <c r="G322" i="2"/>
  <c r="H322" i="2" s="1"/>
  <c r="K322" i="2" s="1"/>
  <c r="D324" i="15" s="1"/>
  <c r="G325" i="2"/>
  <c r="H325" i="2" s="1"/>
  <c r="K325" i="2" s="1"/>
  <c r="D327" i="15" s="1"/>
  <c r="G323" i="2"/>
  <c r="H323" i="2" s="1"/>
  <c r="K323" i="2" s="1"/>
  <c r="D325" i="15" s="1"/>
  <c r="G324" i="2"/>
  <c r="H324" i="2" s="1"/>
  <c r="K324" i="2" s="1"/>
  <c r="D326" i="15" s="1"/>
  <c r="G321" i="2"/>
  <c r="H321" i="2" s="1"/>
  <c r="K321" i="2" s="1"/>
  <c r="D323" i="15" s="1"/>
  <c r="F54" i="11"/>
  <c r="F322" i="11"/>
  <c r="F321" i="11"/>
  <c r="F324" i="11"/>
  <c r="F323" i="11"/>
  <c r="F325" i="11"/>
  <c r="J324" i="9"/>
  <c r="J60" i="2"/>
  <c r="J53" i="2"/>
  <c r="J10" i="2"/>
  <c r="J296" i="2"/>
  <c r="J142" i="2"/>
  <c r="J228" i="2"/>
  <c r="J64" i="2"/>
  <c r="J135" i="2"/>
  <c r="J212" i="2"/>
  <c r="J57" i="2"/>
  <c r="J323" i="2"/>
  <c r="J325" i="9"/>
  <c r="J106" i="2"/>
  <c r="J85" i="2"/>
  <c r="J314" i="9"/>
  <c r="J204" i="9"/>
  <c r="J19" i="9"/>
  <c r="J158" i="2"/>
  <c r="J279" i="2"/>
  <c r="J321" i="2"/>
  <c r="J323" i="9"/>
  <c r="J322" i="2"/>
  <c r="J13" i="2"/>
  <c r="E267" i="11"/>
  <c r="F267" i="11" s="1"/>
  <c r="J177" i="2"/>
  <c r="J82" i="2"/>
  <c r="J6" i="2"/>
  <c r="J31" i="2"/>
  <c r="J274" i="2"/>
  <c r="J324" i="2"/>
  <c r="J321" i="9"/>
  <c r="G322" i="9"/>
  <c r="H322" i="9" s="1"/>
  <c r="K322" i="9" s="1"/>
  <c r="E324" i="15" s="1"/>
  <c r="G324" i="9"/>
  <c r="H324" i="9" s="1"/>
  <c r="K324" i="9" s="1"/>
  <c r="E326" i="15" s="1"/>
  <c r="G321" i="9"/>
  <c r="H321" i="9" s="1"/>
  <c r="K321" i="9" s="1"/>
  <c r="E323" i="15" s="1"/>
  <c r="G323" i="9"/>
  <c r="H323" i="9" s="1"/>
  <c r="K323" i="9" s="1"/>
  <c r="E325" i="15" s="1"/>
  <c r="G325" i="9"/>
  <c r="H325" i="9" s="1"/>
  <c r="K325" i="9" s="1"/>
  <c r="E327" i="15" s="1"/>
  <c r="J87" i="2"/>
  <c r="J182" i="2"/>
  <c r="J149" i="2"/>
  <c r="J110" i="2"/>
  <c r="J325" i="2"/>
  <c r="J322" i="9"/>
  <c r="J245" i="2"/>
  <c r="J208" i="2"/>
  <c r="J75" i="9"/>
  <c r="J22" i="2"/>
  <c r="J119" i="2"/>
  <c r="J67" i="2"/>
  <c r="J240" i="2"/>
  <c r="J284" i="2"/>
  <c r="J255" i="9"/>
  <c r="J238" i="2"/>
  <c r="J289" i="2"/>
  <c r="J152" i="2"/>
  <c r="J237" i="2"/>
  <c r="J73" i="2"/>
  <c r="J144" i="2"/>
  <c r="F292" i="11"/>
  <c r="J318" i="9"/>
  <c r="F3" i="11"/>
  <c r="F264" i="11"/>
  <c r="J250" i="2"/>
  <c r="J30" i="2"/>
  <c r="J127" i="2"/>
  <c r="J115" i="2"/>
  <c r="J167" i="2"/>
  <c r="F172" i="11"/>
  <c r="F116" i="11"/>
  <c r="F2" i="9"/>
  <c r="J2" i="9" s="1"/>
  <c r="G318" i="9"/>
  <c r="H318" i="9" s="1"/>
  <c r="K318" i="9" s="1"/>
  <c r="E320" i="15" s="1"/>
  <c r="G317" i="9"/>
  <c r="H317" i="9" s="1"/>
  <c r="K317" i="9" s="1"/>
  <c r="E319" i="15" s="1"/>
  <c r="F94" i="11"/>
  <c r="F196" i="11"/>
  <c r="J317" i="9"/>
  <c r="F291" i="9"/>
  <c r="J291" i="9" s="1"/>
  <c r="F318" i="11"/>
  <c r="F317" i="11"/>
  <c r="J100" i="2"/>
  <c r="J205" i="2"/>
  <c r="J20" i="2"/>
  <c r="J311" i="2"/>
  <c r="J223" i="2"/>
  <c r="J11" i="2"/>
  <c r="F115" i="11"/>
  <c r="F190" i="11"/>
  <c r="F20" i="11"/>
  <c r="F279" i="11"/>
  <c r="F186" i="11"/>
  <c r="F185" i="11"/>
  <c r="F47" i="11"/>
  <c r="F314" i="11"/>
  <c r="J235" i="9"/>
  <c r="F138" i="11"/>
  <c r="F237" i="11"/>
  <c r="J112" i="9"/>
  <c r="F61" i="11"/>
  <c r="J133" i="9"/>
  <c r="F288" i="11"/>
  <c r="J283" i="9"/>
  <c r="F75" i="11"/>
  <c r="J267" i="9"/>
  <c r="J186" i="9"/>
  <c r="F180" i="11"/>
  <c r="F104" i="11"/>
  <c r="F224" i="11"/>
  <c r="J3" i="9"/>
  <c r="F296" i="11"/>
  <c r="F306" i="11"/>
  <c r="F301" i="11"/>
  <c r="F38" i="11"/>
  <c r="F255" i="11"/>
  <c r="F108" i="11"/>
  <c r="F234" i="11"/>
  <c r="F294" i="9"/>
  <c r="J294" i="9" s="1"/>
  <c r="F291" i="11"/>
  <c r="F111" i="11"/>
  <c r="J34" i="9"/>
  <c r="J304" i="9"/>
  <c r="J58" i="9"/>
  <c r="J201" i="9"/>
  <c r="J125" i="9"/>
  <c r="J143" i="9"/>
  <c r="J30" i="9"/>
  <c r="J22" i="9"/>
  <c r="J165" i="9"/>
  <c r="J210" i="9"/>
  <c r="J149" i="9"/>
  <c r="J197" i="9"/>
  <c r="F44" i="11"/>
  <c r="F285" i="11"/>
  <c r="F19" i="11"/>
  <c r="F294" i="11"/>
  <c r="J236" i="9"/>
  <c r="F218" i="11"/>
  <c r="F235" i="11"/>
  <c r="F200" i="11"/>
  <c r="F286" i="11"/>
  <c r="F105" i="11"/>
  <c r="F195" i="11"/>
  <c r="F148" i="11"/>
  <c r="F142" i="11"/>
  <c r="J190" i="9"/>
  <c r="J134" i="9"/>
  <c r="F278" i="11"/>
  <c r="J37" i="9"/>
  <c r="F126" i="11"/>
  <c r="F284" i="11"/>
  <c r="F59" i="11"/>
  <c r="F214" i="11"/>
  <c r="F46" i="11"/>
  <c r="F36" i="11"/>
  <c r="J83" i="9"/>
  <c r="F177" i="11"/>
  <c r="F156" i="11"/>
  <c r="J271" i="9"/>
  <c r="F110" i="11"/>
  <c r="J184" i="9"/>
  <c r="F109" i="11"/>
  <c r="J346" i="11" s="1"/>
  <c r="J208" i="9"/>
  <c r="J156" i="9"/>
  <c r="J310" i="9"/>
  <c r="J305" i="9"/>
  <c r="J164" i="9"/>
  <c r="F236" i="11"/>
  <c r="J51" i="9"/>
  <c r="F184" i="11"/>
  <c r="J223" i="9"/>
  <c r="F162" i="11"/>
  <c r="F74" i="11"/>
  <c r="J130" i="9"/>
  <c r="F208" i="11"/>
  <c r="F161" i="11"/>
  <c r="J27" i="9"/>
  <c r="J315" i="9"/>
  <c r="J292" i="9"/>
  <c r="J188" i="9"/>
  <c r="F67" i="11"/>
  <c r="J6" i="9"/>
  <c r="F73" i="11"/>
  <c r="F187" i="11"/>
  <c r="F209" i="11"/>
  <c r="F316" i="11"/>
  <c r="F181" i="11"/>
  <c r="F170" i="11"/>
  <c r="F310" i="11"/>
  <c r="F222" i="11"/>
  <c r="F307" i="11"/>
  <c r="J284" i="9"/>
  <c r="F123" i="11"/>
  <c r="F305" i="11"/>
  <c r="F309" i="11"/>
  <c r="F197" i="11"/>
  <c r="J31" i="9"/>
  <c r="F295" i="11"/>
  <c r="F83" i="11"/>
  <c r="F50" i="11"/>
  <c r="J161" i="9"/>
  <c r="F164" i="11"/>
  <c r="F51" i="11"/>
  <c r="F223" i="11"/>
  <c r="F153" i="11"/>
  <c r="F62" i="11"/>
  <c r="F130" i="11"/>
  <c r="F212" i="11"/>
  <c r="F27" i="11"/>
  <c r="F188" i="11"/>
  <c r="J67" i="9"/>
  <c r="J189" i="9"/>
  <c r="F280" i="11"/>
  <c r="J107" i="9"/>
  <c r="F107" i="11"/>
  <c r="F225" i="11"/>
  <c r="F16" i="11"/>
  <c r="F189" i="11"/>
  <c r="F100" i="11"/>
  <c r="F152" i="11"/>
  <c r="F135" i="11"/>
  <c r="F93" i="11"/>
  <c r="J137" i="9"/>
  <c r="F78" i="11"/>
  <c r="J40" i="9"/>
  <c r="J254" i="9"/>
  <c r="F299" i="11"/>
  <c r="F204" i="11"/>
  <c r="J200" i="9"/>
  <c r="F55" i="11"/>
  <c r="F302" i="11"/>
  <c r="G267" i="9"/>
  <c r="H267" i="9" s="1"/>
  <c r="K267" i="9" s="1"/>
  <c r="E269" i="15" s="1"/>
  <c r="F63" i="11"/>
  <c r="J120" i="9"/>
  <c r="F132" i="11"/>
  <c r="J116" i="9"/>
  <c r="F23" i="11"/>
  <c r="F232" i="11"/>
  <c r="F40" i="11"/>
  <c r="F101" i="11"/>
  <c r="F238" i="11"/>
  <c r="J307" i="9"/>
  <c r="F198" i="11"/>
  <c r="J242" i="9"/>
  <c r="J110" i="9"/>
  <c r="J218" i="9"/>
  <c r="F274" i="11"/>
  <c r="F315" i="11"/>
  <c r="J202" i="9"/>
  <c r="J228" i="9"/>
  <c r="F91" i="11"/>
  <c r="J212" i="9"/>
  <c r="J192" i="9"/>
  <c r="F6" i="11"/>
  <c r="F35" i="11"/>
  <c r="F202" i="11"/>
  <c r="J63" i="9"/>
  <c r="F112" i="11"/>
  <c r="F228" i="11"/>
  <c r="F4" i="11"/>
  <c r="F229" i="11"/>
  <c r="J224" i="9"/>
  <c r="F120" i="11"/>
  <c r="F133" i="11"/>
  <c r="F192" i="11"/>
  <c r="J225" i="9"/>
  <c r="J55" i="9"/>
  <c r="F31" i="11"/>
  <c r="F247" i="11"/>
  <c r="F98" i="11"/>
  <c r="F194" i="11"/>
  <c r="F313" i="11"/>
  <c r="F154" i="11"/>
  <c r="F13" i="11"/>
  <c r="J256" i="9"/>
  <c r="J259" i="2"/>
  <c r="J215" i="2"/>
  <c r="J134" i="2"/>
  <c r="J234" i="2"/>
  <c r="J219" i="2"/>
  <c r="J97" i="2"/>
  <c r="J141" i="2"/>
  <c r="J258" i="2"/>
  <c r="J288" i="2"/>
  <c r="J43" i="2"/>
  <c r="J72" i="2"/>
  <c r="J241" i="2"/>
  <c r="J33" i="2"/>
  <c r="J15" i="2"/>
  <c r="J202" i="2"/>
  <c r="J70" i="2"/>
  <c r="J175" i="2"/>
  <c r="J44" i="2"/>
  <c r="J42" i="2"/>
  <c r="J17" i="2"/>
  <c r="J124" i="2"/>
  <c r="J92" i="2"/>
  <c r="J209" i="2"/>
  <c r="J56" i="2"/>
  <c r="J242" i="2"/>
  <c r="J41" i="2"/>
  <c r="J213" i="2"/>
  <c r="J71" i="2"/>
  <c r="J68" i="2"/>
  <c r="J121" i="2"/>
  <c r="J48" i="2"/>
  <c r="J246" i="2"/>
  <c r="J254" i="2"/>
  <c r="J304" i="2"/>
  <c r="J93" i="2"/>
  <c r="J12" i="2"/>
  <c r="J290" i="2"/>
  <c r="J126" i="2"/>
  <c r="J204" i="2"/>
  <c r="J307" i="2"/>
  <c r="J257" i="2"/>
  <c r="J226" i="2"/>
  <c r="J168" i="2"/>
  <c r="J155" i="2"/>
  <c r="J153" i="2"/>
  <c r="J189" i="2"/>
  <c r="J18" i="2"/>
  <c r="J285" i="2"/>
  <c r="J9" i="2"/>
  <c r="J210" i="2"/>
  <c r="J140" i="2"/>
  <c r="J192" i="2"/>
  <c r="J131" i="2"/>
  <c r="J187" i="2"/>
  <c r="J173" i="2"/>
  <c r="J207" i="2"/>
  <c r="J190" i="2"/>
  <c r="J217" i="2"/>
  <c r="J225" i="2"/>
  <c r="J185" i="2"/>
  <c r="J196" i="2"/>
  <c r="J122" i="2"/>
  <c r="J89" i="2"/>
  <c r="J129" i="2"/>
  <c r="J98" i="2"/>
  <c r="J113" i="2"/>
  <c r="J51" i="2"/>
  <c r="J181" i="2"/>
  <c r="J128" i="2"/>
  <c r="J200" i="2"/>
  <c r="J302" i="2"/>
  <c r="J303" i="2"/>
  <c r="J269" i="2"/>
  <c r="J268" i="2"/>
  <c r="J244" i="2"/>
  <c r="J32" i="2"/>
  <c r="J313" i="2"/>
  <c r="J277" i="2"/>
  <c r="J276" i="2"/>
  <c r="J81" i="2"/>
  <c r="J162" i="2"/>
  <c r="J230" i="2"/>
  <c r="J295" i="2"/>
  <c r="J287" i="2"/>
  <c r="J232" i="2"/>
  <c r="J25" i="2"/>
  <c r="J111" i="2"/>
  <c r="J19" i="2"/>
  <c r="J112" i="2"/>
  <c r="J267" i="2"/>
  <c r="J84" i="2"/>
  <c r="J138" i="2"/>
  <c r="J47" i="2"/>
  <c r="J211" i="2"/>
  <c r="J76" i="2"/>
  <c r="J224" i="2"/>
  <c r="J193" i="2"/>
  <c r="J58" i="2"/>
  <c r="J221" i="2"/>
  <c r="J160" i="2"/>
  <c r="J125" i="2"/>
  <c r="J148" i="2"/>
  <c r="J136" i="2"/>
  <c r="J154" i="2"/>
  <c r="J137" i="2"/>
  <c r="J272" i="2"/>
  <c r="J4" i="2"/>
  <c r="J255" i="2"/>
  <c r="J5" i="2"/>
  <c r="J95" i="2"/>
  <c r="J308" i="2"/>
  <c r="J301" i="2"/>
  <c r="J198" i="2"/>
  <c r="J174" i="2"/>
  <c r="J61" i="2"/>
  <c r="J286" i="2"/>
  <c r="J45" i="2"/>
  <c r="J21" i="2"/>
  <c r="J91" i="2"/>
  <c r="J171" i="2"/>
  <c r="J239" i="2"/>
  <c r="J316" i="2"/>
  <c r="J114" i="2"/>
  <c r="J280" i="2"/>
  <c r="J107" i="2"/>
  <c r="J50" i="2"/>
  <c r="J201" i="2"/>
  <c r="J102" i="2"/>
  <c r="J271" i="2"/>
  <c r="J35" i="2"/>
  <c r="J116" i="2"/>
  <c r="J83" i="2"/>
  <c r="J163" i="2"/>
  <c r="J231" i="2"/>
  <c r="J90" i="2"/>
  <c r="J216" i="2"/>
  <c r="J39" i="2"/>
  <c r="J145" i="2"/>
  <c r="J151" i="2"/>
  <c r="J108" i="2"/>
  <c r="J24" i="2"/>
  <c r="J34" i="2"/>
  <c r="J109" i="2"/>
  <c r="J195" i="2"/>
  <c r="J147" i="2"/>
  <c r="J55" i="2"/>
  <c r="J236" i="2"/>
  <c r="J80" i="2"/>
  <c r="J23" i="2"/>
  <c r="J46" i="2"/>
  <c r="J130" i="2"/>
  <c r="J170" i="2"/>
  <c r="J188" i="2"/>
  <c r="J261" i="2"/>
  <c r="J262" i="2"/>
  <c r="J264" i="2"/>
  <c r="J253" i="2"/>
  <c r="J197" i="2"/>
  <c r="J206" i="2"/>
  <c r="J150" i="2"/>
  <c r="J233" i="2"/>
  <c r="J312" i="2"/>
  <c r="J62" i="2"/>
  <c r="J194" i="2"/>
  <c r="J29" i="2"/>
  <c r="J99" i="2"/>
  <c r="J180" i="2"/>
  <c r="J248" i="2"/>
  <c r="J251" i="2"/>
  <c r="J318" i="2"/>
  <c r="J146" i="2"/>
  <c r="J227" i="2"/>
  <c r="J183" i="2"/>
  <c r="J66" i="2"/>
  <c r="J79" i="2"/>
  <c r="J54" i="2"/>
  <c r="J139" i="2"/>
  <c r="J252" i="2"/>
  <c r="J294" i="2"/>
  <c r="J306" i="2"/>
  <c r="J222" i="2"/>
  <c r="J77" i="2"/>
  <c r="J164" i="2"/>
  <c r="J161" i="2"/>
  <c r="J178" i="2"/>
  <c r="J186" i="2"/>
  <c r="J104" i="2"/>
  <c r="J105" i="2"/>
  <c r="J14" i="2"/>
  <c r="J165" i="2"/>
  <c r="J86" i="2"/>
  <c r="J75" i="2"/>
  <c r="J69" i="2"/>
  <c r="J203" i="2"/>
  <c r="J172" i="2"/>
  <c r="J156" i="2"/>
  <c r="J38" i="2"/>
  <c r="J88" i="2"/>
  <c r="J26" i="2"/>
  <c r="J282" i="2"/>
  <c r="J16" i="2"/>
  <c r="J305" i="2"/>
  <c r="J266" i="2"/>
  <c r="J249" i="2"/>
  <c r="J278" i="2"/>
  <c r="J214" i="2"/>
  <c r="J94" i="2"/>
  <c r="J297" i="2"/>
  <c r="J292" i="2"/>
  <c r="J293" i="2"/>
  <c r="J310" i="2"/>
  <c r="J37" i="2"/>
  <c r="J256" i="2"/>
  <c r="J270" i="2"/>
  <c r="J317" i="2"/>
  <c r="J117" i="2"/>
  <c r="J74" i="2"/>
  <c r="J191" i="2"/>
  <c r="J63" i="2"/>
  <c r="J273" i="2"/>
  <c r="J199" i="2"/>
  <c r="J299" i="2"/>
  <c r="J65" i="2"/>
  <c r="J315" i="2"/>
  <c r="J235" i="2"/>
  <c r="J166" i="2"/>
  <c r="F2" i="2"/>
  <c r="J2" i="2" s="1"/>
  <c r="G318" i="2"/>
  <c r="H318" i="2" s="1"/>
  <c r="K318" i="2" s="1"/>
  <c r="D320" i="15" s="1"/>
  <c r="G317" i="2"/>
  <c r="H317" i="2" s="1"/>
  <c r="K317" i="2" s="1"/>
  <c r="D319" i="15" s="1"/>
  <c r="G316" i="2"/>
  <c r="H316" i="2" s="1"/>
  <c r="K316" i="2" s="1"/>
  <c r="D318" i="15" s="1"/>
  <c r="G315" i="2"/>
  <c r="H315" i="2" s="1"/>
  <c r="K315" i="2" s="1"/>
  <c r="D317" i="15" s="1"/>
  <c r="J27" i="2"/>
  <c r="J218" i="2"/>
  <c r="J157" i="2"/>
  <c r="J28" i="2"/>
  <c r="J132" i="2"/>
  <c r="J59" i="2"/>
  <c r="J36" i="2"/>
  <c r="J143" i="2"/>
  <c r="J179" i="2"/>
  <c r="J49" i="2"/>
  <c r="J52" i="2"/>
  <c r="J120" i="2"/>
  <c r="J184" i="2"/>
  <c r="J314" i="2"/>
  <c r="J40" i="2"/>
  <c r="J263" i="2"/>
  <c r="J159" i="2"/>
  <c r="J260" i="2"/>
  <c r="J291" i="2"/>
  <c r="J300" i="2"/>
  <c r="J118" i="2"/>
  <c r="J275" i="2"/>
  <c r="G74" i="9"/>
  <c r="H74" i="9" s="1"/>
  <c r="K74" i="9" s="1"/>
  <c r="E76" i="15" s="1"/>
  <c r="G89" i="9"/>
  <c r="H89" i="9" s="1"/>
  <c r="K89" i="9" s="1"/>
  <c r="E91" i="15" s="1"/>
  <c r="J23" i="9"/>
  <c r="J264" i="9"/>
  <c r="J232" i="9"/>
  <c r="J195" i="9"/>
  <c r="J316" i="9"/>
  <c r="J5" i="9"/>
  <c r="J142" i="9"/>
  <c r="J237" i="9"/>
  <c r="J33" i="9"/>
  <c r="J248" i="9"/>
  <c r="J54" i="9"/>
  <c r="J114" i="9"/>
  <c r="J249" i="9"/>
  <c r="J111" i="9"/>
  <c r="J85" i="9"/>
  <c r="J245" i="9"/>
  <c r="J193" i="9"/>
  <c r="J158" i="9"/>
  <c r="J88" i="9"/>
  <c r="J98" i="9"/>
  <c r="J24" i="9"/>
  <c r="J97" i="9"/>
  <c r="J81" i="9"/>
  <c r="J35" i="9"/>
  <c r="J160" i="9"/>
  <c r="J73" i="9"/>
  <c r="J222" i="9"/>
  <c r="J281" i="9"/>
  <c r="F281" i="11"/>
  <c r="F18" i="11"/>
  <c r="F113" i="11"/>
  <c r="J123" i="9"/>
  <c r="F300" i="11"/>
  <c r="F68" i="11"/>
  <c r="J91" i="9"/>
  <c r="F290" i="11"/>
  <c r="J155" i="9"/>
  <c r="J132" i="9"/>
  <c r="J78" i="9"/>
  <c r="J47" i="9"/>
  <c r="J148" i="9"/>
  <c r="J152" i="9"/>
  <c r="J80" i="9"/>
  <c r="J70" i="9"/>
  <c r="J276" i="9"/>
  <c r="J141" i="9"/>
  <c r="J126" i="9"/>
  <c r="J150" i="9"/>
  <c r="J20" i="9"/>
  <c r="J102" i="9"/>
  <c r="J241" i="9"/>
  <c r="J52" i="9"/>
  <c r="J129" i="9"/>
  <c r="J147" i="9"/>
  <c r="J166" i="9"/>
  <c r="J42" i="9"/>
  <c r="J122" i="9"/>
  <c r="J68" i="9"/>
  <c r="J221" i="9"/>
  <c r="J180" i="9"/>
  <c r="F147" i="11"/>
  <c r="F155" i="11"/>
  <c r="F139" i="11"/>
  <c r="F66" i="11"/>
  <c r="F99" i="11"/>
  <c r="F226" i="11"/>
  <c r="F211" i="11"/>
  <c r="F179" i="11"/>
  <c r="F85" i="11"/>
  <c r="F70" i="11"/>
  <c r="F45" i="11"/>
  <c r="F102" i="11"/>
  <c r="F158" i="11"/>
  <c r="F146" i="11"/>
  <c r="F92" i="11"/>
  <c r="F191" i="11"/>
  <c r="F125" i="11"/>
  <c r="F173" i="11"/>
  <c r="F57" i="11"/>
  <c r="F17" i="11"/>
  <c r="F183" i="11"/>
  <c r="F205" i="11"/>
  <c r="F199" i="11"/>
  <c r="F215" i="11"/>
  <c r="F124" i="11"/>
  <c r="F76" i="11"/>
  <c r="F128" i="11"/>
  <c r="F157" i="11"/>
  <c r="F137" i="11"/>
  <c r="F37" i="11"/>
  <c r="F26" i="11"/>
  <c r="F79" i="11"/>
  <c r="F97" i="11"/>
  <c r="F12" i="11"/>
  <c r="F114" i="11"/>
  <c r="F233" i="11"/>
  <c r="F176" i="11"/>
  <c r="F28" i="11"/>
  <c r="F160" i="11"/>
  <c r="F22" i="11"/>
  <c r="F33" i="11"/>
  <c r="F49" i="11"/>
  <c r="F221" i="11"/>
  <c r="F174" i="11"/>
  <c r="F30" i="11"/>
  <c r="F88" i="11"/>
  <c r="F150" i="11"/>
  <c r="F9" i="11"/>
  <c r="F87" i="11"/>
  <c r="F118" i="11"/>
  <c r="F56" i="11"/>
  <c r="F82" i="11"/>
  <c r="F32" i="11"/>
  <c r="F143" i="11"/>
  <c r="F227" i="11"/>
  <c r="F129" i="11"/>
  <c r="F122" i="11"/>
  <c r="F14" i="11"/>
  <c r="F206" i="11"/>
  <c r="F210" i="11"/>
  <c r="F119" i="11"/>
  <c r="F64" i="11"/>
  <c r="F272" i="11"/>
  <c r="F253" i="11"/>
  <c r="F260" i="11"/>
  <c r="F251" i="11"/>
  <c r="F276" i="11"/>
  <c r="F269" i="11"/>
  <c r="F144" i="11"/>
  <c r="F242" i="11"/>
  <c r="F166" i="11"/>
  <c r="F134" i="11"/>
  <c r="F149" i="11"/>
  <c r="F25" i="11"/>
  <c r="F252" i="11"/>
  <c r="F261" i="11"/>
  <c r="F263" i="11"/>
  <c r="F89" i="11"/>
  <c r="F81" i="11"/>
  <c r="F65" i="11"/>
  <c r="F34" i="11"/>
  <c r="F213" i="11"/>
  <c r="F217" i="11"/>
  <c r="F244" i="11"/>
  <c r="F262" i="11"/>
  <c r="F246" i="11"/>
  <c r="F182" i="11"/>
  <c r="F257" i="11"/>
  <c r="F15" i="11"/>
  <c r="F80" i="11"/>
  <c r="F58" i="11"/>
  <c r="F69" i="11"/>
  <c r="F240" i="11"/>
  <c r="F41" i="11"/>
  <c r="F277" i="11"/>
  <c r="F258" i="11"/>
  <c r="F287" i="11"/>
  <c r="F268" i="11"/>
  <c r="F219" i="11"/>
  <c r="F24" i="11"/>
  <c r="F239" i="11"/>
  <c r="F60" i="11"/>
  <c r="F201" i="11"/>
  <c r="F193" i="11"/>
  <c r="F270" i="11"/>
  <c r="F256" i="11"/>
  <c r="F271" i="11"/>
  <c r="F163" i="11"/>
  <c r="F42" i="11"/>
  <c r="F106" i="11"/>
  <c r="F53" i="11"/>
  <c r="F127" i="11"/>
  <c r="F203" i="11"/>
  <c r="F141" i="11"/>
  <c r="F136" i="11"/>
  <c r="F248" i="11"/>
  <c r="F289" i="11"/>
  <c r="F169" i="11"/>
  <c r="F266" i="11"/>
  <c r="F165" i="11"/>
  <c r="F241" i="11"/>
  <c r="F96" i="11"/>
  <c r="F171" i="11"/>
  <c r="F71" i="11"/>
  <c r="F245" i="11"/>
  <c r="F249" i="11"/>
  <c r="F121" i="11"/>
  <c r="F254" i="11"/>
  <c r="F250" i="11"/>
  <c r="J219" i="9"/>
  <c r="J262" i="9"/>
  <c r="J263" i="9"/>
  <c r="F52" i="11"/>
  <c r="F230" i="11"/>
  <c r="J279" i="9"/>
  <c r="J167" i="9"/>
  <c r="J175" i="9"/>
  <c r="J65" i="9"/>
  <c r="J275" i="9"/>
  <c r="J159" i="9"/>
  <c r="F293" i="11"/>
  <c r="J274" i="9"/>
  <c r="J100" i="9"/>
  <c r="J62" i="9"/>
  <c r="J16" i="9"/>
  <c r="J144" i="9"/>
  <c r="J121" i="9"/>
  <c r="J302" i="9"/>
  <c r="J12" i="9"/>
  <c r="J38" i="9"/>
  <c r="J286" i="9"/>
  <c r="J174" i="9"/>
  <c r="J119" i="9"/>
  <c r="J28" i="9"/>
  <c r="J181" i="9"/>
  <c r="J50" i="9"/>
  <c r="J146" i="9"/>
  <c r="J185" i="9"/>
  <c r="J115" i="9"/>
  <c r="J99" i="9"/>
  <c r="J240" i="9"/>
  <c r="J14" i="9"/>
  <c r="J280" i="9"/>
  <c r="J233" i="9"/>
  <c r="F297" i="11"/>
  <c r="J135" i="9"/>
  <c r="J86" i="9"/>
  <c r="J211" i="9"/>
  <c r="F303" i="11"/>
  <c r="F308" i="11"/>
  <c r="F175" i="11"/>
  <c r="J101" i="9"/>
  <c r="F159" i="11"/>
  <c r="F311" i="11"/>
  <c r="F282" i="11"/>
  <c r="J138" i="9"/>
  <c r="J209" i="9"/>
  <c r="J94" i="9"/>
  <c r="J247" i="9"/>
  <c r="J194" i="9"/>
  <c r="J64" i="9"/>
  <c r="J306" i="9"/>
  <c r="J251" i="9"/>
  <c r="J215" i="9"/>
  <c r="J253" i="9"/>
  <c r="J154" i="9"/>
  <c r="J157" i="9"/>
  <c r="J268" i="9"/>
  <c r="J213" i="9"/>
  <c r="J15" i="9"/>
  <c r="J198" i="9"/>
  <c r="J118" i="9"/>
  <c r="J171" i="9"/>
  <c r="J162" i="9"/>
  <c r="J163" i="9"/>
  <c r="J60" i="9"/>
  <c r="J71" i="9"/>
  <c r="J176" i="9"/>
  <c r="J203" i="9"/>
  <c r="J66" i="9"/>
  <c r="J282" i="9"/>
  <c r="J187" i="9"/>
  <c r="J261" i="9"/>
  <c r="J170" i="9"/>
  <c r="F86" i="11"/>
  <c r="J92" i="9"/>
  <c r="F304" i="11"/>
  <c r="J269" i="9"/>
  <c r="J207" i="9"/>
  <c r="J288" i="9"/>
  <c r="J29" i="9"/>
  <c r="F167" i="11"/>
  <c r="F283" i="11"/>
  <c r="F298" i="11"/>
  <c r="G108" i="9"/>
  <c r="H108" i="9" s="1"/>
  <c r="K108" i="9" s="1"/>
  <c r="E110" i="15" s="1"/>
  <c r="J196" i="9"/>
  <c r="J217" i="9"/>
  <c r="J108" i="9"/>
  <c r="J230" i="9"/>
  <c r="J36" i="9"/>
  <c r="J285" i="9"/>
  <c r="J57" i="9"/>
  <c r="J257" i="9"/>
  <c r="J93" i="9"/>
  <c r="J9" i="9"/>
  <c r="J26" i="9"/>
  <c r="J139" i="9"/>
  <c r="J169" i="9"/>
  <c r="J105" i="9"/>
  <c r="J4" i="9"/>
  <c r="J179" i="9"/>
  <c r="J69" i="9"/>
  <c r="J229" i="9"/>
  <c r="J234" i="9"/>
  <c r="J173" i="9"/>
  <c r="J59" i="9"/>
  <c r="J136" i="9"/>
  <c r="J300" i="9"/>
  <c r="F312" i="11"/>
  <c r="J95" i="9"/>
  <c r="J53" i="9"/>
  <c r="J312" i="9"/>
  <c r="J313" i="9"/>
  <c r="F207" i="11"/>
  <c r="J260" i="9"/>
  <c r="F29" i="11"/>
  <c r="J124" i="9"/>
  <c r="J278" i="9"/>
  <c r="J44" i="9"/>
  <c r="J277" i="9"/>
  <c r="J199" i="9"/>
  <c r="J287" i="9"/>
  <c r="J96" i="9"/>
  <c r="J273" i="9"/>
  <c r="J191" i="9"/>
  <c r="J309" i="9"/>
  <c r="J183" i="9"/>
  <c r="J89" i="9"/>
  <c r="J153" i="9"/>
  <c r="J82" i="9"/>
  <c r="J87" i="9"/>
  <c r="J79" i="9"/>
  <c r="J128" i="9"/>
  <c r="J182" i="9"/>
  <c r="J41" i="9"/>
  <c r="J226" i="9"/>
  <c r="J227" i="9"/>
  <c r="J244" i="9"/>
  <c r="J13" i="9"/>
  <c r="J104" i="9"/>
  <c r="J177" i="9"/>
  <c r="J250" i="9"/>
  <c r="J61" i="9"/>
  <c r="J214" i="9"/>
  <c r="J252" i="9"/>
  <c r="J46" i="9"/>
  <c r="J25" i="9"/>
  <c r="J289" i="9"/>
  <c r="J205" i="9"/>
  <c r="J272" i="9"/>
  <c r="J270" i="9"/>
  <c r="J206" i="9"/>
  <c r="J266" i="9"/>
  <c r="J127" i="9"/>
  <c r="J258" i="9"/>
  <c r="J113" i="9"/>
  <c r="J49" i="9"/>
  <c r="J238" i="9"/>
  <c r="J76" i="9"/>
  <c r="J45" i="9"/>
  <c r="J106" i="9"/>
  <c r="J18" i="9"/>
  <c r="J17" i="9"/>
  <c r="J74" i="9"/>
  <c r="J56" i="9"/>
  <c r="J239" i="9"/>
  <c r="J308" i="9"/>
  <c r="J32" i="9"/>
  <c r="J246" i="9"/>
  <c r="J303" i="9"/>
  <c r="J311" i="9"/>
  <c r="G48" i="9"/>
  <c r="H48" i="9" s="1"/>
  <c r="K48" i="9" s="1"/>
  <c r="E50" i="15" s="1"/>
  <c r="G18" i="9"/>
  <c r="H18" i="9" s="1"/>
  <c r="K18" i="9" s="1"/>
  <c r="E20" i="15" s="1"/>
  <c r="C303" i="15"/>
  <c r="G287" i="2"/>
  <c r="H287" i="2" s="1"/>
  <c r="K287" i="2" s="1"/>
  <c r="D289" i="15" s="1"/>
  <c r="F48" i="9"/>
  <c r="J48" i="9" s="1"/>
  <c r="E48" i="11"/>
  <c r="F48" i="11" s="1"/>
  <c r="G71" i="9"/>
  <c r="H71" i="9" s="1"/>
  <c r="K71" i="9" s="1"/>
  <c r="E73" i="15" s="1"/>
  <c r="G44" i="9"/>
  <c r="H44" i="9" s="1"/>
  <c r="K44" i="9" s="1"/>
  <c r="E46" i="15" s="1"/>
  <c r="G26" i="9"/>
  <c r="H26" i="9" s="1"/>
  <c r="K26" i="9" s="1"/>
  <c r="E28" i="15" s="1"/>
  <c r="G56" i="9"/>
  <c r="H56" i="9" s="1"/>
  <c r="K56" i="9" s="1"/>
  <c r="E58" i="15" s="1"/>
  <c r="G15" i="9"/>
  <c r="H15" i="9" s="1"/>
  <c r="K15" i="9" s="1"/>
  <c r="E17" i="15" s="1"/>
  <c r="G97" i="9"/>
  <c r="H97" i="9" s="1"/>
  <c r="K97" i="9" s="1"/>
  <c r="E99" i="15" s="1"/>
  <c r="G266" i="9"/>
  <c r="H266" i="9" s="1"/>
  <c r="K266" i="9" s="1"/>
  <c r="E268" i="15" s="1"/>
  <c r="F77" i="9"/>
  <c r="J77" i="9" s="1"/>
  <c r="E77" i="11"/>
  <c r="F77" i="11" s="1"/>
  <c r="E21" i="11"/>
  <c r="F21" i="11" s="1"/>
  <c r="F21" i="9"/>
  <c r="J21" i="9" s="1"/>
  <c r="C260" i="15"/>
  <c r="C307" i="15"/>
  <c r="G90" i="9"/>
  <c r="H90" i="9" s="1"/>
  <c r="K90" i="9" s="1"/>
  <c r="E92" i="15" s="1"/>
  <c r="G65" i="9"/>
  <c r="H65" i="9" s="1"/>
  <c r="K65" i="9" s="1"/>
  <c r="E67" i="15" s="1"/>
  <c r="E259" i="11"/>
  <c r="F259" i="11" s="1"/>
  <c r="F259" i="9"/>
  <c r="J259" i="9" s="1"/>
  <c r="F90" i="9"/>
  <c r="J90" i="9" s="1"/>
  <c r="E90" i="11"/>
  <c r="F90" i="11" s="1"/>
  <c r="E131" i="11"/>
  <c r="F131" i="11" s="1"/>
  <c r="F131" i="9"/>
  <c r="J131" i="9" s="1"/>
  <c r="G275" i="9"/>
  <c r="H275" i="9" s="1"/>
  <c r="K275" i="9" s="1"/>
  <c r="E277" i="15" s="1"/>
  <c r="G24" i="9"/>
  <c r="H24" i="9" s="1"/>
  <c r="K24" i="9" s="1"/>
  <c r="E26" i="15" s="1"/>
  <c r="G84" i="9"/>
  <c r="H84" i="9" s="1"/>
  <c r="K84" i="9" s="1"/>
  <c r="E86" i="15" s="1"/>
  <c r="G66" i="9"/>
  <c r="H66" i="9" s="1"/>
  <c r="K66" i="9" s="1"/>
  <c r="E68" i="15" s="1"/>
  <c r="G123" i="9"/>
  <c r="H123" i="9" s="1"/>
  <c r="K123" i="9" s="1"/>
  <c r="E125" i="15" s="1"/>
  <c r="G16" i="9"/>
  <c r="H16" i="9" s="1"/>
  <c r="K16" i="9" s="1"/>
  <c r="E18" i="15" s="1"/>
  <c r="G76" i="9"/>
  <c r="H76" i="9" s="1"/>
  <c r="K76" i="9" s="1"/>
  <c r="E78" i="15" s="1"/>
  <c r="G57" i="9"/>
  <c r="H57" i="9" s="1"/>
  <c r="K57" i="9" s="1"/>
  <c r="E59" i="15" s="1"/>
  <c r="G82" i="9"/>
  <c r="H82" i="9" s="1"/>
  <c r="K82" i="9" s="1"/>
  <c r="E84" i="15" s="1"/>
  <c r="E103" i="11"/>
  <c r="F103" i="11" s="1"/>
  <c r="F103" i="9"/>
  <c r="J103" i="9" s="1"/>
  <c r="E84" i="11"/>
  <c r="F84" i="11" s="1"/>
  <c r="F84" i="9"/>
  <c r="J84" i="9" s="1"/>
  <c r="E168" i="11"/>
  <c r="F168" i="11" s="1"/>
  <c r="F168" i="9"/>
  <c r="J168" i="9" s="1"/>
  <c r="G315" i="9"/>
  <c r="H315" i="9" s="1"/>
  <c r="K315" i="9" s="1"/>
  <c r="E317" i="15" s="1"/>
  <c r="G131" i="9"/>
  <c r="H131" i="9" s="1"/>
  <c r="K131" i="9" s="1"/>
  <c r="E133" i="15" s="1"/>
  <c r="G79" i="9"/>
  <c r="H79" i="9" s="1"/>
  <c r="K79" i="9" s="1"/>
  <c r="E81" i="15" s="1"/>
  <c r="G52" i="9"/>
  <c r="H52" i="9" s="1"/>
  <c r="K52" i="9" s="1"/>
  <c r="E54" i="15" s="1"/>
  <c r="G33" i="9"/>
  <c r="H33" i="9" s="1"/>
  <c r="K33" i="9" s="1"/>
  <c r="E35" i="15" s="1"/>
  <c r="G119" i="9"/>
  <c r="H119" i="9" s="1"/>
  <c r="K119" i="9" s="1"/>
  <c r="E121" i="15" s="1"/>
  <c r="E178" i="11"/>
  <c r="F178" i="11" s="1"/>
  <c r="F178" i="9"/>
  <c r="J178" i="9" s="1"/>
  <c r="G219" i="9"/>
  <c r="H219" i="9" s="1"/>
  <c r="K219" i="9" s="1"/>
  <c r="E221" i="15" s="1"/>
  <c r="E43" i="11"/>
  <c r="F43" i="11" s="1"/>
  <c r="F43" i="9"/>
  <c r="J43" i="9" s="1"/>
  <c r="F117" i="9"/>
  <c r="J117" i="9" s="1"/>
  <c r="E117" i="11"/>
  <c r="F117" i="11" s="1"/>
  <c r="E72" i="11"/>
  <c r="F72" i="11" s="1"/>
  <c r="F72" i="9"/>
  <c r="J72" i="9" s="1"/>
  <c r="E220" i="11"/>
  <c r="F220" i="11" s="1"/>
  <c r="F220" i="9"/>
  <c r="J220" i="9" s="1"/>
  <c r="E145" i="11"/>
  <c r="F145" i="11" s="1"/>
  <c r="F145" i="9"/>
  <c r="J145" i="9" s="1"/>
  <c r="E2" i="11"/>
  <c r="G127" i="9"/>
  <c r="H127" i="9" s="1"/>
  <c r="K127" i="9" s="1"/>
  <c r="E129" i="15" s="1"/>
  <c r="G88" i="9"/>
  <c r="H88" i="9" s="1"/>
  <c r="K88" i="9" s="1"/>
  <c r="E90" i="15" s="1"/>
  <c r="G199" i="9"/>
  <c r="H199" i="9" s="1"/>
  <c r="K199" i="9" s="1"/>
  <c r="E201" i="15" s="1"/>
  <c r="E11" i="11"/>
  <c r="F11" i="11" s="1"/>
  <c r="F11" i="9"/>
  <c r="J11" i="9" s="1"/>
  <c r="E140" i="11"/>
  <c r="F140" i="11" s="1"/>
  <c r="F140" i="9"/>
  <c r="J140" i="9" s="1"/>
  <c r="E39" i="11"/>
  <c r="F39" i="11" s="1"/>
  <c r="F39" i="9"/>
  <c r="J39" i="9" s="1"/>
  <c r="C308" i="15"/>
  <c r="E10" i="11"/>
  <c r="F10" i="11" s="1"/>
  <c r="F10" i="9"/>
  <c r="J10" i="9" s="1"/>
  <c r="G25" i="9"/>
  <c r="H25" i="9" s="1"/>
  <c r="K25" i="9" s="1"/>
  <c r="E27" i="15" s="1"/>
  <c r="G47" i="9"/>
  <c r="H47" i="9" s="1"/>
  <c r="K47" i="9" s="1"/>
  <c r="E49" i="15" s="1"/>
  <c r="G20" i="9"/>
  <c r="H20" i="9" s="1"/>
  <c r="K20" i="9" s="1"/>
  <c r="E22" i="15" s="1"/>
  <c r="G316" i="9"/>
  <c r="H316" i="9" s="1"/>
  <c r="K316" i="9" s="1"/>
  <c r="E318" i="15" s="1"/>
  <c r="G10" i="9"/>
  <c r="H10" i="9" s="1"/>
  <c r="K10" i="9" s="1"/>
  <c r="E12" i="15" s="1"/>
  <c r="G80" i="9"/>
  <c r="H80" i="9" s="1"/>
  <c r="K80" i="9" s="1"/>
  <c r="E82" i="15" s="1"/>
  <c r="G39" i="9"/>
  <c r="H39" i="9" s="1"/>
  <c r="K39" i="9" s="1"/>
  <c r="E41" i="15" s="1"/>
  <c r="G12" i="9"/>
  <c r="H12" i="9" s="1"/>
  <c r="K12" i="9" s="1"/>
  <c r="E14" i="15" s="1"/>
  <c r="G95" i="9"/>
  <c r="H95" i="9" s="1"/>
  <c r="K95" i="9" s="1"/>
  <c r="E97" i="15" s="1"/>
  <c r="G239" i="9"/>
  <c r="H239" i="9" s="1"/>
  <c r="K239" i="9" s="1"/>
  <c r="E241" i="15" s="1"/>
  <c r="E231" i="11"/>
  <c r="F231" i="11" s="1"/>
  <c r="F231" i="9"/>
  <c r="J231" i="9" s="1"/>
  <c r="E216" i="11"/>
  <c r="F216" i="11" s="1"/>
  <c r="F216" i="9"/>
  <c r="J216" i="9" s="1"/>
  <c r="C296" i="15"/>
  <c r="E151" i="11"/>
  <c r="F151" i="11" s="1"/>
  <c r="F151" i="9"/>
  <c r="J151" i="9" s="1"/>
  <c r="F95" i="11"/>
  <c r="G101" i="2"/>
  <c r="H101" i="2" s="1"/>
  <c r="K101" i="2" s="1"/>
  <c r="D103" i="15" s="1"/>
  <c r="G58" i="9"/>
  <c r="H58" i="9" s="1"/>
  <c r="K58" i="9" s="1"/>
  <c r="E60" i="15" s="1"/>
  <c r="G203" i="9"/>
  <c r="H203" i="9" s="1"/>
  <c r="K203" i="9" s="1"/>
  <c r="E205" i="15" s="1"/>
  <c r="G96" i="9"/>
  <c r="H96" i="9" s="1"/>
  <c r="K96" i="9" s="1"/>
  <c r="E98" i="15" s="1"/>
  <c r="G32" i="9"/>
  <c r="H32" i="9" s="1"/>
  <c r="K32" i="9" s="1"/>
  <c r="E34" i="15" s="1"/>
  <c r="G55" i="9"/>
  <c r="H55" i="9" s="1"/>
  <c r="K55" i="9" s="1"/>
  <c r="E57" i="15" s="1"/>
  <c r="G92" i="9"/>
  <c r="H92" i="9" s="1"/>
  <c r="K92" i="9" s="1"/>
  <c r="E94" i="15" s="1"/>
  <c r="G28" i="9"/>
  <c r="H28" i="9" s="1"/>
  <c r="K28" i="9" s="1"/>
  <c r="E30" i="15" s="1"/>
  <c r="G73" i="9"/>
  <c r="H73" i="9" s="1"/>
  <c r="K73" i="9" s="1"/>
  <c r="E75" i="15" s="1"/>
  <c r="G9" i="9"/>
  <c r="H9" i="9" s="1"/>
  <c r="K9" i="9" s="1"/>
  <c r="E11" i="15" s="1"/>
  <c r="G50" i="9"/>
  <c r="H50" i="9" s="1"/>
  <c r="K50" i="9" s="1"/>
  <c r="E52" i="15" s="1"/>
  <c r="G143" i="9"/>
  <c r="H143" i="9" s="1"/>
  <c r="K143" i="9" s="1"/>
  <c r="E145" i="15" s="1"/>
  <c r="G120" i="9"/>
  <c r="H120" i="9" s="1"/>
  <c r="K120" i="9" s="1"/>
  <c r="E122" i="15" s="1"/>
  <c r="G2" i="9"/>
  <c r="H2" i="9" s="1"/>
  <c r="K2" i="9" s="1"/>
  <c r="G15" i="2"/>
  <c r="H15" i="2" s="1"/>
  <c r="K15" i="2" s="1"/>
  <c r="D17" i="15" s="1"/>
  <c r="G265" i="2"/>
  <c r="H265" i="2" s="1"/>
  <c r="K265" i="2" s="1"/>
  <c r="D267" i="15" s="1"/>
  <c r="F265" i="2"/>
  <c r="J265" i="2" s="1"/>
  <c r="G27" i="2"/>
  <c r="H27" i="2" s="1"/>
  <c r="K27" i="2" s="1"/>
  <c r="D29" i="15" s="1"/>
  <c r="G65" i="2"/>
  <c r="H65" i="2" s="1"/>
  <c r="K65" i="2" s="1"/>
  <c r="D67" i="15" s="1"/>
  <c r="G33" i="2"/>
  <c r="H33" i="2" s="1"/>
  <c r="K33" i="2" s="1"/>
  <c r="D35" i="15" s="1"/>
  <c r="G29" i="2"/>
  <c r="H29" i="2" s="1"/>
  <c r="K29" i="2" s="1"/>
  <c r="D31" i="15" s="1"/>
  <c r="G55" i="2"/>
  <c r="H55" i="2" s="1"/>
  <c r="K55" i="2" s="1"/>
  <c r="D57" i="15" s="1"/>
  <c r="G93" i="2"/>
  <c r="H93" i="2" s="1"/>
  <c r="K93" i="2" s="1"/>
  <c r="D95" i="15" s="1"/>
  <c r="G282" i="9"/>
  <c r="H282" i="9" s="1"/>
  <c r="K282" i="9" s="1"/>
  <c r="E284" i="15" s="1"/>
  <c r="F5" i="11"/>
  <c r="E265" i="11"/>
  <c r="G265" i="9"/>
  <c r="H265" i="9" s="1"/>
  <c r="K265" i="9" s="1"/>
  <c r="E267" i="15" s="1"/>
  <c r="F265" i="9"/>
  <c r="J265" i="9" s="1"/>
  <c r="G37" i="2"/>
  <c r="H37" i="2" s="1"/>
  <c r="K37" i="2" s="1"/>
  <c r="D39" i="15" s="1"/>
  <c r="G69" i="2"/>
  <c r="H69" i="2" s="1"/>
  <c r="K69" i="2" s="1"/>
  <c r="D71" i="15" s="1"/>
  <c r="G95" i="2"/>
  <c r="H95" i="2" s="1"/>
  <c r="K95" i="2" s="1"/>
  <c r="D97" i="15" s="1"/>
  <c r="G99" i="2"/>
  <c r="H99" i="2" s="1"/>
  <c r="K99" i="2" s="1"/>
  <c r="D101" i="15" s="1"/>
  <c r="G59" i="2"/>
  <c r="H59" i="2" s="1"/>
  <c r="K59" i="2" s="1"/>
  <c r="D61" i="15" s="1"/>
  <c r="G297" i="2"/>
  <c r="H297" i="2" s="1"/>
  <c r="K297" i="2" s="1"/>
  <c r="D299" i="15" s="1"/>
  <c r="G41" i="2"/>
  <c r="H41" i="2" s="1"/>
  <c r="K41" i="2" s="1"/>
  <c r="D43" i="15" s="1"/>
  <c r="G243" i="2"/>
  <c r="H243" i="2" s="1"/>
  <c r="K243" i="2" s="1"/>
  <c r="D245" i="15" s="1"/>
  <c r="F243" i="2"/>
  <c r="J243" i="2" s="1"/>
  <c r="G63" i="2"/>
  <c r="H63" i="2" s="1"/>
  <c r="K63" i="2" s="1"/>
  <c r="D65" i="15" s="1"/>
  <c r="G103" i="2"/>
  <c r="H103" i="2" s="1"/>
  <c r="K103" i="2" s="1"/>
  <c r="D105" i="15" s="1"/>
  <c r="C112" i="15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G285" i="2"/>
  <c r="H285" i="2" s="1"/>
  <c r="K285" i="2" s="1"/>
  <c r="G73" i="2"/>
  <c r="H73" i="2" s="1"/>
  <c r="K73" i="2" s="1"/>
  <c r="D75" i="15" s="1"/>
  <c r="G106" i="9"/>
  <c r="H106" i="9" s="1"/>
  <c r="K106" i="9" s="1"/>
  <c r="E108" i="15" s="1"/>
  <c r="G72" i="9"/>
  <c r="H72" i="9" s="1"/>
  <c r="K72" i="9" s="1"/>
  <c r="E74" i="15" s="1"/>
  <c r="G103" i="9"/>
  <c r="H103" i="9" s="1"/>
  <c r="K103" i="9" s="1"/>
  <c r="E105" i="15" s="1"/>
  <c r="G31" i="9"/>
  <c r="H31" i="9" s="1"/>
  <c r="K31" i="9" s="1"/>
  <c r="E33" i="15" s="1"/>
  <c r="G68" i="9"/>
  <c r="H68" i="9" s="1"/>
  <c r="K68" i="9" s="1"/>
  <c r="E70" i="15" s="1"/>
  <c r="G4" i="9"/>
  <c r="H4" i="9" s="1"/>
  <c r="K4" i="9" s="1"/>
  <c r="E6" i="15" s="1"/>
  <c r="G49" i="9"/>
  <c r="H49" i="9" s="1"/>
  <c r="K49" i="9" s="1"/>
  <c r="E51" i="15" s="1"/>
  <c r="G98" i="9"/>
  <c r="H98" i="9" s="1"/>
  <c r="K98" i="9" s="1"/>
  <c r="E100" i="15" s="1"/>
  <c r="G45" i="2"/>
  <c r="H45" i="2" s="1"/>
  <c r="K45" i="2" s="1"/>
  <c r="D47" i="15" s="1"/>
  <c r="G77" i="2"/>
  <c r="H77" i="2" s="1"/>
  <c r="K77" i="2" s="1"/>
  <c r="D79" i="15" s="1"/>
  <c r="E243" i="11"/>
  <c r="G243" i="9"/>
  <c r="H243" i="9" s="1"/>
  <c r="K243" i="9" s="1"/>
  <c r="E245" i="15" s="1"/>
  <c r="F243" i="9"/>
  <c r="J243" i="9" s="1"/>
  <c r="G35" i="2"/>
  <c r="H35" i="2" s="1"/>
  <c r="K35" i="2" s="1"/>
  <c r="D37" i="15" s="1"/>
  <c r="G67" i="2"/>
  <c r="H67" i="2" s="1"/>
  <c r="K67" i="2" s="1"/>
  <c r="D69" i="15" s="1"/>
  <c r="G97" i="2"/>
  <c r="H97" i="2" s="1"/>
  <c r="K97" i="2" s="1"/>
  <c r="D99" i="15" s="1"/>
  <c r="E8" i="11"/>
  <c r="G8" i="9"/>
  <c r="H8" i="9" s="1"/>
  <c r="K8" i="9" s="1"/>
  <c r="E10" i="15" s="1"/>
  <c r="F8" i="9"/>
  <c r="J8" i="9" s="1"/>
  <c r="G278" i="2"/>
  <c r="H278" i="2" s="1"/>
  <c r="K278" i="2" s="1"/>
  <c r="D280" i="15" s="1"/>
  <c r="G19" i="2"/>
  <c r="H19" i="2" s="1"/>
  <c r="K19" i="2" s="1"/>
  <c r="D21" i="15" s="1"/>
  <c r="E7" i="11"/>
  <c r="G7" i="9"/>
  <c r="H7" i="9" s="1"/>
  <c r="K7" i="9" s="1"/>
  <c r="E9" i="15" s="1"/>
  <c r="G147" i="9"/>
  <c r="H147" i="9" s="1"/>
  <c r="K147" i="9" s="1"/>
  <c r="E149" i="15" s="1"/>
  <c r="G155" i="9"/>
  <c r="H155" i="9" s="1"/>
  <c r="K155" i="9" s="1"/>
  <c r="E157" i="15" s="1"/>
  <c r="G163" i="9"/>
  <c r="H163" i="9" s="1"/>
  <c r="K163" i="9" s="1"/>
  <c r="E165" i="15" s="1"/>
  <c r="G171" i="9"/>
  <c r="H171" i="9" s="1"/>
  <c r="K171" i="9" s="1"/>
  <c r="E173" i="15" s="1"/>
  <c r="G179" i="9"/>
  <c r="H179" i="9" s="1"/>
  <c r="K179" i="9" s="1"/>
  <c r="E181" i="15" s="1"/>
  <c r="G187" i="9"/>
  <c r="H187" i="9" s="1"/>
  <c r="K187" i="9" s="1"/>
  <c r="E189" i="15" s="1"/>
  <c r="G195" i="9"/>
  <c r="H195" i="9" s="1"/>
  <c r="K195" i="9" s="1"/>
  <c r="E197" i="15" s="1"/>
  <c r="G211" i="9"/>
  <c r="H211" i="9" s="1"/>
  <c r="K211" i="9" s="1"/>
  <c r="E213" i="15" s="1"/>
  <c r="G227" i="9"/>
  <c r="H227" i="9" s="1"/>
  <c r="K227" i="9" s="1"/>
  <c r="E229" i="15" s="1"/>
  <c r="G235" i="9"/>
  <c r="H235" i="9" s="1"/>
  <c r="K235" i="9" s="1"/>
  <c r="E237" i="15" s="1"/>
  <c r="G251" i="9"/>
  <c r="H251" i="9" s="1"/>
  <c r="K251" i="9" s="1"/>
  <c r="E253" i="15" s="1"/>
  <c r="G259" i="9"/>
  <c r="H259" i="9" s="1"/>
  <c r="K259" i="9" s="1"/>
  <c r="E261" i="15" s="1"/>
  <c r="G11" i="9"/>
  <c r="H11" i="9" s="1"/>
  <c r="K11" i="9" s="1"/>
  <c r="E13" i="15" s="1"/>
  <c r="G27" i="9"/>
  <c r="H27" i="9" s="1"/>
  <c r="K27" i="9" s="1"/>
  <c r="E29" i="15" s="1"/>
  <c r="G43" i="9"/>
  <c r="H43" i="9" s="1"/>
  <c r="K43" i="9" s="1"/>
  <c r="E45" i="15" s="1"/>
  <c r="G59" i="9"/>
  <c r="H59" i="9" s="1"/>
  <c r="K59" i="9" s="1"/>
  <c r="E61" i="15" s="1"/>
  <c r="G75" i="9"/>
  <c r="H75" i="9" s="1"/>
  <c r="K75" i="9" s="1"/>
  <c r="E77" i="15" s="1"/>
  <c r="G91" i="9"/>
  <c r="H91" i="9" s="1"/>
  <c r="K91" i="9" s="1"/>
  <c r="E93" i="15" s="1"/>
  <c r="G107" i="9"/>
  <c r="H107" i="9" s="1"/>
  <c r="K107" i="9" s="1"/>
  <c r="E109" i="15" s="1"/>
  <c r="G151" i="9"/>
  <c r="H151" i="9" s="1"/>
  <c r="K151" i="9" s="1"/>
  <c r="E153" i="15" s="1"/>
  <c r="G159" i="9"/>
  <c r="H159" i="9" s="1"/>
  <c r="K159" i="9" s="1"/>
  <c r="E161" i="15" s="1"/>
  <c r="G167" i="9"/>
  <c r="H167" i="9" s="1"/>
  <c r="K167" i="9" s="1"/>
  <c r="E169" i="15" s="1"/>
  <c r="G175" i="9"/>
  <c r="H175" i="9" s="1"/>
  <c r="K175" i="9" s="1"/>
  <c r="E177" i="15" s="1"/>
  <c r="G183" i="9"/>
  <c r="H183" i="9" s="1"/>
  <c r="K183" i="9" s="1"/>
  <c r="E185" i="15" s="1"/>
  <c r="G191" i="9"/>
  <c r="H191" i="9" s="1"/>
  <c r="K191" i="9" s="1"/>
  <c r="E193" i="15" s="1"/>
  <c r="G207" i="9"/>
  <c r="H207" i="9" s="1"/>
  <c r="K207" i="9" s="1"/>
  <c r="E209" i="15" s="1"/>
  <c r="G215" i="9"/>
  <c r="H215" i="9" s="1"/>
  <c r="K215" i="9" s="1"/>
  <c r="E217" i="15" s="1"/>
  <c r="G223" i="9"/>
  <c r="H223" i="9" s="1"/>
  <c r="K223" i="9" s="1"/>
  <c r="E225" i="15" s="1"/>
  <c r="G231" i="9"/>
  <c r="H231" i="9" s="1"/>
  <c r="K231" i="9" s="1"/>
  <c r="E233" i="15" s="1"/>
  <c r="G247" i="9"/>
  <c r="H247" i="9" s="1"/>
  <c r="K247" i="9" s="1"/>
  <c r="E249" i="15" s="1"/>
  <c r="G255" i="9"/>
  <c r="H255" i="9" s="1"/>
  <c r="K255" i="9" s="1"/>
  <c r="E257" i="15" s="1"/>
  <c r="G263" i="9"/>
  <c r="H263" i="9" s="1"/>
  <c r="K263" i="9" s="1"/>
  <c r="E265" i="15" s="1"/>
  <c r="G271" i="9"/>
  <c r="H271" i="9" s="1"/>
  <c r="K271" i="9" s="1"/>
  <c r="E273" i="15" s="1"/>
  <c r="G51" i="9"/>
  <c r="H51" i="9" s="1"/>
  <c r="K51" i="9" s="1"/>
  <c r="E53" i="15" s="1"/>
  <c r="G77" i="9"/>
  <c r="H77" i="9" s="1"/>
  <c r="K77" i="9" s="1"/>
  <c r="E79" i="15" s="1"/>
  <c r="G85" i="9"/>
  <c r="H85" i="9" s="1"/>
  <c r="K85" i="9" s="1"/>
  <c r="E87" i="15" s="1"/>
  <c r="G102" i="9"/>
  <c r="H102" i="9" s="1"/>
  <c r="K102" i="9" s="1"/>
  <c r="E104" i="15" s="1"/>
  <c r="G113" i="9"/>
  <c r="H113" i="9" s="1"/>
  <c r="K113" i="9" s="1"/>
  <c r="E115" i="15" s="1"/>
  <c r="G138" i="9"/>
  <c r="H138" i="9" s="1"/>
  <c r="K138" i="9" s="1"/>
  <c r="E140" i="15" s="1"/>
  <c r="G145" i="9"/>
  <c r="H145" i="9" s="1"/>
  <c r="K145" i="9" s="1"/>
  <c r="E147" i="15" s="1"/>
  <c r="G152" i="9"/>
  <c r="H152" i="9" s="1"/>
  <c r="K152" i="9" s="1"/>
  <c r="E154" i="15" s="1"/>
  <c r="G170" i="9"/>
  <c r="H170" i="9" s="1"/>
  <c r="K170" i="9" s="1"/>
  <c r="E172" i="15" s="1"/>
  <c r="G177" i="9"/>
  <c r="H177" i="9" s="1"/>
  <c r="K177" i="9" s="1"/>
  <c r="E179" i="15" s="1"/>
  <c r="G184" i="9"/>
  <c r="H184" i="9" s="1"/>
  <c r="K184" i="9" s="1"/>
  <c r="E186" i="15" s="1"/>
  <c r="G202" i="9"/>
  <c r="H202" i="9" s="1"/>
  <c r="K202" i="9" s="1"/>
  <c r="E204" i="15" s="1"/>
  <c r="G209" i="9"/>
  <c r="H209" i="9" s="1"/>
  <c r="K209" i="9" s="1"/>
  <c r="E211" i="15" s="1"/>
  <c r="G216" i="9"/>
  <c r="H216" i="9" s="1"/>
  <c r="K216" i="9" s="1"/>
  <c r="E218" i="15" s="1"/>
  <c r="G234" i="9"/>
  <c r="H234" i="9" s="1"/>
  <c r="K234" i="9" s="1"/>
  <c r="E236" i="15" s="1"/>
  <c r="G241" i="9"/>
  <c r="H241" i="9" s="1"/>
  <c r="K241" i="9" s="1"/>
  <c r="E243" i="15" s="1"/>
  <c r="G248" i="9"/>
  <c r="H248" i="9" s="1"/>
  <c r="K248" i="9" s="1"/>
  <c r="E250" i="15" s="1"/>
  <c r="G19" i="9"/>
  <c r="H19" i="9" s="1"/>
  <c r="K19" i="9" s="1"/>
  <c r="E21" i="15" s="1"/>
  <c r="G45" i="9"/>
  <c r="H45" i="9" s="1"/>
  <c r="K45" i="9" s="1"/>
  <c r="E47" i="15" s="1"/>
  <c r="G53" i="9"/>
  <c r="H53" i="9" s="1"/>
  <c r="K53" i="9" s="1"/>
  <c r="E55" i="15" s="1"/>
  <c r="G70" i="9"/>
  <c r="H70" i="9" s="1"/>
  <c r="K70" i="9" s="1"/>
  <c r="E72" i="15" s="1"/>
  <c r="G78" i="9"/>
  <c r="H78" i="9" s="1"/>
  <c r="K78" i="9" s="1"/>
  <c r="E80" i="15" s="1"/>
  <c r="G114" i="9"/>
  <c r="H114" i="9" s="1"/>
  <c r="K114" i="9" s="1"/>
  <c r="E116" i="15" s="1"/>
  <c r="G121" i="9"/>
  <c r="H121" i="9" s="1"/>
  <c r="K121" i="9" s="1"/>
  <c r="E123" i="15" s="1"/>
  <c r="G128" i="9"/>
  <c r="H128" i="9" s="1"/>
  <c r="K128" i="9" s="1"/>
  <c r="E130" i="15" s="1"/>
  <c r="G146" i="9"/>
  <c r="H146" i="9" s="1"/>
  <c r="K146" i="9" s="1"/>
  <c r="E148" i="15" s="1"/>
  <c r="G153" i="9"/>
  <c r="H153" i="9" s="1"/>
  <c r="K153" i="9" s="1"/>
  <c r="E155" i="15" s="1"/>
  <c r="G160" i="9"/>
  <c r="H160" i="9" s="1"/>
  <c r="K160" i="9" s="1"/>
  <c r="E162" i="15" s="1"/>
  <c r="G178" i="9"/>
  <c r="H178" i="9" s="1"/>
  <c r="K178" i="9" s="1"/>
  <c r="E180" i="15" s="1"/>
  <c r="G185" i="9"/>
  <c r="H185" i="9" s="1"/>
  <c r="K185" i="9" s="1"/>
  <c r="E187" i="15" s="1"/>
  <c r="G192" i="9"/>
  <c r="H192" i="9" s="1"/>
  <c r="K192" i="9" s="1"/>
  <c r="E194" i="15" s="1"/>
  <c r="G210" i="9"/>
  <c r="H210" i="9" s="1"/>
  <c r="K210" i="9" s="1"/>
  <c r="E212" i="15" s="1"/>
  <c r="G217" i="9"/>
  <c r="H217" i="9" s="1"/>
  <c r="K217" i="9" s="1"/>
  <c r="E219" i="15" s="1"/>
  <c r="G224" i="9"/>
  <c r="H224" i="9" s="1"/>
  <c r="K224" i="9" s="1"/>
  <c r="E226" i="15" s="1"/>
  <c r="G242" i="9"/>
  <c r="H242" i="9" s="1"/>
  <c r="K242" i="9" s="1"/>
  <c r="E244" i="15" s="1"/>
  <c r="G3" i="9"/>
  <c r="H3" i="9" s="1"/>
  <c r="K3" i="9" s="1"/>
  <c r="E5" i="15" s="1"/>
  <c r="G29" i="9"/>
  <c r="H29" i="9" s="1"/>
  <c r="K29" i="9" s="1"/>
  <c r="E31" i="15" s="1"/>
  <c r="G37" i="9"/>
  <c r="H37" i="9" s="1"/>
  <c r="K37" i="9" s="1"/>
  <c r="E39" i="15" s="1"/>
  <c r="G54" i="9"/>
  <c r="H54" i="9" s="1"/>
  <c r="K54" i="9" s="1"/>
  <c r="E56" i="15" s="1"/>
  <c r="G62" i="9"/>
  <c r="H62" i="9" s="1"/>
  <c r="K62" i="9" s="1"/>
  <c r="E64" i="15" s="1"/>
  <c r="G118" i="9"/>
  <c r="H118" i="9" s="1"/>
  <c r="K118" i="9" s="1"/>
  <c r="E120" i="15" s="1"/>
  <c r="G125" i="9"/>
  <c r="H125" i="9" s="1"/>
  <c r="K125" i="9" s="1"/>
  <c r="E127" i="15" s="1"/>
  <c r="G132" i="9"/>
  <c r="H132" i="9" s="1"/>
  <c r="K132" i="9" s="1"/>
  <c r="E134" i="15" s="1"/>
  <c r="G150" i="9"/>
  <c r="H150" i="9" s="1"/>
  <c r="K150" i="9" s="1"/>
  <c r="E152" i="15" s="1"/>
  <c r="G157" i="9"/>
  <c r="H157" i="9" s="1"/>
  <c r="K157" i="9" s="1"/>
  <c r="E159" i="15" s="1"/>
  <c r="G164" i="9"/>
  <c r="H164" i="9" s="1"/>
  <c r="K164" i="9" s="1"/>
  <c r="E166" i="15" s="1"/>
  <c r="G182" i="9"/>
  <c r="H182" i="9" s="1"/>
  <c r="K182" i="9" s="1"/>
  <c r="E184" i="15" s="1"/>
  <c r="G189" i="9"/>
  <c r="H189" i="9" s="1"/>
  <c r="K189" i="9" s="1"/>
  <c r="E191" i="15" s="1"/>
  <c r="G196" i="9"/>
  <c r="H196" i="9" s="1"/>
  <c r="K196" i="9" s="1"/>
  <c r="E198" i="15" s="1"/>
  <c r="G214" i="9"/>
  <c r="H214" i="9" s="1"/>
  <c r="K214" i="9" s="1"/>
  <c r="E216" i="15" s="1"/>
  <c r="G221" i="9"/>
  <c r="H221" i="9" s="1"/>
  <c r="K221" i="9" s="1"/>
  <c r="E223" i="15" s="1"/>
  <c r="G228" i="9"/>
  <c r="H228" i="9" s="1"/>
  <c r="K228" i="9" s="1"/>
  <c r="E230" i="15" s="1"/>
  <c r="G13" i="9"/>
  <c r="H13" i="9" s="1"/>
  <c r="K13" i="9" s="1"/>
  <c r="E15" i="15" s="1"/>
  <c r="G21" i="9"/>
  <c r="H21" i="9" s="1"/>
  <c r="K21" i="9" s="1"/>
  <c r="E23" i="15" s="1"/>
  <c r="G38" i="9"/>
  <c r="H38" i="9" s="1"/>
  <c r="K38" i="9" s="1"/>
  <c r="E40" i="15" s="1"/>
  <c r="G46" i="9"/>
  <c r="H46" i="9" s="1"/>
  <c r="K46" i="9" s="1"/>
  <c r="E48" i="15" s="1"/>
  <c r="G122" i="9"/>
  <c r="H122" i="9" s="1"/>
  <c r="K122" i="9" s="1"/>
  <c r="E124" i="15" s="1"/>
  <c r="G129" i="9"/>
  <c r="H129" i="9" s="1"/>
  <c r="K129" i="9" s="1"/>
  <c r="E131" i="15" s="1"/>
  <c r="G136" i="9"/>
  <c r="H136" i="9" s="1"/>
  <c r="K136" i="9" s="1"/>
  <c r="E138" i="15" s="1"/>
  <c r="G154" i="9"/>
  <c r="H154" i="9" s="1"/>
  <c r="K154" i="9" s="1"/>
  <c r="E156" i="15" s="1"/>
  <c r="G161" i="9"/>
  <c r="H161" i="9" s="1"/>
  <c r="K161" i="9" s="1"/>
  <c r="E163" i="15" s="1"/>
  <c r="G168" i="9"/>
  <c r="H168" i="9" s="1"/>
  <c r="K168" i="9" s="1"/>
  <c r="E170" i="15" s="1"/>
  <c r="G186" i="9"/>
  <c r="H186" i="9" s="1"/>
  <c r="K186" i="9" s="1"/>
  <c r="E188" i="15" s="1"/>
  <c r="G193" i="9"/>
  <c r="H193" i="9" s="1"/>
  <c r="K193" i="9" s="1"/>
  <c r="E195" i="15" s="1"/>
  <c r="G200" i="9"/>
  <c r="H200" i="9" s="1"/>
  <c r="K200" i="9" s="1"/>
  <c r="E202" i="15" s="1"/>
  <c r="G218" i="9"/>
  <c r="H218" i="9" s="1"/>
  <c r="K218" i="9" s="1"/>
  <c r="E220" i="15" s="1"/>
  <c r="G225" i="9"/>
  <c r="H225" i="9" s="1"/>
  <c r="K225" i="9" s="1"/>
  <c r="E227" i="15" s="1"/>
  <c r="G232" i="9"/>
  <c r="H232" i="9" s="1"/>
  <c r="K232" i="9" s="1"/>
  <c r="E234" i="15" s="1"/>
  <c r="G250" i="9"/>
  <c r="H250" i="9" s="1"/>
  <c r="K250" i="9" s="1"/>
  <c r="E252" i="15" s="1"/>
  <c r="G257" i="9"/>
  <c r="H257" i="9" s="1"/>
  <c r="K257" i="9" s="1"/>
  <c r="E259" i="15" s="1"/>
  <c r="G264" i="9"/>
  <c r="H264" i="9" s="1"/>
  <c r="K264" i="9" s="1"/>
  <c r="E266" i="15" s="1"/>
  <c r="G14" i="9"/>
  <c r="H14" i="9" s="1"/>
  <c r="K14" i="9" s="1"/>
  <c r="E16" i="15" s="1"/>
  <c r="G83" i="9"/>
  <c r="H83" i="9" s="1"/>
  <c r="K83" i="9" s="1"/>
  <c r="E85" i="15" s="1"/>
  <c r="G130" i="9"/>
  <c r="H130" i="9" s="1"/>
  <c r="K130" i="9" s="1"/>
  <c r="E132" i="15" s="1"/>
  <c r="G137" i="9"/>
  <c r="H137" i="9" s="1"/>
  <c r="K137" i="9" s="1"/>
  <c r="E139" i="15" s="1"/>
  <c r="G144" i="9"/>
  <c r="H144" i="9" s="1"/>
  <c r="K144" i="9" s="1"/>
  <c r="E146" i="15" s="1"/>
  <c r="G194" i="9"/>
  <c r="H194" i="9" s="1"/>
  <c r="K194" i="9" s="1"/>
  <c r="E196" i="15" s="1"/>
  <c r="G201" i="9"/>
  <c r="H201" i="9" s="1"/>
  <c r="K201" i="9" s="1"/>
  <c r="E203" i="15" s="1"/>
  <c r="G208" i="9"/>
  <c r="H208" i="9" s="1"/>
  <c r="K208" i="9" s="1"/>
  <c r="E210" i="15" s="1"/>
  <c r="G253" i="9"/>
  <c r="H253" i="9" s="1"/>
  <c r="K253" i="9" s="1"/>
  <c r="E255" i="15" s="1"/>
  <c r="G258" i="9"/>
  <c r="H258" i="9" s="1"/>
  <c r="K258" i="9" s="1"/>
  <c r="G272" i="9"/>
  <c r="H272" i="9" s="1"/>
  <c r="K272" i="9" s="1"/>
  <c r="E274" i="15" s="1"/>
  <c r="G277" i="9"/>
  <c r="H277" i="9" s="1"/>
  <c r="K277" i="9" s="1"/>
  <c r="E279" i="15" s="1"/>
  <c r="G67" i="9"/>
  <c r="H67" i="9" s="1"/>
  <c r="K67" i="9" s="1"/>
  <c r="E69" i="15" s="1"/>
  <c r="G101" i="9"/>
  <c r="H101" i="9" s="1"/>
  <c r="K101" i="9" s="1"/>
  <c r="E103" i="15" s="1"/>
  <c r="G116" i="9"/>
  <c r="H116" i="9" s="1"/>
  <c r="K116" i="9" s="1"/>
  <c r="E118" i="15" s="1"/>
  <c r="G166" i="9"/>
  <c r="H166" i="9" s="1"/>
  <c r="K166" i="9" s="1"/>
  <c r="E168" i="15" s="1"/>
  <c r="G173" i="9"/>
  <c r="H173" i="9" s="1"/>
  <c r="K173" i="9" s="1"/>
  <c r="E175" i="15" s="1"/>
  <c r="G180" i="9"/>
  <c r="H180" i="9" s="1"/>
  <c r="K180" i="9" s="1"/>
  <c r="E182" i="15" s="1"/>
  <c r="G230" i="9"/>
  <c r="H230" i="9" s="1"/>
  <c r="K230" i="9" s="1"/>
  <c r="E232" i="15" s="1"/>
  <c r="G237" i="9"/>
  <c r="H237" i="9" s="1"/>
  <c r="K237" i="9" s="1"/>
  <c r="E239" i="15" s="1"/>
  <c r="G244" i="9"/>
  <c r="H244" i="9" s="1"/>
  <c r="K244" i="9" s="1"/>
  <c r="E246" i="15" s="1"/>
  <c r="G249" i="9"/>
  <c r="H249" i="9" s="1"/>
  <c r="K249" i="9" s="1"/>
  <c r="E251" i="15" s="1"/>
  <c r="G254" i="9"/>
  <c r="H254" i="9" s="1"/>
  <c r="K254" i="9" s="1"/>
  <c r="E256" i="15" s="1"/>
  <c r="G268" i="9"/>
  <c r="H268" i="9" s="1"/>
  <c r="K268" i="9" s="1"/>
  <c r="E270" i="15" s="1"/>
  <c r="G35" i="9"/>
  <c r="H35" i="9" s="1"/>
  <c r="K35" i="9" s="1"/>
  <c r="E37" i="15" s="1"/>
  <c r="G69" i="9"/>
  <c r="H69" i="9" s="1"/>
  <c r="K69" i="9" s="1"/>
  <c r="E71" i="15" s="1"/>
  <c r="G86" i="9"/>
  <c r="H86" i="9" s="1"/>
  <c r="K86" i="9" s="1"/>
  <c r="E88" i="15" s="1"/>
  <c r="G110" i="9"/>
  <c r="H110" i="9" s="1"/>
  <c r="K110" i="9" s="1"/>
  <c r="G117" i="9"/>
  <c r="H117" i="9" s="1"/>
  <c r="K117" i="9" s="1"/>
  <c r="E119" i="15" s="1"/>
  <c r="G124" i="9"/>
  <c r="H124" i="9" s="1"/>
  <c r="K124" i="9" s="1"/>
  <c r="E126" i="15" s="1"/>
  <c r="G174" i="9"/>
  <c r="H174" i="9" s="1"/>
  <c r="K174" i="9" s="1"/>
  <c r="E176" i="15" s="1"/>
  <c r="G181" i="9"/>
  <c r="H181" i="9" s="1"/>
  <c r="K181" i="9" s="1"/>
  <c r="E183" i="15" s="1"/>
  <c r="G188" i="9"/>
  <c r="H188" i="9" s="1"/>
  <c r="K188" i="9" s="1"/>
  <c r="E190" i="15" s="1"/>
  <c r="G238" i="9"/>
  <c r="H238" i="9" s="1"/>
  <c r="K238" i="9" s="1"/>
  <c r="E240" i="15" s="1"/>
  <c r="G245" i="9"/>
  <c r="H245" i="9" s="1"/>
  <c r="K245" i="9" s="1"/>
  <c r="E247" i="15" s="1"/>
  <c r="G5" i="9"/>
  <c r="H5" i="9" s="1"/>
  <c r="K5" i="9" s="1"/>
  <c r="E7" i="15" s="1"/>
  <c r="G22" i="9"/>
  <c r="H22" i="9" s="1"/>
  <c r="K22" i="9" s="1"/>
  <c r="E24" i="15" s="1"/>
  <c r="G126" i="9"/>
  <c r="H126" i="9" s="1"/>
  <c r="K126" i="9" s="1"/>
  <c r="E128" i="15" s="1"/>
  <c r="G133" i="9"/>
  <c r="H133" i="9" s="1"/>
  <c r="K133" i="9" s="1"/>
  <c r="E135" i="15" s="1"/>
  <c r="G140" i="9"/>
  <c r="H140" i="9" s="1"/>
  <c r="K140" i="9" s="1"/>
  <c r="E142" i="15" s="1"/>
  <c r="G190" i="9"/>
  <c r="H190" i="9" s="1"/>
  <c r="K190" i="9" s="1"/>
  <c r="E192" i="15" s="1"/>
  <c r="G197" i="9"/>
  <c r="H197" i="9" s="1"/>
  <c r="K197" i="9" s="1"/>
  <c r="E199" i="15" s="1"/>
  <c r="G204" i="9"/>
  <c r="H204" i="9" s="1"/>
  <c r="K204" i="9" s="1"/>
  <c r="E206" i="15" s="1"/>
  <c r="G269" i="9"/>
  <c r="H269" i="9" s="1"/>
  <c r="K269" i="9" s="1"/>
  <c r="E271" i="15" s="1"/>
  <c r="G274" i="9"/>
  <c r="H274" i="9" s="1"/>
  <c r="K274" i="9" s="1"/>
  <c r="E276" i="15" s="1"/>
  <c r="G6" i="9"/>
  <c r="H6" i="9" s="1"/>
  <c r="K6" i="9" s="1"/>
  <c r="E8" i="15" s="1"/>
  <c r="G109" i="9"/>
  <c r="H109" i="9" s="1"/>
  <c r="K109" i="9" s="1"/>
  <c r="E111" i="15" s="1"/>
  <c r="G112" i="9"/>
  <c r="H112" i="9" s="1"/>
  <c r="K112" i="9" s="1"/>
  <c r="E114" i="15" s="1"/>
  <c r="G162" i="9"/>
  <c r="H162" i="9" s="1"/>
  <c r="K162" i="9" s="1"/>
  <c r="E164" i="15" s="1"/>
  <c r="G169" i="9"/>
  <c r="H169" i="9" s="1"/>
  <c r="K169" i="9" s="1"/>
  <c r="E171" i="15" s="1"/>
  <c r="G176" i="9"/>
  <c r="H176" i="9" s="1"/>
  <c r="K176" i="9" s="1"/>
  <c r="E178" i="15" s="1"/>
  <c r="G226" i="9"/>
  <c r="H226" i="9" s="1"/>
  <c r="K226" i="9" s="1"/>
  <c r="E228" i="15" s="1"/>
  <c r="G233" i="9"/>
  <c r="H233" i="9" s="1"/>
  <c r="K233" i="9" s="1"/>
  <c r="E235" i="15" s="1"/>
  <c r="G240" i="9"/>
  <c r="H240" i="9" s="1"/>
  <c r="K240" i="9" s="1"/>
  <c r="E242" i="15" s="1"/>
  <c r="G246" i="9"/>
  <c r="H246" i="9" s="1"/>
  <c r="K246" i="9" s="1"/>
  <c r="E248" i="15" s="1"/>
  <c r="G260" i="9"/>
  <c r="H260" i="9" s="1"/>
  <c r="K260" i="9" s="1"/>
  <c r="E262" i="15" s="1"/>
  <c r="G270" i="9"/>
  <c r="H270" i="9" s="1"/>
  <c r="K270" i="9" s="1"/>
  <c r="E272" i="15" s="1"/>
  <c r="G93" i="9"/>
  <c r="H93" i="9" s="1"/>
  <c r="K93" i="9" s="1"/>
  <c r="E95" i="15" s="1"/>
  <c r="G134" i="9"/>
  <c r="H134" i="9" s="1"/>
  <c r="K134" i="9" s="1"/>
  <c r="E136" i="15" s="1"/>
  <c r="G141" i="9"/>
  <c r="H141" i="9" s="1"/>
  <c r="K141" i="9" s="1"/>
  <c r="E143" i="15" s="1"/>
  <c r="G148" i="9"/>
  <c r="H148" i="9" s="1"/>
  <c r="K148" i="9" s="1"/>
  <c r="E150" i="15" s="1"/>
  <c r="G198" i="9"/>
  <c r="H198" i="9" s="1"/>
  <c r="K198" i="9" s="1"/>
  <c r="E200" i="15" s="1"/>
  <c r="G205" i="9"/>
  <c r="H205" i="9" s="1"/>
  <c r="K205" i="9" s="1"/>
  <c r="E207" i="15" s="1"/>
  <c r="G212" i="9"/>
  <c r="H212" i="9" s="1"/>
  <c r="K212" i="9" s="1"/>
  <c r="E214" i="15" s="1"/>
  <c r="G256" i="9"/>
  <c r="H256" i="9" s="1"/>
  <c r="K256" i="9" s="1"/>
  <c r="E258" i="15" s="1"/>
  <c r="G261" i="9"/>
  <c r="H261" i="9" s="1"/>
  <c r="K261" i="9" s="1"/>
  <c r="E263" i="15" s="1"/>
  <c r="G172" i="9"/>
  <c r="H172" i="9" s="1"/>
  <c r="K172" i="9" s="1"/>
  <c r="E174" i="15" s="1"/>
  <c r="G229" i="9"/>
  <c r="H229" i="9" s="1"/>
  <c r="K229" i="9" s="1"/>
  <c r="E231" i="15" s="1"/>
  <c r="G61" i="9"/>
  <c r="H61" i="9" s="1"/>
  <c r="K61" i="9" s="1"/>
  <c r="E63" i="15" s="1"/>
  <c r="G149" i="9"/>
  <c r="H149" i="9" s="1"/>
  <c r="K149" i="9" s="1"/>
  <c r="E151" i="15" s="1"/>
  <c r="G206" i="9"/>
  <c r="H206" i="9" s="1"/>
  <c r="K206" i="9" s="1"/>
  <c r="E208" i="15" s="1"/>
  <c r="G236" i="9"/>
  <c r="H236" i="9" s="1"/>
  <c r="K236" i="9" s="1"/>
  <c r="E238" i="15" s="1"/>
  <c r="G276" i="9"/>
  <c r="H276" i="9" s="1"/>
  <c r="K276" i="9" s="1"/>
  <c r="G156" i="9"/>
  <c r="H156" i="9" s="1"/>
  <c r="K156" i="9" s="1"/>
  <c r="E158" i="15" s="1"/>
  <c r="G213" i="9"/>
  <c r="H213" i="9" s="1"/>
  <c r="K213" i="9" s="1"/>
  <c r="E215" i="15" s="1"/>
  <c r="G158" i="9"/>
  <c r="H158" i="9" s="1"/>
  <c r="K158" i="9" s="1"/>
  <c r="E160" i="15" s="1"/>
  <c r="G262" i="9"/>
  <c r="H262" i="9" s="1"/>
  <c r="K262" i="9" s="1"/>
  <c r="E264" i="15" s="1"/>
  <c r="G94" i="9"/>
  <c r="H94" i="9" s="1"/>
  <c r="K94" i="9" s="1"/>
  <c r="E96" i="15" s="1"/>
  <c r="G220" i="9"/>
  <c r="H220" i="9" s="1"/>
  <c r="K220" i="9" s="1"/>
  <c r="E222" i="15" s="1"/>
  <c r="G222" i="9"/>
  <c r="H222" i="9" s="1"/>
  <c r="K222" i="9" s="1"/>
  <c r="E224" i="15" s="1"/>
  <c r="G30" i="9"/>
  <c r="H30" i="9" s="1"/>
  <c r="K30" i="9" s="1"/>
  <c r="E32" i="15" s="1"/>
  <c r="G142" i="9"/>
  <c r="H142" i="9" s="1"/>
  <c r="K142" i="9" s="1"/>
  <c r="E144" i="15" s="1"/>
  <c r="G252" i="9"/>
  <c r="H252" i="9" s="1"/>
  <c r="K252" i="9" s="1"/>
  <c r="E254" i="15" s="1"/>
  <c r="G99" i="9"/>
  <c r="H99" i="9" s="1"/>
  <c r="K99" i="9" s="1"/>
  <c r="E101" i="15" s="1"/>
  <c r="G165" i="9"/>
  <c r="H165" i="9" s="1"/>
  <c r="K165" i="9" s="1"/>
  <c r="E167" i="15" s="1"/>
  <c r="G314" i="9"/>
  <c r="H314" i="9" s="1"/>
  <c r="K314" i="9" s="1"/>
  <c r="E316" i="15" s="1"/>
  <c r="F7" i="9"/>
  <c r="J7" i="9" s="1"/>
  <c r="G306" i="9"/>
  <c r="H306" i="9" s="1"/>
  <c r="K306" i="9" s="1"/>
  <c r="G295" i="9"/>
  <c r="H295" i="9" s="1"/>
  <c r="K295" i="9" s="1"/>
  <c r="E297" i="15" s="1"/>
  <c r="G298" i="9"/>
  <c r="H298" i="9" s="1"/>
  <c r="K298" i="9" s="1"/>
  <c r="E300" i="15" s="1"/>
  <c r="G303" i="9"/>
  <c r="H303" i="9" s="1"/>
  <c r="K303" i="9" s="1"/>
  <c r="E305" i="15" s="1"/>
  <c r="G285" i="9"/>
  <c r="H285" i="9" s="1"/>
  <c r="K285" i="9" s="1"/>
  <c r="G310" i="9"/>
  <c r="H310" i="9" s="1"/>
  <c r="K310" i="9" s="1"/>
  <c r="E312" i="15" s="1"/>
  <c r="G294" i="9"/>
  <c r="H294" i="9" s="1"/>
  <c r="K294" i="9" s="1"/>
  <c r="G279" i="9"/>
  <c r="H279" i="9" s="1"/>
  <c r="K279" i="9" s="1"/>
  <c r="E281" i="15" s="1"/>
  <c r="G299" i="9"/>
  <c r="H299" i="9" s="1"/>
  <c r="K299" i="9" s="1"/>
  <c r="E301" i="15" s="1"/>
  <c r="G296" i="9"/>
  <c r="H296" i="9" s="1"/>
  <c r="K296" i="9" s="1"/>
  <c r="E298" i="15" s="1"/>
  <c r="G290" i="9"/>
  <c r="H290" i="9" s="1"/>
  <c r="K290" i="9" s="1"/>
  <c r="G305" i="9"/>
  <c r="H305" i="9" s="1"/>
  <c r="K305" i="9" s="1"/>
  <c r="G311" i="9"/>
  <c r="H311" i="9" s="1"/>
  <c r="K311" i="9" s="1"/>
  <c r="E313" i="15" s="1"/>
  <c r="G307" i="9"/>
  <c r="H307" i="9" s="1"/>
  <c r="K307" i="9" s="1"/>
  <c r="E309" i="15" s="1"/>
  <c r="G292" i="9"/>
  <c r="H292" i="9" s="1"/>
  <c r="K292" i="9" s="1"/>
  <c r="E294" i="15" s="1"/>
  <c r="G312" i="9"/>
  <c r="H312" i="9" s="1"/>
  <c r="K312" i="9" s="1"/>
  <c r="E314" i="15" s="1"/>
  <c r="G301" i="9"/>
  <c r="H301" i="9" s="1"/>
  <c r="K301" i="9" s="1"/>
  <c r="E303" i="15" s="1"/>
  <c r="G313" i="9"/>
  <c r="H313" i="9" s="1"/>
  <c r="K313" i="9" s="1"/>
  <c r="E315" i="15" s="1"/>
  <c r="G304" i="9"/>
  <c r="H304" i="9" s="1"/>
  <c r="K304" i="9" s="1"/>
  <c r="E306" i="15" s="1"/>
  <c r="G288" i="9"/>
  <c r="H288" i="9" s="1"/>
  <c r="K288" i="9" s="1"/>
  <c r="E290" i="15" s="1"/>
  <c r="G289" i="9"/>
  <c r="H289" i="9" s="1"/>
  <c r="K289" i="9" s="1"/>
  <c r="E291" i="15" s="1"/>
  <c r="G284" i="9"/>
  <c r="H284" i="9" s="1"/>
  <c r="K284" i="9" s="1"/>
  <c r="E286" i="15" s="1"/>
  <c r="G280" i="9"/>
  <c r="H280" i="9" s="1"/>
  <c r="K280" i="9" s="1"/>
  <c r="E282" i="15" s="1"/>
  <c r="G308" i="9"/>
  <c r="H308" i="9" s="1"/>
  <c r="K308" i="9" s="1"/>
  <c r="E310" i="15" s="1"/>
  <c r="G281" i="9"/>
  <c r="H281" i="9" s="1"/>
  <c r="K281" i="9" s="1"/>
  <c r="E283" i="15" s="1"/>
  <c r="G293" i="9"/>
  <c r="H293" i="9" s="1"/>
  <c r="K293" i="9" s="1"/>
  <c r="E295" i="15" s="1"/>
  <c r="G291" i="9"/>
  <c r="H291" i="9" s="1"/>
  <c r="K291" i="9" s="1"/>
  <c r="E293" i="15" s="1"/>
  <c r="G309" i="9"/>
  <c r="H309" i="9" s="1"/>
  <c r="K309" i="9" s="1"/>
  <c r="E311" i="15" s="1"/>
  <c r="G300" i="9"/>
  <c r="H300" i="9" s="1"/>
  <c r="K300" i="9" s="1"/>
  <c r="E302" i="15" s="1"/>
  <c r="G302" i="9"/>
  <c r="H302" i="9" s="1"/>
  <c r="K302" i="9" s="1"/>
  <c r="E304" i="15" s="1"/>
  <c r="G278" i="9"/>
  <c r="H278" i="9" s="1"/>
  <c r="K278" i="9" s="1"/>
  <c r="E280" i="15" s="1"/>
  <c r="G287" i="9"/>
  <c r="H287" i="9" s="1"/>
  <c r="K287" i="9" s="1"/>
  <c r="E289" i="15" s="1"/>
  <c r="G297" i="9"/>
  <c r="H297" i="9" s="1"/>
  <c r="K297" i="9" s="1"/>
  <c r="E299" i="15" s="1"/>
  <c r="G115" i="9"/>
  <c r="H115" i="9" s="1"/>
  <c r="K115" i="9" s="1"/>
  <c r="E117" i="15" s="1"/>
  <c r="G64" i="9"/>
  <c r="H64" i="9" s="1"/>
  <c r="K64" i="9" s="1"/>
  <c r="E66" i="15" s="1"/>
  <c r="G87" i="9"/>
  <c r="H87" i="9" s="1"/>
  <c r="K87" i="9" s="1"/>
  <c r="E89" i="15" s="1"/>
  <c r="G23" i="9"/>
  <c r="H23" i="9" s="1"/>
  <c r="K23" i="9" s="1"/>
  <c r="E25" i="15" s="1"/>
  <c r="G60" i="9"/>
  <c r="H60" i="9" s="1"/>
  <c r="K60" i="9" s="1"/>
  <c r="E62" i="15" s="1"/>
  <c r="G105" i="9"/>
  <c r="H105" i="9" s="1"/>
  <c r="K105" i="9" s="1"/>
  <c r="E107" i="15" s="1"/>
  <c r="G41" i="9"/>
  <c r="H41" i="9" s="1"/>
  <c r="K41" i="9" s="1"/>
  <c r="E43" i="15" s="1"/>
  <c r="G111" i="9"/>
  <c r="H111" i="9" s="1"/>
  <c r="K111" i="9" s="1"/>
  <c r="E113" i="15" s="1"/>
  <c r="G273" i="9"/>
  <c r="H273" i="9" s="1"/>
  <c r="K273" i="9" s="1"/>
  <c r="E275" i="15" s="1"/>
  <c r="F275" i="11"/>
  <c r="G49" i="2"/>
  <c r="H49" i="2" s="1"/>
  <c r="K49" i="2" s="1"/>
  <c r="D51" i="15" s="1"/>
  <c r="G81" i="2"/>
  <c r="H81" i="2" s="1"/>
  <c r="K81" i="2" s="1"/>
  <c r="D83" i="15" s="1"/>
  <c r="G23" i="2"/>
  <c r="H23" i="2" s="1"/>
  <c r="K23" i="2" s="1"/>
  <c r="D25" i="15" s="1"/>
  <c r="G39" i="2"/>
  <c r="H39" i="2" s="1"/>
  <c r="K39" i="2" s="1"/>
  <c r="D41" i="15" s="1"/>
  <c r="G71" i="2"/>
  <c r="H71" i="2" s="1"/>
  <c r="K71" i="2" s="1"/>
  <c r="D73" i="15" s="1"/>
  <c r="G87" i="2"/>
  <c r="H87" i="2" s="1"/>
  <c r="K87" i="2" s="1"/>
  <c r="D89" i="15" s="1"/>
  <c r="G8" i="2"/>
  <c r="H8" i="2" s="1"/>
  <c r="K8" i="2" s="1"/>
  <c r="D10" i="15" s="1"/>
  <c r="F8" i="2"/>
  <c r="J8" i="2" s="1"/>
  <c r="G286" i="9"/>
  <c r="H286" i="9" s="1"/>
  <c r="K286" i="9" s="1"/>
  <c r="E288" i="15" s="1"/>
  <c r="G9" i="2"/>
  <c r="H9" i="2" s="1"/>
  <c r="G5" i="2"/>
  <c r="H5" i="2" s="1"/>
  <c r="K5" i="2" s="1"/>
  <c r="D7" i="15" s="1"/>
  <c r="G13" i="2"/>
  <c r="H13" i="2" s="1"/>
  <c r="K13" i="2" s="1"/>
  <c r="D15" i="15" s="1"/>
  <c r="G2" i="2"/>
  <c r="H2" i="2" s="1"/>
  <c r="K2" i="2" s="1"/>
  <c r="G6" i="2"/>
  <c r="H6" i="2" s="1"/>
  <c r="K6" i="2" s="1"/>
  <c r="D8" i="15" s="1"/>
  <c r="G3" i="2"/>
  <c r="H3" i="2" s="1"/>
  <c r="K3" i="2" s="1"/>
  <c r="D5" i="15" s="1"/>
  <c r="G10" i="2"/>
  <c r="H10" i="2" s="1"/>
  <c r="K10" i="2" s="1"/>
  <c r="D12" i="15" s="1"/>
  <c r="G4" i="2"/>
  <c r="H4" i="2" s="1"/>
  <c r="K4" i="2" s="1"/>
  <c r="D6" i="15" s="1"/>
  <c r="G11" i="2"/>
  <c r="H11" i="2" s="1"/>
  <c r="K11" i="2" s="1"/>
  <c r="D13" i="15" s="1"/>
  <c r="G16" i="2"/>
  <c r="H16" i="2" s="1"/>
  <c r="K16" i="2" s="1"/>
  <c r="D18" i="15" s="1"/>
  <c r="G18" i="2"/>
  <c r="H18" i="2" s="1"/>
  <c r="K18" i="2" s="1"/>
  <c r="D20" i="15" s="1"/>
  <c r="G20" i="2"/>
  <c r="H20" i="2" s="1"/>
  <c r="K20" i="2" s="1"/>
  <c r="D22" i="15" s="1"/>
  <c r="G22" i="2"/>
  <c r="H22" i="2" s="1"/>
  <c r="K22" i="2" s="1"/>
  <c r="D24" i="15" s="1"/>
  <c r="G24" i="2"/>
  <c r="H24" i="2" s="1"/>
  <c r="K24" i="2" s="1"/>
  <c r="D26" i="15" s="1"/>
  <c r="G26" i="2"/>
  <c r="H26" i="2" s="1"/>
  <c r="K26" i="2" s="1"/>
  <c r="D28" i="15" s="1"/>
  <c r="G28" i="2"/>
  <c r="H28" i="2" s="1"/>
  <c r="K28" i="2" s="1"/>
  <c r="D30" i="15" s="1"/>
  <c r="G30" i="2"/>
  <c r="H30" i="2" s="1"/>
  <c r="K30" i="2" s="1"/>
  <c r="D32" i="15" s="1"/>
  <c r="G32" i="2"/>
  <c r="H32" i="2" s="1"/>
  <c r="K32" i="2" s="1"/>
  <c r="D34" i="15" s="1"/>
  <c r="G34" i="2"/>
  <c r="H34" i="2" s="1"/>
  <c r="K34" i="2" s="1"/>
  <c r="D36" i="15" s="1"/>
  <c r="G36" i="2"/>
  <c r="H36" i="2" s="1"/>
  <c r="K36" i="2" s="1"/>
  <c r="D38" i="15" s="1"/>
  <c r="G38" i="2"/>
  <c r="H38" i="2" s="1"/>
  <c r="K38" i="2" s="1"/>
  <c r="D40" i="15" s="1"/>
  <c r="G40" i="2"/>
  <c r="H40" i="2" s="1"/>
  <c r="K40" i="2" s="1"/>
  <c r="D42" i="15" s="1"/>
  <c r="G42" i="2"/>
  <c r="H42" i="2" s="1"/>
  <c r="K42" i="2" s="1"/>
  <c r="D44" i="15" s="1"/>
  <c r="G44" i="2"/>
  <c r="H44" i="2" s="1"/>
  <c r="K44" i="2" s="1"/>
  <c r="D46" i="15" s="1"/>
  <c r="G46" i="2"/>
  <c r="H46" i="2" s="1"/>
  <c r="K46" i="2" s="1"/>
  <c r="D48" i="15" s="1"/>
  <c r="G48" i="2"/>
  <c r="H48" i="2" s="1"/>
  <c r="K48" i="2" s="1"/>
  <c r="D50" i="15" s="1"/>
  <c r="G50" i="2"/>
  <c r="H50" i="2" s="1"/>
  <c r="K50" i="2" s="1"/>
  <c r="D52" i="15" s="1"/>
  <c r="G52" i="2"/>
  <c r="H52" i="2" s="1"/>
  <c r="K52" i="2" s="1"/>
  <c r="D54" i="15" s="1"/>
  <c r="G54" i="2"/>
  <c r="H54" i="2" s="1"/>
  <c r="K54" i="2" s="1"/>
  <c r="D56" i="15" s="1"/>
  <c r="G56" i="2"/>
  <c r="H56" i="2" s="1"/>
  <c r="K56" i="2" s="1"/>
  <c r="D58" i="15" s="1"/>
  <c r="G58" i="2"/>
  <c r="H58" i="2" s="1"/>
  <c r="K58" i="2" s="1"/>
  <c r="D60" i="15" s="1"/>
  <c r="G60" i="2"/>
  <c r="H60" i="2" s="1"/>
  <c r="K60" i="2" s="1"/>
  <c r="D62" i="15" s="1"/>
  <c r="G62" i="2"/>
  <c r="H62" i="2" s="1"/>
  <c r="K62" i="2" s="1"/>
  <c r="D64" i="15" s="1"/>
  <c r="G64" i="2"/>
  <c r="H64" i="2" s="1"/>
  <c r="K64" i="2" s="1"/>
  <c r="D66" i="15" s="1"/>
  <c r="G66" i="2"/>
  <c r="H66" i="2" s="1"/>
  <c r="K66" i="2" s="1"/>
  <c r="D68" i="15" s="1"/>
  <c r="G68" i="2"/>
  <c r="H68" i="2" s="1"/>
  <c r="K68" i="2" s="1"/>
  <c r="D70" i="15" s="1"/>
  <c r="G70" i="2"/>
  <c r="H70" i="2" s="1"/>
  <c r="K70" i="2" s="1"/>
  <c r="D72" i="15" s="1"/>
  <c r="G72" i="2"/>
  <c r="H72" i="2" s="1"/>
  <c r="K72" i="2" s="1"/>
  <c r="D74" i="15" s="1"/>
  <c r="G74" i="2"/>
  <c r="H74" i="2" s="1"/>
  <c r="K74" i="2" s="1"/>
  <c r="D76" i="15" s="1"/>
  <c r="G76" i="2"/>
  <c r="H76" i="2" s="1"/>
  <c r="K76" i="2" s="1"/>
  <c r="D78" i="15" s="1"/>
  <c r="G78" i="2"/>
  <c r="H78" i="2" s="1"/>
  <c r="K78" i="2" s="1"/>
  <c r="D80" i="15" s="1"/>
  <c r="G80" i="2"/>
  <c r="H80" i="2" s="1"/>
  <c r="K80" i="2" s="1"/>
  <c r="D82" i="15" s="1"/>
  <c r="G82" i="2"/>
  <c r="H82" i="2" s="1"/>
  <c r="K82" i="2" s="1"/>
  <c r="D84" i="15" s="1"/>
  <c r="G84" i="2"/>
  <c r="H84" i="2" s="1"/>
  <c r="K84" i="2" s="1"/>
  <c r="D86" i="15" s="1"/>
  <c r="G94" i="2"/>
  <c r="H94" i="2" s="1"/>
  <c r="K94" i="2" s="1"/>
  <c r="D96" i="15" s="1"/>
  <c r="G111" i="2"/>
  <c r="H111" i="2" s="1"/>
  <c r="K111" i="2" s="1"/>
  <c r="D113" i="15" s="1"/>
  <c r="G118" i="2"/>
  <c r="H118" i="2" s="1"/>
  <c r="K118" i="2" s="1"/>
  <c r="D120" i="15" s="1"/>
  <c r="G127" i="2"/>
  <c r="H127" i="2" s="1"/>
  <c r="K127" i="2" s="1"/>
  <c r="D129" i="15" s="1"/>
  <c r="G134" i="2"/>
  <c r="H134" i="2" s="1"/>
  <c r="K134" i="2" s="1"/>
  <c r="D136" i="15" s="1"/>
  <c r="G143" i="2"/>
  <c r="H143" i="2" s="1"/>
  <c r="K143" i="2" s="1"/>
  <c r="D145" i="15" s="1"/>
  <c r="G150" i="2"/>
  <c r="H150" i="2" s="1"/>
  <c r="K150" i="2" s="1"/>
  <c r="D152" i="15" s="1"/>
  <c r="G159" i="2"/>
  <c r="H159" i="2" s="1"/>
  <c r="K159" i="2" s="1"/>
  <c r="D161" i="15" s="1"/>
  <c r="G166" i="2"/>
  <c r="H166" i="2" s="1"/>
  <c r="K166" i="2" s="1"/>
  <c r="D168" i="15" s="1"/>
  <c r="G175" i="2"/>
  <c r="H175" i="2" s="1"/>
  <c r="K175" i="2" s="1"/>
  <c r="D177" i="15" s="1"/>
  <c r="G182" i="2"/>
  <c r="H182" i="2" s="1"/>
  <c r="K182" i="2" s="1"/>
  <c r="D184" i="15" s="1"/>
  <c r="G191" i="2"/>
  <c r="H191" i="2" s="1"/>
  <c r="K191" i="2" s="1"/>
  <c r="D193" i="15" s="1"/>
  <c r="G88" i="2"/>
  <c r="H88" i="2" s="1"/>
  <c r="K88" i="2" s="1"/>
  <c r="D90" i="15" s="1"/>
  <c r="G104" i="2"/>
  <c r="H104" i="2" s="1"/>
  <c r="K104" i="2" s="1"/>
  <c r="D106" i="15" s="1"/>
  <c r="G116" i="2"/>
  <c r="H116" i="2" s="1"/>
  <c r="K116" i="2" s="1"/>
  <c r="D118" i="15" s="1"/>
  <c r="G125" i="2"/>
  <c r="H125" i="2" s="1"/>
  <c r="K125" i="2" s="1"/>
  <c r="D127" i="15" s="1"/>
  <c r="G132" i="2"/>
  <c r="H132" i="2" s="1"/>
  <c r="K132" i="2" s="1"/>
  <c r="D134" i="15" s="1"/>
  <c r="G141" i="2"/>
  <c r="H141" i="2" s="1"/>
  <c r="K141" i="2" s="1"/>
  <c r="D143" i="15" s="1"/>
  <c r="G148" i="2"/>
  <c r="H148" i="2" s="1"/>
  <c r="K148" i="2" s="1"/>
  <c r="D150" i="15" s="1"/>
  <c r="G157" i="2"/>
  <c r="H157" i="2" s="1"/>
  <c r="K157" i="2" s="1"/>
  <c r="D159" i="15" s="1"/>
  <c r="G164" i="2"/>
  <c r="H164" i="2" s="1"/>
  <c r="K164" i="2" s="1"/>
  <c r="D166" i="15" s="1"/>
  <c r="G173" i="2"/>
  <c r="H173" i="2" s="1"/>
  <c r="K173" i="2" s="1"/>
  <c r="D175" i="15" s="1"/>
  <c r="G180" i="2"/>
  <c r="H180" i="2" s="1"/>
  <c r="K180" i="2" s="1"/>
  <c r="D182" i="15" s="1"/>
  <c r="G189" i="2"/>
  <c r="H189" i="2" s="1"/>
  <c r="K189" i="2" s="1"/>
  <c r="D191" i="15" s="1"/>
  <c r="G266" i="2"/>
  <c r="H266" i="2" s="1"/>
  <c r="K266" i="2" s="1"/>
  <c r="G268" i="2"/>
  <c r="H268" i="2" s="1"/>
  <c r="K268" i="2" s="1"/>
  <c r="D270" i="15" s="1"/>
  <c r="G270" i="2"/>
  <c r="H270" i="2" s="1"/>
  <c r="K270" i="2" s="1"/>
  <c r="D272" i="15" s="1"/>
  <c r="G272" i="2"/>
  <c r="H272" i="2" s="1"/>
  <c r="K272" i="2" s="1"/>
  <c r="D274" i="15" s="1"/>
  <c r="G274" i="2"/>
  <c r="H274" i="2" s="1"/>
  <c r="K274" i="2" s="1"/>
  <c r="D276" i="15" s="1"/>
  <c r="G276" i="2"/>
  <c r="H276" i="2" s="1"/>
  <c r="K276" i="2" s="1"/>
  <c r="G98" i="2"/>
  <c r="H98" i="2" s="1"/>
  <c r="K98" i="2" s="1"/>
  <c r="D100" i="15" s="1"/>
  <c r="G114" i="2"/>
  <c r="H114" i="2" s="1"/>
  <c r="K114" i="2" s="1"/>
  <c r="D116" i="15" s="1"/>
  <c r="G123" i="2"/>
  <c r="H123" i="2" s="1"/>
  <c r="K123" i="2" s="1"/>
  <c r="D125" i="15" s="1"/>
  <c r="G130" i="2"/>
  <c r="H130" i="2" s="1"/>
  <c r="K130" i="2" s="1"/>
  <c r="D132" i="15" s="1"/>
  <c r="G139" i="2"/>
  <c r="H139" i="2" s="1"/>
  <c r="K139" i="2" s="1"/>
  <c r="D141" i="15" s="1"/>
  <c r="G146" i="2"/>
  <c r="H146" i="2" s="1"/>
  <c r="K146" i="2" s="1"/>
  <c r="D148" i="15" s="1"/>
  <c r="G155" i="2"/>
  <c r="H155" i="2" s="1"/>
  <c r="K155" i="2" s="1"/>
  <c r="D157" i="15" s="1"/>
  <c r="G162" i="2"/>
  <c r="H162" i="2" s="1"/>
  <c r="K162" i="2" s="1"/>
  <c r="D164" i="15" s="1"/>
  <c r="G171" i="2"/>
  <c r="H171" i="2" s="1"/>
  <c r="K171" i="2" s="1"/>
  <c r="D173" i="15" s="1"/>
  <c r="G178" i="2"/>
  <c r="H178" i="2" s="1"/>
  <c r="K178" i="2" s="1"/>
  <c r="D180" i="15" s="1"/>
  <c r="G187" i="2"/>
  <c r="H187" i="2" s="1"/>
  <c r="K187" i="2" s="1"/>
  <c r="D189" i="15" s="1"/>
  <c r="G244" i="2"/>
  <c r="H244" i="2" s="1"/>
  <c r="K244" i="2" s="1"/>
  <c r="D246" i="15" s="1"/>
  <c r="G246" i="2"/>
  <c r="H246" i="2" s="1"/>
  <c r="K246" i="2" s="1"/>
  <c r="D248" i="15" s="1"/>
  <c r="G248" i="2"/>
  <c r="H248" i="2" s="1"/>
  <c r="K248" i="2" s="1"/>
  <c r="D250" i="15" s="1"/>
  <c r="G250" i="2"/>
  <c r="H250" i="2" s="1"/>
  <c r="K250" i="2" s="1"/>
  <c r="D252" i="15" s="1"/>
  <c r="G252" i="2"/>
  <c r="H252" i="2" s="1"/>
  <c r="K252" i="2" s="1"/>
  <c r="D254" i="15" s="1"/>
  <c r="G254" i="2"/>
  <c r="H254" i="2" s="1"/>
  <c r="K254" i="2" s="1"/>
  <c r="D256" i="15" s="1"/>
  <c r="G256" i="2"/>
  <c r="H256" i="2" s="1"/>
  <c r="K256" i="2" s="1"/>
  <c r="D258" i="15" s="1"/>
  <c r="G258" i="2"/>
  <c r="H258" i="2" s="1"/>
  <c r="K258" i="2" s="1"/>
  <c r="G260" i="2"/>
  <c r="H260" i="2" s="1"/>
  <c r="K260" i="2" s="1"/>
  <c r="D262" i="15" s="1"/>
  <c r="G262" i="2"/>
  <c r="H262" i="2" s="1"/>
  <c r="K262" i="2" s="1"/>
  <c r="D264" i="15" s="1"/>
  <c r="G264" i="2"/>
  <c r="H264" i="2" s="1"/>
  <c r="K264" i="2" s="1"/>
  <c r="D266" i="15" s="1"/>
  <c r="G12" i="2"/>
  <c r="H12" i="2" s="1"/>
  <c r="K12" i="2" s="1"/>
  <c r="D14" i="15" s="1"/>
  <c r="G92" i="2"/>
  <c r="H92" i="2" s="1"/>
  <c r="K92" i="2" s="1"/>
  <c r="D94" i="15" s="1"/>
  <c r="G108" i="2"/>
  <c r="H108" i="2" s="1"/>
  <c r="K108" i="2" s="1"/>
  <c r="D110" i="15" s="1"/>
  <c r="G112" i="2"/>
  <c r="H112" i="2" s="1"/>
  <c r="K112" i="2" s="1"/>
  <c r="D114" i="15" s="1"/>
  <c r="G121" i="2"/>
  <c r="H121" i="2" s="1"/>
  <c r="K121" i="2" s="1"/>
  <c r="D123" i="15" s="1"/>
  <c r="G128" i="2"/>
  <c r="H128" i="2" s="1"/>
  <c r="K128" i="2" s="1"/>
  <c r="D130" i="15" s="1"/>
  <c r="G137" i="2"/>
  <c r="H137" i="2" s="1"/>
  <c r="K137" i="2" s="1"/>
  <c r="D139" i="15" s="1"/>
  <c r="G144" i="2"/>
  <c r="H144" i="2" s="1"/>
  <c r="K144" i="2" s="1"/>
  <c r="D146" i="15" s="1"/>
  <c r="G153" i="2"/>
  <c r="H153" i="2" s="1"/>
  <c r="K153" i="2" s="1"/>
  <c r="D155" i="15" s="1"/>
  <c r="G160" i="2"/>
  <c r="H160" i="2" s="1"/>
  <c r="K160" i="2" s="1"/>
  <c r="D162" i="15" s="1"/>
  <c r="G169" i="2"/>
  <c r="H169" i="2" s="1"/>
  <c r="K169" i="2" s="1"/>
  <c r="D171" i="15" s="1"/>
  <c r="G176" i="2"/>
  <c r="H176" i="2" s="1"/>
  <c r="K176" i="2" s="1"/>
  <c r="D178" i="15" s="1"/>
  <c r="G185" i="2"/>
  <c r="H185" i="2" s="1"/>
  <c r="K185" i="2" s="1"/>
  <c r="D187" i="15" s="1"/>
  <c r="G192" i="2"/>
  <c r="H192" i="2" s="1"/>
  <c r="K192" i="2" s="1"/>
  <c r="D194" i="15" s="1"/>
  <c r="G194" i="2"/>
  <c r="H194" i="2" s="1"/>
  <c r="K194" i="2" s="1"/>
  <c r="D196" i="15" s="1"/>
  <c r="G196" i="2"/>
  <c r="H196" i="2" s="1"/>
  <c r="K196" i="2" s="1"/>
  <c r="D198" i="15" s="1"/>
  <c r="G198" i="2"/>
  <c r="H198" i="2" s="1"/>
  <c r="K198" i="2" s="1"/>
  <c r="D200" i="15" s="1"/>
  <c r="G200" i="2"/>
  <c r="H200" i="2" s="1"/>
  <c r="K200" i="2" s="1"/>
  <c r="D202" i="15" s="1"/>
  <c r="G202" i="2"/>
  <c r="H202" i="2" s="1"/>
  <c r="K202" i="2" s="1"/>
  <c r="D204" i="15" s="1"/>
  <c r="G204" i="2"/>
  <c r="H204" i="2" s="1"/>
  <c r="K204" i="2" s="1"/>
  <c r="D206" i="15" s="1"/>
  <c r="G206" i="2"/>
  <c r="H206" i="2" s="1"/>
  <c r="K206" i="2" s="1"/>
  <c r="D208" i="15" s="1"/>
  <c r="G208" i="2"/>
  <c r="H208" i="2" s="1"/>
  <c r="K208" i="2" s="1"/>
  <c r="D210" i="15" s="1"/>
  <c r="G210" i="2"/>
  <c r="H210" i="2" s="1"/>
  <c r="K210" i="2" s="1"/>
  <c r="D212" i="15" s="1"/>
  <c r="G212" i="2"/>
  <c r="H212" i="2" s="1"/>
  <c r="K212" i="2" s="1"/>
  <c r="D214" i="15" s="1"/>
  <c r="G214" i="2"/>
  <c r="H214" i="2" s="1"/>
  <c r="K214" i="2" s="1"/>
  <c r="D216" i="15" s="1"/>
  <c r="G216" i="2"/>
  <c r="H216" i="2" s="1"/>
  <c r="K216" i="2" s="1"/>
  <c r="D218" i="15" s="1"/>
  <c r="G218" i="2"/>
  <c r="H218" i="2" s="1"/>
  <c r="K218" i="2" s="1"/>
  <c r="D220" i="15" s="1"/>
  <c r="G220" i="2"/>
  <c r="H220" i="2" s="1"/>
  <c r="K220" i="2" s="1"/>
  <c r="D222" i="15" s="1"/>
  <c r="G222" i="2"/>
  <c r="H222" i="2" s="1"/>
  <c r="K222" i="2" s="1"/>
  <c r="D224" i="15" s="1"/>
  <c r="G224" i="2"/>
  <c r="H224" i="2" s="1"/>
  <c r="K224" i="2" s="1"/>
  <c r="D226" i="15" s="1"/>
  <c r="G226" i="2"/>
  <c r="H226" i="2" s="1"/>
  <c r="K226" i="2" s="1"/>
  <c r="D228" i="15" s="1"/>
  <c r="G228" i="2"/>
  <c r="H228" i="2" s="1"/>
  <c r="K228" i="2" s="1"/>
  <c r="D230" i="15" s="1"/>
  <c r="G230" i="2"/>
  <c r="H230" i="2" s="1"/>
  <c r="K230" i="2" s="1"/>
  <c r="D232" i="15" s="1"/>
  <c r="G232" i="2"/>
  <c r="H232" i="2" s="1"/>
  <c r="K232" i="2" s="1"/>
  <c r="D234" i="15" s="1"/>
  <c r="G234" i="2"/>
  <c r="H234" i="2" s="1"/>
  <c r="K234" i="2" s="1"/>
  <c r="D236" i="15" s="1"/>
  <c r="G236" i="2"/>
  <c r="H236" i="2" s="1"/>
  <c r="K236" i="2" s="1"/>
  <c r="D238" i="15" s="1"/>
  <c r="G238" i="2"/>
  <c r="H238" i="2" s="1"/>
  <c r="K238" i="2" s="1"/>
  <c r="D240" i="15" s="1"/>
  <c r="G240" i="2"/>
  <c r="H240" i="2" s="1"/>
  <c r="K240" i="2" s="1"/>
  <c r="D242" i="15" s="1"/>
  <c r="G242" i="2"/>
  <c r="H242" i="2" s="1"/>
  <c r="K242" i="2" s="1"/>
  <c r="D244" i="15" s="1"/>
  <c r="G86" i="2"/>
  <c r="H86" i="2" s="1"/>
  <c r="K86" i="2" s="1"/>
  <c r="D88" i="15" s="1"/>
  <c r="G102" i="2"/>
  <c r="H102" i="2" s="1"/>
  <c r="K102" i="2" s="1"/>
  <c r="D104" i="15" s="1"/>
  <c r="G110" i="2"/>
  <c r="H110" i="2" s="1"/>
  <c r="K110" i="2" s="1"/>
  <c r="G119" i="2"/>
  <c r="H119" i="2" s="1"/>
  <c r="K119" i="2" s="1"/>
  <c r="D121" i="15" s="1"/>
  <c r="G126" i="2"/>
  <c r="H126" i="2" s="1"/>
  <c r="K126" i="2" s="1"/>
  <c r="D128" i="15" s="1"/>
  <c r="G135" i="2"/>
  <c r="H135" i="2" s="1"/>
  <c r="K135" i="2" s="1"/>
  <c r="D137" i="15" s="1"/>
  <c r="G142" i="2"/>
  <c r="H142" i="2" s="1"/>
  <c r="K142" i="2" s="1"/>
  <c r="D144" i="15" s="1"/>
  <c r="G151" i="2"/>
  <c r="H151" i="2" s="1"/>
  <c r="K151" i="2" s="1"/>
  <c r="D153" i="15" s="1"/>
  <c r="G158" i="2"/>
  <c r="H158" i="2" s="1"/>
  <c r="K158" i="2" s="1"/>
  <c r="D160" i="15" s="1"/>
  <c r="G167" i="2"/>
  <c r="H167" i="2" s="1"/>
  <c r="K167" i="2" s="1"/>
  <c r="D169" i="15" s="1"/>
  <c r="G174" i="2"/>
  <c r="H174" i="2" s="1"/>
  <c r="K174" i="2" s="1"/>
  <c r="D176" i="15" s="1"/>
  <c r="G183" i="2"/>
  <c r="H183" i="2" s="1"/>
  <c r="K183" i="2" s="1"/>
  <c r="D185" i="15" s="1"/>
  <c r="G190" i="2"/>
  <c r="H190" i="2" s="1"/>
  <c r="K190" i="2" s="1"/>
  <c r="D192" i="15" s="1"/>
  <c r="G96" i="2"/>
  <c r="H96" i="2" s="1"/>
  <c r="K96" i="2" s="1"/>
  <c r="D98" i="15" s="1"/>
  <c r="G109" i="2"/>
  <c r="H109" i="2" s="1"/>
  <c r="K109" i="2" s="1"/>
  <c r="D111" i="15" s="1"/>
  <c r="G117" i="2"/>
  <c r="H117" i="2" s="1"/>
  <c r="K117" i="2" s="1"/>
  <c r="D119" i="15" s="1"/>
  <c r="G124" i="2"/>
  <c r="H124" i="2" s="1"/>
  <c r="K124" i="2" s="1"/>
  <c r="D126" i="15" s="1"/>
  <c r="G133" i="2"/>
  <c r="H133" i="2" s="1"/>
  <c r="K133" i="2" s="1"/>
  <c r="D135" i="15" s="1"/>
  <c r="G140" i="2"/>
  <c r="H140" i="2" s="1"/>
  <c r="K140" i="2" s="1"/>
  <c r="D142" i="15" s="1"/>
  <c r="G149" i="2"/>
  <c r="H149" i="2" s="1"/>
  <c r="K149" i="2" s="1"/>
  <c r="D151" i="15" s="1"/>
  <c r="G156" i="2"/>
  <c r="H156" i="2" s="1"/>
  <c r="K156" i="2" s="1"/>
  <c r="D158" i="15" s="1"/>
  <c r="G165" i="2"/>
  <c r="H165" i="2" s="1"/>
  <c r="K165" i="2" s="1"/>
  <c r="D167" i="15" s="1"/>
  <c r="G172" i="2"/>
  <c r="H172" i="2" s="1"/>
  <c r="K172" i="2" s="1"/>
  <c r="D174" i="15" s="1"/>
  <c r="G181" i="2"/>
  <c r="H181" i="2" s="1"/>
  <c r="K181" i="2" s="1"/>
  <c r="D183" i="15" s="1"/>
  <c r="G188" i="2"/>
  <c r="H188" i="2" s="1"/>
  <c r="K188" i="2" s="1"/>
  <c r="D190" i="15" s="1"/>
  <c r="G267" i="2"/>
  <c r="H267" i="2" s="1"/>
  <c r="K267" i="2" s="1"/>
  <c r="D269" i="15" s="1"/>
  <c r="G269" i="2"/>
  <c r="H269" i="2" s="1"/>
  <c r="K269" i="2" s="1"/>
  <c r="D271" i="15" s="1"/>
  <c r="G271" i="2"/>
  <c r="H271" i="2" s="1"/>
  <c r="K271" i="2" s="1"/>
  <c r="D273" i="15" s="1"/>
  <c r="G273" i="2"/>
  <c r="H273" i="2" s="1"/>
  <c r="K273" i="2" s="1"/>
  <c r="D275" i="15" s="1"/>
  <c r="G275" i="2"/>
  <c r="H275" i="2" s="1"/>
  <c r="K275" i="2" s="1"/>
  <c r="D277" i="15" s="1"/>
  <c r="G277" i="2"/>
  <c r="H277" i="2" s="1"/>
  <c r="K277" i="2" s="1"/>
  <c r="D279" i="15" s="1"/>
  <c r="G90" i="2"/>
  <c r="H90" i="2" s="1"/>
  <c r="K90" i="2" s="1"/>
  <c r="D92" i="15" s="1"/>
  <c r="G131" i="2"/>
  <c r="H131" i="2" s="1"/>
  <c r="K131" i="2" s="1"/>
  <c r="D133" i="15" s="1"/>
  <c r="G136" i="2"/>
  <c r="H136" i="2" s="1"/>
  <c r="K136" i="2" s="1"/>
  <c r="D138" i="15" s="1"/>
  <c r="G195" i="2"/>
  <c r="H195" i="2" s="1"/>
  <c r="K195" i="2" s="1"/>
  <c r="D197" i="15" s="1"/>
  <c r="G211" i="2"/>
  <c r="H211" i="2" s="1"/>
  <c r="K211" i="2" s="1"/>
  <c r="D213" i="15" s="1"/>
  <c r="G227" i="2"/>
  <c r="H227" i="2" s="1"/>
  <c r="K227" i="2" s="1"/>
  <c r="D229" i="15" s="1"/>
  <c r="G122" i="2"/>
  <c r="H122" i="2" s="1"/>
  <c r="K122" i="2" s="1"/>
  <c r="D124" i="15" s="1"/>
  <c r="G161" i="2"/>
  <c r="H161" i="2" s="1"/>
  <c r="K161" i="2" s="1"/>
  <c r="D163" i="15" s="1"/>
  <c r="G186" i="2"/>
  <c r="H186" i="2" s="1"/>
  <c r="K186" i="2" s="1"/>
  <c r="D188" i="15" s="1"/>
  <c r="G201" i="2"/>
  <c r="H201" i="2" s="1"/>
  <c r="K201" i="2" s="1"/>
  <c r="D203" i="15" s="1"/>
  <c r="G217" i="2"/>
  <c r="H217" i="2" s="1"/>
  <c r="K217" i="2" s="1"/>
  <c r="D219" i="15" s="1"/>
  <c r="G233" i="2"/>
  <c r="H233" i="2" s="1"/>
  <c r="K233" i="2" s="1"/>
  <c r="D235" i="15" s="1"/>
  <c r="G147" i="2"/>
  <c r="H147" i="2" s="1"/>
  <c r="K147" i="2" s="1"/>
  <c r="D149" i="15" s="1"/>
  <c r="G152" i="2"/>
  <c r="H152" i="2" s="1"/>
  <c r="K152" i="2" s="1"/>
  <c r="D154" i="15" s="1"/>
  <c r="G207" i="2"/>
  <c r="H207" i="2" s="1"/>
  <c r="K207" i="2" s="1"/>
  <c r="D209" i="15" s="1"/>
  <c r="G223" i="2"/>
  <c r="H223" i="2" s="1"/>
  <c r="K223" i="2" s="1"/>
  <c r="D225" i="15" s="1"/>
  <c r="G239" i="2"/>
  <c r="H239" i="2" s="1"/>
  <c r="K239" i="2" s="1"/>
  <c r="D241" i="15" s="1"/>
  <c r="G314" i="2"/>
  <c r="H314" i="2" s="1"/>
  <c r="K314" i="2" s="1"/>
  <c r="D316" i="15" s="1"/>
  <c r="G113" i="2"/>
  <c r="H113" i="2" s="1"/>
  <c r="K113" i="2" s="1"/>
  <c r="D115" i="15" s="1"/>
  <c r="G138" i="2"/>
  <c r="H138" i="2" s="1"/>
  <c r="K138" i="2" s="1"/>
  <c r="D140" i="15" s="1"/>
  <c r="G177" i="2"/>
  <c r="H177" i="2" s="1"/>
  <c r="K177" i="2" s="1"/>
  <c r="D179" i="15" s="1"/>
  <c r="G197" i="2"/>
  <c r="H197" i="2" s="1"/>
  <c r="K197" i="2" s="1"/>
  <c r="D199" i="15" s="1"/>
  <c r="G213" i="2"/>
  <c r="H213" i="2" s="1"/>
  <c r="K213" i="2" s="1"/>
  <c r="D215" i="15" s="1"/>
  <c r="G229" i="2"/>
  <c r="H229" i="2" s="1"/>
  <c r="K229" i="2" s="1"/>
  <c r="D231" i="15" s="1"/>
  <c r="G245" i="2"/>
  <c r="H245" i="2" s="1"/>
  <c r="K245" i="2" s="1"/>
  <c r="D247" i="15" s="1"/>
  <c r="G249" i="2"/>
  <c r="H249" i="2" s="1"/>
  <c r="K249" i="2" s="1"/>
  <c r="D251" i="15" s="1"/>
  <c r="G253" i="2"/>
  <c r="H253" i="2" s="1"/>
  <c r="K253" i="2" s="1"/>
  <c r="D255" i="15" s="1"/>
  <c r="G257" i="2"/>
  <c r="H257" i="2" s="1"/>
  <c r="K257" i="2" s="1"/>
  <c r="D259" i="15" s="1"/>
  <c r="G261" i="2"/>
  <c r="H261" i="2" s="1"/>
  <c r="K261" i="2" s="1"/>
  <c r="D263" i="15" s="1"/>
  <c r="G163" i="2"/>
  <c r="H163" i="2" s="1"/>
  <c r="K163" i="2" s="1"/>
  <c r="D165" i="15" s="1"/>
  <c r="G168" i="2"/>
  <c r="H168" i="2" s="1"/>
  <c r="K168" i="2" s="1"/>
  <c r="D170" i="15" s="1"/>
  <c r="G203" i="2"/>
  <c r="H203" i="2" s="1"/>
  <c r="K203" i="2" s="1"/>
  <c r="D205" i="15" s="1"/>
  <c r="G219" i="2"/>
  <c r="H219" i="2" s="1"/>
  <c r="K219" i="2" s="1"/>
  <c r="D221" i="15" s="1"/>
  <c r="G235" i="2"/>
  <c r="H235" i="2" s="1"/>
  <c r="K235" i="2" s="1"/>
  <c r="D237" i="15" s="1"/>
  <c r="G129" i="2"/>
  <c r="H129" i="2" s="1"/>
  <c r="K129" i="2" s="1"/>
  <c r="D131" i="15" s="1"/>
  <c r="G154" i="2"/>
  <c r="H154" i="2" s="1"/>
  <c r="K154" i="2" s="1"/>
  <c r="D156" i="15" s="1"/>
  <c r="G193" i="2"/>
  <c r="H193" i="2" s="1"/>
  <c r="K193" i="2" s="1"/>
  <c r="D195" i="15" s="1"/>
  <c r="G209" i="2"/>
  <c r="H209" i="2" s="1"/>
  <c r="K209" i="2" s="1"/>
  <c r="D211" i="15" s="1"/>
  <c r="G225" i="2"/>
  <c r="H225" i="2" s="1"/>
  <c r="K225" i="2" s="1"/>
  <c r="D227" i="15" s="1"/>
  <c r="G241" i="2"/>
  <c r="H241" i="2" s="1"/>
  <c r="K241" i="2" s="1"/>
  <c r="D243" i="15" s="1"/>
  <c r="G231" i="2"/>
  <c r="H231" i="2" s="1"/>
  <c r="K231" i="2" s="1"/>
  <c r="D233" i="15" s="1"/>
  <c r="G120" i="2"/>
  <c r="H120" i="2" s="1"/>
  <c r="K120" i="2" s="1"/>
  <c r="D122" i="15" s="1"/>
  <c r="G170" i="2"/>
  <c r="H170" i="2" s="1"/>
  <c r="K170" i="2" s="1"/>
  <c r="D172" i="15" s="1"/>
  <c r="G259" i="2"/>
  <c r="H259" i="2" s="1"/>
  <c r="K259" i="2" s="1"/>
  <c r="D261" i="15" s="1"/>
  <c r="G115" i="2"/>
  <c r="H115" i="2" s="1"/>
  <c r="K115" i="2" s="1"/>
  <c r="D117" i="15" s="1"/>
  <c r="G247" i="2"/>
  <c r="H247" i="2" s="1"/>
  <c r="K247" i="2" s="1"/>
  <c r="D249" i="15" s="1"/>
  <c r="G184" i="2"/>
  <c r="H184" i="2" s="1"/>
  <c r="K184" i="2" s="1"/>
  <c r="D186" i="15" s="1"/>
  <c r="G205" i="2"/>
  <c r="H205" i="2" s="1"/>
  <c r="K205" i="2" s="1"/>
  <c r="D207" i="15" s="1"/>
  <c r="G179" i="2"/>
  <c r="H179" i="2" s="1"/>
  <c r="K179" i="2" s="1"/>
  <c r="D181" i="15" s="1"/>
  <c r="G199" i="2"/>
  <c r="H199" i="2" s="1"/>
  <c r="K199" i="2" s="1"/>
  <c r="D201" i="15" s="1"/>
  <c r="G255" i="2"/>
  <c r="H255" i="2" s="1"/>
  <c r="K255" i="2" s="1"/>
  <c r="D257" i="15" s="1"/>
  <c r="G106" i="2"/>
  <c r="H106" i="2" s="1"/>
  <c r="K106" i="2" s="1"/>
  <c r="D108" i="15" s="1"/>
  <c r="G145" i="2"/>
  <c r="H145" i="2" s="1"/>
  <c r="K145" i="2" s="1"/>
  <c r="D147" i="15" s="1"/>
  <c r="G221" i="2"/>
  <c r="H221" i="2" s="1"/>
  <c r="K221" i="2" s="1"/>
  <c r="D223" i="15" s="1"/>
  <c r="G100" i="2"/>
  <c r="H100" i="2" s="1"/>
  <c r="K100" i="2" s="1"/>
  <c r="D102" i="15" s="1"/>
  <c r="G215" i="2"/>
  <c r="H215" i="2" s="1"/>
  <c r="K215" i="2" s="1"/>
  <c r="D217" i="15" s="1"/>
  <c r="G263" i="2"/>
  <c r="H263" i="2" s="1"/>
  <c r="K263" i="2" s="1"/>
  <c r="D265" i="15" s="1"/>
  <c r="F3" i="2"/>
  <c r="J3" i="2" s="1"/>
  <c r="G251" i="2"/>
  <c r="H251" i="2" s="1"/>
  <c r="K251" i="2" s="1"/>
  <c r="D253" i="15" s="1"/>
  <c r="G237" i="2"/>
  <c r="H237" i="2" s="1"/>
  <c r="K237" i="2" s="1"/>
  <c r="D239" i="15" s="1"/>
  <c r="G306" i="2"/>
  <c r="H306" i="2" s="1"/>
  <c r="K306" i="2" s="1"/>
  <c r="G311" i="2"/>
  <c r="H311" i="2" s="1"/>
  <c r="K311" i="2" s="1"/>
  <c r="D313" i="15" s="1"/>
  <c r="G299" i="2"/>
  <c r="H299" i="2" s="1"/>
  <c r="K299" i="2" s="1"/>
  <c r="D301" i="15" s="1"/>
  <c r="G303" i="2"/>
  <c r="H303" i="2" s="1"/>
  <c r="K303" i="2" s="1"/>
  <c r="D305" i="15" s="1"/>
  <c r="G309" i="2"/>
  <c r="H309" i="2" s="1"/>
  <c r="K309" i="2" s="1"/>
  <c r="D311" i="15" s="1"/>
  <c r="G296" i="2"/>
  <c r="H296" i="2" s="1"/>
  <c r="K296" i="2" s="1"/>
  <c r="D298" i="15" s="1"/>
  <c r="G279" i="2"/>
  <c r="H279" i="2" s="1"/>
  <c r="K279" i="2" s="1"/>
  <c r="D281" i="15" s="1"/>
  <c r="G288" i="2"/>
  <c r="H288" i="2" s="1"/>
  <c r="K288" i="2" s="1"/>
  <c r="D290" i="15" s="1"/>
  <c r="G298" i="2"/>
  <c r="H298" i="2" s="1"/>
  <c r="K298" i="2" s="1"/>
  <c r="D300" i="15" s="1"/>
  <c r="G283" i="2"/>
  <c r="H283" i="2" s="1"/>
  <c r="K283" i="2" s="1"/>
  <c r="D285" i="15" s="1"/>
  <c r="G300" i="2"/>
  <c r="H300" i="2" s="1"/>
  <c r="K300" i="2" s="1"/>
  <c r="D302" i="15" s="1"/>
  <c r="G281" i="2"/>
  <c r="H281" i="2" s="1"/>
  <c r="K281" i="2" s="1"/>
  <c r="D283" i="15" s="1"/>
  <c r="G312" i="2"/>
  <c r="H312" i="2" s="1"/>
  <c r="K312" i="2" s="1"/>
  <c r="D314" i="15" s="1"/>
  <c r="G295" i="2"/>
  <c r="H295" i="2" s="1"/>
  <c r="K295" i="2" s="1"/>
  <c r="D297" i="15" s="1"/>
  <c r="G307" i="2"/>
  <c r="H307" i="2" s="1"/>
  <c r="K307" i="2" s="1"/>
  <c r="D309" i="15" s="1"/>
  <c r="G305" i="2"/>
  <c r="H305" i="2" s="1"/>
  <c r="K305" i="2" s="1"/>
  <c r="G304" i="2"/>
  <c r="H304" i="2" s="1"/>
  <c r="K304" i="2" s="1"/>
  <c r="D306" i="15" s="1"/>
  <c r="G301" i="2"/>
  <c r="H301" i="2" s="1"/>
  <c r="K301" i="2" s="1"/>
  <c r="D303" i="15" s="1"/>
  <c r="G282" i="2"/>
  <c r="H282" i="2" s="1"/>
  <c r="K282" i="2" s="1"/>
  <c r="D284" i="15" s="1"/>
  <c r="G308" i="2"/>
  <c r="H308" i="2" s="1"/>
  <c r="K308" i="2" s="1"/>
  <c r="D310" i="15" s="1"/>
  <c r="G286" i="2"/>
  <c r="H286" i="2" s="1"/>
  <c r="K286" i="2" s="1"/>
  <c r="D288" i="15" s="1"/>
  <c r="G290" i="2"/>
  <c r="H290" i="2" s="1"/>
  <c r="K290" i="2" s="1"/>
  <c r="G310" i="2"/>
  <c r="H310" i="2" s="1"/>
  <c r="K310" i="2" s="1"/>
  <c r="D312" i="15" s="1"/>
  <c r="G284" i="2"/>
  <c r="H284" i="2" s="1"/>
  <c r="K284" i="2" s="1"/>
  <c r="D286" i="15" s="1"/>
  <c r="G280" i="2"/>
  <c r="H280" i="2" s="1"/>
  <c r="K280" i="2" s="1"/>
  <c r="D282" i="15" s="1"/>
  <c r="G292" i="2"/>
  <c r="H292" i="2" s="1"/>
  <c r="K292" i="2" s="1"/>
  <c r="D294" i="15" s="1"/>
  <c r="G294" i="2"/>
  <c r="H294" i="2" s="1"/>
  <c r="K294" i="2" s="1"/>
  <c r="G313" i="2"/>
  <c r="H313" i="2" s="1"/>
  <c r="K313" i="2" s="1"/>
  <c r="D315" i="15" s="1"/>
  <c r="G302" i="2"/>
  <c r="H302" i="2" s="1"/>
  <c r="K302" i="2" s="1"/>
  <c r="D304" i="15" s="1"/>
  <c r="F273" i="11"/>
  <c r="G21" i="2"/>
  <c r="H21" i="2" s="1"/>
  <c r="K21" i="2" s="1"/>
  <c r="D23" i="15" s="1"/>
  <c r="G53" i="2"/>
  <c r="H53" i="2" s="1"/>
  <c r="K53" i="2" s="1"/>
  <c r="D55" i="15" s="1"/>
  <c r="G85" i="2"/>
  <c r="H85" i="2" s="1"/>
  <c r="K85" i="2" s="1"/>
  <c r="D87" i="15" s="1"/>
  <c r="G89" i="2"/>
  <c r="H89" i="2" s="1"/>
  <c r="K89" i="2" s="1"/>
  <c r="D91" i="15" s="1"/>
  <c r="G43" i="2"/>
  <c r="H43" i="2" s="1"/>
  <c r="K43" i="2" s="1"/>
  <c r="D45" i="15" s="1"/>
  <c r="G75" i="2"/>
  <c r="H75" i="2" s="1"/>
  <c r="K75" i="2" s="1"/>
  <c r="D77" i="15" s="1"/>
  <c r="G31" i="2"/>
  <c r="H31" i="2" s="1"/>
  <c r="K31" i="2" s="1"/>
  <c r="D33" i="15" s="1"/>
  <c r="C315" i="15"/>
  <c r="G291" i="2"/>
  <c r="H291" i="2" s="1"/>
  <c r="K291" i="2" s="1"/>
  <c r="D293" i="15" s="1"/>
  <c r="G283" i="9"/>
  <c r="H283" i="9" s="1"/>
  <c r="K283" i="9" s="1"/>
  <c r="E285" i="15" s="1"/>
  <c r="G57" i="2"/>
  <c r="H57" i="2" s="1"/>
  <c r="K57" i="2" s="1"/>
  <c r="D59" i="15" s="1"/>
  <c r="G47" i="2"/>
  <c r="H47" i="2" s="1"/>
  <c r="K47" i="2" s="1"/>
  <c r="D49" i="15" s="1"/>
  <c r="G25" i="2"/>
  <c r="H25" i="2" s="1"/>
  <c r="K25" i="2" s="1"/>
  <c r="D27" i="15" s="1"/>
  <c r="G289" i="2"/>
  <c r="H289" i="2" s="1"/>
  <c r="K289" i="2" s="1"/>
  <c r="D291" i="15" s="1"/>
  <c r="G7" i="2"/>
  <c r="H7" i="2" s="1"/>
  <c r="K7" i="2" s="1"/>
  <c r="D9" i="15" s="1"/>
  <c r="F7" i="2"/>
  <c r="J7" i="2" s="1"/>
  <c r="G91" i="2"/>
  <c r="H91" i="2" s="1"/>
  <c r="K91" i="2" s="1"/>
  <c r="D93" i="15" s="1"/>
  <c r="G105" i="2"/>
  <c r="H105" i="2" s="1"/>
  <c r="K105" i="2" s="1"/>
  <c r="D107" i="15" s="1"/>
  <c r="G79" i="2"/>
  <c r="H79" i="2" s="1"/>
  <c r="K79" i="2" s="1"/>
  <c r="D81" i="15" s="1"/>
  <c r="G42" i="9"/>
  <c r="H42" i="9" s="1"/>
  <c r="K42" i="9" s="1"/>
  <c r="E44" i="15" s="1"/>
  <c r="G139" i="9"/>
  <c r="H139" i="9" s="1"/>
  <c r="K139" i="9" s="1"/>
  <c r="E141" i="15" s="1"/>
  <c r="G104" i="9"/>
  <c r="H104" i="9" s="1"/>
  <c r="K104" i="9" s="1"/>
  <c r="E106" i="15" s="1"/>
  <c r="G40" i="9"/>
  <c r="H40" i="9" s="1"/>
  <c r="K40" i="9" s="1"/>
  <c r="E42" i="15" s="1"/>
  <c r="G63" i="9"/>
  <c r="H63" i="9" s="1"/>
  <c r="K63" i="9" s="1"/>
  <c r="E65" i="15" s="1"/>
  <c r="G100" i="9"/>
  <c r="H100" i="9" s="1"/>
  <c r="K100" i="9" s="1"/>
  <c r="E102" i="15" s="1"/>
  <c r="G36" i="9"/>
  <c r="H36" i="9" s="1"/>
  <c r="K36" i="9" s="1"/>
  <c r="E38" i="15" s="1"/>
  <c r="G81" i="9"/>
  <c r="H81" i="9" s="1"/>
  <c r="K81" i="9" s="1"/>
  <c r="E83" i="15" s="1"/>
  <c r="G17" i="9"/>
  <c r="H17" i="9" s="1"/>
  <c r="K17" i="9" s="1"/>
  <c r="E19" i="15" s="1"/>
  <c r="G34" i="9"/>
  <c r="H34" i="9" s="1"/>
  <c r="K34" i="9" s="1"/>
  <c r="E36" i="15" s="1"/>
  <c r="G135" i="9"/>
  <c r="H135" i="9" s="1"/>
  <c r="K135" i="9" s="1"/>
  <c r="E137" i="15" s="1"/>
  <c r="G107" i="2"/>
  <c r="H107" i="2" s="1"/>
  <c r="K107" i="2" s="1"/>
  <c r="D109" i="15" s="1"/>
  <c r="G61" i="2"/>
  <c r="H61" i="2" s="1"/>
  <c r="K61" i="2" s="1"/>
  <c r="D63" i="15" s="1"/>
  <c r="G17" i="2"/>
  <c r="H17" i="2" s="1"/>
  <c r="K17" i="2" s="1"/>
  <c r="D19" i="15" s="1"/>
  <c r="G14" i="2"/>
  <c r="H14" i="2" s="1"/>
  <c r="K14" i="2" s="1"/>
  <c r="D16" i="15" s="1"/>
  <c r="G51" i="2"/>
  <c r="H51" i="2" s="1"/>
  <c r="K51" i="2" s="1"/>
  <c r="D53" i="15" s="1"/>
  <c r="G83" i="2"/>
  <c r="H83" i="2" s="1"/>
  <c r="K83" i="2" s="1"/>
  <c r="D85" i="15" s="1"/>
  <c r="G293" i="2"/>
  <c r="H293" i="2" s="1"/>
  <c r="K293" i="2" s="1"/>
  <c r="D295" i="15" s="1"/>
  <c r="I320" i="1"/>
  <c r="J320" i="1" s="1"/>
  <c r="J365" i="11" l="1"/>
  <c r="J403" i="11"/>
  <c r="J386" i="11"/>
  <c r="J398" i="11"/>
  <c r="J372" i="11"/>
  <c r="J375" i="11"/>
  <c r="J390" i="11"/>
  <c r="K360" i="15"/>
  <c r="J358" i="11"/>
  <c r="J356" i="11"/>
  <c r="J352" i="11"/>
  <c r="J384" i="11"/>
  <c r="J353" i="11"/>
  <c r="J379" i="11"/>
  <c r="J388" i="11"/>
  <c r="J351" i="11"/>
  <c r="J395" i="11"/>
  <c r="J348" i="11"/>
  <c r="J357" i="11"/>
  <c r="J355" i="11"/>
  <c r="J380" i="11"/>
  <c r="J389" i="11"/>
  <c r="J362" i="11"/>
  <c r="J391" i="11"/>
  <c r="J360" i="11"/>
  <c r="J349" i="11"/>
  <c r="J350" i="11"/>
  <c r="J402" i="11"/>
  <c r="J385" i="11"/>
  <c r="J394" i="11"/>
  <c r="J397" i="11"/>
  <c r="J359" i="11"/>
  <c r="J400" i="11"/>
  <c r="J392" i="11"/>
  <c r="J406" i="11"/>
  <c r="J366" i="11"/>
  <c r="G356" i="11"/>
  <c r="H356" i="11" s="1"/>
  <c r="K356" i="11" s="1"/>
  <c r="F358" i="15" s="1"/>
  <c r="K358" i="15" s="1"/>
  <c r="G391" i="11"/>
  <c r="H391" i="11" s="1"/>
  <c r="K391" i="11" s="1"/>
  <c r="G404" i="11"/>
  <c r="H404" i="11" s="1"/>
  <c r="K404" i="11" s="1"/>
  <c r="G361" i="11"/>
  <c r="H361" i="11" s="1"/>
  <c r="K361" i="11" s="1"/>
  <c r="G376" i="11"/>
  <c r="H376" i="11" s="1"/>
  <c r="K376" i="11" s="1"/>
  <c r="G399" i="11"/>
  <c r="H399" i="11" s="1"/>
  <c r="K399" i="11" s="1"/>
  <c r="G384" i="11"/>
  <c r="H384" i="11" s="1"/>
  <c r="K384" i="11" s="1"/>
  <c r="G355" i="11"/>
  <c r="H355" i="11" s="1"/>
  <c r="K355" i="11" s="1"/>
  <c r="F357" i="15" s="1"/>
  <c r="K357" i="15" s="1"/>
  <c r="G401" i="11"/>
  <c r="H401" i="11" s="1"/>
  <c r="K401" i="11" s="1"/>
  <c r="G360" i="11"/>
  <c r="H360" i="11" s="1"/>
  <c r="K360" i="11" s="1"/>
  <c r="G367" i="11"/>
  <c r="H367" i="11" s="1"/>
  <c r="K367" i="11" s="1"/>
  <c r="G377" i="11"/>
  <c r="H377" i="11" s="1"/>
  <c r="K377" i="11" s="1"/>
  <c r="G380" i="11"/>
  <c r="H380" i="11" s="1"/>
  <c r="K380" i="11" s="1"/>
  <c r="G348" i="11"/>
  <c r="H348" i="11" s="1"/>
  <c r="K348" i="11" s="1"/>
  <c r="F350" i="15" s="1"/>
  <c r="K350" i="15" s="1"/>
  <c r="G383" i="11"/>
  <c r="H383" i="11" s="1"/>
  <c r="K383" i="11" s="1"/>
  <c r="G396" i="11"/>
  <c r="H396" i="11" s="1"/>
  <c r="K396" i="11" s="1"/>
  <c r="G368" i="11"/>
  <c r="H368" i="11" s="1"/>
  <c r="K368" i="11" s="1"/>
  <c r="G363" i="11"/>
  <c r="H363" i="11" s="1"/>
  <c r="K363" i="11" s="1"/>
  <c r="G369" i="11"/>
  <c r="H369" i="11" s="1"/>
  <c r="K369" i="11" s="1"/>
  <c r="G375" i="11"/>
  <c r="H375" i="11" s="1"/>
  <c r="K375" i="11" s="1"/>
  <c r="G389" i="11"/>
  <c r="H389" i="11" s="1"/>
  <c r="K389" i="11" s="1"/>
  <c r="G365" i="11"/>
  <c r="H365" i="11" s="1"/>
  <c r="K365" i="11" s="1"/>
  <c r="G352" i="11"/>
  <c r="H352" i="11" s="1"/>
  <c r="K352" i="11" s="1"/>
  <c r="F354" i="15" s="1"/>
  <c r="K354" i="15" s="1"/>
  <c r="G374" i="11"/>
  <c r="H374" i="11" s="1"/>
  <c r="K374" i="11" s="1"/>
  <c r="G400" i="11"/>
  <c r="H400" i="11" s="1"/>
  <c r="K400" i="11" s="1"/>
  <c r="G373" i="11"/>
  <c r="H373" i="11" s="1"/>
  <c r="K373" i="11" s="1"/>
  <c r="G381" i="11"/>
  <c r="H381" i="11" s="1"/>
  <c r="K381" i="11" s="1"/>
  <c r="G394" i="11"/>
  <c r="H394" i="11" s="1"/>
  <c r="K394" i="11" s="1"/>
  <c r="G371" i="11"/>
  <c r="H371" i="11" s="1"/>
  <c r="K371" i="11" s="1"/>
  <c r="G350" i="11"/>
  <c r="H350" i="11" s="1"/>
  <c r="K350" i="11" s="1"/>
  <c r="F352" i="15" s="1"/>
  <c r="K352" i="15" s="1"/>
  <c r="G362" i="11"/>
  <c r="H362" i="11" s="1"/>
  <c r="K362" i="11" s="1"/>
  <c r="G387" i="11"/>
  <c r="H387" i="11" s="1"/>
  <c r="K387" i="11" s="1"/>
  <c r="G349" i="11"/>
  <c r="H349" i="11" s="1"/>
  <c r="K349" i="11" s="1"/>
  <c r="F351" i="15" s="1"/>
  <c r="K351" i="15" s="1"/>
  <c r="G370" i="11"/>
  <c r="H370" i="11" s="1"/>
  <c r="K370" i="11" s="1"/>
  <c r="G382" i="11"/>
  <c r="H382" i="11" s="1"/>
  <c r="K382" i="11" s="1"/>
  <c r="G366" i="11"/>
  <c r="H366" i="11" s="1"/>
  <c r="K366" i="11" s="1"/>
  <c r="G392" i="11"/>
  <c r="H392" i="11" s="1"/>
  <c r="K392" i="11" s="1"/>
  <c r="G406" i="11"/>
  <c r="H406" i="11" s="1"/>
  <c r="K406" i="11" s="1"/>
  <c r="G358" i="11"/>
  <c r="H358" i="11" s="1"/>
  <c r="K358" i="11" s="1"/>
  <c r="G405" i="11"/>
  <c r="H405" i="11" s="1"/>
  <c r="K405" i="11" s="1"/>
  <c r="G357" i="11"/>
  <c r="H357" i="11" s="1"/>
  <c r="K357" i="11" s="1"/>
  <c r="G388" i="11"/>
  <c r="H388" i="11" s="1"/>
  <c r="K388" i="11" s="1"/>
  <c r="G353" i="11"/>
  <c r="H353" i="11" s="1"/>
  <c r="K353" i="11" s="1"/>
  <c r="F355" i="15" s="1"/>
  <c r="K355" i="15" s="1"/>
  <c r="G379" i="11"/>
  <c r="H379" i="11" s="1"/>
  <c r="K379" i="11" s="1"/>
  <c r="G351" i="11"/>
  <c r="H351" i="11" s="1"/>
  <c r="K351" i="11" s="1"/>
  <c r="F353" i="15" s="1"/>
  <c r="G402" i="11"/>
  <c r="H402" i="11" s="1"/>
  <c r="K402" i="11" s="1"/>
  <c r="G359" i="11"/>
  <c r="H359" i="11" s="1"/>
  <c r="K359" i="11" s="1"/>
  <c r="G393" i="11"/>
  <c r="H393" i="11" s="1"/>
  <c r="K393" i="11" s="1"/>
  <c r="G354" i="11"/>
  <c r="H354" i="11" s="1"/>
  <c r="K354" i="11" s="1"/>
  <c r="F356" i="15" s="1"/>
  <c r="K356" i="15" s="1"/>
  <c r="G378" i="11"/>
  <c r="H378" i="11" s="1"/>
  <c r="K378" i="11" s="1"/>
  <c r="G386" i="11"/>
  <c r="H386" i="11" s="1"/>
  <c r="K386" i="11" s="1"/>
  <c r="G372" i="11"/>
  <c r="H372" i="11" s="1"/>
  <c r="K372" i="11" s="1"/>
  <c r="G397" i="11"/>
  <c r="H397" i="11" s="1"/>
  <c r="K397" i="11" s="1"/>
  <c r="G398" i="11"/>
  <c r="H398" i="11" s="1"/>
  <c r="K398" i="11" s="1"/>
  <c r="G403" i="11"/>
  <c r="H403" i="11" s="1"/>
  <c r="K403" i="11" s="1"/>
  <c r="G395" i="11"/>
  <c r="H395" i="11" s="1"/>
  <c r="K395" i="11" s="1"/>
  <c r="G364" i="11"/>
  <c r="H364" i="11" s="1"/>
  <c r="K364" i="11" s="1"/>
  <c r="G390" i="11"/>
  <c r="H390" i="11" s="1"/>
  <c r="K390" i="11" s="1"/>
  <c r="G385" i="11"/>
  <c r="H385" i="11" s="1"/>
  <c r="K385" i="11" s="1"/>
  <c r="J370" i="11"/>
  <c r="J393" i="11"/>
  <c r="J382" i="11"/>
  <c r="J387" i="11"/>
  <c r="J368" i="11"/>
  <c r="J399" i="11"/>
  <c r="J404" i="11"/>
  <c r="J381" i="11"/>
  <c r="J383" i="11"/>
  <c r="J374" i="11"/>
  <c r="J377" i="11"/>
  <c r="J371" i="11"/>
  <c r="J354" i="11"/>
  <c r="J376" i="11"/>
  <c r="J401" i="11"/>
  <c r="J373" i="11"/>
  <c r="J378" i="11"/>
  <c r="J369" i="11"/>
  <c r="J396" i="11"/>
  <c r="J405" i="11"/>
  <c r="J363" i="11"/>
  <c r="J367" i="11"/>
  <c r="J364" i="11"/>
  <c r="J361" i="11"/>
  <c r="K390" i="15"/>
  <c r="K398" i="15"/>
  <c r="D11" i="15"/>
  <c r="K9" i="2"/>
  <c r="K408" i="15"/>
  <c r="K394" i="15"/>
  <c r="K397" i="15"/>
  <c r="K407" i="15"/>
  <c r="K392" i="15"/>
  <c r="K361" i="15"/>
  <c r="K353" i="15"/>
  <c r="I94" i="1"/>
  <c r="J95" i="1"/>
  <c r="K95" i="1"/>
  <c r="C97" i="15" s="1"/>
  <c r="I286" i="1"/>
  <c r="J285" i="1"/>
  <c r="K285" i="1"/>
  <c r="J120" i="11"/>
  <c r="J35" i="11"/>
  <c r="J274" i="11"/>
  <c r="J363" i="2"/>
  <c r="I364" i="2"/>
  <c r="K363" i="2"/>
  <c r="D365" i="15" s="1"/>
  <c r="K365" i="15" s="1"/>
  <c r="G347" i="11"/>
  <c r="G346" i="11"/>
  <c r="H346" i="11" s="1"/>
  <c r="K346" i="11" s="1"/>
  <c r="F348" i="15" s="1"/>
  <c r="K348" i="15" s="1"/>
  <c r="J330" i="11"/>
  <c r="J337" i="11"/>
  <c r="D328" i="15"/>
  <c r="D335" i="15"/>
  <c r="J328" i="11"/>
  <c r="J334" i="11"/>
  <c r="J336" i="11"/>
  <c r="J333" i="11"/>
  <c r="J332" i="11"/>
  <c r="E335" i="15"/>
  <c r="J329" i="11"/>
  <c r="G344" i="11"/>
  <c r="G345" i="11"/>
  <c r="G340" i="11"/>
  <c r="G342" i="11"/>
  <c r="G336" i="11"/>
  <c r="H336" i="11" s="1"/>
  <c r="K336" i="11" s="1"/>
  <c r="F338" i="15" s="1"/>
  <c r="K338" i="15" s="1"/>
  <c r="G337" i="11"/>
  <c r="H337" i="11" s="1"/>
  <c r="K337" i="11" s="1"/>
  <c r="F339" i="15" s="1"/>
  <c r="K339" i="15" s="1"/>
  <c r="G341" i="11"/>
  <c r="G335" i="11"/>
  <c r="H335" i="11" s="1"/>
  <c r="K335" i="11" s="1"/>
  <c r="F337" i="15" s="1"/>
  <c r="K337" i="15" s="1"/>
  <c r="G332" i="11"/>
  <c r="H332" i="11" s="1"/>
  <c r="K332" i="11" s="1"/>
  <c r="F334" i="15" s="1"/>
  <c r="K334" i="15" s="1"/>
  <c r="G333" i="11"/>
  <c r="H333" i="11" s="1"/>
  <c r="K333" i="11" s="1"/>
  <c r="G338" i="11"/>
  <c r="G334" i="11"/>
  <c r="H334" i="11" s="1"/>
  <c r="K334" i="11" s="1"/>
  <c r="F336" i="15" s="1"/>
  <c r="K336" i="15" s="1"/>
  <c r="G343" i="11"/>
  <c r="G339" i="11"/>
  <c r="G330" i="11"/>
  <c r="H330" i="11" s="1"/>
  <c r="K330" i="11" s="1"/>
  <c r="F332" i="15" s="1"/>
  <c r="K332" i="15" s="1"/>
  <c r="G329" i="11"/>
  <c r="H329" i="11" s="1"/>
  <c r="K329" i="11" s="1"/>
  <c r="F331" i="15" s="1"/>
  <c r="K331" i="15" s="1"/>
  <c r="G331" i="11"/>
  <c r="H331" i="11" s="1"/>
  <c r="K331" i="11" s="1"/>
  <c r="F333" i="15" s="1"/>
  <c r="K333" i="15" s="1"/>
  <c r="G328" i="11"/>
  <c r="H328" i="11" s="1"/>
  <c r="K328" i="11" s="1"/>
  <c r="F330" i="15" s="1"/>
  <c r="K330" i="15" s="1"/>
  <c r="E328" i="15"/>
  <c r="J331" i="11"/>
  <c r="J335" i="11"/>
  <c r="J248" i="11"/>
  <c r="J98" i="11"/>
  <c r="J326" i="11"/>
  <c r="J190" i="11"/>
  <c r="G327" i="11"/>
  <c r="H327" i="11" s="1"/>
  <c r="K327" i="11" s="1"/>
  <c r="F329" i="15" s="1"/>
  <c r="K329" i="15" s="1"/>
  <c r="G326" i="11"/>
  <c r="H326" i="11" s="1"/>
  <c r="K326" i="11" s="1"/>
  <c r="J327" i="11"/>
  <c r="G324" i="11"/>
  <c r="H324" i="11" s="1"/>
  <c r="K324" i="11" s="1"/>
  <c r="F326" i="15" s="1"/>
  <c r="G322" i="11"/>
  <c r="H322" i="11" s="1"/>
  <c r="K322" i="11" s="1"/>
  <c r="F324" i="15" s="1"/>
  <c r="G323" i="11"/>
  <c r="H323" i="11" s="1"/>
  <c r="K323" i="11" s="1"/>
  <c r="F325" i="15" s="1"/>
  <c r="G321" i="11"/>
  <c r="H321" i="11" s="1"/>
  <c r="K321" i="11" s="1"/>
  <c r="F323" i="15" s="1"/>
  <c r="G325" i="11"/>
  <c r="H325" i="11" s="1"/>
  <c r="K325" i="11" s="1"/>
  <c r="F327" i="15" s="1"/>
  <c r="J325" i="11"/>
  <c r="J323" i="11"/>
  <c r="J324" i="11"/>
  <c r="J321" i="11"/>
  <c r="J322" i="11"/>
  <c r="J40" i="11"/>
  <c r="J302" i="11"/>
  <c r="J225" i="11"/>
  <c r="J212" i="11"/>
  <c r="J50" i="11"/>
  <c r="J187" i="11"/>
  <c r="J184" i="11"/>
  <c r="J78" i="11"/>
  <c r="J128" i="11"/>
  <c r="J287" i="11"/>
  <c r="J167" i="11"/>
  <c r="J293" i="11"/>
  <c r="J289" i="11"/>
  <c r="J42" i="11"/>
  <c r="J239" i="11"/>
  <c r="J240" i="11"/>
  <c r="J263" i="11"/>
  <c r="J144" i="11"/>
  <c r="J32" i="11"/>
  <c r="J176" i="11"/>
  <c r="J137" i="11"/>
  <c r="J158" i="11"/>
  <c r="J68" i="11"/>
  <c r="J133" i="11"/>
  <c r="J255" i="11"/>
  <c r="J215" i="11"/>
  <c r="J238" i="11"/>
  <c r="J312" i="11"/>
  <c r="J33" i="11"/>
  <c r="J318" i="11"/>
  <c r="J196" i="11"/>
  <c r="J253" i="11"/>
  <c r="J114" i="11"/>
  <c r="J191" i="11"/>
  <c r="J13" i="11"/>
  <c r="J156" i="11"/>
  <c r="J64" i="11"/>
  <c r="J177" i="11"/>
  <c r="J301" i="11"/>
  <c r="F2" i="11"/>
  <c r="J2" i="11" s="1"/>
  <c r="G318" i="11"/>
  <c r="H318" i="11" s="1"/>
  <c r="K318" i="11" s="1"/>
  <c r="F320" i="15" s="1"/>
  <c r="K320" i="15" s="1"/>
  <c r="G317" i="11"/>
  <c r="H317" i="11" s="1"/>
  <c r="K317" i="11" s="1"/>
  <c r="F319" i="15" s="1"/>
  <c r="K319" i="15" s="1"/>
  <c r="J84" i="11"/>
  <c r="J273" i="11"/>
  <c r="J295" i="11"/>
  <c r="J72" i="11"/>
  <c r="J55" i="11"/>
  <c r="J259" i="11"/>
  <c r="J252" i="11"/>
  <c r="J214" i="11"/>
  <c r="J303" i="11"/>
  <c r="J96" i="11"/>
  <c r="J141" i="11"/>
  <c r="J256" i="11"/>
  <c r="J268" i="11"/>
  <c r="J80" i="11"/>
  <c r="J213" i="11"/>
  <c r="J25" i="11"/>
  <c r="J251" i="11"/>
  <c r="J14" i="11"/>
  <c r="J118" i="11"/>
  <c r="J49" i="11"/>
  <c r="J12" i="11"/>
  <c r="J76" i="11"/>
  <c r="J173" i="11"/>
  <c r="J70" i="11"/>
  <c r="J155" i="11"/>
  <c r="J113" i="11"/>
  <c r="J317" i="11"/>
  <c r="J278" i="11"/>
  <c r="J172" i="11"/>
  <c r="J228" i="11"/>
  <c r="J46" i="11"/>
  <c r="J218" i="11"/>
  <c r="J180" i="11"/>
  <c r="J250" i="11"/>
  <c r="J203" i="11"/>
  <c r="J15" i="11"/>
  <c r="J149" i="11"/>
  <c r="J260" i="11"/>
  <c r="J122" i="11"/>
  <c r="J87" i="11"/>
  <c r="J97" i="11"/>
  <c r="J124" i="11"/>
  <c r="J125" i="11"/>
  <c r="J85" i="11"/>
  <c r="J147" i="11"/>
  <c r="J18" i="11"/>
  <c r="J247" i="11"/>
  <c r="J6" i="11"/>
  <c r="J232" i="11"/>
  <c r="J107" i="11"/>
  <c r="J307" i="11"/>
  <c r="J142" i="11"/>
  <c r="J38" i="11"/>
  <c r="J237" i="11"/>
  <c r="J127" i="11"/>
  <c r="J257" i="11"/>
  <c r="J129" i="11"/>
  <c r="J258" i="11"/>
  <c r="J58" i="11"/>
  <c r="J267" i="11"/>
  <c r="J45" i="11"/>
  <c r="J245" i="11"/>
  <c r="J197" i="11"/>
  <c r="J231" i="11"/>
  <c r="J39" i="11"/>
  <c r="J22" i="11"/>
  <c r="J283" i="11"/>
  <c r="J296" i="11"/>
  <c r="J291" i="11"/>
  <c r="J305" i="11"/>
  <c r="J19" i="11"/>
  <c r="J294" i="11"/>
  <c r="J242" i="11"/>
  <c r="J148" i="11"/>
  <c r="J171" i="11"/>
  <c r="J126" i="11"/>
  <c r="J109" i="11"/>
  <c r="J56" i="11"/>
  <c r="J123" i="11"/>
  <c r="J139" i="11"/>
  <c r="J202" i="11"/>
  <c r="J315" i="11"/>
  <c r="J209" i="11"/>
  <c r="J186" i="11"/>
  <c r="J246" i="11"/>
  <c r="J270" i="11"/>
  <c r="J102" i="11"/>
  <c r="J206" i="11"/>
  <c r="J241" i="11"/>
  <c r="J83" i="11"/>
  <c r="J5" i="11"/>
  <c r="J313" i="11"/>
  <c r="J151" i="11"/>
  <c r="J119" i="11"/>
  <c r="J189" i="11"/>
  <c r="J89" i="11"/>
  <c r="J104" i="11"/>
  <c r="J161" i="11"/>
  <c r="J271" i="11"/>
  <c r="J168" i="11"/>
  <c r="J66" i="11"/>
  <c r="J23" i="11"/>
  <c r="J62" i="11"/>
  <c r="J235" i="11"/>
  <c r="J30" i="11"/>
  <c r="J254" i="11"/>
  <c r="J99" i="11"/>
  <c r="J17" i="11"/>
  <c r="J183" i="11"/>
  <c r="J47" i="11"/>
  <c r="J59" i="11"/>
  <c r="J282" i="11"/>
  <c r="J65" i="11"/>
  <c r="J281" i="11"/>
  <c r="J222" i="11"/>
  <c r="J236" i="11"/>
  <c r="J110" i="11"/>
  <c r="J224" i="11"/>
  <c r="J41" i="11"/>
  <c r="J314" i="11"/>
  <c r="J34" i="11"/>
  <c r="J275" i="11"/>
  <c r="J249" i="11"/>
  <c r="J163" i="11"/>
  <c r="J300" i="11"/>
  <c r="J11" i="11"/>
  <c r="J192" i="11"/>
  <c r="J117" i="11"/>
  <c r="J276" i="11"/>
  <c r="J94" i="11"/>
  <c r="J229" i="11"/>
  <c r="J217" i="11"/>
  <c r="J91" i="11"/>
  <c r="J103" i="11"/>
  <c r="J234" i="11"/>
  <c r="J27" i="11"/>
  <c r="J153" i="11"/>
  <c r="J261" i="11"/>
  <c r="J106" i="11"/>
  <c r="J181" i="11"/>
  <c r="J210" i="11"/>
  <c r="J57" i="11"/>
  <c r="J86" i="11"/>
  <c r="J108" i="11"/>
  <c r="J26" i="11"/>
  <c r="J31" i="11"/>
  <c r="J316" i="11"/>
  <c r="J185" i="11"/>
  <c r="J298" i="11"/>
  <c r="J311" i="11"/>
  <c r="J121" i="11"/>
  <c r="J266" i="11"/>
  <c r="J53" i="11"/>
  <c r="J201" i="11"/>
  <c r="J277" i="11"/>
  <c r="J182" i="11"/>
  <c r="J81" i="11"/>
  <c r="J166" i="11"/>
  <c r="J272" i="11"/>
  <c r="J227" i="11"/>
  <c r="J150" i="11"/>
  <c r="J160" i="11"/>
  <c r="J199" i="11"/>
  <c r="J92" i="11"/>
  <c r="J211" i="11"/>
  <c r="J290" i="11"/>
  <c r="J4" i="11"/>
  <c r="J75" i="11"/>
  <c r="J205" i="11"/>
  <c r="J143" i="11"/>
  <c r="J288" i="11"/>
  <c r="J188" i="11"/>
  <c r="J130" i="11"/>
  <c r="J29" i="11"/>
  <c r="J44" i="11"/>
  <c r="J112" i="11"/>
  <c r="J95" i="11"/>
  <c r="J37" i="11"/>
  <c r="J10" i="11"/>
  <c r="J179" i="11"/>
  <c r="J269" i="11"/>
  <c r="J297" i="11"/>
  <c r="J309" i="11"/>
  <c r="J145" i="11"/>
  <c r="J71" i="11"/>
  <c r="J146" i="11"/>
  <c r="J61" i="11"/>
  <c r="J82" i="11"/>
  <c r="J308" i="11"/>
  <c r="J198" i="11"/>
  <c r="J21" i="11"/>
  <c r="J194" i="11"/>
  <c r="J138" i="11"/>
  <c r="J233" i="11"/>
  <c r="J136" i="11"/>
  <c r="J93" i="11"/>
  <c r="J157" i="11"/>
  <c r="J195" i="11"/>
  <c r="J77" i="11"/>
  <c r="J200" i="11"/>
  <c r="J207" i="11"/>
  <c r="J159" i="11"/>
  <c r="J169" i="11"/>
  <c r="J299" i="11"/>
  <c r="J140" i="11"/>
  <c r="J28" i="11"/>
  <c r="J304" i="11"/>
  <c r="J116" i="11"/>
  <c r="J79" i="11"/>
  <c r="J216" i="11"/>
  <c r="J3" i="11"/>
  <c r="J279" i="11"/>
  <c r="J16" i="11"/>
  <c r="J9" i="11"/>
  <c r="J193" i="11"/>
  <c r="J178" i="11"/>
  <c r="J284" i="11"/>
  <c r="J20" i="11"/>
  <c r="J134" i="11"/>
  <c r="J262" i="11"/>
  <c r="J90" i="11"/>
  <c r="J36" i="11"/>
  <c r="J73" i="11"/>
  <c r="J88" i="11"/>
  <c r="J60" i="11"/>
  <c r="J175" i="11"/>
  <c r="J24" i="11"/>
  <c r="J52" i="11"/>
  <c r="J165" i="11"/>
  <c r="J48" i="11"/>
  <c r="J208" i="11"/>
  <c r="J306" i="11"/>
  <c r="J154" i="11"/>
  <c r="J51" i="11"/>
  <c r="J74" i="11"/>
  <c r="J292" i="11"/>
  <c r="J67" i="11"/>
  <c r="J170" i="11"/>
  <c r="J226" i="11"/>
  <c r="J230" i="11"/>
  <c r="J204" i="11"/>
  <c r="J280" i="11"/>
  <c r="J285" i="11"/>
  <c r="J219" i="11"/>
  <c r="J220" i="11"/>
  <c r="J43" i="11"/>
  <c r="J132" i="11"/>
  <c r="J286" i="11"/>
  <c r="J264" i="11"/>
  <c r="J223" i="11"/>
  <c r="J310" i="11"/>
  <c r="J101" i="11"/>
  <c r="J131" i="11"/>
  <c r="J111" i="11"/>
  <c r="J115" i="11"/>
  <c r="J135" i="11"/>
  <c r="J244" i="11"/>
  <c r="J221" i="11"/>
  <c r="J105" i="11"/>
  <c r="J152" i="11"/>
  <c r="J54" i="11"/>
  <c r="J69" i="11"/>
  <c r="J100" i="11"/>
  <c r="J174" i="11"/>
  <c r="J63" i="11"/>
  <c r="J164" i="11"/>
  <c r="J162" i="11"/>
  <c r="G129" i="11"/>
  <c r="H129" i="11" s="1"/>
  <c r="K129" i="11" s="1"/>
  <c r="F131" i="15" s="1"/>
  <c r="K131" i="15" s="1"/>
  <c r="G21" i="11"/>
  <c r="H21" i="11" s="1"/>
  <c r="K21" i="11" s="1"/>
  <c r="F23" i="15" s="1"/>
  <c r="G178" i="11"/>
  <c r="H178" i="11" s="1"/>
  <c r="K178" i="11" s="1"/>
  <c r="F180" i="15" s="1"/>
  <c r="K180" i="15" s="1"/>
  <c r="G267" i="11"/>
  <c r="H267" i="11" s="1"/>
  <c r="K267" i="11" s="1"/>
  <c r="F269" i="15" s="1"/>
  <c r="K269" i="15" s="1"/>
  <c r="G203" i="11"/>
  <c r="H203" i="11" s="1"/>
  <c r="K203" i="11" s="1"/>
  <c r="F205" i="15" s="1"/>
  <c r="K205" i="15" s="1"/>
  <c r="G152" i="11"/>
  <c r="H152" i="11" s="1"/>
  <c r="K152" i="11" s="1"/>
  <c r="F154" i="15" s="1"/>
  <c r="K154" i="15" s="1"/>
  <c r="G31" i="11"/>
  <c r="H31" i="11" s="1"/>
  <c r="K31" i="11" s="1"/>
  <c r="F33" i="15" s="1"/>
  <c r="G66" i="11"/>
  <c r="H66" i="11" s="1"/>
  <c r="K66" i="11" s="1"/>
  <c r="F68" i="15" s="1"/>
  <c r="G276" i="11"/>
  <c r="H276" i="11" s="1"/>
  <c r="K276" i="11" s="1"/>
  <c r="G215" i="11"/>
  <c r="H215" i="11" s="1"/>
  <c r="K215" i="11" s="1"/>
  <c r="F217" i="15" s="1"/>
  <c r="K217" i="15" s="1"/>
  <c r="G117" i="11"/>
  <c r="H117" i="11" s="1"/>
  <c r="K117" i="11" s="1"/>
  <c r="F119" i="15" s="1"/>
  <c r="K119" i="15" s="1"/>
  <c r="G51" i="11"/>
  <c r="H51" i="11" s="1"/>
  <c r="K51" i="11" s="1"/>
  <c r="F53" i="15" s="1"/>
  <c r="G92" i="11"/>
  <c r="H92" i="11" s="1"/>
  <c r="K92" i="11" s="1"/>
  <c r="F94" i="15" s="1"/>
  <c r="G133" i="11"/>
  <c r="H133" i="11" s="1"/>
  <c r="K133" i="11" s="1"/>
  <c r="F135" i="15" s="1"/>
  <c r="K135" i="15" s="1"/>
  <c r="G155" i="11"/>
  <c r="H155" i="11" s="1"/>
  <c r="K155" i="11" s="1"/>
  <c r="F157" i="15" s="1"/>
  <c r="K157" i="15" s="1"/>
  <c r="G273" i="11"/>
  <c r="H273" i="11" s="1"/>
  <c r="K273" i="11" s="1"/>
  <c r="F275" i="15" s="1"/>
  <c r="K275" i="15" s="1"/>
  <c r="G240" i="11"/>
  <c r="H240" i="11" s="1"/>
  <c r="K240" i="11" s="1"/>
  <c r="F242" i="15" s="1"/>
  <c r="K242" i="15" s="1"/>
  <c r="G22" i="11"/>
  <c r="H22" i="11" s="1"/>
  <c r="K22" i="11" s="1"/>
  <c r="F24" i="15" s="1"/>
  <c r="G38" i="11"/>
  <c r="H38" i="11" s="1"/>
  <c r="K38" i="11" s="1"/>
  <c r="F40" i="15" s="1"/>
  <c r="G190" i="11"/>
  <c r="H190" i="11" s="1"/>
  <c r="K190" i="11" s="1"/>
  <c r="F192" i="15" s="1"/>
  <c r="K192" i="15" s="1"/>
  <c r="G197" i="11"/>
  <c r="H197" i="11" s="1"/>
  <c r="K197" i="11" s="1"/>
  <c r="F199" i="15" s="1"/>
  <c r="K199" i="15" s="1"/>
  <c r="G158" i="11"/>
  <c r="H158" i="11" s="1"/>
  <c r="K158" i="11" s="1"/>
  <c r="F160" i="15" s="1"/>
  <c r="K160" i="15" s="1"/>
  <c r="G60" i="11"/>
  <c r="H60" i="11" s="1"/>
  <c r="K60" i="11" s="1"/>
  <c r="F62" i="15" s="1"/>
  <c r="G116" i="11"/>
  <c r="H116" i="11" s="1"/>
  <c r="K116" i="11" s="1"/>
  <c r="F118" i="15" s="1"/>
  <c r="K118" i="15" s="1"/>
  <c r="G137" i="11"/>
  <c r="H137" i="11" s="1"/>
  <c r="K137" i="11" s="1"/>
  <c r="F139" i="15" s="1"/>
  <c r="K139" i="15" s="1"/>
  <c r="G204" i="11"/>
  <c r="H204" i="11" s="1"/>
  <c r="K204" i="11" s="1"/>
  <c r="F206" i="15" s="1"/>
  <c r="K206" i="15" s="1"/>
  <c r="G159" i="11"/>
  <c r="H159" i="11" s="1"/>
  <c r="K159" i="11" s="1"/>
  <c r="F161" i="15" s="1"/>
  <c r="K161" i="15" s="1"/>
  <c r="G272" i="11"/>
  <c r="H272" i="11" s="1"/>
  <c r="K272" i="11" s="1"/>
  <c r="F274" i="15" s="1"/>
  <c r="K274" i="15" s="1"/>
  <c r="G123" i="11"/>
  <c r="H123" i="11" s="1"/>
  <c r="K123" i="11" s="1"/>
  <c r="F125" i="15" s="1"/>
  <c r="K125" i="15" s="1"/>
  <c r="G292" i="11"/>
  <c r="H292" i="11" s="1"/>
  <c r="K292" i="11" s="1"/>
  <c r="F294" i="15" s="1"/>
  <c r="K294" i="15" s="1"/>
  <c r="G261" i="11"/>
  <c r="H261" i="11" s="1"/>
  <c r="K261" i="11" s="1"/>
  <c r="F263" i="15" s="1"/>
  <c r="K263" i="15" s="1"/>
  <c r="G166" i="11"/>
  <c r="H166" i="11" s="1"/>
  <c r="K166" i="11" s="1"/>
  <c r="F168" i="15" s="1"/>
  <c r="K168" i="15" s="1"/>
  <c r="G262" i="11"/>
  <c r="H262" i="11" s="1"/>
  <c r="K262" i="11" s="1"/>
  <c r="F264" i="15" s="1"/>
  <c r="K264" i="15" s="1"/>
  <c r="G222" i="11"/>
  <c r="H222" i="11" s="1"/>
  <c r="K222" i="11" s="1"/>
  <c r="F224" i="15" s="1"/>
  <c r="K224" i="15" s="1"/>
  <c r="G23" i="11"/>
  <c r="H23" i="11" s="1"/>
  <c r="K23" i="11" s="1"/>
  <c r="F25" i="15" s="1"/>
  <c r="G315" i="11"/>
  <c r="H315" i="11" s="1"/>
  <c r="K315" i="11" s="1"/>
  <c r="F317" i="15" s="1"/>
  <c r="K317" i="15" s="1"/>
  <c r="G227" i="11"/>
  <c r="H227" i="11" s="1"/>
  <c r="K227" i="11" s="1"/>
  <c r="F229" i="15" s="1"/>
  <c r="K229" i="15" s="1"/>
  <c r="G186" i="11"/>
  <c r="H186" i="11" s="1"/>
  <c r="K186" i="11" s="1"/>
  <c r="F188" i="15" s="1"/>
  <c r="K188" i="15" s="1"/>
  <c r="G59" i="11"/>
  <c r="H59" i="11" s="1"/>
  <c r="K59" i="11" s="1"/>
  <c r="F61" i="15" s="1"/>
  <c r="E287" i="15"/>
  <c r="M2" i="9"/>
  <c r="M3" i="9" s="1"/>
  <c r="M4" i="9" s="1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M86" i="9" s="1"/>
  <c r="M87" i="9" s="1"/>
  <c r="M88" i="9" s="1"/>
  <c r="M89" i="9" s="1"/>
  <c r="M90" i="9" s="1"/>
  <c r="M91" i="9" s="1"/>
  <c r="M92" i="9" s="1"/>
  <c r="M93" i="9" s="1"/>
  <c r="M94" i="9" s="1"/>
  <c r="M95" i="9" s="1"/>
  <c r="M96" i="9" s="1"/>
  <c r="M97" i="9" s="1"/>
  <c r="M98" i="9" s="1"/>
  <c r="M99" i="9" s="1"/>
  <c r="M100" i="9" s="1"/>
  <c r="M101" i="9" s="1"/>
  <c r="M102" i="9" s="1"/>
  <c r="M103" i="9" s="1"/>
  <c r="M104" i="9" s="1"/>
  <c r="M105" i="9" s="1"/>
  <c r="M106" i="9" s="1"/>
  <c r="M107" i="9" s="1"/>
  <c r="M108" i="9" s="1"/>
  <c r="M109" i="9" s="1"/>
  <c r="M110" i="9" s="1"/>
  <c r="M111" i="9" s="1"/>
  <c r="M112" i="9" s="1"/>
  <c r="M113" i="9" s="1"/>
  <c r="M114" i="9" s="1"/>
  <c r="M115" i="9" s="1"/>
  <c r="M116" i="9" s="1"/>
  <c r="M117" i="9" s="1"/>
  <c r="M118" i="9" s="1"/>
  <c r="M119" i="9" s="1"/>
  <c r="M120" i="9" s="1"/>
  <c r="M121" i="9" s="1"/>
  <c r="M122" i="9" s="1"/>
  <c r="M123" i="9" s="1"/>
  <c r="M124" i="9" s="1"/>
  <c r="M125" i="9" s="1"/>
  <c r="M126" i="9" s="1"/>
  <c r="M127" i="9" s="1"/>
  <c r="M128" i="9" s="1"/>
  <c r="M129" i="9" s="1"/>
  <c r="M130" i="9" s="1"/>
  <c r="M131" i="9" s="1"/>
  <c r="M132" i="9" s="1"/>
  <c r="M133" i="9" s="1"/>
  <c r="M134" i="9" s="1"/>
  <c r="M135" i="9" s="1"/>
  <c r="M136" i="9" s="1"/>
  <c r="M137" i="9" s="1"/>
  <c r="M138" i="9" s="1"/>
  <c r="M139" i="9" s="1"/>
  <c r="M140" i="9" s="1"/>
  <c r="M141" i="9" s="1"/>
  <c r="M142" i="9" s="1"/>
  <c r="M143" i="9" s="1"/>
  <c r="M144" i="9" s="1"/>
  <c r="M145" i="9" s="1"/>
  <c r="M146" i="9" s="1"/>
  <c r="M147" i="9" s="1"/>
  <c r="M148" i="9" s="1"/>
  <c r="M149" i="9" s="1"/>
  <c r="M150" i="9" s="1"/>
  <c r="M151" i="9" s="1"/>
  <c r="M152" i="9" s="1"/>
  <c r="M153" i="9" s="1"/>
  <c r="M154" i="9" s="1"/>
  <c r="M155" i="9" s="1"/>
  <c r="M156" i="9" s="1"/>
  <c r="M157" i="9" s="1"/>
  <c r="M158" i="9" s="1"/>
  <c r="M159" i="9" s="1"/>
  <c r="M160" i="9" s="1"/>
  <c r="M161" i="9" s="1"/>
  <c r="M162" i="9" s="1"/>
  <c r="M163" i="9" s="1"/>
  <c r="M164" i="9" s="1"/>
  <c r="M165" i="9" s="1"/>
  <c r="M166" i="9" s="1"/>
  <c r="M167" i="9" s="1"/>
  <c r="M168" i="9" s="1"/>
  <c r="M169" i="9" s="1"/>
  <c r="M170" i="9" s="1"/>
  <c r="M171" i="9" s="1"/>
  <c r="M172" i="9" s="1"/>
  <c r="M173" i="9" s="1"/>
  <c r="M174" i="9" s="1"/>
  <c r="M175" i="9" s="1"/>
  <c r="M176" i="9" s="1"/>
  <c r="M177" i="9" s="1"/>
  <c r="M178" i="9" s="1"/>
  <c r="M179" i="9" s="1"/>
  <c r="M180" i="9" s="1"/>
  <c r="M181" i="9" s="1"/>
  <c r="M182" i="9" s="1"/>
  <c r="M183" i="9" s="1"/>
  <c r="M184" i="9" s="1"/>
  <c r="M185" i="9" s="1"/>
  <c r="M186" i="9" s="1"/>
  <c r="M187" i="9" s="1"/>
  <c r="M188" i="9" s="1"/>
  <c r="M189" i="9" s="1"/>
  <c r="M190" i="9" s="1"/>
  <c r="M191" i="9" s="1"/>
  <c r="M192" i="9" s="1"/>
  <c r="M193" i="9" s="1"/>
  <c r="M194" i="9" s="1"/>
  <c r="M195" i="9" s="1"/>
  <c r="M196" i="9" s="1"/>
  <c r="M197" i="9" s="1"/>
  <c r="M198" i="9" s="1"/>
  <c r="M199" i="9" s="1"/>
  <c r="M200" i="9" s="1"/>
  <c r="M201" i="9" s="1"/>
  <c r="M202" i="9" s="1"/>
  <c r="M203" i="9" s="1"/>
  <c r="M204" i="9" s="1"/>
  <c r="M205" i="9" s="1"/>
  <c r="M206" i="9" s="1"/>
  <c r="M207" i="9" s="1"/>
  <c r="M208" i="9" s="1"/>
  <c r="M209" i="9" s="1"/>
  <c r="M210" i="9" s="1"/>
  <c r="M211" i="9" s="1"/>
  <c r="M212" i="9" s="1"/>
  <c r="M213" i="9" s="1"/>
  <c r="M214" i="9" s="1"/>
  <c r="M215" i="9" s="1"/>
  <c r="M216" i="9" s="1"/>
  <c r="M217" i="9" s="1"/>
  <c r="M218" i="9" s="1"/>
  <c r="M219" i="9" s="1"/>
  <c r="M220" i="9" s="1"/>
  <c r="M221" i="9" s="1"/>
  <c r="M222" i="9" s="1"/>
  <c r="M223" i="9" s="1"/>
  <c r="M224" i="9" s="1"/>
  <c r="M225" i="9" s="1"/>
  <c r="M226" i="9" s="1"/>
  <c r="M227" i="9" s="1"/>
  <c r="M228" i="9" s="1"/>
  <c r="M229" i="9" s="1"/>
  <c r="M230" i="9" s="1"/>
  <c r="M231" i="9" s="1"/>
  <c r="M232" i="9" s="1"/>
  <c r="M233" i="9" s="1"/>
  <c r="M234" i="9" s="1"/>
  <c r="M235" i="9" s="1"/>
  <c r="M236" i="9" s="1"/>
  <c r="M237" i="9" s="1"/>
  <c r="M238" i="9" s="1"/>
  <c r="M239" i="9" s="1"/>
  <c r="M240" i="9" s="1"/>
  <c r="M241" i="9" s="1"/>
  <c r="M242" i="9" s="1"/>
  <c r="M243" i="9" s="1"/>
  <c r="M244" i="9" s="1"/>
  <c r="M245" i="9" s="1"/>
  <c r="M246" i="9" s="1"/>
  <c r="M247" i="9" s="1"/>
  <c r="M248" i="9" s="1"/>
  <c r="M249" i="9" s="1"/>
  <c r="M250" i="9" s="1"/>
  <c r="M251" i="9" s="1"/>
  <c r="M252" i="9" s="1"/>
  <c r="M253" i="9" s="1"/>
  <c r="M254" i="9" s="1"/>
  <c r="M255" i="9" s="1"/>
  <c r="M256" i="9" s="1"/>
  <c r="M257" i="9" s="1"/>
  <c r="M258" i="9" s="1"/>
  <c r="M259" i="9" s="1"/>
  <c r="M260" i="9" s="1"/>
  <c r="M261" i="9" s="1"/>
  <c r="M262" i="9" s="1"/>
  <c r="M263" i="9" s="1"/>
  <c r="M264" i="9" s="1"/>
  <c r="M265" i="9" s="1"/>
  <c r="M266" i="9" s="1"/>
  <c r="M267" i="9" s="1"/>
  <c r="M268" i="9" s="1"/>
  <c r="M269" i="9" s="1"/>
  <c r="M270" i="9" s="1"/>
  <c r="M271" i="9" s="1"/>
  <c r="M272" i="9" s="1"/>
  <c r="M273" i="9" s="1"/>
  <c r="M274" i="9" s="1"/>
  <c r="M275" i="9" s="1"/>
  <c r="M276" i="9" s="1"/>
  <c r="M277" i="9" s="1"/>
  <c r="M278" i="9" s="1"/>
  <c r="M279" i="9" s="1"/>
  <c r="M280" i="9" s="1"/>
  <c r="M281" i="9" s="1"/>
  <c r="M282" i="9" s="1"/>
  <c r="M283" i="9" s="1"/>
  <c r="M284" i="9" s="1"/>
  <c r="M285" i="9" s="1"/>
  <c r="M286" i="9" s="1"/>
  <c r="M287" i="9" s="1"/>
  <c r="M288" i="9" s="1"/>
  <c r="M289" i="9" s="1"/>
  <c r="M290" i="9" s="1"/>
  <c r="M291" i="9" s="1"/>
  <c r="M292" i="9" s="1"/>
  <c r="M293" i="9" s="1"/>
  <c r="M294" i="9" s="1"/>
  <c r="M295" i="9" s="1"/>
  <c r="M296" i="9" s="1"/>
  <c r="M297" i="9" s="1"/>
  <c r="M298" i="9" s="1"/>
  <c r="M299" i="9" s="1"/>
  <c r="M300" i="9" s="1"/>
  <c r="M301" i="9" s="1"/>
  <c r="M302" i="9" s="1"/>
  <c r="M303" i="9" s="1"/>
  <c r="M304" i="9" s="1"/>
  <c r="M305" i="9" s="1"/>
  <c r="M306" i="9" s="1"/>
  <c r="M307" i="9" s="1"/>
  <c r="M308" i="9" s="1"/>
  <c r="M309" i="9" s="1"/>
  <c r="M310" i="9" s="1"/>
  <c r="M311" i="9" s="1"/>
  <c r="M312" i="9" s="1"/>
  <c r="M313" i="9" s="1"/>
  <c r="M314" i="9" s="1"/>
  <c r="M315" i="9" s="1"/>
  <c r="M316" i="9" s="1"/>
  <c r="M317" i="9" s="1"/>
  <c r="M318" i="9" s="1"/>
  <c r="M319" i="9" s="1"/>
  <c r="M320" i="9" s="1"/>
  <c r="M321" i="9" s="1"/>
  <c r="M322" i="9" s="1"/>
  <c r="M323" i="9" s="1"/>
  <c r="M324" i="9" s="1"/>
  <c r="M325" i="9" s="1"/>
  <c r="M326" i="9" s="1"/>
  <c r="M327" i="9" s="1"/>
  <c r="M328" i="9" s="1"/>
  <c r="M329" i="9" s="1"/>
  <c r="M330" i="9" s="1"/>
  <c r="M331" i="9" s="1"/>
  <c r="M332" i="9" s="1"/>
  <c r="M333" i="9" s="1"/>
  <c r="M334" i="9" s="1"/>
  <c r="M335" i="9" s="1"/>
  <c r="M336" i="9" s="1"/>
  <c r="M337" i="9" s="1"/>
  <c r="M338" i="9" s="1"/>
  <c r="M339" i="9" s="1"/>
  <c r="M340" i="9" s="1"/>
  <c r="M341" i="9" s="1"/>
  <c r="M342" i="9" s="1"/>
  <c r="M343" i="9" s="1"/>
  <c r="M344" i="9" s="1"/>
  <c r="M345" i="9" s="1"/>
  <c r="M346" i="9" s="1"/>
  <c r="M347" i="9" s="1"/>
  <c r="M348" i="9" s="1"/>
  <c r="M349" i="9" s="1"/>
  <c r="M350" i="9" s="1"/>
  <c r="M351" i="9" s="1"/>
  <c r="M352" i="9" s="1"/>
  <c r="M353" i="9" s="1"/>
  <c r="M354" i="9" s="1"/>
  <c r="M355" i="9" s="1"/>
  <c r="M356" i="9" s="1"/>
  <c r="M357" i="9" s="1"/>
  <c r="M358" i="9" s="1"/>
  <c r="M359" i="9" s="1"/>
  <c r="M360" i="9" s="1"/>
  <c r="M361" i="9" s="1"/>
  <c r="M362" i="9" s="1"/>
  <c r="M363" i="9" s="1"/>
  <c r="M364" i="9" s="1"/>
  <c r="M365" i="9" s="1"/>
  <c r="M366" i="9" s="1"/>
  <c r="M367" i="9" s="1"/>
  <c r="M368" i="9" s="1"/>
  <c r="M369" i="9" s="1"/>
  <c r="M370" i="9" s="1"/>
  <c r="M371" i="9" s="1"/>
  <c r="M372" i="9" s="1"/>
  <c r="M373" i="9" s="1"/>
  <c r="M374" i="9" s="1"/>
  <c r="M375" i="9" s="1"/>
  <c r="M376" i="9" s="1"/>
  <c r="M377" i="9" s="1"/>
  <c r="M378" i="9" s="1"/>
  <c r="M379" i="9" s="1"/>
  <c r="M380" i="9" s="1"/>
  <c r="M381" i="9" s="1"/>
  <c r="M382" i="9" s="1"/>
  <c r="M383" i="9" s="1"/>
  <c r="M384" i="9" s="1"/>
  <c r="M385" i="9" s="1"/>
  <c r="M386" i="9" s="1"/>
  <c r="M387" i="9" s="1"/>
  <c r="M388" i="9" s="1"/>
  <c r="M389" i="9" s="1"/>
  <c r="M390" i="9" s="1"/>
  <c r="M391" i="9" s="1"/>
  <c r="M392" i="9" s="1"/>
  <c r="M393" i="9" s="1"/>
  <c r="M394" i="9" s="1"/>
  <c r="M395" i="9" s="1"/>
  <c r="M396" i="9" s="1"/>
  <c r="M397" i="9" s="1"/>
  <c r="M398" i="9" s="1"/>
  <c r="M399" i="9" s="1"/>
  <c r="M400" i="9" s="1"/>
  <c r="M401" i="9" s="1"/>
  <c r="M402" i="9" s="1"/>
  <c r="M403" i="9" s="1"/>
  <c r="M404" i="9" s="1"/>
  <c r="M405" i="9" s="1"/>
  <c r="M406" i="9" s="1"/>
  <c r="E112" i="15"/>
  <c r="G54" i="11"/>
  <c r="H54" i="11" s="1"/>
  <c r="K54" i="11" s="1"/>
  <c r="F56" i="15" s="1"/>
  <c r="G8" i="11"/>
  <c r="H8" i="11" s="1"/>
  <c r="K8" i="11" s="1"/>
  <c r="F10" i="15" s="1"/>
  <c r="F8" i="11"/>
  <c r="J8" i="11" s="1"/>
  <c r="G181" i="11"/>
  <c r="H181" i="11" s="1"/>
  <c r="K181" i="11" s="1"/>
  <c r="F183" i="15" s="1"/>
  <c r="K183" i="15" s="1"/>
  <c r="G36" i="11"/>
  <c r="H36" i="11" s="1"/>
  <c r="K36" i="11" s="1"/>
  <c r="F38" i="15" s="1"/>
  <c r="G6" i="11"/>
  <c r="H6" i="11" s="1"/>
  <c r="K6" i="11" s="1"/>
  <c r="F8" i="15" s="1"/>
  <c r="G274" i="11"/>
  <c r="H274" i="11" s="1"/>
  <c r="K274" i="11" s="1"/>
  <c r="F276" i="15" s="1"/>
  <c r="K276" i="15" s="1"/>
  <c r="G258" i="11"/>
  <c r="H258" i="11" s="1"/>
  <c r="K258" i="11" s="1"/>
  <c r="G135" i="11"/>
  <c r="H135" i="11" s="1"/>
  <c r="K135" i="11" s="1"/>
  <c r="F137" i="15" s="1"/>
  <c r="K137" i="15" s="1"/>
  <c r="G3" i="11"/>
  <c r="H3" i="11" s="1"/>
  <c r="K3" i="11" s="1"/>
  <c r="F5" i="15" s="1"/>
  <c r="G105" i="11"/>
  <c r="H105" i="11" s="1"/>
  <c r="K105" i="11" s="1"/>
  <c r="F107" i="15" s="1"/>
  <c r="K107" i="15" s="1"/>
  <c r="G301" i="11"/>
  <c r="H301" i="11" s="1"/>
  <c r="K301" i="11" s="1"/>
  <c r="F303" i="15" s="1"/>
  <c r="K303" i="15" s="1"/>
  <c r="G306" i="11"/>
  <c r="H306" i="11" s="1"/>
  <c r="K306" i="11" s="1"/>
  <c r="G283" i="11"/>
  <c r="H283" i="11" s="1"/>
  <c r="K283" i="11" s="1"/>
  <c r="F285" i="15" s="1"/>
  <c r="K285" i="15" s="1"/>
  <c r="G184" i="11"/>
  <c r="H184" i="11" s="1"/>
  <c r="K184" i="11" s="1"/>
  <c r="F186" i="15" s="1"/>
  <c r="K186" i="15" s="1"/>
  <c r="G196" i="11"/>
  <c r="H196" i="11" s="1"/>
  <c r="K196" i="11" s="1"/>
  <c r="F198" i="15" s="1"/>
  <c r="K198" i="15" s="1"/>
  <c r="G220" i="11"/>
  <c r="H220" i="11" s="1"/>
  <c r="K220" i="11" s="1"/>
  <c r="F222" i="15" s="1"/>
  <c r="K222" i="15" s="1"/>
  <c r="G32" i="11"/>
  <c r="H32" i="11" s="1"/>
  <c r="K32" i="11" s="1"/>
  <c r="F34" i="15" s="1"/>
  <c r="G16" i="11"/>
  <c r="H16" i="11" s="1"/>
  <c r="K16" i="11" s="1"/>
  <c r="F18" i="15" s="1"/>
  <c r="D260" i="15"/>
  <c r="D268" i="15"/>
  <c r="G285" i="11"/>
  <c r="H285" i="11" s="1"/>
  <c r="K285" i="11" s="1"/>
  <c r="G198" i="11"/>
  <c r="H198" i="11" s="1"/>
  <c r="K198" i="11" s="1"/>
  <c r="F200" i="15" s="1"/>
  <c r="K200" i="15" s="1"/>
  <c r="G254" i="11"/>
  <c r="H254" i="11" s="1"/>
  <c r="K254" i="11" s="1"/>
  <c r="F256" i="15" s="1"/>
  <c r="K256" i="15" s="1"/>
  <c r="G226" i="11"/>
  <c r="H226" i="11" s="1"/>
  <c r="K226" i="11" s="1"/>
  <c r="F228" i="15" s="1"/>
  <c r="K228" i="15" s="1"/>
  <c r="G75" i="11"/>
  <c r="H75" i="11" s="1"/>
  <c r="K75" i="11" s="1"/>
  <c r="F77" i="15" s="1"/>
  <c r="E307" i="15"/>
  <c r="G69" i="11"/>
  <c r="H69" i="11" s="1"/>
  <c r="K69" i="11" s="1"/>
  <c r="F71" i="15" s="1"/>
  <c r="G243" i="11"/>
  <c r="H243" i="11" s="1"/>
  <c r="K243" i="11" s="1"/>
  <c r="F245" i="15" s="1"/>
  <c r="K245" i="15" s="1"/>
  <c r="F243" i="11"/>
  <c r="J243" i="11" s="1"/>
  <c r="G241" i="11"/>
  <c r="H241" i="11" s="1"/>
  <c r="K241" i="11" s="1"/>
  <c r="F243" i="15" s="1"/>
  <c r="K243" i="15" s="1"/>
  <c r="G236" i="11"/>
  <c r="H236" i="11" s="1"/>
  <c r="K236" i="11" s="1"/>
  <c r="F238" i="15" s="1"/>
  <c r="K238" i="15" s="1"/>
  <c r="G214" i="11"/>
  <c r="H214" i="11" s="1"/>
  <c r="K214" i="11" s="1"/>
  <c r="F216" i="15" s="1"/>
  <c r="K216" i="15" s="1"/>
  <c r="G119" i="11"/>
  <c r="H119" i="11" s="1"/>
  <c r="K119" i="11" s="1"/>
  <c r="F121" i="15" s="1"/>
  <c r="K121" i="15" s="1"/>
  <c r="G120" i="11"/>
  <c r="H120" i="11" s="1"/>
  <c r="K120" i="11" s="1"/>
  <c r="F122" i="15" s="1"/>
  <c r="K122" i="15" s="1"/>
  <c r="L2" i="9"/>
  <c r="L3" i="9" s="1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L110" i="9" s="1"/>
  <c r="L111" i="9" s="1"/>
  <c r="L112" i="9" s="1"/>
  <c r="L113" i="9" s="1"/>
  <c r="L114" i="9" s="1"/>
  <c r="L115" i="9" s="1"/>
  <c r="L116" i="9" s="1"/>
  <c r="L117" i="9" s="1"/>
  <c r="L118" i="9" s="1"/>
  <c r="L119" i="9" s="1"/>
  <c r="L120" i="9" s="1"/>
  <c r="L121" i="9" s="1"/>
  <c r="L122" i="9" s="1"/>
  <c r="L123" i="9" s="1"/>
  <c r="L124" i="9" s="1"/>
  <c r="L125" i="9" s="1"/>
  <c r="L126" i="9" s="1"/>
  <c r="L127" i="9" s="1"/>
  <c r="L128" i="9" s="1"/>
  <c r="L129" i="9" s="1"/>
  <c r="L130" i="9" s="1"/>
  <c r="L131" i="9" s="1"/>
  <c r="L132" i="9" s="1"/>
  <c r="L133" i="9" s="1"/>
  <c r="L134" i="9" s="1"/>
  <c r="L135" i="9" s="1"/>
  <c r="L136" i="9" s="1"/>
  <c r="L137" i="9" s="1"/>
  <c r="L138" i="9" s="1"/>
  <c r="L139" i="9" s="1"/>
  <c r="L140" i="9" s="1"/>
  <c r="L141" i="9" s="1"/>
  <c r="L142" i="9" s="1"/>
  <c r="L143" i="9" s="1"/>
  <c r="L144" i="9" s="1"/>
  <c r="L145" i="9" s="1"/>
  <c r="L146" i="9" s="1"/>
  <c r="L147" i="9" s="1"/>
  <c r="L148" i="9" s="1"/>
  <c r="L149" i="9" s="1"/>
  <c r="L150" i="9" s="1"/>
  <c r="L151" i="9" s="1"/>
  <c r="L152" i="9" s="1"/>
  <c r="L153" i="9" s="1"/>
  <c r="L154" i="9" s="1"/>
  <c r="L155" i="9" s="1"/>
  <c r="L156" i="9" s="1"/>
  <c r="L157" i="9" s="1"/>
  <c r="L158" i="9" s="1"/>
  <c r="L159" i="9" s="1"/>
  <c r="L160" i="9" s="1"/>
  <c r="L161" i="9" s="1"/>
  <c r="L162" i="9" s="1"/>
  <c r="L163" i="9" s="1"/>
  <c r="L164" i="9" s="1"/>
  <c r="L165" i="9" s="1"/>
  <c r="L166" i="9" s="1"/>
  <c r="L167" i="9" s="1"/>
  <c r="L168" i="9" s="1"/>
  <c r="L169" i="9" s="1"/>
  <c r="L170" i="9" s="1"/>
  <c r="L171" i="9" s="1"/>
  <c r="L172" i="9" s="1"/>
  <c r="L173" i="9" s="1"/>
  <c r="L174" i="9" s="1"/>
  <c r="L175" i="9" s="1"/>
  <c r="L176" i="9" s="1"/>
  <c r="L177" i="9" s="1"/>
  <c r="L178" i="9" s="1"/>
  <c r="L179" i="9" s="1"/>
  <c r="L180" i="9" s="1"/>
  <c r="L181" i="9" s="1"/>
  <c r="L182" i="9" s="1"/>
  <c r="L183" i="9" s="1"/>
  <c r="L184" i="9" s="1"/>
  <c r="L185" i="9" s="1"/>
  <c r="L186" i="9" s="1"/>
  <c r="L187" i="9" s="1"/>
  <c r="L188" i="9" s="1"/>
  <c r="L189" i="9" s="1"/>
  <c r="L190" i="9" s="1"/>
  <c r="L191" i="9" s="1"/>
  <c r="L192" i="9" s="1"/>
  <c r="L193" i="9" s="1"/>
  <c r="L194" i="9" s="1"/>
  <c r="L195" i="9" s="1"/>
  <c r="L196" i="9" s="1"/>
  <c r="L197" i="9" s="1"/>
  <c r="L198" i="9" s="1"/>
  <c r="L199" i="9" s="1"/>
  <c r="L200" i="9" s="1"/>
  <c r="L201" i="9" s="1"/>
  <c r="L202" i="9" s="1"/>
  <c r="L203" i="9" s="1"/>
  <c r="L204" i="9" s="1"/>
  <c r="L205" i="9" s="1"/>
  <c r="L206" i="9" s="1"/>
  <c r="L207" i="9" s="1"/>
  <c r="L208" i="9" s="1"/>
  <c r="L209" i="9" s="1"/>
  <c r="L210" i="9" s="1"/>
  <c r="L211" i="9" s="1"/>
  <c r="L212" i="9" s="1"/>
  <c r="L213" i="9" s="1"/>
  <c r="L214" i="9" s="1"/>
  <c r="L215" i="9" s="1"/>
  <c r="L216" i="9" s="1"/>
  <c r="L217" i="9" s="1"/>
  <c r="L218" i="9" s="1"/>
  <c r="L219" i="9" s="1"/>
  <c r="L220" i="9" s="1"/>
  <c r="L221" i="9" s="1"/>
  <c r="L222" i="9" s="1"/>
  <c r="L223" i="9" s="1"/>
  <c r="L224" i="9" s="1"/>
  <c r="L225" i="9" s="1"/>
  <c r="L226" i="9" s="1"/>
  <c r="L227" i="9" s="1"/>
  <c r="L228" i="9" s="1"/>
  <c r="L229" i="9" s="1"/>
  <c r="L230" i="9" s="1"/>
  <c r="L231" i="9" s="1"/>
  <c r="L232" i="9" s="1"/>
  <c r="L233" i="9" s="1"/>
  <c r="L234" i="9" s="1"/>
  <c r="L235" i="9" s="1"/>
  <c r="L236" i="9" s="1"/>
  <c r="L237" i="9" s="1"/>
  <c r="L238" i="9" s="1"/>
  <c r="L239" i="9" s="1"/>
  <c r="L240" i="9" s="1"/>
  <c r="L241" i="9" s="1"/>
  <c r="L242" i="9" s="1"/>
  <c r="L243" i="9" s="1"/>
  <c r="L244" i="9" s="1"/>
  <c r="L245" i="9" s="1"/>
  <c r="L246" i="9" s="1"/>
  <c r="L247" i="9" s="1"/>
  <c r="L248" i="9" s="1"/>
  <c r="L249" i="9" s="1"/>
  <c r="L250" i="9" s="1"/>
  <c r="L251" i="9" s="1"/>
  <c r="L252" i="9" s="1"/>
  <c r="L253" i="9" s="1"/>
  <c r="L254" i="9" s="1"/>
  <c r="L255" i="9" s="1"/>
  <c r="L256" i="9" s="1"/>
  <c r="L257" i="9" s="1"/>
  <c r="L258" i="9" s="1"/>
  <c r="L259" i="9" s="1"/>
  <c r="L260" i="9" s="1"/>
  <c r="L261" i="9" s="1"/>
  <c r="L262" i="9" s="1"/>
  <c r="L263" i="9" s="1"/>
  <c r="L264" i="9" s="1"/>
  <c r="L265" i="9" s="1"/>
  <c r="L266" i="9" s="1"/>
  <c r="L267" i="9" s="1"/>
  <c r="L268" i="9" s="1"/>
  <c r="L269" i="9" s="1"/>
  <c r="L270" i="9" s="1"/>
  <c r="L271" i="9" s="1"/>
  <c r="L272" i="9" s="1"/>
  <c r="L273" i="9" s="1"/>
  <c r="L274" i="9" s="1"/>
  <c r="L275" i="9" s="1"/>
  <c r="L276" i="9" s="1"/>
  <c r="L277" i="9" s="1"/>
  <c r="L278" i="9" s="1"/>
  <c r="L279" i="9" s="1"/>
  <c r="L280" i="9" s="1"/>
  <c r="L281" i="9" s="1"/>
  <c r="L282" i="9" s="1"/>
  <c r="L283" i="9" s="1"/>
  <c r="L284" i="9" s="1"/>
  <c r="L285" i="9" s="1"/>
  <c r="L286" i="9" s="1"/>
  <c r="L287" i="9" s="1"/>
  <c r="L288" i="9" s="1"/>
  <c r="L289" i="9" s="1"/>
  <c r="L290" i="9" s="1"/>
  <c r="L291" i="9" s="1"/>
  <c r="L292" i="9" s="1"/>
  <c r="L293" i="9" s="1"/>
  <c r="L294" i="9" s="1"/>
  <c r="L295" i="9" s="1"/>
  <c r="L296" i="9" s="1"/>
  <c r="L297" i="9" s="1"/>
  <c r="L298" i="9" s="1"/>
  <c r="L299" i="9" s="1"/>
  <c r="L300" i="9" s="1"/>
  <c r="L301" i="9" s="1"/>
  <c r="L302" i="9" s="1"/>
  <c r="L303" i="9" s="1"/>
  <c r="L304" i="9" s="1"/>
  <c r="L305" i="9" s="1"/>
  <c r="L306" i="9" s="1"/>
  <c r="L307" i="9" s="1"/>
  <c r="L308" i="9" s="1"/>
  <c r="L309" i="9" s="1"/>
  <c r="L310" i="9" s="1"/>
  <c r="L311" i="9" s="1"/>
  <c r="L312" i="9" s="1"/>
  <c r="L313" i="9" s="1"/>
  <c r="L314" i="9" s="1"/>
  <c r="L315" i="9" s="1"/>
  <c r="L316" i="9" s="1"/>
  <c r="L317" i="9" s="1"/>
  <c r="L318" i="9" s="1"/>
  <c r="L319" i="9" s="1"/>
  <c r="L320" i="9" s="1"/>
  <c r="L321" i="9" s="1"/>
  <c r="L322" i="9" s="1"/>
  <c r="L323" i="9" s="1"/>
  <c r="L324" i="9" s="1"/>
  <c r="L325" i="9" s="1"/>
  <c r="L326" i="9" s="1"/>
  <c r="L327" i="9" s="1"/>
  <c r="L328" i="9" s="1"/>
  <c r="L329" i="9" s="1"/>
  <c r="L330" i="9" s="1"/>
  <c r="L331" i="9" s="1"/>
  <c r="L332" i="9" s="1"/>
  <c r="L333" i="9" s="1"/>
  <c r="L334" i="9" s="1"/>
  <c r="L335" i="9" s="1"/>
  <c r="L336" i="9" s="1"/>
  <c r="L337" i="9" s="1"/>
  <c r="L338" i="9" s="1"/>
  <c r="L339" i="9" s="1"/>
  <c r="L340" i="9" s="1"/>
  <c r="L341" i="9" s="1"/>
  <c r="L342" i="9" s="1"/>
  <c r="L343" i="9" s="1"/>
  <c r="L344" i="9" s="1"/>
  <c r="L345" i="9" s="1"/>
  <c r="L346" i="9" s="1"/>
  <c r="L347" i="9" s="1"/>
  <c r="L348" i="9" s="1"/>
  <c r="L349" i="9" s="1"/>
  <c r="L350" i="9" s="1"/>
  <c r="L351" i="9" s="1"/>
  <c r="L352" i="9" s="1"/>
  <c r="L353" i="9" s="1"/>
  <c r="L354" i="9" s="1"/>
  <c r="L355" i="9" s="1"/>
  <c r="L356" i="9" s="1"/>
  <c r="L357" i="9" s="1"/>
  <c r="L358" i="9" s="1"/>
  <c r="L359" i="9" s="1"/>
  <c r="L360" i="9" s="1"/>
  <c r="L361" i="9" s="1"/>
  <c r="L362" i="9" s="1"/>
  <c r="L363" i="9" s="1"/>
  <c r="L364" i="9" s="1"/>
  <c r="L365" i="9" s="1"/>
  <c r="L366" i="9" s="1"/>
  <c r="L367" i="9" s="1"/>
  <c r="L368" i="9" s="1"/>
  <c r="L369" i="9" s="1"/>
  <c r="L370" i="9" s="1"/>
  <c r="L371" i="9" s="1"/>
  <c r="L372" i="9" s="1"/>
  <c r="L373" i="9" s="1"/>
  <c r="L374" i="9" s="1"/>
  <c r="L375" i="9" s="1"/>
  <c r="L376" i="9" s="1"/>
  <c r="L377" i="9" s="1"/>
  <c r="L378" i="9" s="1"/>
  <c r="L379" i="9" s="1"/>
  <c r="L380" i="9" s="1"/>
  <c r="L381" i="9" s="1"/>
  <c r="L382" i="9" s="1"/>
  <c r="L383" i="9" s="1"/>
  <c r="L384" i="9" s="1"/>
  <c r="L385" i="9" s="1"/>
  <c r="L386" i="9" s="1"/>
  <c r="L387" i="9" s="1"/>
  <c r="L388" i="9" s="1"/>
  <c r="L389" i="9" s="1"/>
  <c r="L390" i="9" s="1"/>
  <c r="L391" i="9" s="1"/>
  <c r="L392" i="9" s="1"/>
  <c r="L393" i="9" s="1"/>
  <c r="L394" i="9" s="1"/>
  <c r="L395" i="9" s="1"/>
  <c r="L396" i="9" s="1"/>
  <c r="L397" i="9" s="1"/>
  <c r="L398" i="9" s="1"/>
  <c r="L399" i="9" s="1"/>
  <c r="L400" i="9" s="1"/>
  <c r="L401" i="9" s="1"/>
  <c r="L402" i="9" s="1"/>
  <c r="L403" i="9" s="1"/>
  <c r="L404" i="9" s="1"/>
  <c r="L405" i="9" s="1"/>
  <c r="L406" i="9" s="1"/>
  <c r="E4" i="15"/>
  <c r="G210" i="11"/>
  <c r="H210" i="11" s="1"/>
  <c r="K210" i="11" s="1"/>
  <c r="F212" i="15" s="1"/>
  <c r="K212" i="15" s="1"/>
  <c r="G165" i="11"/>
  <c r="H165" i="11" s="1"/>
  <c r="K165" i="11" s="1"/>
  <c r="F167" i="15" s="1"/>
  <c r="K167" i="15" s="1"/>
  <c r="G26" i="11"/>
  <c r="H26" i="11" s="1"/>
  <c r="K26" i="11" s="1"/>
  <c r="F28" i="15" s="1"/>
  <c r="G295" i="11"/>
  <c r="H295" i="11" s="1"/>
  <c r="K295" i="11" s="1"/>
  <c r="F297" i="15" s="1"/>
  <c r="K297" i="15" s="1"/>
  <c r="G289" i="11"/>
  <c r="H289" i="11" s="1"/>
  <c r="K289" i="11" s="1"/>
  <c r="F291" i="15" s="1"/>
  <c r="K291" i="15" s="1"/>
  <c r="G312" i="11"/>
  <c r="H312" i="11" s="1"/>
  <c r="K312" i="11" s="1"/>
  <c r="F314" i="15" s="1"/>
  <c r="K314" i="15" s="1"/>
  <c r="G307" i="11"/>
  <c r="H307" i="11" s="1"/>
  <c r="K307" i="11" s="1"/>
  <c r="F309" i="15" s="1"/>
  <c r="K309" i="15" s="1"/>
  <c r="G253" i="11"/>
  <c r="H253" i="11" s="1"/>
  <c r="K253" i="11" s="1"/>
  <c r="F255" i="15" s="1"/>
  <c r="K255" i="15" s="1"/>
  <c r="G221" i="11"/>
  <c r="H221" i="11" s="1"/>
  <c r="K221" i="11" s="1"/>
  <c r="F223" i="15" s="1"/>
  <c r="K223" i="15" s="1"/>
  <c r="G146" i="11"/>
  <c r="H146" i="11" s="1"/>
  <c r="K146" i="11" s="1"/>
  <c r="F148" i="15" s="1"/>
  <c r="K148" i="15" s="1"/>
  <c r="G205" i="11"/>
  <c r="H205" i="11" s="1"/>
  <c r="K205" i="11" s="1"/>
  <c r="F207" i="15" s="1"/>
  <c r="K207" i="15" s="1"/>
  <c r="G134" i="11"/>
  <c r="H134" i="11" s="1"/>
  <c r="K134" i="11" s="1"/>
  <c r="F136" i="15" s="1"/>
  <c r="K136" i="15" s="1"/>
  <c r="G2" i="11"/>
  <c r="H2" i="11" s="1"/>
  <c r="K2" i="11" s="1"/>
  <c r="D296" i="15"/>
  <c r="L2" i="2"/>
  <c r="L3" i="2" s="1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D4" i="15"/>
  <c r="G266" i="11"/>
  <c r="H266" i="11" s="1"/>
  <c r="K266" i="11" s="1"/>
  <c r="G164" i="11"/>
  <c r="H164" i="11" s="1"/>
  <c r="K164" i="11" s="1"/>
  <c r="F166" i="15" s="1"/>
  <c r="K166" i="15" s="1"/>
  <c r="G179" i="11"/>
  <c r="H179" i="11" s="1"/>
  <c r="K179" i="11" s="1"/>
  <c r="F181" i="15" s="1"/>
  <c r="K181" i="15" s="1"/>
  <c r="G108" i="11"/>
  <c r="H108" i="11" s="1"/>
  <c r="K108" i="11" s="1"/>
  <c r="F110" i="15" s="1"/>
  <c r="K110" i="15" s="1"/>
  <c r="E292" i="15"/>
  <c r="E260" i="15"/>
  <c r="G102" i="11"/>
  <c r="H102" i="11" s="1"/>
  <c r="K102" i="11" s="1"/>
  <c r="F104" i="15" s="1"/>
  <c r="K104" i="15" s="1"/>
  <c r="G11" i="11"/>
  <c r="H11" i="11" s="1"/>
  <c r="K11" i="11" s="1"/>
  <c r="F13" i="15" s="1"/>
  <c r="G260" i="11"/>
  <c r="H260" i="11" s="1"/>
  <c r="K260" i="11" s="1"/>
  <c r="F262" i="15" s="1"/>
  <c r="K262" i="15" s="1"/>
  <c r="G27" i="11"/>
  <c r="H27" i="11" s="1"/>
  <c r="K27" i="11" s="1"/>
  <c r="F29" i="15" s="1"/>
  <c r="G82" i="11"/>
  <c r="H82" i="11" s="1"/>
  <c r="K82" i="11" s="1"/>
  <c r="F84" i="15" s="1"/>
  <c r="G299" i="11"/>
  <c r="H299" i="11" s="1"/>
  <c r="K299" i="11" s="1"/>
  <c r="F301" i="15" s="1"/>
  <c r="K301" i="15" s="1"/>
  <c r="G234" i="11"/>
  <c r="H234" i="11" s="1"/>
  <c r="K234" i="11" s="1"/>
  <c r="F236" i="15" s="1"/>
  <c r="K236" i="15" s="1"/>
  <c r="G121" i="11"/>
  <c r="H121" i="11" s="1"/>
  <c r="K121" i="11" s="1"/>
  <c r="F123" i="15" s="1"/>
  <c r="K123" i="15" s="1"/>
  <c r="G50" i="11"/>
  <c r="H50" i="11" s="1"/>
  <c r="K50" i="11" s="1"/>
  <c r="F52" i="15" s="1"/>
  <c r="G281" i="11"/>
  <c r="H281" i="11" s="1"/>
  <c r="K281" i="11" s="1"/>
  <c r="F283" i="15" s="1"/>
  <c r="K283" i="15" s="1"/>
  <c r="G297" i="11"/>
  <c r="H297" i="11" s="1"/>
  <c r="K297" i="11" s="1"/>
  <c r="F299" i="15" s="1"/>
  <c r="K299" i="15" s="1"/>
  <c r="G278" i="11"/>
  <c r="H278" i="11" s="1"/>
  <c r="K278" i="11" s="1"/>
  <c r="F280" i="15" s="1"/>
  <c r="K280" i="15" s="1"/>
  <c r="G298" i="11"/>
  <c r="H298" i="11" s="1"/>
  <c r="K298" i="11" s="1"/>
  <c r="F300" i="15" s="1"/>
  <c r="K300" i="15" s="1"/>
  <c r="G255" i="11"/>
  <c r="H255" i="11" s="1"/>
  <c r="K255" i="11" s="1"/>
  <c r="F257" i="15" s="1"/>
  <c r="K257" i="15" s="1"/>
  <c r="G209" i="11"/>
  <c r="H209" i="11" s="1"/>
  <c r="K209" i="11" s="1"/>
  <c r="F211" i="15" s="1"/>
  <c r="K211" i="15" s="1"/>
  <c r="G251" i="11"/>
  <c r="H251" i="11" s="1"/>
  <c r="K251" i="11" s="1"/>
  <c r="F253" i="15" s="1"/>
  <c r="K253" i="15" s="1"/>
  <c r="G192" i="11"/>
  <c r="H192" i="11" s="1"/>
  <c r="K192" i="11" s="1"/>
  <c r="F194" i="15" s="1"/>
  <c r="K194" i="15" s="1"/>
  <c r="G96" i="11"/>
  <c r="H96" i="11" s="1"/>
  <c r="K96" i="11" s="1"/>
  <c r="F98" i="15" s="1"/>
  <c r="K98" i="15" s="1"/>
  <c r="G316" i="11"/>
  <c r="H316" i="11" s="1"/>
  <c r="K316" i="11" s="1"/>
  <c r="F318" i="15" s="1"/>
  <c r="K318" i="15" s="1"/>
  <c r="G242" i="11"/>
  <c r="H242" i="11" s="1"/>
  <c r="K242" i="11" s="1"/>
  <c r="F244" i="15" s="1"/>
  <c r="K244" i="15" s="1"/>
  <c r="D308" i="15"/>
  <c r="G228" i="11"/>
  <c r="H228" i="11" s="1"/>
  <c r="K228" i="11" s="1"/>
  <c r="F230" i="15" s="1"/>
  <c r="K230" i="15" s="1"/>
  <c r="G177" i="11"/>
  <c r="H177" i="11" s="1"/>
  <c r="K177" i="11" s="1"/>
  <c r="F179" i="15" s="1"/>
  <c r="K179" i="15" s="1"/>
  <c r="G45" i="11"/>
  <c r="H45" i="11" s="1"/>
  <c r="K45" i="11" s="1"/>
  <c r="F47" i="15" s="1"/>
  <c r="G101" i="11"/>
  <c r="H101" i="11" s="1"/>
  <c r="K101" i="11" s="1"/>
  <c r="F103" i="15" s="1"/>
  <c r="K103" i="15" s="1"/>
  <c r="E278" i="15"/>
  <c r="G67" i="11"/>
  <c r="H67" i="11" s="1"/>
  <c r="K67" i="11" s="1"/>
  <c r="F69" i="15" s="1"/>
  <c r="G94" i="11"/>
  <c r="H94" i="11" s="1"/>
  <c r="K94" i="11" s="1"/>
  <c r="F96" i="15" s="1"/>
  <c r="G114" i="11"/>
  <c r="H114" i="11" s="1"/>
  <c r="K114" i="11" s="1"/>
  <c r="F116" i="15" s="1"/>
  <c r="K116" i="15" s="1"/>
  <c r="G300" i="11"/>
  <c r="H300" i="11" s="1"/>
  <c r="K300" i="11" s="1"/>
  <c r="F302" i="15" s="1"/>
  <c r="K302" i="15" s="1"/>
  <c r="G230" i="11"/>
  <c r="H230" i="11" s="1"/>
  <c r="K230" i="11" s="1"/>
  <c r="F232" i="15" s="1"/>
  <c r="K232" i="15" s="1"/>
  <c r="G124" i="11"/>
  <c r="H124" i="11" s="1"/>
  <c r="K124" i="11" s="1"/>
  <c r="F126" i="15" s="1"/>
  <c r="K126" i="15" s="1"/>
  <c r="G62" i="11"/>
  <c r="H62" i="11" s="1"/>
  <c r="K62" i="11" s="1"/>
  <c r="F64" i="15" s="1"/>
  <c r="G15" i="11"/>
  <c r="H15" i="11" s="1"/>
  <c r="K15" i="11" s="1"/>
  <c r="F17" i="15" s="1"/>
  <c r="G290" i="11"/>
  <c r="H290" i="11" s="1"/>
  <c r="K290" i="11" s="1"/>
  <c r="G311" i="11"/>
  <c r="H311" i="11" s="1"/>
  <c r="K311" i="11" s="1"/>
  <c r="F313" i="15" s="1"/>
  <c r="K313" i="15" s="1"/>
  <c r="G282" i="11"/>
  <c r="H282" i="11" s="1"/>
  <c r="K282" i="11" s="1"/>
  <c r="F284" i="15" s="1"/>
  <c r="K284" i="15" s="1"/>
  <c r="G308" i="11"/>
  <c r="H308" i="11" s="1"/>
  <c r="K308" i="11" s="1"/>
  <c r="F310" i="15" s="1"/>
  <c r="K310" i="15" s="1"/>
  <c r="G212" i="11"/>
  <c r="H212" i="11" s="1"/>
  <c r="K212" i="11" s="1"/>
  <c r="F214" i="15" s="1"/>
  <c r="K214" i="15" s="1"/>
  <c r="G247" i="11"/>
  <c r="H247" i="11" s="1"/>
  <c r="K247" i="11" s="1"/>
  <c r="F249" i="15" s="1"/>
  <c r="K249" i="15" s="1"/>
  <c r="G225" i="11"/>
  <c r="H225" i="11" s="1"/>
  <c r="K225" i="11" s="1"/>
  <c r="F227" i="15" s="1"/>
  <c r="K227" i="15" s="1"/>
  <c r="G153" i="11"/>
  <c r="H153" i="11" s="1"/>
  <c r="K153" i="11" s="1"/>
  <c r="F155" i="15" s="1"/>
  <c r="K155" i="15" s="1"/>
  <c r="G4" i="11"/>
  <c r="H4" i="11" s="1"/>
  <c r="K4" i="11" s="1"/>
  <c r="F6" i="15" s="1"/>
  <c r="D307" i="15"/>
  <c r="M2" i="2"/>
  <c r="M3" i="2" s="1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M366" i="2" s="1"/>
  <c r="M367" i="2" s="1"/>
  <c r="M368" i="2" s="1"/>
  <c r="M369" i="2" s="1"/>
  <c r="M370" i="2" s="1"/>
  <c r="M371" i="2" s="1"/>
  <c r="M372" i="2" s="1"/>
  <c r="M373" i="2" s="1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M394" i="2" s="1"/>
  <c r="M395" i="2" s="1"/>
  <c r="M396" i="2" s="1"/>
  <c r="M397" i="2" s="1"/>
  <c r="M398" i="2" s="1"/>
  <c r="M399" i="2" s="1"/>
  <c r="M400" i="2" s="1"/>
  <c r="M401" i="2" s="1"/>
  <c r="M402" i="2" s="1"/>
  <c r="M403" i="2" s="1"/>
  <c r="M404" i="2" s="1"/>
  <c r="M405" i="2" s="1"/>
  <c r="M406" i="2" s="1"/>
  <c r="D112" i="15"/>
  <c r="D278" i="15"/>
  <c r="G185" i="11"/>
  <c r="H185" i="11" s="1"/>
  <c r="K185" i="11" s="1"/>
  <c r="F187" i="15" s="1"/>
  <c r="K187" i="15" s="1"/>
  <c r="G80" i="11"/>
  <c r="H80" i="11" s="1"/>
  <c r="K80" i="11" s="1"/>
  <c r="F82" i="15" s="1"/>
  <c r="E308" i="15"/>
  <c r="G287" i="11"/>
  <c r="H287" i="11" s="1"/>
  <c r="K287" i="11" s="1"/>
  <c r="F289" i="15" s="1"/>
  <c r="G268" i="11"/>
  <c r="H268" i="11" s="1"/>
  <c r="K268" i="11" s="1"/>
  <c r="F270" i="15" s="1"/>
  <c r="K270" i="15" s="1"/>
  <c r="G170" i="11"/>
  <c r="H170" i="11" s="1"/>
  <c r="K170" i="11" s="1"/>
  <c r="F172" i="15" s="1"/>
  <c r="K172" i="15" s="1"/>
  <c r="G44" i="11"/>
  <c r="H44" i="11" s="1"/>
  <c r="K44" i="11" s="1"/>
  <c r="F46" i="15" s="1"/>
  <c r="D287" i="15"/>
  <c r="G141" i="11"/>
  <c r="H141" i="11" s="1"/>
  <c r="K141" i="11" s="1"/>
  <c r="F143" i="15" s="1"/>
  <c r="K143" i="15" s="1"/>
  <c r="G171" i="11"/>
  <c r="H171" i="11" s="1"/>
  <c r="K171" i="11" s="1"/>
  <c r="F173" i="15" s="1"/>
  <c r="K173" i="15" s="1"/>
  <c r="G61" i="11"/>
  <c r="H61" i="11" s="1"/>
  <c r="K61" i="11" s="1"/>
  <c r="F63" i="15" s="1"/>
  <c r="G288" i="11"/>
  <c r="H288" i="11" s="1"/>
  <c r="K288" i="11" s="1"/>
  <c r="F290" i="15" s="1"/>
  <c r="G309" i="11"/>
  <c r="H309" i="11" s="1"/>
  <c r="K309" i="11" s="1"/>
  <c r="F311" i="15" s="1"/>
  <c r="K311" i="15" s="1"/>
  <c r="G279" i="11"/>
  <c r="H279" i="11" s="1"/>
  <c r="K279" i="11" s="1"/>
  <c r="F281" i="15" s="1"/>
  <c r="K281" i="15" s="1"/>
  <c r="G291" i="11"/>
  <c r="H291" i="11" s="1"/>
  <c r="K291" i="11" s="1"/>
  <c r="F293" i="15" s="1"/>
  <c r="K293" i="15" s="1"/>
  <c r="G263" i="11"/>
  <c r="H263" i="11" s="1"/>
  <c r="K263" i="11" s="1"/>
  <c r="F265" i="15" s="1"/>
  <c r="K265" i="15" s="1"/>
  <c r="G232" i="11"/>
  <c r="H232" i="11" s="1"/>
  <c r="K232" i="11" s="1"/>
  <c r="F234" i="15" s="1"/>
  <c r="K234" i="15" s="1"/>
  <c r="G216" i="11"/>
  <c r="H216" i="11" s="1"/>
  <c r="K216" i="11" s="1"/>
  <c r="F218" i="15" s="1"/>
  <c r="K218" i="15" s="1"/>
  <c r="G245" i="11"/>
  <c r="H245" i="11" s="1"/>
  <c r="K245" i="11" s="1"/>
  <c r="F247" i="15" s="1"/>
  <c r="K247" i="15" s="1"/>
  <c r="G7" i="11"/>
  <c r="H7" i="11" s="1"/>
  <c r="K7" i="11" s="1"/>
  <c r="F9" i="15" s="1"/>
  <c r="F7" i="11"/>
  <c r="J7" i="11" s="1"/>
  <c r="G271" i="11"/>
  <c r="H271" i="11" s="1"/>
  <c r="K271" i="11" s="1"/>
  <c r="F273" i="15" s="1"/>
  <c r="K273" i="15" s="1"/>
  <c r="G248" i="11"/>
  <c r="H248" i="11" s="1"/>
  <c r="K248" i="11" s="1"/>
  <c r="F250" i="15" s="1"/>
  <c r="K250" i="15" s="1"/>
  <c r="G145" i="11"/>
  <c r="H145" i="11" s="1"/>
  <c r="K145" i="11" s="1"/>
  <c r="F147" i="15" s="1"/>
  <c r="K147" i="15" s="1"/>
  <c r="G130" i="11"/>
  <c r="H130" i="11" s="1"/>
  <c r="K130" i="11" s="1"/>
  <c r="F132" i="15" s="1"/>
  <c r="K132" i="15" s="1"/>
  <c r="G207" i="11"/>
  <c r="H207" i="11" s="1"/>
  <c r="K207" i="11" s="1"/>
  <c r="F209" i="15" s="1"/>
  <c r="K209" i="15" s="1"/>
  <c r="G113" i="11"/>
  <c r="H113" i="11" s="1"/>
  <c r="K113" i="11" s="1"/>
  <c r="F115" i="15" s="1"/>
  <c r="K115" i="15" s="1"/>
  <c r="G47" i="11"/>
  <c r="H47" i="11" s="1"/>
  <c r="K47" i="11" s="1"/>
  <c r="F49" i="15" s="1"/>
  <c r="G97" i="11"/>
  <c r="H97" i="11" s="1"/>
  <c r="K97" i="11" s="1"/>
  <c r="F99" i="15" s="1"/>
  <c r="K99" i="15" s="1"/>
  <c r="G12" i="11"/>
  <c r="H12" i="11" s="1"/>
  <c r="K12" i="11" s="1"/>
  <c r="F14" i="15" s="1"/>
  <c r="G46" i="11"/>
  <c r="H46" i="11" s="1"/>
  <c r="K46" i="11" s="1"/>
  <c r="F48" i="15" s="1"/>
  <c r="G25" i="11"/>
  <c r="H25" i="11" s="1"/>
  <c r="K25" i="11" s="1"/>
  <c r="F27" i="15" s="1"/>
  <c r="G136" i="11"/>
  <c r="H136" i="11" s="1"/>
  <c r="K136" i="11" s="1"/>
  <c r="F138" i="15" s="1"/>
  <c r="K138" i="15" s="1"/>
  <c r="G49" i="11"/>
  <c r="H49" i="11" s="1"/>
  <c r="K49" i="11" s="1"/>
  <c r="F51" i="15" s="1"/>
  <c r="G73" i="11"/>
  <c r="H73" i="11" s="1"/>
  <c r="K73" i="11" s="1"/>
  <c r="F75" i="15" s="1"/>
  <c r="G269" i="11"/>
  <c r="H269" i="11" s="1"/>
  <c r="K269" i="11" s="1"/>
  <c r="F271" i="15" s="1"/>
  <c r="K271" i="15" s="1"/>
  <c r="G182" i="11"/>
  <c r="H182" i="11" s="1"/>
  <c r="K182" i="11" s="1"/>
  <c r="F184" i="15" s="1"/>
  <c r="K184" i="15" s="1"/>
  <c r="G199" i="11"/>
  <c r="H199" i="11" s="1"/>
  <c r="K199" i="11" s="1"/>
  <c r="F201" i="15" s="1"/>
  <c r="K201" i="15" s="1"/>
  <c r="G206" i="11"/>
  <c r="H206" i="11" s="1"/>
  <c r="K206" i="11" s="1"/>
  <c r="F208" i="15" s="1"/>
  <c r="K208" i="15" s="1"/>
  <c r="G149" i="11"/>
  <c r="H149" i="11" s="1"/>
  <c r="K149" i="11" s="1"/>
  <c r="F151" i="15" s="1"/>
  <c r="K151" i="15" s="1"/>
  <c r="G84" i="11"/>
  <c r="H84" i="11" s="1"/>
  <c r="K84" i="11" s="1"/>
  <c r="F86" i="15" s="1"/>
  <c r="G14" i="11"/>
  <c r="H14" i="11" s="1"/>
  <c r="K14" i="11" s="1"/>
  <c r="F16" i="15" s="1"/>
  <c r="G143" i="11"/>
  <c r="H143" i="11" s="1"/>
  <c r="K143" i="11" s="1"/>
  <c r="F145" i="15" s="1"/>
  <c r="K145" i="15" s="1"/>
  <c r="G20" i="11"/>
  <c r="H20" i="11" s="1"/>
  <c r="K20" i="11" s="1"/>
  <c r="F22" i="15" s="1"/>
  <c r="G10" i="11"/>
  <c r="H10" i="11" s="1"/>
  <c r="K10" i="11" s="1"/>
  <c r="F12" i="15" s="1"/>
  <c r="G148" i="11"/>
  <c r="H148" i="11" s="1"/>
  <c r="K148" i="11" s="1"/>
  <c r="F150" i="15" s="1"/>
  <c r="K150" i="15" s="1"/>
  <c r="G132" i="11"/>
  <c r="H132" i="11" s="1"/>
  <c r="K132" i="11" s="1"/>
  <c r="F134" i="15" s="1"/>
  <c r="K134" i="15" s="1"/>
  <c r="G86" i="11"/>
  <c r="H86" i="11" s="1"/>
  <c r="K86" i="11" s="1"/>
  <c r="F88" i="15" s="1"/>
  <c r="G17" i="11"/>
  <c r="H17" i="11" s="1"/>
  <c r="K17" i="11" s="1"/>
  <c r="F19" i="15" s="1"/>
  <c r="G250" i="11"/>
  <c r="H250" i="11" s="1"/>
  <c r="K250" i="11" s="1"/>
  <c r="F252" i="15" s="1"/>
  <c r="K252" i="15" s="1"/>
  <c r="G140" i="11"/>
  <c r="H140" i="11" s="1"/>
  <c r="K140" i="11" s="1"/>
  <c r="F142" i="15" s="1"/>
  <c r="K142" i="15" s="1"/>
  <c r="G176" i="11"/>
  <c r="H176" i="11" s="1"/>
  <c r="K176" i="11" s="1"/>
  <c r="F178" i="15" s="1"/>
  <c r="K178" i="15" s="1"/>
  <c r="G180" i="11"/>
  <c r="H180" i="11" s="1"/>
  <c r="K180" i="11" s="1"/>
  <c r="F182" i="15" s="1"/>
  <c r="K182" i="15" s="1"/>
  <c r="G191" i="11"/>
  <c r="H191" i="11" s="1"/>
  <c r="K191" i="11" s="1"/>
  <c r="F193" i="15" s="1"/>
  <c r="K193" i="15" s="1"/>
  <c r="G238" i="11"/>
  <c r="H238" i="11" s="1"/>
  <c r="K238" i="11" s="1"/>
  <c r="F240" i="15" s="1"/>
  <c r="K240" i="15" s="1"/>
  <c r="G34" i="11"/>
  <c r="H34" i="11" s="1"/>
  <c r="K34" i="11" s="1"/>
  <c r="F36" i="15" s="1"/>
  <c r="G202" i="11"/>
  <c r="H202" i="11" s="1"/>
  <c r="K202" i="11" s="1"/>
  <c r="F204" i="15" s="1"/>
  <c r="K204" i="15" s="1"/>
  <c r="G88" i="11"/>
  <c r="H88" i="11" s="1"/>
  <c r="K88" i="11" s="1"/>
  <c r="F90" i="15" s="1"/>
  <c r="G43" i="11"/>
  <c r="H43" i="11" s="1"/>
  <c r="K43" i="11" s="1"/>
  <c r="F45" i="15" s="1"/>
  <c r="G110" i="11"/>
  <c r="H110" i="11" s="1"/>
  <c r="K110" i="11" s="1"/>
  <c r="G237" i="11"/>
  <c r="H237" i="11" s="1"/>
  <c r="K237" i="11" s="1"/>
  <c r="F239" i="15" s="1"/>
  <c r="K239" i="15" s="1"/>
  <c r="G13" i="11"/>
  <c r="H13" i="11" s="1"/>
  <c r="K13" i="11" s="1"/>
  <c r="F15" i="15" s="1"/>
  <c r="G256" i="11"/>
  <c r="H256" i="11" s="1"/>
  <c r="K256" i="11" s="1"/>
  <c r="F258" i="15" s="1"/>
  <c r="K258" i="15" s="1"/>
  <c r="G239" i="11"/>
  <c r="H239" i="11" s="1"/>
  <c r="K239" i="11" s="1"/>
  <c r="F241" i="15" s="1"/>
  <c r="K241" i="15" s="1"/>
  <c r="G168" i="11"/>
  <c r="H168" i="11" s="1"/>
  <c r="K168" i="11" s="1"/>
  <c r="F170" i="15" s="1"/>
  <c r="K170" i="15" s="1"/>
  <c r="G231" i="11"/>
  <c r="H231" i="11" s="1"/>
  <c r="K231" i="11" s="1"/>
  <c r="F233" i="15" s="1"/>
  <c r="K233" i="15" s="1"/>
  <c r="G183" i="11"/>
  <c r="H183" i="11" s="1"/>
  <c r="K183" i="11" s="1"/>
  <c r="F185" i="15" s="1"/>
  <c r="K185" i="15" s="1"/>
  <c r="G131" i="11"/>
  <c r="H131" i="11" s="1"/>
  <c r="K131" i="11" s="1"/>
  <c r="F133" i="15" s="1"/>
  <c r="K133" i="15" s="1"/>
  <c r="G115" i="11"/>
  <c r="H115" i="11" s="1"/>
  <c r="K115" i="11" s="1"/>
  <c r="F117" i="15" s="1"/>
  <c r="K117" i="15" s="1"/>
  <c r="G72" i="11"/>
  <c r="H72" i="11" s="1"/>
  <c r="K72" i="11" s="1"/>
  <c r="F74" i="15" s="1"/>
  <c r="G28" i="11"/>
  <c r="H28" i="11" s="1"/>
  <c r="K28" i="11" s="1"/>
  <c r="F30" i="15" s="1"/>
  <c r="G57" i="11"/>
  <c r="H57" i="11" s="1"/>
  <c r="K57" i="11" s="1"/>
  <c r="F59" i="15" s="1"/>
  <c r="G81" i="11"/>
  <c r="H81" i="11" s="1"/>
  <c r="K81" i="11" s="1"/>
  <c r="F83" i="15" s="1"/>
  <c r="G65" i="11"/>
  <c r="H65" i="11" s="1"/>
  <c r="K65" i="11" s="1"/>
  <c r="F67" i="15" s="1"/>
  <c r="G142" i="11"/>
  <c r="H142" i="11" s="1"/>
  <c r="K142" i="11" s="1"/>
  <c r="F144" i="15" s="1"/>
  <c r="K144" i="15" s="1"/>
  <c r="G55" i="11"/>
  <c r="H55" i="11" s="1"/>
  <c r="K55" i="11" s="1"/>
  <c r="F57" i="15" s="1"/>
  <c r="G87" i="11"/>
  <c r="H87" i="11" s="1"/>
  <c r="K87" i="11" s="1"/>
  <c r="F89" i="15" s="1"/>
  <c r="G24" i="11"/>
  <c r="H24" i="11" s="1"/>
  <c r="K24" i="11" s="1"/>
  <c r="F26" i="15" s="1"/>
  <c r="G30" i="11"/>
  <c r="H30" i="11" s="1"/>
  <c r="K30" i="11" s="1"/>
  <c r="F32" i="15" s="1"/>
  <c r="G70" i="11"/>
  <c r="H70" i="11" s="1"/>
  <c r="K70" i="11" s="1"/>
  <c r="F72" i="15" s="1"/>
  <c r="G19" i="11"/>
  <c r="H19" i="11" s="1"/>
  <c r="K19" i="11" s="1"/>
  <c r="F21" i="15" s="1"/>
  <c r="G217" i="11"/>
  <c r="H217" i="11" s="1"/>
  <c r="K217" i="11" s="1"/>
  <c r="F219" i="15" s="1"/>
  <c r="K219" i="15" s="1"/>
  <c r="G52" i="11"/>
  <c r="H52" i="11" s="1"/>
  <c r="K52" i="11" s="1"/>
  <c r="F54" i="15" s="1"/>
  <c r="G112" i="11"/>
  <c r="H112" i="11" s="1"/>
  <c r="K112" i="11" s="1"/>
  <c r="F114" i="15" s="1"/>
  <c r="K114" i="15" s="1"/>
  <c r="G151" i="11"/>
  <c r="H151" i="11" s="1"/>
  <c r="K151" i="11" s="1"/>
  <c r="F153" i="15" s="1"/>
  <c r="K153" i="15" s="1"/>
  <c r="G193" i="11"/>
  <c r="H193" i="11" s="1"/>
  <c r="K193" i="11" s="1"/>
  <c r="F195" i="15" s="1"/>
  <c r="K195" i="15" s="1"/>
  <c r="G74" i="11"/>
  <c r="H74" i="11" s="1"/>
  <c r="K74" i="11" s="1"/>
  <c r="F76" i="15" s="1"/>
  <c r="G147" i="11"/>
  <c r="H147" i="11" s="1"/>
  <c r="K147" i="11" s="1"/>
  <c r="F149" i="15" s="1"/>
  <c r="K149" i="15" s="1"/>
  <c r="G78" i="11"/>
  <c r="H78" i="11" s="1"/>
  <c r="K78" i="11" s="1"/>
  <c r="F80" i="15" s="1"/>
  <c r="G85" i="11"/>
  <c r="H85" i="11" s="1"/>
  <c r="K85" i="11" s="1"/>
  <c r="F87" i="15" s="1"/>
  <c r="G246" i="11"/>
  <c r="H246" i="11" s="1"/>
  <c r="K246" i="11" s="1"/>
  <c r="F248" i="15" s="1"/>
  <c r="K248" i="15" s="1"/>
  <c r="G218" i="11"/>
  <c r="H218" i="11" s="1"/>
  <c r="K218" i="11" s="1"/>
  <c r="F220" i="15" s="1"/>
  <c r="K220" i="15" s="1"/>
  <c r="G127" i="11"/>
  <c r="H127" i="11" s="1"/>
  <c r="K127" i="11" s="1"/>
  <c r="F129" i="15" s="1"/>
  <c r="K129" i="15" s="1"/>
  <c r="G64" i="11"/>
  <c r="H64" i="11" s="1"/>
  <c r="K64" i="11" s="1"/>
  <c r="F66" i="15" s="1"/>
  <c r="G35" i="11"/>
  <c r="H35" i="11" s="1"/>
  <c r="K35" i="11" s="1"/>
  <c r="F37" i="15" s="1"/>
  <c r="G63" i="11"/>
  <c r="H63" i="11" s="1"/>
  <c r="K63" i="11" s="1"/>
  <c r="F65" i="15" s="1"/>
  <c r="G161" i="11"/>
  <c r="H161" i="11" s="1"/>
  <c r="K161" i="11" s="1"/>
  <c r="F163" i="15" s="1"/>
  <c r="K163" i="15" s="1"/>
  <c r="G79" i="11"/>
  <c r="H79" i="11" s="1"/>
  <c r="K79" i="11" s="1"/>
  <c r="F81" i="15" s="1"/>
  <c r="G42" i="11"/>
  <c r="H42" i="11" s="1"/>
  <c r="K42" i="11" s="1"/>
  <c r="F44" i="15" s="1"/>
  <c r="G37" i="11"/>
  <c r="H37" i="11" s="1"/>
  <c r="K37" i="11" s="1"/>
  <c r="F39" i="15" s="1"/>
  <c r="G150" i="11"/>
  <c r="H150" i="11" s="1"/>
  <c r="K150" i="11" s="1"/>
  <c r="F152" i="15" s="1"/>
  <c r="K152" i="15" s="1"/>
  <c r="G174" i="11"/>
  <c r="H174" i="11" s="1"/>
  <c r="K174" i="11" s="1"/>
  <c r="F176" i="15" s="1"/>
  <c r="K176" i="15" s="1"/>
  <c r="G109" i="11"/>
  <c r="H109" i="11" s="1"/>
  <c r="K109" i="11" s="1"/>
  <c r="F111" i="15" s="1"/>
  <c r="K111" i="15" s="1"/>
  <c r="G18" i="11"/>
  <c r="H18" i="11" s="1"/>
  <c r="K18" i="11" s="1"/>
  <c r="F20" i="15" s="1"/>
  <c r="G77" i="11"/>
  <c r="H77" i="11" s="1"/>
  <c r="K77" i="11" s="1"/>
  <c r="F79" i="15" s="1"/>
  <c r="G33" i="11"/>
  <c r="H33" i="11" s="1"/>
  <c r="K33" i="11" s="1"/>
  <c r="F35" i="15" s="1"/>
  <c r="G208" i="11"/>
  <c r="H208" i="11" s="1"/>
  <c r="K208" i="11" s="1"/>
  <c r="F210" i="15" s="1"/>
  <c r="K210" i="15" s="1"/>
  <c r="G223" i="11"/>
  <c r="H223" i="11" s="1"/>
  <c r="K223" i="11" s="1"/>
  <c r="F225" i="15" s="1"/>
  <c r="K225" i="15" s="1"/>
  <c r="G219" i="11"/>
  <c r="H219" i="11" s="1"/>
  <c r="K219" i="11" s="1"/>
  <c r="F221" i="15" s="1"/>
  <c r="K221" i="15" s="1"/>
  <c r="G187" i="11"/>
  <c r="H187" i="11" s="1"/>
  <c r="K187" i="11" s="1"/>
  <c r="F189" i="15" s="1"/>
  <c r="K189" i="15" s="1"/>
  <c r="G156" i="11"/>
  <c r="H156" i="11" s="1"/>
  <c r="K156" i="11" s="1"/>
  <c r="F158" i="15" s="1"/>
  <c r="K158" i="15" s="1"/>
  <c r="G111" i="11"/>
  <c r="H111" i="11" s="1"/>
  <c r="K111" i="11" s="1"/>
  <c r="F113" i="15" s="1"/>
  <c r="K113" i="15" s="1"/>
  <c r="G71" i="11"/>
  <c r="H71" i="11" s="1"/>
  <c r="K71" i="11" s="1"/>
  <c r="F73" i="15" s="1"/>
  <c r="G252" i="11"/>
  <c r="H252" i="11" s="1"/>
  <c r="K252" i="11" s="1"/>
  <c r="F254" i="15" s="1"/>
  <c r="K254" i="15" s="1"/>
  <c r="G76" i="11"/>
  <c r="H76" i="11" s="1"/>
  <c r="K76" i="11" s="1"/>
  <c r="F78" i="15" s="1"/>
  <c r="G157" i="11"/>
  <c r="H157" i="11" s="1"/>
  <c r="K157" i="11" s="1"/>
  <c r="F159" i="15" s="1"/>
  <c r="K159" i="15" s="1"/>
  <c r="G128" i="11"/>
  <c r="H128" i="11" s="1"/>
  <c r="K128" i="11" s="1"/>
  <c r="F130" i="15" s="1"/>
  <c r="K130" i="15" s="1"/>
  <c r="G139" i="11"/>
  <c r="H139" i="11" s="1"/>
  <c r="K139" i="11" s="1"/>
  <c r="F141" i="15" s="1"/>
  <c r="K141" i="15" s="1"/>
  <c r="G90" i="11"/>
  <c r="H90" i="11" s="1"/>
  <c r="K90" i="11" s="1"/>
  <c r="F92" i="15" s="1"/>
  <c r="G39" i="11"/>
  <c r="H39" i="11" s="1"/>
  <c r="K39" i="11" s="1"/>
  <c r="F41" i="15" s="1"/>
  <c r="G103" i="11"/>
  <c r="H103" i="11" s="1"/>
  <c r="K103" i="11" s="1"/>
  <c r="F105" i="15" s="1"/>
  <c r="K105" i="15" s="1"/>
  <c r="G122" i="11"/>
  <c r="H122" i="11" s="1"/>
  <c r="K122" i="11" s="1"/>
  <c r="F124" i="15" s="1"/>
  <c r="K124" i="15" s="1"/>
  <c r="G104" i="11"/>
  <c r="H104" i="11" s="1"/>
  <c r="K104" i="11" s="1"/>
  <c r="F106" i="15" s="1"/>
  <c r="K106" i="15" s="1"/>
  <c r="G194" i="11"/>
  <c r="H194" i="11" s="1"/>
  <c r="K194" i="11" s="1"/>
  <c r="F196" i="15" s="1"/>
  <c r="K196" i="15" s="1"/>
  <c r="G244" i="11"/>
  <c r="H244" i="11" s="1"/>
  <c r="K244" i="11" s="1"/>
  <c r="F246" i="15" s="1"/>
  <c r="K246" i="15" s="1"/>
  <c r="G189" i="11"/>
  <c r="H189" i="11" s="1"/>
  <c r="K189" i="11" s="1"/>
  <c r="F191" i="15" s="1"/>
  <c r="K191" i="15" s="1"/>
  <c r="G93" i="11"/>
  <c r="H93" i="11" s="1"/>
  <c r="K93" i="11" s="1"/>
  <c r="F95" i="15" s="1"/>
  <c r="G5" i="11"/>
  <c r="H5" i="11" s="1"/>
  <c r="K5" i="11" s="1"/>
  <c r="F7" i="15" s="1"/>
  <c r="G224" i="11"/>
  <c r="H224" i="11" s="1"/>
  <c r="K224" i="11" s="1"/>
  <c r="F226" i="15" s="1"/>
  <c r="K226" i="15" s="1"/>
  <c r="G201" i="11"/>
  <c r="H201" i="11" s="1"/>
  <c r="K201" i="11" s="1"/>
  <c r="F203" i="15" s="1"/>
  <c r="K203" i="15" s="1"/>
  <c r="G167" i="11"/>
  <c r="H167" i="11" s="1"/>
  <c r="K167" i="11" s="1"/>
  <c r="F169" i="15" s="1"/>
  <c r="K169" i="15" s="1"/>
  <c r="G99" i="11"/>
  <c r="H99" i="11" s="1"/>
  <c r="K99" i="11" s="1"/>
  <c r="F101" i="15" s="1"/>
  <c r="K101" i="15" s="1"/>
  <c r="G58" i="11"/>
  <c r="H58" i="11" s="1"/>
  <c r="K58" i="11" s="1"/>
  <c r="F60" i="15" s="1"/>
  <c r="G296" i="11"/>
  <c r="H296" i="11" s="1"/>
  <c r="K296" i="11" s="1"/>
  <c r="F298" i="15" s="1"/>
  <c r="K298" i="15" s="1"/>
  <c r="G280" i="11"/>
  <c r="H280" i="11" s="1"/>
  <c r="K280" i="11" s="1"/>
  <c r="F282" i="15" s="1"/>
  <c r="K282" i="15" s="1"/>
  <c r="G294" i="11"/>
  <c r="H294" i="11" s="1"/>
  <c r="K294" i="11" s="1"/>
  <c r="G302" i="11"/>
  <c r="H302" i="11" s="1"/>
  <c r="K302" i="11" s="1"/>
  <c r="F304" i="15" s="1"/>
  <c r="K304" i="15" s="1"/>
  <c r="G257" i="11"/>
  <c r="H257" i="11" s="1"/>
  <c r="K257" i="11" s="1"/>
  <c r="F259" i="15" s="1"/>
  <c r="K259" i="15" s="1"/>
  <c r="G126" i="11"/>
  <c r="H126" i="11" s="1"/>
  <c r="K126" i="11" s="1"/>
  <c r="F128" i="15" s="1"/>
  <c r="K128" i="15" s="1"/>
  <c r="G200" i="11"/>
  <c r="H200" i="11" s="1"/>
  <c r="K200" i="11" s="1"/>
  <c r="F202" i="15" s="1"/>
  <c r="K202" i="15" s="1"/>
  <c r="G233" i="11"/>
  <c r="H233" i="11" s="1"/>
  <c r="K233" i="11" s="1"/>
  <c r="F235" i="15" s="1"/>
  <c r="K235" i="15" s="1"/>
  <c r="G68" i="11"/>
  <c r="H68" i="11" s="1"/>
  <c r="K68" i="11" s="1"/>
  <c r="F70" i="15" s="1"/>
  <c r="G95" i="11"/>
  <c r="H95" i="11" s="1"/>
  <c r="K95" i="11" s="1"/>
  <c r="F97" i="15" s="1"/>
  <c r="D292" i="15"/>
  <c r="G91" i="11"/>
  <c r="H91" i="11" s="1"/>
  <c r="K91" i="11" s="1"/>
  <c r="F93" i="15" s="1"/>
  <c r="G264" i="11"/>
  <c r="H264" i="11" s="1"/>
  <c r="K264" i="11" s="1"/>
  <c r="F266" i="15" s="1"/>
  <c r="K266" i="15" s="1"/>
  <c r="G107" i="11"/>
  <c r="H107" i="11" s="1"/>
  <c r="K107" i="11" s="1"/>
  <c r="F109" i="15" s="1"/>
  <c r="K109" i="15" s="1"/>
  <c r="G106" i="11"/>
  <c r="H106" i="11" s="1"/>
  <c r="K106" i="11" s="1"/>
  <c r="F108" i="15" s="1"/>
  <c r="K108" i="15" s="1"/>
  <c r="E296" i="15"/>
  <c r="G98" i="11"/>
  <c r="H98" i="11" s="1"/>
  <c r="K98" i="11" s="1"/>
  <c r="F100" i="15" s="1"/>
  <c r="K100" i="15" s="1"/>
  <c r="G138" i="11"/>
  <c r="H138" i="11" s="1"/>
  <c r="K138" i="11" s="1"/>
  <c r="F140" i="15" s="1"/>
  <c r="K140" i="15" s="1"/>
  <c r="G154" i="11"/>
  <c r="H154" i="11" s="1"/>
  <c r="K154" i="11" s="1"/>
  <c r="F156" i="15" s="1"/>
  <c r="K156" i="15" s="1"/>
  <c r="G163" i="11"/>
  <c r="H163" i="11" s="1"/>
  <c r="K163" i="11" s="1"/>
  <c r="F165" i="15" s="1"/>
  <c r="K165" i="15" s="1"/>
  <c r="G89" i="11"/>
  <c r="H89" i="11" s="1"/>
  <c r="K89" i="11" s="1"/>
  <c r="F91" i="15" s="1"/>
  <c r="G270" i="11"/>
  <c r="H270" i="11" s="1"/>
  <c r="K270" i="11" s="1"/>
  <c r="F272" i="15" s="1"/>
  <c r="K272" i="15" s="1"/>
  <c r="G265" i="11"/>
  <c r="H265" i="11" s="1"/>
  <c r="K265" i="11" s="1"/>
  <c r="F267" i="15" s="1"/>
  <c r="K267" i="15" s="1"/>
  <c r="F265" i="11"/>
  <c r="J265" i="11" s="1"/>
  <c r="G293" i="11"/>
  <c r="H293" i="11" s="1"/>
  <c r="K293" i="11" s="1"/>
  <c r="F295" i="15" s="1"/>
  <c r="K295" i="15" s="1"/>
  <c r="G211" i="11"/>
  <c r="H211" i="11" s="1"/>
  <c r="K211" i="11" s="1"/>
  <c r="F213" i="15" s="1"/>
  <c r="K213" i="15" s="1"/>
  <c r="G195" i="11"/>
  <c r="H195" i="11" s="1"/>
  <c r="K195" i="11" s="1"/>
  <c r="F197" i="15" s="1"/>
  <c r="K197" i="15" s="1"/>
  <c r="G175" i="11"/>
  <c r="H175" i="11" s="1"/>
  <c r="K175" i="11" s="1"/>
  <c r="F177" i="15" s="1"/>
  <c r="K177" i="15" s="1"/>
  <c r="G53" i="11"/>
  <c r="H53" i="11" s="1"/>
  <c r="K53" i="11" s="1"/>
  <c r="F55" i="15" s="1"/>
  <c r="G310" i="11"/>
  <c r="H310" i="11" s="1"/>
  <c r="K310" i="11" s="1"/>
  <c r="F312" i="15" s="1"/>
  <c r="K312" i="15" s="1"/>
  <c r="G305" i="11"/>
  <c r="H305" i="11" s="1"/>
  <c r="K305" i="11" s="1"/>
  <c r="G284" i="11"/>
  <c r="H284" i="11" s="1"/>
  <c r="K284" i="11" s="1"/>
  <c r="F286" i="15" s="1"/>
  <c r="K286" i="15" s="1"/>
  <c r="G304" i="11"/>
  <c r="H304" i="11" s="1"/>
  <c r="K304" i="11" s="1"/>
  <c r="F306" i="15" s="1"/>
  <c r="K306" i="15" s="1"/>
  <c r="G169" i="11"/>
  <c r="H169" i="11" s="1"/>
  <c r="K169" i="11" s="1"/>
  <c r="F171" i="15" s="1"/>
  <c r="K171" i="15" s="1"/>
  <c r="G188" i="11"/>
  <c r="H188" i="11" s="1"/>
  <c r="K188" i="11" s="1"/>
  <c r="F190" i="15" s="1"/>
  <c r="K190" i="15" s="1"/>
  <c r="G162" i="11"/>
  <c r="H162" i="11" s="1"/>
  <c r="K162" i="11" s="1"/>
  <c r="F164" i="15" s="1"/>
  <c r="K164" i="15" s="1"/>
  <c r="G125" i="11"/>
  <c r="H125" i="11" s="1"/>
  <c r="K125" i="11" s="1"/>
  <c r="F127" i="15" s="1"/>
  <c r="K127" i="15" s="1"/>
  <c r="G100" i="11"/>
  <c r="H100" i="11" s="1"/>
  <c r="K100" i="11" s="1"/>
  <c r="F102" i="15" s="1"/>
  <c r="K102" i="15" s="1"/>
  <c r="G275" i="11"/>
  <c r="H275" i="11" s="1"/>
  <c r="K275" i="11" s="1"/>
  <c r="F277" i="15" s="1"/>
  <c r="K277" i="15" s="1"/>
  <c r="G160" i="11"/>
  <c r="H160" i="11" s="1"/>
  <c r="K160" i="11" s="1"/>
  <c r="F162" i="15" s="1"/>
  <c r="K162" i="15" s="1"/>
  <c r="G144" i="11"/>
  <c r="H144" i="11" s="1"/>
  <c r="K144" i="11" s="1"/>
  <c r="F146" i="15" s="1"/>
  <c r="K146" i="15" s="1"/>
  <c r="G118" i="11"/>
  <c r="H118" i="11" s="1"/>
  <c r="K118" i="11" s="1"/>
  <c r="F120" i="15" s="1"/>
  <c r="K120" i="15" s="1"/>
  <c r="G173" i="11"/>
  <c r="H173" i="11" s="1"/>
  <c r="K173" i="11" s="1"/>
  <c r="F175" i="15" s="1"/>
  <c r="K175" i="15" s="1"/>
  <c r="G172" i="11"/>
  <c r="H172" i="11" s="1"/>
  <c r="K172" i="11" s="1"/>
  <c r="F174" i="15" s="1"/>
  <c r="K174" i="15" s="1"/>
  <c r="G40" i="11"/>
  <c r="H40" i="11" s="1"/>
  <c r="K40" i="11" s="1"/>
  <c r="F42" i="15" s="1"/>
  <c r="G83" i="11"/>
  <c r="H83" i="11" s="1"/>
  <c r="K83" i="11" s="1"/>
  <c r="F85" i="15" s="1"/>
  <c r="G277" i="11"/>
  <c r="H277" i="11" s="1"/>
  <c r="K277" i="11" s="1"/>
  <c r="F279" i="15" s="1"/>
  <c r="K279" i="15" s="1"/>
  <c r="G249" i="11"/>
  <c r="H249" i="11" s="1"/>
  <c r="K249" i="11" s="1"/>
  <c r="F251" i="15" s="1"/>
  <c r="K251" i="15" s="1"/>
  <c r="G235" i="11"/>
  <c r="H235" i="11" s="1"/>
  <c r="K235" i="11" s="1"/>
  <c r="F237" i="15" s="1"/>
  <c r="K237" i="15" s="1"/>
  <c r="G29" i="11"/>
  <c r="H29" i="11" s="1"/>
  <c r="K29" i="11" s="1"/>
  <c r="F31" i="15" s="1"/>
  <c r="G9" i="11"/>
  <c r="H9" i="11" s="1"/>
  <c r="K9" i="11" s="1"/>
  <c r="F11" i="15" s="1"/>
  <c r="G286" i="11"/>
  <c r="H286" i="11" s="1"/>
  <c r="K286" i="11" s="1"/>
  <c r="F288" i="15" s="1"/>
  <c r="G313" i="11"/>
  <c r="H313" i="11" s="1"/>
  <c r="K313" i="11" s="1"/>
  <c r="F315" i="15" s="1"/>
  <c r="K315" i="15" s="1"/>
  <c r="G303" i="11"/>
  <c r="H303" i="11" s="1"/>
  <c r="K303" i="11" s="1"/>
  <c r="F305" i="15" s="1"/>
  <c r="K305" i="15" s="1"/>
  <c r="G314" i="11"/>
  <c r="H314" i="11" s="1"/>
  <c r="K314" i="11" s="1"/>
  <c r="F316" i="15" s="1"/>
  <c r="K316" i="15" s="1"/>
  <c r="G259" i="11"/>
  <c r="H259" i="11" s="1"/>
  <c r="K259" i="11" s="1"/>
  <c r="F261" i="15" s="1"/>
  <c r="K261" i="15" s="1"/>
  <c r="G213" i="11"/>
  <c r="H213" i="11" s="1"/>
  <c r="K213" i="11" s="1"/>
  <c r="F215" i="15" s="1"/>
  <c r="K215" i="15" s="1"/>
  <c r="G229" i="11"/>
  <c r="H229" i="11" s="1"/>
  <c r="K229" i="11" s="1"/>
  <c r="F231" i="15" s="1"/>
  <c r="K231" i="15" s="1"/>
  <c r="G56" i="11"/>
  <c r="H56" i="11" s="1"/>
  <c r="K56" i="11" s="1"/>
  <c r="F58" i="15" s="1"/>
  <c r="G48" i="11"/>
  <c r="H48" i="11" s="1"/>
  <c r="K48" i="11" s="1"/>
  <c r="F50" i="15" s="1"/>
  <c r="G41" i="11"/>
  <c r="H41" i="11" s="1"/>
  <c r="K41" i="11" s="1"/>
  <c r="F43" i="15" s="1"/>
  <c r="I321" i="1"/>
  <c r="J321" i="1" s="1"/>
  <c r="K97" i="15" l="1"/>
  <c r="C287" i="15"/>
  <c r="I287" i="1"/>
  <c r="J286" i="1"/>
  <c r="K286" i="1"/>
  <c r="C288" i="15" s="1"/>
  <c r="K288" i="15" s="1"/>
  <c r="I93" i="1"/>
  <c r="J94" i="1"/>
  <c r="K94" i="1"/>
  <c r="C96" i="15" s="1"/>
  <c r="K96" i="15" s="1"/>
  <c r="I365" i="2"/>
  <c r="K364" i="2"/>
  <c r="D366" i="15" s="1"/>
  <c r="K366" i="15" s="1"/>
  <c r="J364" i="2"/>
  <c r="F278" i="15"/>
  <c r="K278" i="15" s="1"/>
  <c r="F328" i="15"/>
  <c r="K328" i="15" s="1"/>
  <c r="F335" i="15"/>
  <c r="K335" i="15" s="1"/>
  <c r="F292" i="15"/>
  <c r="K292" i="15" s="1"/>
  <c r="F296" i="15"/>
  <c r="K296" i="15" s="1"/>
  <c r="J304" i="15" s="1"/>
  <c r="F268" i="15"/>
  <c r="K268" i="15" s="1"/>
  <c r="F260" i="15"/>
  <c r="K260" i="15" s="1"/>
  <c r="F307" i="15"/>
  <c r="K307" i="15" s="1"/>
  <c r="F287" i="15"/>
  <c r="F308" i="15"/>
  <c r="K308" i="15" s="1"/>
  <c r="L2" i="11"/>
  <c r="L3" i="11" s="1"/>
  <c r="L4" i="11" s="1"/>
  <c r="L5" i="11" s="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L84" i="11" s="1"/>
  <c r="L85" i="11" s="1"/>
  <c r="L86" i="11" s="1"/>
  <c r="L87" i="11" s="1"/>
  <c r="L88" i="11" s="1"/>
  <c r="L89" i="11" s="1"/>
  <c r="L90" i="11" s="1"/>
  <c r="L91" i="11" s="1"/>
  <c r="L92" i="11" s="1"/>
  <c r="L93" i="11" s="1"/>
  <c r="L94" i="11" s="1"/>
  <c r="L95" i="11" s="1"/>
  <c r="L96" i="11" s="1"/>
  <c r="L97" i="11" s="1"/>
  <c r="L98" i="11" s="1"/>
  <c r="L99" i="11" s="1"/>
  <c r="L100" i="11" s="1"/>
  <c r="L101" i="11" s="1"/>
  <c r="L102" i="11" s="1"/>
  <c r="L103" i="11" s="1"/>
  <c r="L104" i="11" s="1"/>
  <c r="L105" i="11" s="1"/>
  <c r="L106" i="11" s="1"/>
  <c r="L107" i="11" s="1"/>
  <c r="L108" i="11" s="1"/>
  <c r="L109" i="11" s="1"/>
  <c r="L110" i="11" s="1"/>
  <c r="L111" i="11" s="1"/>
  <c r="L112" i="11" s="1"/>
  <c r="L113" i="11" s="1"/>
  <c r="L114" i="11" s="1"/>
  <c r="L115" i="11" s="1"/>
  <c r="L116" i="11" s="1"/>
  <c r="L117" i="11" s="1"/>
  <c r="L118" i="11" s="1"/>
  <c r="L119" i="11" s="1"/>
  <c r="L120" i="11" s="1"/>
  <c r="L121" i="11" s="1"/>
  <c r="L122" i="11" s="1"/>
  <c r="L123" i="11" s="1"/>
  <c r="L124" i="11" s="1"/>
  <c r="L125" i="11" s="1"/>
  <c r="L126" i="11" s="1"/>
  <c r="L127" i="11" s="1"/>
  <c r="L128" i="11" s="1"/>
  <c r="L129" i="11" s="1"/>
  <c r="L130" i="11" s="1"/>
  <c r="L131" i="11" s="1"/>
  <c r="L132" i="11" s="1"/>
  <c r="L133" i="11" s="1"/>
  <c r="L134" i="11" s="1"/>
  <c r="L135" i="11" s="1"/>
  <c r="L136" i="11" s="1"/>
  <c r="L137" i="11" s="1"/>
  <c r="L138" i="11" s="1"/>
  <c r="L139" i="11" s="1"/>
  <c r="L140" i="11" s="1"/>
  <c r="L141" i="11" s="1"/>
  <c r="L142" i="11" s="1"/>
  <c r="L143" i="11" s="1"/>
  <c r="L144" i="11" s="1"/>
  <c r="L145" i="11" s="1"/>
  <c r="L146" i="11" s="1"/>
  <c r="L147" i="11" s="1"/>
  <c r="L148" i="11" s="1"/>
  <c r="L149" i="11" s="1"/>
  <c r="L150" i="11" s="1"/>
  <c r="L151" i="11" s="1"/>
  <c r="L152" i="11" s="1"/>
  <c r="L153" i="11" s="1"/>
  <c r="L154" i="11" s="1"/>
  <c r="L155" i="11" s="1"/>
  <c r="L156" i="11" s="1"/>
  <c r="L157" i="11" s="1"/>
  <c r="L158" i="11" s="1"/>
  <c r="L159" i="11" s="1"/>
  <c r="L160" i="11" s="1"/>
  <c r="L161" i="11" s="1"/>
  <c r="L162" i="11" s="1"/>
  <c r="L163" i="11" s="1"/>
  <c r="L164" i="11" s="1"/>
  <c r="L165" i="11" s="1"/>
  <c r="L166" i="11" s="1"/>
  <c r="L167" i="11" s="1"/>
  <c r="L168" i="11" s="1"/>
  <c r="L169" i="11" s="1"/>
  <c r="L170" i="11" s="1"/>
  <c r="L171" i="11" s="1"/>
  <c r="L172" i="11" s="1"/>
  <c r="L173" i="11" s="1"/>
  <c r="L174" i="11" s="1"/>
  <c r="L175" i="11" s="1"/>
  <c r="L176" i="11" s="1"/>
  <c r="L177" i="11" s="1"/>
  <c r="L178" i="11" s="1"/>
  <c r="L179" i="11" s="1"/>
  <c r="L180" i="11" s="1"/>
  <c r="L181" i="11" s="1"/>
  <c r="L182" i="11" s="1"/>
  <c r="L183" i="11" s="1"/>
  <c r="L184" i="11" s="1"/>
  <c r="L185" i="11" s="1"/>
  <c r="L186" i="11" s="1"/>
  <c r="L187" i="11" s="1"/>
  <c r="L188" i="11" s="1"/>
  <c r="L189" i="11" s="1"/>
  <c r="L190" i="11" s="1"/>
  <c r="L191" i="11" s="1"/>
  <c r="L192" i="11" s="1"/>
  <c r="L193" i="11" s="1"/>
  <c r="L194" i="11" s="1"/>
  <c r="L195" i="11" s="1"/>
  <c r="L196" i="11" s="1"/>
  <c r="L197" i="11" s="1"/>
  <c r="L198" i="11" s="1"/>
  <c r="L199" i="11" s="1"/>
  <c r="L200" i="11" s="1"/>
  <c r="L201" i="11" s="1"/>
  <c r="L202" i="11" s="1"/>
  <c r="L203" i="11" s="1"/>
  <c r="L204" i="11" s="1"/>
  <c r="L205" i="11" s="1"/>
  <c r="L206" i="11" s="1"/>
  <c r="L207" i="11" s="1"/>
  <c r="L208" i="11" s="1"/>
  <c r="L209" i="11" s="1"/>
  <c r="L210" i="11" s="1"/>
  <c r="L211" i="11" s="1"/>
  <c r="L212" i="11" s="1"/>
  <c r="L213" i="11" s="1"/>
  <c r="L214" i="11" s="1"/>
  <c r="L215" i="11" s="1"/>
  <c r="L216" i="11" s="1"/>
  <c r="L217" i="11" s="1"/>
  <c r="L218" i="11" s="1"/>
  <c r="L219" i="11" s="1"/>
  <c r="L220" i="11" s="1"/>
  <c r="L221" i="11" s="1"/>
  <c r="L222" i="11" s="1"/>
  <c r="L223" i="11" s="1"/>
  <c r="L224" i="11" s="1"/>
  <c r="L225" i="11" s="1"/>
  <c r="L226" i="11" s="1"/>
  <c r="L227" i="11" s="1"/>
  <c r="L228" i="11" s="1"/>
  <c r="L229" i="11" s="1"/>
  <c r="L230" i="11" s="1"/>
  <c r="L231" i="11" s="1"/>
  <c r="L232" i="11" s="1"/>
  <c r="L233" i="11" s="1"/>
  <c r="L234" i="11" s="1"/>
  <c r="L235" i="11" s="1"/>
  <c r="L236" i="11" s="1"/>
  <c r="L237" i="11" s="1"/>
  <c r="L238" i="11" s="1"/>
  <c r="L239" i="11" s="1"/>
  <c r="L240" i="11" s="1"/>
  <c r="L241" i="11" s="1"/>
  <c r="L242" i="11" s="1"/>
  <c r="L243" i="11" s="1"/>
  <c r="L244" i="11" s="1"/>
  <c r="L245" i="11" s="1"/>
  <c r="L246" i="11" s="1"/>
  <c r="L247" i="11" s="1"/>
  <c r="L248" i="11" s="1"/>
  <c r="L249" i="11" s="1"/>
  <c r="L250" i="11" s="1"/>
  <c r="L251" i="11" s="1"/>
  <c r="L252" i="11" s="1"/>
  <c r="L253" i="11" s="1"/>
  <c r="L254" i="11" s="1"/>
  <c r="L255" i="11" s="1"/>
  <c r="L256" i="11" s="1"/>
  <c r="L257" i="11" s="1"/>
  <c r="L258" i="11" s="1"/>
  <c r="L259" i="11" s="1"/>
  <c r="L260" i="11" s="1"/>
  <c r="L261" i="11" s="1"/>
  <c r="L262" i="11" s="1"/>
  <c r="L263" i="11" s="1"/>
  <c r="L264" i="11" s="1"/>
  <c r="L265" i="11" s="1"/>
  <c r="L266" i="11" s="1"/>
  <c r="L267" i="11" s="1"/>
  <c r="L268" i="11" s="1"/>
  <c r="L269" i="11" s="1"/>
  <c r="L270" i="11" s="1"/>
  <c r="L271" i="11" s="1"/>
  <c r="L272" i="11" s="1"/>
  <c r="L273" i="11" s="1"/>
  <c r="L274" i="11" s="1"/>
  <c r="L275" i="11" s="1"/>
  <c r="L276" i="11" s="1"/>
  <c r="L277" i="11" s="1"/>
  <c r="L278" i="11" s="1"/>
  <c r="L279" i="11" s="1"/>
  <c r="L280" i="11" s="1"/>
  <c r="L281" i="11" s="1"/>
  <c r="L282" i="11" s="1"/>
  <c r="L283" i="11" s="1"/>
  <c r="L284" i="11" s="1"/>
  <c r="L285" i="11" s="1"/>
  <c r="L286" i="11" s="1"/>
  <c r="L287" i="11" s="1"/>
  <c r="L288" i="11" s="1"/>
  <c r="L289" i="11" s="1"/>
  <c r="L290" i="11" s="1"/>
  <c r="L291" i="11" s="1"/>
  <c r="L292" i="11" s="1"/>
  <c r="L293" i="11" s="1"/>
  <c r="L294" i="11" s="1"/>
  <c r="L295" i="11" s="1"/>
  <c r="L296" i="11" s="1"/>
  <c r="L297" i="11" s="1"/>
  <c r="L298" i="11" s="1"/>
  <c r="L299" i="11" s="1"/>
  <c r="L300" i="11" s="1"/>
  <c r="L301" i="11" s="1"/>
  <c r="L302" i="11" s="1"/>
  <c r="L303" i="11" s="1"/>
  <c r="L304" i="11" s="1"/>
  <c r="L305" i="11" s="1"/>
  <c r="L306" i="11" s="1"/>
  <c r="L307" i="11" s="1"/>
  <c r="L308" i="11" s="1"/>
  <c r="L309" i="11" s="1"/>
  <c r="L310" i="11" s="1"/>
  <c r="L311" i="11" s="1"/>
  <c r="L312" i="11" s="1"/>
  <c r="L313" i="11" s="1"/>
  <c r="L314" i="11" s="1"/>
  <c r="L315" i="11" s="1"/>
  <c r="L316" i="11" s="1"/>
  <c r="L317" i="11" s="1"/>
  <c r="L318" i="11" s="1"/>
  <c r="L319" i="11" s="1"/>
  <c r="L320" i="11" s="1"/>
  <c r="L321" i="11" s="1"/>
  <c r="L322" i="11" s="1"/>
  <c r="L323" i="11" s="1"/>
  <c r="L324" i="11" s="1"/>
  <c r="L325" i="11" s="1"/>
  <c r="L326" i="11" s="1"/>
  <c r="L327" i="11" s="1"/>
  <c r="L328" i="11" s="1"/>
  <c r="L329" i="11" s="1"/>
  <c r="L330" i="11" s="1"/>
  <c r="L331" i="11" s="1"/>
  <c r="L332" i="11" s="1"/>
  <c r="L333" i="11" s="1"/>
  <c r="L334" i="11" s="1"/>
  <c r="L335" i="11" s="1"/>
  <c r="L336" i="11" s="1"/>
  <c r="L337" i="11" s="1"/>
  <c r="L338" i="11" s="1"/>
  <c r="L339" i="11" s="1"/>
  <c r="L340" i="11" s="1"/>
  <c r="L341" i="11" s="1"/>
  <c r="L342" i="11" s="1"/>
  <c r="L343" i="11" s="1"/>
  <c r="L344" i="11" s="1"/>
  <c r="L345" i="11" s="1"/>
  <c r="L346" i="11" s="1"/>
  <c r="L347" i="11" s="1"/>
  <c r="L348" i="11" s="1"/>
  <c r="L349" i="11" s="1"/>
  <c r="L350" i="11" s="1"/>
  <c r="L351" i="11" s="1"/>
  <c r="L352" i="11" s="1"/>
  <c r="L353" i="11" s="1"/>
  <c r="L354" i="11" s="1"/>
  <c r="L355" i="11" s="1"/>
  <c r="L356" i="11" s="1"/>
  <c r="L357" i="11" s="1"/>
  <c r="L358" i="11" s="1"/>
  <c r="L359" i="11" s="1"/>
  <c r="L360" i="11" s="1"/>
  <c r="L361" i="11" s="1"/>
  <c r="L362" i="11" s="1"/>
  <c r="L363" i="11" s="1"/>
  <c r="L364" i="11" s="1"/>
  <c r="L365" i="11" s="1"/>
  <c r="L366" i="11" s="1"/>
  <c r="L367" i="11" s="1"/>
  <c r="L368" i="11" s="1"/>
  <c r="L369" i="11" s="1"/>
  <c r="L370" i="11" s="1"/>
  <c r="L371" i="11" s="1"/>
  <c r="L372" i="11" s="1"/>
  <c r="L373" i="11" s="1"/>
  <c r="L374" i="11" s="1"/>
  <c r="L375" i="11" s="1"/>
  <c r="L376" i="11" s="1"/>
  <c r="L377" i="11" s="1"/>
  <c r="L378" i="11" s="1"/>
  <c r="L379" i="11" s="1"/>
  <c r="L380" i="11" s="1"/>
  <c r="L381" i="11" s="1"/>
  <c r="L382" i="11" s="1"/>
  <c r="L383" i="11" s="1"/>
  <c r="L384" i="11" s="1"/>
  <c r="L385" i="11" s="1"/>
  <c r="L386" i="11" s="1"/>
  <c r="L387" i="11" s="1"/>
  <c r="L388" i="11" s="1"/>
  <c r="L389" i="11" s="1"/>
  <c r="L390" i="11" s="1"/>
  <c r="L391" i="11" s="1"/>
  <c r="L392" i="11" s="1"/>
  <c r="L393" i="11" s="1"/>
  <c r="L394" i="11" s="1"/>
  <c r="L395" i="11" s="1"/>
  <c r="L396" i="11" s="1"/>
  <c r="L397" i="11" s="1"/>
  <c r="L398" i="11" s="1"/>
  <c r="L399" i="11" s="1"/>
  <c r="L400" i="11" s="1"/>
  <c r="L401" i="11" s="1"/>
  <c r="L402" i="11" s="1"/>
  <c r="L403" i="11" s="1"/>
  <c r="L404" i="11" s="1"/>
  <c r="L405" i="11" s="1"/>
  <c r="L406" i="11" s="1"/>
  <c r="F4" i="15"/>
  <c r="M2" i="11"/>
  <c r="M3" i="11" s="1"/>
  <c r="M4" i="11" s="1"/>
  <c r="M5" i="11" s="1"/>
  <c r="M6" i="11" s="1"/>
  <c r="M7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M103" i="11" s="1"/>
  <c r="M104" i="11" s="1"/>
  <c r="M105" i="11" s="1"/>
  <c r="M106" i="11" s="1"/>
  <c r="M107" i="11" s="1"/>
  <c r="M108" i="11" s="1"/>
  <c r="M109" i="11" s="1"/>
  <c r="M110" i="11" s="1"/>
  <c r="M111" i="11" s="1"/>
  <c r="M112" i="11" s="1"/>
  <c r="M113" i="11" s="1"/>
  <c r="M114" i="11" s="1"/>
  <c r="M115" i="11" s="1"/>
  <c r="M116" i="11" s="1"/>
  <c r="M117" i="11" s="1"/>
  <c r="M118" i="11" s="1"/>
  <c r="M119" i="11" s="1"/>
  <c r="M120" i="11" s="1"/>
  <c r="M121" i="11" s="1"/>
  <c r="M122" i="11" s="1"/>
  <c r="M123" i="11" s="1"/>
  <c r="M124" i="11" s="1"/>
  <c r="M125" i="11" s="1"/>
  <c r="M126" i="11" s="1"/>
  <c r="M127" i="11" s="1"/>
  <c r="M128" i="11" s="1"/>
  <c r="M129" i="11" s="1"/>
  <c r="M130" i="11" s="1"/>
  <c r="M131" i="11" s="1"/>
  <c r="M132" i="11" s="1"/>
  <c r="M133" i="11" s="1"/>
  <c r="M134" i="11" s="1"/>
  <c r="M135" i="11" s="1"/>
  <c r="M136" i="11" s="1"/>
  <c r="M137" i="11" s="1"/>
  <c r="M138" i="11" s="1"/>
  <c r="M139" i="11" s="1"/>
  <c r="M140" i="11" s="1"/>
  <c r="M141" i="11" s="1"/>
  <c r="M142" i="11" s="1"/>
  <c r="M143" i="11" s="1"/>
  <c r="M144" i="11" s="1"/>
  <c r="M145" i="11" s="1"/>
  <c r="M146" i="11" s="1"/>
  <c r="M147" i="11" s="1"/>
  <c r="M148" i="11" s="1"/>
  <c r="M149" i="11" s="1"/>
  <c r="M150" i="11" s="1"/>
  <c r="M151" i="11" s="1"/>
  <c r="M152" i="11" s="1"/>
  <c r="M153" i="11" s="1"/>
  <c r="M154" i="11" s="1"/>
  <c r="M155" i="11" s="1"/>
  <c r="M156" i="11" s="1"/>
  <c r="M157" i="11" s="1"/>
  <c r="M158" i="11" s="1"/>
  <c r="M159" i="11" s="1"/>
  <c r="M160" i="11" s="1"/>
  <c r="M161" i="11" s="1"/>
  <c r="M162" i="11" s="1"/>
  <c r="M163" i="11" s="1"/>
  <c r="M164" i="11" s="1"/>
  <c r="M165" i="11" s="1"/>
  <c r="M166" i="11" s="1"/>
  <c r="M167" i="11" s="1"/>
  <c r="M168" i="11" s="1"/>
  <c r="M169" i="11" s="1"/>
  <c r="M170" i="11" s="1"/>
  <c r="M171" i="11" s="1"/>
  <c r="M172" i="11" s="1"/>
  <c r="M173" i="11" s="1"/>
  <c r="M174" i="11" s="1"/>
  <c r="M175" i="11" s="1"/>
  <c r="M176" i="11" s="1"/>
  <c r="M177" i="11" s="1"/>
  <c r="M178" i="11" s="1"/>
  <c r="M179" i="11" s="1"/>
  <c r="M180" i="11" s="1"/>
  <c r="M181" i="11" s="1"/>
  <c r="M182" i="11" s="1"/>
  <c r="M183" i="11" s="1"/>
  <c r="M184" i="11" s="1"/>
  <c r="M185" i="11" s="1"/>
  <c r="M186" i="11" s="1"/>
  <c r="M187" i="11" s="1"/>
  <c r="M188" i="11" s="1"/>
  <c r="M189" i="11" s="1"/>
  <c r="M190" i="11" s="1"/>
  <c r="M191" i="11" s="1"/>
  <c r="M192" i="11" s="1"/>
  <c r="M193" i="11" s="1"/>
  <c r="M194" i="11" s="1"/>
  <c r="M195" i="11" s="1"/>
  <c r="M196" i="11" s="1"/>
  <c r="M197" i="11" s="1"/>
  <c r="M198" i="11" s="1"/>
  <c r="M199" i="11" s="1"/>
  <c r="M200" i="11" s="1"/>
  <c r="M201" i="11" s="1"/>
  <c r="M202" i="11" s="1"/>
  <c r="M203" i="11" s="1"/>
  <c r="M204" i="11" s="1"/>
  <c r="M205" i="11" s="1"/>
  <c r="M206" i="11" s="1"/>
  <c r="M207" i="11" s="1"/>
  <c r="M208" i="11" s="1"/>
  <c r="M209" i="11" s="1"/>
  <c r="M210" i="11" s="1"/>
  <c r="M211" i="11" s="1"/>
  <c r="M212" i="11" s="1"/>
  <c r="M213" i="11" s="1"/>
  <c r="M214" i="11" s="1"/>
  <c r="M215" i="11" s="1"/>
  <c r="M216" i="11" s="1"/>
  <c r="M217" i="11" s="1"/>
  <c r="M218" i="11" s="1"/>
  <c r="M219" i="11" s="1"/>
  <c r="M220" i="11" s="1"/>
  <c r="M221" i="11" s="1"/>
  <c r="M222" i="11" s="1"/>
  <c r="M223" i="11" s="1"/>
  <c r="M224" i="11" s="1"/>
  <c r="M225" i="11" s="1"/>
  <c r="M226" i="11" s="1"/>
  <c r="M227" i="11" s="1"/>
  <c r="M228" i="11" s="1"/>
  <c r="M229" i="11" s="1"/>
  <c r="M230" i="11" s="1"/>
  <c r="M231" i="11" s="1"/>
  <c r="M232" i="11" s="1"/>
  <c r="M233" i="11" s="1"/>
  <c r="M234" i="11" s="1"/>
  <c r="M235" i="11" s="1"/>
  <c r="M236" i="11" s="1"/>
  <c r="M237" i="11" s="1"/>
  <c r="M238" i="11" s="1"/>
  <c r="M239" i="11" s="1"/>
  <c r="M240" i="11" s="1"/>
  <c r="M241" i="11" s="1"/>
  <c r="M242" i="11" s="1"/>
  <c r="M243" i="11" s="1"/>
  <c r="M244" i="11" s="1"/>
  <c r="M245" i="11" s="1"/>
  <c r="M246" i="11" s="1"/>
  <c r="M247" i="11" s="1"/>
  <c r="M248" i="11" s="1"/>
  <c r="M249" i="11" s="1"/>
  <c r="M250" i="11" s="1"/>
  <c r="M251" i="11" s="1"/>
  <c r="M252" i="11" s="1"/>
  <c r="M253" i="11" s="1"/>
  <c r="M254" i="11" s="1"/>
  <c r="M255" i="11" s="1"/>
  <c r="M256" i="11" s="1"/>
  <c r="M257" i="11" s="1"/>
  <c r="M258" i="11" s="1"/>
  <c r="M259" i="11" s="1"/>
  <c r="M260" i="11" s="1"/>
  <c r="M261" i="11" s="1"/>
  <c r="M262" i="11" s="1"/>
  <c r="M263" i="11" s="1"/>
  <c r="M264" i="11" s="1"/>
  <c r="M265" i="11" s="1"/>
  <c r="M266" i="11" s="1"/>
  <c r="M267" i="11" s="1"/>
  <c r="M268" i="11" s="1"/>
  <c r="M269" i="11" s="1"/>
  <c r="M270" i="11" s="1"/>
  <c r="M271" i="11" s="1"/>
  <c r="M272" i="11" s="1"/>
  <c r="M273" i="11" s="1"/>
  <c r="M274" i="11" s="1"/>
  <c r="M275" i="11" s="1"/>
  <c r="M276" i="11" s="1"/>
  <c r="M277" i="11" s="1"/>
  <c r="M278" i="11" s="1"/>
  <c r="M279" i="11" s="1"/>
  <c r="M280" i="11" s="1"/>
  <c r="M281" i="11" s="1"/>
  <c r="M282" i="11" s="1"/>
  <c r="M283" i="11" s="1"/>
  <c r="M284" i="11" s="1"/>
  <c r="M285" i="11" s="1"/>
  <c r="M286" i="11" s="1"/>
  <c r="M287" i="11" s="1"/>
  <c r="M288" i="11" s="1"/>
  <c r="M289" i="11" s="1"/>
  <c r="M290" i="11" s="1"/>
  <c r="M291" i="11" s="1"/>
  <c r="M292" i="11" s="1"/>
  <c r="M293" i="11" s="1"/>
  <c r="M294" i="11" s="1"/>
  <c r="M295" i="11" s="1"/>
  <c r="M296" i="11" s="1"/>
  <c r="M297" i="11" s="1"/>
  <c r="M298" i="11" s="1"/>
  <c r="M299" i="11" s="1"/>
  <c r="M300" i="11" s="1"/>
  <c r="M301" i="11" s="1"/>
  <c r="M302" i="11" s="1"/>
  <c r="M303" i="11" s="1"/>
  <c r="M304" i="11" s="1"/>
  <c r="M305" i="11" s="1"/>
  <c r="M306" i="11" s="1"/>
  <c r="M307" i="11" s="1"/>
  <c r="M308" i="11" s="1"/>
  <c r="M309" i="11" s="1"/>
  <c r="M310" i="11" s="1"/>
  <c r="M311" i="11" s="1"/>
  <c r="M312" i="11" s="1"/>
  <c r="M313" i="11" s="1"/>
  <c r="M314" i="11" s="1"/>
  <c r="M315" i="11" s="1"/>
  <c r="M316" i="11" s="1"/>
  <c r="M317" i="11" s="1"/>
  <c r="M318" i="11" s="1"/>
  <c r="M319" i="11" s="1"/>
  <c r="M320" i="11" s="1"/>
  <c r="M321" i="11" s="1"/>
  <c r="M322" i="11" s="1"/>
  <c r="M323" i="11" s="1"/>
  <c r="M324" i="11" s="1"/>
  <c r="M325" i="11" s="1"/>
  <c r="M326" i="11" s="1"/>
  <c r="M327" i="11" s="1"/>
  <c r="M328" i="11" s="1"/>
  <c r="M329" i="11" s="1"/>
  <c r="M330" i="11" s="1"/>
  <c r="M331" i="11" s="1"/>
  <c r="M332" i="11" s="1"/>
  <c r="M333" i="11" s="1"/>
  <c r="M334" i="11" s="1"/>
  <c r="M335" i="11" s="1"/>
  <c r="M336" i="11" s="1"/>
  <c r="M337" i="11" s="1"/>
  <c r="M338" i="11" s="1"/>
  <c r="M339" i="11" s="1"/>
  <c r="M340" i="11" s="1"/>
  <c r="M341" i="11" s="1"/>
  <c r="M342" i="11" s="1"/>
  <c r="M343" i="11" s="1"/>
  <c r="M344" i="11" s="1"/>
  <c r="M345" i="11" s="1"/>
  <c r="M346" i="11" s="1"/>
  <c r="M347" i="11" s="1"/>
  <c r="M348" i="11" s="1"/>
  <c r="M349" i="11" s="1"/>
  <c r="M350" i="11" s="1"/>
  <c r="M351" i="11" s="1"/>
  <c r="M352" i="11" s="1"/>
  <c r="M353" i="11" s="1"/>
  <c r="M354" i="11" s="1"/>
  <c r="M355" i="11" s="1"/>
  <c r="M356" i="11" s="1"/>
  <c r="M357" i="11" s="1"/>
  <c r="M358" i="11" s="1"/>
  <c r="M359" i="11" s="1"/>
  <c r="M360" i="11" s="1"/>
  <c r="M361" i="11" s="1"/>
  <c r="M362" i="11" s="1"/>
  <c r="M363" i="11" s="1"/>
  <c r="M364" i="11" s="1"/>
  <c r="M365" i="11" s="1"/>
  <c r="M366" i="11" s="1"/>
  <c r="M367" i="11" s="1"/>
  <c r="M368" i="11" s="1"/>
  <c r="M369" i="11" s="1"/>
  <c r="M370" i="11" s="1"/>
  <c r="M371" i="11" s="1"/>
  <c r="M372" i="11" s="1"/>
  <c r="M373" i="11" s="1"/>
  <c r="M374" i="11" s="1"/>
  <c r="M375" i="11" s="1"/>
  <c r="M376" i="11" s="1"/>
  <c r="M377" i="11" s="1"/>
  <c r="M378" i="11" s="1"/>
  <c r="M379" i="11" s="1"/>
  <c r="M380" i="11" s="1"/>
  <c r="M381" i="11" s="1"/>
  <c r="M382" i="11" s="1"/>
  <c r="M383" i="11" s="1"/>
  <c r="M384" i="11" s="1"/>
  <c r="M385" i="11" s="1"/>
  <c r="M386" i="11" s="1"/>
  <c r="M387" i="11" s="1"/>
  <c r="M388" i="11" s="1"/>
  <c r="M389" i="11" s="1"/>
  <c r="M390" i="11" s="1"/>
  <c r="M391" i="11" s="1"/>
  <c r="M392" i="11" s="1"/>
  <c r="M393" i="11" s="1"/>
  <c r="M394" i="11" s="1"/>
  <c r="M395" i="11" s="1"/>
  <c r="M396" i="11" s="1"/>
  <c r="M397" i="11" s="1"/>
  <c r="M398" i="11" s="1"/>
  <c r="M399" i="11" s="1"/>
  <c r="M400" i="11" s="1"/>
  <c r="M401" i="11" s="1"/>
  <c r="M402" i="11" s="1"/>
  <c r="M403" i="11" s="1"/>
  <c r="M404" i="11" s="1"/>
  <c r="M405" i="11" s="1"/>
  <c r="M406" i="11" s="1"/>
  <c r="F112" i="15"/>
  <c r="K112" i="15" s="1"/>
  <c r="I322" i="1"/>
  <c r="J322" i="1" s="1"/>
  <c r="K287" i="15" l="1"/>
  <c r="I288" i="1"/>
  <c r="J287" i="1"/>
  <c r="K287" i="1"/>
  <c r="C289" i="15" s="1"/>
  <c r="K289" i="15" s="1"/>
  <c r="I92" i="1"/>
  <c r="J93" i="1"/>
  <c r="K93" i="1"/>
  <c r="C95" i="15" s="1"/>
  <c r="K95" i="15" s="1"/>
  <c r="I366" i="2"/>
  <c r="J365" i="2"/>
  <c r="K365" i="2"/>
  <c r="D367" i="15" s="1"/>
  <c r="K367" i="15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M16" i="15" s="1"/>
  <c r="M17" i="15" s="1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37" i="15" s="1"/>
  <c r="M38" i="15" s="1"/>
  <c r="M39" i="15" s="1"/>
  <c r="M40" i="15" s="1"/>
  <c r="M41" i="15" s="1"/>
  <c r="M42" i="15" s="1"/>
  <c r="M43" i="15" s="1"/>
  <c r="M44" i="15" s="1"/>
  <c r="M45" i="15" s="1"/>
  <c r="M46" i="15" s="1"/>
  <c r="M47" i="15" s="1"/>
  <c r="M48" i="15" s="1"/>
  <c r="M49" i="15" s="1"/>
  <c r="M50" i="15" s="1"/>
  <c r="M51" i="15" s="1"/>
  <c r="M52" i="15" s="1"/>
  <c r="M53" i="15" s="1"/>
  <c r="M54" i="15" s="1"/>
  <c r="M55" i="15" s="1"/>
  <c r="M56" i="15" s="1"/>
  <c r="M57" i="15" s="1"/>
  <c r="M58" i="15" s="1"/>
  <c r="M59" i="15" s="1"/>
  <c r="M60" i="15" s="1"/>
  <c r="M61" i="15" s="1"/>
  <c r="M62" i="15" s="1"/>
  <c r="M63" i="15" s="1"/>
  <c r="M64" i="15" s="1"/>
  <c r="M65" i="15" s="1"/>
  <c r="M66" i="15" s="1"/>
  <c r="M67" i="15" s="1"/>
  <c r="M68" i="15" s="1"/>
  <c r="M69" i="15" s="1"/>
  <c r="M70" i="15" s="1"/>
  <c r="M71" i="15" s="1"/>
  <c r="M72" i="15" s="1"/>
  <c r="M73" i="15" s="1"/>
  <c r="M74" i="15" s="1"/>
  <c r="M75" i="15" s="1"/>
  <c r="M76" i="15" s="1"/>
  <c r="M77" i="15" s="1"/>
  <c r="M78" i="15" s="1"/>
  <c r="M79" i="15" s="1"/>
  <c r="M80" i="15" s="1"/>
  <c r="M81" i="15" s="1"/>
  <c r="M82" i="15" s="1"/>
  <c r="M83" i="15" s="1"/>
  <c r="M84" i="15" s="1"/>
  <c r="M85" i="15" s="1"/>
  <c r="M86" i="15" s="1"/>
  <c r="M87" i="15" s="1"/>
  <c r="M88" i="15" s="1"/>
  <c r="M89" i="15" s="1"/>
  <c r="M90" i="15" s="1"/>
  <c r="M91" i="15" s="1"/>
  <c r="M92" i="15" s="1"/>
  <c r="M93" i="15" s="1"/>
  <c r="M94" i="15" s="1"/>
  <c r="M95" i="15" s="1"/>
  <c r="M96" i="15" s="1"/>
  <c r="M97" i="15" s="1"/>
  <c r="M98" i="15" s="1"/>
  <c r="M99" i="15" s="1"/>
  <c r="M100" i="15" s="1"/>
  <c r="M101" i="15" s="1"/>
  <c r="M102" i="15" s="1"/>
  <c r="M103" i="15" s="1"/>
  <c r="M104" i="15" s="1"/>
  <c r="M105" i="15" s="1"/>
  <c r="M106" i="15" s="1"/>
  <c r="M107" i="15" s="1"/>
  <c r="M108" i="15" s="1"/>
  <c r="M109" i="15" s="1"/>
  <c r="M110" i="15" s="1"/>
  <c r="M111" i="15" s="1"/>
  <c r="M112" i="15" s="1"/>
  <c r="M113" i="15" s="1"/>
  <c r="M114" i="15" s="1"/>
  <c r="M115" i="15" s="1"/>
  <c r="M116" i="15" s="1"/>
  <c r="M117" i="15" s="1"/>
  <c r="M118" i="15" s="1"/>
  <c r="M119" i="15" s="1"/>
  <c r="M120" i="15" s="1"/>
  <c r="M121" i="15" s="1"/>
  <c r="M122" i="15" s="1"/>
  <c r="M123" i="15" s="1"/>
  <c r="M124" i="15" s="1"/>
  <c r="M125" i="15" s="1"/>
  <c r="M126" i="15" s="1"/>
  <c r="M127" i="15" s="1"/>
  <c r="M128" i="15" s="1"/>
  <c r="M129" i="15" s="1"/>
  <c r="M130" i="15" s="1"/>
  <c r="M131" i="15" s="1"/>
  <c r="M132" i="15" s="1"/>
  <c r="M133" i="15" s="1"/>
  <c r="M134" i="15" s="1"/>
  <c r="M135" i="15" s="1"/>
  <c r="M136" i="15" s="1"/>
  <c r="M137" i="15" s="1"/>
  <c r="M138" i="15" s="1"/>
  <c r="M139" i="15" s="1"/>
  <c r="M140" i="15" s="1"/>
  <c r="M141" i="15" s="1"/>
  <c r="M142" i="15" s="1"/>
  <c r="M143" i="15" s="1"/>
  <c r="M144" i="15" s="1"/>
  <c r="M145" i="15" s="1"/>
  <c r="M146" i="15" s="1"/>
  <c r="M147" i="15" s="1"/>
  <c r="M148" i="15" s="1"/>
  <c r="M149" i="15" s="1"/>
  <c r="M150" i="15" s="1"/>
  <c r="M151" i="15" s="1"/>
  <c r="M152" i="15" s="1"/>
  <c r="M153" i="15" s="1"/>
  <c r="M154" i="15" s="1"/>
  <c r="M155" i="15" s="1"/>
  <c r="M156" i="15" s="1"/>
  <c r="M157" i="15" s="1"/>
  <c r="M158" i="15" s="1"/>
  <c r="M159" i="15" s="1"/>
  <c r="M160" i="15" s="1"/>
  <c r="M161" i="15" s="1"/>
  <c r="M162" i="15" s="1"/>
  <c r="M163" i="15" s="1"/>
  <c r="M164" i="15" s="1"/>
  <c r="M165" i="15" s="1"/>
  <c r="M166" i="15" s="1"/>
  <c r="M167" i="15" s="1"/>
  <c r="M168" i="15" s="1"/>
  <c r="M169" i="15" s="1"/>
  <c r="M170" i="15" s="1"/>
  <c r="M171" i="15" s="1"/>
  <c r="M172" i="15" s="1"/>
  <c r="M173" i="15" s="1"/>
  <c r="M174" i="15" s="1"/>
  <c r="M175" i="15" s="1"/>
  <c r="M176" i="15" s="1"/>
  <c r="M177" i="15" s="1"/>
  <c r="M178" i="15" s="1"/>
  <c r="M179" i="15" s="1"/>
  <c r="M180" i="15" s="1"/>
  <c r="M181" i="15" s="1"/>
  <c r="M182" i="15" s="1"/>
  <c r="M183" i="15" s="1"/>
  <c r="M184" i="15" s="1"/>
  <c r="M185" i="15" s="1"/>
  <c r="M186" i="15" s="1"/>
  <c r="M187" i="15" s="1"/>
  <c r="M188" i="15" s="1"/>
  <c r="M189" i="15" s="1"/>
  <c r="M190" i="15" s="1"/>
  <c r="M191" i="15" s="1"/>
  <c r="M192" i="15" s="1"/>
  <c r="M193" i="15" s="1"/>
  <c r="M194" i="15" s="1"/>
  <c r="M195" i="15" s="1"/>
  <c r="M196" i="15" s="1"/>
  <c r="M197" i="15" s="1"/>
  <c r="M198" i="15" s="1"/>
  <c r="M199" i="15" s="1"/>
  <c r="M200" i="15" s="1"/>
  <c r="M201" i="15" s="1"/>
  <c r="M202" i="15" s="1"/>
  <c r="M203" i="15" s="1"/>
  <c r="M204" i="15" s="1"/>
  <c r="M205" i="15" s="1"/>
  <c r="M206" i="15" s="1"/>
  <c r="M207" i="15" s="1"/>
  <c r="M208" i="15" s="1"/>
  <c r="M209" i="15" s="1"/>
  <c r="M210" i="15" s="1"/>
  <c r="M211" i="15" s="1"/>
  <c r="M212" i="15" s="1"/>
  <c r="M213" i="15" s="1"/>
  <c r="M214" i="15" s="1"/>
  <c r="M215" i="15" s="1"/>
  <c r="M216" i="15" s="1"/>
  <c r="M217" i="15" s="1"/>
  <c r="M218" i="15" s="1"/>
  <c r="M219" i="15" s="1"/>
  <c r="M220" i="15" s="1"/>
  <c r="M221" i="15" s="1"/>
  <c r="M222" i="15" s="1"/>
  <c r="M223" i="15" s="1"/>
  <c r="M224" i="15" s="1"/>
  <c r="M225" i="15" s="1"/>
  <c r="M226" i="15" s="1"/>
  <c r="M227" i="15" s="1"/>
  <c r="M228" i="15" s="1"/>
  <c r="M229" i="15" s="1"/>
  <c r="M230" i="15" s="1"/>
  <c r="M231" i="15" s="1"/>
  <c r="M232" i="15" s="1"/>
  <c r="M233" i="15" s="1"/>
  <c r="M234" i="15" s="1"/>
  <c r="M235" i="15" s="1"/>
  <c r="M236" i="15" s="1"/>
  <c r="M237" i="15" s="1"/>
  <c r="M238" i="15" s="1"/>
  <c r="M239" i="15" s="1"/>
  <c r="M240" i="15" s="1"/>
  <c r="M241" i="15" s="1"/>
  <c r="M242" i="15" s="1"/>
  <c r="M243" i="15" s="1"/>
  <c r="M244" i="15" s="1"/>
  <c r="M245" i="15" s="1"/>
  <c r="M246" i="15" s="1"/>
  <c r="M247" i="15" s="1"/>
  <c r="M248" i="15" s="1"/>
  <c r="M249" i="15" s="1"/>
  <c r="M250" i="15" s="1"/>
  <c r="M251" i="15" s="1"/>
  <c r="M252" i="15" s="1"/>
  <c r="M253" i="15" s="1"/>
  <c r="M254" i="15" s="1"/>
  <c r="M255" i="15" s="1"/>
  <c r="M256" i="15" s="1"/>
  <c r="M257" i="15" s="1"/>
  <c r="M258" i="15" s="1"/>
  <c r="M259" i="15" s="1"/>
  <c r="M260" i="15" s="1"/>
  <c r="M261" i="15" s="1"/>
  <c r="M262" i="15" s="1"/>
  <c r="M263" i="15" s="1"/>
  <c r="M264" i="15" s="1"/>
  <c r="M265" i="15" s="1"/>
  <c r="M266" i="15" s="1"/>
  <c r="M267" i="15" s="1"/>
  <c r="M268" i="15" s="1"/>
  <c r="M269" i="15" s="1"/>
  <c r="M270" i="15" s="1"/>
  <c r="M271" i="15" s="1"/>
  <c r="M272" i="15" s="1"/>
  <c r="M273" i="15" s="1"/>
  <c r="M274" i="15" s="1"/>
  <c r="M275" i="15" s="1"/>
  <c r="M276" i="15" s="1"/>
  <c r="M277" i="15" s="1"/>
  <c r="M278" i="15" s="1"/>
  <c r="M279" i="15" s="1"/>
  <c r="M280" i="15" s="1"/>
  <c r="M281" i="15" s="1"/>
  <c r="M282" i="15" s="1"/>
  <c r="M283" i="15" s="1"/>
  <c r="M284" i="15" s="1"/>
  <c r="M285" i="15" s="1"/>
  <c r="M286" i="15" s="1"/>
  <c r="M287" i="15" s="1"/>
  <c r="M288" i="15" s="1"/>
  <c r="M289" i="15" s="1"/>
  <c r="M290" i="15" s="1"/>
  <c r="M291" i="15" s="1"/>
  <c r="M292" i="15" s="1"/>
  <c r="M293" i="15" s="1"/>
  <c r="M294" i="15" s="1"/>
  <c r="M295" i="15" s="1"/>
  <c r="M296" i="15" s="1"/>
  <c r="M297" i="15" s="1"/>
  <c r="M298" i="15" s="1"/>
  <c r="M299" i="15" s="1"/>
  <c r="M300" i="15" s="1"/>
  <c r="M301" i="15" s="1"/>
  <c r="M302" i="15" s="1"/>
  <c r="M303" i="15" s="1"/>
  <c r="M304" i="15" s="1"/>
  <c r="M305" i="15" s="1"/>
  <c r="M306" i="15" s="1"/>
  <c r="M307" i="15" s="1"/>
  <c r="M308" i="15" s="1"/>
  <c r="M309" i="15" s="1"/>
  <c r="M310" i="15" s="1"/>
  <c r="M311" i="15" s="1"/>
  <c r="M312" i="15" s="1"/>
  <c r="M313" i="15" s="1"/>
  <c r="M314" i="15" s="1"/>
  <c r="M315" i="15" s="1"/>
  <c r="M316" i="15" s="1"/>
  <c r="M317" i="15" s="1"/>
  <c r="M318" i="15" s="1"/>
  <c r="M319" i="15" s="1"/>
  <c r="M320" i="15" s="1"/>
  <c r="M321" i="15" s="1"/>
  <c r="M322" i="15" s="1"/>
  <c r="M323" i="15" s="1"/>
  <c r="M324" i="15" s="1"/>
  <c r="M325" i="15" s="1"/>
  <c r="M326" i="15" s="1"/>
  <c r="M327" i="15" s="1"/>
  <c r="M328" i="15" s="1"/>
  <c r="M329" i="15" s="1"/>
  <c r="M330" i="15" s="1"/>
  <c r="M331" i="15" s="1"/>
  <c r="M332" i="15" s="1"/>
  <c r="M333" i="15" s="1"/>
  <c r="M334" i="15" s="1"/>
  <c r="M335" i="15" s="1"/>
  <c r="M336" i="15" s="1"/>
  <c r="M337" i="15" s="1"/>
  <c r="M338" i="15" s="1"/>
  <c r="M339" i="15" s="1"/>
  <c r="M340" i="15" s="1"/>
  <c r="M341" i="15" s="1"/>
  <c r="M342" i="15" s="1"/>
  <c r="M343" i="15" s="1"/>
  <c r="M344" i="15" s="1"/>
  <c r="M345" i="15" s="1"/>
  <c r="M346" i="15" s="1"/>
  <c r="M347" i="15" s="1"/>
  <c r="M348" i="15" s="1"/>
  <c r="M349" i="15" s="1"/>
  <c r="M350" i="15" s="1"/>
  <c r="M351" i="15" s="1"/>
  <c r="M352" i="15" s="1"/>
  <c r="M353" i="15" s="1"/>
  <c r="M354" i="15" s="1"/>
  <c r="M355" i="15" s="1"/>
  <c r="M356" i="15" s="1"/>
  <c r="M357" i="15" s="1"/>
  <c r="M358" i="15" s="1"/>
  <c r="M359" i="15" s="1"/>
  <c r="M360" i="15" s="1"/>
  <c r="M361" i="15" s="1"/>
  <c r="M362" i="15" s="1"/>
  <c r="M363" i="15" s="1"/>
  <c r="M364" i="15" s="1"/>
  <c r="M365" i="15" s="1"/>
  <c r="M366" i="15" s="1"/>
  <c r="M367" i="15" s="1"/>
  <c r="M368" i="15" s="1"/>
  <c r="M369" i="15" s="1"/>
  <c r="M370" i="15" s="1"/>
  <c r="M371" i="15" s="1"/>
  <c r="M372" i="15" s="1"/>
  <c r="M373" i="15" s="1"/>
  <c r="M374" i="15" s="1"/>
  <c r="M375" i="15" s="1"/>
  <c r="M376" i="15" s="1"/>
  <c r="M377" i="15" s="1"/>
  <c r="M378" i="15" s="1"/>
  <c r="M379" i="15" s="1"/>
  <c r="M380" i="15" s="1"/>
  <c r="M381" i="15" s="1"/>
  <c r="M382" i="15" s="1"/>
  <c r="M383" i="15" s="1"/>
  <c r="M384" i="15" s="1"/>
  <c r="M385" i="15" s="1"/>
  <c r="M386" i="15" s="1"/>
  <c r="M387" i="15" s="1"/>
  <c r="M388" i="15" s="1"/>
  <c r="M389" i="15" s="1"/>
  <c r="M390" i="15" s="1"/>
  <c r="M391" i="15" s="1"/>
  <c r="M392" i="15" s="1"/>
  <c r="M393" i="15" s="1"/>
  <c r="M394" i="15" s="1"/>
  <c r="M395" i="15" s="1"/>
  <c r="M396" i="15" s="1"/>
  <c r="M397" i="15" s="1"/>
  <c r="M398" i="15" s="1"/>
  <c r="M399" i="15" s="1"/>
  <c r="M400" i="15" s="1"/>
  <c r="M401" i="15" s="1"/>
  <c r="M402" i="15" s="1"/>
  <c r="M403" i="15" s="1"/>
  <c r="M404" i="15" s="1"/>
  <c r="M405" i="15" s="1"/>
  <c r="M406" i="15" s="1"/>
  <c r="M407" i="15" s="1"/>
  <c r="M408" i="15" s="1"/>
  <c r="M409" i="15" s="1"/>
  <c r="M410" i="15" s="1"/>
  <c r="M411" i="15" s="1"/>
  <c r="M412" i="15" s="1"/>
  <c r="J303" i="15"/>
  <c r="R303" i="15" s="1"/>
  <c r="R302" i="15" s="1"/>
  <c r="R301" i="15" s="1"/>
  <c r="R300" i="15" s="1"/>
  <c r="R299" i="15" s="1"/>
  <c r="R298" i="15" s="1"/>
  <c r="R297" i="15" s="1"/>
  <c r="R296" i="15" s="1"/>
  <c r="R295" i="15" s="1"/>
  <c r="R294" i="15" s="1"/>
  <c r="R293" i="15" s="1"/>
  <c r="R292" i="15" s="1"/>
  <c r="J305" i="15"/>
  <c r="J306" i="15"/>
  <c r="J279" i="15"/>
  <c r="J307" i="15"/>
  <c r="I323" i="1"/>
  <c r="J323" i="1" s="1"/>
  <c r="I91" i="1" l="1"/>
  <c r="J92" i="1"/>
  <c r="K92" i="1"/>
  <c r="C94" i="15" s="1"/>
  <c r="K94" i="15" s="1"/>
  <c r="J288" i="1"/>
  <c r="K288" i="1"/>
  <c r="C290" i="15" s="1"/>
  <c r="K290" i="15" s="1"/>
  <c r="J291" i="15" s="1"/>
  <c r="I367" i="2"/>
  <c r="J366" i="2"/>
  <c r="K366" i="2"/>
  <c r="D368" i="15" s="1"/>
  <c r="K368" i="15" s="1"/>
  <c r="I324" i="1"/>
  <c r="J324" i="1" s="1"/>
  <c r="I90" i="1" l="1"/>
  <c r="J91" i="1"/>
  <c r="K91" i="1"/>
  <c r="C93" i="15" s="1"/>
  <c r="K93" i="15" s="1"/>
  <c r="I368" i="2"/>
  <c r="J367" i="2"/>
  <c r="K367" i="2"/>
  <c r="D369" i="15" s="1"/>
  <c r="K369" i="15" s="1"/>
  <c r="I89" i="1" l="1"/>
  <c r="J90" i="1"/>
  <c r="K90" i="1"/>
  <c r="C92" i="15" s="1"/>
  <c r="K92" i="15" s="1"/>
  <c r="K368" i="2"/>
  <c r="D370" i="15" s="1"/>
  <c r="K370" i="15" s="1"/>
  <c r="I369" i="2"/>
  <c r="J368" i="2"/>
  <c r="I88" i="1" l="1"/>
  <c r="J89" i="1"/>
  <c r="K89" i="1"/>
  <c r="C91" i="15" s="1"/>
  <c r="K91" i="15" s="1"/>
  <c r="J369" i="2"/>
  <c r="K369" i="2"/>
  <c r="D371" i="15" s="1"/>
  <c r="K371" i="15" s="1"/>
  <c r="I370" i="2"/>
  <c r="I87" i="1" l="1"/>
  <c r="J88" i="1"/>
  <c r="K88" i="1"/>
  <c r="C90" i="15" s="1"/>
  <c r="K90" i="15" s="1"/>
  <c r="J370" i="2"/>
  <c r="K370" i="2"/>
  <c r="D372" i="15" s="1"/>
  <c r="K372" i="15" s="1"/>
  <c r="I371" i="2"/>
  <c r="E319" i="9"/>
  <c r="E319" i="2"/>
  <c r="G319" i="1"/>
  <c r="H319" i="1" s="1"/>
  <c r="K319" i="1" s="1"/>
  <c r="I86" i="1" l="1"/>
  <c r="J87" i="1"/>
  <c r="K87" i="1"/>
  <c r="C89" i="15" s="1"/>
  <c r="K89" i="15" s="1"/>
  <c r="I372" i="2"/>
  <c r="J371" i="2"/>
  <c r="K371" i="2"/>
  <c r="D373" i="15" s="1"/>
  <c r="K373" i="15" s="1"/>
  <c r="C321" i="15"/>
  <c r="E320" i="2"/>
  <c r="E320" i="9"/>
  <c r="G320" i="1"/>
  <c r="H320" i="1" s="1"/>
  <c r="K320" i="1" s="1"/>
  <c r="F319" i="9"/>
  <c r="J319" i="9" s="1"/>
  <c r="G319" i="9"/>
  <c r="H319" i="9" s="1"/>
  <c r="K319" i="9" s="1"/>
  <c r="E319" i="11"/>
  <c r="F319" i="2"/>
  <c r="J319" i="2" s="1"/>
  <c r="G319" i="2"/>
  <c r="H319" i="2" s="1"/>
  <c r="K319" i="2" s="1"/>
  <c r="J86" i="1" l="1"/>
  <c r="I85" i="1"/>
  <c r="K86" i="1"/>
  <c r="C88" i="15" s="1"/>
  <c r="K88" i="15" s="1"/>
  <c r="I373" i="2"/>
  <c r="K372" i="2"/>
  <c r="D374" i="15" s="1"/>
  <c r="K374" i="15" s="1"/>
  <c r="J372" i="2"/>
  <c r="E321" i="15"/>
  <c r="D321" i="15"/>
  <c r="C322" i="15"/>
  <c r="G320" i="9"/>
  <c r="H320" i="9" s="1"/>
  <c r="K320" i="9" s="1"/>
  <c r="E322" i="15" s="1"/>
  <c r="E320" i="11"/>
  <c r="F320" i="9"/>
  <c r="J320" i="9" s="1"/>
  <c r="G320" i="2"/>
  <c r="H320" i="2" s="1"/>
  <c r="K320" i="2" s="1"/>
  <c r="D322" i="15" s="1"/>
  <c r="F320" i="2"/>
  <c r="J320" i="2" s="1"/>
  <c r="G321" i="1"/>
  <c r="H321" i="1" s="1"/>
  <c r="K321" i="1" s="1"/>
  <c r="G319" i="11"/>
  <c r="H319" i="11" s="1"/>
  <c r="K319" i="11" s="1"/>
  <c r="F319" i="11"/>
  <c r="J319" i="11" s="1"/>
  <c r="I84" i="1" l="1"/>
  <c r="J85" i="1"/>
  <c r="K85" i="1"/>
  <c r="C87" i="15" s="1"/>
  <c r="K87" i="15" s="1"/>
  <c r="I374" i="2"/>
  <c r="J373" i="2"/>
  <c r="K373" i="2"/>
  <c r="D375" i="15" s="1"/>
  <c r="K375" i="15" s="1"/>
  <c r="F321" i="15"/>
  <c r="K321" i="15" s="1"/>
  <c r="C323" i="15"/>
  <c r="K323" i="15" s="1"/>
  <c r="G320" i="11"/>
  <c r="H320" i="11" s="1"/>
  <c r="K320" i="11" s="1"/>
  <c r="F322" i="15" s="1"/>
  <c r="K322" i="15" s="1"/>
  <c r="F320" i="11"/>
  <c r="J320" i="11" s="1"/>
  <c r="G322" i="1"/>
  <c r="H322" i="1" s="1"/>
  <c r="K322" i="1" s="1"/>
  <c r="I83" i="1" l="1"/>
  <c r="J84" i="1"/>
  <c r="K84" i="1"/>
  <c r="C86" i="15" s="1"/>
  <c r="K86" i="15" s="1"/>
  <c r="I375" i="2"/>
  <c r="J374" i="2"/>
  <c r="K374" i="2"/>
  <c r="D376" i="15" s="1"/>
  <c r="K376" i="15" s="1"/>
  <c r="C324" i="15"/>
  <c r="K324" i="15" s="1"/>
  <c r="G323" i="1"/>
  <c r="H323" i="1" s="1"/>
  <c r="K323" i="1" s="1"/>
  <c r="I82" i="1" l="1"/>
  <c r="J83" i="1"/>
  <c r="K83" i="1"/>
  <c r="C85" i="15" s="1"/>
  <c r="K85" i="15" s="1"/>
  <c r="I376" i="2"/>
  <c r="J375" i="2"/>
  <c r="K375" i="2"/>
  <c r="D377" i="15" s="1"/>
  <c r="K377" i="15" s="1"/>
  <c r="C325" i="15"/>
  <c r="K325" i="15" s="1"/>
  <c r="G324" i="1"/>
  <c r="H324" i="1" s="1"/>
  <c r="K324" i="1" s="1"/>
  <c r="I81" i="1" l="1"/>
  <c r="J82" i="1"/>
  <c r="K82" i="1"/>
  <c r="C84" i="15" s="1"/>
  <c r="K84" i="15" s="1"/>
  <c r="K376" i="2"/>
  <c r="D378" i="15" s="1"/>
  <c r="K378" i="15" s="1"/>
  <c r="J376" i="2"/>
  <c r="I377" i="2"/>
  <c r="I378" i="2" s="1"/>
  <c r="I379" i="2" s="1"/>
  <c r="C326" i="15"/>
  <c r="K326" i="15" s="1"/>
  <c r="G325" i="1"/>
  <c r="H325" i="1" s="1"/>
  <c r="K325" i="1" s="1"/>
  <c r="I380" i="2" l="1"/>
  <c r="J379" i="2"/>
  <c r="K379" i="2"/>
  <c r="D381" i="15" s="1"/>
  <c r="K381" i="15" s="1"/>
  <c r="J378" i="2"/>
  <c r="K378" i="2"/>
  <c r="D380" i="15" s="1"/>
  <c r="K380" i="15" s="1"/>
  <c r="J81" i="1"/>
  <c r="K81" i="1"/>
  <c r="C83" i="15" s="1"/>
  <c r="K83" i="15" s="1"/>
  <c r="I80" i="1"/>
  <c r="J377" i="2"/>
  <c r="K377" i="2"/>
  <c r="D379" i="15" s="1"/>
  <c r="K379" i="15" s="1"/>
  <c r="C327" i="15"/>
  <c r="K327" i="15" s="1"/>
  <c r="I381" i="2" l="1"/>
  <c r="J380" i="2"/>
  <c r="K380" i="2"/>
  <c r="D382" i="15" s="1"/>
  <c r="K382" i="15" s="1"/>
  <c r="K80" i="1"/>
  <c r="C82" i="15" s="1"/>
  <c r="K82" i="15" s="1"/>
  <c r="J80" i="1"/>
  <c r="I79" i="1"/>
  <c r="I382" i="2" l="1"/>
  <c r="J381" i="2"/>
  <c r="K381" i="2"/>
  <c r="D383" i="15" s="1"/>
  <c r="K383" i="15" s="1"/>
  <c r="J79" i="1"/>
  <c r="I78" i="1"/>
  <c r="K79" i="1"/>
  <c r="C81" i="15" s="1"/>
  <c r="K81" i="15" s="1"/>
  <c r="I383" i="2" l="1"/>
  <c r="J382" i="2"/>
  <c r="K382" i="2"/>
  <c r="D384" i="15" s="1"/>
  <c r="K384" i="15" s="1"/>
  <c r="J78" i="1"/>
  <c r="K78" i="1"/>
  <c r="C80" i="15" s="1"/>
  <c r="K80" i="15" s="1"/>
  <c r="I77" i="1"/>
  <c r="I384" i="2" l="1"/>
  <c r="J383" i="2"/>
  <c r="K383" i="2"/>
  <c r="D385" i="15" s="1"/>
  <c r="K385" i="15" s="1"/>
  <c r="J77" i="1"/>
  <c r="K77" i="1"/>
  <c r="C79" i="15" s="1"/>
  <c r="K79" i="15" s="1"/>
  <c r="I76" i="1"/>
  <c r="I385" i="2" l="1"/>
  <c r="J384" i="2"/>
  <c r="K384" i="2"/>
  <c r="D386" i="15" s="1"/>
  <c r="K386" i="15" s="1"/>
  <c r="J76" i="1"/>
  <c r="K76" i="1"/>
  <c r="C78" i="15" s="1"/>
  <c r="K78" i="15" s="1"/>
  <c r="I75" i="1"/>
  <c r="I386" i="2" l="1"/>
  <c r="J385" i="2"/>
  <c r="K385" i="2"/>
  <c r="D387" i="15" s="1"/>
  <c r="K387" i="15" s="1"/>
  <c r="J75" i="1"/>
  <c r="K75" i="1"/>
  <c r="C77" i="15" s="1"/>
  <c r="K77" i="15" s="1"/>
  <c r="I74" i="1"/>
  <c r="J386" i="2" l="1"/>
  <c r="K386" i="2"/>
  <c r="D388" i="15" s="1"/>
  <c r="J74" i="1"/>
  <c r="K74" i="1"/>
  <c r="C76" i="15" s="1"/>
  <c r="K76" i="15" s="1"/>
  <c r="I73" i="1"/>
  <c r="J73" i="1" l="1"/>
  <c r="K73" i="1"/>
  <c r="C75" i="15" s="1"/>
  <c r="K75" i="15" s="1"/>
  <c r="I72" i="1"/>
  <c r="J72" i="1" l="1"/>
  <c r="I71" i="1"/>
  <c r="K72" i="1"/>
  <c r="C74" i="15" s="1"/>
  <c r="K74" i="15" s="1"/>
  <c r="J71" i="1" l="1"/>
  <c r="I70" i="1"/>
  <c r="K71" i="1"/>
  <c r="C73" i="15" s="1"/>
  <c r="K73" i="15" s="1"/>
  <c r="J70" i="1" l="1"/>
  <c r="K70" i="1"/>
  <c r="C72" i="15" s="1"/>
  <c r="K72" i="15" s="1"/>
  <c r="I69" i="1"/>
  <c r="J69" i="1" l="1"/>
  <c r="K69" i="1"/>
  <c r="C71" i="15" s="1"/>
  <c r="K71" i="15" s="1"/>
  <c r="I68" i="1"/>
  <c r="J68" i="1" l="1"/>
  <c r="I67" i="1"/>
  <c r="K68" i="1"/>
  <c r="C70" i="15" s="1"/>
  <c r="K70" i="15" s="1"/>
  <c r="J67" i="1" l="1"/>
  <c r="I66" i="1"/>
  <c r="K67" i="1"/>
  <c r="C69" i="15" s="1"/>
  <c r="K69" i="15" s="1"/>
  <c r="J66" i="1" l="1"/>
  <c r="I65" i="1"/>
  <c r="K66" i="1"/>
  <c r="C68" i="15" s="1"/>
  <c r="K68" i="15" s="1"/>
  <c r="J65" i="1" l="1"/>
  <c r="K65" i="1"/>
  <c r="C67" i="15" s="1"/>
  <c r="K67" i="15" s="1"/>
  <c r="I64" i="1"/>
  <c r="J64" i="1" l="1"/>
  <c r="I63" i="1"/>
  <c r="K64" i="1"/>
  <c r="C66" i="15" s="1"/>
  <c r="K66" i="15" s="1"/>
  <c r="J63" i="1" l="1"/>
  <c r="K63" i="1"/>
  <c r="C65" i="15" s="1"/>
  <c r="K65" i="15" s="1"/>
  <c r="I62" i="1"/>
  <c r="J62" i="1" l="1"/>
  <c r="I61" i="1"/>
  <c r="K62" i="1"/>
  <c r="C64" i="15" s="1"/>
  <c r="K64" i="15" s="1"/>
  <c r="J61" i="1" l="1"/>
  <c r="I60" i="1"/>
  <c r="K61" i="1"/>
  <c r="C63" i="15" s="1"/>
  <c r="K63" i="15" s="1"/>
  <c r="J60" i="1" l="1"/>
  <c r="I59" i="1"/>
  <c r="K60" i="1"/>
  <c r="C62" i="15" s="1"/>
  <c r="K62" i="15" s="1"/>
  <c r="J59" i="1" l="1"/>
  <c r="K59" i="1"/>
  <c r="C61" i="15" s="1"/>
  <c r="K61" i="15" s="1"/>
  <c r="I58" i="1"/>
  <c r="J58" i="1" l="1"/>
  <c r="K58" i="1"/>
  <c r="C60" i="15" s="1"/>
  <c r="K60" i="15" s="1"/>
  <c r="I57" i="1"/>
  <c r="J57" i="1" l="1"/>
  <c r="I56" i="1"/>
  <c r="K57" i="1"/>
  <c r="C59" i="15" s="1"/>
  <c r="K59" i="15" s="1"/>
  <c r="J56" i="1" l="1"/>
  <c r="K56" i="1"/>
  <c r="C58" i="15" s="1"/>
  <c r="K58" i="15" s="1"/>
  <c r="I55" i="1"/>
  <c r="J55" i="1" l="1"/>
  <c r="K55" i="1"/>
  <c r="C57" i="15" s="1"/>
  <c r="K57" i="15" s="1"/>
  <c r="I54" i="1"/>
  <c r="J54" i="1" l="1"/>
  <c r="I53" i="1"/>
  <c r="K54" i="1"/>
  <c r="C56" i="15" s="1"/>
  <c r="K56" i="15" s="1"/>
  <c r="J53" i="1" l="1"/>
  <c r="I52" i="1"/>
  <c r="K53" i="1"/>
  <c r="C55" i="15" s="1"/>
  <c r="K55" i="15" s="1"/>
  <c r="J52" i="1" l="1"/>
  <c r="I51" i="1"/>
  <c r="K52" i="1"/>
  <c r="C54" i="15" s="1"/>
  <c r="K54" i="15" s="1"/>
  <c r="J51" i="1" l="1"/>
  <c r="I50" i="1"/>
  <c r="K51" i="1"/>
  <c r="C53" i="15" s="1"/>
  <c r="K53" i="15" s="1"/>
  <c r="J50" i="1" l="1"/>
  <c r="I49" i="1"/>
  <c r="K50" i="1"/>
  <c r="C52" i="15" s="1"/>
  <c r="K52" i="15" s="1"/>
  <c r="J49" i="1" l="1"/>
  <c r="I48" i="1"/>
  <c r="K49" i="1"/>
  <c r="C51" i="15" s="1"/>
  <c r="K51" i="15" s="1"/>
  <c r="J48" i="1" l="1"/>
  <c r="I47" i="1"/>
  <c r="K48" i="1"/>
  <c r="C50" i="15" s="1"/>
  <c r="K50" i="15" s="1"/>
  <c r="J47" i="1" l="1"/>
  <c r="I46" i="1"/>
  <c r="K47" i="1"/>
  <c r="C49" i="15" s="1"/>
  <c r="K49" i="15" s="1"/>
  <c r="J46" i="1" l="1"/>
  <c r="I45" i="1"/>
  <c r="K46" i="1"/>
  <c r="C48" i="15" s="1"/>
  <c r="K48" i="15" s="1"/>
  <c r="J45" i="1" l="1"/>
  <c r="I44" i="1"/>
  <c r="K45" i="1"/>
  <c r="C47" i="15" s="1"/>
  <c r="K47" i="15" s="1"/>
  <c r="J44" i="1" l="1"/>
  <c r="K44" i="1"/>
  <c r="C46" i="15" s="1"/>
  <c r="K46" i="15" s="1"/>
  <c r="I43" i="1"/>
  <c r="J43" i="1" l="1"/>
  <c r="I42" i="1"/>
  <c r="K43" i="1"/>
  <c r="C45" i="15" s="1"/>
  <c r="K45" i="15" s="1"/>
  <c r="J42" i="1" l="1"/>
  <c r="K42" i="1"/>
  <c r="C44" i="15" s="1"/>
  <c r="K44" i="15" s="1"/>
  <c r="I41" i="1"/>
  <c r="J41" i="1" l="1"/>
  <c r="K41" i="1"/>
  <c r="C43" i="15" s="1"/>
  <c r="K43" i="15" s="1"/>
  <c r="I40" i="1"/>
  <c r="J40" i="1" l="1"/>
  <c r="K40" i="1"/>
  <c r="C42" i="15" s="1"/>
  <c r="K42" i="15" s="1"/>
  <c r="I39" i="1"/>
  <c r="J39" i="1" l="1"/>
  <c r="I38" i="1"/>
  <c r="K39" i="1"/>
  <c r="C41" i="15" s="1"/>
  <c r="K41" i="15" s="1"/>
  <c r="J38" i="1" l="1"/>
  <c r="I37" i="1"/>
  <c r="K38" i="1"/>
  <c r="C40" i="15" s="1"/>
  <c r="K40" i="15" s="1"/>
  <c r="J37" i="1" l="1"/>
  <c r="K37" i="1"/>
  <c r="C39" i="15" s="1"/>
  <c r="K39" i="15" s="1"/>
  <c r="I36" i="1"/>
  <c r="J36" i="1" l="1"/>
  <c r="I35" i="1"/>
  <c r="K36" i="1"/>
  <c r="C38" i="15" s="1"/>
  <c r="K38" i="15" s="1"/>
  <c r="J35" i="1" l="1"/>
  <c r="I34" i="1"/>
  <c r="K35" i="1"/>
  <c r="C37" i="15" s="1"/>
  <c r="K37" i="15" s="1"/>
  <c r="J34" i="1" l="1"/>
  <c r="I33" i="1"/>
  <c r="K34" i="1"/>
  <c r="C36" i="15" s="1"/>
  <c r="K36" i="15" s="1"/>
  <c r="J33" i="1" l="1"/>
  <c r="K33" i="1"/>
  <c r="C35" i="15" s="1"/>
  <c r="K35" i="15" s="1"/>
  <c r="I32" i="1"/>
  <c r="J32" i="1" l="1"/>
  <c r="I31" i="1"/>
  <c r="K32" i="1"/>
  <c r="C34" i="15" s="1"/>
  <c r="K34" i="15" s="1"/>
  <c r="J31" i="1" l="1"/>
  <c r="I30" i="1"/>
  <c r="K31" i="1"/>
  <c r="C33" i="15" s="1"/>
  <c r="K33" i="15" s="1"/>
  <c r="J30" i="1" l="1"/>
  <c r="I29" i="1"/>
  <c r="K30" i="1"/>
  <c r="C32" i="15" s="1"/>
  <c r="K32" i="15" s="1"/>
  <c r="J29" i="1" l="1"/>
  <c r="I28" i="1"/>
  <c r="K29" i="1"/>
  <c r="C31" i="15" s="1"/>
  <c r="K31" i="15" s="1"/>
  <c r="J28" i="1" l="1"/>
  <c r="K28" i="1"/>
  <c r="C30" i="15" s="1"/>
  <c r="K30" i="15" s="1"/>
  <c r="I27" i="1"/>
  <c r="J27" i="1" l="1"/>
  <c r="I26" i="1"/>
  <c r="K27" i="1"/>
  <c r="C29" i="15" s="1"/>
  <c r="K29" i="15" s="1"/>
  <c r="J26" i="1" l="1"/>
  <c r="I25" i="1"/>
  <c r="K26" i="1"/>
  <c r="C28" i="15" s="1"/>
  <c r="K28" i="15" s="1"/>
  <c r="J25" i="1" l="1"/>
  <c r="K25" i="1"/>
  <c r="C27" i="15" s="1"/>
  <c r="K27" i="15" s="1"/>
  <c r="I24" i="1"/>
  <c r="J24" i="1" l="1"/>
  <c r="K24" i="1"/>
  <c r="C26" i="15" s="1"/>
  <c r="K26" i="15" s="1"/>
  <c r="I23" i="1"/>
  <c r="J23" i="1" l="1"/>
  <c r="I22" i="1"/>
  <c r="K23" i="1"/>
  <c r="C25" i="15" s="1"/>
  <c r="K25" i="15" s="1"/>
  <c r="J22" i="1" l="1"/>
  <c r="I21" i="1"/>
  <c r="K22" i="1"/>
  <c r="C24" i="15" s="1"/>
  <c r="K24" i="15" s="1"/>
  <c r="J21" i="1" l="1"/>
  <c r="K21" i="1"/>
  <c r="C23" i="15" s="1"/>
  <c r="K23" i="15" s="1"/>
  <c r="I20" i="1"/>
  <c r="J20" i="1" l="1"/>
  <c r="I19" i="1"/>
  <c r="K20" i="1"/>
  <c r="C22" i="15" s="1"/>
  <c r="K22" i="15" s="1"/>
  <c r="J19" i="1" l="1"/>
  <c r="K19" i="1"/>
  <c r="C21" i="15" s="1"/>
  <c r="K21" i="15" s="1"/>
  <c r="I18" i="1"/>
  <c r="J18" i="1" l="1"/>
  <c r="K18" i="1"/>
  <c r="C20" i="15" s="1"/>
  <c r="K20" i="15" s="1"/>
  <c r="I17" i="1"/>
  <c r="J17" i="1" l="1"/>
  <c r="K17" i="1"/>
  <c r="C19" i="15" s="1"/>
  <c r="K19" i="15" s="1"/>
  <c r="I16" i="1"/>
  <c r="J16" i="1" l="1"/>
  <c r="I15" i="1"/>
  <c r="K16" i="1"/>
  <c r="C18" i="15" s="1"/>
  <c r="K18" i="15" s="1"/>
  <c r="J15" i="1" l="1"/>
  <c r="I14" i="1"/>
  <c r="K15" i="1"/>
  <c r="C17" i="15" s="1"/>
  <c r="K17" i="15" s="1"/>
  <c r="J14" i="1" l="1"/>
  <c r="K14" i="1"/>
  <c r="C16" i="15" s="1"/>
  <c r="K16" i="15" s="1"/>
  <c r="I13" i="1"/>
  <c r="J13" i="1" l="1"/>
  <c r="K13" i="1"/>
  <c r="C15" i="15" s="1"/>
  <c r="K15" i="15" s="1"/>
  <c r="I12" i="1"/>
  <c r="J12" i="1" l="1"/>
  <c r="K12" i="1"/>
  <c r="C14" i="15" s="1"/>
  <c r="K14" i="15" s="1"/>
  <c r="I11" i="1"/>
  <c r="J11" i="1" l="1"/>
  <c r="I10" i="1"/>
  <c r="K11" i="1"/>
  <c r="C13" i="15" s="1"/>
  <c r="K13" i="15" s="1"/>
  <c r="D344" i="9"/>
  <c r="D344" i="2"/>
  <c r="H344" i="1"/>
  <c r="K344" i="1" s="1"/>
  <c r="C346" i="15" s="1"/>
  <c r="H338" i="1"/>
  <c r="K338" i="1" s="1"/>
  <c r="D338" i="2"/>
  <c r="D338" i="9"/>
  <c r="H339" i="1"/>
  <c r="K339" i="1" s="1"/>
  <c r="D339" i="2"/>
  <c r="D339" i="9"/>
  <c r="J10" i="1" l="1"/>
  <c r="I9" i="1"/>
  <c r="K10" i="1"/>
  <c r="C12" i="15" s="1"/>
  <c r="K12" i="15" s="1"/>
  <c r="C341" i="15"/>
  <c r="H345" i="1"/>
  <c r="K345" i="1" s="1"/>
  <c r="D345" i="9"/>
  <c r="D345" i="2"/>
  <c r="F344" i="2"/>
  <c r="J344" i="2" s="1"/>
  <c r="H344" i="2"/>
  <c r="K344" i="2" s="1"/>
  <c r="D346" i="15" s="1"/>
  <c r="D343" i="9"/>
  <c r="D343" i="2"/>
  <c r="H343" i="1"/>
  <c r="K343" i="1" s="1"/>
  <c r="D344" i="11"/>
  <c r="H344" i="9"/>
  <c r="K344" i="9" s="1"/>
  <c r="E346" i="15" s="1"/>
  <c r="F344" i="9"/>
  <c r="J344" i="9" s="1"/>
  <c r="F338" i="9"/>
  <c r="J338" i="9" s="1"/>
  <c r="H338" i="9"/>
  <c r="K338" i="9" s="1"/>
  <c r="E340" i="15" s="1"/>
  <c r="D338" i="11"/>
  <c r="H339" i="2"/>
  <c r="K339" i="2" s="1"/>
  <c r="D341" i="15" s="1"/>
  <c r="F339" i="2"/>
  <c r="J339" i="2" s="1"/>
  <c r="F338" i="2"/>
  <c r="J338" i="2" s="1"/>
  <c r="H338" i="2"/>
  <c r="K338" i="2" s="1"/>
  <c r="D340" i="15" s="1"/>
  <c r="D339" i="11"/>
  <c r="F339" i="9"/>
  <c r="J339" i="9" s="1"/>
  <c r="H339" i="9"/>
  <c r="K339" i="9" s="1"/>
  <c r="E341" i="15" s="1"/>
  <c r="C340" i="15"/>
  <c r="H342" i="1"/>
  <c r="K342" i="1" s="1"/>
  <c r="D342" i="9"/>
  <c r="D342" i="2"/>
  <c r="D340" i="2"/>
  <c r="D340" i="9"/>
  <c r="H340" i="1"/>
  <c r="K340" i="1" s="1"/>
  <c r="J9" i="1" l="1"/>
  <c r="K9" i="1"/>
  <c r="C11" i="15" s="1"/>
  <c r="K11" i="15" s="1"/>
  <c r="I8" i="1"/>
  <c r="D343" i="11"/>
  <c r="H343" i="9"/>
  <c r="K343" i="9" s="1"/>
  <c r="E345" i="15" s="1"/>
  <c r="F343" i="9"/>
  <c r="J343" i="9" s="1"/>
  <c r="F340" i="2"/>
  <c r="J340" i="2" s="1"/>
  <c r="H340" i="2"/>
  <c r="K340" i="2" s="1"/>
  <c r="D342" i="15" s="1"/>
  <c r="C342" i="15"/>
  <c r="D340" i="11"/>
  <c r="F340" i="9"/>
  <c r="J340" i="9" s="1"/>
  <c r="H340" i="9"/>
  <c r="K340" i="9" s="1"/>
  <c r="E342" i="15" s="1"/>
  <c r="F338" i="11"/>
  <c r="J338" i="11" s="1"/>
  <c r="H338" i="11"/>
  <c r="K338" i="11" s="1"/>
  <c r="F340" i="15" s="1"/>
  <c r="K340" i="15" s="1"/>
  <c r="H345" i="2"/>
  <c r="K345" i="2" s="1"/>
  <c r="F345" i="2"/>
  <c r="J345" i="2" s="1"/>
  <c r="F344" i="11"/>
  <c r="J344" i="11" s="1"/>
  <c r="H344" i="11"/>
  <c r="K344" i="11" s="1"/>
  <c r="F346" i="15" s="1"/>
  <c r="K346" i="15" s="1"/>
  <c r="D345" i="11"/>
  <c r="F345" i="9"/>
  <c r="J345" i="9" s="1"/>
  <c r="H345" i="9"/>
  <c r="K345" i="9" s="1"/>
  <c r="F342" i="2"/>
  <c r="J342" i="2" s="1"/>
  <c r="H342" i="2"/>
  <c r="K342" i="2" s="1"/>
  <c r="D344" i="15" s="1"/>
  <c r="C345" i="15"/>
  <c r="C347" i="15"/>
  <c r="D341" i="2"/>
  <c r="D341" i="9"/>
  <c r="H341" i="1"/>
  <c r="K341" i="1" s="1"/>
  <c r="F342" i="9"/>
  <c r="J342" i="9" s="1"/>
  <c r="H342" i="9"/>
  <c r="K342" i="9" s="1"/>
  <c r="E344" i="15" s="1"/>
  <c r="D342" i="11"/>
  <c r="F339" i="11"/>
  <c r="J339" i="11" s="1"/>
  <c r="H339" i="11"/>
  <c r="K339" i="11" s="1"/>
  <c r="F341" i="15" s="1"/>
  <c r="K341" i="15" s="1"/>
  <c r="H343" i="2"/>
  <c r="K343" i="2" s="1"/>
  <c r="D345" i="15" s="1"/>
  <c r="F343" i="2"/>
  <c r="J343" i="2" s="1"/>
  <c r="C344" i="15"/>
  <c r="J8" i="1" l="1"/>
  <c r="I7" i="1"/>
  <c r="K8" i="1"/>
  <c r="C10" i="15" s="1"/>
  <c r="K10" i="15" s="1"/>
  <c r="H341" i="9"/>
  <c r="K341" i="9" s="1"/>
  <c r="E343" i="15" s="1"/>
  <c r="F341" i="9"/>
  <c r="J341" i="9" s="1"/>
  <c r="D341" i="11"/>
  <c r="C343" i="15"/>
  <c r="F341" i="2"/>
  <c r="J341" i="2" s="1"/>
  <c r="H341" i="2"/>
  <c r="K341" i="2" s="1"/>
  <c r="D343" i="15" s="1"/>
  <c r="E347" i="15"/>
  <c r="D347" i="15"/>
  <c r="F345" i="11"/>
  <c r="J345" i="11" s="1"/>
  <c r="H345" i="11"/>
  <c r="K345" i="11" s="1"/>
  <c r="F342" i="11"/>
  <c r="J342" i="11" s="1"/>
  <c r="H342" i="11"/>
  <c r="K342" i="11" s="1"/>
  <c r="F344" i="15" s="1"/>
  <c r="K344" i="15" s="1"/>
  <c r="H340" i="11"/>
  <c r="K340" i="11" s="1"/>
  <c r="F342" i="15" s="1"/>
  <c r="K342" i="15" s="1"/>
  <c r="F340" i="11"/>
  <c r="J340" i="11" s="1"/>
  <c r="H343" i="11"/>
  <c r="K343" i="11" s="1"/>
  <c r="F345" i="15" s="1"/>
  <c r="K345" i="15" s="1"/>
  <c r="F343" i="11"/>
  <c r="J343" i="11" s="1"/>
  <c r="J7" i="1" l="1"/>
  <c r="I6" i="1"/>
  <c r="K7" i="1"/>
  <c r="C9" i="15" s="1"/>
  <c r="K9" i="15" s="1"/>
  <c r="F341" i="11"/>
  <c r="J341" i="11" s="1"/>
  <c r="H341" i="11"/>
  <c r="K341" i="11" s="1"/>
  <c r="F343" i="15" s="1"/>
  <c r="K343" i="15" s="1"/>
  <c r="F347" i="15"/>
  <c r="K347" i="15" s="1"/>
  <c r="J6" i="1" l="1"/>
  <c r="I5" i="1"/>
  <c r="K6" i="1"/>
  <c r="C8" i="15" s="1"/>
  <c r="K8" i="15" s="1"/>
  <c r="J5" i="1" l="1"/>
  <c r="I4" i="1"/>
  <c r="K5" i="1"/>
  <c r="C7" i="15" s="1"/>
  <c r="K7" i="15" s="1"/>
  <c r="J4" i="1" l="1"/>
  <c r="I3" i="1"/>
  <c r="K4" i="1"/>
  <c r="C6" i="15" s="1"/>
  <c r="K6" i="15" s="1"/>
  <c r="D347" i="9"/>
  <c r="H347" i="1"/>
  <c r="K347" i="1" s="1"/>
  <c r="D347" i="2"/>
  <c r="J3" i="1" l="1"/>
  <c r="K3" i="1"/>
  <c r="C5" i="15" s="1"/>
  <c r="K5" i="15" s="1"/>
  <c r="I2" i="1"/>
  <c r="F347" i="2"/>
  <c r="J347" i="2" s="1"/>
  <c r="H347" i="2"/>
  <c r="K347" i="2" s="1"/>
  <c r="C349" i="15"/>
  <c r="F347" i="9"/>
  <c r="J347" i="9" s="1"/>
  <c r="H347" i="9"/>
  <c r="K347" i="9" s="1"/>
  <c r="D347" i="11"/>
  <c r="J2" i="1" l="1"/>
  <c r="K2" i="1"/>
  <c r="L2" i="1" s="1"/>
  <c r="F347" i="11"/>
  <c r="J347" i="11" s="1"/>
  <c r="H347" i="11"/>
  <c r="K347" i="11" s="1"/>
  <c r="E349" i="15"/>
  <c r="D349" i="15"/>
  <c r="L3" i="1" l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C4" i="15"/>
  <c r="K4" i="15" s="1"/>
  <c r="F349" i="15"/>
  <c r="K349" i="15" s="1"/>
  <c r="L4" i="15" l="1"/>
  <c r="L5" i="15" s="1"/>
  <c r="L6" i="15" s="1"/>
  <c r="L7" i="15" s="1"/>
  <c r="L8" i="15" s="1"/>
  <c r="L9" i="15" s="1"/>
  <c r="L10" i="15" s="1"/>
  <c r="L11" i="15" s="1"/>
  <c r="L12" i="15" s="1"/>
  <c r="L13" i="15" s="1"/>
  <c r="L14" i="15" s="1"/>
  <c r="L15" i="15" s="1"/>
  <c r="L16" i="15" s="1"/>
  <c r="L17" i="15" s="1"/>
  <c r="L18" i="15" s="1"/>
  <c r="L19" i="15" s="1"/>
  <c r="L20" i="15" s="1"/>
  <c r="L21" i="15" s="1"/>
  <c r="L22" i="15" s="1"/>
  <c r="L23" i="15" s="1"/>
  <c r="L24" i="15" s="1"/>
  <c r="L25" i="15" s="1"/>
  <c r="L26" i="15" s="1"/>
  <c r="L27" i="15" s="1"/>
  <c r="L28" i="15" s="1"/>
  <c r="L29" i="15" s="1"/>
  <c r="L30" i="15" s="1"/>
  <c r="L31" i="15" s="1"/>
  <c r="L32" i="15" s="1"/>
  <c r="L33" i="15" s="1"/>
  <c r="L34" i="15" s="1"/>
  <c r="L35" i="15" s="1"/>
  <c r="L36" i="15" s="1"/>
  <c r="L37" i="15" s="1"/>
  <c r="L38" i="15" s="1"/>
  <c r="L39" i="15" s="1"/>
  <c r="L40" i="15" s="1"/>
  <c r="L41" i="15" s="1"/>
  <c r="L42" i="15" s="1"/>
  <c r="L43" i="15" s="1"/>
  <c r="L44" i="15" s="1"/>
  <c r="L45" i="15" s="1"/>
  <c r="L46" i="15" s="1"/>
  <c r="L47" i="15" s="1"/>
  <c r="L48" i="15" s="1"/>
  <c r="L49" i="15" s="1"/>
  <c r="L50" i="15" s="1"/>
  <c r="L51" i="15" s="1"/>
  <c r="L52" i="15" s="1"/>
  <c r="L53" i="15" s="1"/>
  <c r="L54" i="15" s="1"/>
  <c r="L55" i="15" s="1"/>
  <c r="L56" i="15" s="1"/>
  <c r="L57" i="15" s="1"/>
  <c r="L58" i="15" s="1"/>
  <c r="L59" i="15" s="1"/>
  <c r="L60" i="15" s="1"/>
  <c r="L61" i="15" s="1"/>
  <c r="L62" i="15" s="1"/>
  <c r="L63" i="15" s="1"/>
  <c r="L64" i="15" s="1"/>
  <c r="L65" i="15" s="1"/>
  <c r="L66" i="15" s="1"/>
  <c r="L67" i="15" s="1"/>
  <c r="L68" i="15" s="1"/>
  <c r="L69" i="15" s="1"/>
  <c r="L70" i="15" s="1"/>
  <c r="L71" i="15" s="1"/>
  <c r="L72" i="15" s="1"/>
  <c r="L73" i="15" s="1"/>
  <c r="L74" i="15" s="1"/>
  <c r="L75" i="15" s="1"/>
  <c r="L76" i="15" s="1"/>
  <c r="L77" i="15" s="1"/>
  <c r="L78" i="15" s="1"/>
  <c r="L79" i="15" s="1"/>
  <c r="L80" i="15" s="1"/>
  <c r="L81" i="15" s="1"/>
  <c r="L82" i="15" s="1"/>
  <c r="L83" i="15" s="1"/>
  <c r="L84" i="15" s="1"/>
  <c r="L85" i="15" s="1"/>
  <c r="L86" i="15" s="1"/>
  <c r="L87" i="15" s="1"/>
  <c r="L88" i="15" s="1"/>
  <c r="L89" i="15" s="1"/>
  <c r="L90" i="15" s="1"/>
  <c r="L91" i="15" s="1"/>
  <c r="L92" i="15" s="1"/>
  <c r="L93" i="15" s="1"/>
  <c r="L94" i="15" s="1"/>
  <c r="L95" i="15" s="1"/>
  <c r="L96" i="15" s="1"/>
  <c r="L97" i="15" s="1"/>
  <c r="L98" i="15" s="1"/>
  <c r="L99" i="15" s="1"/>
  <c r="L100" i="15" s="1"/>
  <c r="L101" i="15" s="1"/>
  <c r="L102" i="15" s="1"/>
  <c r="L103" i="15" s="1"/>
  <c r="L104" i="15" s="1"/>
  <c r="L105" i="15" s="1"/>
  <c r="L106" i="15" s="1"/>
  <c r="L107" i="15" s="1"/>
  <c r="L108" i="15" s="1"/>
  <c r="L109" i="15" s="1"/>
  <c r="L110" i="15" s="1"/>
  <c r="L111" i="15" s="1"/>
  <c r="L112" i="15" s="1"/>
  <c r="L113" i="15" s="1"/>
  <c r="L114" i="15" s="1"/>
  <c r="L115" i="15" s="1"/>
  <c r="L116" i="15" s="1"/>
  <c r="L117" i="15" s="1"/>
  <c r="L118" i="15" s="1"/>
  <c r="L119" i="15" s="1"/>
  <c r="L120" i="15" s="1"/>
  <c r="L121" i="15" s="1"/>
  <c r="L122" i="15" s="1"/>
  <c r="L123" i="15" s="1"/>
  <c r="L124" i="15" s="1"/>
  <c r="L125" i="15" s="1"/>
  <c r="L126" i="15" s="1"/>
  <c r="L127" i="15" s="1"/>
  <c r="L128" i="15" s="1"/>
  <c r="L129" i="15" s="1"/>
  <c r="L130" i="15" s="1"/>
  <c r="L131" i="15" s="1"/>
  <c r="L132" i="15" s="1"/>
  <c r="L133" i="15" s="1"/>
  <c r="L134" i="15" s="1"/>
  <c r="L135" i="15" s="1"/>
  <c r="L136" i="15" s="1"/>
  <c r="L137" i="15" s="1"/>
  <c r="L138" i="15" s="1"/>
  <c r="L139" i="15" s="1"/>
  <c r="L140" i="15" s="1"/>
  <c r="L141" i="15" s="1"/>
  <c r="L142" i="15" s="1"/>
  <c r="L143" i="15" s="1"/>
  <c r="L144" i="15" s="1"/>
  <c r="L145" i="15" s="1"/>
  <c r="L146" i="15" s="1"/>
  <c r="L147" i="15" s="1"/>
  <c r="L148" i="15" s="1"/>
  <c r="L149" i="15" s="1"/>
  <c r="L150" i="15" s="1"/>
  <c r="L151" i="15" s="1"/>
  <c r="L152" i="15" s="1"/>
  <c r="L153" i="15" s="1"/>
  <c r="L154" i="15" s="1"/>
  <c r="L155" i="15" s="1"/>
  <c r="L156" i="15" s="1"/>
  <c r="L157" i="15" s="1"/>
  <c r="L158" i="15" s="1"/>
  <c r="L159" i="15" s="1"/>
  <c r="L160" i="15" s="1"/>
  <c r="L161" i="15" s="1"/>
  <c r="L162" i="15" s="1"/>
  <c r="L163" i="15" s="1"/>
  <c r="L164" i="15" s="1"/>
  <c r="L165" i="15" s="1"/>
  <c r="L166" i="15" s="1"/>
  <c r="L167" i="15" s="1"/>
  <c r="L168" i="15" s="1"/>
  <c r="L169" i="15" s="1"/>
  <c r="L170" i="15" s="1"/>
  <c r="L171" i="15" s="1"/>
  <c r="L172" i="15" s="1"/>
  <c r="L173" i="15" s="1"/>
  <c r="L174" i="15" s="1"/>
  <c r="L175" i="15" s="1"/>
  <c r="L176" i="15" s="1"/>
  <c r="L177" i="15" s="1"/>
  <c r="L178" i="15" s="1"/>
  <c r="L179" i="15" s="1"/>
  <c r="L180" i="15" s="1"/>
  <c r="L181" i="15" s="1"/>
  <c r="L182" i="15" s="1"/>
  <c r="L183" i="15" s="1"/>
  <c r="L184" i="15" s="1"/>
  <c r="L185" i="15" s="1"/>
  <c r="L186" i="15" s="1"/>
  <c r="L187" i="15" s="1"/>
  <c r="L188" i="15" s="1"/>
  <c r="L189" i="15" s="1"/>
  <c r="L190" i="15" s="1"/>
  <c r="L191" i="15" s="1"/>
  <c r="L192" i="15" s="1"/>
  <c r="L193" i="15" s="1"/>
  <c r="L194" i="15" s="1"/>
  <c r="L195" i="15" s="1"/>
  <c r="L196" i="15" s="1"/>
  <c r="L197" i="15" s="1"/>
  <c r="L198" i="15" s="1"/>
  <c r="L199" i="15" s="1"/>
  <c r="L200" i="15" s="1"/>
  <c r="L201" i="15" s="1"/>
  <c r="L202" i="15" s="1"/>
  <c r="L203" i="15" s="1"/>
  <c r="L204" i="15" s="1"/>
  <c r="L205" i="15" s="1"/>
  <c r="L206" i="15" s="1"/>
  <c r="L207" i="15" s="1"/>
  <c r="L208" i="15" s="1"/>
  <c r="L209" i="15" s="1"/>
  <c r="L210" i="15" s="1"/>
  <c r="L211" i="15" s="1"/>
  <c r="L212" i="15" s="1"/>
  <c r="L213" i="15" s="1"/>
  <c r="L214" i="15" s="1"/>
  <c r="L215" i="15" s="1"/>
  <c r="L216" i="15" s="1"/>
  <c r="L217" i="15" s="1"/>
  <c r="L218" i="15" s="1"/>
  <c r="L219" i="15" s="1"/>
  <c r="L220" i="15" s="1"/>
  <c r="L221" i="15" s="1"/>
  <c r="L222" i="15" s="1"/>
  <c r="L223" i="15" s="1"/>
  <c r="L224" i="15" s="1"/>
  <c r="L225" i="15" s="1"/>
  <c r="L226" i="15" s="1"/>
  <c r="L227" i="15" s="1"/>
  <c r="L228" i="15" s="1"/>
  <c r="L229" i="15" s="1"/>
  <c r="L230" i="15" s="1"/>
  <c r="L231" i="15" s="1"/>
  <c r="L232" i="15" s="1"/>
  <c r="L233" i="15" s="1"/>
  <c r="L234" i="15" s="1"/>
  <c r="L235" i="15" s="1"/>
  <c r="L236" i="15" s="1"/>
  <c r="L237" i="15" s="1"/>
  <c r="L238" i="15" s="1"/>
  <c r="L239" i="15" s="1"/>
  <c r="L240" i="15" s="1"/>
  <c r="L241" i="15" s="1"/>
  <c r="L242" i="15" s="1"/>
  <c r="L243" i="15" s="1"/>
  <c r="L244" i="15" s="1"/>
  <c r="L245" i="15" s="1"/>
  <c r="L246" i="15" s="1"/>
  <c r="L247" i="15" s="1"/>
  <c r="L248" i="15" s="1"/>
  <c r="L249" i="15" s="1"/>
  <c r="L250" i="15" s="1"/>
  <c r="L251" i="15" s="1"/>
  <c r="L252" i="15" s="1"/>
  <c r="L253" i="15" s="1"/>
  <c r="L254" i="15" s="1"/>
  <c r="L255" i="15" s="1"/>
  <c r="L256" i="15" s="1"/>
  <c r="L257" i="15" s="1"/>
  <c r="L258" i="15" s="1"/>
  <c r="L259" i="15" s="1"/>
  <c r="L260" i="15" s="1"/>
  <c r="L261" i="15" s="1"/>
  <c r="L262" i="15" s="1"/>
  <c r="L263" i="15" s="1"/>
  <c r="L264" i="15" s="1"/>
  <c r="L265" i="15" s="1"/>
  <c r="L266" i="15" s="1"/>
  <c r="L267" i="15" s="1"/>
  <c r="L268" i="15" s="1"/>
  <c r="L269" i="15" s="1"/>
  <c r="L270" i="15" s="1"/>
  <c r="L271" i="15" s="1"/>
  <c r="L272" i="15" s="1"/>
  <c r="L273" i="15" s="1"/>
  <c r="L274" i="15" s="1"/>
  <c r="L275" i="15" s="1"/>
  <c r="L276" i="15" s="1"/>
  <c r="L277" i="15" s="1"/>
  <c r="L278" i="15" s="1"/>
  <c r="L279" i="15" s="1"/>
  <c r="L280" i="15" s="1"/>
  <c r="L281" i="15" s="1"/>
  <c r="L282" i="15" s="1"/>
  <c r="L283" i="15" s="1"/>
  <c r="L284" i="15" s="1"/>
  <c r="L285" i="15" s="1"/>
  <c r="L286" i="15" s="1"/>
  <c r="L287" i="15" s="1"/>
  <c r="L288" i="15" s="1"/>
  <c r="L289" i="15" s="1"/>
  <c r="L290" i="15" s="1"/>
  <c r="L291" i="15" s="1"/>
  <c r="L292" i="15" s="1"/>
  <c r="L293" i="15" s="1"/>
  <c r="L294" i="15" s="1"/>
  <c r="J294" i="15" l="1"/>
  <c r="L295" i="15"/>
  <c r="F386" i="1"/>
  <c r="J386" i="1" s="1"/>
  <c r="H387" i="1"/>
  <c r="K387" i="1" s="1"/>
  <c r="C389" i="15" s="1"/>
  <c r="K389" i="15" s="1"/>
  <c r="H386" i="1"/>
  <c r="K386" i="1" s="1"/>
  <c r="C388" i="15" s="1"/>
  <c r="K388" i="15" s="1"/>
  <c r="F387" i="1"/>
  <c r="J387" i="1" s="1"/>
  <c r="J295" i="15" l="1"/>
  <c r="L296" i="15"/>
  <c r="J296" i="15" l="1"/>
  <c r="L297" i="15"/>
  <c r="L298" i="15" s="1"/>
  <c r="L299" i="15" s="1"/>
  <c r="L300" i="15" s="1"/>
  <c r="L301" i="15" s="1"/>
  <c r="L302" i="15" s="1"/>
  <c r="L303" i="15" s="1"/>
  <c r="L304" i="15" s="1"/>
  <c r="L305" i="15" s="1"/>
  <c r="L306" i="15" s="1"/>
  <c r="L307" i="15" s="1"/>
  <c r="L308" i="15" s="1"/>
  <c r="L309" i="15" s="1"/>
  <c r="L310" i="15" s="1"/>
  <c r="L311" i="15" s="1"/>
  <c r="L312" i="15" s="1"/>
  <c r="L313" i="15" s="1"/>
  <c r="L314" i="15" s="1"/>
  <c r="L315" i="15" s="1"/>
  <c r="L316" i="15" s="1"/>
  <c r="L317" i="15" s="1"/>
  <c r="L318" i="15" s="1"/>
  <c r="L319" i="15" s="1"/>
  <c r="L320" i="15" s="1"/>
  <c r="L321" i="15" s="1"/>
  <c r="L322" i="15" s="1"/>
  <c r="L323" i="15" s="1"/>
  <c r="L324" i="15" s="1"/>
  <c r="L325" i="15" s="1"/>
  <c r="L326" i="15" s="1"/>
  <c r="L327" i="15" s="1"/>
  <c r="L328" i="15" s="1"/>
  <c r="L329" i="15" s="1"/>
  <c r="L330" i="15" s="1"/>
  <c r="L331" i="15" s="1"/>
  <c r="L332" i="15" s="1"/>
  <c r="L333" i="15" s="1"/>
  <c r="L334" i="15" s="1"/>
  <c r="L335" i="15" s="1"/>
  <c r="L336" i="15" s="1"/>
  <c r="L337" i="15" s="1"/>
  <c r="L338" i="15" s="1"/>
  <c r="L339" i="15" s="1"/>
  <c r="L340" i="15" s="1"/>
  <c r="L341" i="15" s="1"/>
  <c r="L342" i="15" s="1"/>
  <c r="L343" i="15" s="1"/>
  <c r="L344" i="15" s="1"/>
  <c r="L345" i="15" s="1"/>
  <c r="L346" i="15" s="1"/>
  <c r="L347" i="15" s="1"/>
  <c r="L348" i="15" s="1"/>
  <c r="L349" i="15" s="1"/>
  <c r="L350" i="15" s="1"/>
  <c r="L351" i="15" s="1"/>
  <c r="L352" i="15" s="1"/>
  <c r="L353" i="15" s="1"/>
  <c r="L354" i="15" s="1"/>
  <c r="L355" i="15" s="1"/>
  <c r="L356" i="15" s="1"/>
  <c r="L357" i="15" s="1"/>
  <c r="L358" i="15" s="1"/>
  <c r="L359" i="15" s="1"/>
  <c r="L360" i="15" s="1"/>
  <c r="L361" i="15" s="1"/>
  <c r="L362" i="15" s="1"/>
  <c r="L363" i="15" s="1"/>
  <c r="L364" i="15" s="1"/>
  <c r="L365" i="15" s="1"/>
  <c r="L366" i="15" s="1"/>
  <c r="L367" i="15" s="1"/>
  <c r="L368" i="15" s="1"/>
  <c r="L369" i="15" s="1"/>
  <c r="L370" i="15" s="1"/>
  <c r="L371" i="15" s="1"/>
  <c r="L372" i="15" s="1"/>
  <c r="L373" i="15" s="1"/>
  <c r="L374" i="15" s="1"/>
  <c r="L375" i="15" s="1"/>
  <c r="L376" i="15" s="1"/>
  <c r="L377" i="15" s="1"/>
  <c r="L378" i="15" s="1"/>
  <c r="L379" i="15" s="1"/>
  <c r="L380" i="15" s="1"/>
  <c r="L381" i="15" s="1"/>
  <c r="L382" i="15" s="1"/>
  <c r="L383" i="15" s="1"/>
  <c r="L384" i="15" s="1"/>
  <c r="L385" i="15" s="1"/>
  <c r="L386" i="15" s="1"/>
  <c r="L387" i="15" s="1"/>
  <c r="L388" i="15" s="1"/>
  <c r="L389" i="15" s="1"/>
  <c r="L390" i="15" s="1"/>
  <c r="L391" i="15" s="1"/>
  <c r="L392" i="15" s="1"/>
  <c r="L393" i="15" s="1"/>
  <c r="L394" i="15" s="1"/>
  <c r="L395" i="15" s="1"/>
  <c r="L396" i="15" s="1"/>
  <c r="L397" i="15" s="1"/>
  <c r="L398" i="15" s="1"/>
  <c r="L399" i="15" s="1"/>
  <c r="L400" i="15" s="1"/>
  <c r="L401" i="15" s="1"/>
  <c r="L402" i="15" s="1"/>
  <c r="L403" i="15" s="1"/>
  <c r="L404" i="15" s="1"/>
  <c r="L405" i="15" s="1"/>
  <c r="L406" i="15" s="1"/>
  <c r="L407" i="15" s="1"/>
  <c r="L408" i="15" s="1"/>
  <c r="L409" i="15" s="1"/>
  <c r="L410" i="15" s="1"/>
  <c r="L411" i="15" s="1"/>
  <c r="L412" i="15" s="1"/>
</calcChain>
</file>

<file path=xl/sharedStrings.xml><?xml version="1.0" encoding="utf-8"?>
<sst xmlns="http://schemas.openxmlformats.org/spreadsheetml/2006/main" count="2384" uniqueCount="90">
  <si>
    <t>E-01</t>
  </si>
  <si>
    <t>F</t>
  </si>
  <si>
    <t>M</t>
  </si>
  <si>
    <t>A</t>
  </si>
  <si>
    <t>J</t>
  </si>
  <si>
    <t>S</t>
  </si>
  <si>
    <t>O</t>
  </si>
  <si>
    <t>N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</si>
  <si>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</si>
  <si>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</si>
  <si>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</si>
  <si>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</si>
  <si>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</si>
  <si>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</si>
  <si>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</si>
  <si>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</si>
  <si>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</si>
  <si>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E-11</t>
  </si>
  <si>
    <t>E-12</t>
  </si>
  <si>
    <t>E-13</t>
  </si>
  <si>
    <t>D-01</t>
  </si>
  <si>
    <t>D-02</t>
  </si>
  <si>
    <t>D-03</t>
  </si>
  <si>
    <t>D-04</t>
  </si>
  <si>
    <t>D-05</t>
  </si>
  <si>
    <t>D-06</t>
  </si>
  <si>
    <t>D-07</t>
  </si>
  <si>
    <t>D-08</t>
  </si>
  <si>
    <t>D-09</t>
  </si>
  <si>
    <t>D-10</t>
  </si>
  <si>
    <t>D-11</t>
  </si>
  <si>
    <t>D-12</t>
  </si>
  <si>
    <t>E-00</t>
  </si>
  <si>
    <t>D-00</t>
  </si>
  <si>
    <t>E-99</t>
  </si>
  <si>
    <t>D-99</t>
  </si>
  <si>
    <t>E-93</t>
  </si>
  <si>
    <t>D-93</t>
  </si>
  <si>
    <t>E-94</t>
  </si>
  <si>
    <t>D-94</t>
  </si>
  <si>
    <t>E-95</t>
  </si>
  <si>
    <t>D-95</t>
  </si>
  <si>
    <t>E-96</t>
  </si>
  <si>
    <t>D-96</t>
  </si>
  <si>
    <t>E-97</t>
  </si>
  <si>
    <t>D-97</t>
  </si>
  <si>
    <t>E-98</t>
  </si>
  <si>
    <t>D-98</t>
  </si>
  <si>
    <t>D-13</t>
  </si>
  <si>
    <t>E-14</t>
  </si>
  <si>
    <t>D-14</t>
  </si>
  <si>
    <t>E-15</t>
  </si>
  <si>
    <t>D-15</t>
  </si>
  <si>
    <t>E-16</t>
  </si>
  <si>
    <t>DEX</t>
  </si>
  <si>
    <t>D-16</t>
  </si>
  <si>
    <t>E-17</t>
  </si>
  <si>
    <t>D-17</t>
  </si>
  <si>
    <t>SOJA</t>
  </si>
  <si>
    <t>TRIGO</t>
  </si>
  <si>
    <t>MAIZ</t>
  </si>
  <si>
    <t>GIRASOL</t>
  </si>
  <si>
    <t>E-18</t>
  </si>
  <si>
    <t>D</t>
  </si>
  <si>
    <t>D-18</t>
  </si>
  <si>
    <t>E-19</t>
  </si>
  <si>
    <t>D-19</t>
  </si>
  <si>
    <t>E-20</t>
  </si>
  <si>
    <t>E-21</t>
  </si>
  <si>
    <t>D-20</t>
  </si>
  <si>
    <t>E-22</t>
  </si>
  <si>
    <t>E-23</t>
  </si>
  <si>
    <t>E-24</t>
  </si>
  <si>
    <t>D-21</t>
  </si>
  <si>
    <t>D-22</t>
  </si>
  <si>
    <t>D-23</t>
  </si>
  <si>
    <t>D-24</t>
  </si>
  <si>
    <t>E-25</t>
  </si>
  <si>
    <t>E-26</t>
  </si>
  <si>
    <t>D-25</t>
  </si>
  <si>
    <t>D-26</t>
  </si>
  <si>
    <t>INDICE FOB*FX/IPC todo base 1993 (1)</t>
  </si>
  <si>
    <t>IPC 1993=1</t>
  </si>
  <si>
    <t>FX 1993=1</t>
  </si>
  <si>
    <t>Precio FOB*FX/(IPC 1993=1) = FOB REAL</t>
  </si>
  <si>
    <t>FOB REAL*(1-DEX) = PRP</t>
  </si>
  <si>
    <t>com3500 $/USD</t>
  </si>
  <si>
    <t>(1)*(1-DEX)</t>
  </si>
  <si>
    <t>FOB                USD/Ton</t>
  </si>
  <si>
    <t>Pesos VBP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</si>
</sst>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"/>
    <numFmt numFmtId="166" formatCode="_-* #,##0.0\ _€_-;\-* #,##0.0\ _€_-;_-* &quot;-&quot;??\ _€_-;_-@_-"/>
    <numFmt numFmtId="167" formatCode="_-* #,##0.0\ _€_-;\-* #,##0.0\ _€_-;_-* &quot;-&quot;?\ _€_-;_-@_-"/>
    <numFmt numFmtId="168" formatCode="0.0%"/>
    <numFmt numFmtId="169" formatCode="0.0"/>
    <numFmt numFmtId="170" formatCode="_-* #,##0.0000\ _€_-;\-* #,##0.0000\ _€_-;_-* &quot;-&quot;??\ _€_-;_-@_-"/>
  </numFmts>
  <fonts count="8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165" fontId="0" fillId="0" borderId="0" xfId="0" applyNumberFormat="1" applyAlignment="1">
      <alignment horizontal="right"/>
    </xf>
    <xf numFmtId="166" fontId="0" fillId="0" borderId="0" xfId="1" applyNumberFormat="1" applyFont="1"/>
    <xf numFmtId="167" fontId="0" fillId="0" borderId="0" xfId="0" applyNumberFormat="1"/>
    <xf numFmtId="168" fontId="0" fillId="0" borderId="0" xfId="2" applyNumberFormat="1" applyFont="1"/>
    <xf numFmtId="169" fontId="0" fillId="0" borderId="0" xfId="0" applyNumberFormat="1"/>
    <xf numFmtId="0" fontId="3" fillId="0" borderId="0" xfId="0" applyFont="1"/>
    <xf numFmtId="170" fontId="0" fillId="0" borderId="0" xfId="1" applyNumberFormat="1" applyFont="1"/>
    <xf numFmtId="170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right"/>
    </xf>
    <xf numFmtId="166" fontId="0" fillId="0" borderId="0" xfId="0" applyNumberFormat="1"/>
    <xf numFmtId="165" fontId="0" fillId="2" borderId="0" xfId="0" applyNumberFormat="1" applyFill="1" applyAlignment="1">
      <alignment horizontal="right"/>
    </xf>
    <xf numFmtId="0" fontId="0" fillId="2" borderId="0" xfId="0" applyFill="1"/>
    <xf numFmtId="167" fontId="4" fillId="0" borderId="0" xfId="0" applyNumberFormat="1" applyFont="1"/>
    <xf numFmtId="168" fontId="4" fillId="0" borderId="0" xfId="2" applyNumberFormat="1" applyFont="1"/>
    <xf numFmtId="169" fontId="4" fillId="0" borderId="0" xfId="0" applyNumberFormat="1" applyFont="1"/>
    <xf numFmtId="0" fontId="5" fillId="0" borderId="0" xfId="0" applyFont="1"/>
    <xf numFmtId="170" fontId="5" fillId="0" borderId="0" xfId="1" applyNumberFormat="1" applyFont="1"/>
    <xf numFmtId="166" fontId="5" fillId="0" borderId="0" xfId="1" applyNumberFormat="1" applyFont="1"/>
    <xf numFmtId="167" fontId="5" fillId="0" borderId="0" xfId="0" applyNumberFormat="1" applyFont="1"/>
    <xf numFmtId="168" fontId="5" fillId="0" borderId="0" xfId="2" applyNumberFormat="1" applyFont="1"/>
    <xf numFmtId="169" fontId="5" fillId="0" borderId="0" xfId="0" applyNumberFormat="1" applyFont="1"/>
    <xf numFmtId="166" fontId="5" fillId="0" borderId="0" xfId="0" applyNumberFormat="1" applyFont="1"/>
    <xf numFmtId="166" fontId="5" fillId="0" borderId="0" xfId="1" applyNumberFormat="1" applyFont="1" applyAlignment="1">
      <alignment horizontal="right"/>
    </xf>
    <xf numFmtId="0" fontId="0" fillId="3" borderId="0" xfId="0" applyFill="1"/>
    <xf numFmtId="166" fontId="3" fillId="3" borderId="0" xfId="1" applyNumberFormat="1" applyFont="1" applyFill="1"/>
    <xf numFmtId="0" fontId="0" fillId="0" borderId="0" xfId="0" applyAlignment="1">
      <alignment horizontal="center"/>
    </xf>
    <xf numFmtId="168" fontId="0" fillId="0" borderId="0" xfId="0" applyNumberFormat="1"/>
    <xf numFmtId="0" fontId="4" fillId="0" borderId="0" xfId="0" applyFont="1"/>
    <xf numFmtId="168" fontId="5" fillId="2" borderId="0" xfId="2" applyNumberFormat="1" applyFont="1" applyFill="1"/>
    <xf numFmtId="166" fontId="5" fillId="2" borderId="0" xfId="1" applyNumberFormat="1" applyFont="1" applyFill="1"/>
    <xf numFmtId="167" fontId="5" fillId="2" borderId="0" xfId="0" applyNumberFormat="1" applyFont="1" applyFill="1"/>
    <xf numFmtId="166" fontId="5" fillId="3" borderId="0" xfId="1" applyNumberFormat="1" applyFont="1" applyFill="1"/>
    <xf numFmtId="170" fontId="5" fillId="0" borderId="0" xfId="1" applyNumberFormat="1" applyFont="1" applyAlignment="1">
      <alignment horizontal="right"/>
    </xf>
    <xf numFmtId="14" fontId="0" fillId="0" borderId="0" xfId="0" applyNumberFormat="1"/>
    <xf numFmtId="168" fontId="0" fillId="2" borderId="0" xfId="2" applyNumberFormat="1" applyFont="1" applyFill="1"/>
    <xf numFmtId="0" fontId="0" fillId="2" borderId="1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8" fontId="7" fillId="2" borderId="1" xfId="2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/>
    <xf numFmtId="0" fontId="3" fillId="2" borderId="0" xfId="0" applyFont="1" applyFill="1"/>
    <xf numFmtId="170" fontId="0" fillId="2" borderId="0" xfId="1" applyNumberFormat="1" applyFont="1" applyFill="1"/>
    <xf numFmtId="4" fontId="0" fillId="2" borderId="0" xfId="0" applyNumberFormat="1" applyFill="1"/>
    <xf numFmtId="167" fontId="0" fillId="2" borderId="0" xfId="0" applyNumberFormat="1" applyFill="1"/>
    <xf numFmtId="169" fontId="0" fillId="2" borderId="0" xfId="0" applyNumberFormat="1" applyFill="1"/>
    <xf numFmtId="166" fontId="0" fillId="2" borderId="0" xfId="1" applyNumberFormat="1" applyFont="1" applyFill="1"/>
    <xf numFmtId="166" fontId="0" fillId="2" borderId="0" xfId="0" applyNumberFormat="1" applyFill="1"/>
    <xf numFmtId="3" fontId="0" fillId="2" borderId="0" xfId="0" applyNumberFormat="1" applyFill="1" applyAlignment="1">
      <alignment horizontal="right"/>
    </xf>
    <xf numFmtId="170" fontId="0" fillId="2" borderId="0" xfId="1" applyNumberFormat="1" applyFont="1" applyFill="1" applyAlignment="1">
      <alignment horizontal="right"/>
    </xf>
    <xf numFmtId="170" fontId="5" fillId="2" borderId="0" xfId="1" applyNumberFormat="1" applyFont="1" applyFill="1"/>
    <xf numFmtId="0" fontId="5" fillId="2" borderId="0" xfId="0" applyFont="1" applyFill="1"/>
    <xf numFmtId="165" fontId="5" fillId="2" borderId="0" xfId="0" applyNumberFormat="1" applyFont="1" applyFill="1" applyAlignment="1">
      <alignment horizontal="right"/>
    </xf>
    <xf numFmtId="166" fontId="5" fillId="2" borderId="0" xfId="0" applyNumberFormat="1" applyFont="1" applyFill="1"/>
    <xf numFmtId="169" fontId="5" fillId="2" borderId="0" xfId="0" applyNumberFormat="1" applyFont="1" applyFill="1"/>
    <xf numFmtId="0" fontId="4" fillId="2" borderId="0" xfId="0" applyFont="1" applyFill="1"/>
    <xf numFmtId="14" fontId="7" fillId="2" borderId="0" xfId="0" applyNumberFormat="1" applyFont="1" applyFill="1"/>
    <xf numFmtId="0" fontId="6" fillId="2" borderId="0" xfId="0" applyFont="1" applyFill="1"/>
    <xf numFmtId="0" fontId="7" fillId="2" borderId="0" xfId="0" applyFont="1" applyFill="1"/>
    <xf numFmtId="165" fontId="4" fillId="2" borderId="0" xfId="0" applyNumberFormat="1" applyFont="1" applyFill="1" applyAlignment="1">
      <alignment horizontal="right"/>
    </xf>
    <xf numFmtId="9" fontId="0" fillId="2" borderId="0" xfId="0" applyNumberFormat="1" applyFill="1"/>
    <xf numFmtId="170" fontId="0" fillId="2" borderId="0" xfId="0" applyNumberFormat="1" applyFill="1"/>
    <xf numFmtId="0" fontId="7" fillId="4" borderId="1" xfId="0" applyFont="1" applyFill="1" applyBorder="1" applyAlignment="1">
      <alignment horizontal="center" vertical="center" wrapText="1"/>
    </xf>
    <xf numFmtId="166" fontId="0" fillId="4" borderId="0" xfId="1" applyNumberFormat="1" applyFont="1" applyFill="1"/>
    <xf numFmtId="166" fontId="5" fillId="4" borderId="0" xfId="1" applyNumberFormat="1" applyFont="1" applyFill="1"/>
    <xf numFmtId="166" fontId="0" fillId="2" borderId="0" xfId="1" applyNumberFormat="1" applyFon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0" fillId="2" borderId="1" xfId="0" applyFill="1" applyBorder="1"/>
    <xf numFmtId="10" fontId="0" fillId="2" borderId="0" xfId="0" applyNumberFormat="1" applyFill="1"/>
    <xf numFmtId="168" fontId="0" fillId="2" borderId="0" xfId="0" applyNumberForma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3A"/>
      <color rgb="FF336600"/>
      <color rgb="FF0080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4.xml"/><Relationship Id="rId12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theme" Target="theme/theme1.xml"/><Relationship Id="rId5" Type="http://schemas.openxmlformats.org/officeDocument/2006/relationships/worksheet" Target="worksheets/sheet2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837026645195063E-2"/>
          <c:y val="0.10895156268415511"/>
          <c:w val="0.9001477026096103"/>
          <c:h val="0.72860661061435117"/>
        </c:manualLayout>
      </c:layout>
      <c:lineChart>
        <c:grouping val="standard"/>
        <c:varyColors val="0"/>
        <c:ser>
          <c:idx val="1"/>
          <c:order val="0"/>
          <c:tx>
            <c:v>Medias mensuales</c:v>
          </c:tx>
          <c:spPr>
            <a:ln w="22225">
              <a:solidFill>
                <a:srgbClr val="00003A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3A"/>
              </a:solidFill>
              <a:ln w="22225">
                <a:noFill/>
              </a:ln>
            </c:spPr>
          </c:marker>
          <c:dPt>
            <c:idx val="314"/>
            <c:bubble3D val="0"/>
            <c:extLst>
              <c:ext xmlns:c16="http://schemas.microsoft.com/office/drawing/2014/chart" uri="{C3380CC4-5D6E-409C-BE32-E72D297353CC}">
                <c16:uniqueId val="{00000000-462D-46BE-9C05-8F6FD513B5AB}"/>
              </c:ext>
            </c:extLst>
          </c:dPt>
          <c:dPt>
            <c:idx val="326"/>
            <c:bubble3D val="0"/>
            <c:extLst>
              <c:ext xmlns:c16="http://schemas.microsoft.com/office/drawing/2014/chart" uri="{C3380CC4-5D6E-409C-BE32-E72D297353CC}">
                <c16:uniqueId val="{00000001-462D-46BE-9C05-8F6FD513B5AB}"/>
              </c:ext>
            </c:extLst>
          </c:dPt>
          <c:dPt>
            <c:idx val="373"/>
            <c:bubble3D val="0"/>
            <c:extLst>
              <c:ext xmlns:c16="http://schemas.microsoft.com/office/drawing/2014/chart" uri="{C3380CC4-5D6E-409C-BE32-E72D297353CC}">
                <c16:uniqueId val="{00000002-462D-46BE-9C05-8F6FD513B5AB}"/>
              </c:ext>
            </c:extLst>
          </c:dPt>
          <c:dPt>
            <c:idx val="374"/>
            <c:bubble3D val="0"/>
            <c:extLst>
              <c:ext xmlns:c16="http://schemas.microsoft.com/office/drawing/2014/chart" uri="{C3380CC4-5D6E-409C-BE32-E72D297353CC}">
                <c16:uniqueId val="{00000003-462D-46BE-9C05-8F6FD513B5AB}"/>
              </c:ext>
            </c:extLst>
          </c:dPt>
          <c:dPt>
            <c:idx val="375"/>
            <c:bubble3D val="0"/>
            <c:extLst>
              <c:ext xmlns:c16="http://schemas.microsoft.com/office/drawing/2014/chart" uri="{C3380CC4-5D6E-409C-BE32-E72D297353CC}">
                <c16:uniqueId val="{00000004-462D-46BE-9C05-8F6FD513B5AB}"/>
              </c:ext>
            </c:extLst>
          </c:dPt>
          <c:dPt>
            <c:idx val="376"/>
            <c:bubble3D val="0"/>
            <c:extLst>
              <c:ext xmlns:c16="http://schemas.microsoft.com/office/drawing/2014/chart" uri="{C3380CC4-5D6E-409C-BE32-E72D297353CC}">
                <c16:uniqueId val="{00000005-462D-46BE-9C05-8F6FD513B5AB}"/>
              </c:ext>
            </c:extLst>
          </c:dPt>
          <c:dPt>
            <c:idx val="377"/>
            <c:bubble3D val="0"/>
            <c:extLst>
              <c:ext xmlns:c16="http://schemas.microsoft.com/office/drawing/2014/chart" uri="{C3380CC4-5D6E-409C-BE32-E72D297353CC}">
                <c16:uniqueId val="{00000006-462D-46BE-9C05-8F6FD513B5AB}"/>
              </c:ext>
            </c:extLst>
          </c:dPt>
          <c:dPt>
            <c:idx val="378"/>
            <c:bubble3D val="0"/>
            <c:extLst>
              <c:ext xmlns:c16="http://schemas.microsoft.com/office/drawing/2014/chart" uri="{C3380CC4-5D6E-409C-BE32-E72D297353CC}">
                <c16:uniqueId val="{00000007-462D-46BE-9C05-8F6FD513B5AB}"/>
              </c:ext>
            </c:extLst>
          </c:dPt>
          <c:dPt>
            <c:idx val="379"/>
            <c:bubble3D val="0"/>
            <c:extLst>
              <c:ext xmlns:c16="http://schemas.microsoft.com/office/drawing/2014/chart" uri="{C3380CC4-5D6E-409C-BE32-E72D297353CC}">
                <c16:uniqueId val="{00000008-462D-46BE-9C05-8F6FD513B5AB}"/>
              </c:ext>
            </c:extLst>
          </c:dPt>
          <c:dPt>
            <c:idx val="380"/>
            <c:bubble3D val="0"/>
            <c:extLst>
              <c:ext xmlns:c16="http://schemas.microsoft.com/office/drawing/2014/chart" uri="{C3380CC4-5D6E-409C-BE32-E72D297353CC}">
                <c16:uniqueId val="{00000009-462D-46BE-9C05-8F6FD513B5AB}"/>
              </c:ext>
            </c:extLst>
          </c:dPt>
          <c:dPt>
            <c:idx val="381"/>
            <c:bubble3D val="0"/>
            <c:extLst>
              <c:ext xmlns:c16="http://schemas.microsoft.com/office/drawing/2014/chart" uri="{C3380CC4-5D6E-409C-BE32-E72D297353CC}">
                <c16:uniqueId val="{0000000A-462D-46BE-9C05-8F6FD513B5AB}"/>
              </c:ext>
            </c:extLst>
          </c:dPt>
          <c:dPt>
            <c:idx val="382"/>
            <c:bubble3D val="0"/>
            <c:extLst>
              <c:ext xmlns:c16="http://schemas.microsoft.com/office/drawing/2014/chart" uri="{C3380CC4-5D6E-409C-BE32-E72D297353CC}">
                <c16:uniqueId val="{0000000B-462D-46BE-9C05-8F6FD513B5AB}"/>
              </c:ext>
            </c:extLst>
          </c:dPt>
          <c:dPt>
            <c:idx val="383"/>
            <c:bubble3D val="0"/>
            <c:extLst>
              <c:ext xmlns:c16="http://schemas.microsoft.com/office/drawing/2014/chart" uri="{C3380CC4-5D6E-409C-BE32-E72D297353CC}">
                <c16:uniqueId val="{0000000C-462D-46BE-9C05-8F6FD513B5AB}"/>
              </c:ext>
            </c:extLst>
          </c:dPt>
          <c:dPt>
            <c:idx val="390"/>
            <c:bubble3D val="0"/>
            <c:extLst>
              <c:ext xmlns:c16="http://schemas.microsoft.com/office/drawing/2014/chart" uri="{C3380CC4-5D6E-409C-BE32-E72D297353CC}">
                <c16:uniqueId val="{0000000E-462D-46BE-9C05-8F6FD513B5AB}"/>
              </c:ext>
            </c:extLst>
          </c:dPt>
          <c:dLbls>
            <c:dLbl>
              <c:idx val="28"/>
              <c:layout>
                <c:manualLayout>
                  <c:x val="1.2536872719547559E-3"/>
                  <c:y val="2.7091633182841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62D-46BE-9C05-8F6FD513B5AB}"/>
                </c:ext>
              </c:extLst>
            </c:dLbl>
            <c:dLbl>
              <c:idx val="40"/>
              <c:layout>
                <c:manualLayout>
                  <c:x val="-7.7728610861196298E-2"/>
                  <c:y val="-2.2576360985701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62D-46BE-9C05-8F6FD513B5AB}"/>
                </c:ext>
              </c:extLst>
            </c:dLbl>
            <c:dLbl>
              <c:idx val="52"/>
              <c:layout>
                <c:manualLayout>
                  <c:x val="1.6300007561609844E-2"/>
                  <c:y val="-8.0661604702851539E-3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62D-46BE-9C05-8F6FD513B5AB}"/>
                </c:ext>
              </c:extLst>
            </c:dLbl>
            <c:dLbl>
              <c:idx val="99"/>
              <c:layout>
                <c:manualLayout>
                  <c:x val="4.3949304079229E-2"/>
                  <c:y val="-3.5508697006096236E-3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62D-46BE-9C05-8F6FD513B5AB}"/>
                </c:ext>
              </c:extLst>
            </c:dLbl>
            <c:dLbl>
              <c:idx val="118"/>
              <c:layout>
                <c:manualLayout>
                  <c:x val="-5.3978724218141212E-2"/>
                  <c:y val="-4.311538592112011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62D-46BE-9C05-8F6FD513B5AB}"/>
                </c:ext>
              </c:extLst>
            </c:dLbl>
            <c:dLbl>
              <c:idx val="134"/>
              <c:layout>
                <c:manualLayout>
                  <c:x val="0"/>
                  <c:y val="-2.7196652719665274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62D-46BE-9C05-8F6FD513B5AB}"/>
                </c:ext>
              </c:extLst>
            </c:dLbl>
            <c:dLbl>
              <c:idx val="181"/>
              <c:layout>
                <c:manualLayout>
                  <c:x val="6.2663633335760813E-3"/>
                  <c:y val="-4.7184238926872679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62D-46BE-9C05-8F6FD513B5AB}"/>
                </c:ext>
              </c:extLst>
            </c:dLbl>
            <c:dLbl>
              <c:idx val="197"/>
              <c:layout>
                <c:manualLayout>
                  <c:x val="-3.1382979196593851E-2"/>
                  <c:y val="-3.1769231731351696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62D-46BE-9C05-8F6FD513B5AB}"/>
                </c:ext>
              </c:extLst>
            </c:dLbl>
            <c:dLbl>
              <c:idx val="216"/>
              <c:layout>
                <c:manualLayout>
                  <c:x val="-4.0170213371639917E-2"/>
                  <c:y val="-3.4038462569305344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62D-46BE-9C05-8F6FD513B5AB}"/>
                </c:ext>
              </c:extLst>
            </c:dLbl>
            <c:dLbl>
              <c:idx val="227"/>
              <c:layout>
                <c:manualLayout>
                  <c:x val="-6.143067632578425E-2"/>
                  <c:y val="3.6122177577122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62D-46BE-9C05-8F6FD513B5AB}"/>
                </c:ext>
              </c:extLst>
            </c:dLbl>
            <c:dLbl>
              <c:idx val="236"/>
              <c:layout>
                <c:manualLayout>
                  <c:x val="-3.5137276598267125E-2"/>
                  <c:y val="-4.6018021282904567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62D-46BE-9C05-8F6FD513B5AB}"/>
                </c:ext>
              </c:extLst>
            </c:dLbl>
            <c:dLbl>
              <c:idx val="247"/>
              <c:layout>
                <c:manualLayout>
                  <c:x val="-4.1371679974507795E-2"/>
                  <c:y val="4.289508587283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62D-46BE-9C05-8F6FD513B5AB}"/>
                </c:ext>
              </c:extLst>
            </c:dLbl>
            <c:dLbl>
              <c:idx val="253"/>
              <c:layout>
                <c:manualLayout>
                  <c:x val="-2.8834807254960005E-2"/>
                  <c:y val="-4.5680688838549331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62D-46BE-9C05-8F6FD513B5AB}"/>
                </c:ext>
              </c:extLst>
            </c:dLbl>
            <c:dLbl>
              <c:idx val="274"/>
              <c:layout>
                <c:manualLayout>
                  <c:x val="-9.2884209246131277E-2"/>
                  <c:y val="3.1134046165636185E-3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62D-46BE-9C05-8F6FD513B5AB}"/>
                </c:ext>
              </c:extLst>
            </c:dLbl>
            <c:dLbl>
              <c:idx val="282"/>
              <c:layout>
                <c:manualLayout>
                  <c:x val="-5.8963182857297507E-2"/>
                  <c:y val="-5.040003711767066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62D-46BE-9C05-8F6FD513B5AB}"/>
                </c:ext>
              </c:extLst>
            </c:dLbl>
            <c:dLbl>
              <c:idx val="291"/>
              <c:layout>
                <c:manualLayout>
                  <c:x val="-4.5132741790372036E-2"/>
                  <c:y val="6.0956174661394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62D-46BE-9C05-8F6FD513B5AB}"/>
                </c:ext>
              </c:extLst>
            </c:dLbl>
            <c:dLbl>
              <c:idx val="299"/>
              <c:layout>
                <c:manualLayout>
                  <c:x val="-8.7758109036834512E-3"/>
                  <c:y val="4.2895085872833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62D-46BE-9C05-8F6FD513B5AB}"/>
                </c:ext>
              </c:extLst>
            </c:dLbl>
            <c:dLbl>
              <c:idx val="308"/>
              <c:layout>
                <c:manualLayout>
                  <c:x val="-5.0189148833212009E-2"/>
                  <c:y val="-8.3532535647096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62D-46BE-9C05-8F6FD513B5AB}"/>
                </c:ext>
              </c:extLst>
            </c:dLbl>
            <c:dLbl>
              <c:idx val="318"/>
              <c:layout>
                <c:manualLayout>
                  <c:x val="-4.0119900346417277E-2"/>
                  <c:y val="9.258561323902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62D-46BE-9C05-8F6FD513B5AB}"/>
                </c:ext>
              </c:extLst>
            </c:dLbl>
            <c:dLbl>
              <c:idx val="321"/>
              <c:layout>
                <c:manualLayout>
                  <c:x val="-3.5106046974220151E-2"/>
                  <c:y val="-6.9986719055675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62D-46BE-9C05-8F6FD513B5AB}"/>
                </c:ext>
              </c:extLst>
            </c:dLbl>
            <c:dLbl>
              <c:idx val="326"/>
              <c:layout>
                <c:manualLayout>
                  <c:x val="-1.3786564543966526E-2"/>
                  <c:y val="5.6436318341563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2D-46BE-9C05-8F6FD513B5AB}"/>
                </c:ext>
              </c:extLst>
            </c:dLbl>
            <c:dLbl>
              <c:idx val="336"/>
              <c:layout>
                <c:manualLayout>
                  <c:x val="-7.7728610861196382E-2"/>
                  <c:y val="-2.9349269281412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62D-46BE-9C05-8F6FD513B5AB}"/>
                </c:ext>
              </c:extLst>
            </c:dLbl>
            <c:dLbl>
              <c:idx val="359"/>
              <c:layout>
                <c:manualLayout>
                  <c:x val="-1.7551621807366902E-2"/>
                  <c:y val="-5.644090246425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62D-46BE-9C05-8F6FD513B5AB}"/>
                </c:ext>
              </c:extLst>
            </c:dLbl>
            <c:dLbl>
              <c:idx val="363"/>
              <c:layout>
                <c:manualLayout>
                  <c:x val="3.7610618158641527E-3"/>
                  <c:y val="-5.644090246425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62D-46BE-9C05-8F6FD513B5AB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62D-46BE-9C05-8F6FD513B5AB}"/>
                </c:ext>
              </c:extLst>
            </c:dLbl>
            <c:dLbl>
              <c:idx val="372"/>
              <c:layout>
                <c:manualLayout>
                  <c:x val="6.2715584822826635E-3"/>
                  <c:y val="-2.7118644067796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62D-46BE-9C05-8F6FD513B5AB}"/>
                </c:ext>
              </c:extLst>
            </c:dLbl>
            <c:dLbl>
              <c:idx val="374"/>
              <c:layout>
                <c:manualLayout>
                  <c:x val="-7.2750078394481027E-2"/>
                  <c:y val="-2.2598870056497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2D-46BE-9C05-8F6FD513B5AB}"/>
                </c:ext>
              </c:extLst>
            </c:dLbl>
            <c:dLbl>
              <c:idx val="375"/>
              <c:layout>
                <c:manualLayout>
                  <c:x val="-7.0241455001568073E-2"/>
                  <c:y val="-8.286156631660470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2D-46BE-9C05-8F6FD513B5AB}"/>
                </c:ext>
              </c:extLst>
            </c:dLbl>
            <c:dLbl>
              <c:idx val="379"/>
              <c:layout>
                <c:manualLayout>
                  <c:x val="-7.7767325180307309E-2"/>
                  <c:y val="9.03954802259887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2D-46BE-9C05-8F6FD513B5AB}"/>
                </c:ext>
              </c:extLst>
            </c:dLbl>
            <c:dLbl>
              <c:idx val="381"/>
              <c:layout>
                <c:manualLayout>
                  <c:x val="-8.5293195359046725E-2"/>
                  <c:y val="4.519774011299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2D-46BE-9C05-8F6FD513B5AB}"/>
                </c:ext>
              </c:extLst>
            </c:dLbl>
            <c:dLbl>
              <c:idx val="383"/>
              <c:layout>
                <c:manualLayout>
                  <c:x val="-6.8987143305111326E-2"/>
                  <c:y val="7.0056497175141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62D-46BE-9C05-8F6FD513B5AB}"/>
                </c:ext>
              </c:extLst>
            </c:dLbl>
            <c:dLbl>
              <c:idx val="390"/>
              <c:layout>
                <c:manualLayout>
                  <c:x val="-1.3797428661022263E-2"/>
                  <c:y val="0.101694915254237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62D-46BE-9C05-8F6FD513B5AB}"/>
                </c:ext>
              </c:extLst>
            </c:dLbl>
            <c:dLbl>
              <c:idx val="392"/>
              <c:layout>
                <c:manualLayout>
                  <c:x val="1.0034493571652555E-2"/>
                  <c:y val="-2.2598870056497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2D-46BE-9C05-8F6FD513B5AB}"/>
                </c:ext>
              </c:extLst>
            </c:dLbl>
            <c:dLbl>
              <c:idx val="399"/>
              <c:layout>
                <c:manualLayout>
                  <c:x val="-5.0172467858262777E-3"/>
                  <c:y val="5.19774011299435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2D-46BE-9C05-8F6FD513B5AB}"/>
                </c:ext>
              </c:extLst>
            </c:dLbl>
            <c:dLbl>
              <c:idx val="404"/>
              <c:layout>
                <c:manualLayout>
                  <c:x val="3.7629350893697085E-3"/>
                  <c:y val="-3.84180790960451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62D-46BE-9C05-8F6FD513B5AB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GRANOS'!$B$4:$B$408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D-18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D-19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D-20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D-21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D-22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D-23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D-24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D-25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'4 GRANOS'!$K$4:$K$408</c:f>
              <c:numCache>
                <c:formatCode>_-* #,##0.0\ _€_-;\-* #,##0.0\ _€_-;_-* "-"??\ _€_-;_-@_-</c:formatCode>
                <c:ptCount val="405"/>
                <c:pt idx="0">
                  <c:v>190.32594064502575</c:v>
                </c:pt>
                <c:pt idx="1">
                  <c:v>175.16508043028824</c:v>
                </c:pt>
                <c:pt idx="2">
                  <c:v>170.73762661777582</c:v>
                </c:pt>
                <c:pt idx="3">
                  <c:v>173.97634443754995</c:v>
                </c:pt>
                <c:pt idx="4">
                  <c:v>177.65703866476011</c:v>
                </c:pt>
                <c:pt idx="5">
                  <c:v>180.27238215601551</c:v>
                </c:pt>
                <c:pt idx="6">
                  <c:v>202.52324358413736</c:v>
                </c:pt>
                <c:pt idx="7">
                  <c:v>202.71281034975573</c:v>
                </c:pt>
                <c:pt idx="8">
                  <c:v>196.94601890265744</c:v>
                </c:pt>
                <c:pt idx="9">
                  <c:v>190.5558094009339</c:v>
                </c:pt>
                <c:pt idx="10">
                  <c:v>196.68364867818684</c:v>
                </c:pt>
                <c:pt idx="11">
                  <c:v>199.4213480785962</c:v>
                </c:pt>
                <c:pt idx="12">
                  <c:v>198.05648883907594</c:v>
                </c:pt>
                <c:pt idx="13">
                  <c:v>189.9515381369512</c:v>
                </c:pt>
                <c:pt idx="14">
                  <c:v>189.30591233383976</c:v>
                </c:pt>
                <c:pt idx="15">
                  <c:v>182.47163803317636</c:v>
                </c:pt>
                <c:pt idx="16">
                  <c:v>188.98514011939056</c:v>
                </c:pt>
                <c:pt idx="17">
                  <c:v>190.82765896667718</c:v>
                </c:pt>
                <c:pt idx="18">
                  <c:v>177.47082175342027</c:v>
                </c:pt>
                <c:pt idx="19">
                  <c:v>175.77391662870482</c:v>
                </c:pt>
                <c:pt idx="20">
                  <c:v>181.57068405244235</c:v>
                </c:pt>
                <c:pt idx="21">
                  <c:v>182.93777982526203</c:v>
                </c:pt>
                <c:pt idx="22">
                  <c:v>182.31589488817127</c:v>
                </c:pt>
                <c:pt idx="23">
                  <c:v>180.97051038508354</c:v>
                </c:pt>
                <c:pt idx="24">
                  <c:v>184.87347318557363</c:v>
                </c:pt>
                <c:pt idx="25">
                  <c:v>164.4971806164759</c:v>
                </c:pt>
                <c:pt idx="26">
                  <c:v>161.7775457115298</c:v>
                </c:pt>
                <c:pt idx="27">
                  <c:v>160.00089651271966</c:v>
                </c:pt>
                <c:pt idx="28">
                  <c:v>163.00946430562834</c:v>
                </c:pt>
                <c:pt idx="29">
                  <c:v>176.50127071824949</c:v>
                </c:pt>
                <c:pt idx="30">
                  <c:v>196.50207699140225</c:v>
                </c:pt>
                <c:pt idx="31">
                  <c:v>197.76563217219419</c:v>
                </c:pt>
                <c:pt idx="32">
                  <c:v>200.78571980811435</c:v>
                </c:pt>
                <c:pt idx="33">
                  <c:v>210.71358632269889</c:v>
                </c:pt>
                <c:pt idx="34">
                  <c:v>212.57583995334284</c:v>
                </c:pt>
                <c:pt idx="35">
                  <c:v>216.48678131461972</c:v>
                </c:pt>
                <c:pt idx="36">
                  <c:v>219.44530877090074</c:v>
                </c:pt>
                <c:pt idx="37">
                  <c:v>222.87309103652686</c:v>
                </c:pt>
                <c:pt idx="38">
                  <c:v>222.11497280249256</c:v>
                </c:pt>
                <c:pt idx="39">
                  <c:v>241.15506278536549</c:v>
                </c:pt>
                <c:pt idx="40">
                  <c:v>248.8266201125092</c:v>
                </c:pt>
                <c:pt idx="41">
                  <c:v>238.84546444267278</c:v>
                </c:pt>
                <c:pt idx="42">
                  <c:v>233.12395741566479</c:v>
                </c:pt>
                <c:pt idx="43">
                  <c:v>234.2470380870941</c:v>
                </c:pt>
                <c:pt idx="44">
                  <c:v>234.61377144757759</c:v>
                </c:pt>
                <c:pt idx="45">
                  <c:v>226.27300047100891</c:v>
                </c:pt>
                <c:pt idx="46">
                  <c:v>222.07239206472693</c:v>
                </c:pt>
                <c:pt idx="47">
                  <c:v>219.63670227910302</c:v>
                </c:pt>
                <c:pt idx="48">
                  <c:v>216.43622911987396</c:v>
                </c:pt>
                <c:pt idx="49">
                  <c:v>215.66963660592657</c:v>
                </c:pt>
                <c:pt idx="50">
                  <c:v>221.72430019181093</c:v>
                </c:pt>
                <c:pt idx="51">
                  <c:v>229.77251225785943</c:v>
                </c:pt>
                <c:pt idx="52">
                  <c:v>232.70071889612694</c:v>
                </c:pt>
                <c:pt idx="53">
                  <c:v>219.93723613635052</c:v>
                </c:pt>
                <c:pt idx="54">
                  <c:v>208.90418440223868</c:v>
                </c:pt>
                <c:pt idx="55">
                  <c:v>215.98465972218762</c:v>
                </c:pt>
                <c:pt idx="56">
                  <c:v>218.3134213766042</c:v>
                </c:pt>
                <c:pt idx="57">
                  <c:v>218.86556338067936</c:v>
                </c:pt>
                <c:pt idx="58">
                  <c:v>217.60954481097571</c:v>
                </c:pt>
                <c:pt idx="59">
                  <c:v>216.14908668818396</c:v>
                </c:pt>
                <c:pt idx="60">
                  <c:v>213.4332888024847</c:v>
                </c:pt>
                <c:pt idx="61">
                  <c:v>210.9966978945057</c:v>
                </c:pt>
                <c:pt idx="62">
                  <c:v>175.41073462569261</c:v>
                </c:pt>
                <c:pt idx="63">
                  <c:v>172.91556460092576</c:v>
                </c:pt>
                <c:pt idx="64">
                  <c:v>174.88074771756749</c:v>
                </c:pt>
                <c:pt idx="65">
                  <c:v>170.79400299455867</c:v>
                </c:pt>
                <c:pt idx="66">
                  <c:v>166.8340661147198</c:v>
                </c:pt>
                <c:pt idx="67">
                  <c:v>156.16014251155735</c:v>
                </c:pt>
                <c:pt idx="68">
                  <c:v>154.41797417213843</c:v>
                </c:pt>
                <c:pt idx="69">
                  <c:v>159.91380731329514</c:v>
                </c:pt>
                <c:pt idx="70">
                  <c:v>163.23679043871257</c:v>
                </c:pt>
                <c:pt idx="71">
                  <c:v>159.40491357657669</c:v>
                </c:pt>
                <c:pt idx="72">
                  <c:v>149.43367824809783</c:v>
                </c:pt>
                <c:pt idx="73">
                  <c:v>135.5359709077664</c:v>
                </c:pt>
                <c:pt idx="74">
                  <c:v>130.86009901535093</c:v>
                </c:pt>
                <c:pt idx="75">
                  <c:v>133.98244216918997</c:v>
                </c:pt>
                <c:pt idx="76">
                  <c:v>134.54723477740882</c:v>
                </c:pt>
                <c:pt idx="77">
                  <c:v>135.49599980220935</c:v>
                </c:pt>
                <c:pt idx="78">
                  <c:v>131.99530221546132</c:v>
                </c:pt>
                <c:pt idx="79">
                  <c:v>139.96358307754167</c:v>
                </c:pt>
                <c:pt idx="80">
                  <c:v>147.15554511341657</c:v>
                </c:pt>
                <c:pt idx="81">
                  <c:v>144.03742067743346</c:v>
                </c:pt>
                <c:pt idx="82">
                  <c:v>137.73099405563343</c:v>
                </c:pt>
                <c:pt idx="83">
                  <c:v>134.97233974751364</c:v>
                </c:pt>
                <c:pt idx="84">
                  <c:v>137.55035106340236</c:v>
                </c:pt>
                <c:pt idx="85">
                  <c:v>138.67713102012536</c:v>
                </c:pt>
                <c:pt idx="86">
                  <c:v>140.04217332066432</c:v>
                </c:pt>
                <c:pt idx="87">
                  <c:v>144.59576955484667</c:v>
                </c:pt>
                <c:pt idx="88">
                  <c:v>150.91311888716947</c:v>
                </c:pt>
                <c:pt idx="89">
                  <c:v>145.3432498305184</c:v>
                </c:pt>
                <c:pt idx="90">
                  <c:v>137.73068802652043</c:v>
                </c:pt>
                <c:pt idx="91">
                  <c:v>138.2299331180057</c:v>
                </c:pt>
                <c:pt idx="92">
                  <c:v>144.8912045084619</c:v>
                </c:pt>
                <c:pt idx="93">
                  <c:v>144.95063077313617</c:v>
                </c:pt>
                <c:pt idx="94">
                  <c:v>146.2416505184903</c:v>
                </c:pt>
                <c:pt idx="95">
                  <c:v>155.77597296270645</c:v>
                </c:pt>
                <c:pt idx="96">
                  <c:v>156.67801526947133</c:v>
                </c:pt>
                <c:pt idx="97">
                  <c:v>145.40263523063345</c:v>
                </c:pt>
                <c:pt idx="98">
                  <c:v>139.73666041859155</c:v>
                </c:pt>
                <c:pt idx="99">
                  <c:v>124.29817681842968</c:v>
                </c:pt>
                <c:pt idx="100">
                  <c:v>127.68467848867482</c:v>
                </c:pt>
                <c:pt idx="101">
                  <c:v>133.76398129693962</c:v>
                </c:pt>
                <c:pt idx="102">
                  <c:v>148.55244217191702</c:v>
                </c:pt>
                <c:pt idx="103">
                  <c:v>149.13936014502394</c:v>
                </c:pt>
                <c:pt idx="104">
                  <c:v>143.50698010643731</c:v>
                </c:pt>
                <c:pt idx="105">
                  <c:v>141.5491627341851</c:v>
                </c:pt>
                <c:pt idx="106">
                  <c:v>147.49891604479805</c:v>
                </c:pt>
                <c:pt idx="107">
                  <c:v>155.44530597532389</c:v>
                </c:pt>
                <c:pt idx="108">
                  <c:v>226.86782432015502</c:v>
                </c:pt>
                <c:pt idx="109">
                  <c:v>291.18356224505658</c:v>
                </c:pt>
                <c:pt idx="110">
                  <c:v>299.64441218308463</c:v>
                </c:pt>
                <c:pt idx="111">
                  <c:v>275.47763202147848</c:v>
                </c:pt>
                <c:pt idx="112">
                  <c:v>319.67517403581303</c:v>
                </c:pt>
                <c:pt idx="113">
                  <c:v>354.20267007150636</c:v>
                </c:pt>
                <c:pt idx="114">
                  <c:v>367.35358103189606</c:v>
                </c:pt>
                <c:pt idx="115">
                  <c:v>371.38484172607633</c:v>
                </c:pt>
                <c:pt idx="116">
                  <c:v>384.62285073413074</c:v>
                </c:pt>
                <c:pt idx="117">
                  <c:v>373.73552613910715</c:v>
                </c:pt>
                <c:pt idx="118">
                  <c:v>369.41045812961801</c:v>
                </c:pt>
                <c:pt idx="119">
                  <c:v>354.21369988818844</c:v>
                </c:pt>
                <c:pt idx="120">
                  <c:v>328.75633328632546</c:v>
                </c:pt>
                <c:pt idx="121">
                  <c:v>314.06695218163804</c:v>
                </c:pt>
                <c:pt idx="122">
                  <c:v>287.12215769951922</c:v>
                </c:pt>
                <c:pt idx="123">
                  <c:v>276.72338037850699</c:v>
                </c:pt>
                <c:pt idx="124">
                  <c:v>285.47711165491501</c:v>
                </c:pt>
                <c:pt idx="125">
                  <c:v>283.30733249396837</c:v>
                </c:pt>
                <c:pt idx="126">
                  <c:v>273.00173770005352</c:v>
                </c:pt>
                <c:pt idx="127">
                  <c:v>288.1842015508675</c:v>
                </c:pt>
                <c:pt idx="128">
                  <c:v>306.29799630463538</c:v>
                </c:pt>
                <c:pt idx="129">
                  <c:v>333.4716864130047</c:v>
                </c:pt>
                <c:pt idx="130">
                  <c:v>352.96067965591914</c:v>
                </c:pt>
                <c:pt idx="131">
                  <c:v>364.08541719356958</c:v>
                </c:pt>
                <c:pt idx="132">
                  <c:v>369.497936667239</c:v>
                </c:pt>
                <c:pt idx="133">
                  <c:v>377.43968903154786</c:v>
                </c:pt>
                <c:pt idx="134">
                  <c:v>378.18590053116083</c:v>
                </c:pt>
                <c:pt idx="135">
                  <c:v>369.12823404231807</c:v>
                </c:pt>
                <c:pt idx="136">
                  <c:v>353.50566286542221</c:v>
                </c:pt>
                <c:pt idx="137">
                  <c:v>324.08383384539775</c:v>
                </c:pt>
                <c:pt idx="138">
                  <c:v>295.54005501847615</c:v>
                </c:pt>
                <c:pt idx="139">
                  <c:v>285.07600358435877</c:v>
                </c:pt>
                <c:pt idx="140">
                  <c:v>275.20074661167035</c:v>
                </c:pt>
                <c:pt idx="141">
                  <c:v>261.86687954092071</c:v>
                </c:pt>
                <c:pt idx="142">
                  <c:v>258.49271227890148</c:v>
                </c:pt>
                <c:pt idx="143">
                  <c:v>260.97802288130191</c:v>
                </c:pt>
                <c:pt idx="144">
                  <c:v>245.2497135079054</c:v>
                </c:pt>
                <c:pt idx="145">
                  <c:v>233.29303826519424</c:v>
                </c:pt>
                <c:pt idx="146">
                  <c:v>257.70857222812634</c:v>
                </c:pt>
                <c:pt idx="147">
                  <c:v>251.4791886985515</c:v>
                </c:pt>
                <c:pt idx="148">
                  <c:v>252.65546787706683</c:v>
                </c:pt>
                <c:pt idx="149">
                  <c:v>262.26824203855347</c:v>
                </c:pt>
                <c:pt idx="150">
                  <c:v>270.14029664911277</c:v>
                </c:pt>
                <c:pt idx="151">
                  <c:v>261.07284441833633</c:v>
                </c:pt>
                <c:pt idx="152">
                  <c:v>251.99496221169102</c:v>
                </c:pt>
                <c:pt idx="153">
                  <c:v>251.38576815489088</c:v>
                </c:pt>
                <c:pt idx="154">
                  <c:v>245.06152553774777</c:v>
                </c:pt>
                <c:pt idx="155">
                  <c:v>253.29347591177921</c:v>
                </c:pt>
                <c:pt idx="156">
                  <c:v>251.97259816092441</c:v>
                </c:pt>
                <c:pt idx="157">
                  <c:v>255.14069013345124</c:v>
                </c:pt>
                <c:pt idx="158">
                  <c:v>235.66212460518483</c:v>
                </c:pt>
                <c:pt idx="159">
                  <c:v>233.20811858823717</c:v>
                </c:pt>
                <c:pt idx="160">
                  <c:v>246.16138649198527</c:v>
                </c:pt>
                <c:pt idx="161">
                  <c:v>251.4660873660371</c:v>
                </c:pt>
                <c:pt idx="162">
                  <c:v>253.36064820490583</c:v>
                </c:pt>
                <c:pt idx="163">
                  <c:v>247.03319668809434</c:v>
                </c:pt>
                <c:pt idx="164">
                  <c:v>244.3843979672591</c:v>
                </c:pt>
                <c:pt idx="165">
                  <c:v>268.17561635776195</c:v>
                </c:pt>
                <c:pt idx="166">
                  <c:v>292.05566213358225</c:v>
                </c:pt>
                <c:pt idx="167">
                  <c:v>286.87972145898334</c:v>
                </c:pt>
                <c:pt idx="168">
                  <c:v>276.2191817353908</c:v>
                </c:pt>
                <c:pt idx="169">
                  <c:v>287.34640600706666</c:v>
                </c:pt>
                <c:pt idx="170">
                  <c:v>269.22137841018719</c:v>
                </c:pt>
                <c:pt idx="171">
                  <c:v>259.86854732491884</c:v>
                </c:pt>
                <c:pt idx="172">
                  <c:v>262.79736359282327</c:v>
                </c:pt>
                <c:pt idx="173">
                  <c:v>272.05131800738769</c:v>
                </c:pt>
                <c:pt idx="174">
                  <c:v>274.36954947422765</c:v>
                </c:pt>
                <c:pt idx="175">
                  <c:v>292.49513011316122</c:v>
                </c:pt>
                <c:pt idx="176">
                  <c:v>327.65049041803184</c:v>
                </c:pt>
                <c:pt idx="177">
                  <c:v>339.87212091539942</c:v>
                </c:pt>
                <c:pt idx="178">
                  <c:v>316.43347625927129</c:v>
                </c:pt>
                <c:pt idx="179">
                  <c:v>326.6991794029604</c:v>
                </c:pt>
                <c:pt idx="180">
                  <c:v>349.41893310842926</c:v>
                </c:pt>
                <c:pt idx="181">
                  <c:v>378.4263142692725</c:v>
                </c:pt>
                <c:pt idx="182">
                  <c:v>368.11895469977628</c:v>
                </c:pt>
                <c:pt idx="183">
                  <c:v>341.86747286384264</c:v>
                </c:pt>
                <c:pt idx="184">
                  <c:v>329.4467931767764</c:v>
                </c:pt>
                <c:pt idx="185">
                  <c:v>353.49582991808938</c:v>
                </c:pt>
                <c:pt idx="186">
                  <c:v>348.82308062854582</c:v>
                </c:pt>
                <c:pt idx="187">
                  <c:v>303.38345013765354</c:v>
                </c:pt>
                <c:pt idx="188">
                  <c:v>285.45156772228501</c:v>
                </c:pt>
                <c:pt idx="189">
                  <c:v>244.57243778487765</c:v>
                </c:pt>
                <c:pt idx="190">
                  <c:v>234.4764269608545</c:v>
                </c:pt>
                <c:pt idx="191">
                  <c:v>223.67218272091537</c:v>
                </c:pt>
                <c:pt idx="192">
                  <c:v>256.92942143459919</c:v>
                </c:pt>
                <c:pt idx="193">
                  <c:v>245.70788277782668</c:v>
                </c:pt>
                <c:pt idx="194">
                  <c:v>243.45257153962748</c:v>
                </c:pt>
                <c:pt idx="195">
                  <c:v>265.27475096686186</c:v>
                </c:pt>
                <c:pt idx="196">
                  <c:v>291.38877261292862</c:v>
                </c:pt>
                <c:pt idx="197">
                  <c:v>306.38948520896253</c:v>
                </c:pt>
                <c:pt idx="198">
                  <c:v>293.31812508754672</c:v>
                </c:pt>
                <c:pt idx="199">
                  <c:v>300.10297415234322</c:v>
                </c:pt>
                <c:pt idx="200">
                  <c:v>273.02810687604244</c:v>
                </c:pt>
                <c:pt idx="201">
                  <c:v>276.50528541351071</c:v>
                </c:pt>
                <c:pt idx="202">
                  <c:v>281.08526663269532</c:v>
                </c:pt>
                <c:pt idx="203">
                  <c:v>283.66141820372201</c:v>
                </c:pt>
                <c:pt idx="204">
                  <c:v>248.77059946260326</c:v>
                </c:pt>
                <c:pt idx="205">
                  <c:v>225.71701841557046</c:v>
                </c:pt>
                <c:pt idx="206">
                  <c:v>222.37385939969576</c:v>
                </c:pt>
                <c:pt idx="207">
                  <c:v>226.03098771619315</c:v>
                </c:pt>
                <c:pt idx="208">
                  <c:v>224.39219873280112</c:v>
                </c:pt>
                <c:pt idx="209">
                  <c:v>223.9858111464392</c:v>
                </c:pt>
                <c:pt idx="210">
                  <c:v>234.94425558597544</c:v>
                </c:pt>
                <c:pt idx="211">
                  <c:v>251.96016906503269</c:v>
                </c:pt>
                <c:pt idx="212">
                  <c:v>262.08535760230706</c:v>
                </c:pt>
                <c:pt idx="213">
                  <c:v>275.54959684883397</c:v>
                </c:pt>
                <c:pt idx="214">
                  <c:v>285.24699601803366</c:v>
                </c:pt>
                <c:pt idx="215">
                  <c:v>290.10950730575411</c:v>
                </c:pt>
                <c:pt idx="216">
                  <c:v>303.09613657265356</c:v>
                </c:pt>
                <c:pt idx="217">
                  <c:v>306.63563701676065</c:v>
                </c:pt>
                <c:pt idx="218">
                  <c:v>288.16648484059647</c:v>
                </c:pt>
                <c:pt idx="219">
                  <c:v>283.40541117301694</c:v>
                </c:pt>
                <c:pt idx="220">
                  <c:v>278.6207113398703</c:v>
                </c:pt>
                <c:pt idx="221">
                  <c:v>278.95198923854025</c:v>
                </c:pt>
                <c:pt idx="222">
                  <c:v>277.06198537783166</c:v>
                </c:pt>
                <c:pt idx="223">
                  <c:v>272.34765356804235</c:v>
                </c:pt>
                <c:pt idx="224">
                  <c:v>261.05040796236921</c:v>
                </c:pt>
                <c:pt idx="225">
                  <c:v>239.82662486291059</c:v>
                </c:pt>
                <c:pt idx="226">
                  <c:v>228.70000544016742</c:v>
                </c:pt>
                <c:pt idx="227">
                  <c:v>216.67549648298606</c:v>
                </c:pt>
                <c:pt idx="228">
                  <c:v>224.33557818621469</c:v>
                </c:pt>
                <c:pt idx="229">
                  <c:v>229.94145671082828</c:v>
                </c:pt>
                <c:pt idx="230">
                  <c:v>236.70703934338411</c:v>
                </c:pt>
                <c:pt idx="231">
                  <c:v>243.84599091966433</c:v>
                </c:pt>
                <c:pt idx="232">
                  <c:v>239.54609714348507</c:v>
                </c:pt>
                <c:pt idx="233">
                  <c:v>239.18174115571887</c:v>
                </c:pt>
                <c:pt idx="234">
                  <c:v>275.78345216235425</c:v>
                </c:pt>
                <c:pt idx="235">
                  <c:v>282.05136769330147</c:v>
                </c:pt>
                <c:pt idx="236">
                  <c:v>279.91019897046186</c:v>
                </c:pt>
                <c:pt idx="237">
                  <c:v>261.6452952462293</c:v>
                </c:pt>
                <c:pt idx="238">
                  <c:v>249.2096495409215</c:v>
                </c:pt>
                <c:pt idx="239">
                  <c:v>248.85193866658184</c:v>
                </c:pt>
                <c:pt idx="240">
                  <c:v>237.59755117161208</c:v>
                </c:pt>
                <c:pt idx="241">
                  <c:v>240.10772471633183</c:v>
                </c:pt>
                <c:pt idx="242">
                  <c:v>238.11734993103295</c:v>
                </c:pt>
                <c:pt idx="243">
                  <c:v>225.68182421243463</c:v>
                </c:pt>
                <c:pt idx="244">
                  <c:v>231.94891634898744</c:v>
                </c:pt>
                <c:pt idx="245">
                  <c:v>233.71769123420898</c:v>
                </c:pt>
                <c:pt idx="246">
                  <c:v>223.40058161127388</c:v>
                </c:pt>
                <c:pt idx="247">
                  <c:v>216.94443865599607</c:v>
                </c:pt>
                <c:pt idx="248">
                  <c:v>223.41029044524817</c:v>
                </c:pt>
                <c:pt idx="249">
                  <c:v>218.18451026260681</c:v>
                </c:pt>
                <c:pt idx="250">
                  <c:v>223.74065630882419</c:v>
                </c:pt>
                <c:pt idx="251">
                  <c:v>234.58237299996256</c:v>
                </c:pt>
                <c:pt idx="252">
                  <c:v>240.50616843772445</c:v>
                </c:pt>
                <c:pt idx="253">
                  <c:v>263.59014211098332</c:v>
                </c:pt>
                <c:pt idx="254">
                  <c:v>259.08724674716024</c:v>
                </c:pt>
                <c:pt idx="255">
                  <c:v>253.55737143862225</c:v>
                </c:pt>
                <c:pt idx="256">
                  <c:v>251.73528662825831</c:v>
                </c:pt>
                <c:pt idx="257">
                  <c:v>241.10115660206699</c:v>
                </c:pt>
                <c:pt idx="258">
                  <c:v>221.52183352121943</c:v>
                </c:pt>
                <c:pt idx="259">
                  <c:v>212.78423468531773</c:v>
                </c:pt>
                <c:pt idx="260">
                  <c:v>195.24031314974249</c:v>
                </c:pt>
                <c:pt idx="261">
                  <c:v>187.32486877950336</c:v>
                </c:pt>
                <c:pt idx="262">
                  <c:v>193.42346641154859</c:v>
                </c:pt>
                <c:pt idx="263">
                  <c:v>190.6660731669192</c:v>
                </c:pt>
                <c:pt idx="264">
                  <c:v>183.56436293099603</c:v>
                </c:pt>
                <c:pt idx="265">
                  <c:v>179.10208346276096</c:v>
                </c:pt>
                <c:pt idx="266">
                  <c:v>166.84604378405058</c:v>
                </c:pt>
                <c:pt idx="267">
                  <c:v>153.32503531413133</c:v>
                </c:pt>
                <c:pt idx="268">
                  <c:v>149.52750968678663</c:v>
                </c:pt>
                <c:pt idx="269">
                  <c:v>150.1681410139978</c:v>
                </c:pt>
                <c:pt idx="270">
                  <c:v>152.19745737375652</c:v>
                </c:pt>
                <c:pt idx="271">
                  <c:v>145.00685708776933</c:v>
                </c:pt>
                <c:pt idx="272">
                  <c:v>141.44348377403094</c:v>
                </c:pt>
                <c:pt idx="273">
                  <c:v>142.90114428742606</c:v>
                </c:pt>
                <c:pt idx="274">
                  <c:v>139.75150209019785</c:v>
                </c:pt>
                <c:pt idx="275">
                  <c:v>175.65691259842129</c:v>
                </c:pt>
                <c:pt idx="276">
                  <c:v>205.8921430307914</c:v>
                </c:pt>
                <c:pt idx="277">
                  <c:v>209.99583684263837</c:v>
                </c:pt>
                <c:pt idx="278">
                  <c:v>206.78835140855054</c:v>
                </c:pt>
                <c:pt idx="279">
                  <c:v>199.10787404698362</c:v>
                </c:pt>
                <c:pt idx="280">
                  <c:v>203.54714176827125</c:v>
                </c:pt>
                <c:pt idx="281">
                  <c:v>213.5908933465989</c:v>
                </c:pt>
                <c:pt idx="282">
                  <c:v>213.48317158860027</c:v>
                </c:pt>
                <c:pt idx="283">
                  <c:v>205.89736399727542</c:v>
                </c:pt>
                <c:pt idx="284">
                  <c:v>200.35541615659747</c:v>
                </c:pt>
                <c:pt idx="285">
                  <c:v>191.87066329450644</c:v>
                </c:pt>
                <c:pt idx="286">
                  <c:v>189.58859765016601</c:v>
                </c:pt>
                <c:pt idx="287">
                  <c:v>193.81780861851684</c:v>
                </c:pt>
                <c:pt idx="288">
                  <c:v>175.62593907516191</c:v>
                </c:pt>
                <c:pt idx="289">
                  <c:v>168.42108767447604</c:v>
                </c:pt>
                <c:pt idx="290">
                  <c:v>159.56860828602873</c:v>
                </c:pt>
                <c:pt idx="291">
                  <c:v>156.72136951240083</c:v>
                </c:pt>
                <c:pt idx="292">
                  <c:v>156.30668131399887</c:v>
                </c:pt>
                <c:pt idx="293">
                  <c:v>155.32765683138334</c:v>
                </c:pt>
                <c:pt idx="294">
                  <c:v>159.27181191898958</c:v>
                </c:pt>
                <c:pt idx="295">
                  <c:v>155.88168611669511</c:v>
                </c:pt>
                <c:pt idx="296">
                  <c:v>159.95578055540042</c:v>
                </c:pt>
                <c:pt idx="297">
                  <c:v>157.09436749212242</c:v>
                </c:pt>
                <c:pt idx="298">
                  <c:v>149.11593348946889</c:v>
                </c:pt>
                <c:pt idx="299">
                  <c:v>143.90371045443965</c:v>
                </c:pt>
                <c:pt idx="300">
                  <c:v>178.78030484654008</c:v>
                </c:pt>
                <c:pt idx="301">
                  <c:v>188.32424526582733</c:v>
                </c:pt>
                <c:pt idx="302">
                  <c:v>198.41421634700916</c:v>
                </c:pt>
                <c:pt idx="303">
                  <c:v>205.81363455489546</c:v>
                </c:pt>
                <c:pt idx="304">
                  <c:v>230.81103229939748</c:v>
                </c:pt>
                <c:pt idx="305">
                  <c:v>238.85581950493622</c:v>
                </c:pt>
                <c:pt idx="306">
                  <c:v>236.95581060711655</c:v>
                </c:pt>
                <c:pt idx="307">
                  <c:v>254.05782311674542</c:v>
                </c:pt>
                <c:pt idx="308">
                  <c:v>283.69069944038779</c:v>
                </c:pt>
                <c:pt idx="309">
                  <c:v>262.2765603894664</c:v>
                </c:pt>
                <c:pt idx="310">
                  <c:v>237.16660202792022</c:v>
                </c:pt>
                <c:pt idx="311">
                  <c:v>237.73688221135879</c:v>
                </c:pt>
                <c:pt idx="312">
                  <c:v>223.64551735041613</c:v>
                </c:pt>
                <c:pt idx="313">
                  <c:v>221.28183545737625</c:v>
                </c:pt>
                <c:pt idx="314">
                  <c:v>222.85970420604505</c:v>
                </c:pt>
                <c:pt idx="315">
                  <c:v>216.56917646325522</c:v>
                </c:pt>
                <c:pt idx="316">
                  <c:v>221.26396039834628</c:v>
                </c:pt>
                <c:pt idx="317">
                  <c:v>225.65051109635382</c:v>
                </c:pt>
                <c:pt idx="318">
                  <c:v>210.19552361385402</c:v>
                </c:pt>
                <c:pt idx="319">
                  <c:v>253.26879181276362</c:v>
                </c:pt>
                <c:pt idx="320">
                  <c:v>256.78351492449974</c:v>
                </c:pt>
                <c:pt idx="321">
                  <c:v>264.35498099002001</c:v>
                </c:pt>
                <c:pt idx="322">
                  <c:v>261.46478579367266</c:v>
                </c:pt>
                <c:pt idx="323">
                  <c:v>242.27368163924794</c:v>
                </c:pt>
                <c:pt idx="324">
                  <c:v>240.17149777547016</c:v>
                </c:pt>
                <c:pt idx="325">
                  <c:v>232.42864601015879</c:v>
                </c:pt>
                <c:pt idx="326">
                  <c:v>212.19600768312878</c:v>
                </c:pt>
                <c:pt idx="327">
                  <c:v>218.70072472631406</c:v>
                </c:pt>
                <c:pt idx="328">
                  <c:v>221.18692587013564</c:v>
                </c:pt>
                <c:pt idx="329">
                  <c:v>230.87596767227888</c:v>
                </c:pt>
                <c:pt idx="330">
                  <c:v>240.07690867815438</c:v>
                </c:pt>
                <c:pt idx="331">
                  <c:v>242.89581390629905</c:v>
                </c:pt>
                <c:pt idx="332">
                  <c:v>267.27572280744999</c:v>
                </c:pt>
                <c:pt idx="333">
                  <c:v>295.31135760254074</c:v>
                </c:pt>
                <c:pt idx="334">
                  <c:v>318.51913059967643</c:v>
                </c:pt>
                <c:pt idx="335">
                  <c:v>329.79457319597162</c:v>
                </c:pt>
                <c:pt idx="336">
                  <c:v>359.93718710264426</c:v>
                </c:pt>
                <c:pt idx="337">
                  <c:v>356.37853741039805</c:v>
                </c:pt>
                <c:pt idx="338">
                  <c:v>334.68670694842103</c:v>
                </c:pt>
                <c:pt idx="339">
                  <c:v>335.7991049652008</c:v>
                </c:pt>
                <c:pt idx="340">
                  <c:v>344.07495692115958</c:v>
                </c:pt>
                <c:pt idx="341">
                  <c:v>321.28451158330284</c:v>
                </c:pt>
                <c:pt idx="342">
                  <c:v>315.77850428196155</c:v>
                </c:pt>
                <c:pt idx="343">
                  <c:v>313.24465806539502</c:v>
                </c:pt>
                <c:pt idx="344">
                  <c:v>310.77509000568074</c:v>
                </c:pt>
                <c:pt idx="345">
                  <c:v>299.11913029252122</c:v>
                </c:pt>
                <c:pt idx="346">
                  <c:v>298.18050693683961</c:v>
                </c:pt>
                <c:pt idx="347">
                  <c:v>300.27507569279442</c:v>
                </c:pt>
                <c:pt idx="348">
                  <c:v>311.52920771135098</c:v>
                </c:pt>
                <c:pt idx="349">
                  <c:v>322.84421650873765</c:v>
                </c:pt>
                <c:pt idx="350">
                  <c:v>350.08597837499099</c:v>
                </c:pt>
                <c:pt idx="351">
                  <c:v>333.43932006338474</c:v>
                </c:pt>
                <c:pt idx="352">
                  <c:v>332.97284252459707</c:v>
                </c:pt>
                <c:pt idx="353">
                  <c:v>328.08114270576931</c:v>
                </c:pt>
                <c:pt idx="354">
                  <c:v>287.32899287221119</c:v>
                </c:pt>
                <c:pt idx="355">
                  <c:v>285.16106752976094</c:v>
                </c:pt>
                <c:pt idx="356">
                  <c:v>383.29188007414018</c:v>
                </c:pt>
                <c:pt idx="357">
                  <c:v>280.07111705852481</c:v>
                </c:pt>
                <c:pt idx="358">
                  <c:v>286.55970618893576</c:v>
                </c:pt>
                <c:pt idx="359">
                  <c:v>391.65080479986057</c:v>
                </c:pt>
                <c:pt idx="360">
                  <c:v>292.06788566546953</c:v>
                </c:pt>
                <c:pt idx="361">
                  <c:v>286.88170314059812</c:v>
                </c:pt>
                <c:pt idx="362">
                  <c:v>272.64501386815232</c:v>
                </c:pt>
                <c:pt idx="363">
                  <c:v>348.63576882749595</c:v>
                </c:pt>
                <c:pt idx="364">
                  <c:v>304.58269821785547</c:v>
                </c:pt>
                <c:pt idx="365">
                  <c:v>255.49057832631669</c:v>
                </c:pt>
                <c:pt idx="366">
                  <c:v>309.62102230069308</c:v>
                </c:pt>
                <c:pt idx="367">
                  <c:v>263.83601708964989</c:v>
                </c:pt>
                <c:pt idx="368">
                  <c:v>320.22659559756914</c:v>
                </c:pt>
                <c:pt idx="369">
                  <c:v>311.2801082607138</c:v>
                </c:pt>
                <c:pt idx="370">
                  <c:v>302.58852504703088</c:v>
                </c:pt>
                <c:pt idx="371">
                  <c:v>326.40972170545331</c:v>
                </c:pt>
                <c:pt idx="372">
                  <c:v>294.09743524679328</c:v>
                </c:pt>
                <c:pt idx="373">
                  <c:v>238.41668584424778</c:v>
                </c:pt>
                <c:pt idx="374">
                  <c:v>214.47236228420167</c:v>
                </c:pt>
                <c:pt idx="375">
                  <c:v>202.1670412965795</c:v>
                </c:pt>
                <c:pt idx="376">
                  <c:v>215.09521666995508</c:v>
                </c:pt>
                <c:pt idx="377">
                  <c:v>212.25253785822963</c:v>
                </c:pt>
                <c:pt idx="378">
                  <c:v>200.84735126619793</c:v>
                </c:pt>
                <c:pt idx="379">
                  <c:v>185.99629548777523</c:v>
                </c:pt>
                <c:pt idx="380">
                  <c:v>186.52838843132216</c:v>
                </c:pt>
                <c:pt idx="381">
                  <c:v>181.74653350964348</c:v>
                </c:pt>
                <c:pt idx="382">
                  <c:v>177.17591321200217</c:v>
                </c:pt>
                <c:pt idx="383">
                  <c:v>172.83557460814555</c:v>
                </c:pt>
                <c:pt idx="384">
                  <c:v>172.47485725693997</c:v>
                </c:pt>
                <c:pt idx="385">
                  <c:v>181.35010550448803</c:v>
                </c:pt>
                <c:pt idx="386">
                  <c:v>176.00924001700056</c:v>
                </c:pt>
                <c:pt idx="387">
                  <c:v>179.05448574390752</c:v>
                </c:pt>
                <c:pt idx="388">
                  <c:v>173.61227229956009</c:v>
                </c:pt>
                <c:pt idx="389">
                  <c:v>177.16698127001118</c:v>
                </c:pt>
                <c:pt idx="390">
                  <c:v>174.27345433111051</c:v>
                </c:pt>
                <c:pt idx="391">
                  <c:v>199.50052607874022</c:v>
                </c:pt>
                <c:pt idx="392">
                  <c:v>259.4996798264022</c:v>
                </c:pt>
                <c:pt idx="393">
                  <c:v>202.59458640622273</c:v>
                </c:pt>
                <c:pt idx="394">
                  <c:v>206.840906259664</c:v>
                </c:pt>
                <c:pt idx="395">
                  <c:v>203.2744405679756</c:v>
                </c:pt>
                <c:pt idx="396">
                  <c:v>193.96046199612866</c:v>
                </c:pt>
                <c:pt idx="397">
                  <c:v>191.43104256937525</c:v>
                </c:pt>
                <c:pt idx="398">
                  <c:v>183.59043219638176</c:v>
                </c:pt>
                <c:pt idx="399">
                  <c:v>175.34528820024957</c:v>
                </c:pt>
                <c:pt idx="400">
                  <c:v>177.86506710650605</c:v>
                </c:pt>
                <c:pt idx="401">
                  <c:v>175.63108919308772</c:v>
                </c:pt>
                <c:pt idx="402">
                  <c:v>188.10334038049822</c:v>
                </c:pt>
                <c:pt idx="403">
                  <c:v>194.28950960738024</c:v>
                </c:pt>
                <c:pt idx="404">
                  <c:v>207.01296263502647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62D-46BE-9C05-8F6FD513B5AB}"/>
            </c:ext>
          </c:extLst>
        </c:ser>
        <c:ser>
          <c:idx val="2"/>
          <c:order val="1"/>
          <c:tx>
            <c:v>Promedio 91-01</c:v>
          </c:tx>
          <c:spPr>
            <a:ln w="12700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dLbl>
              <c:idx val="149"/>
              <c:layout>
                <c:manualLayout>
                  <c:x val="-6.0225864536828246E-2"/>
                  <c:y val="-2.5096845285355558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accent2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62D-46BE-9C05-8F6FD513B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GRANOS'!$B$4:$B$408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D-18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D-19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D-20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D-21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D-22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D-23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D-24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D-25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'4 GRANOS'!$L$4:$L$408</c:f>
              <c:numCache>
                <c:formatCode>_-* #,##0.0\ _€_-;\-* #,##0.0\ _€_-;_-* "-"??\ _€_-;_-@_-</c:formatCode>
                <c:ptCount val="405"/>
                <c:pt idx="0">
                  <c:v>178.61765507110297</c:v>
                </c:pt>
                <c:pt idx="1">
                  <c:v>178.61765507110297</c:v>
                </c:pt>
                <c:pt idx="2">
                  <c:v>178.61765507110297</c:v>
                </c:pt>
                <c:pt idx="3">
                  <c:v>178.61765507110297</c:v>
                </c:pt>
                <c:pt idx="4">
                  <c:v>178.61765507110297</c:v>
                </c:pt>
                <c:pt idx="5">
                  <c:v>178.61765507110297</c:v>
                </c:pt>
                <c:pt idx="6">
                  <c:v>178.61765507110297</c:v>
                </c:pt>
                <c:pt idx="7">
                  <c:v>178.61765507110297</c:v>
                </c:pt>
                <c:pt idx="8">
                  <c:v>178.61765507110297</c:v>
                </c:pt>
                <c:pt idx="9">
                  <c:v>178.61765507110297</c:v>
                </c:pt>
                <c:pt idx="10">
                  <c:v>178.61765507110297</c:v>
                </c:pt>
                <c:pt idx="11">
                  <c:v>178.61765507110297</c:v>
                </c:pt>
                <c:pt idx="12">
                  <c:v>178.61765507110297</c:v>
                </c:pt>
                <c:pt idx="13">
                  <c:v>178.61765507110297</c:v>
                </c:pt>
                <c:pt idx="14">
                  <c:v>178.61765507110297</c:v>
                </c:pt>
                <c:pt idx="15">
                  <c:v>178.61765507110297</c:v>
                </c:pt>
                <c:pt idx="16">
                  <c:v>178.61765507110297</c:v>
                </c:pt>
                <c:pt idx="17">
                  <c:v>178.61765507110297</c:v>
                </c:pt>
                <c:pt idx="18">
                  <c:v>178.61765507110297</c:v>
                </c:pt>
                <c:pt idx="19">
                  <c:v>178.61765507110297</c:v>
                </c:pt>
                <c:pt idx="20">
                  <c:v>178.61765507110297</c:v>
                </c:pt>
                <c:pt idx="21">
                  <c:v>178.61765507110297</c:v>
                </c:pt>
                <c:pt idx="22">
                  <c:v>178.61765507110297</c:v>
                </c:pt>
                <c:pt idx="23">
                  <c:v>178.61765507110297</c:v>
                </c:pt>
                <c:pt idx="24">
                  <c:v>178.61765507110297</c:v>
                </c:pt>
                <c:pt idx="25">
                  <c:v>178.61765507110297</c:v>
                </c:pt>
                <c:pt idx="26">
                  <c:v>178.61765507110297</c:v>
                </c:pt>
                <c:pt idx="27">
                  <c:v>178.61765507110297</c:v>
                </c:pt>
                <c:pt idx="28">
                  <c:v>178.61765507110297</c:v>
                </c:pt>
                <c:pt idx="29">
                  <c:v>178.61765507110297</c:v>
                </c:pt>
                <c:pt idx="30">
                  <c:v>178.61765507110297</c:v>
                </c:pt>
                <c:pt idx="31">
                  <c:v>178.61765507110297</c:v>
                </c:pt>
                <c:pt idx="32">
                  <c:v>178.61765507110297</c:v>
                </c:pt>
                <c:pt idx="33">
                  <c:v>178.61765507110297</c:v>
                </c:pt>
                <c:pt idx="34">
                  <c:v>178.61765507110297</c:v>
                </c:pt>
                <c:pt idx="35">
                  <c:v>178.61765507110297</c:v>
                </c:pt>
                <c:pt idx="36">
                  <c:v>178.61765507110297</c:v>
                </c:pt>
                <c:pt idx="37">
                  <c:v>178.61765507110297</c:v>
                </c:pt>
                <c:pt idx="38">
                  <c:v>178.61765507110297</c:v>
                </c:pt>
                <c:pt idx="39">
                  <c:v>178.61765507110297</c:v>
                </c:pt>
                <c:pt idx="40">
                  <c:v>178.61765507110297</c:v>
                </c:pt>
                <c:pt idx="41">
                  <c:v>178.61765507110297</c:v>
                </c:pt>
                <c:pt idx="42">
                  <c:v>178.61765507110297</c:v>
                </c:pt>
                <c:pt idx="43">
                  <c:v>178.61765507110297</c:v>
                </c:pt>
                <c:pt idx="44">
                  <c:v>178.61765507110297</c:v>
                </c:pt>
                <c:pt idx="45">
                  <c:v>178.61765507110297</c:v>
                </c:pt>
                <c:pt idx="46">
                  <c:v>178.61765507110297</c:v>
                </c:pt>
                <c:pt idx="47">
                  <c:v>178.61765507110297</c:v>
                </c:pt>
                <c:pt idx="48">
                  <c:v>178.61765507110297</c:v>
                </c:pt>
                <c:pt idx="49">
                  <c:v>178.61765507110297</c:v>
                </c:pt>
                <c:pt idx="50">
                  <c:v>178.61765507110297</c:v>
                </c:pt>
                <c:pt idx="51">
                  <c:v>178.61765507110297</c:v>
                </c:pt>
                <c:pt idx="52">
                  <c:v>178.61765507110297</c:v>
                </c:pt>
                <c:pt idx="53">
                  <c:v>178.61765507110297</c:v>
                </c:pt>
                <c:pt idx="54">
                  <c:v>178.61765507110297</c:v>
                </c:pt>
                <c:pt idx="55">
                  <c:v>178.61765507110297</c:v>
                </c:pt>
                <c:pt idx="56">
                  <c:v>178.61765507110297</c:v>
                </c:pt>
                <c:pt idx="57">
                  <c:v>178.61765507110297</c:v>
                </c:pt>
                <c:pt idx="58">
                  <c:v>178.61765507110297</c:v>
                </c:pt>
                <c:pt idx="59">
                  <c:v>178.61765507110297</c:v>
                </c:pt>
                <c:pt idx="60">
                  <c:v>178.61765507110297</c:v>
                </c:pt>
                <c:pt idx="61">
                  <c:v>178.61765507110297</c:v>
                </c:pt>
                <c:pt idx="62">
                  <c:v>178.61765507110297</c:v>
                </c:pt>
                <c:pt idx="63">
                  <c:v>178.61765507110297</c:v>
                </c:pt>
                <c:pt idx="64">
                  <c:v>178.61765507110297</c:v>
                </c:pt>
                <c:pt idx="65">
                  <c:v>178.61765507110297</c:v>
                </c:pt>
                <c:pt idx="66">
                  <c:v>178.61765507110297</c:v>
                </c:pt>
                <c:pt idx="67">
                  <c:v>178.61765507110297</c:v>
                </c:pt>
                <c:pt idx="68">
                  <c:v>178.61765507110297</c:v>
                </c:pt>
                <c:pt idx="69">
                  <c:v>178.61765507110297</c:v>
                </c:pt>
                <c:pt idx="70">
                  <c:v>178.61765507110297</c:v>
                </c:pt>
                <c:pt idx="71">
                  <c:v>178.61765507110297</c:v>
                </c:pt>
                <c:pt idx="72">
                  <c:v>178.61765507110297</c:v>
                </c:pt>
                <c:pt idx="73">
                  <c:v>178.61765507110297</c:v>
                </c:pt>
                <c:pt idx="74">
                  <c:v>178.61765507110297</c:v>
                </c:pt>
                <c:pt idx="75">
                  <c:v>178.61765507110297</c:v>
                </c:pt>
                <c:pt idx="76">
                  <c:v>178.61765507110297</c:v>
                </c:pt>
                <c:pt idx="77">
                  <c:v>178.61765507110297</c:v>
                </c:pt>
                <c:pt idx="78">
                  <c:v>178.61765507110297</c:v>
                </c:pt>
                <c:pt idx="79">
                  <c:v>178.61765507110297</c:v>
                </c:pt>
                <c:pt idx="80">
                  <c:v>178.61765507110297</c:v>
                </c:pt>
                <c:pt idx="81">
                  <c:v>178.61765507110297</c:v>
                </c:pt>
                <c:pt idx="82">
                  <c:v>178.61765507110297</c:v>
                </c:pt>
                <c:pt idx="83">
                  <c:v>178.61765507110297</c:v>
                </c:pt>
                <c:pt idx="84">
                  <c:v>178.61765507110297</c:v>
                </c:pt>
                <c:pt idx="85">
                  <c:v>178.61765507110297</c:v>
                </c:pt>
                <c:pt idx="86">
                  <c:v>178.61765507110297</c:v>
                </c:pt>
                <c:pt idx="87">
                  <c:v>178.61765507110297</c:v>
                </c:pt>
                <c:pt idx="88">
                  <c:v>178.61765507110297</c:v>
                </c:pt>
                <c:pt idx="89">
                  <c:v>178.61765507110297</c:v>
                </c:pt>
                <c:pt idx="90">
                  <c:v>178.61765507110297</c:v>
                </c:pt>
                <c:pt idx="91">
                  <c:v>178.61765507110297</c:v>
                </c:pt>
                <c:pt idx="92">
                  <c:v>178.61765507110297</c:v>
                </c:pt>
                <c:pt idx="93">
                  <c:v>178.61765507110297</c:v>
                </c:pt>
                <c:pt idx="94">
                  <c:v>178.61765507110297</c:v>
                </c:pt>
                <c:pt idx="95">
                  <c:v>178.61765507110297</c:v>
                </c:pt>
                <c:pt idx="96">
                  <c:v>178.61765507110297</c:v>
                </c:pt>
                <c:pt idx="97">
                  <c:v>178.61765507110297</c:v>
                </c:pt>
                <c:pt idx="98">
                  <c:v>178.61765507110297</c:v>
                </c:pt>
                <c:pt idx="99">
                  <c:v>178.61765507110297</c:v>
                </c:pt>
                <c:pt idx="100">
                  <c:v>178.61765507110297</c:v>
                </c:pt>
                <c:pt idx="101">
                  <c:v>178.61765507110297</c:v>
                </c:pt>
                <c:pt idx="102">
                  <c:v>178.61765507110297</c:v>
                </c:pt>
                <c:pt idx="103">
                  <c:v>178.61765507110297</c:v>
                </c:pt>
                <c:pt idx="104">
                  <c:v>178.61765507110297</c:v>
                </c:pt>
                <c:pt idx="105">
                  <c:v>178.61765507110297</c:v>
                </c:pt>
                <c:pt idx="106">
                  <c:v>178.61765507110297</c:v>
                </c:pt>
                <c:pt idx="107">
                  <c:v>178.61765507110297</c:v>
                </c:pt>
                <c:pt idx="108">
                  <c:v>178.61765507110297</c:v>
                </c:pt>
                <c:pt idx="109">
                  <c:v>178.61765507110297</c:v>
                </c:pt>
                <c:pt idx="110">
                  <c:v>178.61765507110297</c:v>
                </c:pt>
                <c:pt idx="111">
                  <c:v>178.61765507110297</c:v>
                </c:pt>
                <c:pt idx="112">
                  <c:v>178.61765507110297</c:v>
                </c:pt>
                <c:pt idx="113">
                  <c:v>178.61765507110297</c:v>
                </c:pt>
                <c:pt idx="114">
                  <c:v>178.61765507110297</c:v>
                </c:pt>
                <c:pt idx="115">
                  <c:v>178.61765507110297</c:v>
                </c:pt>
                <c:pt idx="116">
                  <c:v>178.61765507110297</c:v>
                </c:pt>
                <c:pt idx="117">
                  <c:v>178.61765507110297</c:v>
                </c:pt>
                <c:pt idx="118">
                  <c:v>178.61765507110297</c:v>
                </c:pt>
                <c:pt idx="119">
                  <c:v>178.61765507110297</c:v>
                </c:pt>
                <c:pt idx="120">
                  <c:v>178.61765507110297</c:v>
                </c:pt>
                <c:pt idx="121">
                  <c:v>178.61765507110297</c:v>
                </c:pt>
                <c:pt idx="122">
                  <c:v>178.61765507110297</c:v>
                </c:pt>
                <c:pt idx="123">
                  <c:v>178.61765507110297</c:v>
                </c:pt>
                <c:pt idx="124">
                  <c:v>178.61765507110297</c:v>
                </c:pt>
                <c:pt idx="125">
                  <c:v>178.61765507110297</c:v>
                </c:pt>
                <c:pt idx="126">
                  <c:v>178.61765507110297</c:v>
                </c:pt>
                <c:pt idx="127">
                  <c:v>178.61765507110297</c:v>
                </c:pt>
                <c:pt idx="128">
                  <c:v>178.61765507110297</c:v>
                </c:pt>
                <c:pt idx="129">
                  <c:v>178.61765507110297</c:v>
                </c:pt>
                <c:pt idx="130">
                  <c:v>178.61765507110297</c:v>
                </c:pt>
                <c:pt idx="131">
                  <c:v>178.61765507110297</c:v>
                </c:pt>
                <c:pt idx="132">
                  <c:v>178.61765507110297</c:v>
                </c:pt>
                <c:pt idx="133">
                  <c:v>178.61765507110297</c:v>
                </c:pt>
                <c:pt idx="134">
                  <c:v>178.61765507110297</c:v>
                </c:pt>
                <c:pt idx="135">
                  <c:v>178.61765507110297</c:v>
                </c:pt>
                <c:pt idx="136">
                  <c:v>178.61765507110297</c:v>
                </c:pt>
                <c:pt idx="137">
                  <c:v>178.61765507110297</c:v>
                </c:pt>
                <c:pt idx="138">
                  <c:v>178.61765507110297</c:v>
                </c:pt>
                <c:pt idx="139">
                  <c:v>178.61765507110297</c:v>
                </c:pt>
                <c:pt idx="140">
                  <c:v>178.61765507110297</c:v>
                </c:pt>
                <c:pt idx="141">
                  <c:v>178.61765507110297</c:v>
                </c:pt>
                <c:pt idx="142">
                  <c:v>178.61765507110297</c:v>
                </c:pt>
                <c:pt idx="143">
                  <c:v>178.61765507110297</c:v>
                </c:pt>
                <c:pt idx="144">
                  <c:v>178.61765507110297</c:v>
                </c:pt>
                <c:pt idx="145">
                  <c:v>178.61765507110297</c:v>
                </c:pt>
                <c:pt idx="146">
                  <c:v>178.61765507110297</c:v>
                </c:pt>
                <c:pt idx="147">
                  <c:v>178.61765507110297</c:v>
                </c:pt>
                <c:pt idx="148">
                  <c:v>178.61765507110297</c:v>
                </c:pt>
                <c:pt idx="149">
                  <c:v>178.61765507110297</c:v>
                </c:pt>
                <c:pt idx="150">
                  <c:v>178.61765507110297</c:v>
                </c:pt>
                <c:pt idx="151">
                  <c:v>178.61765507110297</c:v>
                </c:pt>
                <c:pt idx="152">
                  <c:v>178.61765507110297</c:v>
                </c:pt>
                <c:pt idx="153">
                  <c:v>178.61765507110297</c:v>
                </c:pt>
                <c:pt idx="154">
                  <c:v>178.61765507110297</c:v>
                </c:pt>
                <c:pt idx="155">
                  <c:v>178.61765507110297</c:v>
                </c:pt>
                <c:pt idx="156">
                  <c:v>178.61765507110297</c:v>
                </c:pt>
                <c:pt idx="157">
                  <c:v>178.61765507110297</c:v>
                </c:pt>
                <c:pt idx="158">
                  <c:v>178.61765507110297</c:v>
                </c:pt>
                <c:pt idx="159">
                  <c:v>178.61765507110297</c:v>
                </c:pt>
                <c:pt idx="160">
                  <c:v>178.61765507110297</c:v>
                </c:pt>
                <c:pt idx="161">
                  <c:v>178.61765507110297</c:v>
                </c:pt>
                <c:pt idx="162">
                  <c:v>178.61765507110297</c:v>
                </c:pt>
                <c:pt idx="163">
                  <c:v>178.61765507110297</c:v>
                </c:pt>
                <c:pt idx="164">
                  <c:v>178.61765507110297</c:v>
                </c:pt>
                <c:pt idx="165">
                  <c:v>178.61765507110297</c:v>
                </c:pt>
                <c:pt idx="166">
                  <c:v>178.61765507110297</c:v>
                </c:pt>
                <c:pt idx="167">
                  <c:v>178.61765507110297</c:v>
                </c:pt>
                <c:pt idx="168">
                  <c:v>178.61765507110297</c:v>
                </c:pt>
                <c:pt idx="169">
                  <c:v>178.61765507110297</c:v>
                </c:pt>
                <c:pt idx="170">
                  <c:v>178.61765507110297</c:v>
                </c:pt>
                <c:pt idx="171">
                  <c:v>178.61765507110297</c:v>
                </c:pt>
                <c:pt idx="172">
                  <c:v>178.61765507110297</c:v>
                </c:pt>
                <c:pt idx="173">
                  <c:v>178.61765507110297</c:v>
                </c:pt>
                <c:pt idx="174">
                  <c:v>178.61765507110297</c:v>
                </c:pt>
                <c:pt idx="175">
                  <c:v>178.61765507110297</c:v>
                </c:pt>
                <c:pt idx="176">
                  <c:v>178.61765507110297</c:v>
                </c:pt>
                <c:pt idx="177">
                  <c:v>178.61765507110297</c:v>
                </c:pt>
                <c:pt idx="178">
                  <c:v>178.61765507110297</c:v>
                </c:pt>
                <c:pt idx="179">
                  <c:v>178.61765507110297</c:v>
                </c:pt>
                <c:pt idx="180">
                  <c:v>178.61765507110297</c:v>
                </c:pt>
                <c:pt idx="181">
                  <c:v>178.61765507110297</c:v>
                </c:pt>
                <c:pt idx="182">
                  <c:v>178.61765507110297</c:v>
                </c:pt>
                <c:pt idx="183">
                  <c:v>178.61765507110297</c:v>
                </c:pt>
                <c:pt idx="184">
                  <c:v>178.61765507110297</c:v>
                </c:pt>
                <c:pt idx="185">
                  <c:v>178.61765507110297</c:v>
                </c:pt>
                <c:pt idx="186">
                  <c:v>178.61765507110297</c:v>
                </c:pt>
                <c:pt idx="187">
                  <c:v>178.61765507110297</c:v>
                </c:pt>
                <c:pt idx="188">
                  <c:v>178.61765507110297</c:v>
                </c:pt>
                <c:pt idx="189">
                  <c:v>178.61765507110297</c:v>
                </c:pt>
                <c:pt idx="190">
                  <c:v>178.61765507110297</c:v>
                </c:pt>
                <c:pt idx="191">
                  <c:v>178.61765507110297</c:v>
                </c:pt>
                <c:pt idx="192">
                  <c:v>178.61765507110297</c:v>
                </c:pt>
                <c:pt idx="193">
                  <c:v>178.61765507110297</c:v>
                </c:pt>
                <c:pt idx="194">
                  <c:v>178.61765507110297</c:v>
                </c:pt>
                <c:pt idx="195">
                  <c:v>178.61765507110297</c:v>
                </c:pt>
                <c:pt idx="196">
                  <c:v>178.61765507110297</c:v>
                </c:pt>
                <c:pt idx="197">
                  <c:v>178.61765507110297</c:v>
                </c:pt>
                <c:pt idx="198">
                  <c:v>178.61765507110297</c:v>
                </c:pt>
                <c:pt idx="199">
                  <c:v>178.61765507110297</c:v>
                </c:pt>
                <c:pt idx="200">
                  <c:v>178.61765507110297</c:v>
                </c:pt>
                <c:pt idx="201">
                  <c:v>178.61765507110297</c:v>
                </c:pt>
                <c:pt idx="202">
                  <c:v>178.61765507110297</c:v>
                </c:pt>
                <c:pt idx="203">
                  <c:v>178.61765507110297</c:v>
                </c:pt>
                <c:pt idx="204">
                  <c:v>178.61765507110297</c:v>
                </c:pt>
                <c:pt idx="205">
                  <c:v>178.61765507110297</c:v>
                </c:pt>
                <c:pt idx="206">
                  <c:v>178.61765507110297</c:v>
                </c:pt>
                <c:pt idx="207">
                  <c:v>178.61765507110297</c:v>
                </c:pt>
                <c:pt idx="208">
                  <c:v>178.61765507110297</c:v>
                </c:pt>
                <c:pt idx="209">
                  <c:v>178.61765507110297</c:v>
                </c:pt>
                <c:pt idx="210">
                  <c:v>178.61765507110297</c:v>
                </c:pt>
                <c:pt idx="211">
                  <c:v>178.61765507110297</c:v>
                </c:pt>
                <c:pt idx="212">
                  <c:v>178.61765507110297</c:v>
                </c:pt>
                <c:pt idx="213">
                  <c:v>178.61765507110297</c:v>
                </c:pt>
                <c:pt idx="214">
                  <c:v>178.61765507110297</c:v>
                </c:pt>
                <c:pt idx="215">
                  <c:v>178.61765507110297</c:v>
                </c:pt>
                <c:pt idx="216">
                  <c:v>178.61765507110297</c:v>
                </c:pt>
                <c:pt idx="217">
                  <c:v>178.61765507110297</c:v>
                </c:pt>
                <c:pt idx="218">
                  <c:v>178.61765507110297</c:v>
                </c:pt>
                <c:pt idx="219">
                  <c:v>178.61765507110297</c:v>
                </c:pt>
                <c:pt idx="220">
                  <c:v>178.61765507110297</c:v>
                </c:pt>
                <c:pt idx="221">
                  <c:v>178.61765507110297</c:v>
                </c:pt>
                <c:pt idx="222">
                  <c:v>178.61765507110297</c:v>
                </c:pt>
                <c:pt idx="223">
                  <c:v>178.61765507110297</c:v>
                </c:pt>
                <c:pt idx="224">
                  <c:v>178.61765507110297</c:v>
                </c:pt>
                <c:pt idx="225">
                  <c:v>178.61765507110297</c:v>
                </c:pt>
                <c:pt idx="226">
                  <c:v>178.61765507110297</c:v>
                </c:pt>
                <c:pt idx="227">
                  <c:v>178.61765507110297</c:v>
                </c:pt>
                <c:pt idx="228">
                  <c:v>178.61765507110297</c:v>
                </c:pt>
                <c:pt idx="229">
                  <c:v>178.61765507110297</c:v>
                </c:pt>
                <c:pt idx="230">
                  <c:v>178.61765507110297</c:v>
                </c:pt>
                <c:pt idx="231">
                  <c:v>178.61765507110297</c:v>
                </c:pt>
                <c:pt idx="232">
                  <c:v>178.61765507110297</c:v>
                </c:pt>
                <c:pt idx="233">
                  <c:v>178.61765507110297</c:v>
                </c:pt>
                <c:pt idx="234">
                  <c:v>178.61765507110297</c:v>
                </c:pt>
                <c:pt idx="235">
                  <c:v>178.61765507110297</c:v>
                </c:pt>
                <c:pt idx="236">
                  <c:v>178.61765507110297</c:v>
                </c:pt>
                <c:pt idx="237">
                  <c:v>178.61765507110297</c:v>
                </c:pt>
                <c:pt idx="238">
                  <c:v>178.61765507110297</c:v>
                </c:pt>
                <c:pt idx="239">
                  <c:v>178.61765507110297</c:v>
                </c:pt>
                <c:pt idx="240">
                  <c:v>178.61765507110297</c:v>
                </c:pt>
                <c:pt idx="241">
                  <c:v>178.61765507110297</c:v>
                </c:pt>
                <c:pt idx="242">
                  <c:v>178.61765507110297</c:v>
                </c:pt>
                <c:pt idx="243">
                  <c:v>178.61765507110297</c:v>
                </c:pt>
                <c:pt idx="244">
                  <c:v>178.61765507110297</c:v>
                </c:pt>
                <c:pt idx="245">
                  <c:v>178.61765507110297</c:v>
                </c:pt>
                <c:pt idx="246">
                  <c:v>178.61765507110297</c:v>
                </c:pt>
                <c:pt idx="247">
                  <c:v>178.61765507110297</c:v>
                </c:pt>
                <c:pt idx="248">
                  <c:v>178.61765507110297</c:v>
                </c:pt>
                <c:pt idx="249">
                  <c:v>178.61765507110297</c:v>
                </c:pt>
                <c:pt idx="250">
                  <c:v>178.61765507110297</c:v>
                </c:pt>
                <c:pt idx="251">
                  <c:v>178.61765507110297</c:v>
                </c:pt>
                <c:pt idx="252">
                  <c:v>178.61765507110297</c:v>
                </c:pt>
                <c:pt idx="253">
                  <c:v>178.61765507110297</c:v>
                </c:pt>
                <c:pt idx="254">
                  <c:v>178.61765507110297</c:v>
                </c:pt>
                <c:pt idx="255">
                  <c:v>178.61765507110297</c:v>
                </c:pt>
                <c:pt idx="256">
                  <c:v>178.61765507110297</c:v>
                </c:pt>
                <c:pt idx="257">
                  <c:v>178.61765507110297</c:v>
                </c:pt>
                <c:pt idx="258">
                  <c:v>178.61765507110297</c:v>
                </c:pt>
                <c:pt idx="259">
                  <c:v>178.61765507110297</c:v>
                </c:pt>
                <c:pt idx="260">
                  <c:v>178.61765507110297</c:v>
                </c:pt>
                <c:pt idx="261">
                  <c:v>178.61765507110297</c:v>
                </c:pt>
                <c:pt idx="262">
                  <c:v>178.61765507110297</c:v>
                </c:pt>
                <c:pt idx="263">
                  <c:v>178.61765507110297</c:v>
                </c:pt>
                <c:pt idx="264">
                  <c:v>178.61765507110297</c:v>
                </c:pt>
                <c:pt idx="265">
                  <c:v>178.61765507110297</c:v>
                </c:pt>
                <c:pt idx="266">
                  <c:v>178.61765507110297</c:v>
                </c:pt>
                <c:pt idx="267">
                  <c:v>178.61765507110297</c:v>
                </c:pt>
                <c:pt idx="268">
                  <c:v>178.61765507110297</c:v>
                </c:pt>
                <c:pt idx="269">
                  <c:v>178.61765507110297</c:v>
                </c:pt>
                <c:pt idx="270">
                  <c:v>178.61765507110297</c:v>
                </c:pt>
                <c:pt idx="271">
                  <c:v>178.61765507110297</c:v>
                </c:pt>
                <c:pt idx="272">
                  <c:v>178.61765507110297</c:v>
                </c:pt>
                <c:pt idx="273">
                  <c:v>178.61765507110297</c:v>
                </c:pt>
                <c:pt idx="274">
                  <c:v>178.61765507110297</c:v>
                </c:pt>
                <c:pt idx="275">
                  <c:v>178.61765507110297</c:v>
                </c:pt>
                <c:pt idx="276">
                  <c:v>178.61765507110297</c:v>
                </c:pt>
                <c:pt idx="277">
                  <c:v>178.61765507110297</c:v>
                </c:pt>
                <c:pt idx="278">
                  <c:v>178.61765507110297</c:v>
                </c:pt>
                <c:pt idx="279">
                  <c:v>178.61765507110297</c:v>
                </c:pt>
                <c:pt idx="280">
                  <c:v>178.61765507110297</c:v>
                </c:pt>
                <c:pt idx="281">
                  <c:v>178.61765507110297</c:v>
                </c:pt>
                <c:pt idx="282">
                  <c:v>178.61765507110297</c:v>
                </c:pt>
                <c:pt idx="283">
                  <c:v>178.61765507110297</c:v>
                </c:pt>
                <c:pt idx="284">
                  <c:v>178.61765507110297</c:v>
                </c:pt>
                <c:pt idx="285">
                  <c:v>178.61765507110297</c:v>
                </c:pt>
                <c:pt idx="286">
                  <c:v>178.61765507110297</c:v>
                </c:pt>
                <c:pt idx="287">
                  <c:v>178.61765507110297</c:v>
                </c:pt>
                <c:pt idx="288">
                  <c:v>178.61765507110297</c:v>
                </c:pt>
                <c:pt idx="289">
                  <c:v>178.61765507110297</c:v>
                </c:pt>
                <c:pt idx="290">
                  <c:v>178.61765507110297</c:v>
                </c:pt>
                <c:pt idx="291">
                  <c:v>178.61765507110297</c:v>
                </c:pt>
                <c:pt idx="292">
                  <c:v>178.61765507110297</c:v>
                </c:pt>
                <c:pt idx="293">
                  <c:v>178.61765507110297</c:v>
                </c:pt>
                <c:pt idx="294">
                  <c:v>178.61765507110297</c:v>
                </c:pt>
                <c:pt idx="295">
                  <c:v>178.61765507110297</c:v>
                </c:pt>
                <c:pt idx="296">
                  <c:v>178.61765507110297</c:v>
                </c:pt>
                <c:pt idx="297">
                  <c:v>178.61765507110297</c:v>
                </c:pt>
                <c:pt idx="298">
                  <c:v>178.61765507110297</c:v>
                </c:pt>
                <c:pt idx="299">
                  <c:v>178.61765507110297</c:v>
                </c:pt>
                <c:pt idx="300">
                  <c:v>178.61765507110297</c:v>
                </c:pt>
                <c:pt idx="301">
                  <c:v>178.61765507110297</c:v>
                </c:pt>
                <c:pt idx="302">
                  <c:v>178.61765507110297</c:v>
                </c:pt>
                <c:pt idx="303">
                  <c:v>178.61765507110297</c:v>
                </c:pt>
                <c:pt idx="304">
                  <c:v>178.61765507110297</c:v>
                </c:pt>
                <c:pt idx="305">
                  <c:v>178.61765507110297</c:v>
                </c:pt>
                <c:pt idx="306">
                  <c:v>178.61765507110297</c:v>
                </c:pt>
                <c:pt idx="307">
                  <c:v>178.61765507110297</c:v>
                </c:pt>
                <c:pt idx="308">
                  <c:v>178.61765507110297</c:v>
                </c:pt>
                <c:pt idx="309">
                  <c:v>178.61765507110297</c:v>
                </c:pt>
                <c:pt idx="310">
                  <c:v>178.61765507110297</c:v>
                </c:pt>
                <c:pt idx="311">
                  <c:v>178.61765507110297</c:v>
                </c:pt>
                <c:pt idx="312">
                  <c:v>178.61765507110297</c:v>
                </c:pt>
                <c:pt idx="313">
                  <c:v>178.61765507110297</c:v>
                </c:pt>
                <c:pt idx="314">
                  <c:v>178.61765507110297</c:v>
                </c:pt>
                <c:pt idx="315">
                  <c:v>178.61765507110297</c:v>
                </c:pt>
                <c:pt idx="316">
                  <c:v>178.61765507110297</c:v>
                </c:pt>
                <c:pt idx="317">
                  <c:v>178.61765507110297</c:v>
                </c:pt>
                <c:pt idx="318">
                  <c:v>178.61765507110297</c:v>
                </c:pt>
                <c:pt idx="319">
                  <c:v>178.61765507110297</c:v>
                </c:pt>
                <c:pt idx="320">
                  <c:v>178.61765507110297</c:v>
                </c:pt>
                <c:pt idx="321">
                  <c:v>178.61765507110297</c:v>
                </c:pt>
                <c:pt idx="322">
                  <c:v>178.61765507110297</c:v>
                </c:pt>
                <c:pt idx="323">
                  <c:v>178.61765507110297</c:v>
                </c:pt>
                <c:pt idx="324">
                  <c:v>178.61765507110297</c:v>
                </c:pt>
                <c:pt idx="325">
                  <c:v>178.61765507110297</c:v>
                </c:pt>
                <c:pt idx="326">
                  <c:v>178.61765507110297</c:v>
                </c:pt>
                <c:pt idx="327">
                  <c:v>178.61765507110297</c:v>
                </c:pt>
                <c:pt idx="328">
                  <c:v>178.61765507110297</c:v>
                </c:pt>
                <c:pt idx="329">
                  <c:v>178.61765507110297</c:v>
                </c:pt>
                <c:pt idx="330">
                  <c:v>178.61765507110297</c:v>
                </c:pt>
                <c:pt idx="331">
                  <c:v>178.61765507110297</c:v>
                </c:pt>
                <c:pt idx="332">
                  <c:v>178.61765507110297</c:v>
                </c:pt>
                <c:pt idx="333">
                  <c:v>178.61765507110297</c:v>
                </c:pt>
                <c:pt idx="334">
                  <c:v>178.61765507110297</c:v>
                </c:pt>
                <c:pt idx="335">
                  <c:v>178.61765507110297</c:v>
                </c:pt>
                <c:pt idx="336">
                  <c:v>178.61765507110297</c:v>
                </c:pt>
                <c:pt idx="337">
                  <c:v>178.61765507110297</c:v>
                </c:pt>
                <c:pt idx="338">
                  <c:v>178.61765507110297</c:v>
                </c:pt>
                <c:pt idx="339">
                  <c:v>178.61765507110297</c:v>
                </c:pt>
                <c:pt idx="340">
                  <c:v>178.61765507110297</c:v>
                </c:pt>
                <c:pt idx="341">
                  <c:v>178.61765507110297</c:v>
                </c:pt>
                <c:pt idx="342">
                  <c:v>178.61765507110297</c:v>
                </c:pt>
                <c:pt idx="343">
                  <c:v>178.61765507110297</c:v>
                </c:pt>
                <c:pt idx="344">
                  <c:v>178.61765507110297</c:v>
                </c:pt>
                <c:pt idx="345">
                  <c:v>178.61765507110297</c:v>
                </c:pt>
                <c:pt idx="346">
                  <c:v>178.61765507110297</c:v>
                </c:pt>
                <c:pt idx="347">
                  <c:v>178.61765507110297</c:v>
                </c:pt>
                <c:pt idx="348">
                  <c:v>178.61765507110297</c:v>
                </c:pt>
                <c:pt idx="349">
                  <c:v>178.61765507110297</c:v>
                </c:pt>
                <c:pt idx="350">
                  <c:v>178.61765507110297</c:v>
                </c:pt>
                <c:pt idx="351">
                  <c:v>178.61765507110297</c:v>
                </c:pt>
                <c:pt idx="352">
                  <c:v>178.61765507110297</c:v>
                </c:pt>
                <c:pt idx="353">
                  <c:v>178.61765507110297</c:v>
                </c:pt>
                <c:pt idx="354">
                  <c:v>178.61765507110297</c:v>
                </c:pt>
                <c:pt idx="355">
                  <c:v>178.61765507110297</c:v>
                </c:pt>
                <c:pt idx="356">
                  <c:v>178.61765507110297</c:v>
                </c:pt>
                <c:pt idx="357">
                  <c:v>178.61765507110297</c:v>
                </c:pt>
                <c:pt idx="358">
                  <c:v>178.61765507110297</c:v>
                </c:pt>
                <c:pt idx="359">
                  <c:v>178.61765507110297</c:v>
                </c:pt>
                <c:pt idx="360">
                  <c:v>178.61765507110297</c:v>
                </c:pt>
                <c:pt idx="361">
                  <c:v>178.61765507110297</c:v>
                </c:pt>
                <c:pt idx="362">
                  <c:v>178.61765507110297</c:v>
                </c:pt>
                <c:pt idx="363">
                  <c:v>178.61765507110297</c:v>
                </c:pt>
                <c:pt idx="364">
                  <c:v>178.61765507110297</c:v>
                </c:pt>
                <c:pt idx="365">
                  <c:v>178.61765507110297</c:v>
                </c:pt>
                <c:pt idx="366">
                  <c:v>178.61765507110297</c:v>
                </c:pt>
                <c:pt idx="367">
                  <c:v>178.61765507110297</c:v>
                </c:pt>
                <c:pt idx="368">
                  <c:v>178.61765507110297</c:v>
                </c:pt>
                <c:pt idx="369">
                  <c:v>178.61765507110297</c:v>
                </c:pt>
                <c:pt idx="370">
                  <c:v>178.61765507110297</c:v>
                </c:pt>
                <c:pt idx="371">
                  <c:v>178.61765507110297</c:v>
                </c:pt>
                <c:pt idx="372">
                  <c:v>178.61765507110297</c:v>
                </c:pt>
                <c:pt idx="373">
                  <c:v>178.61765507110297</c:v>
                </c:pt>
                <c:pt idx="374">
                  <c:v>178.61765507110297</c:v>
                </c:pt>
                <c:pt idx="375">
                  <c:v>178.61765507110297</c:v>
                </c:pt>
                <c:pt idx="376">
                  <c:v>178.61765507110297</c:v>
                </c:pt>
                <c:pt idx="377">
                  <c:v>178.61765507110297</c:v>
                </c:pt>
                <c:pt idx="378">
                  <c:v>178.61765507110297</c:v>
                </c:pt>
                <c:pt idx="379">
                  <c:v>178.61765507110297</c:v>
                </c:pt>
                <c:pt idx="380">
                  <c:v>178.61765507110297</c:v>
                </c:pt>
                <c:pt idx="381">
                  <c:v>178.61765507110297</c:v>
                </c:pt>
                <c:pt idx="382">
                  <c:v>178.61765507110297</c:v>
                </c:pt>
                <c:pt idx="383">
                  <c:v>178.61765507110297</c:v>
                </c:pt>
                <c:pt idx="384">
                  <c:v>178.61765507110297</c:v>
                </c:pt>
                <c:pt idx="385">
                  <c:v>178.61765507110297</c:v>
                </c:pt>
                <c:pt idx="386">
                  <c:v>178.61765507110297</c:v>
                </c:pt>
                <c:pt idx="387">
                  <c:v>178.61765507110297</c:v>
                </c:pt>
                <c:pt idx="388">
                  <c:v>178.61765507110297</c:v>
                </c:pt>
                <c:pt idx="389">
                  <c:v>178.61765507110297</c:v>
                </c:pt>
                <c:pt idx="390">
                  <c:v>178.61765507110297</c:v>
                </c:pt>
                <c:pt idx="391">
                  <c:v>178.61765507110297</c:v>
                </c:pt>
                <c:pt idx="392">
                  <c:v>178.61765507110297</c:v>
                </c:pt>
                <c:pt idx="393">
                  <c:v>178.61765507110297</c:v>
                </c:pt>
                <c:pt idx="394">
                  <c:v>178.61765507110297</c:v>
                </c:pt>
                <c:pt idx="395">
                  <c:v>178.61765507110297</c:v>
                </c:pt>
                <c:pt idx="396">
                  <c:v>178.61765507110297</c:v>
                </c:pt>
                <c:pt idx="397">
                  <c:v>178.61765507110297</c:v>
                </c:pt>
                <c:pt idx="398">
                  <c:v>178.61765507110297</c:v>
                </c:pt>
                <c:pt idx="399">
                  <c:v>178.61765507110297</c:v>
                </c:pt>
                <c:pt idx="400">
                  <c:v>178.61765507110297</c:v>
                </c:pt>
                <c:pt idx="401">
                  <c:v>178.61765507110297</c:v>
                </c:pt>
                <c:pt idx="402">
                  <c:v>178.61765507110297</c:v>
                </c:pt>
                <c:pt idx="403">
                  <c:v>178.61765507110297</c:v>
                </c:pt>
                <c:pt idx="404">
                  <c:v>178.61765507110297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62D-46BE-9C05-8F6FD513B5AB}"/>
            </c:ext>
          </c:extLst>
        </c:ser>
        <c:ser>
          <c:idx val="3"/>
          <c:order val="2"/>
          <c:tx>
            <c:v>Promedio 02-15</c:v>
          </c:tx>
          <c:spPr>
            <a:ln w="12700">
              <a:solidFill>
                <a:srgbClr val="333333"/>
              </a:solidFill>
              <a:prstDash val="sysDash"/>
            </a:ln>
          </c:spPr>
          <c:marker>
            <c:symbol val="none"/>
          </c:marker>
          <c:dLbls>
            <c:dLbl>
              <c:idx val="285"/>
              <c:layout>
                <c:manualLayout>
                  <c:x val="-7.1473939699212202E-2"/>
                  <c:y val="-2.70713110013790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62D-46BE-9C05-8F6FD513B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 GRANOS'!$B$4:$B$408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D-18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D-19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D-20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D-21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D-22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D-23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D-24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D-25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SOJA!$M$2:$M$401</c:f>
              <c:numCache>
                <c:formatCode>_-* #,##0.0\ _€_-;\-* #,##0.0\ _€_-;_-* "-"??\ _€_-;_-@_-</c:formatCode>
                <c:ptCount val="400"/>
                <c:pt idx="0">
                  <c:v>304.63352851680048</c:v>
                </c:pt>
                <c:pt idx="1">
                  <c:v>304.63352851680048</c:v>
                </c:pt>
                <c:pt idx="2">
                  <c:v>304.63352851680048</c:v>
                </c:pt>
                <c:pt idx="3">
                  <c:v>304.63352851680048</c:v>
                </c:pt>
                <c:pt idx="4">
                  <c:v>304.63352851680048</c:v>
                </c:pt>
                <c:pt idx="5">
                  <c:v>304.63352851680048</c:v>
                </c:pt>
                <c:pt idx="6">
                  <c:v>304.63352851680048</c:v>
                </c:pt>
                <c:pt idx="7">
                  <c:v>304.63352851680048</c:v>
                </c:pt>
                <c:pt idx="8">
                  <c:v>304.63352851680048</c:v>
                </c:pt>
                <c:pt idx="9">
                  <c:v>304.63352851680048</c:v>
                </c:pt>
                <c:pt idx="10">
                  <c:v>304.63352851680048</c:v>
                </c:pt>
                <c:pt idx="11">
                  <c:v>304.63352851680048</c:v>
                </c:pt>
                <c:pt idx="12">
                  <c:v>304.63352851680048</c:v>
                </c:pt>
                <c:pt idx="13">
                  <c:v>304.63352851680048</c:v>
                </c:pt>
                <c:pt idx="14">
                  <c:v>304.63352851680048</c:v>
                </c:pt>
                <c:pt idx="15">
                  <c:v>304.63352851680048</c:v>
                </c:pt>
                <c:pt idx="16">
                  <c:v>304.63352851680048</c:v>
                </c:pt>
                <c:pt idx="17">
                  <c:v>304.63352851680048</c:v>
                </c:pt>
                <c:pt idx="18">
                  <c:v>304.63352851680048</c:v>
                </c:pt>
                <c:pt idx="19">
                  <c:v>304.63352851680048</c:v>
                </c:pt>
                <c:pt idx="20">
                  <c:v>304.63352851680048</c:v>
                </c:pt>
                <c:pt idx="21">
                  <c:v>304.63352851680048</c:v>
                </c:pt>
                <c:pt idx="22">
                  <c:v>304.63352851680048</c:v>
                </c:pt>
                <c:pt idx="23">
                  <c:v>304.63352851680048</c:v>
                </c:pt>
                <c:pt idx="24">
                  <c:v>304.63352851680048</c:v>
                </c:pt>
                <c:pt idx="25">
                  <c:v>304.63352851680048</c:v>
                </c:pt>
                <c:pt idx="26">
                  <c:v>304.63352851680048</c:v>
                </c:pt>
                <c:pt idx="27">
                  <c:v>304.63352851680048</c:v>
                </c:pt>
                <c:pt idx="28">
                  <c:v>304.63352851680048</c:v>
                </c:pt>
                <c:pt idx="29">
                  <c:v>304.63352851680048</c:v>
                </c:pt>
                <c:pt idx="30">
                  <c:v>304.63352851680048</c:v>
                </c:pt>
                <c:pt idx="31">
                  <c:v>304.63352851680048</c:v>
                </c:pt>
                <c:pt idx="32">
                  <c:v>304.63352851680048</c:v>
                </c:pt>
                <c:pt idx="33">
                  <c:v>304.63352851680048</c:v>
                </c:pt>
                <c:pt idx="34">
                  <c:v>304.63352851680048</c:v>
                </c:pt>
                <c:pt idx="35">
                  <c:v>304.63352851680048</c:v>
                </c:pt>
                <c:pt idx="36">
                  <c:v>304.63352851680048</c:v>
                </c:pt>
                <c:pt idx="37">
                  <c:v>304.63352851680048</c:v>
                </c:pt>
                <c:pt idx="38">
                  <c:v>304.63352851680048</c:v>
                </c:pt>
                <c:pt idx="39">
                  <c:v>304.63352851680048</c:v>
                </c:pt>
                <c:pt idx="40">
                  <c:v>304.63352851680048</c:v>
                </c:pt>
                <c:pt idx="41">
                  <c:v>304.63352851680048</c:v>
                </c:pt>
                <c:pt idx="42">
                  <c:v>304.63352851680048</c:v>
                </c:pt>
                <c:pt idx="43">
                  <c:v>304.63352851680048</c:v>
                </c:pt>
                <c:pt idx="44">
                  <c:v>304.63352851680048</c:v>
                </c:pt>
                <c:pt idx="45">
                  <c:v>304.63352851680048</c:v>
                </c:pt>
                <c:pt idx="46">
                  <c:v>304.63352851680048</c:v>
                </c:pt>
                <c:pt idx="47">
                  <c:v>304.63352851680048</c:v>
                </c:pt>
                <c:pt idx="48">
                  <c:v>304.63352851680048</c:v>
                </c:pt>
                <c:pt idx="49">
                  <c:v>304.63352851680048</c:v>
                </c:pt>
                <c:pt idx="50">
                  <c:v>304.63352851680048</c:v>
                </c:pt>
                <c:pt idx="51">
                  <c:v>304.63352851680048</c:v>
                </c:pt>
                <c:pt idx="52">
                  <c:v>304.63352851680048</c:v>
                </c:pt>
                <c:pt idx="53">
                  <c:v>304.63352851680048</c:v>
                </c:pt>
                <c:pt idx="54">
                  <c:v>304.63352851680048</c:v>
                </c:pt>
                <c:pt idx="55">
                  <c:v>304.63352851680048</c:v>
                </c:pt>
                <c:pt idx="56">
                  <c:v>304.63352851680048</c:v>
                </c:pt>
                <c:pt idx="57">
                  <c:v>304.63352851680048</c:v>
                </c:pt>
                <c:pt idx="58">
                  <c:v>304.63352851680048</c:v>
                </c:pt>
                <c:pt idx="59">
                  <c:v>304.63352851680048</c:v>
                </c:pt>
                <c:pt idx="60">
                  <c:v>304.63352851680048</c:v>
                </c:pt>
                <c:pt idx="61">
                  <c:v>304.63352851680048</c:v>
                </c:pt>
                <c:pt idx="62">
                  <c:v>304.63352851680048</c:v>
                </c:pt>
                <c:pt idx="63">
                  <c:v>304.63352851680048</c:v>
                </c:pt>
                <c:pt idx="64">
                  <c:v>304.63352851680048</c:v>
                </c:pt>
                <c:pt idx="65">
                  <c:v>304.63352851680048</c:v>
                </c:pt>
                <c:pt idx="66">
                  <c:v>304.63352851680048</c:v>
                </c:pt>
                <c:pt idx="67">
                  <c:v>304.63352851680048</c:v>
                </c:pt>
                <c:pt idx="68">
                  <c:v>304.63352851680048</c:v>
                </c:pt>
                <c:pt idx="69">
                  <c:v>304.63352851680048</c:v>
                </c:pt>
                <c:pt idx="70">
                  <c:v>304.63352851680048</c:v>
                </c:pt>
                <c:pt idx="71">
                  <c:v>304.63352851680048</c:v>
                </c:pt>
                <c:pt idx="72">
                  <c:v>304.63352851680048</c:v>
                </c:pt>
                <c:pt idx="73">
                  <c:v>304.63352851680048</c:v>
                </c:pt>
                <c:pt idx="74">
                  <c:v>304.63352851680048</c:v>
                </c:pt>
                <c:pt idx="75">
                  <c:v>304.63352851680048</c:v>
                </c:pt>
                <c:pt idx="76">
                  <c:v>304.63352851680048</c:v>
                </c:pt>
                <c:pt idx="77">
                  <c:v>304.63352851680048</c:v>
                </c:pt>
                <c:pt idx="78">
                  <c:v>304.63352851680048</c:v>
                </c:pt>
                <c:pt idx="79">
                  <c:v>304.63352851680048</c:v>
                </c:pt>
                <c:pt idx="80">
                  <c:v>304.63352851680048</c:v>
                </c:pt>
                <c:pt idx="81">
                  <c:v>304.63352851680048</c:v>
                </c:pt>
                <c:pt idx="82">
                  <c:v>304.63352851680048</c:v>
                </c:pt>
                <c:pt idx="83">
                  <c:v>304.63352851680048</c:v>
                </c:pt>
                <c:pt idx="84">
                  <c:v>304.63352851680048</c:v>
                </c:pt>
                <c:pt idx="85">
                  <c:v>304.63352851680048</c:v>
                </c:pt>
                <c:pt idx="86">
                  <c:v>304.63352851680048</c:v>
                </c:pt>
                <c:pt idx="87">
                  <c:v>304.63352851680048</c:v>
                </c:pt>
                <c:pt idx="88">
                  <c:v>304.63352851680048</c:v>
                </c:pt>
                <c:pt idx="89">
                  <c:v>304.63352851680048</c:v>
                </c:pt>
                <c:pt idx="90">
                  <c:v>304.63352851680048</c:v>
                </c:pt>
                <c:pt idx="91">
                  <c:v>304.63352851680048</c:v>
                </c:pt>
                <c:pt idx="92">
                  <c:v>304.63352851680048</c:v>
                </c:pt>
                <c:pt idx="93">
                  <c:v>304.63352851680048</c:v>
                </c:pt>
                <c:pt idx="94">
                  <c:v>304.63352851680048</c:v>
                </c:pt>
                <c:pt idx="95">
                  <c:v>304.63352851680048</c:v>
                </c:pt>
                <c:pt idx="96">
                  <c:v>304.63352851680048</c:v>
                </c:pt>
                <c:pt idx="97">
                  <c:v>304.63352851680048</c:v>
                </c:pt>
                <c:pt idx="98">
                  <c:v>304.63352851680048</c:v>
                </c:pt>
                <c:pt idx="99">
                  <c:v>304.63352851680048</c:v>
                </c:pt>
                <c:pt idx="100">
                  <c:v>304.63352851680048</c:v>
                </c:pt>
                <c:pt idx="101">
                  <c:v>304.63352851680048</c:v>
                </c:pt>
                <c:pt idx="102">
                  <c:v>304.63352851680048</c:v>
                </c:pt>
                <c:pt idx="103">
                  <c:v>304.63352851680048</c:v>
                </c:pt>
                <c:pt idx="104">
                  <c:v>304.63352851680048</c:v>
                </c:pt>
                <c:pt idx="105">
                  <c:v>304.63352851680048</c:v>
                </c:pt>
                <c:pt idx="106">
                  <c:v>304.63352851680048</c:v>
                </c:pt>
                <c:pt idx="107">
                  <c:v>304.63352851680048</c:v>
                </c:pt>
                <c:pt idx="108">
                  <c:v>304.63352851680048</c:v>
                </c:pt>
                <c:pt idx="109">
                  <c:v>304.63352851680048</c:v>
                </c:pt>
                <c:pt idx="110">
                  <c:v>304.63352851680048</c:v>
                </c:pt>
                <c:pt idx="111">
                  <c:v>304.63352851680048</c:v>
                </c:pt>
                <c:pt idx="112">
                  <c:v>304.63352851680048</c:v>
                </c:pt>
                <c:pt idx="113">
                  <c:v>304.63352851680048</c:v>
                </c:pt>
                <c:pt idx="114">
                  <c:v>304.63352851680048</c:v>
                </c:pt>
                <c:pt idx="115">
                  <c:v>304.63352851680048</c:v>
                </c:pt>
                <c:pt idx="116">
                  <c:v>304.63352851680048</c:v>
                </c:pt>
                <c:pt idx="117">
                  <c:v>304.63352851680048</c:v>
                </c:pt>
                <c:pt idx="118">
                  <c:v>304.63352851680048</c:v>
                </c:pt>
                <c:pt idx="119">
                  <c:v>304.63352851680048</c:v>
                </c:pt>
                <c:pt idx="120">
                  <c:v>304.63352851680048</c:v>
                </c:pt>
                <c:pt idx="121">
                  <c:v>304.63352851680048</c:v>
                </c:pt>
                <c:pt idx="122">
                  <c:v>304.63352851680048</c:v>
                </c:pt>
                <c:pt idx="123">
                  <c:v>304.63352851680048</c:v>
                </c:pt>
                <c:pt idx="124">
                  <c:v>304.63352851680048</c:v>
                </c:pt>
                <c:pt idx="125">
                  <c:v>304.63352851680048</c:v>
                </c:pt>
                <c:pt idx="126">
                  <c:v>304.63352851680048</c:v>
                </c:pt>
                <c:pt idx="127">
                  <c:v>304.63352851680048</c:v>
                </c:pt>
                <c:pt idx="128">
                  <c:v>304.63352851680048</c:v>
                </c:pt>
                <c:pt idx="129">
                  <c:v>304.63352851680048</c:v>
                </c:pt>
                <c:pt idx="130">
                  <c:v>304.63352851680048</c:v>
                </c:pt>
                <c:pt idx="131">
                  <c:v>304.63352851680048</c:v>
                </c:pt>
                <c:pt idx="132">
                  <c:v>304.63352851680048</c:v>
                </c:pt>
                <c:pt idx="133">
                  <c:v>304.63352851680048</c:v>
                </c:pt>
                <c:pt idx="134">
                  <c:v>304.63352851680048</c:v>
                </c:pt>
                <c:pt idx="135">
                  <c:v>304.63352851680048</c:v>
                </c:pt>
                <c:pt idx="136">
                  <c:v>304.63352851680048</c:v>
                </c:pt>
                <c:pt idx="137">
                  <c:v>304.63352851680048</c:v>
                </c:pt>
                <c:pt idx="138">
                  <c:v>304.63352851680048</c:v>
                </c:pt>
                <c:pt idx="139">
                  <c:v>304.63352851680048</c:v>
                </c:pt>
                <c:pt idx="140">
                  <c:v>304.63352851680048</c:v>
                </c:pt>
                <c:pt idx="141">
                  <c:v>304.63352851680048</c:v>
                </c:pt>
                <c:pt idx="142">
                  <c:v>304.63352851680048</c:v>
                </c:pt>
                <c:pt idx="143">
                  <c:v>304.63352851680048</c:v>
                </c:pt>
                <c:pt idx="144">
                  <c:v>304.63352851680048</c:v>
                </c:pt>
                <c:pt idx="145">
                  <c:v>304.63352851680048</c:v>
                </c:pt>
                <c:pt idx="146">
                  <c:v>304.63352851680048</c:v>
                </c:pt>
                <c:pt idx="147">
                  <c:v>304.63352851680048</c:v>
                </c:pt>
                <c:pt idx="148">
                  <c:v>304.63352851680048</c:v>
                </c:pt>
                <c:pt idx="149">
                  <c:v>304.63352851680048</c:v>
                </c:pt>
                <c:pt idx="150">
                  <c:v>304.63352851680048</c:v>
                </c:pt>
                <c:pt idx="151">
                  <c:v>304.63352851680048</c:v>
                </c:pt>
                <c:pt idx="152">
                  <c:v>304.63352851680048</c:v>
                </c:pt>
                <c:pt idx="153">
                  <c:v>304.63352851680048</c:v>
                </c:pt>
                <c:pt idx="154">
                  <c:v>304.63352851680048</c:v>
                </c:pt>
                <c:pt idx="155">
                  <c:v>304.63352851680048</c:v>
                </c:pt>
                <c:pt idx="156">
                  <c:v>304.63352851680048</c:v>
                </c:pt>
                <c:pt idx="157">
                  <c:v>304.63352851680048</c:v>
                </c:pt>
                <c:pt idx="158">
                  <c:v>304.63352851680048</c:v>
                </c:pt>
                <c:pt idx="159">
                  <c:v>304.63352851680048</c:v>
                </c:pt>
                <c:pt idx="160">
                  <c:v>304.63352851680048</c:v>
                </c:pt>
                <c:pt idx="161">
                  <c:v>304.63352851680048</c:v>
                </c:pt>
                <c:pt idx="162">
                  <c:v>304.63352851680048</c:v>
                </c:pt>
                <c:pt idx="163">
                  <c:v>304.63352851680048</c:v>
                </c:pt>
                <c:pt idx="164">
                  <c:v>304.63352851680048</c:v>
                </c:pt>
                <c:pt idx="165">
                  <c:v>304.63352851680048</c:v>
                </c:pt>
                <c:pt idx="166">
                  <c:v>304.63352851680048</c:v>
                </c:pt>
                <c:pt idx="167">
                  <c:v>304.63352851680048</c:v>
                </c:pt>
                <c:pt idx="168">
                  <c:v>304.63352851680048</c:v>
                </c:pt>
                <c:pt idx="169">
                  <c:v>304.63352851680048</c:v>
                </c:pt>
                <c:pt idx="170">
                  <c:v>304.63352851680048</c:v>
                </c:pt>
                <c:pt idx="171">
                  <c:v>304.63352851680048</c:v>
                </c:pt>
                <c:pt idx="172">
                  <c:v>304.63352851680048</c:v>
                </c:pt>
                <c:pt idx="173">
                  <c:v>304.63352851680048</c:v>
                </c:pt>
                <c:pt idx="174">
                  <c:v>304.63352851680048</c:v>
                </c:pt>
                <c:pt idx="175">
                  <c:v>304.63352851680048</c:v>
                </c:pt>
                <c:pt idx="176">
                  <c:v>304.63352851680048</c:v>
                </c:pt>
                <c:pt idx="177">
                  <c:v>304.63352851680048</c:v>
                </c:pt>
                <c:pt idx="178">
                  <c:v>304.63352851680048</c:v>
                </c:pt>
                <c:pt idx="179">
                  <c:v>304.63352851680048</c:v>
                </c:pt>
                <c:pt idx="180">
                  <c:v>304.63352851680048</c:v>
                </c:pt>
                <c:pt idx="181">
                  <c:v>304.63352851680048</c:v>
                </c:pt>
                <c:pt idx="182">
                  <c:v>304.63352851680048</c:v>
                </c:pt>
                <c:pt idx="183">
                  <c:v>304.63352851680048</c:v>
                </c:pt>
                <c:pt idx="184">
                  <c:v>304.63352851680048</c:v>
                </c:pt>
                <c:pt idx="185">
                  <c:v>304.63352851680048</c:v>
                </c:pt>
                <c:pt idx="186">
                  <c:v>304.63352851680048</c:v>
                </c:pt>
                <c:pt idx="187">
                  <c:v>304.63352851680048</c:v>
                </c:pt>
                <c:pt idx="188">
                  <c:v>304.63352851680048</c:v>
                </c:pt>
                <c:pt idx="189">
                  <c:v>304.63352851680048</c:v>
                </c:pt>
                <c:pt idx="190">
                  <c:v>304.63352851680048</c:v>
                </c:pt>
                <c:pt idx="191">
                  <c:v>304.63352851680048</c:v>
                </c:pt>
                <c:pt idx="192">
                  <c:v>304.63352851680048</c:v>
                </c:pt>
                <c:pt idx="193">
                  <c:v>304.63352851680048</c:v>
                </c:pt>
                <c:pt idx="194">
                  <c:v>304.63352851680048</c:v>
                </c:pt>
                <c:pt idx="195">
                  <c:v>304.63352851680048</c:v>
                </c:pt>
                <c:pt idx="196">
                  <c:v>304.63352851680048</c:v>
                </c:pt>
                <c:pt idx="197">
                  <c:v>304.63352851680048</c:v>
                </c:pt>
                <c:pt idx="198">
                  <c:v>304.63352851680048</c:v>
                </c:pt>
                <c:pt idx="199">
                  <c:v>304.63352851680048</c:v>
                </c:pt>
                <c:pt idx="200">
                  <c:v>304.63352851680048</c:v>
                </c:pt>
                <c:pt idx="201">
                  <c:v>304.63352851680048</c:v>
                </c:pt>
                <c:pt idx="202">
                  <c:v>304.63352851680048</c:v>
                </c:pt>
                <c:pt idx="203">
                  <c:v>304.63352851680048</c:v>
                </c:pt>
                <c:pt idx="204">
                  <c:v>304.63352851680048</c:v>
                </c:pt>
                <c:pt idx="205">
                  <c:v>304.63352851680048</c:v>
                </c:pt>
                <c:pt idx="206">
                  <c:v>304.63352851680048</c:v>
                </c:pt>
                <c:pt idx="207">
                  <c:v>304.63352851680048</c:v>
                </c:pt>
                <c:pt idx="208">
                  <c:v>304.63352851680048</c:v>
                </c:pt>
                <c:pt idx="209">
                  <c:v>304.63352851680048</c:v>
                </c:pt>
                <c:pt idx="210">
                  <c:v>304.63352851680048</c:v>
                </c:pt>
                <c:pt idx="211">
                  <c:v>304.63352851680048</c:v>
                </c:pt>
                <c:pt idx="212">
                  <c:v>304.63352851680048</c:v>
                </c:pt>
                <c:pt idx="213">
                  <c:v>304.63352851680048</c:v>
                </c:pt>
                <c:pt idx="214">
                  <c:v>304.63352851680048</c:v>
                </c:pt>
                <c:pt idx="215">
                  <c:v>304.63352851680048</c:v>
                </c:pt>
                <c:pt idx="216">
                  <c:v>304.63352851680048</c:v>
                </c:pt>
                <c:pt idx="217">
                  <c:v>304.63352851680048</c:v>
                </c:pt>
                <c:pt idx="218">
                  <c:v>304.63352851680048</c:v>
                </c:pt>
                <c:pt idx="219">
                  <c:v>304.63352851680048</c:v>
                </c:pt>
                <c:pt idx="220">
                  <c:v>304.63352851680048</c:v>
                </c:pt>
                <c:pt idx="221">
                  <c:v>304.63352851680048</c:v>
                </c:pt>
                <c:pt idx="222">
                  <c:v>304.63352851680048</c:v>
                </c:pt>
                <c:pt idx="223">
                  <c:v>304.63352851680048</c:v>
                </c:pt>
                <c:pt idx="224">
                  <c:v>304.63352851680048</c:v>
                </c:pt>
                <c:pt idx="225">
                  <c:v>304.63352851680048</c:v>
                </c:pt>
                <c:pt idx="226">
                  <c:v>304.63352851680048</c:v>
                </c:pt>
                <c:pt idx="227">
                  <c:v>304.63352851680048</c:v>
                </c:pt>
                <c:pt idx="228">
                  <c:v>304.63352851680048</c:v>
                </c:pt>
                <c:pt idx="229">
                  <c:v>304.63352851680048</c:v>
                </c:pt>
                <c:pt idx="230">
                  <c:v>304.63352851680048</c:v>
                </c:pt>
                <c:pt idx="231">
                  <c:v>304.63352851680048</c:v>
                </c:pt>
                <c:pt idx="232">
                  <c:v>304.63352851680048</c:v>
                </c:pt>
                <c:pt idx="233">
                  <c:v>304.63352851680048</c:v>
                </c:pt>
                <c:pt idx="234">
                  <c:v>304.63352851680048</c:v>
                </c:pt>
                <c:pt idx="235">
                  <c:v>304.63352851680048</c:v>
                </c:pt>
                <c:pt idx="236">
                  <c:v>304.63352851680048</c:v>
                </c:pt>
                <c:pt idx="237">
                  <c:v>304.63352851680048</c:v>
                </c:pt>
                <c:pt idx="238">
                  <c:v>304.63352851680048</c:v>
                </c:pt>
                <c:pt idx="239">
                  <c:v>304.63352851680048</c:v>
                </c:pt>
                <c:pt idx="240">
                  <c:v>304.63352851680048</c:v>
                </c:pt>
                <c:pt idx="241">
                  <c:v>304.63352851680048</c:v>
                </c:pt>
                <c:pt idx="242">
                  <c:v>304.63352851680048</c:v>
                </c:pt>
                <c:pt idx="243">
                  <c:v>304.63352851680048</c:v>
                </c:pt>
                <c:pt idx="244">
                  <c:v>304.63352851680048</c:v>
                </c:pt>
                <c:pt idx="245">
                  <c:v>304.63352851680048</c:v>
                </c:pt>
                <c:pt idx="246">
                  <c:v>304.63352851680048</c:v>
                </c:pt>
                <c:pt idx="247">
                  <c:v>304.63352851680048</c:v>
                </c:pt>
                <c:pt idx="248">
                  <c:v>304.63352851680048</c:v>
                </c:pt>
                <c:pt idx="249">
                  <c:v>304.63352851680048</c:v>
                </c:pt>
                <c:pt idx="250">
                  <c:v>304.63352851680048</c:v>
                </c:pt>
                <c:pt idx="251">
                  <c:v>304.63352851680048</c:v>
                </c:pt>
                <c:pt idx="252">
                  <c:v>304.63352851680048</c:v>
                </c:pt>
                <c:pt idx="253">
                  <c:v>304.63352851680048</c:v>
                </c:pt>
                <c:pt idx="254">
                  <c:v>304.63352851680048</c:v>
                </c:pt>
                <c:pt idx="255">
                  <c:v>304.63352851680048</c:v>
                </c:pt>
                <c:pt idx="256">
                  <c:v>304.63352851680048</c:v>
                </c:pt>
                <c:pt idx="257">
                  <c:v>304.63352851680048</c:v>
                </c:pt>
                <c:pt idx="258">
                  <c:v>304.63352851680048</c:v>
                </c:pt>
                <c:pt idx="259">
                  <c:v>304.63352851680048</c:v>
                </c:pt>
                <c:pt idx="260">
                  <c:v>304.63352851680048</c:v>
                </c:pt>
                <c:pt idx="261">
                  <c:v>304.63352851680048</c:v>
                </c:pt>
                <c:pt idx="262">
                  <c:v>304.63352851680048</c:v>
                </c:pt>
                <c:pt idx="263">
                  <c:v>304.63352851680048</c:v>
                </c:pt>
                <c:pt idx="264">
                  <c:v>304.63352851680048</c:v>
                </c:pt>
                <c:pt idx="265">
                  <c:v>304.63352851680048</c:v>
                </c:pt>
                <c:pt idx="266">
                  <c:v>304.63352851680048</c:v>
                </c:pt>
                <c:pt idx="267">
                  <c:v>304.63352851680048</c:v>
                </c:pt>
                <c:pt idx="268">
                  <c:v>304.63352851680048</c:v>
                </c:pt>
                <c:pt idx="269">
                  <c:v>304.63352851680048</c:v>
                </c:pt>
                <c:pt idx="270">
                  <c:v>304.63352851680048</c:v>
                </c:pt>
                <c:pt idx="271">
                  <c:v>304.63352851680048</c:v>
                </c:pt>
                <c:pt idx="272">
                  <c:v>304.63352851680048</c:v>
                </c:pt>
                <c:pt idx="273">
                  <c:v>304.63352851680048</c:v>
                </c:pt>
                <c:pt idx="274">
                  <c:v>304.63352851680048</c:v>
                </c:pt>
                <c:pt idx="275">
                  <c:v>304.63352851680048</c:v>
                </c:pt>
                <c:pt idx="276">
                  <c:v>304.63352851680048</c:v>
                </c:pt>
                <c:pt idx="277">
                  <c:v>304.63352851680048</c:v>
                </c:pt>
                <c:pt idx="278">
                  <c:v>304.63352851680048</c:v>
                </c:pt>
                <c:pt idx="279">
                  <c:v>304.63352851680048</c:v>
                </c:pt>
                <c:pt idx="280">
                  <c:v>304.63352851680048</c:v>
                </c:pt>
                <c:pt idx="281">
                  <c:v>304.63352851680048</c:v>
                </c:pt>
                <c:pt idx="282">
                  <c:v>304.63352851680048</c:v>
                </c:pt>
                <c:pt idx="283">
                  <c:v>304.63352851680048</c:v>
                </c:pt>
                <c:pt idx="284">
                  <c:v>304.63352851680048</c:v>
                </c:pt>
                <c:pt idx="285">
                  <c:v>304.63352851680048</c:v>
                </c:pt>
                <c:pt idx="286">
                  <c:v>304.63352851680048</c:v>
                </c:pt>
                <c:pt idx="287">
                  <c:v>304.63352851680048</c:v>
                </c:pt>
                <c:pt idx="288">
                  <c:v>304.63352851680048</c:v>
                </c:pt>
                <c:pt idx="289">
                  <c:v>304.63352851680048</c:v>
                </c:pt>
                <c:pt idx="290">
                  <c:v>304.63352851680048</c:v>
                </c:pt>
                <c:pt idx="291">
                  <c:v>304.63352851680048</c:v>
                </c:pt>
                <c:pt idx="292">
                  <c:v>304.63352851680048</c:v>
                </c:pt>
                <c:pt idx="293">
                  <c:v>304.63352851680048</c:v>
                </c:pt>
                <c:pt idx="294">
                  <c:v>304.63352851680048</c:v>
                </c:pt>
                <c:pt idx="295">
                  <c:v>304.63352851680048</c:v>
                </c:pt>
                <c:pt idx="296">
                  <c:v>304.63352851680048</c:v>
                </c:pt>
                <c:pt idx="297">
                  <c:v>304.63352851680048</c:v>
                </c:pt>
                <c:pt idx="298">
                  <c:v>304.63352851680048</c:v>
                </c:pt>
                <c:pt idx="299">
                  <c:v>304.63352851680048</c:v>
                </c:pt>
                <c:pt idx="300">
                  <c:v>304.63352851680048</c:v>
                </c:pt>
                <c:pt idx="301">
                  <c:v>304.63352851680048</c:v>
                </c:pt>
                <c:pt idx="302">
                  <c:v>304.63352851680048</c:v>
                </c:pt>
                <c:pt idx="303">
                  <c:v>304.63352851680048</c:v>
                </c:pt>
                <c:pt idx="304">
                  <c:v>304.63352851680048</c:v>
                </c:pt>
                <c:pt idx="305">
                  <c:v>304.63352851680048</c:v>
                </c:pt>
                <c:pt idx="306">
                  <c:v>304.63352851680048</c:v>
                </c:pt>
                <c:pt idx="307">
                  <c:v>304.63352851680048</c:v>
                </c:pt>
                <c:pt idx="308">
                  <c:v>304.63352851680048</c:v>
                </c:pt>
                <c:pt idx="309">
                  <c:v>304.63352851680048</c:v>
                </c:pt>
                <c:pt idx="310">
                  <c:v>304.63352851680048</c:v>
                </c:pt>
                <c:pt idx="311">
                  <c:v>304.63352851680048</c:v>
                </c:pt>
                <c:pt idx="312">
                  <c:v>304.63352851680048</c:v>
                </c:pt>
                <c:pt idx="313">
                  <c:v>304.63352851680048</c:v>
                </c:pt>
                <c:pt idx="314">
                  <c:v>304.63352851680048</c:v>
                </c:pt>
                <c:pt idx="315">
                  <c:v>304.63352851680048</c:v>
                </c:pt>
                <c:pt idx="316">
                  <c:v>304.63352851680048</c:v>
                </c:pt>
                <c:pt idx="317">
                  <c:v>304.63352851680048</c:v>
                </c:pt>
                <c:pt idx="318">
                  <c:v>304.63352851680048</c:v>
                </c:pt>
                <c:pt idx="319">
                  <c:v>304.63352851680048</c:v>
                </c:pt>
                <c:pt idx="320">
                  <c:v>304.63352851680048</c:v>
                </c:pt>
                <c:pt idx="321">
                  <c:v>304.63352851680048</c:v>
                </c:pt>
                <c:pt idx="322">
                  <c:v>304.63352851680048</c:v>
                </c:pt>
                <c:pt idx="323">
                  <c:v>304.63352851680048</c:v>
                </c:pt>
                <c:pt idx="324">
                  <c:v>304.63352851680048</c:v>
                </c:pt>
                <c:pt idx="325">
                  <c:v>304.63352851680048</c:v>
                </c:pt>
                <c:pt idx="326">
                  <c:v>304.63352851680048</c:v>
                </c:pt>
                <c:pt idx="327">
                  <c:v>304.63352851680048</c:v>
                </c:pt>
                <c:pt idx="328">
                  <c:v>304.63352851680048</c:v>
                </c:pt>
                <c:pt idx="329">
                  <c:v>304.63352851680048</c:v>
                </c:pt>
                <c:pt idx="330">
                  <c:v>304.63352851680048</c:v>
                </c:pt>
                <c:pt idx="331">
                  <c:v>304.63352851680048</c:v>
                </c:pt>
                <c:pt idx="332">
                  <c:v>304.63352851680048</c:v>
                </c:pt>
                <c:pt idx="333">
                  <c:v>304.63352851680048</c:v>
                </c:pt>
                <c:pt idx="334">
                  <c:v>304.63352851680048</c:v>
                </c:pt>
                <c:pt idx="335">
                  <c:v>304.63352851680048</c:v>
                </c:pt>
                <c:pt idx="336">
                  <c:v>304.63352851680048</c:v>
                </c:pt>
                <c:pt idx="337">
                  <c:v>304.63352851680048</c:v>
                </c:pt>
                <c:pt idx="338">
                  <c:v>304.63352851680048</c:v>
                </c:pt>
                <c:pt idx="339">
                  <c:v>304.63352851680048</c:v>
                </c:pt>
                <c:pt idx="340">
                  <c:v>304.63352851680048</c:v>
                </c:pt>
                <c:pt idx="341">
                  <c:v>304.63352851680048</c:v>
                </c:pt>
                <c:pt idx="342">
                  <c:v>304.63352851680048</c:v>
                </c:pt>
                <c:pt idx="343">
                  <c:v>304.63352851680048</c:v>
                </c:pt>
                <c:pt idx="344">
                  <c:v>304.63352851680048</c:v>
                </c:pt>
                <c:pt idx="345">
                  <c:v>304.63352851680048</c:v>
                </c:pt>
                <c:pt idx="346">
                  <c:v>304.63352851680048</c:v>
                </c:pt>
                <c:pt idx="347">
                  <c:v>304.63352851680048</c:v>
                </c:pt>
                <c:pt idx="348">
                  <c:v>304.63352851680048</c:v>
                </c:pt>
                <c:pt idx="349">
                  <c:v>304.63352851680048</c:v>
                </c:pt>
                <c:pt idx="350">
                  <c:v>304.63352851680048</c:v>
                </c:pt>
                <c:pt idx="351">
                  <c:v>304.63352851680048</c:v>
                </c:pt>
                <c:pt idx="352">
                  <c:v>304.63352851680048</c:v>
                </c:pt>
                <c:pt idx="353">
                  <c:v>304.63352851680048</c:v>
                </c:pt>
                <c:pt idx="354">
                  <c:v>304.63352851680048</c:v>
                </c:pt>
                <c:pt idx="355">
                  <c:v>304.63352851680048</c:v>
                </c:pt>
                <c:pt idx="356">
                  <c:v>304.63352851680048</c:v>
                </c:pt>
                <c:pt idx="357">
                  <c:v>304.63352851680048</c:v>
                </c:pt>
                <c:pt idx="358">
                  <c:v>304.63352851680048</c:v>
                </c:pt>
                <c:pt idx="359">
                  <c:v>304.63352851680048</c:v>
                </c:pt>
                <c:pt idx="360">
                  <c:v>304.63352851680048</c:v>
                </c:pt>
                <c:pt idx="361">
                  <c:v>304.63352851680048</c:v>
                </c:pt>
                <c:pt idx="362">
                  <c:v>304.63352851680048</c:v>
                </c:pt>
                <c:pt idx="363">
                  <c:v>304.63352851680048</c:v>
                </c:pt>
                <c:pt idx="364">
                  <c:v>304.63352851680048</c:v>
                </c:pt>
                <c:pt idx="365">
                  <c:v>304.63352851680048</c:v>
                </c:pt>
                <c:pt idx="366">
                  <c:v>304.63352851680048</c:v>
                </c:pt>
                <c:pt idx="367">
                  <c:v>304.63352851680048</c:v>
                </c:pt>
                <c:pt idx="368">
                  <c:v>304.63352851680048</c:v>
                </c:pt>
                <c:pt idx="369">
                  <c:v>304.63352851680048</c:v>
                </c:pt>
                <c:pt idx="370">
                  <c:v>304.63352851680048</c:v>
                </c:pt>
                <c:pt idx="371">
                  <c:v>304.63352851680048</c:v>
                </c:pt>
                <c:pt idx="372">
                  <c:v>304.63352851680048</c:v>
                </c:pt>
                <c:pt idx="373">
                  <c:v>304.63352851680048</c:v>
                </c:pt>
                <c:pt idx="374">
                  <c:v>304.63352851680048</c:v>
                </c:pt>
                <c:pt idx="375">
                  <c:v>304.63352851680048</c:v>
                </c:pt>
                <c:pt idx="376">
                  <c:v>304.63352851680048</c:v>
                </c:pt>
                <c:pt idx="377">
                  <c:v>304.63352851680048</c:v>
                </c:pt>
                <c:pt idx="378">
                  <c:v>304.63352851680048</c:v>
                </c:pt>
                <c:pt idx="379">
                  <c:v>304.63352851680048</c:v>
                </c:pt>
                <c:pt idx="380">
                  <c:v>304.63352851680048</c:v>
                </c:pt>
                <c:pt idx="381">
                  <c:v>304.63352851680048</c:v>
                </c:pt>
                <c:pt idx="382">
                  <c:v>304.63352851680048</c:v>
                </c:pt>
                <c:pt idx="383">
                  <c:v>304.63352851680048</c:v>
                </c:pt>
                <c:pt idx="384">
                  <c:v>304.63352851680048</c:v>
                </c:pt>
                <c:pt idx="385">
                  <c:v>304.63352851680048</c:v>
                </c:pt>
                <c:pt idx="386">
                  <c:v>304.63352851680048</c:v>
                </c:pt>
                <c:pt idx="387">
                  <c:v>304.63352851680048</c:v>
                </c:pt>
                <c:pt idx="388">
                  <c:v>304.63352851680048</c:v>
                </c:pt>
                <c:pt idx="389">
                  <c:v>304.63352851680048</c:v>
                </c:pt>
                <c:pt idx="390">
                  <c:v>304.63352851680048</c:v>
                </c:pt>
                <c:pt idx="391">
                  <c:v>304.63352851680048</c:v>
                </c:pt>
                <c:pt idx="392">
                  <c:v>304.63352851680048</c:v>
                </c:pt>
                <c:pt idx="393">
                  <c:v>304.63352851680048</c:v>
                </c:pt>
                <c:pt idx="394">
                  <c:v>304.63352851680048</c:v>
                </c:pt>
                <c:pt idx="395">
                  <c:v>304.63352851680048</c:v>
                </c:pt>
                <c:pt idx="396">
                  <c:v>304.63352851680048</c:v>
                </c:pt>
                <c:pt idx="397">
                  <c:v>304.63352851680048</c:v>
                </c:pt>
                <c:pt idx="398">
                  <c:v>304.63352851680048</c:v>
                </c:pt>
                <c:pt idx="399">
                  <c:v>304.63352851680048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62D-46BE-9C05-8F6FD513B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936984"/>
        <c:axId val="1"/>
      </c:lineChart>
      <c:catAx>
        <c:axId val="107893698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12700">
            <a:solidFill>
              <a:srgbClr val="333333"/>
            </a:solidFill>
            <a:prstDash val="solid"/>
          </a:ln>
        </c:spPr>
        <c:txPr>
          <a:bodyPr rot="-540000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2"/>
        <c:tickMarkSkip val="12"/>
        <c:noMultiLvlLbl val="0"/>
      </c:catAx>
      <c:valAx>
        <c:axId val="1"/>
        <c:scaling>
          <c:orientation val="minMax"/>
          <c:min val="110"/>
        </c:scaling>
        <c:delete val="0"/>
        <c:axPos val="l"/>
        <c:numFmt formatCode="_-* #,##0.0\ _€_-;\-* #,##0.0\ _€_-;_-* &quot;-&quot;??\ _€_-;_-@_-" sourceLinked="1"/>
        <c:majorTickMark val="none"/>
        <c:minorTickMark val="none"/>
        <c:tickLblPos val="none"/>
        <c:spPr>
          <a:ln w="6350">
            <a:noFill/>
          </a:ln>
        </c:spPr>
        <c:crossAx val="10789369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570569865207527"/>
          <c:w val="0.24311237200712094"/>
          <c:h val="0.15392154056820967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400" b="0" i="0" u="none" strike="noStrike" baseline="0">
          <a:solidFill>
            <a:srgbClr val="333399"/>
          </a:solidFill>
          <a:latin typeface="Montserrat" pitchFamily="2" charset="0"/>
          <a:ea typeface="Microsoft Sans Serif" panose="020B0604020202020204" pitchFamily="34" charset="0"/>
          <a:cs typeface="Microsoft Sans Serif" panose="020B0604020202020204" pitchFamily="34" charset="0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346436933777253E-2"/>
          <c:y val="0.13811600171317498"/>
          <c:w val="0.90014404831569172"/>
          <c:h val="0.69037839761555231"/>
        </c:manualLayout>
      </c:layout>
      <c:lineChart>
        <c:grouping val="standard"/>
        <c:varyColors val="0"/>
        <c:ser>
          <c:idx val="1"/>
          <c:order val="0"/>
          <c:tx>
            <c:v>Medias mensuales verificadas</c:v>
          </c:tx>
          <c:spPr>
            <a:ln w="22225">
              <a:solidFill>
                <a:srgbClr val="00003A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3A"/>
              </a:solidFill>
              <a:ln w="22225">
                <a:noFill/>
              </a:ln>
            </c:spPr>
          </c:marker>
          <c:dLbls>
            <c:dLbl>
              <c:idx val="40"/>
              <c:layout>
                <c:manualLayout>
                  <c:x val="0"/>
                  <c:y val="-2.9288702928870369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E2-42CB-AE1B-292E377EA749}"/>
                </c:ext>
              </c:extLst>
            </c:dLbl>
            <c:dLbl>
              <c:idx val="52"/>
              <c:layout>
                <c:manualLayout>
                  <c:x val="2.5094102885821804E-3"/>
                  <c:y val="-1.2552301255230202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E2-42CB-AE1B-292E377EA749}"/>
                </c:ext>
              </c:extLst>
            </c:dLbl>
            <c:dLbl>
              <c:idx val="83"/>
              <c:layout>
                <c:manualLayout>
                  <c:x val="1.1292346298619825E-2"/>
                  <c:y val="-1.4644351464435299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E2-42CB-AE1B-292E377EA749}"/>
                </c:ext>
              </c:extLst>
            </c:dLbl>
            <c:dLbl>
              <c:idx val="99"/>
              <c:layout>
                <c:manualLayout>
                  <c:x val="3.5130953674705388E-2"/>
                  <c:y val="3.1378611669357077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E2-42CB-AE1B-292E377EA749}"/>
                </c:ext>
              </c:extLst>
            </c:dLbl>
            <c:dLbl>
              <c:idx val="116"/>
              <c:layout>
                <c:manualLayout>
                  <c:x val="3.262233375156838E-2"/>
                  <c:y val="-2.0920502092050207E-3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E2-42CB-AE1B-292E377EA749}"/>
                </c:ext>
              </c:extLst>
            </c:dLbl>
            <c:dLbl>
              <c:idx val="183"/>
              <c:layout>
                <c:manualLayout>
                  <c:x val="-2.258469259723965E-2"/>
                  <c:y val="-3.3472803347280332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E2-42CB-AE1B-292E377EA749}"/>
                </c:ext>
              </c:extLst>
            </c:dLbl>
            <c:dLbl>
              <c:idx val="256"/>
              <c:layout>
                <c:manualLayout>
                  <c:x val="-4.0150564617314928E-2"/>
                  <c:y val="-7.5313807531380755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E2-42CB-AE1B-292E377EA749}"/>
                </c:ext>
              </c:extLst>
            </c:dLbl>
            <c:dLbl>
              <c:idx val="274"/>
              <c:layout>
                <c:manualLayout>
                  <c:x val="-6.153612550943692E-2"/>
                  <c:y val="3.7670246763087709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E2-42CB-AE1B-292E377EA749}"/>
                </c:ext>
              </c:extLst>
            </c:dLbl>
            <c:dLbl>
              <c:idx val="277"/>
              <c:layout>
                <c:manualLayout>
                  <c:x val="-4.139426127707696E-2"/>
                  <c:y val="-9.8997642243872058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E2-42CB-AE1B-292E377EA749}"/>
                </c:ext>
              </c:extLst>
            </c:dLbl>
            <c:dLbl>
              <c:idx val="285"/>
              <c:layout>
                <c:manualLayout>
                  <c:x val="-2.8900032839263012E-2"/>
                  <c:y val="-0.1071200676186664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E2-42CB-AE1B-292E377EA749}"/>
                </c:ext>
              </c:extLst>
            </c:dLbl>
            <c:dLbl>
              <c:idx val="287"/>
              <c:layout>
                <c:manualLayout>
                  <c:x val="-2.2592128947192983E-2"/>
                  <c:y val="8.1589928377596863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00003A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E2-42CB-AE1B-292E377EA749}"/>
                </c:ext>
              </c:extLst>
            </c:dLbl>
            <c:dLbl>
              <c:idx val="336"/>
              <c:layout>
                <c:manualLayout>
                  <c:x val="-6.2715584822828477E-2"/>
                  <c:y val="-5.8757062146892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E2-42CB-AE1B-292E377EA749}"/>
                </c:ext>
              </c:extLst>
            </c:dLbl>
            <c:dLbl>
              <c:idx val="356"/>
              <c:layout>
                <c:manualLayout>
                  <c:x val="0"/>
                  <c:y val="-1.80790960451977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6E2-42CB-AE1B-292E377EA749}"/>
                </c:ext>
              </c:extLst>
            </c:dLbl>
            <c:dLbl>
              <c:idx val="374"/>
              <c:layout>
                <c:manualLayout>
                  <c:x val="-6.8987143305111506E-2"/>
                  <c:y val="1.1299435028248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E2-42CB-AE1B-292E377EA749}"/>
                </c:ext>
              </c:extLst>
            </c:dLbl>
            <c:dLbl>
              <c:idx val="376"/>
              <c:layout>
                <c:manualLayout>
                  <c:x val="0"/>
                  <c:y val="-8.361581920903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6E2-42CB-AE1B-292E377EA749}"/>
                </c:ext>
              </c:extLst>
            </c:dLbl>
            <c:dLbl>
              <c:idx val="392"/>
              <c:layout>
                <c:manualLayout>
                  <c:x val="1.2543116964565694E-3"/>
                  <c:y val="-3.8418079096045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E6-4E1D-BA27-E87B0387727C}"/>
                </c:ext>
              </c:extLst>
            </c:dLbl>
            <c:dLbl>
              <c:idx val="398"/>
              <c:layout>
                <c:manualLayout>
                  <c:x val="-1.8396359031720329E-16"/>
                  <c:y val="3.38983050847457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E6-4E1D-BA27-E87B0387727C}"/>
                </c:ext>
              </c:extLst>
            </c:dLbl>
            <c:dLbl>
              <c:idx val="404"/>
              <c:layout>
                <c:manualLayout>
                  <c:x val="1.2543116964565694E-3"/>
                  <c:y val="-1.1299435028248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E6-4E1D-BA27-E87B0387727C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00003A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TRIGO!$B$2:$B$406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D-18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D-19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D-20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D-21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D-22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D-23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D-24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D-25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TRIGO!$K$2:$K$406</c:f>
              <c:numCache>
                <c:formatCode>_-* #,##0.0\ _€_-;\-* #,##0.0\ _€_-;_-* "-"??\ _€_-;_-@_-</c:formatCode>
                <c:ptCount val="405"/>
                <c:pt idx="0">
                  <c:v>130.91755387442217</c:v>
                </c:pt>
                <c:pt idx="1">
                  <c:v>132.08606481774157</c:v>
                </c:pt>
                <c:pt idx="2">
                  <c:v>126.04635108379198</c:v>
                </c:pt>
                <c:pt idx="3">
                  <c:v>128.73115405369953</c:v>
                </c:pt>
                <c:pt idx="4">
                  <c:v>133.13183782487266</c:v>
                </c:pt>
                <c:pt idx="5">
                  <c:v>136.1415245476455</c:v>
                </c:pt>
                <c:pt idx="6">
                  <c:v>135.65582912188481</c:v>
                </c:pt>
                <c:pt idx="7">
                  <c:v>134.81269242796606</c:v>
                </c:pt>
                <c:pt idx="8">
                  <c:v>136.77431510967796</c:v>
                </c:pt>
                <c:pt idx="9">
                  <c:v>131.89447916494822</c:v>
                </c:pt>
                <c:pt idx="10">
                  <c:v>124.85950188218885</c:v>
                </c:pt>
                <c:pt idx="11">
                  <c:v>120.00708325835892</c:v>
                </c:pt>
                <c:pt idx="12">
                  <c:v>116.95953195674245</c:v>
                </c:pt>
                <c:pt idx="13">
                  <c:v>113.1128365693254</c:v>
                </c:pt>
                <c:pt idx="14">
                  <c:v>114.10387835927703</c:v>
                </c:pt>
                <c:pt idx="15">
                  <c:v>118.67907324591116</c:v>
                </c:pt>
                <c:pt idx="16">
                  <c:v>124.86683225727838</c:v>
                </c:pt>
                <c:pt idx="17">
                  <c:v>126.18444515562413</c:v>
                </c:pt>
                <c:pt idx="18">
                  <c:v>125.07609871061732</c:v>
                </c:pt>
                <c:pt idx="19">
                  <c:v>122.59280658077877</c:v>
                </c:pt>
                <c:pt idx="20">
                  <c:v>132.56549677647018</c:v>
                </c:pt>
                <c:pt idx="21">
                  <c:v>144.38891026609286</c:v>
                </c:pt>
                <c:pt idx="22">
                  <c:v>144.37232306316506</c:v>
                </c:pt>
                <c:pt idx="23">
                  <c:v>128.18260243441526</c:v>
                </c:pt>
                <c:pt idx="24">
                  <c:v>121.95884270153573</c:v>
                </c:pt>
                <c:pt idx="25">
                  <c:v>121.96423095993029</c:v>
                </c:pt>
                <c:pt idx="26">
                  <c:v>117.11506414760333</c:v>
                </c:pt>
                <c:pt idx="27">
                  <c:v>113.52824421275496</c:v>
                </c:pt>
                <c:pt idx="28">
                  <c:v>130.10798623422397</c:v>
                </c:pt>
                <c:pt idx="29">
                  <c:v>158.14714270979852</c:v>
                </c:pt>
                <c:pt idx="30">
                  <c:v>198.28902785495572</c:v>
                </c:pt>
                <c:pt idx="31">
                  <c:v>204.43777221539113</c:v>
                </c:pt>
                <c:pt idx="32">
                  <c:v>203.93333165450807</c:v>
                </c:pt>
                <c:pt idx="33">
                  <c:v>204.2473610269756</c:v>
                </c:pt>
                <c:pt idx="34">
                  <c:v>198.28138656354892</c:v>
                </c:pt>
                <c:pt idx="35">
                  <c:v>200.0161418001982</c:v>
                </c:pt>
                <c:pt idx="36">
                  <c:v>205.69597005203036</c:v>
                </c:pt>
                <c:pt idx="37">
                  <c:v>224.91465583806635</c:v>
                </c:pt>
                <c:pt idx="38">
                  <c:v>229.05839936431715</c:v>
                </c:pt>
                <c:pt idx="39">
                  <c:v>245.64996071213056</c:v>
                </c:pt>
                <c:pt idx="40">
                  <c:v>264.70744067749501</c:v>
                </c:pt>
                <c:pt idx="41">
                  <c:v>245.27471270205598</c:v>
                </c:pt>
                <c:pt idx="42">
                  <c:v>216.28369449954189</c:v>
                </c:pt>
                <c:pt idx="43">
                  <c:v>193.18053671010421</c:v>
                </c:pt>
                <c:pt idx="44">
                  <c:v>165.79226350015307</c:v>
                </c:pt>
                <c:pt idx="45">
                  <c:v>156.57301738137033</c:v>
                </c:pt>
                <c:pt idx="46">
                  <c:v>146.61615778232215</c:v>
                </c:pt>
                <c:pt idx="47">
                  <c:v>128.65493945097748</c:v>
                </c:pt>
                <c:pt idx="48">
                  <c:v>132.50402091025788</c:v>
                </c:pt>
                <c:pt idx="49">
                  <c:v>136.60702890037072</c:v>
                </c:pt>
                <c:pt idx="50">
                  <c:v>154.80526915205797</c:v>
                </c:pt>
                <c:pt idx="51">
                  <c:v>168.24499045370382</c:v>
                </c:pt>
                <c:pt idx="52">
                  <c:v>170.25211928161957</c:v>
                </c:pt>
                <c:pt idx="53">
                  <c:v>154.18670716893953</c:v>
                </c:pt>
                <c:pt idx="54">
                  <c:v>152.06322398050565</c:v>
                </c:pt>
                <c:pt idx="55">
                  <c:v>149.95823265108564</c:v>
                </c:pt>
                <c:pt idx="56">
                  <c:v>142.66662654039624</c:v>
                </c:pt>
                <c:pt idx="57">
                  <c:v>137.45541493316853</c:v>
                </c:pt>
                <c:pt idx="58">
                  <c:v>128.56842503085974</c:v>
                </c:pt>
                <c:pt idx="59">
                  <c:v>123.68338735607709</c:v>
                </c:pt>
                <c:pt idx="60">
                  <c:v>116.33875863010856</c:v>
                </c:pt>
                <c:pt idx="61">
                  <c:v>113.69723674087417</c:v>
                </c:pt>
                <c:pt idx="62">
                  <c:v>113.39498005470288</c:v>
                </c:pt>
                <c:pt idx="63">
                  <c:v>113.4729108598689</c:v>
                </c:pt>
                <c:pt idx="64">
                  <c:v>114.37915951543795</c:v>
                </c:pt>
                <c:pt idx="65">
                  <c:v>109.59477067333781</c:v>
                </c:pt>
                <c:pt idx="66">
                  <c:v>105.61153218767616</c:v>
                </c:pt>
                <c:pt idx="67">
                  <c:v>98.308126279489258</c:v>
                </c:pt>
                <c:pt idx="68">
                  <c:v>100.15962125912829</c:v>
                </c:pt>
                <c:pt idx="69">
                  <c:v>119.7189866080848</c:v>
                </c:pt>
                <c:pt idx="70">
                  <c:v>114.54193074744504</c:v>
                </c:pt>
                <c:pt idx="71">
                  <c:v>106.26678572056198</c:v>
                </c:pt>
                <c:pt idx="72">
                  <c:v>101.22389607135139</c:v>
                </c:pt>
                <c:pt idx="73">
                  <c:v>95.021031936169038</c:v>
                </c:pt>
                <c:pt idx="74">
                  <c:v>102.12738210573072</c:v>
                </c:pt>
                <c:pt idx="75">
                  <c:v>110.48613898197064</c:v>
                </c:pt>
                <c:pt idx="76">
                  <c:v>113.89461595380172</c:v>
                </c:pt>
                <c:pt idx="77">
                  <c:v>118.52516592153671</c:v>
                </c:pt>
                <c:pt idx="78">
                  <c:v>116.4799712421073</c:v>
                </c:pt>
                <c:pt idx="79">
                  <c:v>118.75842078761036</c:v>
                </c:pt>
                <c:pt idx="80">
                  <c:v>120.88355102332081</c:v>
                </c:pt>
                <c:pt idx="81">
                  <c:v>104.25951058768815</c:v>
                </c:pt>
                <c:pt idx="82">
                  <c:v>94.254150423468786</c:v>
                </c:pt>
                <c:pt idx="83">
                  <c:v>82.245744474908818</c:v>
                </c:pt>
                <c:pt idx="84">
                  <c:v>92.504112698254914</c:v>
                </c:pt>
                <c:pt idx="85">
                  <c:v>94.295053340616874</c:v>
                </c:pt>
                <c:pt idx="86">
                  <c:v>99.442927139393078</c:v>
                </c:pt>
                <c:pt idx="87">
                  <c:v>106.06315857898481</c:v>
                </c:pt>
                <c:pt idx="88">
                  <c:v>118.71292000303156</c:v>
                </c:pt>
                <c:pt idx="89">
                  <c:v>120.77814861271101</c:v>
                </c:pt>
                <c:pt idx="90">
                  <c:v>121.04952608353666</c:v>
                </c:pt>
                <c:pt idx="91">
                  <c:v>119.51403046945221</c:v>
                </c:pt>
                <c:pt idx="92">
                  <c:v>113.12837116577784</c:v>
                </c:pt>
                <c:pt idx="93">
                  <c:v>123.22262065347603</c:v>
                </c:pt>
                <c:pt idx="94">
                  <c:v>121.10071149566819</c:v>
                </c:pt>
                <c:pt idx="95">
                  <c:v>109.09456629992326</c:v>
                </c:pt>
                <c:pt idx="96">
                  <c:v>115.49681986289484</c:v>
                </c:pt>
                <c:pt idx="97">
                  <c:v>117.55587135229997</c:v>
                </c:pt>
                <c:pt idx="98">
                  <c:v>115.031716085768</c:v>
                </c:pt>
                <c:pt idx="99">
                  <c:v>116.67547746819659</c:v>
                </c:pt>
                <c:pt idx="100">
                  <c:v>123.07041571527704</c:v>
                </c:pt>
                <c:pt idx="101">
                  <c:v>122.13382781257251</c:v>
                </c:pt>
                <c:pt idx="102">
                  <c:v>118.58301148856512</c:v>
                </c:pt>
                <c:pt idx="103">
                  <c:v>116.41886634023514</c:v>
                </c:pt>
                <c:pt idx="104">
                  <c:v>113.5882897275328</c:v>
                </c:pt>
                <c:pt idx="105">
                  <c:v>120.10350281827942</c:v>
                </c:pt>
                <c:pt idx="106">
                  <c:v>113.97614325740643</c:v>
                </c:pt>
                <c:pt idx="107">
                  <c:v>109.75617361207372</c:v>
                </c:pt>
                <c:pt idx="108">
                  <c:v>169.52273166823016</c:v>
                </c:pt>
                <c:pt idx="109">
                  <c:v>223.40011655791901</c:v>
                </c:pt>
                <c:pt idx="110">
                  <c:v>254.80524018735076</c:v>
                </c:pt>
                <c:pt idx="111">
                  <c:v>237.28341051418795</c:v>
                </c:pt>
                <c:pt idx="112">
                  <c:v>283.95626034367297</c:v>
                </c:pt>
                <c:pt idx="113">
                  <c:v>330.67332089294024</c:v>
                </c:pt>
                <c:pt idx="114">
                  <c:v>352.13224308667003</c:v>
                </c:pt>
                <c:pt idx="115">
                  <c:v>364.35450701347668</c:v>
                </c:pt>
                <c:pt idx="116">
                  <c:v>394.22991458254796</c:v>
                </c:pt>
                <c:pt idx="117">
                  <c:v>369.91265090783412</c:v>
                </c:pt>
                <c:pt idx="118">
                  <c:v>272.89900725494874</c:v>
                </c:pt>
                <c:pt idx="119">
                  <c:v>248.41617212721522</c:v>
                </c:pt>
                <c:pt idx="120">
                  <c:v>249.43508310331563</c:v>
                </c:pt>
                <c:pt idx="121">
                  <c:v>249.60176360048035</c:v>
                </c:pt>
                <c:pt idx="122">
                  <c:v>247.32676964452901</c:v>
                </c:pt>
                <c:pt idx="123">
                  <c:v>231.318590242547</c:v>
                </c:pt>
                <c:pt idx="124">
                  <c:v>247.24750066213039</c:v>
                </c:pt>
                <c:pt idx="125">
                  <c:v>240.21033285199306</c:v>
                </c:pt>
                <c:pt idx="126">
                  <c:v>238.54978029851213</c:v>
                </c:pt>
                <c:pt idx="127">
                  <c:v>255.48523419167137</c:v>
                </c:pt>
                <c:pt idx="128">
                  <c:v>250.28902397920544</c:v>
                </c:pt>
                <c:pt idx="129">
                  <c:v>249.15735754815876</c:v>
                </c:pt>
                <c:pt idx="130">
                  <c:v>257.971682632127</c:v>
                </c:pt>
                <c:pt idx="131">
                  <c:v>253.49905947358175</c:v>
                </c:pt>
                <c:pt idx="132">
                  <c:v>246.46956998667599</c:v>
                </c:pt>
                <c:pt idx="133">
                  <c:v>231.48232896022219</c:v>
                </c:pt>
                <c:pt idx="134">
                  <c:v>233.87154394311654</c:v>
                </c:pt>
                <c:pt idx="135">
                  <c:v>238.12361370333258</c:v>
                </c:pt>
                <c:pt idx="136">
                  <c:v>240.43711750270418</c:v>
                </c:pt>
                <c:pt idx="137">
                  <c:v>221.2724774386989</c:v>
                </c:pt>
                <c:pt idx="138">
                  <c:v>207.99381211887609</c:v>
                </c:pt>
                <c:pt idx="139">
                  <c:v>190.15886277589863</c:v>
                </c:pt>
                <c:pt idx="140">
                  <c:v>192.46759770062451</c:v>
                </c:pt>
                <c:pt idx="141">
                  <c:v>184.01611896801842</c:v>
                </c:pt>
                <c:pt idx="142">
                  <c:v>172.57993117669648</c:v>
                </c:pt>
                <c:pt idx="143">
                  <c:v>164.68398934269979</c:v>
                </c:pt>
                <c:pt idx="144">
                  <c:v>153.85725709649691</c:v>
                </c:pt>
                <c:pt idx="145">
                  <c:v>164.99569457114887</c:v>
                </c:pt>
                <c:pt idx="146">
                  <c:v>185.01785707466286</c:v>
                </c:pt>
                <c:pt idx="147">
                  <c:v>188.44206512374424</c:v>
                </c:pt>
                <c:pt idx="148">
                  <c:v>187.69933242413322</c:v>
                </c:pt>
                <c:pt idx="149">
                  <c:v>182.74316918197624</c:v>
                </c:pt>
                <c:pt idx="150">
                  <c:v>192.34394438004111</c:v>
                </c:pt>
                <c:pt idx="151">
                  <c:v>188.30933425282805</c:v>
                </c:pt>
                <c:pt idx="152">
                  <c:v>176.92731565939474</c:v>
                </c:pt>
                <c:pt idx="153">
                  <c:v>180.30380386743514</c:v>
                </c:pt>
                <c:pt idx="154">
                  <c:v>181.30848708825692</c:v>
                </c:pt>
                <c:pt idx="155">
                  <c:v>174.23044252620238</c:v>
                </c:pt>
                <c:pt idx="156">
                  <c:v>181.98338601675437</c:v>
                </c:pt>
                <c:pt idx="157">
                  <c:v>189.02734708412299</c:v>
                </c:pt>
                <c:pt idx="158">
                  <c:v>183.16410172763213</c:v>
                </c:pt>
                <c:pt idx="159">
                  <c:v>185.07081762389637</c:v>
                </c:pt>
                <c:pt idx="160">
                  <c:v>210.57993727699329</c:v>
                </c:pt>
                <c:pt idx="161">
                  <c:v>238.57196601312216</c:v>
                </c:pt>
                <c:pt idx="162">
                  <c:v>234.60531428517686</c:v>
                </c:pt>
                <c:pt idx="163">
                  <c:v>227.77143174318476</c:v>
                </c:pt>
                <c:pt idx="164">
                  <c:v>232.28370540557486</c:v>
                </c:pt>
                <c:pt idx="165">
                  <c:v>253.18783388914068</c:v>
                </c:pt>
                <c:pt idx="166">
                  <c:v>255.9164006725191</c:v>
                </c:pt>
                <c:pt idx="167">
                  <c:v>238.73374448481616</c:v>
                </c:pt>
                <c:pt idx="168">
                  <c:v>231.72924978086928</c:v>
                </c:pt>
                <c:pt idx="169">
                  <c:v>217.71580706949601</c:v>
                </c:pt>
                <c:pt idx="170">
                  <c:v>225.3904187846517</c:v>
                </c:pt>
                <c:pt idx="171">
                  <c:v>242.85279466389147</c:v>
                </c:pt>
                <c:pt idx="172">
                  <c:v>245.70374209877491</c:v>
                </c:pt>
                <c:pt idx="173">
                  <c:v>261.48927469670122</c:v>
                </c:pt>
                <c:pt idx="174">
                  <c:v>275.40464611899523</c:v>
                </c:pt>
                <c:pt idx="175">
                  <c:v>288.52573051314079</c:v>
                </c:pt>
                <c:pt idx="176">
                  <c:v>303.11876079945699</c:v>
                </c:pt>
                <c:pt idx="177">
                  <c:v>307.66848631958834</c:v>
                </c:pt>
                <c:pt idx="178">
                  <c:v>286.84603181072964</c:v>
                </c:pt>
                <c:pt idx="179">
                  <c:v>281.27940044507659</c:v>
                </c:pt>
                <c:pt idx="180">
                  <c:v>292.33773086291592</c:v>
                </c:pt>
                <c:pt idx="181">
                  <c:v>318.68573142059165</c:v>
                </c:pt>
                <c:pt idx="182">
                  <c:v>311.11578683743272</c:v>
                </c:pt>
                <c:pt idx="183">
                  <c:v>327.65244884707465</c:v>
                </c:pt>
                <c:pt idx="184">
                  <c:v>303.9647631605464</c:v>
                </c:pt>
                <c:pt idx="185">
                  <c:v>292.84461798149783</c:v>
                </c:pt>
                <c:pt idx="186">
                  <c:v>266.74041528922703</c:v>
                </c:pt>
                <c:pt idx="187">
                  <c:v>241.69984232123909</c:v>
                </c:pt>
                <c:pt idx="188">
                  <c:v>225.93064938263836</c:v>
                </c:pt>
                <c:pt idx="189">
                  <c:v>194.78732203215765</c:v>
                </c:pt>
                <c:pt idx="190">
                  <c:v>160.11603187214175</c:v>
                </c:pt>
                <c:pt idx="191">
                  <c:v>152.15319735818983</c:v>
                </c:pt>
                <c:pt idx="192">
                  <c:v>182.54491226948878</c:v>
                </c:pt>
                <c:pt idx="193">
                  <c:v>188.86860418393977</c:v>
                </c:pt>
                <c:pt idx="194">
                  <c:v>189.69163841839708</c:v>
                </c:pt>
                <c:pt idx="195">
                  <c:v>186.7273013186711</c:v>
                </c:pt>
                <c:pt idx="196">
                  <c:v>186.50847130613172</c:v>
                </c:pt>
                <c:pt idx="197">
                  <c:v>208.85691491731347</c:v>
                </c:pt>
                <c:pt idx="198">
                  <c:v>214.80003668260693</c:v>
                </c:pt>
                <c:pt idx="199">
                  <c:v>209.21244612513226</c:v>
                </c:pt>
                <c:pt idx="200">
                  <c:v>192.72159904119573</c:v>
                </c:pt>
                <c:pt idx="201">
                  <c:v>188.09247180082372</c:v>
                </c:pt>
                <c:pt idx="202">
                  <c:v>184.98769607386984</c:v>
                </c:pt>
                <c:pt idx="203">
                  <c:v>192.35227647034418</c:v>
                </c:pt>
                <c:pt idx="204">
                  <c:v>189.53741787217695</c:v>
                </c:pt>
                <c:pt idx="205">
                  <c:v>181.72412332611469</c:v>
                </c:pt>
                <c:pt idx="206">
                  <c:v>169.51860561554446</c:v>
                </c:pt>
                <c:pt idx="207">
                  <c:v>171.06157412368771</c:v>
                </c:pt>
                <c:pt idx="208">
                  <c:v>175.35688244410287</c:v>
                </c:pt>
                <c:pt idx="209">
                  <c:v>173.90954798493192</c:v>
                </c:pt>
                <c:pt idx="210">
                  <c:v>172.71911371144358</c:v>
                </c:pt>
                <c:pt idx="211">
                  <c:v>199.90716885897382</c:v>
                </c:pt>
                <c:pt idx="212">
                  <c:v>214.05859904925302</c:v>
                </c:pt>
                <c:pt idx="213">
                  <c:v>213.33754964034077</c:v>
                </c:pt>
                <c:pt idx="214">
                  <c:v>211.13099708087404</c:v>
                </c:pt>
                <c:pt idx="215">
                  <c:v>209.25290465861286</c:v>
                </c:pt>
                <c:pt idx="216">
                  <c:v>219.73320373614177</c:v>
                </c:pt>
                <c:pt idx="217">
                  <c:v>238.82929376542432</c:v>
                </c:pt>
                <c:pt idx="218">
                  <c:v>233.08758530055712</c:v>
                </c:pt>
                <c:pt idx="219">
                  <c:v>231.30975867253548</c:v>
                </c:pt>
                <c:pt idx="220">
                  <c:v>230.03624797570032</c:v>
                </c:pt>
                <c:pt idx="221">
                  <c:v>222.16649295841685</c:v>
                </c:pt>
                <c:pt idx="222">
                  <c:v>200.44107493382398</c:v>
                </c:pt>
                <c:pt idx="223">
                  <c:v>186.61797185449075</c:v>
                </c:pt>
                <c:pt idx="224">
                  <c:v>186.9120675757195</c:v>
                </c:pt>
                <c:pt idx="225">
                  <c:v>161.83996407938849</c:v>
                </c:pt>
                <c:pt idx="226">
                  <c:v>147.1314375885855</c:v>
                </c:pt>
                <c:pt idx="227">
                  <c:v>136.17372549692996</c:v>
                </c:pt>
                <c:pt idx="228">
                  <c:v>149.44876466223897</c:v>
                </c:pt>
                <c:pt idx="229">
                  <c:v>154.93878315925784</c:v>
                </c:pt>
                <c:pt idx="230">
                  <c:v>151.19866976928358</c:v>
                </c:pt>
                <c:pt idx="231">
                  <c:v>145.4899832651173</c:v>
                </c:pt>
                <c:pt idx="232">
                  <c:v>143.99412954646294</c:v>
                </c:pt>
                <c:pt idx="233">
                  <c:v>150.55965198176921</c:v>
                </c:pt>
                <c:pt idx="234">
                  <c:v>173.60617327055172</c:v>
                </c:pt>
                <c:pt idx="235">
                  <c:v>188.97923655594516</c:v>
                </c:pt>
                <c:pt idx="236">
                  <c:v>185.07349803854771</c:v>
                </c:pt>
                <c:pt idx="237">
                  <c:v>183.02356186302453</c:v>
                </c:pt>
                <c:pt idx="238">
                  <c:v>182.31030293171037</c:v>
                </c:pt>
                <c:pt idx="239">
                  <c:v>194.1447945165653</c:v>
                </c:pt>
                <c:pt idx="240">
                  <c:v>195.33878031108895</c:v>
                </c:pt>
                <c:pt idx="241">
                  <c:v>192.60034204849958</c:v>
                </c:pt>
                <c:pt idx="242">
                  <c:v>187.06074708058173</c:v>
                </c:pt>
                <c:pt idx="243">
                  <c:v>174.76976534385901</c:v>
                </c:pt>
                <c:pt idx="244">
                  <c:v>169.83444703734449</c:v>
                </c:pt>
                <c:pt idx="245">
                  <c:v>166.92372850285537</c:v>
                </c:pt>
                <c:pt idx="246">
                  <c:v>165.50670601862157</c:v>
                </c:pt>
                <c:pt idx="247">
                  <c:v>166.06720351917224</c:v>
                </c:pt>
                <c:pt idx="248">
                  <c:v>163.86866198379346</c:v>
                </c:pt>
                <c:pt idx="249">
                  <c:v>161.84585790458323</c:v>
                </c:pt>
                <c:pt idx="250">
                  <c:v>174.44694050368136</c:v>
                </c:pt>
                <c:pt idx="251">
                  <c:v>191.38441011816997</c:v>
                </c:pt>
                <c:pt idx="252">
                  <c:v>195.92527701422313</c:v>
                </c:pt>
                <c:pt idx="253">
                  <c:v>207.52216244693122</c:v>
                </c:pt>
                <c:pt idx="254">
                  <c:v>208.47386726767175</c:v>
                </c:pt>
                <c:pt idx="255">
                  <c:v>216.76297824059461</c:v>
                </c:pt>
                <c:pt idx="256">
                  <c:v>222.21255860903472</c:v>
                </c:pt>
                <c:pt idx="257">
                  <c:v>219.4225084460372</c:v>
                </c:pt>
                <c:pt idx="258">
                  <c:v>194.63597342567724</c:v>
                </c:pt>
                <c:pt idx="259">
                  <c:v>176.53603235148626</c:v>
                </c:pt>
                <c:pt idx="260">
                  <c:v>161.59852483727963</c:v>
                </c:pt>
                <c:pt idx="261">
                  <c:v>151.76423288970028</c:v>
                </c:pt>
                <c:pt idx="262">
                  <c:v>142.35012632248112</c:v>
                </c:pt>
                <c:pt idx="263">
                  <c:v>136.77344773003816</c:v>
                </c:pt>
                <c:pt idx="264">
                  <c:v>133.84377738207991</c:v>
                </c:pt>
                <c:pt idx="265">
                  <c:v>127.33828056236501</c:v>
                </c:pt>
                <c:pt idx="266">
                  <c:v>121.37121935842985</c:v>
                </c:pt>
                <c:pt idx="267">
                  <c:v>118.64543331518045</c:v>
                </c:pt>
                <c:pt idx="268">
                  <c:v>117.19916004448129</c:v>
                </c:pt>
                <c:pt idx="269">
                  <c:v>116.26312771745192</c:v>
                </c:pt>
                <c:pt idx="270">
                  <c:v>115.08898904027244</c:v>
                </c:pt>
                <c:pt idx="271">
                  <c:v>113.35161479460194</c:v>
                </c:pt>
                <c:pt idx="272">
                  <c:v>112.50883201551505</c:v>
                </c:pt>
                <c:pt idx="273">
                  <c:v>112.09368327151725</c:v>
                </c:pt>
                <c:pt idx="274">
                  <c:v>104.27614772228794</c:v>
                </c:pt>
                <c:pt idx="275">
                  <c:v>131.35996835128429</c:v>
                </c:pt>
                <c:pt idx="276">
                  <c:v>174.63246543341009</c:v>
                </c:pt>
                <c:pt idx="277">
                  <c:v>183.18076258262647</c:v>
                </c:pt>
                <c:pt idx="278">
                  <c:v>179.0558265600628</c:v>
                </c:pt>
                <c:pt idx="279">
                  <c:v>166.88806063352718</c:v>
                </c:pt>
                <c:pt idx="280">
                  <c:v>161.0989577427122</c:v>
                </c:pt>
                <c:pt idx="281">
                  <c:v>160.92353053879523</c:v>
                </c:pt>
                <c:pt idx="282">
                  <c:v>167.05873024379142</c:v>
                </c:pt>
                <c:pt idx="283">
                  <c:v>169.20370610643948</c:v>
                </c:pt>
                <c:pt idx="284">
                  <c:v>159.03135703886329</c:v>
                </c:pt>
                <c:pt idx="285">
                  <c:v>142.20418432211758</c:v>
                </c:pt>
                <c:pt idx="286">
                  <c:v>135.99516929963815</c:v>
                </c:pt>
                <c:pt idx="287">
                  <c:v>133.94834858703084</c:v>
                </c:pt>
                <c:pt idx="288">
                  <c:v>124.24713201743209</c:v>
                </c:pt>
                <c:pt idx="289">
                  <c:v>124.82350339510332</c:v>
                </c:pt>
                <c:pt idx="290">
                  <c:v>125.47859856298165</c:v>
                </c:pt>
                <c:pt idx="291">
                  <c:v>127.89283958775647</c:v>
                </c:pt>
                <c:pt idx="292">
                  <c:v>126.29128170549258</c:v>
                </c:pt>
                <c:pt idx="293">
                  <c:v>126.23103947735613</c:v>
                </c:pt>
                <c:pt idx="294">
                  <c:v>128.76307543980622</c:v>
                </c:pt>
                <c:pt idx="295">
                  <c:v>126.87135390686211</c:v>
                </c:pt>
                <c:pt idx="296">
                  <c:v>123.91353908417987</c:v>
                </c:pt>
                <c:pt idx="297">
                  <c:v>122.67537883399754</c:v>
                </c:pt>
                <c:pt idx="298">
                  <c:v>114.78982515623318</c:v>
                </c:pt>
                <c:pt idx="299">
                  <c:v>110.18682594302697</c:v>
                </c:pt>
                <c:pt idx="300">
                  <c:v>133.42477475872445</c:v>
                </c:pt>
                <c:pt idx="301">
                  <c:v>143.44667138509877</c:v>
                </c:pt>
                <c:pt idx="302">
                  <c:v>158.91820659720489</c:v>
                </c:pt>
                <c:pt idx="303">
                  <c:v>185.66165634368497</c:v>
                </c:pt>
                <c:pt idx="304">
                  <c:v>220.29761106350114</c:v>
                </c:pt>
                <c:pt idx="305">
                  <c:v>227.20687280668287</c:v>
                </c:pt>
                <c:pt idx="306">
                  <c:v>222.98229956483678</c:v>
                </c:pt>
                <c:pt idx="307">
                  <c:v>243.70379611518737</c:v>
                </c:pt>
                <c:pt idx="308">
                  <c:v>253.3664660158631</c:v>
                </c:pt>
                <c:pt idx="309">
                  <c:v>229.2239563233517</c:v>
                </c:pt>
                <c:pt idx="310">
                  <c:v>214.08393711580516</c:v>
                </c:pt>
                <c:pt idx="311">
                  <c:v>219.65744330811731</c:v>
                </c:pt>
                <c:pt idx="312">
                  <c:v>212.20753351937859</c:v>
                </c:pt>
                <c:pt idx="313">
                  <c:v>206.21832247572567</c:v>
                </c:pt>
                <c:pt idx="314">
                  <c:v>202.13801814808591</c:v>
                </c:pt>
                <c:pt idx="315">
                  <c:v>198.86794607567319</c:v>
                </c:pt>
                <c:pt idx="316">
                  <c:v>198.46114201946693</c:v>
                </c:pt>
                <c:pt idx="317">
                  <c:v>203.64368489681604</c:v>
                </c:pt>
                <c:pt idx="318">
                  <c:v>189.69223129057184</c:v>
                </c:pt>
                <c:pt idx="319">
                  <c:v>215.41775975974465</c:v>
                </c:pt>
                <c:pt idx="320">
                  <c:v>212.99853011496248</c:v>
                </c:pt>
                <c:pt idx="321">
                  <c:v>226.57972165349281</c:v>
                </c:pt>
                <c:pt idx="322">
                  <c:v>228.13158880036511</c:v>
                </c:pt>
                <c:pt idx="323">
                  <c:v>189.30726976493676</c:v>
                </c:pt>
                <c:pt idx="324">
                  <c:v>220.95290644586174</c:v>
                </c:pt>
                <c:pt idx="325">
                  <c:v>213.27991535446191</c:v>
                </c:pt>
                <c:pt idx="326">
                  <c:v>206.10994594016685</c:v>
                </c:pt>
                <c:pt idx="327">
                  <c:v>218.97750787365666</c:v>
                </c:pt>
                <c:pt idx="328">
                  <c:v>215.59275048567252</c:v>
                </c:pt>
                <c:pt idx="329">
                  <c:v>211.87642252411572</c:v>
                </c:pt>
                <c:pt idx="330">
                  <c:v>211.80094910724475</c:v>
                </c:pt>
                <c:pt idx="331">
                  <c:v>194.33167468808267</c:v>
                </c:pt>
                <c:pt idx="332">
                  <c:v>212.96860510092549</c:v>
                </c:pt>
                <c:pt idx="333">
                  <c:v>255.10213642016259</c:v>
                </c:pt>
                <c:pt idx="334">
                  <c:v>261.32907465557832</c:v>
                </c:pt>
                <c:pt idx="335">
                  <c:v>256.02910735748901</c:v>
                </c:pt>
                <c:pt idx="336">
                  <c:v>264.55389487407791</c:v>
                </c:pt>
                <c:pt idx="337">
                  <c:v>253.11789898261839</c:v>
                </c:pt>
                <c:pt idx="338">
                  <c:v>243.46293348140128</c:v>
                </c:pt>
                <c:pt idx="339">
                  <c:v>238.49012627677945</c:v>
                </c:pt>
                <c:pt idx="340">
                  <c:v>245.39062887327492</c:v>
                </c:pt>
                <c:pt idx="341">
                  <c:v>236.37277274720321</c:v>
                </c:pt>
                <c:pt idx="342">
                  <c:v>233.54998343582446</c:v>
                </c:pt>
                <c:pt idx="343">
                  <c:v>237.6697922533923</c:v>
                </c:pt>
                <c:pt idx="344">
                  <c:v>237.8652228662614</c:v>
                </c:pt>
                <c:pt idx="345">
                  <c:v>240.02364547133601</c:v>
                </c:pt>
                <c:pt idx="346">
                  <c:v>246.07696024181811</c:v>
                </c:pt>
                <c:pt idx="347">
                  <c:v>243.0993061292651</c:v>
                </c:pt>
                <c:pt idx="348">
                  <c:v>228.99518465004269</c:v>
                </c:pt>
                <c:pt idx="349">
                  <c:v>233.16244049168691</c:v>
                </c:pt>
                <c:pt idx="350">
                  <c:v>291.00871070574817</c:v>
                </c:pt>
                <c:pt idx="351">
                  <c:v>291.88447992647087</c:v>
                </c:pt>
                <c:pt idx="352">
                  <c:v>318.76111002117</c:v>
                </c:pt>
                <c:pt idx="353">
                  <c:v>324.96912763312014</c:v>
                </c:pt>
                <c:pt idx="354">
                  <c:v>280.95637543461066</c:v>
                </c:pt>
                <c:pt idx="355">
                  <c:v>264.85531785167757</c:v>
                </c:pt>
                <c:pt idx="356">
                  <c:v>364.14903234122636</c:v>
                </c:pt>
                <c:pt idx="357">
                  <c:v>274.37000091445083</c:v>
                </c:pt>
                <c:pt idx="358">
                  <c:v>272.61311227161735</c:v>
                </c:pt>
                <c:pt idx="359">
                  <c:v>351.10464443990719</c:v>
                </c:pt>
                <c:pt idx="360">
                  <c:v>249.16699955778324</c:v>
                </c:pt>
                <c:pt idx="361">
                  <c:v>238.23906306274259</c:v>
                </c:pt>
                <c:pt idx="362">
                  <c:v>225.10232489881616</c:v>
                </c:pt>
                <c:pt idx="363">
                  <c:v>302.3314204883597</c:v>
                </c:pt>
                <c:pt idx="364">
                  <c:v>297.57671527336169</c:v>
                </c:pt>
                <c:pt idx="365">
                  <c:v>245.25230264725019</c:v>
                </c:pt>
                <c:pt idx="366">
                  <c:v>274.70680682632064</c:v>
                </c:pt>
                <c:pt idx="367">
                  <c:v>234.18729747503301</c:v>
                </c:pt>
                <c:pt idx="368">
                  <c:v>269.35055980115459</c:v>
                </c:pt>
                <c:pt idx="369">
                  <c:v>264.49898134527905</c:v>
                </c:pt>
                <c:pt idx="370">
                  <c:v>221.67118331209761</c:v>
                </c:pt>
                <c:pt idx="371">
                  <c:v>235.96906678744361</c:v>
                </c:pt>
                <c:pt idx="372">
                  <c:v>225.15931837654534</c:v>
                </c:pt>
                <c:pt idx="373">
                  <c:v>190.3370842531242</c:v>
                </c:pt>
                <c:pt idx="374">
                  <c:v>162.65558275210634</c:v>
                </c:pt>
                <c:pt idx="375">
                  <c:v>166.5721570556905</c:v>
                </c:pt>
                <c:pt idx="376">
                  <c:v>192.21582392932564</c:v>
                </c:pt>
                <c:pt idx="377">
                  <c:v>195.77537584828258</c:v>
                </c:pt>
                <c:pt idx="378">
                  <c:v>182.37588982272067</c:v>
                </c:pt>
                <c:pt idx="379">
                  <c:v>173.88307729914141</c:v>
                </c:pt>
                <c:pt idx="380">
                  <c:v>161.37373010706716</c:v>
                </c:pt>
                <c:pt idx="381">
                  <c:v>148.59603675113493</c:v>
                </c:pt>
                <c:pt idx="382">
                  <c:v>135.64781308014642</c:v>
                </c:pt>
                <c:pt idx="383">
                  <c:v>134.94010002219289</c:v>
                </c:pt>
                <c:pt idx="384">
                  <c:v>133.3984443028173</c:v>
                </c:pt>
                <c:pt idx="385">
                  <c:v>140.63253323128836</c:v>
                </c:pt>
                <c:pt idx="386">
                  <c:v>140.43692034076679</c:v>
                </c:pt>
                <c:pt idx="387">
                  <c:v>146.27408739180788</c:v>
                </c:pt>
                <c:pt idx="388">
                  <c:v>139.7190654500391</c:v>
                </c:pt>
                <c:pt idx="389">
                  <c:v>140.36757967135199</c:v>
                </c:pt>
                <c:pt idx="390">
                  <c:v>142.42513542244984</c:v>
                </c:pt>
                <c:pt idx="391">
                  <c:v>151.48532555127304</c:v>
                </c:pt>
                <c:pt idx="392">
                  <c:v>168.1560148090102</c:v>
                </c:pt>
                <c:pt idx="393">
                  <c:v>146.93042895596139</c:v>
                </c:pt>
                <c:pt idx="394">
                  <c:v>138.97261817897973</c:v>
                </c:pt>
                <c:pt idx="395">
                  <c:v>137.48798275214153</c:v>
                </c:pt>
                <c:pt idx="396">
                  <c:v>132.30538953784978</c:v>
                </c:pt>
                <c:pt idx="397">
                  <c:v>124.45546287870978</c:v>
                </c:pt>
                <c:pt idx="398">
                  <c:v>123.83369501057119</c:v>
                </c:pt>
                <c:pt idx="399">
                  <c:v>126.0735515596928</c:v>
                </c:pt>
                <c:pt idx="400">
                  <c:v>128.19248164540409</c:v>
                </c:pt>
                <c:pt idx="401">
                  <c:v>136.01618475474348</c:v>
                </c:pt>
                <c:pt idx="402">
                  <c:v>134.26763547285759</c:v>
                </c:pt>
                <c:pt idx="403">
                  <c:v>140.53025952144938</c:v>
                </c:pt>
                <c:pt idx="404">
                  <c:v>150.43432198295207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E2-42CB-AE1B-292E377EA749}"/>
            </c:ext>
          </c:extLst>
        </c:ser>
        <c:ser>
          <c:idx val="2"/>
          <c:order val="1"/>
          <c:tx>
            <c:v>Promedio 91-01</c:v>
          </c:tx>
          <c:spPr>
            <a:ln w="22225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dLbl>
              <c:idx val="149"/>
              <c:layout>
                <c:manualLayout>
                  <c:x val="2.8858218318695016E-2"/>
                  <c:y val="2.3012552301255231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E2-42CB-AE1B-292E377EA7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TRIGO!$B$2:$B$406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D-18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D-19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D-20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D-21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D-22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D-23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D-24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D-25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TRIGO!$L$2:$L$406</c:f>
              <c:numCache>
                <c:formatCode>_-* #,##0.0\ _€_-;\-* #,##0.0\ _€_-;_-* "-"??\ _€_-;_-@_-</c:formatCode>
                <c:ptCount val="405"/>
                <c:pt idx="0">
                  <c:v>134.93062583816888</c:v>
                </c:pt>
                <c:pt idx="1">
                  <c:v>134.93062583816888</c:v>
                </c:pt>
                <c:pt idx="2">
                  <c:v>134.93062583816888</c:v>
                </c:pt>
                <c:pt idx="3">
                  <c:v>134.93062583816888</c:v>
                </c:pt>
                <c:pt idx="4">
                  <c:v>134.93062583816888</c:v>
                </c:pt>
                <c:pt idx="5">
                  <c:v>134.93062583816888</c:v>
                </c:pt>
                <c:pt idx="6">
                  <c:v>134.93062583816888</c:v>
                </c:pt>
                <c:pt idx="7">
                  <c:v>134.93062583816888</c:v>
                </c:pt>
                <c:pt idx="8">
                  <c:v>134.93062583816888</c:v>
                </c:pt>
                <c:pt idx="9">
                  <c:v>134.93062583816888</c:v>
                </c:pt>
                <c:pt idx="10">
                  <c:v>134.93062583816888</c:v>
                </c:pt>
                <c:pt idx="11">
                  <c:v>134.93062583816888</c:v>
                </c:pt>
                <c:pt idx="12">
                  <c:v>134.93062583816888</c:v>
                </c:pt>
                <c:pt idx="13">
                  <c:v>134.93062583816888</c:v>
                </c:pt>
                <c:pt idx="14">
                  <c:v>134.93062583816888</c:v>
                </c:pt>
                <c:pt idx="15">
                  <c:v>134.93062583816888</c:v>
                </c:pt>
                <c:pt idx="16">
                  <c:v>134.93062583816888</c:v>
                </c:pt>
                <c:pt idx="17">
                  <c:v>134.93062583816888</c:v>
                </c:pt>
                <c:pt idx="18">
                  <c:v>134.93062583816888</c:v>
                </c:pt>
                <c:pt idx="19">
                  <c:v>134.93062583816888</c:v>
                </c:pt>
                <c:pt idx="20">
                  <c:v>134.93062583816888</c:v>
                </c:pt>
                <c:pt idx="21">
                  <c:v>134.93062583816888</c:v>
                </c:pt>
                <c:pt idx="22">
                  <c:v>134.93062583816888</c:v>
                </c:pt>
                <c:pt idx="23">
                  <c:v>134.93062583816888</c:v>
                </c:pt>
                <c:pt idx="24">
                  <c:v>134.93062583816888</c:v>
                </c:pt>
                <c:pt idx="25">
                  <c:v>134.93062583816888</c:v>
                </c:pt>
                <c:pt idx="26">
                  <c:v>134.93062583816888</c:v>
                </c:pt>
                <c:pt idx="27">
                  <c:v>134.93062583816888</c:v>
                </c:pt>
                <c:pt idx="28">
                  <c:v>134.93062583816888</c:v>
                </c:pt>
                <c:pt idx="29">
                  <c:v>134.93062583816888</c:v>
                </c:pt>
                <c:pt idx="30">
                  <c:v>134.93062583816888</c:v>
                </c:pt>
                <c:pt idx="31">
                  <c:v>134.93062583816888</c:v>
                </c:pt>
                <c:pt idx="32">
                  <c:v>134.93062583816888</c:v>
                </c:pt>
                <c:pt idx="33">
                  <c:v>134.93062583816888</c:v>
                </c:pt>
                <c:pt idx="34">
                  <c:v>134.93062583816888</c:v>
                </c:pt>
                <c:pt idx="35">
                  <c:v>134.93062583816888</c:v>
                </c:pt>
                <c:pt idx="36">
                  <c:v>134.93062583816888</c:v>
                </c:pt>
                <c:pt idx="37">
                  <c:v>134.93062583816888</c:v>
                </c:pt>
                <c:pt idx="38">
                  <c:v>134.93062583816888</c:v>
                </c:pt>
                <c:pt idx="39">
                  <c:v>134.93062583816888</c:v>
                </c:pt>
                <c:pt idx="40">
                  <c:v>134.93062583816888</c:v>
                </c:pt>
                <c:pt idx="41">
                  <c:v>134.93062583816888</c:v>
                </c:pt>
                <c:pt idx="42">
                  <c:v>134.93062583816888</c:v>
                </c:pt>
                <c:pt idx="43">
                  <c:v>134.93062583816888</c:v>
                </c:pt>
                <c:pt idx="44">
                  <c:v>134.93062583816888</c:v>
                </c:pt>
                <c:pt idx="45">
                  <c:v>134.93062583816888</c:v>
                </c:pt>
                <c:pt idx="46">
                  <c:v>134.93062583816888</c:v>
                </c:pt>
                <c:pt idx="47">
                  <c:v>134.93062583816888</c:v>
                </c:pt>
                <c:pt idx="48">
                  <c:v>134.93062583816888</c:v>
                </c:pt>
                <c:pt idx="49">
                  <c:v>134.93062583816888</c:v>
                </c:pt>
                <c:pt idx="50">
                  <c:v>134.93062583816888</c:v>
                </c:pt>
                <c:pt idx="51">
                  <c:v>134.93062583816888</c:v>
                </c:pt>
                <c:pt idx="52">
                  <c:v>134.93062583816888</c:v>
                </c:pt>
                <c:pt idx="53">
                  <c:v>134.93062583816888</c:v>
                </c:pt>
                <c:pt idx="54">
                  <c:v>134.93062583816888</c:v>
                </c:pt>
                <c:pt idx="55">
                  <c:v>134.93062583816888</c:v>
                </c:pt>
                <c:pt idx="56">
                  <c:v>134.93062583816888</c:v>
                </c:pt>
                <c:pt idx="57">
                  <c:v>134.93062583816888</c:v>
                </c:pt>
                <c:pt idx="58">
                  <c:v>134.93062583816888</c:v>
                </c:pt>
                <c:pt idx="59">
                  <c:v>134.93062583816888</c:v>
                </c:pt>
                <c:pt idx="60">
                  <c:v>134.93062583816888</c:v>
                </c:pt>
                <c:pt idx="61">
                  <c:v>134.93062583816888</c:v>
                </c:pt>
                <c:pt idx="62">
                  <c:v>134.93062583816888</c:v>
                </c:pt>
                <c:pt idx="63">
                  <c:v>134.93062583816888</c:v>
                </c:pt>
                <c:pt idx="64">
                  <c:v>134.93062583816888</c:v>
                </c:pt>
                <c:pt idx="65">
                  <c:v>134.93062583816888</c:v>
                </c:pt>
                <c:pt idx="66">
                  <c:v>134.93062583816888</c:v>
                </c:pt>
                <c:pt idx="67">
                  <c:v>134.93062583816888</c:v>
                </c:pt>
                <c:pt idx="68">
                  <c:v>134.93062583816888</c:v>
                </c:pt>
                <c:pt idx="69">
                  <c:v>134.93062583816888</c:v>
                </c:pt>
                <c:pt idx="70">
                  <c:v>134.93062583816888</c:v>
                </c:pt>
                <c:pt idx="71">
                  <c:v>134.93062583816888</c:v>
                </c:pt>
                <c:pt idx="72">
                  <c:v>134.93062583816888</c:v>
                </c:pt>
                <c:pt idx="73">
                  <c:v>134.93062583816888</c:v>
                </c:pt>
                <c:pt idx="74">
                  <c:v>134.93062583816888</c:v>
                </c:pt>
                <c:pt idx="75">
                  <c:v>134.93062583816888</c:v>
                </c:pt>
                <c:pt idx="76">
                  <c:v>134.93062583816888</c:v>
                </c:pt>
                <c:pt idx="77">
                  <c:v>134.93062583816888</c:v>
                </c:pt>
                <c:pt idx="78">
                  <c:v>134.93062583816888</c:v>
                </c:pt>
                <c:pt idx="79">
                  <c:v>134.93062583816888</c:v>
                </c:pt>
                <c:pt idx="80">
                  <c:v>134.93062583816888</c:v>
                </c:pt>
                <c:pt idx="81">
                  <c:v>134.93062583816888</c:v>
                </c:pt>
                <c:pt idx="82">
                  <c:v>134.93062583816888</c:v>
                </c:pt>
                <c:pt idx="83">
                  <c:v>134.93062583816888</c:v>
                </c:pt>
                <c:pt idx="84">
                  <c:v>134.93062583816888</c:v>
                </c:pt>
                <c:pt idx="85">
                  <c:v>134.93062583816888</c:v>
                </c:pt>
                <c:pt idx="86">
                  <c:v>134.93062583816888</c:v>
                </c:pt>
                <c:pt idx="87">
                  <c:v>134.93062583816888</c:v>
                </c:pt>
                <c:pt idx="88">
                  <c:v>134.93062583816888</c:v>
                </c:pt>
                <c:pt idx="89">
                  <c:v>134.93062583816888</c:v>
                </c:pt>
                <c:pt idx="90">
                  <c:v>134.93062583816888</c:v>
                </c:pt>
                <c:pt idx="91">
                  <c:v>134.93062583816888</c:v>
                </c:pt>
                <c:pt idx="92">
                  <c:v>134.93062583816888</c:v>
                </c:pt>
                <c:pt idx="93">
                  <c:v>134.93062583816888</c:v>
                </c:pt>
                <c:pt idx="94">
                  <c:v>134.93062583816888</c:v>
                </c:pt>
                <c:pt idx="95">
                  <c:v>134.93062583816888</c:v>
                </c:pt>
                <c:pt idx="96">
                  <c:v>134.93062583816888</c:v>
                </c:pt>
                <c:pt idx="97">
                  <c:v>134.93062583816888</c:v>
                </c:pt>
                <c:pt idx="98">
                  <c:v>134.93062583816888</c:v>
                </c:pt>
                <c:pt idx="99">
                  <c:v>134.93062583816888</c:v>
                </c:pt>
                <c:pt idx="100">
                  <c:v>134.93062583816888</c:v>
                </c:pt>
                <c:pt idx="101">
                  <c:v>134.93062583816888</c:v>
                </c:pt>
                <c:pt idx="102">
                  <c:v>134.93062583816888</c:v>
                </c:pt>
                <c:pt idx="103">
                  <c:v>134.93062583816888</c:v>
                </c:pt>
                <c:pt idx="104">
                  <c:v>134.93062583816888</c:v>
                </c:pt>
                <c:pt idx="105">
                  <c:v>134.93062583816888</c:v>
                </c:pt>
                <c:pt idx="106">
                  <c:v>134.93062583816888</c:v>
                </c:pt>
                <c:pt idx="107">
                  <c:v>134.93062583816888</c:v>
                </c:pt>
                <c:pt idx="108">
                  <c:v>134.93062583816888</c:v>
                </c:pt>
                <c:pt idx="109">
                  <c:v>134.93062583816888</c:v>
                </c:pt>
                <c:pt idx="110">
                  <c:v>134.93062583816888</c:v>
                </c:pt>
                <c:pt idx="111">
                  <c:v>134.93062583816888</c:v>
                </c:pt>
                <c:pt idx="112">
                  <c:v>134.93062583816888</c:v>
                </c:pt>
                <c:pt idx="113">
                  <c:v>134.93062583816888</c:v>
                </c:pt>
                <c:pt idx="114">
                  <c:v>134.93062583816888</c:v>
                </c:pt>
                <c:pt idx="115">
                  <c:v>134.93062583816888</c:v>
                </c:pt>
                <c:pt idx="116">
                  <c:v>134.93062583816888</c:v>
                </c:pt>
                <c:pt idx="117">
                  <c:v>134.93062583816888</c:v>
                </c:pt>
                <c:pt idx="118">
                  <c:v>134.93062583816888</c:v>
                </c:pt>
                <c:pt idx="119">
                  <c:v>134.93062583816888</c:v>
                </c:pt>
                <c:pt idx="120">
                  <c:v>134.93062583816888</c:v>
                </c:pt>
                <c:pt idx="121">
                  <c:v>134.93062583816888</c:v>
                </c:pt>
                <c:pt idx="122">
                  <c:v>134.93062583816888</c:v>
                </c:pt>
                <c:pt idx="123">
                  <c:v>134.93062583816888</c:v>
                </c:pt>
                <c:pt idx="124">
                  <c:v>134.93062583816888</c:v>
                </c:pt>
                <c:pt idx="125">
                  <c:v>134.93062583816888</c:v>
                </c:pt>
                <c:pt idx="126">
                  <c:v>134.93062583816888</c:v>
                </c:pt>
                <c:pt idx="127">
                  <c:v>134.93062583816888</c:v>
                </c:pt>
                <c:pt idx="128">
                  <c:v>134.93062583816888</c:v>
                </c:pt>
                <c:pt idx="129">
                  <c:v>134.93062583816888</c:v>
                </c:pt>
                <c:pt idx="130">
                  <c:v>134.93062583816888</c:v>
                </c:pt>
                <c:pt idx="131">
                  <c:v>134.93062583816888</c:v>
                </c:pt>
                <c:pt idx="132">
                  <c:v>134.93062583816888</c:v>
                </c:pt>
                <c:pt idx="133">
                  <c:v>134.93062583816888</c:v>
                </c:pt>
                <c:pt idx="134">
                  <c:v>134.93062583816888</c:v>
                </c:pt>
                <c:pt idx="135">
                  <c:v>134.93062583816888</c:v>
                </c:pt>
                <c:pt idx="136">
                  <c:v>134.93062583816888</c:v>
                </c:pt>
                <c:pt idx="137">
                  <c:v>134.93062583816888</c:v>
                </c:pt>
                <c:pt idx="138">
                  <c:v>134.93062583816888</c:v>
                </c:pt>
                <c:pt idx="139">
                  <c:v>134.93062583816888</c:v>
                </c:pt>
                <c:pt idx="140">
                  <c:v>134.93062583816888</c:v>
                </c:pt>
                <c:pt idx="141">
                  <c:v>134.93062583816888</c:v>
                </c:pt>
                <c:pt idx="142">
                  <c:v>134.93062583816888</c:v>
                </c:pt>
                <c:pt idx="143">
                  <c:v>134.93062583816888</c:v>
                </c:pt>
                <c:pt idx="144">
                  <c:v>134.93062583816888</c:v>
                </c:pt>
                <c:pt idx="145">
                  <c:v>134.93062583816888</c:v>
                </c:pt>
                <c:pt idx="146">
                  <c:v>134.93062583816888</c:v>
                </c:pt>
                <c:pt idx="147">
                  <c:v>134.93062583816888</c:v>
                </c:pt>
                <c:pt idx="148">
                  <c:v>134.93062583816888</c:v>
                </c:pt>
                <c:pt idx="149">
                  <c:v>134.93062583816888</c:v>
                </c:pt>
                <c:pt idx="150">
                  <c:v>134.93062583816888</c:v>
                </c:pt>
                <c:pt idx="151">
                  <c:v>134.93062583816888</c:v>
                </c:pt>
                <c:pt idx="152">
                  <c:v>134.93062583816888</c:v>
                </c:pt>
                <c:pt idx="153">
                  <c:v>134.93062583816888</c:v>
                </c:pt>
                <c:pt idx="154">
                  <c:v>134.93062583816888</c:v>
                </c:pt>
                <c:pt idx="155">
                  <c:v>134.93062583816888</c:v>
                </c:pt>
                <c:pt idx="156">
                  <c:v>134.93062583816888</c:v>
                </c:pt>
                <c:pt idx="157">
                  <c:v>134.93062583816888</c:v>
                </c:pt>
                <c:pt idx="158">
                  <c:v>134.93062583816888</c:v>
                </c:pt>
                <c:pt idx="159">
                  <c:v>134.93062583816888</c:v>
                </c:pt>
                <c:pt idx="160">
                  <c:v>134.93062583816888</c:v>
                </c:pt>
                <c:pt idx="161">
                  <c:v>134.93062583816888</c:v>
                </c:pt>
                <c:pt idx="162">
                  <c:v>134.93062583816888</c:v>
                </c:pt>
                <c:pt idx="163">
                  <c:v>134.93062583816888</c:v>
                </c:pt>
                <c:pt idx="164">
                  <c:v>134.93062583816888</c:v>
                </c:pt>
                <c:pt idx="165">
                  <c:v>134.93062583816888</c:v>
                </c:pt>
                <c:pt idx="166">
                  <c:v>134.93062583816888</c:v>
                </c:pt>
                <c:pt idx="167">
                  <c:v>134.93062583816888</c:v>
                </c:pt>
                <c:pt idx="168">
                  <c:v>134.93062583816888</c:v>
                </c:pt>
                <c:pt idx="169">
                  <c:v>134.93062583816888</c:v>
                </c:pt>
                <c:pt idx="170">
                  <c:v>134.93062583816888</c:v>
                </c:pt>
                <c:pt idx="171">
                  <c:v>134.93062583816888</c:v>
                </c:pt>
                <c:pt idx="172">
                  <c:v>134.93062583816888</c:v>
                </c:pt>
                <c:pt idx="173">
                  <c:v>134.93062583816888</c:v>
                </c:pt>
                <c:pt idx="174">
                  <c:v>134.93062583816888</c:v>
                </c:pt>
                <c:pt idx="175">
                  <c:v>134.93062583816888</c:v>
                </c:pt>
                <c:pt idx="176">
                  <c:v>134.93062583816888</c:v>
                </c:pt>
                <c:pt idx="177">
                  <c:v>134.93062583816888</c:v>
                </c:pt>
                <c:pt idx="178">
                  <c:v>134.93062583816888</c:v>
                </c:pt>
                <c:pt idx="179">
                  <c:v>134.93062583816888</c:v>
                </c:pt>
                <c:pt idx="180">
                  <c:v>134.93062583816888</c:v>
                </c:pt>
                <c:pt idx="181">
                  <c:v>134.93062583816888</c:v>
                </c:pt>
                <c:pt idx="182">
                  <c:v>134.93062583816888</c:v>
                </c:pt>
                <c:pt idx="183">
                  <c:v>134.93062583816888</c:v>
                </c:pt>
                <c:pt idx="184">
                  <c:v>134.93062583816888</c:v>
                </c:pt>
                <c:pt idx="185">
                  <c:v>134.93062583816888</c:v>
                </c:pt>
                <c:pt idx="186">
                  <c:v>134.93062583816888</c:v>
                </c:pt>
                <c:pt idx="187">
                  <c:v>134.93062583816888</c:v>
                </c:pt>
                <c:pt idx="188">
                  <c:v>134.93062583816888</c:v>
                </c:pt>
                <c:pt idx="189">
                  <c:v>134.93062583816888</c:v>
                </c:pt>
                <c:pt idx="190">
                  <c:v>134.93062583816888</c:v>
                </c:pt>
                <c:pt idx="191">
                  <c:v>134.93062583816888</c:v>
                </c:pt>
                <c:pt idx="192">
                  <c:v>134.93062583816888</c:v>
                </c:pt>
                <c:pt idx="193">
                  <c:v>134.93062583816888</c:v>
                </c:pt>
                <c:pt idx="194">
                  <c:v>134.93062583816888</c:v>
                </c:pt>
                <c:pt idx="195">
                  <c:v>134.93062583816888</c:v>
                </c:pt>
                <c:pt idx="196">
                  <c:v>134.93062583816888</c:v>
                </c:pt>
                <c:pt idx="197">
                  <c:v>134.93062583816888</c:v>
                </c:pt>
                <c:pt idx="198">
                  <c:v>134.93062583816888</c:v>
                </c:pt>
                <c:pt idx="199">
                  <c:v>134.93062583816888</c:v>
                </c:pt>
                <c:pt idx="200">
                  <c:v>134.93062583816888</c:v>
                </c:pt>
                <c:pt idx="201">
                  <c:v>134.93062583816888</c:v>
                </c:pt>
                <c:pt idx="202">
                  <c:v>134.93062583816888</c:v>
                </c:pt>
                <c:pt idx="203">
                  <c:v>134.93062583816888</c:v>
                </c:pt>
                <c:pt idx="204">
                  <c:v>134.93062583816888</c:v>
                </c:pt>
                <c:pt idx="205">
                  <c:v>134.93062583816888</c:v>
                </c:pt>
                <c:pt idx="206">
                  <c:v>134.93062583816888</c:v>
                </c:pt>
                <c:pt idx="207">
                  <c:v>134.93062583816888</c:v>
                </c:pt>
                <c:pt idx="208">
                  <c:v>134.93062583816888</c:v>
                </c:pt>
                <c:pt idx="209">
                  <c:v>134.93062583816888</c:v>
                </c:pt>
                <c:pt idx="210">
                  <c:v>134.93062583816888</c:v>
                </c:pt>
                <c:pt idx="211">
                  <c:v>134.93062583816888</c:v>
                </c:pt>
                <c:pt idx="212">
                  <c:v>134.93062583816888</c:v>
                </c:pt>
                <c:pt idx="213">
                  <c:v>134.93062583816888</c:v>
                </c:pt>
                <c:pt idx="214">
                  <c:v>134.93062583816888</c:v>
                </c:pt>
                <c:pt idx="215">
                  <c:v>134.93062583816888</c:v>
                </c:pt>
                <c:pt idx="216">
                  <c:v>134.93062583816888</c:v>
                </c:pt>
                <c:pt idx="217">
                  <c:v>134.93062583816888</c:v>
                </c:pt>
                <c:pt idx="218">
                  <c:v>134.93062583816888</c:v>
                </c:pt>
                <c:pt idx="219">
                  <c:v>134.93062583816888</c:v>
                </c:pt>
                <c:pt idx="220">
                  <c:v>134.93062583816888</c:v>
                </c:pt>
                <c:pt idx="221">
                  <c:v>134.93062583816888</c:v>
                </c:pt>
                <c:pt idx="222">
                  <c:v>134.93062583816888</c:v>
                </c:pt>
                <c:pt idx="223">
                  <c:v>134.93062583816888</c:v>
                </c:pt>
                <c:pt idx="224">
                  <c:v>134.93062583816888</c:v>
                </c:pt>
                <c:pt idx="225">
                  <c:v>134.93062583816888</c:v>
                </c:pt>
                <c:pt idx="226">
                  <c:v>134.93062583816888</c:v>
                </c:pt>
                <c:pt idx="227">
                  <c:v>134.93062583816888</c:v>
                </c:pt>
                <c:pt idx="228">
                  <c:v>134.93062583816888</c:v>
                </c:pt>
                <c:pt idx="229">
                  <c:v>134.93062583816888</c:v>
                </c:pt>
                <c:pt idx="230">
                  <c:v>134.93062583816888</c:v>
                </c:pt>
                <c:pt idx="231">
                  <c:v>134.93062583816888</c:v>
                </c:pt>
                <c:pt idx="232">
                  <c:v>134.93062583816888</c:v>
                </c:pt>
                <c:pt idx="233">
                  <c:v>134.93062583816888</c:v>
                </c:pt>
                <c:pt idx="234">
                  <c:v>134.93062583816888</c:v>
                </c:pt>
                <c:pt idx="235">
                  <c:v>134.93062583816888</c:v>
                </c:pt>
                <c:pt idx="236">
                  <c:v>134.93062583816888</c:v>
                </c:pt>
                <c:pt idx="237">
                  <c:v>134.93062583816888</c:v>
                </c:pt>
                <c:pt idx="238">
                  <c:v>134.93062583816888</c:v>
                </c:pt>
                <c:pt idx="239">
                  <c:v>134.93062583816888</c:v>
                </c:pt>
                <c:pt idx="240">
                  <c:v>134.93062583816888</c:v>
                </c:pt>
                <c:pt idx="241">
                  <c:v>134.93062583816888</c:v>
                </c:pt>
                <c:pt idx="242">
                  <c:v>134.93062583816888</c:v>
                </c:pt>
                <c:pt idx="243">
                  <c:v>134.93062583816888</c:v>
                </c:pt>
                <c:pt idx="244">
                  <c:v>134.93062583816888</c:v>
                </c:pt>
                <c:pt idx="245">
                  <c:v>134.93062583816888</c:v>
                </c:pt>
                <c:pt idx="246">
                  <c:v>134.93062583816888</c:v>
                </c:pt>
                <c:pt idx="247">
                  <c:v>134.93062583816888</c:v>
                </c:pt>
                <c:pt idx="248">
                  <c:v>134.93062583816888</c:v>
                </c:pt>
                <c:pt idx="249">
                  <c:v>134.93062583816888</c:v>
                </c:pt>
                <c:pt idx="250">
                  <c:v>134.93062583816888</c:v>
                </c:pt>
                <c:pt idx="251">
                  <c:v>134.93062583816888</c:v>
                </c:pt>
                <c:pt idx="252">
                  <c:v>134.93062583816888</c:v>
                </c:pt>
                <c:pt idx="253">
                  <c:v>134.93062583816888</c:v>
                </c:pt>
                <c:pt idx="254">
                  <c:v>134.93062583816888</c:v>
                </c:pt>
                <c:pt idx="255">
                  <c:v>134.93062583816888</c:v>
                </c:pt>
                <c:pt idx="256">
                  <c:v>134.93062583816888</c:v>
                </c:pt>
                <c:pt idx="257">
                  <c:v>134.93062583816888</c:v>
                </c:pt>
                <c:pt idx="258">
                  <c:v>134.93062583816888</c:v>
                </c:pt>
                <c:pt idx="259">
                  <c:v>134.93062583816888</c:v>
                </c:pt>
                <c:pt idx="260">
                  <c:v>134.93062583816888</c:v>
                </c:pt>
                <c:pt idx="261">
                  <c:v>134.93062583816888</c:v>
                </c:pt>
                <c:pt idx="262">
                  <c:v>134.93062583816888</c:v>
                </c:pt>
                <c:pt idx="263">
                  <c:v>134.93062583816888</c:v>
                </c:pt>
                <c:pt idx="264">
                  <c:v>134.93062583816888</c:v>
                </c:pt>
                <c:pt idx="265">
                  <c:v>134.93062583816888</c:v>
                </c:pt>
                <c:pt idx="266">
                  <c:v>134.93062583816888</c:v>
                </c:pt>
                <c:pt idx="267">
                  <c:v>134.93062583816888</c:v>
                </c:pt>
                <c:pt idx="268">
                  <c:v>134.93062583816888</c:v>
                </c:pt>
                <c:pt idx="269">
                  <c:v>134.93062583816888</c:v>
                </c:pt>
                <c:pt idx="270">
                  <c:v>134.93062583816888</c:v>
                </c:pt>
                <c:pt idx="271">
                  <c:v>134.93062583816888</c:v>
                </c:pt>
                <c:pt idx="272">
                  <c:v>134.93062583816888</c:v>
                </c:pt>
                <c:pt idx="273">
                  <c:v>134.93062583816888</c:v>
                </c:pt>
                <c:pt idx="274">
                  <c:v>134.93062583816888</c:v>
                </c:pt>
                <c:pt idx="275">
                  <c:v>134.93062583816888</c:v>
                </c:pt>
                <c:pt idx="276">
                  <c:v>134.93062583816888</c:v>
                </c:pt>
                <c:pt idx="277">
                  <c:v>134.93062583816888</c:v>
                </c:pt>
                <c:pt idx="278">
                  <c:v>134.93062583816888</c:v>
                </c:pt>
                <c:pt idx="279">
                  <c:v>134.93062583816888</c:v>
                </c:pt>
                <c:pt idx="280">
                  <c:v>134.93062583816888</c:v>
                </c:pt>
                <c:pt idx="281">
                  <c:v>134.93062583816888</c:v>
                </c:pt>
                <c:pt idx="282">
                  <c:v>134.93062583816888</c:v>
                </c:pt>
                <c:pt idx="283">
                  <c:v>134.93062583816888</c:v>
                </c:pt>
                <c:pt idx="284">
                  <c:v>134.93062583816888</c:v>
                </c:pt>
                <c:pt idx="285">
                  <c:v>134.93062583816888</c:v>
                </c:pt>
                <c:pt idx="286">
                  <c:v>134.93062583816888</c:v>
                </c:pt>
                <c:pt idx="287">
                  <c:v>134.93062583816888</c:v>
                </c:pt>
                <c:pt idx="288">
                  <c:v>134.93062583816888</c:v>
                </c:pt>
                <c:pt idx="289">
                  <c:v>134.93062583816888</c:v>
                </c:pt>
                <c:pt idx="290">
                  <c:v>134.93062583816888</c:v>
                </c:pt>
                <c:pt idx="291">
                  <c:v>134.93062583816888</c:v>
                </c:pt>
                <c:pt idx="292">
                  <c:v>134.93062583816888</c:v>
                </c:pt>
                <c:pt idx="293">
                  <c:v>134.93062583816888</c:v>
                </c:pt>
                <c:pt idx="294">
                  <c:v>134.93062583816888</c:v>
                </c:pt>
                <c:pt idx="295">
                  <c:v>134.93062583816888</c:v>
                </c:pt>
                <c:pt idx="296">
                  <c:v>134.93062583816888</c:v>
                </c:pt>
                <c:pt idx="297">
                  <c:v>134.93062583816888</c:v>
                </c:pt>
                <c:pt idx="298">
                  <c:v>134.93062583816888</c:v>
                </c:pt>
                <c:pt idx="299">
                  <c:v>134.93062583816888</c:v>
                </c:pt>
                <c:pt idx="300">
                  <c:v>134.93062583816888</c:v>
                </c:pt>
                <c:pt idx="301">
                  <c:v>134.93062583816888</c:v>
                </c:pt>
                <c:pt idx="302">
                  <c:v>134.93062583816888</c:v>
                </c:pt>
                <c:pt idx="303">
                  <c:v>134.93062583816888</c:v>
                </c:pt>
                <c:pt idx="304">
                  <c:v>134.93062583816888</c:v>
                </c:pt>
                <c:pt idx="305">
                  <c:v>134.93062583816888</c:v>
                </c:pt>
                <c:pt idx="306">
                  <c:v>134.93062583816888</c:v>
                </c:pt>
                <c:pt idx="307">
                  <c:v>134.93062583816888</c:v>
                </c:pt>
                <c:pt idx="308">
                  <c:v>134.93062583816888</c:v>
                </c:pt>
                <c:pt idx="309">
                  <c:v>134.93062583816888</c:v>
                </c:pt>
                <c:pt idx="310">
                  <c:v>134.93062583816888</c:v>
                </c:pt>
                <c:pt idx="311">
                  <c:v>134.93062583816888</c:v>
                </c:pt>
                <c:pt idx="312">
                  <c:v>134.93062583816888</c:v>
                </c:pt>
                <c:pt idx="313">
                  <c:v>134.93062583816888</c:v>
                </c:pt>
                <c:pt idx="314">
                  <c:v>134.93062583816888</c:v>
                </c:pt>
                <c:pt idx="315">
                  <c:v>134.93062583816888</c:v>
                </c:pt>
                <c:pt idx="316">
                  <c:v>134.93062583816888</c:v>
                </c:pt>
                <c:pt idx="317">
                  <c:v>134.93062583816888</c:v>
                </c:pt>
                <c:pt idx="318">
                  <c:v>134.93062583816888</c:v>
                </c:pt>
                <c:pt idx="319">
                  <c:v>134.93062583816888</c:v>
                </c:pt>
                <c:pt idx="320">
                  <c:v>134.93062583816888</c:v>
                </c:pt>
                <c:pt idx="321">
                  <c:v>134.93062583816888</c:v>
                </c:pt>
                <c:pt idx="322">
                  <c:v>134.93062583816888</c:v>
                </c:pt>
                <c:pt idx="323">
                  <c:v>134.93062583816888</c:v>
                </c:pt>
                <c:pt idx="324">
                  <c:v>134.93062583816888</c:v>
                </c:pt>
                <c:pt idx="325">
                  <c:v>134.93062583816888</c:v>
                </c:pt>
                <c:pt idx="326">
                  <c:v>134.93062583816888</c:v>
                </c:pt>
                <c:pt idx="327">
                  <c:v>134.93062583816888</c:v>
                </c:pt>
                <c:pt idx="328">
                  <c:v>134.93062583816888</c:v>
                </c:pt>
                <c:pt idx="329">
                  <c:v>134.93062583816888</c:v>
                </c:pt>
                <c:pt idx="330">
                  <c:v>134.93062583816888</c:v>
                </c:pt>
                <c:pt idx="331">
                  <c:v>134.93062583816888</c:v>
                </c:pt>
                <c:pt idx="332">
                  <c:v>134.93062583816888</c:v>
                </c:pt>
                <c:pt idx="333">
                  <c:v>134.93062583816888</c:v>
                </c:pt>
                <c:pt idx="334">
                  <c:v>134.93062583816888</c:v>
                </c:pt>
                <c:pt idx="335">
                  <c:v>134.93062583816888</c:v>
                </c:pt>
                <c:pt idx="336">
                  <c:v>134.93062583816888</c:v>
                </c:pt>
                <c:pt idx="337">
                  <c:v>134.93062583816888</c:v>
                </c:pt>
                <c:pt idx="338">
                  <c:v>134.93062583816888</c:v>
                </c:pt>
                <c:pt idx="339">
                  <c:v>134.93062583816888</c:v>
                </c:pt>
                <c:pt idx="340">
                  <c:v>134.93062583816888</c:v>
                </c:pt>
                <c:pt idx="341">
                  <c:v>134.93062583816888</c:v>
                </c:pt>
                <c:pt idx="342">
                  <c:v>134.93062583816888</c:v>
                </c:pt>
                <c:pt idx="343">
                  <c:v>134.93062583816888</c:v>
                </c:pt>
                <c:pt idx="344">
                  <c:v>134.93062583816888</c:v>
                </c:pt>
                <c:pt idx="345">
                  <c:v>134.93062583816888</c:v>
                </c:pt>
                <c:pt idx="346">
                  <c:v>134.93062583816888</c:v>
                </c:pt>
                <c:pt idx="347">
                  <c:v>134.93062583816888</c:v>
                </c:pt>
                <c:pt idx="348">
                  <c:v>134.93062583816888</c:v>
                </c:pt>
                <c:pt idx="349">
                  <c:v>134.93062583816888</c:v>
                </c:pt>
                <c:pt idx="350">
                  <c:v>134.93062583816888</c:v>
                </c:pt>
                <c:pt idx="351">
                  <c:v>134.93062583816888</c:v>
                </c:pt>
                <c:pt idx="352">
                  <c:v>134.93062583816888</c:v>
                </c:pt>
                <c:pt idx="353">
                  <c:v>134.93062583816888</c:v>
                </c:pt>
                <c:pt idx="354">
                  <c:v>134.93062583816888</c:v>
                </c:pt>
                <c:pt idx="355">
                  <c:v>134.93062583816888</c:v>
                </c:pt>
                <c:pt idx="356">
                  <c:v>134.93062583816888</c:v>
                </c:pt>
                <c:pt idx="357">
                  <c:v>134.93062583816888</c:v>
                </c:pt>
                <c:pt idx="358">
                  <c:v>134.93062583816888</c:v>
                </c:pt>
                <c:pt idx="359">
                  <c:v>134.93062583816888</c:v>
                </c:pt>
                <c:pt idx="360">
                  <c:v>134.93062583816888</c:v>
                </c:pt>
                <c:pt idx="361">
                  <c:v>134.93062583816888</c:v>
                </c:pt>
                <c:pt idx="362">
                  <c:v>134.93062583816888</c:v>
                </c:pt>
                <c:pt idx="363">
                  <c:v>134.93062583816888</c:v>
                </c:pt>
                <c:pt idx="364">
                  <c:v>134.93062583816888</c:v>
                </c:pt>
                <c:pt idx="365">
                  <c:v>134.93062583816888</c:v>
                </c:pt>
                <c:pt idx="366">
                  <c:v>134.93062583816888</c:v>
                </c:pt>
                <c:pt idx="367">
                  <c:v>134.93062583816888</c:v>
                </c:pt>
                <c:pt idx="368">
                  <c:v>134.93062583816888</c:v>
                </c:pt>
                <c:pt idx="369">
                  <c:v>134.93062583816888</c:v>
                </c:pt>
                <c:pt idx="370">
                  <c:v>134.93062583816888</c:v>
                </c:pt>
                <c:pt idx="371">
                  <c:v>134.93062583816888</c:v>
                </c:pt>
                <c:pt idx="372">
                  <c:v>134.93062583816888</c:v>
                </c:pt>
                <c:pt idx="373">
                  <c:v>134.93062583816888</c:v>
                </c:pt>
                <c:pt idx="374">
                  <c:v>134.93062583816888</c:v>
                </c:pt>
                <c:pt idx="375">
                  <c:v>134.93062583816888</c:v>
                </c:pt>
                <c:pt idx="376">
                  <c:v>134.93062583816888</c:v>
                </c:pt>
                <c:pt idx="377">
                  <c:v>134.93062583816888</c:v>
                </c:pt>
                <c:pt idx="378">
                  <c:v>134.93062583816888</c:v>
                </c:pt>
                <c:pt idx="379">
                  <c:v>134.93062583816888</c:v>
                </c:pt>
                <c:pt idx="380">
                  <c:v>134.93062583816888</c:v>
                </c:pt>
                <c:pt idx="381">
                  <c:v>134.93062583816888</c:v>
                </c:pt>
                <c:pt idx="382">
                  <c:v>134.93062583816888</c:v>
                </c:pt>
                <c:pt idx="383">
                  <c:v>134.93062583816888</c:v>
                </c:pt>
                <c:pt idx="384">
                  <c:v>134.93062583816888</c:v>
                </c:pt>
                <c:pt idx="385">
                  <c:v>134.93062583816888</c:v>
                </c:pt>
                <c:pt idx="386">
                  <c:v>134.93062583816888</c:v>
                </c:pt>
                <c:pt idx="387">
                  <c:v>134.93062583816888</c:v>
                </c:pt>
                <c:pt idx="388">
                  <c:v>134.93062583816888</c:v>
                </c:pt>
                <c:pt idx="389">
                  <c:v>134.93062583816888</c:v>
                </c:pt>
                <c:pt idx="390">
                  <c:v>134.93062583816888</c:v>
                </c:pt>
                <c:pt idx="391">
                  <c:v>134.93062583816888</c:v>
                </c:pt>
                <c:pt idx="392">
                  <c:v>134.93062583816888</c:v>
                </c:pt>
                <c:pt idx="393">
                  <c:v>134.93062583816888</c:v>
                </c:pt>
                <c:pt idx="394">
                  <c:v>134.93062583816888</c:v>
                </c:pt>
                <c:pt idx="395">
                  <c:v>134.93062583816888</c:v>
                </c:pt>
                <c:pt idx="396">
                  <c:v>134.93062583816888</c:v>
                </c:pt>
                <c:pt idx="397">
                  <c:v>134.93062583816888</c:v>
                </c:pt>
                <c:pt idx="398">
                  <c:v>134.93062583816888</c:v>
                </c:pt>
                <c:pt idx="399">
                  <c:v>134.93062583816888</c:v>
                </c:pt>
                <c:pt idx="400">
                  <c:v>134.93062583816888</c:v>
                </c:pt>
                <c:pt idx="401">
                  <c:v>134.93062583816888</c:v>
                </c:pt>
                <c:pt idx="402">
                  <c:v>134.93062583816888</c:v>
                </c:pt>
                <c:pt idx="403">
                  <c:v>134.93062583816888</c:v>
                </c:pt>
                <c:pt idx="404">
                  <c:v>134.93062583816888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E2-42CB-AE1B-292E377EA749}"/>
            </c:ext>
          </c:extLst>
        </c:ser>
        <c:ser>
          <c:idx val="3"/>
          <c:order val="2"/>
          <c:tx>
            <c:v>Promedio 02-15</c:v>
          </c:tx>
          <c:spPr>
            <a:ln w="22225">
              <a:solidFill>
                <a:schemeClr val="tx1"/>
              </a:solidFill>
              <a:prstDash val="sysDash"/>
            </a:ln>
          </c:spPr>
          <c:marker>
            <c:symbol val="none"/>
          </c:marker>
          <c:dLbls>
            <c:dLbl>
              <c:idx val="70"/>
              <c:layout>
                <c:manualLayout>
                  <c:x val="-3.0103480714957668E-2"/>
                  <c:y val="-3.16384180790961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6E2-42CB-AE1B-292E377EA74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TRIGO!$B$2:$B$406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D-18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D-19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D-20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D-21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D-22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D-23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D-24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D-25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TRIGO!$M$2:$M$406</c:f>
              <c:numCache>
                <c:formatCode>_-* #,##0.0\ _€_-;\-* #,##0.0\ _€_-;_-* "-"??\ _€_-;_-@_-</c:formatCode>
                <c:ptCount val="405"/>
                <c:pt idx="0">
                  <c:v>207.19614896976259</c:v>
                </c:pt>
                <c:pt idx="1">
                  <c:v>207.19614896976259</c:v>
                </c:pt>
                <c:pt idx="2">
                  <c:v>207.19614896976259</c:v>
                </c:pt>
                <c:pt idx="3">
                  <c:v>207.19614896976259</c:v>
                </c:pt>
                <c:pt idx="4">
                  <c:v>207.19614896976259</c:v>
                </c:pt>
                <c:pt idx="5">
                  <c:v>207.19614896976259</c:v>
                </c:pt>
                <c:pt idx="6">
                  <c:v>207.19614896976259</c:v>
                </c:pt>
                <c:pt idx="7">
                  <c:v>207.19614896976259</c:v>
                </c:pt>
                <c:pt idx="8">
                  <c:v>207.19614896976259</c:v>
                </c:pt>
                <c:pt idx="9">
                  <c:v>207.19614896976259</c:v>
                </c:pt>
                <c:pt idx="10">
                  <c:v>207.19614896976259</c:v>
                </c:pt>
                <c:pt idx="11">
                  <c:v>207.19614896976259</c:v>
                </c:pt>
                <c:pt idx="12">
                  <c:v>207.19614896976259</c:v>
                </c:pt>
                <c:pt idx="13">
                  <c:v>207.19614896976259</c:v>
                </c:pt>
                <c:pt idx="14">
                  <c:v>207.19614896976259</c:v>
                </c:pt>
                <c:pt idx="15">
                  <c:v>207.19614896976259</c:v>
                </c:pt>
                <c:pt idx="16">
                  <c:v>207.19614896976259</c:v>
                </c:pt>
                <c:pt idx="17">
                  <c:v>207.19614896976259</c:v>
                </c:pt>
                <c:pt idx="18">
                  <c:v>207.19614896976259</c:v>
                </c:pt>
                <c:pt idx="19">
                  <c:v>207.19614896976259</c:v>
                </c:pt>
                <c:pt idx="20">
                  <c:v>207.19614896976259</c:v>
                </c:pt>
                <c:pt idx="21">
                  <c:v>207.19614896976259</c:v>
                </c:pt>
                <c:pt idx="22">
                  <c:v>207.19614896976259</c:v>
                </c:pt>
                <c:pt idx="23">
                  <c:v>207.19614896976259</c:v>
                </c:pt>
                <c:pt idx="24">
                  <c:v>207.19614896976259</c:v>
                </c:pt>
                <c:pt idx="25">
                  <c:v>207.19614896976259</c:v>
                </c:pt>
                <c:pt idx="26">
                  <c:v>207.19614896976259</c:v>
                </c:pt>
                <c:pt idx="27">
                  <c:v>207.19614896976259</c:v>
                </c:pt>
                <c:pt idx="28">
                  <c:v>207.19614896976259</c:v>
                </c:pt>
                <c:pt idx="29">
                  <c:v>207.19614896976259</c:v>
                </c:pt>
                <c:pt idx="30">
                  <c:v>207.19614896976259</c:v>
                </c:pt>
                <c:pt idx="31">
                  <c:v>207.19614896976259</c:v>
                </c:pt>
                <c:pt idx="32">
                  <c:v>207.19614896976259</c:v>
                </c:pt>
                <c:pt idx="33">
                  <c:v>207.19614896976259</c:v>
                </c:pt>
                <c:pt idx="34">
                  <c:v>207.19614896976259</c:v>
                </c:pt>
                <c:pt idx="35">
                  <c:v>207.19614896976259</c:v>
                </c:pt>
                <c:pt idx="36">
                  <c:v>207.19614896976259</c:v>
                </c:pt>
                <c:pt idx="37">
                  <c:v>207.19614896976259</c:v>
                </c:pt>
                <c:pt idx="38">
                  <c:v>207.19614896976259</c:v>
                </c:pt>
                <c:pt idx="39">
                  <c:v>207.19614896976259</c:v>
                </c:pt>
                <c:pt idx="40">
                  <c:v>207.19614896976259</c:v>
                </c:pt>
                <c:pt idx="41">
                  <c:v>207.19614896976259</c:v>
                </c:pt>
                <c:pt idx="42">
                  <c:v>207.19614896976259</c:v>
                </c:pt>
                <c:pt idx="43">
                  <c:v>207.19614896976259</c:v>
                </c:pt>
                <c:pt idx="44">
                  <c:v>207.19614896976259</c:v>
                </c:pt>
                <c:pt idx="45">
                  <c:v>207.19614896976259</c:v>
                </c:pt>
                <c:pt idx="46">
                  <c:v>207.19614896976259</c:v>
                </c:pt>
                <c:pt idx="47">
                  <c:v>207.19614896976259</c:v>
                </c:pt>
                <c:pt idx="48">
                  <c:v>207.19614896976259</c:v>
                </c:pt>
                <c:pt idx="49">
                  <c:v>207.19614896976259</c:v>
                </c:pt>
                <c:pt idx="50">
                  <c:v>207.19614896976259</c:v>
                </c:pt>
                <c:pt idx="51">
                  <c:v>207.19614896976259</c:v>
                </c:pt>
                <c:pt idx="52">
                  <c:v>207.19614896976259</c:v>
                </c:pt>
                <c:pt idx="53">
                  <c:v>207.19614896976259</c:v>
                </c:pt>
                <c:pt idx="54">
                  <c:v>207.19614896976259</c:v>
                </c:pt>
                <c:pt idx="55">
                  <c:v>207.19614896976259</c:v>
                </c:pt>
                <c:pt idx="56">
                  <c:v>207.19614896976259</c:v>
                </c:pt>
                <c:pt idx="57">
                  <c:v>207.19614896976259</c:v>
                </c:pt>
                <c:pt idx="58">
                  <c:v>207.19614896976259</c:v>
                </c:pt>
                <c:pt idx="59">
                  <c:v>207.19614896976259</c:v>
                </c:pt>
                <c:pt idx="60">
                  <c:v>207.19614896976259</c:v>
                </c:pt>
                <c:pt idx="61">
                  <c:v>207.19614896976259</c:v>
                </c:pt>
                <c:pt idx="62">
                  <c:v>207.19614896976259</c:v>
                </c:pt>
                <c:pt idx="63">
                  <c:v>207.19614896976259</c:v>
                </c:pt>
                <c:pt idx="64">
                  <c:v>207.19614896976259</c:v>
                </c:pt>
                <c:pt idx="65">
                  <c:v>207.19614896976259</c:v>
                </c:pt>
                <c:pt idx="66">
                  <c:v>207.19614896976259</c:v>
                </c:pt>
                <c:pt idx="67">
                  <c:v>207.19614896976259</c:v>
                </c:pt>
                <c:pt idx="68">
                  <c:v>207.19614896976259</c:v>
                </c:pt>
                <c:pt idx="69">
                  <c:v>207.19614896976259</c:v>
                </c:pt>
                <c:pt idx="70">
                  <c:v>207.19614896976259</c:v>
                </c:pt>
                <c:pt idx="71">
                  <c:v>207.19614896976259</c:v>
                </c:pt>
                <c:pt idx="72">
                  <c:v>207.19614896976259</c:v>
                </c:pt>
                <c:pt idx="73">
                  <c:v>207.19614896976259</c:v>
                </c:pt>
                <c:pt idx="74">
                  <c:v>207.19614896976259</c:v>
                </c:pt>
                <c:pt idx="75">
                  <c:v>207.19614896976259</c:v>
                </c:pt>
                <c:pt idx="76">
                  <c:v>207.19614896976259</c:v>
                </c:pt>
                <c:pt idx="77">
                  <c:v>207.19614896976259</c:v>
                </c:pt>
                <c:pt idx="78">
                  <c:v>207.19614896976259</c:v>
                </c:pt>
                <c:pt idx="79">
                  <c:v>207.19614896976259</c:v>
                </c:pt>
                <c:pt idx="80">
                  <c:v>207.19614896976259</c:v>
                </c:pt>
                <c:pt idx="81">
                  <c:v>207.19614896976259</c:v>
                </c:pt>
                <c:pt idx="82">
                  <c:v>207.19614896976259</c:v>
                </c:pt>
                <c:pt idx="83">
                  <c:v>207.19614896976259</c:v>
                </c:pt>
                <c:pt idx="84">
                  <c:v>207.19614896976259</c:v>
                </c:pt>
                <c:pt idx="85">
                  <c:v>207.19614896976259</c:v>
                </c:pt>
                <c:pt idx="86">
                  <c:v>207.19614896976259</c:v>
                </c:pt>
                <c:pt idx="87">
                  <c:v>207.19614896976259</c:v>
                </c:pt>
                <c:pt idx="88">
                  <c:v>207.19614896976259</c:v>
                </c:pt>
                <c:pt idx="89">
                  <c:v>207.19614896976259</c:v>
                </c:pt>
                <c:pt idx="90">
                  <c:v>207.19614896976259</c:v>
                </c:pt>
                <c:pt idx="91">
                  <c:v>207.19614896976259</c:v>
                </c:pt>
                <c:pt idx="92">
                  <c:v>207.19614896976259</c:v>
                </c:pt>
                <c:pt idx="93">
                  <c:v>207.19614896976259</c:v>
                </c:pt>
                <c:pt idx="94">
                  <c:v>207.19614896976259</c:v>
                </c:pt>
                <c:pt idx="95">
                  <c:v>207.19614896976259</c:v>
                </c:pt>
                <c:pt idx="96">
                  <c:v>207.19614896976259</c:v>
                </c:pt>
                <c:pt idx="97">
                  <c:v>207.19614896976259</c:v>
                </c:pt>
                <c:pt idx="98">
                  <c:v>207.19614896976259</c:v>
                </c:pt>
                <c:pt idx="99">
                  <c:v>207.19614896976259</c:v>
                </c:pt>
                <c:pt idx="100">
                  <c:v>207.19614896976259</c:v>
                </c:pt>
                <c:pt idx="101">
                  <c:v>207.19614896976259</c:v>
                </c:pt>
                <c:pt idx="102">
                  <c:v>207.19614896976259</c:v>
                </c:pt>
                <c:pt idx="103">
                  <c:v>207.19614896976259</c:v>
                </c:pt>
                <c:pt idx="104">
                  <c:v>207.19614896976259</c:v>
                </c:pt>
                <c:pt idx="105">
                  <c:v>207.19614896976259</c:v>
                </c:pt>
                <c:pt idx="106">
                  <c:v>207.19614896976259</c:v>
                </c:pt>
                <c:pt idx="107">
                  <c:v>207.19614896976259</c:v>
                </c:pt>
                <c:pt idx="108">
                  <c:v>207.19614896976259</c:v>
                </c:pt>
                <c:pt idx="109">
                  <c:v>207.19614896976259</c:v>
                </c:pt>
                <c:pt idx="110">
                  <c:v>207.19614896976259</c:v>
                </c:pt>
                <c:pt idx="111">
                  <c:v>207.19614896976259</c:v>
                </c:pt>
                <c:pt idx="112">
                  <c:v>207.19614896976259</c:v>
                </c:pt>
                <c:pt idx="113">
                  <c:v>207.19614896976259</c:v>
                </c:pt>
                <c:pt idx="114">
                  <c:v>207.19614896976259</c:v>
                </c:pt>
                <c:pt idx="115">
                  <c:v>207.19614896976259</c:v>
                </c:pt>
                <c:pt idx="116">
                  <c:v>207.19614896976259</c:v>
                </c:pt>
                <c:pt idx="117">
                  <c:v>207.19614896976259</c:v>
                </c:pt>
                <c:pt idx="118">
                  <c:v>207.19614896976259</c:v>
                </c:pt>
                <c:pt idx="119">
                  <c:v>207.19614896976259</c:v>
                </c:pt>
                <c:pt idx="120">
                  <c:v>207.19614896976259</c:v>
                </c:pt>
                <c:pt idx="121">
                  <c:v>207.19614896976259</c:v>
                </c:pt>
                <c:pt idx="122">
                  <c:v>207.19614896976259</c:v>
                </c:pt>
                <c:pt idx="123">
                  <c:v>207.19614896976259</c:v>
                </c:pt>
                <c:pt idx="124">
                  <c:v>207.19614896976259</c:v>
                </c:pt>
                <c:pt idx="125">
                  <c:v>207.19614896976259</c:v>
                </c:pt>
                <c:pt idx="126">
                  <c:v>207.19614896976259</c:v>
                </c:pt>
                <c:pt idx="127">
                  <c:v>207.19614896976259</c:v>
                </c:pt>
                <c:pt idx="128">
                  <c:v>207.19614896976259</c:v>
                </c:pt>
                <c:pt idx="129">
                  <c:v>207.19614896976259</c:v>
                </c:pt>
                <c:pt idx="130">
                  <c:v>207.19614896976259</c:v>
                </c:pt>
                <c:pt idx="131">
                  <c:v>207.19614896976259</c:v>
                </c:pt>
                <c:pt idx="132">
                  <c:v>207.19614896976259</c:v>
                </c:pt>
                <c:pt idx="133">
                  <c:v>207.19614896976259</c:v>
                </c:pt>
                <c:pt idx="134">
                  <c:v>207.19614896976259</c:v>
                </c:pt>
                <c:pt idx="135">
                  <c:v>207.19614896976259</c:v>
                </c:pt>
                <c:pt idx="136">
                  <c:v>207.19614896976259</c:v>
                </c:pt>
                <c:pt idx="137">
                  <c:v>207.19614896976259</c:v>
                </c:pt>
                <c:pt idx="138">
                  <c:v>207.19614896976259</c:v>
                </c:pt>
                <c:pt idx="139">
                  <c:v>207.19614896976259</c:v>
                </c:pt>
                <c:pt idx="140">
                  <c:v>207.19614896976259</c:v>
                </c:pt>
                <c:pt idx="141">
                  <c:v>207.19614896976259</c:v>
                </c:pt>
                <c:pt idx="142">
                  <c:v>207.19614896976259</c:v>
                </c:pt>
                <c:pt idx="143">
                  <c:v>207.19614896976259</c:v>
                </c:pt>
                <c:pt idx="144">
                  <c:v>207.19614896976259</c:v>
                </c:pt>
                <c:pt idx="145">
                  <c:v>207.19614896976259</c:v>
                </c:pt>
                <c:pt idx="146">
                  <c:v>207.19614896976259</c:v>
                </c:pt>
                <c:pt idx="147">
                  <c:v>207.19614896976259</c:v>
                </c:pt>
                <c:pt idx="148">
                  <c:v>207.19614896976259</c:v>
                </c:pt>
                <c:pt idx="149">
                  <c:v>207.19614896976259</c:v>
                </c:pt>
                <c:pt idx="150">
                  <c:v>207.19614896976259</c:v>
                </c:pt>
                <c:pt idx="151">
                  <c:v>207.19614896976259</c:v>
                </c:pt>
                <c:pt idx="152">
                  <c:v>207.19614896976259</c:v>
                </c:pt>
                <c:pt idx="153">
                  <c:v>207.19614896976259</c:v>
                </c:pt>
                <c:pt idx="154">
                  <c:v>207.19614896976259</c:v>
                </c:pt>
                <c:pt idx="155">
                  <c:v>207.19614896976259</c:v>
                </c:pt>
                <c:pt idx="156">
                  <c:v>207.19614896976259</c:v>
                </c:pt>
                <c:pt idx="157">
                  <c:v>207.19614896976259</c:v>
                </c:pt>
                <c:pt idx="158">
                  <c:v>207.19614896976259</c:v>
                </c:pt>
                <c:pt idx="159">
                  <c:v>207.19614896976259</c:v>
                </c:pt>
                <c:pt idx="160">
                  <c:v>207.19614896976259</c:v>
                </c:pt>
                <c:pt idx="161">
                  <c:v>207.19614896976259</c:v>
                </c:pt>
                <c:pt idx="162">
                  <c:v>207.19614896976259</c:v>
                </c:pt>
                <c:pt idx="163">
                  <c:v>207.19614896976259</c:v>
                </c:pt>
                <c:pt idx="164">
                  <c:v>207.19614896976259</c:v>
                </c:pt>
                <c:pt idx="165">
                  <c:v>207.19614896976259</c:v>
                </c:pt>
                <c:pt idx="166">
                  <c:v>207.19614896976259</c:v>
                </c:pt>
                <c:pt idx="167">
                  <c:v>207.19614896976259</c:v>
                </c:pt>
                <c:pt idx="168">
                  <c:v>207.19614896976259</c:v>
                </c:pt>
                <c:pt idx="169">
                  <c:v>207.19614896976259</c:v>
                </c:pt>
                <c:pt idx="170">
                  <c:v>207.19614896976259</c:v>
                </c:pt>
                <c:pt idx="171">
                  <c:v>207.19614896976259</c:v>
                </c:pt>
                <c:pt idx="172">
                  <c:v>207.19614896976259</c:v>
                </c:pt>
                <c:pt idx="173">
                  <c:v>207.19614896976259</c:v>
                </c:pt>
                <c:pt idx="174">
                  <c:v>207.19614896976259</c:v>
                </c:pt>
                <c:pt idx="175">
                  <c:v>207.19614896976259</c:v>
                </c:pt>
                <c:pt idx="176">
                  <c:v>207.19614896976259</c:v>
                </c:pt>
                <c:pt idx="177">
                  <c:v>207.19614896976259</c:v>
                </c:pt>
                <c:pt idx="178">
                  <c:v>207.19614896976259</c:v>
                </c:pt>
                <c:pt idx="179">
                  <c:v>207.19614896976259</c:v>
                </c:pt>
                <c:pt idx="180">
                  <c:v>207.19614896976259</c:v>
                </c:pt>
                <c:pt idx="181">
                  <c:v>207.19614896976259</c:v>
                </c:pt>
                <c:pt idx="182">
                  <c:v>207.19614896976259</c:v>
                </c:pt>
                <c:pt idx="183">
                  <c:v>207.19614896976259</c:v>
                </c:pt>
                <c:pt idx="184">
                  <c:v>207.19614896976259</c:v>
                </c:pt>
                <c:pt idx="185">
                  <c:v>207.19614896976259</c:v>
                </c:pt>
                <c:pt idx="186">
                  <c:v>207.19614896976259</c:v>
                </c:pt>
                <c:pt idx="187">
                  <c:v>207.19614896976259</c:v>
                </c:pt>
                <c:pt idx="188">
                  <c:v>207.19614896976259</c:v>
                </c:pt>
                <c:pt idx="189">
                  <c:v>207.19614896976259</c:v>
                </c:pt>
                <c:pt idx="190">
                  <c:v>207.19614896976259</c:v>
                </c:pt>
                <c:pt idx="191">
                  <c:v>207.19614896976259</c:v>
                </c:pt>
                <c:pt idx="192">
                  <c:v>207.19614896976259</c:v>
                </c:pt>
                <c:pt idx="193">
                  <c:v>207.19614896976259</c:v>
                </c:pt>
                <c:pt idx="194">
                  <c:v>207.19614896976259</c:v>
                </c:pt>
                <c:pt idx="195">
                  <c:v>207.19614896976259</c:v>
                </c:pt>
                <c:pt idx="196">
                  <c:v>207.19614896976259</c:v>
                </c:pt>
                <c:pt idx="197">
                  <c:v>207.19614896976259</c:v>
                </c:pt>
                <c:pt idx="198">
                  <c:v>207.19614896976259</c:v>
                </c:pt>
                <c:pt idx="199">
                  <c:v>207.19614896976259</c:v>
                </c:pt>
                <c:pt idx="200">
                  <c:v>207.19614896976259</c:v>
                </c:pt>
                <c:pt idx="201">
                  <c:v>207.19614896976259</c:v>
                </c:pt>
                <c:pt idx="202">
                  <c:v>207.19614896976259</c:v>
                </c:pt>
                <c:pt idx="203">
                  <c:v>207.19614896976259</c:v>
                </c:pt>
                <c:pt idx="204">
                  <c:v>207.19614896976259</c:v>
                </c:pt>
                <c:pt idx="205">
                  <c:v>207.19614896976259</c:v>
                </c:pt>
                <c:pt idx="206">
                  <c:v>207.19614896976259</c:v>
                </c:pt>
                <c:pt idx="207">
                  <c:v>207.19614896976259</c:v>
                </c:pt>
                <c:pt idx="208">
                  <c:v>207.19614896976259</c:v>
                </c:pt>
                <c:pt idx="209">
                  <c:v>207.19614896976259</c:v>
                </c:pt>
                <c:pt idx="210">
                  <c:v>207.19614896976259</c:v>
                </c:pt>
                <c:pt idx="211">
                  <c:v>207.19614896976259</c:v>
                </c:pt>
                <c:pt idx="212">
                  <c:v>207.19614896976259</c:v>
                </c:pt>
                <c:pt idx="213">
                  <c:v>207.19614896976259</c:v>
                </c:pt>
                <c:pt idx="214">
                  <c:v>207.19614896976259</c:v>
                </c:pt>
                <c:pt idx="215">
                  <c:v>207.19614896976259</c:v>
                </c:pt>
                <c:pt idx="216">
                  <c:v>207.19614896976259</c:v>
                </c:pt>
                <c:pt idx="217">
                  <c:v>207.19614896976259</c:v>
                </c:pt>
                <c:pt idx="218">
                  <c:v>207.19614896976259</c:v>
                </c:pt>
                <c:pt idx="219">
                  <c:v>207.19614896976259</c:v>
                </c:pt>
                <c:pt idx="220">
                  <c:v>207.19614896976259</c:v>
                </c:pt>
                <c:pt idx="221">
                  <c:v>207.19614896976259</c:v>
                </c:pt>
                <c:pt idx="222">
                  <c:v>207.19614896976259</c:v>
                </c:pt>
                <c:pt idx="223">
                  <c:v>207.19614896976259</c:v>
                </c:pt>
                <c:pt idx="224">
                  <c:v>207.19614896976259</c:v>
                </c:pt>
                <c:pt idx="225">
                  <c:v>207.19614896976259</c:v>
                </c:pt>
                <c:pt idx="226">
                  <c:v>207.19614896976259</c:v>
                </c:pt>
                <c:pt idx="227">
                  <c:v>207.19614896976259</c:v>
                </c:pt>
                <c:pt idx="228">
                  <c:v>207.19614896976259</c:v>
                </c:pt>
                <c:pt idx="229">
                  <c:v>207.19614896976259</c:v>
                </c:pt>
                <c:pt idx="230">
                  <c:v>207.19614896976259</c:v>
                </c:pt>
                <c:pt idx="231">
                  <c:v>207.19614896976259</c:v>
                </c:pt>
                <c:pt idx="232">
                  <c:v>207.19614896976259</c:v>
                </c:pt>
                <c:pt idx="233">
                  <c:v>207.19614896976259</c:v>
                </c:pt>
                <c:pt idx="234">
                  <c:v>207.19614896976259</c:v>
                </c:pt>
                <c:pt idx="235">
                  <c:v>207.19614896976259</c:v>
                </c:pt>
                <c:pt idx="236">
                  <c:v>207.19614896976259</c:v>
                </c:pt>
                <c:pt idx="237">
                  <c:v>207.19614896976259</c:v>
                </c:pt>
                <c:pt idx="238">
                  <c:v>207.19614896976259</c:v>
                </c:pt>
                <c:pt idx="239">
                  <c:v>207.19614896976259</c:v>
                </c:pt>
                <c:pt idx="240">
                  <c:v>207.19614896976259</c:v>
                </c:pt>
                <c:pt idx="241">
                  <c:v>207.19614896976259</c:v>
                </c:pt>
                <c:pt idx="242">
                  <c:v>207.19614896976259</c:v>
                </c:pt>
                <c:pt idx="243">
                  <c:v>207.19614896976259</c:v>
                </c:pt>
                <c:pt idx="244">
                  <c:v>207.19614896976259</c:v>
                </c:pt>
                <c:pt idx="245">
                  <c:v>207.19614896976259</c:v>
                </c:pt>
                <c:pt idx="246">
                  <c:v>207.19614896976259</c:v>
                </c:pt>
                <c:pt idx="247">
                  <c:v>207.19614896976259</c:v>
                </c:pt>
                <c:pt idx="248">
                  <c:v>207.19614896976259</c:v>
                </c:pt>
                <c:pt idx="249">
                  <c:v>207.19614896976259</c:v>
                </c:pt>
                <c:pt idx="250">
                  <c:v>207.19614896976259</c:v>
                </c:pt>
                <c:pt idx="251">
                  <c:v>207.19614896976259</c:v>
                </c:pt>
                <c:pt idx="252">
                  <c:v>207.19614896976259</c:v>
                </c:pt>
                <c:pt idx="253">
                  <c:v>207.19614896976259</c:v>
                </c:pt>
                <c:pt idx="254">
                  <c:v>207.19614896976259</c:v>
                </c:pt>
                <c:pt idx="255">
                  <c:v>207.19614896976259</c:v>
                </c:pt>
                <c:pt idx="256">
                  <c:v>207.19614896976259</c:v>
                </c:pt>
                <c:pt idx="257">
                  <c:v>207.19614896976259</c:v>
                </c:pt>
                <c:pt idx="258">
                  <c:v>207.19614896976259</c:v>
                </c:pt>
                <c:pt idx="259">
                  <c:v>207.19614896976259</c:v>
                </c:pt>
                <c:pt idx="260">
                  <c:v>207.19614896976259</c:v>
                </c:pt>
                <c:pt idx="261">
                  <c:v>207.19614896976259</c:v>
                </c:pt>
                <c:pt idx="262">
                  <c:v>207.19614896976259</c:v>
                </c:pt>
                <c:pt idx="263">
                  <c:v>207.19614896976259</c:v>
                </c:pt>
                <c:pt idx="264">
                  <c:v>207.19614896976259</c:v>
                </c:pt>
                <c:pt idx="265">
                  <c:v>207.19614896976259</c:v>
                </c:pt>
                <c:pt idx="266">
                  <c:v>207.19614896976259</c:v>
                </c:pt>
                <c:pt idx="267">
                  <c:v>207.19614896976259</c:v>
                </c:pt>
                <c:pt idx="268">
                  <c:v>207.19614896976259</c:v>
                </c:pt>
                <c:pt idx="269">
                  <c:v>207.19614896976259</c:v>
                </c:pt>
                <c:pt idx="270">
                  <c:v>207.19614896976259</c:v>
                </c:pt>
                <c:pt idx="271">
                  <c:v>207.19614896976259</c:v>
                </c:pt>
                <c:pt idx="272">
                  <c:v>207.19614896976259</c:v>
                </c:pt>
                <c:pt idx="273">
                  <c:v>207.19614896976259</c:v>
                </c:pt>
                <c:pt idx="274">
                  <c:v>207.19614896976259</c:v>
                </c:pt>
                <c:pt idx="275">
                  <c:v>207.19614896976259</c:v>
                </c:pt>
                <c:pt idx="276">
                  <c:v>207.19614896976259</c:v>
                </c:pt>
                <c:pt idx="277">
                  <c:v>207.19614896976259</c:v>
                </c:pt>
                <c:pt idx="278">
                  <c:v>207.19614896976259</c:v>
                </c:pt>
                <c:pt idx="279">
                  <c:v>207.19614896976259</c:v>
                </c:pt>
                <c:pt idx="280">
                  <c:v>207.19614896976259</c:v>
                </c:pt>
                <c:pt idx="281">
                  <c:v>207.19614896976259</c:v>
                </c:pt>
                <c:pt idx="282">
                  <c:v>207.19614896976259</c:v>
                </c:pt>
                <c:pt idx="283">
                  <c:v>207.19614896976259</c:v>
                </c:pt>
                <c:pt idx="284">
                  <c:v>207.19614896976259</c:v>
                </c:pt>
                <c:pt idx="285">
                  <c:v>207.19614896976259</c:v>
                </c:pt>
                <c:pt idx="286">
                  <c:v>207.19614896976259</c:v>
                </c:pt>
                <c:pt idx="287">
                  <c:v>207.19614896976259</c:v>
                </c:pt>
                <c:pt idx="288">
                  <c:v>207.19614896976259</c:v>
                </c:pt>
                <c:pt idx="289">
                  <c:v>207.19614896976259</c:v>
                </c:pt>
                <c:pt idx="290">
                  <c:v>207.19614896976259</c:v>
                </c:pt>
                <c:pt idx="291">
                  <c:v>207.19614896976259</c:v>
                </c:pt>
                <c:pt idx="292">
                  <c:v>207.19614896976259</c:v>
                </c:pt>
                <c:pt idx="293">
                  <c:v>207.19614896976259</c:v>
                </c:pt>
                <c:pt idx="294">
                  <c:v>207.19614896976259</c:v>
                </c:pt>
                <c:pt idx="295">
                  <c:v>207.19614896976259</c:v>
                </c:pt>
                <c:pt idx="296">
                  <c:v>207.19614896976259</c:v>
                </c:pt>
                <c:pt idx="297">
                  <c:v>207.19614896976259</c:v>
                </c:pt>
                <c:pt idx="298">
                  <c:v>207.19614896976259</c:v>
                </c:pt>
                <c:pt idx="299">
                  <c:v>207.19614896976259</c:v>
                </c:pt>
                <c:pt idx="300">
                  <c:v>207.19614896976259</c:v>
                </c:pt>
                <c:pt idx="301">
                  <c:v>207.19614896976259</c:v>
                </c:pt>
                <c:pt idx="302">
                  <c:v>207.19614896976259</c:v>
                </c:pt>
                <c:pt idx="303">
                  <c:v>207.19614896976259</c:v>
                </c:pt>
                <c:pt idx="304">
                  <c:v>207.19614896976259</c:v>
                </c:pt>
                <c:pt idx="305">
                  <c:v>207.19614896976259</c:v>
                </c:pt>
                <c:pt idx="306">
                  <c:v>207.19614896976259</c:v>
                </c:pt>
                <c:pt idx="307">
                  <c:v>207.19614896976259</c:v>
                </c:pt>
                <c:pt idx="308">
                  <c:v>207.19614896976259</c:v>
                </c:pt>
                <c:pt idx="309">
                  <c:v>207.19614896976259</c:v>
                </c:pt>
                <c:pt idx="310">
                  <c:v>207.19614896976259</c:v>
                </c:pt>
                <c:pt idx="311">
                  <c:v>207.19614896976259</c:v>
                </c:pt>
                <c:pt idx="312">
                  <c:v>207.19614896976259</c:v>
                </c:pt>
                <c:pt idx="313">
                  <c:v>207.19614896976259</c:v>
                </c:pt>
                <c:pt idx="314">
                  <c:v>207.19614896976259</c:v>
                </c:pt>
                <c:pt idx="315">
                  <c:v>207.19614896976259</c:v>
                </c:pt>
                <c:pt idx="316">
                  <c:v>207.19614896976259</c:v>
                </c:pt>
                <c:pt idx="317">
                  <c:v>207.19614896976259</c:v>
                </c:pt>
                <c:pt idx="318">
                  <c:v>207.19614896976259</c:v>
                </c:pt>
                <c:pt idx="319">
                  <c:v>207.19614896976259</c:v>
                </c:pt>
                <c:pt idx="320">
                  <c:v>207.19614896976259</c:v>
                </c:pt>
                <c:pt idx="321">
                  <c:v>207.19614896976259</c:v>
                </c:pt>
                <c:pt idx="322">
                  <c:v>207.19614896976259</c:v>
                </c:pt>
                <c:pt idx="323">
                  <c:v>207.19614896976259</c:v>
                </c:pt>
                <c:pt idx="324">
                  <c:v>207.19614896976259</c:v>
                </c:pt>
                <c:pt idx="325">
                  <c:v>207.19614896976259</c:v>
                </c:pt>
                <c:pt idx="326">
                  <c:v>207.19614896976259</c:v>
                </c:pt>
                <c:pt idx="327">
                  <c:v>207.19614896976259</c:v>
                </c:pt>
                <c:pt idx="328">
                  <c:v>207.19614896976259</c:v>
                </c:pt>
                <c:pt idx="329">
                  <c:v>207.19614896976259</c:v>
                </c:pt>
                <c:pt idx="330">
                  <c:v>207.19614896976259</c:v>
                </c:pt>
                <c:pt idx="331">
                  <c:v>207.19614896976259</c:v>
                </c:pt>
                <c:pt idx="332">
                  <c:v>207.19614896976259</c:v>
                </c:pt>
                <c:pt idx="333">
                  <c:v>207.19614896976259</c:v>
                </c:pt>
                <c:pt idx="334">
                  <c:v>207.19614896976259</c:v>
                </c:pt>
                <c:pt idx="335">
                  <c:v>207.19614896976259</c:v>
                </c:pt>
                <c:pt idx="336">
                  <c:v>207.19614896976259</c:v>
                </c:pt>
                <c:pt idx="337">
                  <c:v>207.19614896976259</c:v>
                </c:pt>
                <c:pt idx="338">
                  <c:v>207.19614896976259</c:v>
                </c:pt>
                <c:pt idx="339">
                  <c:v>207.19614896976259</c:v>
                </c:pt>
                <c:pt idx="340">
                  <c:v>207.19614896976259</c:v>
                </c:pt>
                <c:pt idx="341">
                  <c:v>207.19614896976259</c:v>
                </c:pt>
                <c:pt idx="342">
                  <c:v>207.19614896976259</c:v>
                </c:pt>
                <c:pt idx="343">
                  <c:v>207.19614896976259</c:v>
                </c:pt>
                <c:pt idx="344">
                  <c:v>207.19614896976259</c:v>
                </c:pt>
                <c:pt idx="345">
                  <c:v>207.19614896976259</c:v>
                </c:pt>
                <c:pt idx="346">
                  <c:v>207.19614896976259</c:v>
                </c:pt>
                <c:pt idx="347">
                  <c:v>207.19614896976259</c:v>
                </c:pt>
                <c:pt idx="348">
                  <c:v>207.19614896976259</c:v>
                </c:pt>
                <c:pt idx="349">
                  <c:v>207.19614896976259</c:v>
                </c:pt>
                <c:pt idx="350">
                  <c:v>207.19614896976259</c:v>
                </c:pt>
                <c:pt idx="351">
                  <c:v>207.19614896976259</c:v>
                </c:pt>
                <c:pt idx="352">
                  <c:v>207.19614896976259</c:v>
                </c:pt>
                <c:pt idx="353">
                  <c:v>207.19614896976259</c:v>
                </c:pt>
                <c:pt idx="354">
                  <c:v>207.19614896976259</c:v>
                </c:pt>
                <c:pt idx="355">
                  <c:v>207.19614896976259</c:v>
                </c:pt>
                <c:pt idx="356">
                  <c:v>207.19614896976259</c:v>
                </c:pt>
                <c:pt idx="357">
                  <c:v>207.19614896976259</c:v>
                </c:pt>
                <c:pt idx="358">
                  <c:v>207.19614896976259</c:v>
                </c:pt>
                <c:pt idx="359">
                  <c:v>207.19614896976259</c:v>
                </c:pt>
                <c:pt idx="360">
                  <c:v>207.19614896976259</c:v>
                </c:pt>
                <c:pt idx="361">
                  <c:v>207.19614896976259</c:v>
                </c:pt>
                <c:pt idx="362">
                  <c:v>207.19614896976259</c:v>
                </c:pt>
                <c:pt idx="363">
                  <c:v>207.19614896976259</c:v>
                </c:pt>
                <c:pt idx="364">
                  <c:v>207.19614896976259</c:v>
                </c:pt>
                <c:pt idx="365">
                  <c:v>207.19614896976259</c:v>
                </c:pt>
                <c:pt idx="366">
                  <c:v>207.19614896976259</c:v>
                </c:pt>
                <c:pt idx="367">
                  <c:v>207.19614896976259</c:v>
                </c:pt>
                <c:pt idx="368">
                  <c:v>207.19614896976259</c:v>
                </c:pt>
                <c:pt idx="369">
                  <c:v>207.19614896976259</c:v>
                </c:pt>
                <c:pt idx="370">
                  <c:v>207.19614896976259</c:v>
                </c:pt>
                <c:pt idx="371">
                  <c:v>207.19614896976259</c:v>
                </c:pt>
                <c:pt idx="372">
                  <c:v>207.19614896976259</c:v>
                </c:pt>
                <c:pt idx="373">
                  <c:v>207.19614896976259</c:v>
                </c:pt>
                <c:pt idx="374">
                  <c:v>207.19614896976259</c:v>
                </c:pt>
                <c:pt idx="375">
                  <c:v>207.19614896976259</c:v>
                </c:pt>
                <c:pt idx="376">
                  <c:v>207.19614896976259</c:v>
                </c:pt>
                <c:pt idx="377">
                  <c:v>207.19614896976259</c:v>
                </c:pt>
                <c:pt idx="378">
                  <c:v>207.19614896976259</c:v>
                </c:pt>
                <c:pt idx="379">
                  <c:v>207.19614896976259</c:v>
                </c:pt>
                <c:pt idx="380">
                  <c:v>207.19614896976259</c:v>
                </c:pt>
                <c:pt idx="381">
                  <c:v>207.19614896976259</c:v>
                </c:pt>
                <c:pt idx="382">
                  <c:v>207.19614896976259</c:v>
                </c:pt>
                <c:pt idx="383">
                  <c:v>207.19614896976259</c:v>
                </c:pt>
                <c:pt idx="384">
                  <c:v>207.19614896976259</c:v>
                </c:pt>
                <c:pt idx="385">
                  <c:v>207.19614896976259</c:v>
                </c:pt>
                <c:pt idx="386">
                  <c:v>207.19614896976259</c:v>
                </c:pt>
                <c:pt idx="387">
                  <c:v>207.19614896976259</c:v>
                </c:pt>
                <c:pt idx="388">
                  <c:v>207.19614896976259</c:v>
                </c:pt>
                <c:pt idx="389">
                  <c:v>207.19614896976259</c:v>
                </c:pt>
                <c:pt idx="390">
                  <c:v>207.19614896976259</c:v>
                </c:pt>
                <c:pt idx="391">
                  <c:v>207.19614896976259</c:v>
                </c:pt>
                <c:pt idx="392">
                  <c:v>207.19614896976259</c:v>
                </c:pt>
                <c:pt idx="393">
                  <c:v>207.19614896976259</c:v>
                </c:pt>
                <c:pt idx="394">
                  <c:v>207.19614896976259</c:v>
                </c:pt>
                <c:pt idx="395">
                  <c:v>207.19614896976259</c:v>
                </c:pt>
                <c:pt idx="396">
                  <c:v>207.19614896976259</c:v>
                </c:pt>
                <c:pt idx="397">
                  <c:v>207.19614896976259</c:v>
                </c:pt>
                <c:pt idx="398">
                  <c:v>207.19614896976259</c:v>
                </c:pt>
                <c:pt idx="399">
                  <c:v>207.19614896976259</c:v>
                </c:pt>
                <c:pt idx="400">
                  <c:v>207.19614896976259</c:v>
                </c:pt>
                <c:pt idx="401">
                  <c:v>207.19614896976259</c:v>
                </c:pt>
                <c:pt idx="402">
                  <c:v>207.19614896976259</c:v>
                </c:pt>
                <c:pt idx="403">
                  <c:v>207.19614896976259</c:v>
                </c:pt>
                <c:pt idx="404">
                  <c:v>207.19614896976259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6E2-42CB-AE1B-292E377EA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955024"/>
        <c:axId val="1"/>
      </c:lineChart>
      <c:catAx>
        <c:axId val="107895502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12700">
            <a:solidFill>
              <a:srgbClr val="333333"/>
            </a:solidFill>
            <a:prstDash val="solid"/>
          </a:ln>
        </c:spPr>
        <c:txPr>
          <a:bodyPr rot="-540000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2"/>
        <c:tickMarkSkip val="12"/>
        <c:noMultiLvlLbl val="0"/>
      </c:catAx>
      <c:valAx>
        <c:axId val="1"/>
        <c:scaling>
          <c:orientation val="minMax"/>
          <c:min val="70"/>
        </c:scaling>
        <c:delete val="0"/>
        <c:axPos val="l"/>
        <c:numFmt formatCode="_-* #,##0.0\ _€_-;\-* #,##0.0\ _€_-;_-* &quot;-&quot;??\ _€_-;_-@_-" sourceLinked="1"/>
        <c:majorTickMark val="none"/>
        <c:minorTickMark val="none"/>
        <c:tickLblPos val="none"/>
        <c:spPr>
          <a:ln w="6350">
            <a:noFill/>
          </a:ln>
        </c:spPr>
        <c:crossAx val="10789550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1400">
                <a:solidFill>
                  <a:srgbClr val="00003A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400">
                <a:solidFill>
                  <a:schemeClr val="accent2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400"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45751019128253373"/>
          <c:y val="0.14293785310734464"/>
          <c:w val="0.42113515208529317"/>
          <c:h val="0.148022598870056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600" b="0" i="0" u="none" strike="noStrike" baseline="0">
          <a:solidFill>
            <a:srgbClr val="333399"/>
          </a:solidFill>
          <a:latin typeface="Montserrat" pitchFamily="2" charset="0"/>
          <a:ea typeface="Microsoft Sans Serif" panose="020B0604020202020204" pitchFamily="34" charset="0"/>
          <a:cs typeface="Microsoft Sans Serif" panose="020B0604020202020204" pitchFamily="34" charset="0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837026645195063E-2"/>
          <c:y val="0.10895156268415511"/>
          <c:w val="0.88258733885921814"/>
          <c:h val="0.71278740157480314"/>
        </c:manualLayout>
      </c:layout>
      <c:lineChart>
        <c:grouping val="standard"/>
        <c:varyColors val="0"/>
        <c:ser>
          <c:idx val="1"/>
          <c:order val="0"/>
          <c:tx>
            <c:v>Medias mensuales</c:v>
          </c:tx>
          <c:spPr>
            <a:ln w="22225">
              <a:solidFill>
                <a:srgbClr val="00003A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3A"/>
              </a:solidFill>
              <a:ln w="22225">
                <a:noFill/>
              </a:ln>
            </c:spPr>
          </c:marker>
          <c:dPt>
            <c:idx val="314"/>
            <c:bubble3D val="0"/>
            <c:extLst>
              <c:ext xmlns:c16="http://schemas.microsoft.com/office/drawing/2014/chart" uri="{C3380CC4-5D6E-409C-BE32-E72D297353CC}">
                <c16:uniqueId val="{00000000-B53F-486F-9567-AF2EAAEFF395}"/>
              </c:ext>
            </c:extLst>
          </c:dPt>
          <c:dPt>
            <c:idx val="326"/>
            <c:bubble3D val="0"/>
            <c:extLst>
              <c:ext xmlns:c16="http://schemas.microsoft.com/office/drawing/2014/chart" uri="{C3380CC4-5D6E-409C-BE32-E72D297353CC}">
                <c16:uniqueId val="{00000001-B53F-486F-9567-AF2EAAEFF395}"/>
              </c:ext>
            </c:extLst>
          </c:dPt>
          <c:dPt>
            <c:idx val="373"/>
            <c:bubble3D val="0"/>
            <c:extLst>
              <c:ext xmlns:c16="http://schemas.microsoft.com/office/drawing/2014/chart" uri="{C3380CC4-5D6E-409C-BE32-E72D297353CC}">
                <c16:uniqueId val="{0000001B-B53F-486F-9567-AF2EAAEFF395}"/>
              </c:ext>
            </c:extLst>
          </c:dPt>
          <c:dPt>
            <c:idx val="374"/>
            <c:bubble3D val="0"/>
            <c:extLst>
              <c:ext xmlns:c16="http://schemas.microsoft.com/office/drawing/2014/chart" uri="{C3380CC4-5D6E-409C-BE32-E72D297353CC}">
                <c16:uniqueId val="{00000023-B53F-486F-9567-AF2EAAEFF395}"/>
              </c:ext>
            </c:extLst>
          </c:dPt>
          <c:dPt>
            <c:idx val="375"/>
            <c:bubble3D val="0"/>
            <c:extLst>
              <c:ext xmlns:c16="http://schemas.microsoft.com/office/drawing/2014/chart" uri="{C3380CC4-5D6E-409C-BE32-E72D297353CC}">
                <c16:uniqueId val="{0000001C-B53F-486F-9567-AF2EAAEFF395}"/>
              </c:ext>
            </c:extLst>
          </c:dPt>
          <c:dPt>
            <c:idx val="376"/>
            <c:bubble3D val="0"/>
            <c:extLst>
              <c:ext xmlns:c16="http://schemas.microsoft.com/office/drawing/2014/chart" uri="{C3380CC4-5D6E-409C-BE32-E72D297353CC}">
                <c16:uniqueId val="{00000024-B53F-486F-9567-AF2EAAEFF395}"/>
              </c:ext>
            </c:extLst>
          </c:dPt>
          <c:dPt>
            <c:idx val="377"/>
            <c:bubble3D val="0"/>
            <c:extLst>
              <c:ext xmlns:c16="http://schemas.microsoft.com/office/drawing/2014/chart" uri="{C3380CC4-5D6E-409C-BE32-E72D297353CC}">
                <c16:uniqueId val="{0000001D-B53F-486F-9567-AF2EAAEFF395}"/>
              </c:ext>
            </c:extLst>
          </c:dPt>
          <c:dPt>
            <c:idx val="378"/>
            <c:bubble3D val="0"/>
            <c:extLst>
              <c:ext xmlns:c16="http://schemas.microsoft.com/office/drawing/2014/chart" uri="{C3380CC4-5D6E-409C-BE32-E72D297353CC}">
                <c16:uniqueId val="{00000009-53AA-4405-9A5A-9FCE06AAEDFF}"/>
              </c:ext>
            </c:extLst>
          </c:dPt>
          <c:dPt>
            <c:idx val="379"/>
            <c:bubble3D val="0"/>
            <c:extLst>
              <c:ext xmlns:c16="http://schemas.microsoft.com/office/drawing/2014/chart" uri="{C3380CC4-5D6E-409C-BE32-E72D297353CC}">
                <c16:uniqueId val="{0000000A-BEEB-49FD-8CC3-17759096DB54}"/>
              </c:ext>
            </c:extLst>
          </c:dPt>
          <c:dPt>
            <c:idx val="380"/>
            <c:bubble3D val="0"/>
            <c:extLst>
              <c:ext xmlns:c16="http://schemas.microsoft.com/office/drawing/2014/chart" uri="{C3380CC4-5D6E-409C-BE32-E72D297353CC}">
                <c16:uniqueId val="{0000000C-31E1-4EB1-8842-D611CA64E2AA}"/>
              </c:ext>
            </c:extLst>
          </c:dPt>
          <c:dPt>
            <c:idx val="381"/>
            <c:bubble3D val="0"/>
            <c:extLst>
              <c:ext xmlns:c16="http://schemas.microsoft.com/office/drawing/2014/chart" uri="{C3380CC4-5D6E-409C-BE32-E72D297353CC}">
                <c16:uniqueId val="{0000000E-C232-4CD9-9F84-73481FF4F4B8}"/>
              </c:ext>
            </c:extLst>
          </c:dPt>
          <c:dPt>
            <c:idx val="382"/>
            <c:bubble3D val="0"/>
            <c:extLst>
              <c:ext xmlns:c16="http://schemas.microsoft.com/office/drawing/2014/chart" uri="{C3380CC4-5D6E-409C-BE32-E72D297353CC}">
                <c16:uniqueId val="{0000000C-CEB3-4C62-86BD-877F4F6A9A01}"/>
              </c:ext>
            </c:extLst>
          </c:dPt>
          <c:dPt>
            <c:idx val="383"/>
            <c:bubble3D val="0"/>
            <c:extLst>
              <c:ext xmlns:c16="http://schemas.microsoft.com/office/drawing/2014/chart" uri="{C3380CC4-5D6E-409C-BE32-E72D297353CC}">
                <c16:uniqueId val="{00000010-9436-4A81-9B52-CB37C8DB742C}"/>
              </c:ext>
            </c:extLst>
          </c:dPt>
          <c:dPt>
            <c:idx val="390"/>
            <c:bubble3D val="0"/>
            <c:extLst>
              <c:ext xmlns:c16="http://schemas.microsoft.com/office/drawing/2014/chart" uri="{C3380CC4-5D6E-409C-BE32-E72D297353CC}">
                <c16:uniqueId val="{00000010-55CE-4D59-856D-6A3A1D49A79F}"/>
              </c:ext>
            </c:extLst>
          </c:dPt>
          <c:dLbls>
            <c:dLbl>
              <c:idx val="28"/>
              <c:layout>
                <c:manualLayout>
                  <c:x val="1.2536872719547559E-3"/>
                  <c:y val="2.7091633182841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3F-486F-9567-AF2EAAEFF395}"/>
                </c:ext>
              </c:extLst>
            </c:dLbl>
            <c:dLbl>
              <c:idx val="40"/>
              <c:layout>
                <c:manualLayout>
                  <c:x val="-7.7728610861196298E-2"/>
                  <c:y val="-2.2576360985701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3F-486F-9567-AF2EAAEFF395}"/>
                </c:ext>
              </c:extLst>
            </c:dLbl>
            <c:dLbl>
              <c:idx val="52"/>
              <c:layout>
                <c:manualLayout>
                  <c:x val="1.6300007561609844E-2"/>
                  <c:y val="-8.0661604702851539E-3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3F-486F-9567-AF2EAAEFF395}"/>
                </c:ext>
              </c:extLst>
            </c:dLbl>
            <c:dLbl>
              <c:idx val="99"/>
              <c:layout>
                <c:manualLayout>
                  <c:x val="-7.0193061916949046E-2"/>
                  <c:y val="2.3567765436231292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3F-486F-9567-AF2EAAEFF395}"/>
                </c:ext>
              </c:extLst>
            </c:dLbl>
            <c:dLbl>
              <c:idx val="118"/>
              <c:layout>
                <c:manualLayout>
                  <c:x val="-5.3978724218141212E-2"/>
                  <c:y val="-4.311538592112011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3F-486F-9567-AF2EAAEFF395}"/>
                </c:ext>
              </c:extLst>
            </c:dLbl>
            <c:dLbl>
              <c:idx val="134"/>
              <c:layout>
                <c:manualLayout>
                  <c:x val="0"/>
                  <c:y val="-2.7196652719665274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3F-486F-9567-AF2EAAEFF395}"/>
                </c:ext>
              </c:extLst>
            </c:dLbl>
            <c:dLbl>
              <c:idx val="181"/>
              <c:layout>
                <c:manualLayout>
                  <c:x val="6.2663633335760813E-3"/>
                  <c:y val="-4.7184238926872679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53F-486F-9567-AF2EAAEFF395}"/>
                </c:ext>
              </c:extLst>
            </c:dLbl>
            <c:dLbl>
              <c:idx val="197"/>
              <c:layout>
                <c:manualLayout>
                  <c:x val="-3.1382979196593851E-2"/>
                  <c:y val="-3.1769231731351696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53F-486F-9567-AF2EAAEFF395}"/>
                </c:ext>
              </c:extLst>
            </c:dLbl>
            <c:dLbl>
              <c:idx val="216"/>
              <c:layout>
                <c:manualLayout>
                  <c:x val="-4.0170213371639917E-2"/>
                  <c:y val="-3.4038462569305344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53F-486F-9567-AF2EAAEFF395}"/>
                </c:ext>
              </c:extLst>
            </c:dLbl>
            <c:dLbl>
              <c:idx val="227"/>
              <c:layout>
                <c:manualLayout>
                  <c:x val="-6.143067632578425E-2"/>
                  <c:y val="3.61221775771226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53F-486F-9567-AF2EAAEFF395}"/>
                </c:ext>
              </c:extLst>
            </c:dLbl>
            <c:dLbl>
              <c:idx val="236"/>
              <c:layout>
                <c:manualLayout>
                  <c:x val="-3.5137276598267125E-2"/>
                  <c:y val="-4.6018021282904567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53F-486F-9567-AF2EAAEFF395}"/>
                </c:ext>
              </c:extLst>
            </c:dLbl>
            <c:dLbl>
              <c:idx val="247"/>
              <c:layout>
                <c:manualLayout>
                  <c:x val="-4.1371679974507795E-2"/>
                  <c:y val="4.2895085872833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53F-486F-9567-AF2EAAEFF395}"/>
                </c:ext>
              </c:extLst>
            </c:dLbl>
            <c:dLbl>
              <c:idx val="253"/>
              <c:layout>
                <c:manualLayout>
                  <c:x val="-2.8834807254960005E-2"/>
                  <c:y val="-4.5680688838549331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53F-486F-9567-AF2EAAEFF395}"/>
                </c:ext>
              </c:extLst>
            </c:dLbl>
            <c:dLbl>
              <c:idx val="274"/>
              <c:layout>
                <c:manualLayout>
                  <c:x val="-9.2884209246131277E-2"/>
                  <c:y val="3.1134046165636185E-3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53F-486F-9567-AF2EAAEFF395}"/>
                </c:ext>
              </c:extLst>
            </c:dLbl>
            <c:dLbl>
              <c:idx val="282"/>
              <c:layout>
                <c:manualLayout>
                  <c:x val="-5.8963182857297507E-2"/>
                  <c:y val="-5.040003711767066E-2"/>
                </c:manualLayout>
              </c:layout>
              <c:numFmt formatCode="#,##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53F-486F-9567-AF2EAAEFF395}"/>
                </c:ext>
              </c:extLst>
            </c:dLbl>
            <c:dLbl>
              <c:idx val="291"/>
              <c:layout>
                <c:manualLayout>
                  <c:x val="-4.5132741790372036E-2"/>
                  <c:y val="6.0956174661394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53F-486F-9567-AF2EAAEFF395}"/>
                </c:ext>
              </c:extLst>
            </c:dLbl>
            <c:dLbl>
              <c:idx val="299"/>
              <c:layout>
                <c:manualLayout>
                  <c:x val="-8.7758109036834512E-3"/>
                  <c:y val="4.2895085872833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53F-486F-9567-AF2EAAEFF395}"/>
                </c:ext>
              </c:extLst>
            </c:dLbl>
            <c:dLbl>
              <c:idx val="308"/>
              <c:layout>
                <c:manualLayout>
                  <c:x val="-5.0189148833212009E-2"/>
                  <c:y val="-8.3532535647096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53F-486F-9567-AF2EAAEFF395}"/>
                </c:ext>
              </c:extLst>
            </c:dLbl>
            <c:dLbl>
              <c:idx val="318"/>
              <c:layout>
                <c:manualLayout>
                  <c:x val="-4.0119900346417277E-2"/>
                  <c:y val="9.258561323902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53F-486F-9567-AF2EAAEFF395}"/>
                </c:ext>
              </c:extLst>
            </c:dLbl>
            <c:dLbl>
              <c:idx val="321"/>
              <c:layout>
                <c:manualLayout>
                  <c:x val="-3.5106046974220151E-2"/>
                  <c:y val="-6.9986719055675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F-486F-9567-AF2EAAEFF395}"/>
                </c:ext>
              </c:extLst>
            </c:dLbl>
            <c:dLbl>
              <c:idx val="326"/>
              <c:layout>
                <c:manualLayout>
                  <c:x val="-1.3786564543966526E-2"/>
                  <c:y val="5.6436318341563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3F-486F-9567-AF2EAAEFF395}"/>
                </c:ext>
              </c:extLst>
            </c:dLbl>
            <c:dLbl>
              <c:idx val="336"/>
              <c:layout>
                <c:manualLayout>
                  <c:x val="-7.7728610861196382E-2"/>
                  <c:y val="-2.93492692814122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53F-486F-9567-AF2EAAEFF395}"/>
                </c:ext>
              </c:extLst>
            </c:dLbl>
            <c:dLbl>
              <c:idx val="359"/>
              <c:layout>
                <c:manualLayout>
                  <c:x val="-1.7551621807366902E-2"/>
                  <c:y val="-5.644090246425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53F-486F-9567-AF2EAAEFF395}"/>
                </c:ext>
              </c:extLst>
            </c:dLbl>
            <c:dLbl>
              <c:idx val="363"/>
              <c:layout>
                <c:manualLayout>
                  <c:x val="3.7610618158641527E-3"/>
                  <c:y val="-5.644090246425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53F-486F-9567-AF2EAAEFF395}"/>
                </c:ext>
              </c:extLst>
            </c:dLbl>
            <c:dLbl>
              <c:idx val="37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53F-486F-9567-AF2EAAEFF395}"/>
                </c:ext>
              </c:extLst>
            </c:dLbl>
            <c:dLbl>
              <c:idx val="372"/>
              <c:layout>
                <c:manualLayout>
                  <c:x val="6.2715584822826635E-3"/>
                  <c:y val="-2.7118644067796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53F-486F-9567-AF2EAAEFF395}"/>
                </c:ext>
              </c:extLst>
            </c:dLbl>
            <c:dLbl>
              <c:idx val="374"/>
              <c:layout>
                <c:manualLayout>
                  <c:x val="-7.2750078394481027E-2"/>
                  <c:y val="-2.2598870056497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53F-486F-9567-AF2EAAEFF395}"/>
                </c:ext>
              </c:extLst>
            </c:dLbl>
            <c:dLbl>
              <c:idx val="375"/>
              <c:layout>
                <c:manualLayout>
                  <c:x val="-7.0241455001568073E-2"/>
                  <c:y val="-8.286156631660470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53F-486F-9567-AF2EAAEFF395}"/>
                </c:ext>
              </c:extLst>
            </c:dLbl>
            <c:dLbl>
              <c:idx val="379"/>
              <c:layout>
                <c:manualLayout>
                  <c:x val="-7.7767325180307309E-2"/>
                  <c:y val="9.03954802259887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EEB-49FD-8CC3-17759096DB54}"/>
                </c:ext>
              </c:extLst>
            </c:dLbl>
            <c:dLbl>
              <c:idx val="381"/>
              <c:layout>
                <c:manualLayout>
                  <c:x val="-8.5293195359046725E-2"/>
                  <c:y val="4.519774011299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232-4CD9-9F84-73481FF4F4B8}"/>
                </c:ext>
              </c:extLst>
            </c:dLbl>
            <c:dLbl>
              <c:idx val="383"/>
              <c:layout>
                <c:manualLayout>
                  <c:x val="-6.8987143305111326E-2"/>
                  <c:y val="7.00564971751412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36-4A81-9B52-CB37C8DB742C}"/>
                </c:ext>
              </c:extLst>
            </c:dLbl>
            <c:dLbl>
              <c:idx val="390"/>
              <c:layout>
                <c:manualLayout>
                  <c:x val="-1.3797428661022263E-2"/>
                  <c:y val="0.101694915254237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5CE-4D59-856D-6A3A1D49A79F}"/>
                </c:ext>
              </c:extLst>
            </c:dLbl>
            <c:dLbl>
              <c:idx val="392"/>
              <c:layout>
                <c:manualLayout>
                  <c:x val="1.0034493571652555E-2"/>
                  <c:y val="-2.25988700564971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AB-4D9E-9947-8578765DA75F}"/>
                </c:ext>
              </c:extLst>
            </c:dLbl>
            <c:dLbl>
              <c:idx val="399"/>
              <c:layout>
                <c:manualLayout>
                  <c:x val="-5.0172467858262777E-3"/>
                  <c:y val="5.19774011299435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52-429A-B632-F30D5AE6361C}"/>
                </c:ext>
              </c:extLst>
            </c:dLbl>
            <c:dLbl>
              <c:idx val="404"/>
              <c:layout>
                <c:manualLayout>
                  <c:x val="3.7629350893697085E-3"/>
                  <c:y val="-3.84180790960451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79C-412E-B0B6-CED6BBD10EA6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SOJA!$B$2:$B$406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SOJA!$K$2:$K$406</c:f>
              <c:numCache>
                <c:formatCode>_-* #,##0.0\ _€_-;\-* #,##0.0\ _€_-;_-* "-"??\ _€_-;_-@_-</c:formatCode>
                <c:ptCount val="405"/>
                <c:pt idx="0">
                  <c:v>221.58835021451307</c:v>
                </c:pt>
                <c:pt idx="1">
                  <c:v>204.14004509820097</c:v>
                </c:pt>
                <c:pt idx="2">
                  <c:v>201.73564775898609</c:v>
                </c:pt>
                <c:pt idx="3">
                  <c:v>203.45604127290216</c:v>
                </c:pt>
                <c:pt idx="4">
                  <c:v>205.74874891513875</c:v>
                </c:pt>
                <c:pt idx="5">
                  <c:v>209.05177021232251</c:v>
                </c:pt>
                <c:pt idx="6">
                  <c:v>241.74957956906985</c:v>
                </c:pt>
                <c:pt idx="7">
                  <c:v>238.1872632356899</c:v>
                </c:pt>
                <c:pt idx="8">
                  <c:v>227.89159265756416</c:v>
                </c:pt>
                <c:pt idx="9">
                  <c:v>217.78709498558837</c:v>
                </c:pt>
                <c:pt idx="10">
                  <c:v>227.80030839490283</c:v>
                </c:pt>
                <c:pt idx="11">
                  <c:v>228.78911372901524</c:v>
                </c:pt>
                <c:pt idx="12">
                  <c:v>231.37519409342573</c:v>
                </c:pt>
                <c:pt idx="13">
                  <c:v>223.95366530066346</c:v>
                </c:pt>
                <c:pt idx="14">
                  <c:v>224.92605115719539</c:v>
                </c:pt>
                <c:pt idx="15">
                  <c:v>214.96963115776782</c:v>
                </c:pt>
                <c:pt idx="16">
                  <c:v>222.31135941495447</c:v>
                </c:pt>
                <c:pt idx="17">
                  <c:v>224.94544639078552</c:v>
                </c:pt>
                <c:pt idx="18">
                  <c:v>207.30647276750216</c:v>
                </c:pt>
                <c:pt idx="19">
                  <c:v>206.34079944846195</c:v>
                </c:pt>
                <c:pt idx="20">
                  <c:v>211.07741224233462</c:v>
                </c:pt>
                <c:pt idx="21">
                  <c:v>209.45829172260989</c:v>
                </c:pt>
                <c:pt idx="22">
                  <c:v>205.79189501206318</c:v>
                </c:pt>
                <c:pt idx="23">
                  <c:v>206.46352923728554</c:v>
                </c:pt>
                <c:pt idx="24">
                  <c:v>215.61578602805858</c:v>
                </c:pt>
                <c:pt idx="25">
                  <c:v>189.57058692294814</c:v>
                </c:pt>
                <c:pt idx="26">
                  <c:v>188.05868540565555</c:v>
                </c:pt>
                <c:pt idx="27">
                  <c:v>184.98589891027504</c:v>
                </c:pt>
                <c:pt idx="28">
                  <c:v>182.95041550049524</c:v>
                </c:pt>
                <c:pt idx="29">
                  <c:v>191.21384969579725</c:v>
                </c:pt>
                <c:pt idx="30">
                  <c:v>209.2319877566708</c:v>
                </c:pt>
                <c:pt idx="31">
                  <c:v>211.63026474696898</c:v>
                </c:pt>
                <c:pt idx="32">
                  <c:v>215.58070580104848</c:v>
                </c:pt>
                <c:pt idx="33">
                  <c:v>230.09712884563854</c:v>
                </c:pt>
                <c:pt idx="34">
                  <c:v>234.25926619094429</c:v>
                </c:pt>
                <c:pt idx="35">
                  <c:v>243.05665231350011</c:v>
                </c:pt>
                <c:pt idx="36">
                  <c:v>244.78281637918184</c:v>
                </c:pt>
                <c:pt idx="37">
                  <c:v>243.83803089407158</c:v>
                </c:pt>
                <c:pt idx="38">
                  <c:v>240.80928147804758</c:v>
                </c:pt>
                <c:pt idx="39">
                  <c:v>260.39826327761267</c:v>
                </c:pt>
                <c:pt idx="40">
                  <c:v>264.43714082609898</c:v>
                </c:pt>
                <c:pt idx="41">
                  <c:v>255.5893070841272</c:v>
                </c:pt>
                <c:pt idx="42">
                  <c:v>255.29366128642278</c:v>
                </c:pt>
                <c:pt idx="43">
                  <c:v>264.3926408074467</c:v>
                </c:pt>
                <c:pt idx="44">
                  <c:v>276.18305079214048</c:v>
                </c:pt>
                <c:pt idx="45">
                  <c:v>270.18976693528703</c:v>
                </c:pt>
                <c:pt idx="46">
                  <c:v>270.51142167938383</c:v>
                </c:pt>
                <c:pt idx="47">
                  <c:v>271.52671249883991</c:v>
                </c:pt>
                <c:pt idx="48">
                  <c:v>268.16421398525313</c:v>
                </c:pt>
                <c:pt idx="49">
                  <c:v>267.19051296936266</c:v>
                </c:pt>
                <c:pt idx="50">
                  <c:v>269.43027781973808</c:v>
                </c:pt>
                <c:pt idx="51">
                  <c:v>278.32528420769864</c:v>
                </c:pt>
                <c:pt idx="52">
                  <c:v>282.15587637900586</c:v>
                </c:pt>
                <c:pt idx="53">
                  <c:v>266.39677576640702</c:v>
                </c:pt>
                <c:pt idx="54">
                  <c:v>251.68306759367385</c:v>
                </c:pt>
                <c:pt idx="55">
                  <c:v>262.78570291077364</c:v>
                </c:pt>
                <c:pt idx="56">
                  <c:v>268.24087079140435</c:v>
                </c:pt>
                <c:pt idx="57">
                  <c:v>268.84987633539129</c:v>
                </c:pt>
                <c:pt idx="58">
                  <c:v>267.77380608945253</c:v>
                </c:pt>
                <c:pt idx="59">
                  <c:v>267.21149731033074</c:v>
                </c:pt>
                <c:pt idx="60">
                  <c:v>265.19740648359391</c:v>
                </c:pt>
                <c:pt idx="61">
                  <c:v>262.79190754934069</c:v>
                </c:pt>
                <c:pt idx="62">
                  <c:v>205.6152765354812</c:v>
                </c:pt>
                <c:pt idx="63">
                  <c:v>202.22428392232359</c:v>
                </c:pt>
                <c:pt idx="64">
                  <c:v>203.09163563561165</c:v>
                </c:pt>
                <c:pt idx="65">
                  <c:v>197.41671357290582</c:v>
                </c:pt>
                <c:pt idx="66">
                  <c:v>192.40873409381504</c:v>
                </c:pt>
                <c:pt idx="67">
                  <c:v>180.95067058425622</c:v>
                </c:pt>
                <c:pt idx="68">
                  <c:v>181.00664645547374</c:v>
                </c:pt>
                <c:pt idx="69">
                  <c:v>184.31697567978307</c:v>
                </c:pt>
                <c:pt idx="70">
                  <c:v>189.23243294923898</c:v>
                </c:pt>
                <c:pt idx="71">
                  <c:v>182.99415328974879</c:v>
                </c:pt>
                <c:pt idx="72">
                  <c:v>168.96183300990978</c:v>
                </c:pt>
                <c:pt idx="73">
                  <c:v>153.41328338848214</c:v>
                </c:pt>
                <c:pt idx="74">
                  <c:v>148.27331768692821</c:v>
                </c:pt>
                <c:pt idx="75">
                  <c:v>150.15526646562233</c:v>
                </c:pt>
                <c:pt idx="76">
                  <c:v>147.43796931092749</c:v>
                </c:pt>
                <c:pt idx="77">
                  <c:v>148.33239319508564</c:v>
                </c:pt>
                <c:pt idx="78">
                  <c:v>144.51836431967172</c:v>
                </c:pt>
                <c:pt idx="79">
                  <c:v>155.78692526912229</c:v>
                </c:pt>
                <c:pt idx="80">
                  <c:v>167.80031692241045</c:v>
                </c:pt>
                <c:pt idx="81">
                  <c:v>166.18686721131274</c:v>
                </c:pt>
                <c:pt idx="82">
                  <c:v>159.39683329782756</c:v>
                </c:pt>
                <c:pt idx="83">
                  <c:v>158.734286836574</c:v>
                </c:pt>
                <c:pt idx="84">
                  <c:v>159.78697906933064</c:v>
                </c:pt>
                <c:pt idx="85">
                  <c:v>162.36313939424062</c:v>
                </c:pt>
                <c:pt idx="86">
                  <c:v>165.01949666234239</c:v>
                </c:pt>
                <c:pt idx="87">
                  <c:v>170.58491338120058</c:v>
                </c:pt>
                <c:pt idx="88">
                  <c:v>176.79812353837315</c:v>
                </c:pt>
                <c:pt idx="89">
                  <c:v>170.76064057929688</c:v>
                </c:pt>
                <c:pt idx="90">
                  <c:v>159.94366996437762</c:v>
                </c:pt>
                <c:pt idx="91">
                  <c:v>161.28325041516271</c:v>
                </c:pt>
                <c:pt idx="92">
                  <c:v>173.22664966607701</c:v>
                </c:pt>
                <c:pt idx="93">
                  <c:v>169.35642302237591</c:v>
                </c:pt>
                <c:pt idx="94">
                  <c:v>171.2166919855616</c:v>
                </c:pt>
                <c:pt idx="95">
                  <c:v>186.04855670933031</c:v>
                </c:pt>
                <c:pt idx="96">
                  <c:v>186.66351886621842</c:v>
                </c:pt>
                <c:pt idx="97">
                  <c:v>169.70835811903433</c:v>
                </c:pt>
                <c:pt idx="98">
                  <c:v>161.9589989512489</c:v>
                </c:pt>
                <c:pt idx="99">
                  <c:v>137.81240696633509</c:v>
                </c:pt>
                <c:pt idx="100">
                  <c:v>141.25593434047764</c:v>
                </c:pt>
                <c:pt idx="101">
                  <c:v>150.49706059458455</c:v>
                </c:pt>
                <c:pt idx="102">
                  <c:v>172.10663955404385</c:v>
                </c:pt>
                <c:pt idx="103">
                  <c:v>172.62646290620964</c:v>
                </c:pt>
                <c:pt idx="104">
                  <c:v>164.41904938060372</c:v>
                </c:pt>
                <c:pt idx="105">
                  <c:v>158.21253490300015</c:v>
                </c:pt>
                <c:pt idx="106">
                  <c:v>164.51833720440925</c:v>
                </c:pt>
                <c:pt idx="107">
                  <c:v>173.93332705395923</c:v>
                </c:pt>
                <c:pt idx="108">
                  <c:v>250.451083525245</c:v>
                </c:pt>
                <c:pt idx="109">
                  <c:v>327.08858444997378</c:v>
                </c:pt>
                <c:pt idx="110">
                  <c:v>327.73493132445208</c:v>
                </c:pt>
                <c:pt idx="111">
                  <c:v>301.92639609025576</c:v>
                </c:pt>
                <c:pt idx="112">
                  <c:v>353.39243963083675</c:v>
                </c:pt>
                <c:pt idx="113">
                  <c:v>391.09734383900212</c:v>
                </c:pt>
                <c:pt idx="114">
                  <c:v>408.45517028156081</c:v>
                </c:pt>
                <c:pt idx="115">
                  <c:v>410.35426352392807</c:v>
                </c:pt>
                <c:pt idx="116">
                  <c:v>423.14346061379348</c:v>
                </c:pt>
                <c:pt idx="117">
                  <c:v>413.32461452490497</c:v>
                </c:pt>
                <c:pt idx="118">
                  <c:v>429.38045928730759</c:v>
                </c:pt>
                <c:pt idx="119">
                  <c:v>412.96799999109845</c:v>
                </c:pt>
                <c:pt idx="120">
                  <c:v>381.2997302491749</c:v>
                </c:pt>
                <c:pt idx="121">
                  <c:v>362.08174201891114</c:v>
                </c:pt>
                <c:pt idx="122">
                  <c:v>325.78340716752854</c:v>
                </c:pt>
                <c:pt idx="123">
                  <c:v>317.05104275119101</c:v>
                </c:pt>
                <c:pt idx="124">
                  <c:v>324.91051927502036</c:v>
                </c:pt>
                <c:pt idx="125">
                  <c:v>323.01721517304145</c:v>
                </c:pt>
                <c:pt idx="126">
                  <c:v>309.37856467542582</c:v>
                </c:pt>
                <c:pt idx="127">
                  <c:v>324.75055263830063</c:v>
                </c:pt>
                <c:pt idx="128">
                  <c:v>355.29187654687905</c:v>
                </c:pt>
                <c:pt idx="129">
                  <c:v>402.87045915372158</c:v>
                </c:pt>
                <c:pt idx="130">
                  <c:v>425.16957943807421</c:v>
                </c:pt>
                <c:pt idx="131">
                  <c:v>438.71472581825589</c:v>
                </c:pt>
                <c:pt idx="132">
                  <c:v>451.00508119089659</c:v>
                </c:pt>
                <c:pt idx="133">
                  <c:v>466.16478614365269</c:v>
                </c:pt>
                <c:pt idx="134">
                  <c:v>470.36471245140189</c:v>
                </c:pt>
                <c:pt idx="135">
                  <c:v>452.61747616953994</c:v>
                </c:pt>
                <c:pt idx="136">
                  <c:v>426.99055956507021</c:v>
                </c:pt>
                <c:pt idx="137">
                  <c:v>385.75921194287457</c:v>
                </c:pt>
                <c:pt idx="138">
                  <c:v>350.56870716169379</c:v>
                </c:pt>
                <c:pt idx="139">
                  <c:v>340.40338025513608</c:v>
                </c:pt>
                <c:pt idx="140">
                  <c:v>327.83396866155198</c:v>
                </c:pt>
                <c:pt idx="141">
                  <c:v>309.35855000298818</c:v>
                </c:pt>
                <c:pt idx="142">
                  <c:v>308.90148258213503</c:v>
                </c:pt>
                <c:pt idx="143">
                  <c:v>313.55206653926189</c:v>
                </c:pt>
                <c:pt idx="144">
                  <c:v>295.62701356245708</c:v>
                </c:pt>
                <c:pt idx="145">
                  <c:v>275.09859075612712</c:v>
                </c:pt>
                <c:pt idx="146">
                  <c:v>305.95763113051635</c:v>
                </c:pt>
                <c:pt idx="147">
                  <c:v>294.62985656573733</c:v>
                </c:pt>
                <c:pt idx="148">
                  <c:v>296.54454312877999</c:v>
                </c:pt>
                <c:pt idx="149">
                  <c:v>312.23383671951723</c:v>
                </c:pt>
                <c:pt idx="150">
                  <c:v>319.65573791020967</c:v>
                </c:pt>
                <c:pt idx="151">
                  <c:v>306.88122403368004</c:v>
                </c:pt>
                <c:pt idx="152">
                  <c:v>296.70809862563141</c:v>
                </c:pt>
                <c:pt idx="153">
                  <c:v>295.02209907809066</c:v>
                </c:pt>
                <c:pt idx="154">
                  <c:v>287.27304128933628</c:v>
                </c:pt>
                <c:pt idx="155">
                  <c:v>302.69214380482504</c:v>
                </c:pt>
                <c:pt idx="156">
                  <c:v>297.23399571951819</c:v>
                </c:pt>
                <c:pt idx="157">
                  <c:v>299.14076868000183</c:v>
                </c:pt>
                <c:pt idx="158">
                  <c:v>272.17658425785908</c:v>
                </c:pt>
                <c:pt idx="159">
                  <c:v>265.46095402927637</c:v>
                </c:pt>
                <c:pt idx="160">
                  <c:v>279.19605334217306</c:v>
                </c:pt>
                <c:pt idx="161">
                  <c:v>281.44846982342887</c:v>
                </c:pt>
                <c:pt idx="162">
                  <c:v>284.74092111198507</c:v>
                </c:pt>
                <c:pt idx="163">
                  <c:v>276.54075023932035</c:v>
                </c:pt>
                <c:pt idx="164">
                  <c:v>270.93915995212069</c:v>
                </c:pt>
                <c:pt idx="165">
                  <c:v>294.16470238013625</c:v>
                </c:pt>
                <c:pt idx="166">
                  <c:v>317.53919739543238</c:v>
                </c:pt>
                <c:pt idx="167">
                  <c:v>314.19175889011677</c:v>
                </c:pt>
                <c:pt idx="168">
                  <c:v>300.78788525430213</c:v>
                </c:pt>
                <c:pt idx="169">
                  <c:v>325.55316775860564</c:v>
                </c:pt>
                <c:pt idx="170">
                  <c:v>296.61169307149061</c:v>
                </c:pt>
                <c:pt idx="171">
                  <c:v>280.20621994070035</c:v>
                </c:pt>
                <c:pt idx="172">
                  <c:v>285.22840656436654</c:v>
                </c:pt>
                <c:pt idx="173">
                  <c:v>294.64547836053902</c:v>
                </c:pt>
                <c:pt idx="174">
                  <c:v>299.92202401666839</c:v>
                </c:pt>
                <c:pt idx="175">
                  <c:v>321.33249655793315</c:v>
                </c:pt>
                <c:pt idx="176">
                  <c:v>361.44918022961559</c:v>
                </c:pt>
                <c:pt idx="177">
                  <c:v>378.55014033025992</c:v>
                </c:pt>
                <c:pt idx="178">
                  <c:v>357.06185036735684</c:v>
                </c:pt>
                <c:pt idx="179">
                  <c:v>375.75190177699568</c:v>
                </c:pt>
                <c:pt idx="180">
                  <c:v>396.71450738120404</c:v>
                </c:pt>
                <c:pt idx="181">
                  <c:v>429.46879465798338</c:v>
                </c:pt>
                <c:pt idx="182">
                  <c:v>416.04140402812317</c:v>
                </c:pt>
                <c:pt idx="183">
                  <c:v>368.95153290127587</c:v>
                </c:pt>
                <c:pt idx="184">
                  <c:v>359.92365231809276</c:v>
                </c:pt>
                <c:pt idx="185">
                  <c:v>394.33255265415886</c:v>
                </c:pt>
                <c:pt idx="186">
                  <c:v>398.67797887723515</c:v>
                </c:pt>
                <c:pt idx="187">
                  <c:v>340.2216804604065</c:v>
                </c:pt>
                <c:pt idx="188">
                  <c:v>321.85993072265637</c:v>
                </c:pt>
                <c:pt idx="189">
                  <c:v>273.20849352746006</c:v>
                </c:pt>
                <c:pt idx="190">
                  <c:v>271.41418079981474</c:v>
                </c:pt>
                <c:pt idx="191">
                  <c:v>262.94729146623678</c:v>
                </c:pt>
                <c:pt idx="192">
                  <c:v>305.38302694372413</c:v>
                </c:pt>
                <c:pt idx="193">
                  <c:v>286.79644356528229</c:v>
                </c:pt>
                <c:pt idx="194">
                  <c:v>278.68415825029837</c:v>
                </c:pt>
                <c:pt idx="195">
                  <c:v>313.75596849033752</c:v>
                </c:pt>
                <c:pt idx="196">
                  <c:v>349.64141251634612</c:v>
                </c:pt>
                <c:pt idx="197">
                  <c:v>364.96426208876051</c:v>
                </c:pt>
                <c:pt idx="198">
                  <c:v>348.24207336014086</c:v>
                </c:pt>
                <c:pt idx="199">
                  <c:v>360.86673996229223</c:v>
                </c:pt>
                <c:pt idx="200">
                  <c:v>323.34157170439079</c:v>
                </c:pt>
                <c:pt idx="201">
                  <c:v>330.22123025451839</c:v>
                </c:pt>
                <c:pt idx="202">
                  <c:v>337.85355270531727</c:v>
                </c:pt>
                <c:pt idx="203">
                  <c:v>338.24265041161976</c:v>
                </c:pt>
                <c:pt idx="204">
                  <c:v>283.95437513477179</c:v>
                </c:pt>
                <c:pt idx="205">
                  <c:v>253.01158034694552</c:v>
                </c:pt>
                <c:pt idx="206">
                  <c:v>251.26643448634806</c:v>
                </c:pt>
                <c:pt idx="207">
                  <c:v>255.51242700545777</c:v>
                </c:pt>
                <c:pt idx="208">
                  <c:v>250.36422245675115</c:v>
                </c:pt>
                <c:pt idx="209">
                  <c:v>252.44762762741743</c:v>
                </c:pt>
                <c:pt idx="210">
                  <c:v>270.99972535874855</c:v>
                </c:pt>
                <c:pt idx="211">
                  <c:v>284.46104779808542</c:v>
                </c:pt>
                <c:pt idx="212">
                  <c:v>289.2092135651651</c:v>
                </c:pt>
                <c:pt idx="213">
                  <c:v>302.83676203388256</c:v>
                </c:pt>
                <c:pt idx="214">
                  <c:v>316.6079339614617</c:v>
                </c:pt>
                <c:pt idx="215">
                  <c:v>324.11455341143846</c:v>
                </c:pt>
                <c:pt idx="216">
                  <c:v>338.28657628482995</c:v>
                </c:pt>
                <c:pt idx="217">
                  <c:v>334.50317156550204</c:v>
                </c:pt>
                <c:pt idx="218">
                  <c:v>311.09131971850297</c:v>
                </c:pt>
                <c:pt idx="219">
                  <c:v>301.29931858833243</c:v>
                </c:pt>
                <c:pt idx="220">
                  <c:v>296.42016521560151</c:v>
                </c:pt>
                <c:pt idx="221">
                  <c:v>297.35219806086553</c:v>
                </c:pt>
                <c:pt idx="222">
                  <c:v>301.9737708884486</c:v>
                </c:pt>
                <c:pt idx="223">
                  <c:v>300.96980347813474</c:v>
                </c:pt>
                <c:pt idx="224">
                  <c:v>289.9158095134203</c:v>
                </c:pt>
                <c:pt idx="225">
                  <c:v>267.02043881872288</c:v>
                </c:pt>
                <c:pt idx="226">
                  <c:v>254.53875505649643</c:v>
                </c:pt>
                <c:pt idx="227">
                  <c:v>244.7715961158234</c:v>
                </c:pt>
                <c:pt idx="228">
                  <c:v>251.9572128467299</c:v>
                </c:pt>
                <c:pt idx="229">
                  <c:v>257.7778339439227</c:v>
                </c:pt>
                <c:pt idx="230">
                  <c:v>270.3726212888231</c:v>
                </c:pt>
                <c:pt idx="231">
                  <c:v>284.49457641103857</c:v>
                </c:pt>
                <c:pt idx="232">
                  <c:v>278.04422005403057</c:v>
                </c:pt>
                <c:pt idx="233">
                  <c:v>276.9729446834433</c:v>
                </c:pt>
                <c:pt idx="234">
                  <c:v>322.64484246988167</c:v>
                </c:pt>
                <c:pt idx="235">
                  <c:v>328.05001004518681</c:v>
                </c:pt>
                <c:pt idx="236">
                  <c:v>328.62469144269403</c:v>
                </c:pt>
                <c:pt idx="237">
                  <c:v>299.41607111177456</c:v>
                </c:pt>
                <c:pt idx="238">
                  <c:v>278.29943970257301</c:v>
                </c:pt>
                <c:pt idx="239">
                  <c:v>276.55855702991215</c:v>
                </c:pt>
                <c:pt idx="240">
                  <c:v>258.64301467116405</c:v>
                </c:pt>
                <c:pt idx="241">
                  <c:v>264.23185971190264</c:v>
                </c:pt>
                <c:pt idx="242">
                  <c:v>263.07294773475365</c:v>
                </c:pt>
                <c:pt idx="243">
                  <c:v>253.22436851090686</c:v>
                </c:pt>
                <c:pt idx="244">
                  <c:v>262.83902517684265</c:v>
                </c:pt>
                <c:pt idx="245">
                  <c:v>265.90381572217842</c:v>
                </c:pt>
                <c:pt idx="246">
                  <c:v>257.3807242789585</c:v>
                </c:pt>
                <c:pt idx="247">
                  <c:v>251.96531573372613</c:v>
                </c:pt>
                <c:pt idx="248">
                  <c:v>265.6030384922505</c:v>
                </c:pt>
                <c:pt idx="249">
                  <c:v>258.61619377669865</c:v>
                </c:pt>
                <c:pt idx="250">
                  <c:v>263.6192443299895</c:v>
                </c:pt>
                <c:pt idx="251">
                  <c:v>275.14581921894097</c:v>
                </c:pt>
                <c:pt idx="252">
                  <c:v>279.25124183866438</c:v>
                </c:pt>
                <c:pt idx="253">
                  <c:v>308.83769630149368</c:v>
                </c:pt>
                <c:pt idx="254">
                  <c:v>300.12664117861931</c:v>
                </c:pt>
                <c:pt idx="255">
                  <c:v>289.13569858169205</c:v>
                </c:pt>
                <c:pt idx="256">
                  <c:v>287.12438081726691</c:v>
                </c:pt>
                <c:pt idx="257">
                  <c:v>274.64878168667838</c:v>
                </c:pt>
                <c:pt idx="258">
                  <c:v>252.81695884852681</c:v>
                </c:pt>
                <c:pt idx="259">
                  <c:v>246.63595048012746</c:v>
                </c:pt>
                <c:pt idx="260">
                  <c:v>226.82164361730455</c:v>
                </c:pt>
                <c:pt idx="261">
                  <c:v>217.69267665274137</c:v>
                </c:pt>
                <c:pt idx="262">
                  <c:v>228.5187258111383</c:v>
                </c:pt>
                <c:pt idx="263">
                  <c:v>222.94283050131611</c:v>
                </c:pt>
                <c:pt idx="264">
                  <c:v>215.07951448759229</c:v>
                </c:pt>
                <c:pt idx="265">
                  <c:v>210.67647882441497</c:v>
                </c:pt>
                <c:pt idx="266">
                  <c:v>193.78319684683808</c:v>
                </c:pt>
                <c:pt idx="267">
                  <c:v>173.64162780831597</c:v>
                </c:pt>
                <c:pt idx="268">
                  <c:v>168.26225467717535</c:v>
                </c:pt>
                <c:pt idx="269">
                  <c:v>169.51466968390778</c:v>
                </c:pt>
                <c:pt idx="270">
                  <c:v>172.85981392233646</c:v>
                </c:pt>
                <c:pt idx="271">
                  <c:v>165.37472074138046</c:v>
                </c:pt>
                <c:pt idx="272">
                  <c:v>160.32648707741558</c:v>
                </c:pt>
                <c:pt idx="273">
                  <c:v>162.0038565218957</c:v>
                </c:pt>
                <c:pt idx="274">
                  <c:v>157.95301890225045</c:v>
                </c:pt>
                <c:pt idx="275">
                  <c:v>194.90789877703884</c:v>
                </c:pt>
                <c:pt idx="276">
                  <c:v>216.91080340602051</c:v>
                </c:pt>
                <c:pt idx="277">
                  <c:v>217.14798087955413</c:v>
                </c:pt>
                <c:pt idx="278">
                  <c:v>215.92091632270871</c:v>
                </c:pt>
                <c:pt idx="279">
                  <c:v>211.30628239963156</c:v>
                </c:pt>
                <c:pt idx="280">
                  <c:v>221.43130711813117</c:v>
                </c:pt>
                <c:pt idx="281">
                  <c:v>236.84188812931416</c:v>
                </c:pt>
                <c:pt idx="282">
                  <c:v>236.70876104732852</c:v>
                </c:pt>
                <c:pt idx="283">
                  <c:v>224.8406033807197</c:v>
                </c:pt>
                <c:pt idx="284">
                  <c:v>219.32085657299947</c:v>
                </c:pt>
                <c:pt idx="285">
                  <c:v>209.96486668762932</c:v>
                </c:pt>
                <c:pt idx="286">
                  <c:v>207.70171311217464</c:v>
                </c:pt>
                <c:pt idx="287">
                  <c:v>212.89908110715135</c:v>
                </c:pt>
                <c:pt idx="288">
                  <c:v>193.2184092793816</c:v>
                </c:pt>
                <c:pt idx="289">
                  <c:v>183.7754732050733</c:v>
                </c:pt>
                <c:pt idx="290">
                  <c:v>174.19417353076045</c:v>
                </c:pt>
                <c:pt idx="291">
                  <c:v>167.62125358735742</c:v>
                </c:pt>
                <c:pt idx="292">
                  <c:v>168.85612109512155</c:v>
                </c:pt>
                <c:pt idx="293">
                  <c:v>166.85326228788827</c:v>
                </c:pt>
                <c:pt idx="294">
                  <c:v>175.62221526480786</c:v>
                </c:pt>
                <c:pt idx="295">
                  <c:v>170.71713175941372</c:v>
                </c:pt>
                <c:pt idx="296">
                  <c:v>177.22985103607564</c:v>
                </c:pt>
                <c:pt idx="297">
                  <c:v>174.9947701313078</c:v>
                </c:pt>
                <c:pt idx="298">
                  <c:v>166.09254030985693</c:v>
                </c:pt>
                <c:pt idx="299">
                  <c:v>159.02806508294171</c:v>
                </c:pt>
                <c:pt idx="300">
                  <c:v>198.63892863381272</c:v>
                </c:pt>
                <c:pt idx="301">
                  <c:v>209.08301075749736</c:v>
                </c:pt>
                <c:pt idx="302">
                  <c:v>217.51361962968858</c:v>
                </c:pt>
                <c:pt idx="303">
                  <c:v>223.85491136295727</c:v>
                </c:pt>
                <c:pt idx="304">
                  <c:v>245.38706121239986</c:v>
                </c:pt>
                <c:pt idx="305">
                  <c:v>257.11788200589194</c:v>
                </c:pt>
                <c:pt idx="306">
                  <c:v>256.67381933173039</c:v>
                </c:pt>
                <c:pt idx="307">
                  <c:v>274.08940434510481</c:v>
                </c:pt>
                <c:pt idx="308">
                  <c:v>316.64573088807992</c:v>
                </c:pt>
                <c:pt idx="309">
                  <c:v>297.15435579701631</c:v>
                </c:pt>
                <c:pt idx="310">
                  <c:v>264.81185008417094</c:v>
                </c:pt>
                <c:pt idx="311">
                  <c:v>261.71556441616917</c:v>
                </c:pt>
                <c:pt idx="312">
                  <c:v>242.95246392279745</c:v>
                </c:pt>
                <c:pt idx="313">
                  <c:v>241.26588734017159</c:v>
                </c:pt>
                <c:pt idx="314">
                  <c:v>242.06416782472351</c:v>
                </c:pt>
                <c:pt idx="315">
                  <c:v>233.62329562741755</c:v>
                </c:pt>
                <c:pt idx="316">
                  <c:v>238.12677029665034</c:v>
                </c:pt>
                <c:pt idx="317">
                  <c:v>243.54646768957849</c:v>
                </c:pt>
                <c:pt idx="318">
                  <c:v>227.33951480583053</c:v>
                </c:pt>
                <c:pt idx="319">
                  <c:v>282.58427734028237</c:v>
                </c:pt>
                <c:pt idx="320">
                  <c:v>289.54818701274002</c:v>
                </c:pt>
                <c:pt idx="321">
                  <c:v>295.4909376612174</c:v>
                </c:pt>
                <c:pt idx="322">
                  <c:v>288.86539167206047</c:v>
                </c:pt>
                <c:pt idx="323">
                  <c:v>266.920331212512</c:v>
                </c:pt>
                <c:pt idx="324">
                  <c:v>260.03539241276667</c:v>
                </c:pt>
                <c:pt idx="325">
                  <c:v>250.51108046227654</c:v>
                </c:pt>
                <c:pt idx="326">
                  <c:v>222.99814127138865</c:v>
                </c:pt>
                <c:pt idx="327">
                  <c:v>229.59530209692187</c:v>
                </c:pt>
                <c:pt idx="328">
                  <c:v>235.82329292157996</c:v>
                </c:pt>
                <c:pt idx="329">
                  <c:v>249.17406792583455</c:v>
                </c:pt>
                <c:pt idx="330">
                  <c:v>261.49871480685624</c:v>
                </c:pt>
                <c:pt idx="331">
                  <c:v>267.62823046532242</c:v>
                </c:pt>
                <c:pt idx="332">
                  <c:v>296.78609893072348</c:v>
                </c:pt>
                <c:pt idx="333">
                  <c:v>321.55108937910137</c:v>
                </c:pt>
                <c:pt idx="334">
                  <c:v>346.21599675612265</c:v>
                </c:pt>
                <c:pt idx="335">
                  <c:v>357.73097929856942</c:v>
                </c:pt>
                <c:pt idx="336">
                  <c:v>397.84360101570405</c:v>
                </c:pt>
                <c:pt idx="337">
                  <c:v>393.96302308104782</c:v>
                </c:pt>
                <c:pt idx="338">
                  <c:v>362.36537091985724</c:v>
                </c:pt>
                <c:pt idx="339">
                  <c:v>362.47279658872952</c:v>
                </c:pt>
                <c:pt idx="340">
                  <c:v>372.99335609814858</c:v>
                </c:pt>
                <c:pt idx="341">
                  <c:v>346.1382810605092</c:v>
                </c:pt>
                <c:pt idx="342">
                  <c:v>342.74767826031479</c:v>
                </c:pt>
                <c:pt idx="343">
                  <c:v>339.04903617391824</c:v>
                </c:pt>
                <c:pt idx="344">
                  <c:v>337.39537838688881</c:v>
                </c:pt>
                <c:pt idx="345">
                  <c:v>326.7630754497643</c:v>
                </c:pt>
                <c:pt idx="346">
                  <c:v>323.39456913076805</c:v>
                </c:pt>
                <c:pt idx="347">
                  <c:v>326.96752100552146</c:v>
                </c:pt>
                <c:pt idx="348">
                  <c:v>345.25612207217483</c:v>
                </c:pt>
                <c:pt idx="349">
                  <c:v>361.76286024380528</c:v>
                </c:pt>
                <c:pt idx="350">
                  <c:v>371.79427740277617</c:v>
                </c:pt>
                <c:pt idx="351">
                  <c:v>344.16653047689351</c:v>
                </c:pt>
                <c:pt idx="352">
                  <c:v>338.20460294914744</c:v>
                </c:pt>
                <c:pt idx="353">
                  <c:v>334.19735039305669</c:v>
                </c:pt>
                <c:pt idx="354">
                  <c:v>297.4606844407561</c:v>
                </c:pt>
                <c:pt idx="355">
                  <c:v>300.24725305488636</c:v>
                </c:pt>
                <c:pt idx="356">
                  <c:v>400.01219461725617</c:v>
                </c:pt>
                <c:pt idx="357">
                  <c:v>290.57243014768511</c:v>
                </c:pt>
                <c:pt idx="358">
                  <c:v>300.80827605728518</c:v>
                </c:pt>
                <c:pt idx="359">
                  <c:v>416.20445552780137</c:v>
                </c:pt>
                <c:pt idx="360">
                  <c:v>311.62486078026751</c:v>
                </c:pt>
                <c:pt idx="361">
                  <c:v>310.30593215788667</c:v>
                </c:pt>
                <c:pt idx="362">
                  <c:v>297.59066799758182</c:v>
                </c:pt>
                <c:pt idx="363">
                  <c:v>378.06408306642624</c:v>
                </c:pt>
                <c:pt idx="364">
                  <c:v>326.50057906798912</c:v>
                </c:pt>
                <c:pt idx="365">
                  <c:v>280.86947042851068</c:v>
                </c:pt>
                <c:pt idx="366">
                  <c:v>347.12951044416883</c:v>
                </c:pt>
                <c:pt idx="367">
                  <c:v>293.28128842667678</c:v>
                </c:pt>
                <c:pt idx="368">
                  <c:v>357.07724699169182</c:v>
                </c:pt>
                <c:pt idx="369">
                  <c:v>340.28551815438237</c:v>
                </c:pt>
                <c:pt idx="370">
                  <c:v>345.3946344630358</c:v>
                </c:pt>
                <c:pt idx="371">
                  <c:v>369.49959317157857</c:v>
                </c:pt>
                <c:pt idx="372">
                  <c:v>325.99445276127238</c:v>
                </c:pt>
                <c:pt idx="373">
                  <c:v>259.22426663685917</c:v>
                </c:pt>
                <c:pt idx="374">
                  <c:v>236.47284793979094</c:v>
                </c:pt>
                <c:pt idx="375">
                  <c:v>220.89894616993234</c:v>
                </c:pt>
                <c:pt idx="376">
                  <c:v>235.29149504037471</c:v>
                </c:pt>
                <c:pt idx="377">
                  <c:v>229.79505526888843</c:v>
                </c:pt>
                <c:pt idx="378">
                  <c:v>217.47044816678195</c:v>
                </c:pt>
                <c:pt idx="379">
                  <c:v>197.35200396231971</c:v>
                </c:pt>
                <c:pt idx="380">
                  <c:v>201.26763376061385</c:v>
                </c:pt>
                <c:pt idx="381">
                  <c:v>194.48106387714276</c:v>
                </c:pt>
                <c:pt idx="382">
                  <c:v>191.86629561225152</c:v>
                </c:pt>
                <c:pt idx="383">
                  <c:v>185.56290286391859</c:v>
                </c:pt>
                <c:pt idx="384">
                  <c:v>184.5018578606651</c:v>
                </c:pt>
                <c:pt idx="385">
                  <c:v>196.505910480533</c:v>
                </c:pt>
                <c:pt idx="386">
                  <c:v>190.91477027522288</c:v>
                </c:pt>
                <c:pt idx="387">
                  <c:v>193.3941039593881</c:v>
                </c:pt>
                <c:pt idx="388">
                  <c:v>189.11263750063833</c:v>
                </c:pt>
                <c:pt idx="389">
                  <c:v>194.57683132779826</c:v>
                </c:pt>
                <c:pt idx="390">
                  <c:v>188.23967499975203</c:v>
                </c:pt>
                <c:pt idx="391">
                  <c:v>222.10536586827911</c:v>
                </c:pt>
                <c:pt idx="392">
                  <c:v>305.80584994027964</c:v>
                </c:pt>
                <c:pt idx="393">
                  <c:v>225.95515305002118</c:v>
                </c:pt>
                <c:pt idx="394">
                  <c:v>234.23832621035376</c:v>
                </c:pt>
                <c:pt idx="395">
                  <c:v>227.0123823321222</c:v>
                </c:pt>
                <c:pt idx="396">
                  <c:v>215.03101666586642</c:v>
                </c:pt>
                <c:pt idx="397">
                  <c:v>216.23401559687343</c:v>
                </c:pt>
                <c:pt idx="398">
                  <c:v>207.62641231306034</c:v>
                </c:pt>
                <c:pt idx="399">
                  <c:v>195.1331232055561</c:v>
                </c:pt>
                <c:pt idx="400">
                  <c:v>198.33020542658167</c:v>
                </c:pt>
                <c:pt idx="401">
                  <c:v>193.64123369158929</c:v>
                </c:pt>
                <c:pt idx="402">
                  <c:v>211.29030961605184</c:v>
                </c:pt>
                <c:pt idx="403">
                  <c:v>216.77423326649802</c:v>
                </c:pt>
                <c:pt idx="404">
                  <c:v>233.22812861959517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53F-486F-9567-AF2EAAEFF395}"/>
            </c:ext>
          </c:extLst>
        </c:ser>
        <c:ser>
          <c:idx val="2"/>
          <c:order val="1"/>
          <c:tx>
            <c:v>Promedio 91-01</c:v>
          </c:tx>
          <c:spPr>
            <a:ln w="12700">
              <a:solidFill>
                <a:schemeClr val="accent2"/>
              </a:solidFill>
              <a:prstDash val="solid"/>
            </a:ln>
          </c:spPr>
          <c:marker>
            <c:symbol val="none"/>
          </c:marker>
          <c:dLbls>
            <c:dLbl>
              <c:idx val="149"/>
              <c:layout>
                <c:manualLayout>
                  <c:x val="-6.0225864536828246E-2"/>
                  <c:y val="-2.5096845285355558E-2"/>
                </c:manualLayout>
              </c:layout>
              <c:numFmt formatCode="#,##0.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53F-486F-9567-AF2EAAEFF3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SOJA!$B$2:$B$406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SOJA!$L$2:$L$403</c:f>
              <c:numCache>
                <c:formatCode>_-* #,##0.0\ _€_-;\-* #,##0.0\ _€_-;_-* "-"??\ _€_-;_-@_-</c:formatCode>
                <c:ptCount val="402"/>
                <c:pt idx="0">
                  <c:v>206.90372263979032</c:v>
                </c:pt>
                <c:pt idx="1">
                  <c:v>206.90372263979032</c:v>
                </c:pt>
                <c:pt idx="2">
                  <c:v>206.90372263979032</c:v>
                </c:pt>
                <c:pt idx="3">
                  <c:v>206.90372263979032</c:v>
                </c:pt>
                <c:pt idx="4">
                  <c:v>206.90372263979032</c:v>
                </c:pt>
                <c:pt idx="5">
                  <c:v>206.90372263979032</c:v>
                </c:pt>
                <c:pt idx="6">
                  <c:v>206.90372263979032</c:v>
                </c:pt>
                <c:pt idx="7">
                  <c:v>206.90372263979032</c:v>
                </c:pt>
                <c:pt idx="8">
                  <c:v>206.90372263979032</c:v>
                </c:pt>
                <c:pt idx="9">
                  <c:v>206.90372263979032</c:v>
                </c:pt>
                <c:pt idx="10">
                  <c:v>206.90372263979032</c:v>
                </c:pt>
                <c:pt idx="11">
                  <c:v>206.90372263979032</c:v>
                </c:pt>
                <c:pt idx="12">
                  <c:v>206.90372263979032</c:v>
                </c:pt>
                <c:pt idx="13">
                  <c:v>206.90372263979032</c:v>
                </c:pt>
                <c:pt idx="14">
                  <c:v>206.90372263979032</c:v>
                </c:pt>
                <c:pt idx="15">
                  <c:v>206.90372263979032</c:v>
                </c:pt>
                <c:pt idx="16">
                  <c:v>206.90372263979032</c:v>
                </c:pt>
                <c:pt idx="17">
                  <c:v>206.90372263979032</c:v>
                </c:pt>
                <c:pt idx="18">
                  <c:v>206.90372263979032</c:v>
                </c:pt>
                <c:pt idx="19">
                  <c:v>206.90372263979032</c:v>
                </c:pt>
                <c:pt idx="20">
                  <c:v>206.90372263979032</c:v>
                </c:pt>
                <c:pt idx="21">
                  <c:v>206.90372263979032</c:v>
                </c:pt>
                <c:pt idx="22">
                  <c:v>206.90372263979032</c:v>
                </c:pt>
                <c:pt idx="23">
                  <c:v>206.90372263979032</c:v>
                </c:pt>
                <c:pt idx="24">
                  <c:v>206.90372263979032</c:v>
                </c:pt>
                <c:pt idx="25">
                  <c:v>206.90372263979032</c:v>
                </c:pt>
                <c:pt idx="26">
                  <c:v>206.90372263979032</c:v>
                </c:pt>
                <c:pt idx="27">
                  <c:v>206.90372263979032</c:v>
                </c:pt>
                <c:pt idx="28">
                  <c:v>206.90372263979032</c:v>
                </c:pt>
                <c:pt idx="29">
                  <c:v>206.90372263979032</c:v>
                </c:pt>
                <c:pt idx="30">
                  <c:v>206.90372263979032</c:v>
                </c:pt>
                <c:pt idx="31">
                  <c:v>206.90372263979032</c:v>
                </c:pt>
                <c:pt idx="32">
                  <c:v>206.90372263979032</c:v>
                </c:pt>
                <c:pt idx="33">
                  <c:v>206.90372263979032</c:v>
                </c:pt>
                <c:pt idx="34">
                  <c:v>206.90372263979032</c:v>
                </c:pt>
                <c:pt idx="35">
                  <c:v>206.90372263979032</c:v>
                </c:pt>
                <c:pt idx="36">
                  <c:v>206.90372263979032</c:v>
                </c:pt>
                <c:pt idx="37">
                  <c:v>206.90372263979032</c:v>
                </c:pt>
                <c:pt idx="38">
                  <c:v>206.90372263979032</c:v>
                </c:pt>
                <c:pt idx="39">
                  <c:v>206.90372263979032</c:v>
                </c:pt>
                <c:pt idx="40">
                  <c:v>206.90372263979032</c:v>
                </c:pt>
                <c:pt idx="41">
                  <c:v>206.90372263979032</c:v>
                </c:pt>
                <c:pt idx="42">
                  <c:v>206.90372263979032</c:v>
                </c:pt>
                <c:pt idx="43">
                  <c:v>206.90372263979032</c:v>
                </c:pt>
                <c:pt idx="44">
                  <c:v>206.90372263979032</c:v>
                </c:pt>
                <c:pt idx="45">
                  <c:v>206.90372263979032</c:v>
                </c:pt>
                <c:pt idx="46">
                  <c:v>206.90372263979032</c:v>
                </c:pt>
                <c:pt idx="47">
                  <c:v>206.90372263979032</c:v>
                </c:pt>
                <c:pt idx="48">
                  <c:v>206.90372263979032</c:v>
                </c:pt>
                <c:pt idx="49">
                  <c:v>206.90372263979032</c:v>
                </c:pt>
                <c:pt idx="50">
                  <c:v>206.90372263979032</c:v>
                </c:pt>
                <c:pt idx="51">
                  <c:v>206.90372263979032</c:v>
                </c:pt>
                <c:pt idx="52">
                  <c:v>206.90372263979032</c:v>
                </c:pt>
                <c:pt idx="53">
                  <c:v>206.90372263979032</c:v>
                </c:pt>
                <c:pt idx="54">
                  <c:v>206.90372263979032</c:v>
                </c:pt>
                <c:pt idx="55">
                  <c:v>206.90372263979032</c:v>
                </c:pt>
                <c:pt idx="56">
                  <c:v>206.90372263979032</c:v>
                </c:pt>
                <c:pt idx="57">
                  <c:v>206.90372263979032</c:v>
                </c:pt>
                <c:pt idx="58">
                  <c:v>206.90372263979032</c:v>
                </c:pt>
                <c:pt idx="59">
                  <c:v>206.90372263979032</c:v>
                </c:pt>
                <c:pt idx="60">
                  <c:v>206.90372263979032</c:v>
                </c:pt>
                <c:pt idx="61">
                  <c:v>206.90372263979032</c:v>
                </c:pt>
                <c:pt idx="62">
                  <c:v>206.90372263979032</c:v>
                </c:pt>
                <c:pt idx="63">
                  <c:v>206.90372263979032</c:v>
                </c:pt>
                <c:pt idx="64">
                  <c:v>206.90372263979032</c:v>
                </c:pt>
                <c:pt idx="65">
                  <c:v>206.90372263979032</c:v>
                </c:pt>
                <c:pt idx="66">
                  <c:v>206.90372263979032</c:v>
                </c:pt>
                <c:pt idx="67">
                  <c:v>206.90372263979032</c:v>
                </c:pt>
                <c:pt idx="68">
                  <c:v>206.90372263979032</c:v>
                </c:pt>
                <c:pt idx="69">
                  <c:v>206.90372263979032</c:v>
                </c:pt>
                <c:pt idx="70">
                  <c:v>206.90372263979032</c:v>
                </c:pt>
                <c:pt idx="71">
                  <c:v>206.90372263979032</c:v>
                </c:pt>
                <c:pt idx="72">
                  <c:v>206.90372263979032</c:v>
                </c:pt>
                <c:pt idx="73">
                  <c:v>206.90372263979032</c:v>
                </c:pt>
                <c:pt idx="74">
                  <c:v>206.90372263979032</c:v>
                </c:pt>
                <c:pt idx="75">
                  <c:v>206.90372263979032</c:v>
                </c:pt>
                <c:pt idx="76">
                  <c:v>206.90372263979032</c:v>
                </c:pt>
                <c:pt idx="77">
                  <c:v>206.90372263979032</c:v>
                </c:pt>
                <c:pt idx="78">
                  <c:v>206.90372263979032</c:v>
                </c:pt>
                <c:pt idx="79">
                  <c:v>206.90372263979032</c:v>
                </c:pt>
                <c:pt idx="80">
                  <c:v>206.90372263979032</c:v>
                </c:pt>
                <c:pt idx="81">
                  <c:v>206.90372263979032</c:v>
                </c:pt>
                <c:pt idx="82">
                  <c:v>206.90372263979032</c:v>
                </c:pt>
                <c:pt idx="83">
                  <c:v>206.90372263979032</c:v>
                </c:pt>
                <c:pt idx="84">
                  <c:v>206.90372263979032</c:v>
                </c:pt>
                <c:pt idx="85">
                  <c:v>206.90372263979032</c:v>
                </c:pt>
                <c:pt idx="86">
                  <c:v>206.90372263979032</c:v>
                </c:pt>
                <c:pt idx="87">
                  <c:v>206.90372263979032</c:v>
                </c:pt>
                <c:pt idx="88">
                  <c:v>206.90372263979032</c:v>
                </c:pt>
                <c:pt idx="89">
                  <c:v>206.90372263979032</c:v>
                </c:pt>
                <c:pt idx="90">
                  <c:v>206.90372263979032</c:v>
                </c:pt>
                <c:pt idx="91">
                  <c:v>206.90372263979032</c:v>
                </c:pt>
                <c:pt idx="92">
                  <c:v>206.90372263979032</c:v>
                </c:pt>
                <c:pt idx="93">
                  <c:v>206.90372263979032</c:v>
                </c:pt>
                <c:pt idx="94">
                  <c:v>206.90372263979032</c:v>
                </c:pt>
                <c:pt idx="95">
                  <c:v>206.90372263979032</c:v>
                </c:pt>
                <c:pt idx="96">
                  <c:v>206.90372263979032</c:v>
                </c:pt>
                <c:pt idx="97">
                  <c:v>206.90372263979032</c:v>
                </c:pt>
                <c:pt idx="98">
                  <c:v>206.90372263979032</c:v>
                </c:pt>
                <c:pt idx="99">
                  <c:v>206.90372263979032</c:v>
                </c:pt>
                <c:pt idx="100">
                  <c:v>206.90372263979032</c:v>
                </c:pt>
                <c:pt idx="101">
                  <c:v>206.90372263979032</c:v>
                </c:pt>
                <c:pt idx="102">
                  <c:v>206.90372263979032</c:v>
                </c:pt>
                <c:pt idx="103">
                  <c:v>206.90372263979032</c:v>
                </c:pt>
                <c:pt idx="104">
                  <c:v>206.90372263979032</c:v>
                </c:pt>
                <c:pt idx="105">
                  <c:v>206.90372263979032</c:v>
                </c:pt>
                <c:pt idx="106">
                  <c:v>206.90372263979032</c:v>
                </c:pt>
                <c:pt idx="107">
                  <c:v>206.90372263979032</c:v>
                </c:pt>
                <c:pt idx="108">
                  <c:v>206.90372263979032</c:v>
                </c:pt>
                <c:pt idx="109">
                  <c:v>206.90372263979032</c:v>
                </c:pt>
                <c:pt idx="110">
                  <c:v>206.90372263979032</c:v>
                </c:pt>
                <c:pt idx="111">
                  <c:v>206.90372263979032</c:v>
                </c:pt>
                <c:pt idx="112">
                  <c:v>206.90372263979032</c:v>
                </c:pt>
                <c:pt idx="113">
                  <c:v>206.90372263979032</c:v>
                </c:pt>
                <c:pt idx="114">
                  <c:v>206.90372263979032</c:v>
                </c:pt>
                <c:pt idx="115">
                  <c:v>206.90372263979032</c:v>
                </c:pt>
                <c:pt idx="116">
                  <c:v>206.90372263979032</c:v>
                </c:pt>
                <c:pt idx="117">
                  <c:v>206.90372263979032</c:v>
                </c:pt>
                <c:pt idx="118">
                  <c:v>206.90372263979032</c:v>
                </c:pt>
                <c:pt idx="119">
                  <c:v>206.90372263979032</c:v>
                </c:pt>
                <c:pt idx="120">
                  <c:v>206.90372263979032</c:v>
                </c:pt>
                <c:pt idx="121">
                  <c:v>206.90372263979032</c:v>
                </c:pt>
                <c:pt idx="122">
                  <c:v>206.90372263979032</c:v>
                </c:pt>
                <c:pt idx="123">
                  <c:v>206.90372263979032</c:v>
                </c:pt>
                <c:pt idx="124">
                  <c:v>206.90372263979032</c:v>
                </c:pt>
                <c:pt idx="125">
                  <c:v>206.90372263979032</c:v>
                </c:pt>
                <c:pt idx="126">
                  <c:v>206.90372263979032</c:v>
                </c:pt>
                <c:pt idx="127">
                  <c:v>206.90372263979032</c:v>
                </c:pt>
                <c:pt idx="128">
                  <c:v>206.90372263979032</c:v>
                </c:pt>
                <c:pt idx="129">
                  <c:v>206.90372263979032</c:v>
                </c:pt>
                <c:pt idx="130">
                  <c:v>206.90372263979032</c:v>
                </c:pt>
                <c:pt idx="131">
                  <c:v>206.90372263979032</c:v>
                </c:pt>
                <c:pt idx="132">
                  <c:v>206.90372263979032</c:v>
                </c:pt>
                <c:pt idx="133">
                  <c:v>206.90372263979032</c:v>
                </c:pt>
                <c:pt idx="134">
                  <c:v>206.90372263979032</c:v>
                </c:pt>
                <c:pt idx="135">
                  <c:v>206.90372263979032</c:v>
                </c:pt>
                <c:pt idx="136">
                  <c:v>206.90372263979032</c:v>
                </c:pt>
                <c:pt idx="137">
                  <c:v>206.90372263979032</c:v>
                </c:pt>
                <c:pt idx="138">
                  <c:v>206.90372263979032</c:v>
                </c:pt>
                <c:pt idx="139">
                  <c:v>206.90372263979032</c:v>
                </c:pt>
                <c:pt idx="140">
                  <c:v>206.90372263979032</c:v>
                </c:pt>
                <c:pt idx="141">
                  <c:v>206.90372263979032</c:v>
                </c:pt>
                <c:pt idx="142">
                  <c:v>206.90372263979032</c:v>
                </c:pt>
                <c:pt idx="143">
                  <c:v>206.90372263979032</c:v>
                </c:pt>
                <c:pt idx="144">
                  <c:v>206.90372263979032</c:v>
                </c:pt>
                <c:pt idx="145">
                  <c:v>206.90372263979032</c:v>
                </c:pt>
                <c:pt idx="146">
                  <c:v>206.90372263979032</c:v>
                </c:pt>
                <c:pt idx="147">
                  <c:v>206.90372263979032</c:v>
                </c:pt>
                <c:pt idx="148">
                  <c:v>206.90372263979032</c:v>
                </c:pt>
                <c:pt idx="149">
                  <c:v>206.90372263979032</c:v>
                </c:pt>
                <c:pt idx="150">
                  <c:v>206.90372263979032</c:v>
                </c:pt>
                <c:pt idx="151">
                  <c:v>206.90372263979032</c:v>
                </c:pt>
                <c:pt idx="152">
                  <c:v>206.90372263979032</c:v>
                </c:pt>
                <c:pt idx="153">
                  <c:v>206.90372263979032</c:v>
                </c:pt>
                <c:pt idx="154">
                  <c:v>206.90372263979032</c:v>
                </c:pt>
                <c:pt idx="155">
                  <c:v>206.90372263979032</c:v>
                </c:pt>
                <c:pt idx="156">
                  <c:v>206.90372263979032</c:v>
                </c:pt>
                <c:pt idx="157">
                  <c:v>206.90372263979032</c:v>
                </c:pt>
                <c:pt idx="158">
                  <c:v>206.90372263979032</c:v>
                </c:pt>
                <c:pt idx="159">
                  <c:v>206.90372263979032</c:v>
                </c:pt>
                <c:pt idx="160">
                  <c:v>206.90372263979032</c:v>
                </c:pt>
                <c:pt idx="161">
                  <c:v>206.90372263979032</c:v>
                </c:pt>
                <c:pt idx="162">
                  <c:v>206.90372263979032</c:v>
                </c:pt>
                <c:pt idx="163">
                  <c:v>206.90372263979032</c:v>
                </c:pt>
                <c:pt idx="164">
                  <c:v>206.90372263979032</c:v>
                </c:pt>
                <c:pt idx="165">
                  <c:v>206.90372263979032</c:v>
                </c:pt>
                <c:pt idx="166">
                  <c:v>206.90372263979032</c:v>
                </c:pt>
                <c:pt idx="167">
                  <c:v>206.90372263979032</c:v>
                </c:pt>
                <c:pt idx="168">
                  <c:v>206.90372263979032</c:v>
                </c:pt>
                <c:pt idx="169">
                  <c:v>206.90372263979032</c:v>
                </c:pt>
                <c:pt idx="170">
                  <c:v>206.90372263979032</c:v>
                </c:pt>
                <c:pt idx="171">
                  <c:v>206.90372263979032</c:v>
                </c:pt>
                <c:pt idx="172">
                  <c:v>206.90372263979032</c:v>
                </c:pt>
                <c:pt idx="173">
                  <c:v>206.90372263979032</c:v>
                </c:pt>
                <c:pt idx="174">
                  <c:v>206.90372263979032</c:v>
                </c:pt>
                <c:pt idx="175">
                  <c:v>206.90372263979032</c:v>
                </c:pt>
                <c:pt idx="176">
                  <c:v>206.90372263979032</c:v>
                </c:pt>
                <c:pt idx="177">
                  <c:v>206.90372263979032</c:v>
                </c:pt>
                <c:pt idx="178">
                  <c:v>206.90372263979032</c:v>
                </c:pt>
                <c:pt idx="179">
                  <c:v>206.90372263979032</c:v>
                </c:pt>
                <c:pt idx="180">
                  <c:v>206.90372263979032</c:v>
                </c:pt>
                <c:pt idx="181">
                  <c:v>206.90372263979032</c:v>
                </c:pt>
                <c:pt idx="182">
                  <c:v>206.90372263979032</c:v>
                </c:pt>
                <c:pt idx="183">
                  <c:v>206.90372263979032</c:v>
                </c:pt>
                <c:pt idx="184">
                  <c:v>206.90372263979032</c:v>
                </c:pt>
                <c:pt idx="185">
                  <c:v>206.90372263979032</c:v>
                </c:pt>
                <c:pt idx="186">
                  <c:v>206.90372263979032</c:v>
                </c:pt>
                <c:pt idx="187">
                  <c:v>206.90372263979032</c:v>
                </c:pt>
                <c:pt idx="188">
                  <c:v>206.90372263979032</c:v>
                </c:pt>
                <c:pt idx="189">
                  <c:v>206.90372263979032</c:v>
                </c:pt>
                <c:pt idx="190">
                  <c:v>206.90372263979032</c:v>
                </c:pt>
                <c:pt idx="191">
                  <c:v>206.90372263979032</c:v>
                </c:pt>
                <c:pt idx="192">
                  <c:v>206.90372263979032</c:v>
                </c:pt>
                <c:pt idx="193">
                  <c:v>206.90372263979032</c:v>
                </c:pt>
                <c:pt idx="194">
                  <c:v>206.90372263979032</c:v>
                </c:pt>
                <c:pt idx="195">
                  <c:v>206.90372263979032</c:v>
                </c:pt>
                <c:pt idx="196">
                  <c:v>206.90372263979032</c:v>
                </c:pt>
                <c:pt idx="197">
                  <c:v>206.90372263979032</c:v>
                </c:pt>
                <c:pt idx="198">
                  <c:v>206.90372263979032</c:v>
                </c:pt>
                <c:pt idx="199">
                  <c:v>206.90372263979032</c:v>
                </c:pt>
                <c:pt idx="200">
                  <c:v>206.90372263979032</c:v>
                </c:pt>
                <c:pt idx="201">
                  <c:v>206.90372263979032</c:v>
                </c:pt>
                <c:pt idx="202">
                  <c:v>206.90372263979032</c:v>
                </c:pt>
                <c:pt idx="203">
                  <c:v>206.90372263979032</c:v>
                </c:pt>
                <c:pt idx="204">
                  <c:v>206.90372263979032</c:v>
                </c:pt>
                <c:pt idx="205">
                  <c:v>206.90372263979032</c:v>
                </c:pt>
                <c:pt idx="206">
                  <c:v>206.90372263979032</c:v>
                </c:pt>
                <c:pt idx="207">
                  <c:v>206.90372263979032</c:v>
                </c:pt>
                <c:pt idx="208">
                  <c:v>206.90372263979032</c:v>
                </c:pt>
                <c:pt idx="209">
                  <c:v>206.90372263979032</c:v>
                </c:pt>
                <c:pt idx="210">
                  <c:v>206.90372263979032</c:v>
                </c:pt>
                <c:pt idx="211">
                  <c:v>206.90372263979032</c:v>
                </c:pt>
                <c:pt idx="212">
                  <c:v>206.90372263979032</c:v>
                </c:pt>
                <c:pt idx="213">
                  <c:v>206.90372263979032</c:v>
                </c:pt>
                <c:pt idx="214">
                  <c:v>206.90372263979032</c:v>
                </c:pt>
                <c:pt idx="215">
                  <c:v>206.90372263979032</c:v>
                </c:pt>
                <c:pt idx="216">
                  <c:v>206.90372263979032</c:v>
                </c:pt>
                <c:pt idx="217">
                  <c:v>206.90372263979032</c:v>
                </c:pt>
                <c:pt idx="218">
                  <c:v>206.90372263979032</c:v>
                </c:pt>
                <c:pt idx="219">
                  <c:v>206.90372263979032</c:v>
                </c:pt>
                <c:pt idx="220">
                  <c:v>206.90372263979032</c:v>
                </c:pt>
                <c:pt idx="221">
                  <c:v>206.90372263979032</c:v>
                </c:pt>
                <c:pt idx="222">
                  <c:v>206.90372263979032</c:v>
                </c:pt>
                <c:pt idx="223">
                  <c:v>206.90372263979032</c:v>
                </c:pt>
                <c:pt idx="224">
                  <c:v>206.90372263979032</c:v>
                </c:pt>
                <c:pt idx="225">
                  <c:v>206.90372263979032</c:v>
                </c:pt>
                <c:pt idx="226">
                  <c:v>206.90372263979032</c:v>
                </c:pt>
                <c:pt idx="227">
                  <c:v>206.90372263979032</c:v>
                </c:pt>
                <c:pt idx="228">
                  <c:v>206.90372263979032</c:v>
                </c:pt>
                <c:pt idx="229">
                  <c:v>206.90372263979032</c:v>
                </c:pt>
                <c:pt idx="230">
                  <c:v>206.90372263979032</c:v>
                </c:pt>
                <c:pt idx="231">
                  <c:v>206.90372263979032</c:v>
                </c:pt>
                <c:pt idx="232">
                  <c:v>206.90372263979032</c:v>
                </c:pt>
                <c:pt idx="233">
                  <c:v>206.90372263979032</c:v>
                </c:pt>
                <c:pt idx="234">
                  <c:v>206.90372263979032</c:v>
                </c:pt>
                <c:pt idx="235">
                  <c:v>206.90372263979032</c:v>
                </c:pt>
                <c:pt idx="236">
                  <c:v>206.90372263979032</c:v>
                </c:pt>
                <c:pt idx="237">
                  <c:v>206.90372263979032</c:v>
                </c:pt>
                <c:pt idx="238">
                  <c:v>206.90372263979032</c:v>
                </c:pt>
                <c:pt idx="239">
                  <c:v>206.90372263979032</c:v>
                </c:pt>
                <c:pt idx="240">
                  <c:v>206.90372263979032</c:v>
                </c:pt>
                <c:pt idx="241">
                  <c:v>206.90372263979032</c:v>
                </c:pt>
                <c:pt idx="242">
                  <c:v>206.90372263979032</c:v>
                </c:pt>
                <c:pt idx="243">
                  <c:v>206.90372263979032</c:v>
                </c:pt>
                <c:pt idx="244">
                  <c:v>206.90372263979032</c:v>
                </c:pt>
                <c:pt idx="245">
                  <c:v>206.90372263979032</c:v>
                </c:pt>
                <c:pt idx="246">
                  <c:v>206.90372263979032</c:v>
                </c:pt>
                <c:pt idx="247">
                  <c:v>206.90372263979032</c:v>
                </c:pt>
                <c:pt idx="248">
                  <c:v>206.90372263979032</c:v>
                </c:pt>
                <c:pt idx="249">
                  <c:v>206.90372263979032</c:v>
                </c:pt>
                <c:pt idx="250">
                  <c:v>206.90372263979032</c:v>
                </c:pt>
                <c:pt idx="251">
                  <c:v>206.90372263979032</c:v>
                </c:pt>
                <c:pt idx="252">
                  <c:v>206.90372263979032</c:v>
                </c:pt>
                <c:pt idx="253">
                  <c:v>206.90372263979032</c:v>
                </c:pt>
                <c:pt idx="254">
                  <c:v>206.90372263979032</c:v>
                </c:pt>
                <c:pt idx="255">
                  <c:v>206.90372263979032</c:v>
                </c:pt>
                <c:pt idx="256">
                  <c:v>206.90372263979032</c:v>
                </c:pt>
                <c:pt idx="257">
                  <c:v>206.90372263979032</c:v>
                </c:pt>
                <c:pt idx="258">
                  <c:v>206.90372263979032</c:v>
                </c:pt>
                <c:pt idx="259">
                  <c:v>206.90372263979032</c:v>
                </c:pt>
                <c:pt idx="260">
                  <c:v>206.90372263979032</c:v>
                </c:pt>
                <c:pt idx="261">
                  <c:v>206.90372263979032</c:v>
                </c:pt>
                <c:pt idx="262">
                  <c:v>206.90372263979032</c:v>
                </c:pt>
                <c:pt idx="263">
                  <c:v>206.90372263979032</c:v>
                </c:pt>
                <c:pt idx="264">
                  <c:v>206.90372263979032</c:v>
                </c:pt>
                <c:pt idx="265">
                  <c:v>206.90372263979032</c:v>
                </c:pt>
                <c:pt idx="266">
                  <c:v>206.90372263979032</c:v>
                </c:pt>
                <c:pt idx="267">
                  <c:v>206.90372263979032</c:v>
                </c:pt>
                <c:pt idx="268">
                  <c:v>206.90372263979032</c:v>
                </c:pt>
                <c:pt idx="269">
                  <c:v>206.90372263979032</c:v>
                </c:pt>
                <c:pt idx="270">
                  <c:v>206.90372263979032</c:v>
                </c:pt>
                <c:pt idx="271">
                  <c:v>206.90372263979032</c:v>
                </c:pt>
                <c:pt idx="272">
                  <c:v>206.90372263979032</c:v>
                </c:pt>
                <c:pt idx="273">
                  <c:v>206.90372263979032</c:v>
                </c:pt>
                <c:pt idx="274">
                  <c:v>206.90372263979032</c:v>
                </c:pt>
                <c:pt idx="275">
                  <c:v>206.90372263979032</c:v>
                </c:pt>
                <c:pt idx="276">
                  <c:v>206.90372263979032</c:v>
                </c:pt>
                <c:pt idx="277">
                  <c:v>206.90372263979032</c:v>
                </c:pt>
                <c:pt idx="278">
                  <c:v>206.90372263979032</c:v>
                </c:pt>
                <c:pt idx="279">
                  <c:v>206.90372263979032</c:v>
                </c:pt>
                <c:pt idx="280">
                  <c:v>206.90372263979032</c:v>
                </c:pt>
                <c:pt idx="281">
                  <c:v>206.90372263979032</c:v>
                </c:pt>
                <c:pt idx="282">
                  <c:v>206.90372263979032</c:v>
                </c:pt>
                <c:pt idx="283">
                  <c:v>206.90372263979032</c:v>
                </c:pt>
                <c:pt idx="284">
                  <c:v>206.90372263979032</c:v>
                </c:pt>
                <c:pt idx="285">
                  <c:v>206.90372263979032</c:v>
                </c:pt>
                <c:pt idx="286">
                  <c:v>206.90372263979032</c:v>
                </c:pt>
                <c:pt idx="287">
                  <c:v>206.90372263979032</c:v>
                </c:pt>
                <c:pt idx="288">
                  <c:v>206.90372263979032</c:v>
                </c:pt>
                <c:pt idx="289">
                  <c:v>206.90372263979032</c:v>
                </c:pt>
                <c:pt idx="290">
                  <c:v>206.90372263979032</c:v>
                </c:pt>
                <c:pt idx="291">
                  <c:v>206.90372263979032</c:v>
                </c:pt>
                <c:pt idx="292">
                  <c:v>206.90372263979032</c:v>
                </c:pt>
                <c:pt idx="293">
                  <c:v>206.90372263979032</c:v>
                </c:pt>
                <c:pt idx="294">
                  <c:v>206.90372263979032</c:v>
                </c:pt>
                <c:pt idx="295">
                  <c:v>206.90372263979032</c:v>
                </c:pt>
                <c:pt idx="296">
                  <c:v>206.90372263979032</c:v>
                </c:pt>
                <c:pt idx="297">
                  <c:v>206.90372263979032</c:v>
                </c:pt>
                <c:pt idx="298">
                  <c:v>206.90372263979032</c:v>
                </c:pt>
                <c:pt idx="299">
                  <c:v>206.90372263979032</c:v>
                </c:pt>
                <c:pt idx="300">
                  <c:v>206.90372263979032</c:v>
                </c:pt>
                <c:pt idx="301">
                  <c:v>206.90372263979032</c:v>
                </c:pt>
                <c:pt idx="302">
                  <c:v>206.90372263979032</c:v>
                </c:pt>
                <c:pt idx="303">
                  <c:v>206.90372263979032</c:v>
                </c:pt>
                <c:pt idx="304">
                  <c:v>206.90372263979032</c:v>
                </c:pt>
                <c:pt idx="305">
                  <c:v>206.90372263979032</c:v>
                </c:pt>
                <c:pt idx="306">
                  <c:v>206.90372263979032</c:v>
                </c:pt>
                <c:pt idx="307">
                  <c:v>206.90372263979032</c:v>
                </c:pt>
                <c:pt idx="308">
                  <c:v>206.90372263979032</c:v>
                </c:pt>
                <c:pt idx="309">
                  <c:v>206.90372263979032</c:v>
                </c:pt>
                <c:pt idx="310">
                  <c:v>206.90372263979032</c:v>
                </c:pt>
                <c:pt idx="311">
                  <c:v>206.90372263979032</c:v>
                </c:pt>
                <c:pt idx="312">
                  <c:v>206.90372263979032</c:v>
                </c:pt>
                <c:pt idx="313">
                  <c:v>206.90372263979032</c:v>
                </c:pt>
                <c:pt idx="314">
                  <c:v>206.90372263979032</c:v>
                </c:pt>
                <c:pt idx="315">
                  <c:v>206.90372263979032</c:v>
                </c:pt>
                <c:pt idx="316">
                  <c:v>206.90372263979032</c:v>
                </c:pt>
                <c:pt idx="317">
                  <c:v>206.90372263979032</c:v>
                </c:pt>
                <c:pt idx="318">
                  <c:v>206.90372263979032</c:v>
                </c:pt>
                <c:pt idx="319">
                  <c:v>206.90372263979032</c:v>
                </c:pt>
                <c:pt idx="320">
                  <c:v>206.90372263979032</c:v>
                </c:pt>
                <c:pt idx="321">
                  <c:v>206.90372263979032</c:v>
                </c:pt>
                <c:pt idx="322">
                  <c:v>206.90372263979032</c:v>
                </c:pt>
                <c:pt idx="323">
                  <c:v>206.90372263979032</c:v>
                </c:pt>
                <c:pt idx="324">
                  <c:v>206.90372263979032</c:v>
                </c:pt>
                <c:pt idx="325">
                  <c:v>206.90372263979032</c:v>
                </c:pt>
                <c:pt idx="326">
                  <c:v>206.90372263979032</c:v>
                </c:pt>
                <c:pt idx="327">
                  <c:v>206.90372263979032</c:v>
                </c:pt>
                <c:pt idx="328">
                  <c:v>206.90372263979032</c:v>
                </c:pt>
                <c:pt idx="329">
                  <c:v>206.90372263979032</c:v>
                </c:pt>
                <c:pt idx="330">
                  <c:v>206.90372263979032</c:v>
                </c:pt>
                <c:pt idx="331">
                  <c:v>206.90372263979032</c:v>
                </c:pt>
                <c:pt idx="332">
                  <c:v>206.90372263979032</c:v>
                </c:pt>
                <c:pt idx="333">
                  <c:v>206.90372263979032</c:v>
                </c:pt>
                <c:pt idx="334">
                  <c:v>206.90372263979032</c:v>
                </c:pt>
                <c:pt idx="335">
                  <c:v>206.90372263979032</c:v>
                </c:pt>
                <c:pt idx="336">
                  <c:v>206.90372263979032</c:v>
                </c:pt>
                <c:pt idx="337">
                  <c:v>206.90372263979032</c:v>
                </c:pt>
                <c:pt idx="338">
                  <c:v>206.90372263979032</c:v>
                </c:pt>
                <c:pt idx="339">
                  <c:v>206.90372263979032</c:v>
                </c:pt>
                <c:pt idx="340">
                  <c:v>206.90372263979032</c:v>
                </c:pt>
                <c:pt idx="341">
                  <c:v>206.90372263979032</c:v>
                </c:pt>
                <c:pt idx="342">
                  <c:v>206.90372263979032</c:v>
                </c:pt>
                <c:pt idx="343">
                  <c:v>206.90372263979032</c:v>
                </c:pt>
                <c:pt idx="344">
                  <c:v>206.90372263979032</c:v>
                </c:pt>
                <c:pt idx="345">
                  <c:v>206.90372263979032</c:v>
                </c:pt>
                <c:pt idx="346">
                  <c:v>206.90372263979032</c:v>
                </c:pt>
                <c:pt idx="347">
                  <c:v>206.90372263979032</c:v>
                </c:pt>
                <c:pt idx="348">
                  <c:v>206.90372263979032</c:v>
                </c:pt>
                <c:pt idx="349">
                  <c:v>206.90372263979032</c:v>
                </c:pt>
                <c:pt idx="350">
                  <c:v>206.90372263979032</c:v>
                </c:pt>
                <c:pt idx="351">
                  <c:v>206.90372263979032</c:v>
                </c:pt>
                <c:pt idx="352">
                  <c:v>206.90372263979032</c:v>
                </c:pt>
                <c:pt idx="353">
                  <c:v>206.90372263979032</c:v>
                </c:pt>
                <c:pt idx="354">
                  <c:v>206.90372263979032</c:v>
                </c:pt>
                <c:pt idx="355">
                  <c:v>206.90372263979032</c:v>
                </c:pt>
                <c:pt idx="356">
                  <c:v>206.90372263979032</c:v>
                </c:pt>
                <c:pt idx="357">
                  <c:v>206.90372263979032</c:v>
                </c:pt>
                <c:pt idx="358">
                  <c:v>206.90372263979032</c:v>
                </c:pt>
                <c:pt idx="359">
                  <c:v>206.90372263979032</c:v>
                </c:pt>
                <c:pt idx="360">
                  <c:v>206.90372263979032</c:v>
                </c:pt>
                <c:pt idx="361">
                  <c:v>206.90372263979032</c:v>
                </c:pt>
                <c:pt idx="362">
                  <c:v>206.90372263979032</c:v>
                </c:pt>
                <c:pt idx="363">
                  <c:v>206.90372263979032</c:v>
                </c:pt>
                <c:pt idx="364">
                  <c:v>206.90372263979032</c:v>
                </c:pt>
                <c:pt idx="365">
                  <c:v>206.90372263979032</c:v>
                </c:pt>
                <c:pt idx="366">
                  <c:v>206.90372263979032</c:v>
                </c:pt>
                <c:pt idx="367">
                  <c:v>206.90372263979032</c:v>
                </c:pt>
                <c:pt idx="368">
                  <c:v>206.90372263979032</c:v>
                </c:pt>
                <c:pt idx="369">
                  <c:v>206.90372263979032</c:v>
                </c:pt>
                <c:pt idx="370">
                  <c:v>206.90372263979032</c:v>
                </c:pt>
                <c:pt idx="371">
                  <c:v>206.90372263979032</c:v>
                </c:pt>
                <c:pt idx="372">
                  <c:v>206.90372263979032</c:v>
                </c:pt>
                <c:pt idx="373">
                  <c:v>206.90372263979032</c:v>
                </c:pt>
                <c:pt idx="374">
                  <c:v>206.90372263979032</c:v>
                </c:pt>
                <c:pt idx="375">
                  <c:v>206.90372263979032</c:v>
                </c:pt>
                <c:pt idx="376">
                  <c:v>206.90372263979032</c:v>
                </c:pt>
                <c:pt idx="377">
                  <c:v>206.90372263979032</c:v>
                </c:pt>
                <c:pt idx="378">
                  <c:v>206.90372263979032</c:v>
                </c:pt>
                <c:pt idx="379">
                  <c:v>206.90372263979032</c:v>
                </c:pt>
                <c:pt idx="380">
                  <c:v>206.90372263979032</c:v>
                </c:pt>
                <c:pt idx="381">
                  <c:v>206.90372263979032</c:v>
                </c:pt>
                <c:pt idx="382">
                  <c:v>206.90372263979032</c:v>
                </c:pt>
                <c:pt idx="383">
                  <c:v>206.90372263979032</c:v>
                </c:pt>
                <c:pt idx="384">
                  <c:v>206.90372263979032</c:v>
                </c:pt>
                <c:pt idx="385">
                  <c:v>206.90372263979032</c:v>
                </c:pt>
                <c:pt idx="386">
                  <c:v>206.90372263979032</c:v>
                </c:pt>
                <c:pt idx="387">
                  <c:v>206.90372263979032</c:v>
                </c:pt>
                <c:pt idx="388">
                  <c:v>206.90372263979032</c:v>
                </c:pt>
                <c:pt idx="389">
                  <c:v>206.90372263979032</c:v>
                </c:pt>
                <c:pt idx="390">
                  <c:v>206.90372263979032</c:v>
                </c:pt>
                <c:pt idx="391">
                  <c:v>206.90372263979032</c:v>
                </c:pt>
                <c:pt idx="392">
                  <c:v>206.90372263979032</c:v>
                </c:pt>
                <c:pt idx="393">
                  <c:v>206.90372263979032</c:v>
                </c:pt>
                <c:pt idx="394">
                  <c:v>206.90372263979032</c:v>
                </c:pt>
                <c:pt idx="395">
                  <c:v>206.90372263979032</c:v>
                </c:pt>
                <c:pt idx="396">
                  <c:v>206.90372263979032</c:v>
                </c:pt>
                <c:pt idx="397">
                  <c:v>206.90372263979032</c:v>
                </c:pt>
                <c:pt idx="398">
                  <c:v>206.90372263979032</c:v>
                </c:pt>
                <c:pt idx="399">
                  <c:v>206.90372263979032</c:v>
                </c:pt>
                <c:pt idx="400">
                  <c:v>206.90372263979032</c:v>
                </c:pt>
                <c:pt idx="401">
                  <c:v>206.90372263979032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53F-486F-9567-AF2EAAEFF395}"/>
            </c:ext>
          </c:extLst>
        </c:ser>
        <c:ser>
          <c:idx val="3"/>
          <c:order val="2"/>
          <c:tx>
            <c:v>Promedio 02-15</c:v>
          </c:tx>
          <c:spPr>
            <a:ln w="12700">
              <a:solidFill>
                <a:srgbClr val="333333"/>
              </a:solidFill>
              <a:prstDash val="sysDash"/>
            </a:ln>
          </c:spPr>
          <c:marker>
            <c:symbol val="none"/>
          </c:marker>
          <c:dLbls>
            <c:dLbl>
              <c:idx val="285"/>
              <c:layout>
                <c:manualLayout>
                  <c:x val="-4.3879054518417351E-2"/>
                  <c:y val="-4.74103580699736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53F-486F-9567-AF2EAAEFF3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SOJA!$B$2:$B$406</c:f>
              <c:strCache>
                <c:ptCount val="405"/>
                <c:pt idx="0">
                  <c:v>E-93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D-93</c:v>
                </c:pt>
                <c:pt idx="12">
                  <c:v>E-94</c:v>
                </c:pt>
                <c:pt idx="13">
                  <c:v>F</c:v>
                </c:pt>
                <c:pt idx="14">
                  <c:v>M</c:v>
                </c:pt>
                <c:pt idx="15">
                  <c:v>A</c:v>
                </c:pt>
                <c:pt idx="16">
                  <c:v>M</c:v>
                </c:pt>
                <c:pt idx="17">
                  <c:v>J</c:v>
                </c:pt>
                <c:pt idx="18">
                  <c:v>J</c:v>
                </c:pt>
                <c:pt idx="19">
                  <c:v>A</c:v>
                </c:pt>
                <c:pt idx="20">
                  <c:v>S</c:v>
                </c:pt>
                <c:pt idx="21">
                  <c:v>O</c:v>
                </c:pt>
                <c:pt idx="22">
                  <c:v>N</c:v>
                </c:pt>
                <c:pt idx="23">
                  <c:v>D-94</c:v>
                </c:pt>
                <c:pt idx="24">
                  <c:v>E-95</c:v>
                </c:pt>
                <c:pt idx="25">
                  <c:v>F</c:v>
                </c:pt>
                <c:pt idx="26">
                  <c:v>M</c:v>
                </c:pt>
                <c:pt idx="27">
                  <c:v>A</c:v>
                </c:pt>
                <c:pt idx="28">
                  <c:v>M</c:v>
                </c:pt>
                <c:pt idx="29">
                  <c:v>J</c:v>
                </c:pt>
                <c:pt idx="30">
                  <c:v>J</c:v>
                </c:pt>
                <c:pt idx="31">
                  <c:v>A</c:v>
                </c:pt>
                <c:pt idx="32">
                  <c:v>S</c:v>
                </c:pt>
                <c:pt idx="33">
                  <c:v>O</c:v>
                </c:pt>
                <c:pt idx="34">
                  <c:v>N</c:v>
                </c:pt>
                <c:pt idx="35">
                  <c:v>D-95</c:v>
                </c:pt>
                <c:pt idx="36">
                  <c:v>E-96</c:v>
                </c:pt>
                <c:pt idx="37">
                  <c:v>F</c:v>
                </c:pt>
                <c:pt idx="38">
                  <c:v>M</c:v>
                </c:pt>
                <c:pt idx="39">
                  <c:v>A</c:v>
                </c:pt>
                <c:pt idx="40">
                  <c:v>M</c:v>
                </c:pt>
                <c:pt idx="41">
                  <c:v>J</c:v>
                </c:pt>
                <c:pt idx="42">
                  <c:v>J</c:v>
                </c:pt>
                <c:pt idx="43">
                  <c:v>A</c:v>
                </c:pt>
                <c:pt idx="44">
                  <c:v>S</c:v>
                </c:pt>
                <c:pt idx="45">
                  <c:v>O</c:v>
                </c:pt>
                <c:pt idx="46">
                  <c:v>N</c:v>
                </c:pt>
                <c:pt idx="47">
                  <c:v>D-96</c:v>
                </c:pt>
                <c:pt idx="48">
                  <c:v>E-97</c:v>
                </c:pt>
                <c:pt idx="49">
                  <c:v>F</c:v>
                </c:pt>
                <c:pt idx="50">
                  <c:v>M</c:v>
                </c:pt>
                <c:pt idx="51">
                  <c:v>A</c:v>
                </c:pt>
                <c:pt idx="52">
                  <c:v>M</c:v>
                </c:pt>
                <c:pt idx="53">
                  <c:v>J</c:v>
                </c:pt>
                <c:pt idx="54">
                  <c:v>J</c:v>
                </c:pt>
                <c:pt idx="55">
                  <c:v>A</c:v>
                </c:pt>
                <c:pt idx="56">
                  <c:v>S</c:v>
                </c:pt>
                <c:pt idx="57">
                  <c:v>O</c:v>
                </c:pt>
                <c:pt idx="58">
                  <c:v>N</c:v>
                </c:pt>
                <c:pt idx="59">
                  <c:v>D-97</c:v>
                </c:pt>
                <c:pt idx="60">
                  <c:v>E-98</c:v>
                </c:pt>
                <c:pt idx="61">
                  <c:v>F</c:v>
                </c:pt>
                <c:pt idx="62">
                  <c:v>M</c:v>
                </c:pt>
                <c:pt idx="63">
                  <c:v>A</c:v>
                </c:pt>
                <c:pt idx="64">
                  <c:v>M</c:v>
                </c:pt>
                <c:pt idx="65">
                  <c:v>J</c:v>
                </c:pt>
                <c:pt idx="66">
                  <c:v>J</c:v>
                </c:pt>
                <c:pt idx="67">
                  <c:v>A</c:v>
                </c:pt>
                <c:pt idx="68">
                  <c:v>S</c:v>
                </c:pt>
                <c:pt idx="69">
                  <c:v>O</c:v>
                </c:pt>
                <c:pt idx="70">
                  <c:v>N</c:v>
                </c:pt>
                <c:pt idx="71">
                  <c:v>D-98</c:v>
                </c:pt>
                <c:pt idx="72">
                  <c:v>E-99</c:v>
                </c:pt>
                <c:pt idx="73">
                  <c:v>F</c:v>
                </c:pt>
                <c:pt idx="74">
                  <c:v>M</c:v>
                </c:pt>
                <c:pt idx="75">
                  <c:v>A</c:v>
                </c:pt>
                <c:pt idx="76">
                  <c:v>M</c:v>
                </c:pt>
                <c:pt idx="77">
                  <c:v>J</c:v>
                </c:pt>
                <c:pt idx="78">
                  <c:v>J</c:v>
                </c:pt>
                <c:pt idx="79">
                  <c:v>A</c:v>
                </c:pt>
                <c:pt idx="80">
                  <c:v>S</c:v>
                </c:pt>
                <c:pt idx="81">
                  <c:v>O</c:v>
                </c:pt>
                <c:pt idx="82">
                  <c:v>N</c:v>
                </c:pt>
                <c:pt idx="83">
                  <c:v>D-99</c:v>
                </c:pt>
                <c:pt idx="84">
                  <c:v>E-00</c:v>
                </c:pt>
                <c:pt idx="85">
                  <c:v>F</c:v>
                </c:pt>
                <c:pt idx="86">
                  <c:v>M</c:v>
                </c:pt>
                <c:pt idx="87">
                  <c:v>A</c:v>
                </c:pt>
                <c:pt idx="88">
                  <c:v>M</c:v>
                </c:pt>
                <c:pt idx="89">
                  <c:v>J</c:v>
                </c:pt>
                <c:pt idx="90">
                  <c:v>J</c:v>
                </c:pt>
                <c:pt idx="91">
                  <c:v>A</c:v>
                </c:pt>
                <c:pt idx="92">
                  <c:v>S</c:v>
                </c:pt>
                <c:pt idx="93">
                  <c:v>O</c:v>
                </c:pt>
                <c:pt idx="94">
                  <c:v>N</c:v>
                </c:pt>
                <c:pt idx="95">
                  <c:v>D-00</c:v>
                </c:pt>
                <c:pt idx="96">
                  <c:v>E-01</c:v>
                </c:pt>
                <c:pt idx="97">
                  <c:v>F</c:v>
                </c:pt>
                <c:pt idx="98">
                  <c:v>M</c:v>
                </c:pt>
                <c:pt idx="99">
                  <c:v>A</c:v>
                </c:pt>
                <c:pt idx="100">
                  <c:v>M</c:v>
                </c:pt>
                <c:pt idx="101">
                  <c:v>J</c:v>
                </c:pt>
                <c:pt idx="102">
                  <c:v>J</c:v>
                </c:pt>
                <c:pt idx="103">
                  <c:v>A</c:v>
                </c:pt>
                <c:pt idx="104">
                  <c:v>S</c:v>
                </c:pt>
                <c:pt idx="105">
                  <c:v>O</c:v>
                </c:pt>
                <c:pt idx="106">
                  <c:v>N</c:v>
                </c:pt>
                <c:pt idx="107">
                  <c:v>D-01</c:v>
                </c:pt>
                <c:pt idx="108">
                  <c:v>E-02</c:v>
                </c:pt>
                <c:pt idx="109">
                  <c:v>F</c:v>
                </c:pt>
                <c:pt idx="110">
                  <c:v>M</c:v>
                </c:pt>
                <c:pt idx="111">
                  <c:v>A</c:v>
                </c:pt>
                <c:pt idx="112">
                  <c:v>M</c:v>
                </c:pt>
                <c:pt idx="113">
                  <c:v>J</c:v>
                </c:pt>
                <c:pt idx="114">
                  <c:v>J</c:v>
                </c:pt>
                <c:pt idx="115">
                  <c:v>A</c:v>
                </c:pt>
                <c:pt idx="116">
                  <c:v>S</c:v>
                </c:pt>
                <c:pt idx="117">
                  <c:v>O</c:v>
                </c:pt>
                <c:pt idx="118">
                  <c:v>N</c:v>
                </c:pt>
                <c:pt idx="119">
                  <c:v>D-02</c:v>
                </c:pt>
                <c:pt idx="120">
                  <c:v>E-03</c:v>
                </c:pt>
                <c:pt idx="121">
                  <c:v>F</c:v>
                </c:pt>
                <c:pt idx="122">
                  <c:v>M</c:v>
                </c:pt>
                <c:pt idx="123">
                  <c:v>A</c:v>
                </c:pt>
                <c:pt idx="124">
                  <c:v>M</c:v>
                </c:pt>
                <c:pt idx="125">
                  <c:v>J</c:v>
                </c:pt>
                <c:pt idx="126">
                  <c:v>J</c:v>
                </c:pt>
                <c:pt idx="127">
                  <c:v>A</c:v>
                </c:pt>
                <c:pt idx="128">
                  <c:v>S</c:v>
                </c:pt>
                <c:pt idx="129">
                  <c:v>O</c:v>
                </c:pt>
                <c:pt idx="130">
                  <c:v>N</c:v>
                </c:pt>
                <c:pt idx="131">
                  <c:v>D-03</c:v>
                </c:pt>
                <c:pt idx="132">
                  <c:v>E-04</c:v>
                </c:pt>
                <c:pt idx="133">
                  <c:v>F</c:v>
                </c:pt>
                <c:pt idx="134">
                  <c:v>M</c:v>
                </c:pt>
                <c:pt idx="135">
                  <c:v>A</c:v>
                </c:pt>
                <c:pt idx="136">
                  <c:v>M</c:v>
                </c:pt>
                <c:pt idx="137">
                  <c:v>J</c:v>
                </c:pt>
                <c:pt idx="138">
                  <c:v>J</c:v>
                </c:pt>
                <c:pt idx="139">
                  <c:v>A</c:v>
                </c:pt>
                <c:pt idx="140">
                  <c:v>S</c:v>
                </c:pt>
                <c:pt idx="141">
                  <c:v>O</c:v>
                </c:pt>
                <c:pt idx="142">
                  <c:v>N</c:v>
                </c:pt>
                <c:pt idx="143">
                  <c:v>D-04</c:v>
                </c:pt>
                <c:pt idx="144">
                  <c:v>E-05</c:v>
                </c:pt>
                <c:pt idx="145">
                  <c:v>F</c:v>
                </c:pt>
                <c:pt idx="146">
                  <c:v>M</c:v>
                </c:pt>
                <c:pt idx="147">
                  <c:v>A</c:v>
                </c:pt>
                <c:pt idx="148">
                  <c:v>M</c:v>
                </c:pt>
                <c:pt idx="149">
                  <c:v>J</c:v>
                </c:pt>
                <c:pt idx="150">
                  <c:v>J</c:v>
                </c:pt>
                <c:pt idx="151">
                  <c:v>A</c:v>
                </c:pt>
                <c:pt idx="152">
                  <c:v>S</c:v>
                </c:pt>
                <c:pt idx="153">
                  <c:v>O</c:v>
                </c:pt>
                <c:pt idx="154">
                  <c:v>N</c:v>
                </c:pt>
                <c:pt idx="155">
                  <c:v>D-05</c:v>
                </c:pt>
                <c:pt idx="156">
                  <c:v>E-06</c:v>
                </c:pt>
                <c:pt idx="157">
                  <c:v>F</c:v>
                </c:pt>
                <c:pt idx="158">
                  <c:v>M</c:v>
                </c:pt>
                <c:pt idx="159">
                  <c:v>A</c:v>
                </c:pt>
                <c:pt idx="160">
                  <c:v>M</c:v>
                </c:pt>
                <c:pt idx="161">
                  <c:v>J</c:v>
                </c:pt>
                <c:pt idx="162">
                  <c:v>J</c:v>
                </c:pt>
                <c:pt idx="163">
                  <c:v>A</c:v>
                </c:pt>
                <c:pt idx="164">
                  <c:v>S</c:v>
                </c:pt>
                <c:pt idx="165">
                  <c:v>O</c:v>
                </c:pt>
                <c:pt idx="166">
                  <c:v>N</c:v>
                </c:pt>
                <c:pt idx="167">
                  <c:v>D-06</c:v>
                </c:pt>
                <c:pt idx="168">
                  <c:v>E-07</c:v>
                </c:pt>
                <c:pt idx="169">
                  <c:v>F</c:v>
                </c:pt>
                <c:pt idx="170">
                  <c:v>M</c:v>
                </c:pt>
                <c:pt idx="171">
                  <c:v>A</c:v>
                </c:pt>
                <c:pt idx="172">
                  <c:v>M</c:v>
                </c:pt>
                <c:pt idx="173">
                  <c:v>J</c:v>
                </c:pt>
                <c:pt idx="174">
                  <c:v>J</c:v>
                </c:pt>
                <c:pt idx="175">
                  <c:v>A</c:v>
                </c:pt>
                <c:pt idx="176">
                  <c:v>S</c:v>
                </c:pt>
                <c:pt idx="177">
                  <c:v>O</c:v>
                </c:pt>
                <c:pt idx="178">
                  <c:v>N</c:v>
                </c:pt>
                <c:pt idx="179">
                  <c:v>D-07</c:v>
                </c:pt>
                <c:pt idx="180">
                  <c:v>E-08</c:v>
                </c:pt>
                <c:pt idx="181">
                  <c:v>F</c:v>
                </c:pt>
                <c:pt idx="182">
                  <c:v>M</c:v>
                </c:pt>
                <c:pt idx="183">
                  <c:v>A</c:v>
                </c:pt>
                <c:pt idx="184">
                  <c:v>M</c:v>
                </c:pt>
                <c:pt idx="185">
                  <c:v>J</c:v>
                </c:pt>
                <c:pt idx="186">
                  <c:v>J</c:v>
                </c:pt>
                <c:pt idx="187">
                  <c:v>A</c:v>
                </c:pt>
                <c:pt idx="188">
                  <c:v>S</c:v>
                </c:pt>
                <c:pt idx="189">
                  <c:v>O</c:v>
                </c:pt>
                <c:pt idx="190">
                  <c:v>N</c:v>
                </c:pt>
                <c:pt idx="191">
                  <c:v>D-08</c:v>
                </c:pt>
                <c:pt idx="192">
                  <c:v>E-09</c:v>
                </c:pt>
                <c:pt idx="193">
                  <c:v>F</c:v>
                </c:pt>
                <c:pt idx="194">
                  <c:v>M</c:v>
                </c:pt>
                <c:pt idx="195">
                  <c:v>A</c:v>
                </c:pt>
                <c:pt idx="196">
                  <c:v>M</c:v>
                </c:pt>
                <c:pt idx="197">
                  <c:v>J</c:v>
                </c:pt>
                <c:pt idx="198">
                  <c:v>J</c:v>
                </c:pt>
                <c:pt idx="199">
                  <c:v>A</c:v>
                </c:pt>
                <c:pt idx="200">
                  <c:v>S</c:v>
                </c:pt>
                <c:pt idx="201">
                  <c:v>O</c:v>
                </c:pt>
                <c:pt idx="202">
                  <c:v>N</c:v>
                </c:pt>
                <c:pt idx="203">
                  <c:v>D-09</c:v>
                </c:pt>
                <c:pt idx="204">
                  <c:v>E-10</c:v>
                </c:pt>
                <c:pt idx="205">
                  <c:v>F</c:v>
                </c:pt>
                <c:pt idx="206">
                  <c:v>M</c:v>
                </c:pt>
                <c:pt idx="207">
                  <c:v>A</c:v>
                </c:pt>
                <c:pt idx="208">
                  <c:v>M</c:v>
                </c:pt>
                <c:pt idx="209">
                  <c:v>J</c:v>
                </c:pt>
                <c:pt idx="210">
                  <c:v>J</c:v>
                </c:pt>
                <c:pt idx="211">
                  <c:v>A</c:v>
                </c:pt>
                <c:pt idx="212">
                  <c:v>S</c:v>
                </c:pt>
                <c:pt idx="213">
                  <c:v>O</c:v>
                </c:pt>
                <c:pt idx="214">
                  <c:v>N</c:v>
                </c:pt>
                <c:pt idx="215">
                  <c:v>D-10</c:v>
                </c:pt>
                <c:pt idx="216">
                  <c:v>E-11</c:v>
                </c:pt>
                <c:pt idx="217">
                  <c:v>F</c:v>
                </c:pt>
                <c:pt idx="218">
                  <c:v>M</c:v>
                </c:pt>
                <c:pt idx="219">
                  <c:v>A</c:v>
                </c:pt>
                <c:pt idx="220">
                  <c:v>M</c:v>
                </c:pt>
                <c:pt idx="221">
                  <c:v>J</c:v>
                </c:pt>
                <c:pt idx="222">
                  <c:v>J</c:v>
                </c:pt>
                <c:pt idx="223">
                  <c:v>A</c:v>
                </c:pt>
                <c:pt idx="224">
                  <c:v>S</c:v>
                </c:pt>
                <c:pt idx="225">
                  <c:v>O</c:v>
                </c:pt>
                <c:pt idx="226">
                  <c:v>N</c:v>
                </c:pt>
                <c:pt idx="227">
                  <c:v>D-11</c:v>
                </c:pt>
                <c:pt idx="228">
                  <c:v>E-12</c:v>
                </c:pt>
                <c:pt idx="229">
                  <c:v>F</c:v>
                </c:pt>
                <c:pt idx="230">
                  <c:v>M</c:v>
                </c:pt>
                <c:pt idx="231">
                  <c:v>A</c:v>
                </c:pt>
                <c:pt idx="232">
                  <c:v>M</c:v>
                </c:pt>
                <c:pt idx="233">
                  <c:v>J</c:v>
                </c:pt>
                <c:pt idx="234">
                  <c:v>J</c:v>
                </c:pt>
                <c:pt idx="235">
                  <c:v>A</c:v>
                </c:pt>
                <c:pt idx="236">
                  <c:v>S</c:v>
                </c:pt>
                <c:pt idx="237">
                  <c:v>O</c:v>
                </c:pt>
                <c:pt idx="238">
                  <c:v>N</c:v>
                </c:pt>
                <c:pt idx="239">
                  <c:v>D-12</c:v>
                </c:pt>
                <c:pt idx="240">
                  <c:v>E-13</c:v>
                </c:pt>
                <c:pt idx="241">
                  <c:v>F</c:v>
                </c:pt>
                <c:pt idx="242">
                  <c:v>M</c:v>
                </c:pt>
                <c:pt idx="243">
                  <c:v>A</c:v>
                </c:pt>
                <c:pt idx="244">
                  <c:v>M</c:v>
                </c:pt>
                <c:pt idx="245">
                  <c:v>J</c:v>
                </c:pt>
                <c:pt idx="246">
                  <c:v>J</c:v>
                </c:pt>
                <c:pt idx="247">
                  <c:v>A</c:v>
                </c:pt>
                <c:pt idx="248">
                  <c:v>S</c:v>
                </c:pt>
                <c:pt idx="249">
                  <c:v>O</c:v>
                </c:pt>
                <c:pt idx="250">
                  <c:v>N</c:v>
                </c:pt>
                <c:pt idx="251">
                  <c:v>D-13</c:v>
                </c:pt>
                <c:pt idx="252">
                  <c:v>E-14</c:v>
                </c:pt>
                <c:pt idx="253">
                  <c:v>F</c:v>
                </c:pt>
                <c:pt idx="254">
                  <c:v>M</c:v>
                </c:pt>
                <c:pt idx="255">
                  <c:v>A</c:v>
                </c:pt>
                <c:pt idx="256">
                  <c:v>M</c:v>
                </c:pt>
                <c:pt idx="257">
                  <c:v>J</c:v>
                </c:pt>
                <c:pt idx="258">
                  <c:v>J</c:v>
                </c:pt>
                <c:pt idx="259">
                  <c:v>A</c:v>
                </c:pt>
                <c:pt idx="260">
                  <c:v>S</c:v>
                </c:pt>
                <c:pt idx="261">
                  <c:v>O</c:v>
                </c:pt>
                <c:pt idx="262">
                  <c:v>N</c:v>
                </c:pt>
                <c:pt idx="263">
                  <c:v>D-14</c:v>
                </c:pt>
                <c:pt idx="264">
                  <c:v>E-15</c:v>
                </c:pt>
                <c:pt idx="265">
                  <c:v>F</c:v>
                </c:pt>
                <c:pt idx="266">
                  <c:v>M</c:v>
                </c:pt>
                <c:pt idx="267">
                  <c:v>A</c:v>
                </c:pt>
                <c:pt idx="268">
                  <c:v>M</c:v>
                </c:pt>
                <c:pt idx="269">
                  <c:v>J</c:v>
                </c:pt>
                <c:pt idx="270">
                  <c:v>J</c:v>
                </c:pt>
                <c:pt idx="271">
                  <c:v>A</c:v>
                </c:pt>
                <c:pt idx="272">
                  <c:v>S</c:v>
                </c:pt>
                <c:pt idx="273">
                  <c:v>O</c:v>
                </c:pt>
                <c:pt idx="274">
                  <c:v>N</c:v>
                </c:pt>
                <c:pt idx="275">
                  <c:v>D-15</c:v>
                </c:pt>
                <c:pt idx="276">
                  <c:v>E-16</c:v>
                </c:pt>
                <c:pt idx="277">
                  <c:v>F</c:v>
                </c:pt>
                <c:pt idx="278">
                  <c:v>M</c:v>
                </c:pt>
                <c:pt idx="279">
                  <c:v>A</c:v>
                </c:pt>
                <c:pt idx="280">
                  <c:v>M</c:v>
                </c:pt>
                <c:pt idx="281">
                  <c:v>J</c:v>
                </c:pt>
                <c:pt idx="282">
                  <c:v>J</c:v>
                </c:pt>
                <c:pt idx="283">
                  <c:v>A</c:v>
                </c:pt>
                <c:pt idx="284">
                  <c:v>S</c:v>
                </c:pt>
                <c:pt idx="285">
                  <c:v>O</c:v>
                </c:pt>
                <c:pt idx="286">
                  <c:v>N</c:v>
                </c:pt>
                <c:pt idx="287">
                  <c:v>D-16</c:v>
                </c:pt>
                <c:pt idx="288">
                  <c:v>E-17</c:v>
                </c:pt>
                <c:pt idx="289">
                  <c:v>F</c:v>
                </c:pt>
                <c:pt idx="290">
                  <c:v>M</c:v>
                </c:pt>
                <c:pt idx="291">
                  <c:v>A</c:v>
                </c:pt>
                <c:pt idx="292">
                  <c:v>M</c:v>
                </c:pt>
                <c:pt idx="293">
                  <c:v>J</c:v>
                </c:pt>
                <c:pt idx="294">
                  <c:v>J</c:v>
                </c:pt>
                <c:pt idx="295">
                  <c:v>A</c:v>
                </c:pt>
                <c:pt idx="296">
                  <c:v>S</c:v>
                </c:pt>
                <c:pt idx="297">
                  <c:v>O</c:v>
                </c:pt>
                <c:pt idx="298">
                  <c:v>N</c:v>
                </c:pt>
                <c:pt idx="299">
                  <c:v>D-17</c:v>
                </c:pt>
                <c:pt idx="300">
                  <c:v>E-18</c:v>
                </c:pt>
                <c:pt idx="301">
                  <c:v>F</c:v>
                </c:pt>
                <c:pt idx="302">
                  <c:v>M</c:v>
                </c:pt>
                <c:pt idx="303">
                  <c:v>A</c:v>
                </c:pt>
                <c:pt idx="304">
                  <c:v>M</c:v>
                </c:pt>
                <c:pt idx="305">
                  <c:v>J</c:v>
                </c:pt>
                <c:pt idx="306">
                  <c:v>J</c:v>
                </c:pt>
                <c:pt idx="307">
                  <c:v>A</c:v>
                </c:pt>
                <c:pt idx="308">
                  <c:v>S</c:v>
                </c:pt>
                <c:pt idx="309">
                  <c:v>O</c:v>
                </c:pt>
                <c:pt idx="310">
                  <c:v>N</c:v>
                </c:pt>
                <c:pt idx="311">
                  <c:v>D</c:v>
                </c:pt>
                <c:pt idx="312">
                  <c:v>E-19</c:v>
                </c:pt>
                <c:pt idx="313">
                  <c:v>F</c:v>
                </c:pt>
                <c:pt idx="314">
                  <c:v>M</c:v>
                </c:pt>
                <c:pt idx="315">
                  <c:v>A</c:v>
                </c:pt>
                <c:pt idx="316">
                  <c:v>M</c:v>
                </c:pt>
                <c:pt idx="317">
                  <c:v>J</c:v>
                </c:pt>
                <c:pt idx="318">
                  <c:v>J</c:v>
                </c:pt>
                <c:pt idx="319">
                  <c:v>A</c:v>
                </c:pt>
                <c:pt idx="320">
                  <c:v>S</c:v>
                </c:pt>
                <c:pt idx="321">
                  <c:v>O</c:v>
                </c:pt>
                <c:pt idx="322">
                  <c:v>N</c:v>
                </c:pt>
                <c:pt idx="323">
                  <c:v>D</c:v>
                </c:pt>
                <c:pt idx="324">
                  <c:v>E-20</c:v>
                </c:pt>
                <c:pt idx="325">
                  <c:v>F</c:v>
                </c:pt>
                <c:pt idx="326">
                  <c:v>M</c:v>
                </c:pt>
                <c:pt idx="327">
                  <c:v>A</c:v>
                </c:pt>
                <c:pt idx="328">
                  <c:v>M</c:v>
                </c:pt>
                <c:pt idx="329">
                  <c:v>J</c:v>
                </c:pt>
                <c:pt idx="330">
                  <c:v>J</c:v>
                </c:pt>
                <c:pt idx="331">
                  <c:v>A</c:v>
                </c:pt>
                <c:pt idx="332">
                  <c:v>S</c:v>
                </c:pt>
                <c:pt idx="333">
                  <c:v>O</c:v>
                </c:pt>
                <c:pt idx="334">
                  <c:v>N</c:v>
                </c:pt>
                <c:pt idx="335">
                  <c:v>D</c:v>
                </c:pt>
                <c:pt idx="336">
                  <c:v>E-21</c:v>
                </c:pt>
                <c:pt idx="337">
                  <c:v>F</c:v>
                </c:pt>
                <c:pt idx="338">
                  <c:v>M</c:v>
                </c:pt>
                <c:pt idx="339">
                  <c:v>A</c:v>
                </c:pt>
                <c:pt idx="340">
                  <c:v>M</c:v>
                </c:pt>
                <c:pt idx="341">
                  <c:v>J</c:v>
                </c:pt>
                <c:pt idx="342">
                  <c:v>J</c:v>
                </c:pt>
                <c:pt idx="343">
                  <c:v>A</c:v>
                </c:pt>
                <c:pt idx="344">
                  <c:v>S</c:v>
                </c:pt>
                <c:pt idx="345">
                  <c:v>O</c:v>
                </c:pt>
                <c:pt idx="346">
                  <c:v>N</c:v>
                </c:pt>
                <c:pt idx="347">
                  <c:v>D</c:v>
                </c:pt>
                <c:pt idx="348">
                  <c:v>E-22</c:v>
                </c:pt>
                <c:pt idx="349">
                  <c:v>F</c:v>
                </c:pt>
                <c:pt idx="350">
                  <c:v>M</c:v>
                </c:pt>
                <c:pt idx="351">
                  <c:v>A</c:v>
                </c:pt>
                <c:pt idx="352">
                  <c:v>M</c:v>
                </c:pt>
                <c:pt idx="353">
                  <c:v>J</c:v>
                </c:pt>
                <c:pt idx="354">
                  <c:v>J</c:v>
                </c:pt>
                <c:pt idx="355">
                  <c:v>A</c:v>
                </c:pt>
                <c:pt idx="356">
                  <c:v>S</c:v>
                </c:pt>
                <c:pt idx="357">
                  <c:v>O</c:v>
                </c:pt>
                <c:pt idx="358">
                  <c:v>N</c:v>
                </c:pt>
                <c:pt idx="359">
                  <c:v>D</c:v>
                </c:pt>
                <c:pt idx="360">
                  <c:v>E-23</c:v>
                </c:pt>
                <c:pt idx="361">
                  <c:v>F</c:v>
                </c:pt>
                <c:pt idx="362">
                  <c:v>M</c:v>
                </c:pt>
                <c:pt idx="363">
                  <c:v>A</c:v>
                </c:pt>
                <c:pt idx="364">
                  <c:v>M</c:v>
                </c:pt>
                <c:pt idx="365">
                  <c:v>J</c:v>
                </c:pt>
                <c:pt idx="366">
                  <c:v>J</c:v>
                </c:pt>
                <c:pt idx="367">
                  <c:v>A</c:v>
                </c:pt>
                <c:pt idx="368">
                  <c:v>S</c:v>
                </c:pt>
                <c:pt idx="369">
                  <c:v>O</c:v>
                </c:pt>
                <c:pt idx="370">
                  <c:v>N</c:v>
                </c:pt>
                <c:pt idx="371">
                  <c:v>D</c:v>
                </c:pt>
                <c:pt idx="372">
                  <c:v>E-24</c:v>
                </c:pt>
                <c:pt idx="373">
                  <c:v>F</c:v>
                </c:pt>
                <c:pt idx="374">
                  <c:v>M</c:v>
                </c:pt>
                <c:pt idx="375">
                  <c:v>A</c:v>
                </c:pt>
                <c:pt idx="376">
                  <c:v>M</c:v>
                </c:pt>
                <c:pt idx="377">
                  <c:v>J</c:v>
                </c:pt>
                <c:pt idx="378">
                  <c:v>J</c:v>
                </c:pt>
                <c:pt idx="379">
                  <c:v>A</c:v>
                </c:pt>
                <c:pt idx="380">
                  <c:v>S</c:v>
                </c:pt>
                <c:pt idx="381">
                  <c:v>O</c:v>
                </c:pt>
                <c:pt idx="382">
                  <c:v>N</c:v>
                </c:pt>
                <c:pt idx="383">
                  <c:v>D</c:v>
                </c:pt>
                <c:pt idx="384">
                  <c:v>E-25</c:v>
                </c:pt>
                <c:pt idx="385">
                  <c:v>F</c:v>
                </c:pt>
                <c:pt idx="386">
                  <c:v>M</c:v>
                </c:pt>
                <c:pt idx="387">
                  <c:v>A</c:v>
                </c:pt>
                <c:pt idx="388">
                  <c:v>M</c:v>
                </c:pt>
                <c:pt idx="389">
                  <c:v>J</c:v>
                </c:pt>
                <c:pt idx="390">
                  <c:v>J</c:v>
                </c:pt>
                <c:pt idx="391">
                  <c:v>A</c:v>
                </c:pt>
                <c:pt idx="392">
                  <c:v>S</c:v>
                </c:pt>
                <c:pt idx="393">
                  <c:v>O</c:v>
                </c:pt>
                <c:pt idx="394">
                  <c:v>N</c:v>
                </c:pt>
                <c:pt idx="395">
                  <c:v>D</c:v>
                </c:pt>
                <c:pt idx="396">
                  <c:v>E-26</c:v>
                </c:pt>
                <c:pt idx="397">
                  <c:v>F</c:v>
                </c:pt>
                <c:pt idx="398">
                  <c:v>M</c:v>
                </c:pt>
                <c:pt idx="399">
                  <c:v>A</c:v>
                </c:pt>
                <c:pt idx="400">
                  <c:v>M</c:v>
                </c:pt>
                <c:pt idx="401">
                  <c:v>J</c:v>
                </c:pt>
                <c:pt idx="402">
                  <c:v>J</c:v>
                </c:pt>
                <c:pt idx="403">
                  <c:v>A</c:v>
                </c:pt>
                <c:pt idx="404">
                  <c:v>S</c:v>
                </c:pt>
              </c:strCache>
            </c:strRef>
          </c:cat>
          <c:val>
            <c:numRef>
              <c:f>SOJA!$M$2:$M$401</c:f>
              <c:numCache>
                <c:formatCode>_-* #,##0.0\ _€_-;\-* #,##0.0\ _€_-;_-* "-"??\ _€_-;_-@_-</c:formatCode>
                <c:ptCount val="400"/>
                <c:pt idx="0">
                  <c:v>304.63352851680048</c:v>
                </c:pt>
                <c:pt idx="1">
                  <c:v>304.63352851680048</c:v>
                </c:pt>
                <c:pt idx="2">
                  <c:v>304.63352851680048</c:v>
                </c:pt>
                <c:pt idx="3">
                  <c:v>304.63352851680048</c:v>
                </c:pt>
                <c:pt idx="4">
                  <c:v>304.63352851680048</c:v>
                </c:pt>
                <c:pt idx="5">
                  <c:v>304.63352851680048</c:v>
                </c:pt>
                <c:pt idx="6">
                  <c:v>304.63352851680048</c:v>
                </c:pt>
                <c:pt idx="7">
                  <c:v>304.63352851680048</c:v>
                </c:pt>
                <c:pt idx="8">
                  <c:v>304.63352851680048</c:v>
                </c:pt>
                <c:pt idx="9">
                  <c:v>304.63352851680048</c:v>
                </c:pt>
                <c:pt idx="10">
                  <c:v>304.63352851680048</c:v>
                </c:pt>
                <c:pt idx="11">
                  <c:v>304.63352851680048</c:v>
                </c:pt>
                <c:pt idx="12">
                  <c:v>304.63352851680048</c:v>
                </c:pt>
                <c:pt idx="13">
                  <c:v>304.63352851680048</c:v>
                </c:pt>
                <c:pt idx="14">
                  <c:v>304.63352851680048</c:v>
                </c:pt>
                <c:pt idx="15">
                  <c:v>304.63352851680048</c:v>
                </c:pt>
                <c:pt idx="16">
                  <c:v>304.63352851680048</c:v>
                </c:pt>
                <c:pt idx="17">
                  <c:v>304.63352851680048</c:v>
                </c:pt>
                <c:pt idx="18">
                  <c:v>304.63352851680048</c:v>
                </c:pt>
                <c:pt idx="19">
                  <c:v>304.63352851680048</c:v>
                </c:pt>
                <c:pt idx="20">
                  <c:v>304.63352851680048</c:v>
                </c:pt>
                <c:pt idx="21">
                  <c:v>304.63352851680048</c:v>
                </c:pt>
                <c:pt idx="22">
                  <c:v>304.63352851680048</c:v>
                </c:pt>
                <c:pt idx="23">
                  <c:v>304.63352851680048</c:v>
                </c:pt>
                <c:pt idx="24">
                  <c:v>304.63352851680048</c:v>
                </c:pt>
                <c:pt idx="25">
                  <c:v>304.63352851680048</c:v>
                </c:pt>
                <c:pt idx="26">
                  <c:v>304.63352851680048</c:v>
                </c:pt>
                <c:pt idx="27">
                  <c:v>304.63352851680048</c:v>
                </c:pt>
                <c:pt idx="28">
                  <c:v>304.63352851680048</c:v>
                </c:pt>
                <c:pt idx="29">
                  <c:v>304.63352851680048</c:v>
                </c:pt>
                <c:pt idx="30">
                  <c:v>304.63352851680048</c:v>
                </c:pt>
                <c:pt idx="31">
                  <c:v>304.63352851680048</c:v>
                </c:pt>
                <c:pt idx="32">
                  <c:v>304.63352851680048</c:v>
                </c:pt>
                <c:pt idx="33">
                  <c:v>304.63352851680048</c:v>
                </c:pt>
                <c:pt idx="34">
                  <c:v>304.63352851680048</c:v>
                </c:pt>
                <c:pt idx="35">
                  <c:v>304.63352851680048</c:v>
                </c:pt>
                <c:pt idx="36">
                  <c:v>304.63352851680048</c:v>
                </c:pt>
                <c:pt idx="37">
                  <c:v>304.63352851680048</c:v>
                </c:pt>
                <c:pt idx="38">
                  <c:v>304.63352851680048</c:v>
                </c:pt>
                <c:pt idx="39">
                  <c:v>304.63352851680048</c:v>
                </c:pt>
                <c:pt idx="40">
                  <c:v>304.63352851680048</c:v>
                </c:pt>
                <c:pt idx="41">
                  <c:v>304.63352851680048</c:v>
                </c:pt>
                <c:pt idx="42">
                  <c:v>304.63352851680048</c:v>
                </c:pt>
                <c:pt idx="43">
                  <c:v>304.63352851680048</c:v>
                </c:pt>
                <c:pt idx="44">
                  <c:v>304.63352851680048</c:v>
                </c:pt>
                <c:pt idx="45">
                  <c:v>304.63352851680048</c:v>
                </c:pt>
                <c:pt idx="46">
                  <c:v>304.63352851680048</c:v>
                </c:pt>
                <c:pt idx="47">
                  <c:v>304.63352851680048</c:v>
                </c:pt>
                <c:pt idx="48">
                  <c:v>304.63352851680048</c:v>
                </c:pt>
                <c:pt idx="49">
                  <c:v>304.63352851680048</c:v>
                </c:pt>
                <c:pt idx="50">
                  <c:v>304.63352851680048</c:v>
                </c:pt>
                <c:pt idx="51">
                  <c:v>304.63352851680048</c:v>
                </c:pt>
                <c:pt idx="52">
                  <c:v>304.63352851680048</c:v>
                </c:pt>
                <c:pt idx="53">
                  <c:v>304.63352851680048</c:v>
                </c:pt>
                <c:pt idx="54">
                  <c:v>304.63352851680048</c:v>
                </c:pt>
                <c:pt idx="55">
                  <c:v>304.63352851680048</c:v>
                </c:pt>
                <c:pt idx="56">
                  <c:v>304.63352851680048</c:v>
                </c:pt>
                <c:pt idx="57">
                  <c:v>304.63352851680048</c:v>
                </c:pt>
                <c:pt idx="58">
                  <c:v>304.63352851680048</c:v>
                </c:pt>
                <c:pt idx="59">
                  <c:v>304.63352851680048</c:v>
                </c:pt>
                <c:pt idx="60">
                  <c:v>304.63352851680048</c:v>
                </c:pt>
                <c:pt idx="61">
                  <c:v>304.63352851680048</c:v>
                </c:pt>
                <c:pt idx="62">
                  <c:v>304.63352851680048</c:v>
                </c:pt>
                <c:pt idx="63">
                  <c:v>304.63352851680048</c:v>
                </c:pt>
                <c:pt idx="64">
                  <c:v>304.63352851680048</c:v>
                </c:pt>
                <c:pt idx="65">
                  <c:v>304.63352851680048</c:v>
                </c:pt>
                <c:pt idx="66">
                  <c:v>304.63352851680048</c:v>
                </c:pt>
                <c:pt idx="67">
                  <c:v>304.63352851680048</c:v>
                </c:pt>
                <c:pt idx="68">
                  <c:v>304.63352851680048</c:v>
                </c:pt>
                <c:pt idx="69">
                  <c:v>304.63352851680048</c:v>
                </c:pt>
                <c:pt idx="70">
                  <c:v>304.63352851680048</c:v>
                </c:pt>
                <c:pt idx="71">
                  <c:v>304.63352851680048</c:v>
                </c:pt>
                <c:pt idx="72">
                  <c:v>304.63352851680048</c:v>
                </c:pt>
                <c:pt idx="73">
                  <c:v>304.63352851680048</c:v>
                </c:pt>
                <c:pt idx="74">
                  <c:v>304.63352851680048</c:v>
                </c:pt>
                <c:pt idx="75">
                  <c:v>304.63352851680048</c:v>
                </c:pt>
                <c:pt idx="76">
                  <c:v>304.63352851680048</c:v>
                </c:pt>
                <c:pt idx="77">
                  <c:v>304.63352851680048</c:v>
                </c:pt>
                <c:pt idx="78">
                  <c:v>304.63352851680048</c:v>
                </c:pt>
                <c:pt idx="79">
                  <c:v>304.63352851680048</c:v>
                </c:pt>
                <c:pt idx="80">
                  <c:v>304.63352851680048</c:v>
                </c:pt>
                <c:pt idx="81">
                  <c:v>304.63352851680048</c:v>
                </c:pt>
                <c:pt idx="82">
                  <c:v>304.63352851680048</c:v>
                </c:pt>
                <c:pt idx="83">
                  <c:v>304.63352851680048</c:v>
                </c:pt>
                <c:pt idx="84">
                  <c:v>304.63352851680048</c:v>
                </c:pt>
                <c:pt idx="85">
                  <c:v>304.63352851680048</c:v>
                </c:pt>
                <c:pt idx="86">
                  <c:v>304.63352851680048</c:v>
                </c:pt>
                <c:pt idx="87">
                  <c:v>304.63352851680048</c:v>
                </c:pt>
                <c:pt idx="88">
                  <c:v>304.63352851680048</c:v>
                </c:pt>
                <c:pt idx="89">
                  <c:v>304.63352851680048</c:v>
                </c:pt>
                <c:pt idx="90">
                  <c:v>304.63352851680048</c:v>
                </c:pt>
                <c:pt idx="91">
                  <c:v>304.63352851680048</c:v>
                </c:pt>
                <c:pt idx="92">
                  <c:v>304.63352851680048</c:v>
                </c:pt>
                <c:pt idx="93">
                  <c:v>304.63352851680048</c:v>
                </c:pt>
                <c:pt idx="94">
                  <c:v>304.63352851680048</c:v>
                </c:pt>
                <c:pt idx="95">
                  <c:v>304.63352851680048</c:v>
                </c:pt>
                <c:pt idx="96">
                  <c:v>304.63352851680048</c:v>
                </c:pt>
                <c:pt idx="97">
                  <c:v>304.63352851680048</c:v>
                </c:pt>
                <c:pt idx="98">
                  <c:v>304.63352851680048</c:v>
                </c:pt>
                <c:pt idx="99">
                  <c:v>304.63352851680048</c:v>
                </c:pt>
                <c:pt idx="100">
                  <c:v>304.63352851680048</c:v>
                </c:pt>
                <c:pt idx="101">
                  <c:v>304.63352851680048</c:v>
                </c:pt>
                <c:pt idx="102">
                  <c:v>304.63352851680048</c:v>
                </c:pt>
                <c:pt idx="103">
                  <c:v>304.63352851680048</c:v>
                </c:pt>
                <c:pt idx="104">
                  <c:v>304.63352851680048</c:v>
                </c:pt>
                <c:pt idx="105">
                  <c:v>304.63352851680048</c:v>
                </c:pt>
                <c:pt idx="106">
                  <c:v>304.63352851680048</c:v>
                </c:pt>
                <c:pt idx="107">
                  <c:v>304.63352851680048</c:v>
                </c:pt>
                <c:pt idx="108">
                  <c:v>304.63352851680048</c:v>
                </c:pt>
                <c:pt idx="109">
                  <c:v>304.63352851680048</c:v>
                </c:pt>
                <c:pt idx="110">
                  <c:v>304.63352851680048</c:v>
                </c:pt>
                <c:pt idx="111">
                  <c:v>304.63352851680048</c:v>
                </c:pt>
                <c:pt idx="112">
                  <c:v>304.63352851680048</c:v>
                </c:pt>
                <c:pt idx="113">
                  <c:v>304.63352851680048</c:v>
                </c:pt>
                <c:pt idx="114">
                  <c:v>304.63352851680048</c:v>
                </c:pt>
                <c:pt idx="115">
                  <c:v>304.63352851680048</c:v>
                </c:pt>
                <c:pt idx="116">
                  <c:v>304.63352851680048</c:v>
                </c:pt>
                <c:pt idx="117">
                  <c:v>304.63352851680048</c:v>
                </c:pt>
                <c:pt idx="118">
                  <c:v>304.63352851680048</c:v>
                </c:pt>
                <c:pt idx="119">
                  <c:v>304.63352851680048</c:v>
                </c:pt>
                <c:pt idx="120">
                  <c:v>304.63352851680048</c:v>
                </c:pt>
                <c:pt idx="121">
                  <c:v>304.63352851680048</c:v>
                </c:pt>
                <c:pt idx="122">
                  <c:v>304.63352851680048</c:v>
                </c:pt>
                <c:pt idx="123">
                  <c:v>304.63352851680048</c:v>
                </c:pt>
                <c:pt idx="124">
                  <c:v>304.63352851680048</c:v>
                </c:pt>
                <c:pt idx="125">
                  <c:v>304.63352851680048</c:v>
                </c:pt>
                <c:pt idx="126">
                  <c:v>304.63352851680048</c:v>
                </c:pt>
                <c:pt idx="127">
                  <c:v>304.63352851680048</c:v>
                </c:pt>
                <c:pt idx="128">
                  <c:v>304.63352851680048</c:v>
                </c:pt>
                <c:pt idx="129">
                  <c:v>304.63352851680048</c:v>
                </c:pt>
                <c:pt idx="130">
                  <c:v>304.63352851680048</c:v>
                </c:pt>
                <c:pt idx="131">
                  <c:v>304.63352851680048</c:v>
                </c:pt>
                <c:pt idx="132">
                  <c:v>304.63352851680048</c:v>
                </c:pt>
                <c:pt idx="133">
                  <c:v>304.63352851680048</c:v>
                </c:pt>
                <c:pt idx="134">
                  <c:v>304.63352851680048</c:v>
                </c:pt>
                <c:pt idx="135">
                  <c:v>304.63352851680048</c:v>
                </c:pt>
                <c:pt idx="136">
                  <c:v>304.63352851680048</c:v>
                </c:pt>
                <c:pt idx="137">
                  <c:v>304.63352851680048</c:v>
                </c:pt>
                <c:pt idx="138">
                  <c:v>304.63352851680048</c:v>
                </c:pt>
                <c:pt idx="139">
                  <c:v>304.63352851680048</c:v>
                </c:pt>
                <c:pt idx="140">
                  <c:v>304.63352851680048</c:v>
                </c:pt>
                <c:pt idx="141">
                  <c:v>304.63352851680048</c:v>
                </c:pt>
                <c:pt idx="142">
                  <c:v>304.63352851680048</c:v>
                </c:pt>
                <c:pt idx="143">
                  <c:v>304.63352851680048</c:v>
                </c:pt>
                <c:pt idx="144">
                  <c:v>304.63352851680048</c:v>
                </c:pt>
                <c:pt idx="145">
                  <c:v>304.63352851680048</c:v>
                </c:pt>
                <c:pt idx="146">
                  <c:v>304.63352851680048</c:v>
                </c:pt>
                <c:pt idx="147">
                  <c:v>304.63352851680048</c:v>
                </c:pt>
                <c:pt idx="148">
                  <c:v>304.63352851680048</c:v>
                </c:pt>
                <c:pt idx="149">
                  <c:v>304.63352851680048</c:v>
                </c:pt>
                <c:pt idx="150">
                  <c:v>304.63352851680048</c:v>
                </c:pt>
                <c:pt idx="151">
                  <c:v>304.63352851680048</c:v>
                </c:pt>
                <c:pt idx="152">
                  <c:v>304.63352851680048</c:v>
                </c:pt>
                <c:pt idx="153">
                  <c:v>304.63352851680048</c:v>
                </c:pt>
                <c:pt idx="154">
                  <c:v>304.63352851680048</c:v>
                </c:pt>
                <c:pt idx="155">
                  <c:v>304.63352851680048</c:v>
                </c:pt>
                <c:pt idx="156">
                  <c:v>304.63352851680048</c:v>
                </c:pt>
                <c:pt idx="157">
                  <c:v>304.63352851680048</c:v>
                </c:pt>
                <c:pt idx="158">
                  <c:v>304.63352851680048</c:v>
                </c:pt>
                <c:pt idx="159">
                  <c:v>304.63352851680048</c:v>
                </c:pt>
                <c:pt idx="160">
                  <c:v>304.63352851680048</c:v>
                </c:pt>
                <c:pt idx="161">
                  <c:v>304.63352851680048</c:v>
                </c:pt>
                <c:pt idx="162">
                  <c:v>304.63352851680048</c:v>
                </c:pt>
                <c:pt idx="163">
                  <c:v>304.63352851680048</c:v>
                </c:pt>
                <c:pt idx="164">
                  <c:v>304.63352851680048</c:v>
                </c:pt>
                <c:pt idx="165">
                  <c:v>304.63352851680048</c:v>
                </c:pt>
                <c:pt idx="166">
                  <c:v>304.63352851680048</c:v>
                </c:pt>
                <c:pt idx="167">
                  <c:v>304.63352851680048</c:v>
                </c:pt>
                <c:pt idx="168">
                  <c:v>304.63352851680048</c:v>
                </c:pt>
                <c:pt idx="169">
                  <c:v>304.63352851680048</c:v>
                </c:pt>
                <c:pt idx="170">
                  <c:v>304.63352851680048</c:v>
                </c:pt>
                <c:pt idx="171">
                  <c:v>304.63352851680048</c:v>
                </c:pt>
                <c:pt idx="172">
                  <c:v>304.63352851680048</c:v>
                </c:pt>
                <c:pt idx="173">
                  <c:v>304.63352851680048</c:v>
                </c:pt>
                <c:pt idx="174">
                  <c:v>304.63352851680048</c:v>
                </c:pt>
                <c:pt idx="175">
                  <c:v>304.63352851680048</c:v>
                </c:pt>
                <c:pt idx="176">
                  <c:v>304.63352851680048</c:v>
                </c:pt>
                <c:pt idx="177">
                  <c:v>304.63352851680048</c:v>
                </c:pt>
                <c:pt idx="178">
                  <c:v>304.63352851680048</c:v>
                </c:pt>
                <c:pt idx="179">
                  <c:v>304.63352851680048</c:v>
                </c:pt>
                <c:pt idx="180">
                  <c:v>304.63352851680048</c:v>
                </c:pt>
                <c:pt idx="181">
                  <c:v>304.63352851680048</c:v>
                </c:pt>
                <c:pt idx="182">
                  <c:v>304.63352851680048</c:v>
                </c:pt>
                <c:pt idx="183">
                  <c:v>304.63352851680048</c:v>
                </c:pt>
                <c:pt idx="184">
                  <c:v>304.63352851680048</c:v>
                </c:pt>
                <c:pt idx="185">
                  <c:v>304.63352851680048</c:v>
                </c:pt>
                <c:pt idx="186">
                  <c:v>304.63352851680048</c:v>
                </c:pt>
                <c:pt idx="187">
                  <c:v>304.63352851680048</c:v>
                </c:pt>
                <c:pt idx="188">
                  <c:v>304.63352851680048</c:v>
                </c:pt>
                <c:pt idx="189">
                  <c:v>304.63352851680048</c:v>
                </c:pt>
                <c:pt idx="190">
                  <c:v>304.63352851680048</c:v>
                </c:pt>
                <c:pt idx="191">
                  <c:v>304.63352851680048</c:v>
                </c:pt>
                <c:pt idx="192">
                  <c:v>304.63352851680048</c:v>
                </c:pt>
                <c:pt idx="193">
                  <c:v>304.63352851680048</c:v>
                </c:pt>
                <c:pt idx="194">
                  <c:v>304.63352851680048</c:v>
                </c:pt>
                <c:pt idx="195">
                  <c:v>304.63352851680048</c:v>
                </c:pt>
                <c:pt idx="196">
                  <c:v>304.63352851680048</c:v>
                </c:pt>
                <c:pt idx="197">
                  <c:v>304.63352851680048</c:v>
                </c:pt>
                <c:pt idx="198">
                  <c:v>304.63352851680048</c:v>
                </c:pt>
                <c:pt idx="199">
                  <c:v>304.63352851680048</c:v>
                </c:pt>
                <c:pt idx="200">
                  <c:v>304.63352851680048</c:v>
                </c:pt>
                <c:pt idx="201">
                  <c:v>304.63352851680048</c:v>
                </c:pt>
                <c:pt idx="202">
                  <c:v>304.63352851680048</c:v>
                </c:pt>
                <c:pt idx="203">
                  <c:v>304.63352851680048</c:v>
                </c:pt>
                <c:pt idx="204">
                  <c:v>304.63352851680048</c:v>
                </c:pt>
                <c:pt idx="205">
                  <c:v>304.63352851680048</c:v>
                </c:pt>
                <c:pt idx="206">
                  <c:v>304.63352851680048</c:v>
                </c:pt>
                <c:pt idx="207">
                  <c:v>304.63352851680048</c:v>
                </c:pt>
                <c:pt idx="208">
                  <c:v>304.63352851680048</c:v>
                </c:pt>
                <c:pt idx="209">
                  <c:v>304.63352851680048</c:v>
                </c:pt>
                <c:pt idx="210">
                  <c:v>304.63352851680048</c:v>
                </c:pt>
                <c:pt idx="211">
                  <c:v>304.63352851680048</c:v>
                </c:pt>
                <c:pt idx="212">
                  <c:v>304.63352851680048</c:v>
                </c:pt>
                <c:pt idx="213">
                  <c:v>304.63352851680048</c:v>
                </c:pt>
                <c:pt idx="214">
                  <c:v>304.63352851680048</c:v>
                </c:pt>
                <c:pt idx="215">
                  <c:v>304.63352851680048</c:v>
                </c:pt>
                <c:pt idx="216">
                  <c:v>304.63352851680048</c:v>
                </c:pt>
                <c:pt idx="217">
                  <c:v>304.63352851680048</c:v>
                </c:pt>
                <c:pt idx="218">
                  <c:v>304.63352851680048</c:v>
                </c:pt>
                <c:pt idx="219">
                  <c:v>304.63352851680048</c:v>
                </c:pt>
                <c:pt idx="220">
                  <c:v>304.63352851680048</c:v>
                </c:pt>
                <c:pt idx="221">
                  <c:v>304.63352851680048</c:v>
                </c:pt>
                <c:pt idx="222">
                  <c:v>304.63352851680048</c:v>
                </c:pt>
                <c:pt idx="223">
                  <c:v>304.63352851680048</c:v>
                </c:pt>
                <c:pt idx="224">
                  <c:v>304.63352851680048</c:v>
                </c:pt>
                <c:pt idx="225">
                  <c:v>304.63352851680048</c:v>
                </c:pt>
                <c:pt idx="226">
                  <c:v>304.63352851680048</c:v>
                </c:pt>
                <c:pt idx="227">
                  <c:v>304.63352851680048</c:v>
                </c:pt>
                <c:pt idx="228">
                  <c:v>304.63352851680048</c:v>
                </c:pt>
                <c:pt idx="229">
                  <c:v>304.63352851680048</c:v>
                </c:pt>
                <c:pt idx="230">
                  <c:v>304.63352851680048</c:v>
                </c:pt>
                <c:pt idx="231">
                  <c:v>304.63352851680048</c:v>
                </c:pt>
                <c:pt idx="232">
                  <c:v>304.63352851680048</c:v>
                </c:pt>
                <c:pt idx="233">
                  <c:v>304.63352851680048</c:v>
                </c:pt>
                <c:pt idx="234">
                  <c:v>304.63352851680048</c:v>
                </c:pt>
                <c:pt idx="235">
                  <c:v>304.63352851680048</c:v>
                </c:pt>
                <c:pt idx="236">
                  <c:v>304.63352851680048</c:v>
                </c:pt>
                <c:pt idx="237">
                  <c:v>304.63352851680048</c:v>
                </c:pt>
                <c:pt idx="238">
                  <c:v>304.63352851680048</c:v>
                </c:pt>
                <c:pt idx="239">
                  <c:v>304.63352851680048</c:v>
                </c:pt>
                <c:pt idx="240">
                  <c:v>304.63352851680048</c:v>
                </c:pt>
                <c:pt idx="241">
                  <c:v>304.63352851680048</c:v>
                </c:pt>
                <c:pt idx="242">
                  <c:v>304.63352851680048</c:v>
                </c:pt>
                <c:pt idx="243">
                  <c:v>304.63352851680048</c:v>
                </c:pt>
                <c:pt idx="244">
                  <c:v>304.63352851680048</c:v>
                </c:pt>
                <c:pt idx="245">
                  <c:v>304.63352851680048</c:v>
                </c:pt>
                <c:pt idx="246">
                  <c:v>304.63352851680048</c:v>
                </c:pt>
                <c:pt idx="247">
                  <c:v>304.63352851680048</c:v>
                </c:pt>
                <c:pt idx="248">
                  <c:v>304.63352851680048</c:v>
                </c:pt>
                <c:pt idx="249">
                  <c:v>304.63352851680048</c:v>
                </c:pt>
                <c:pt idx="250">
                  <c:v>304.63352851680048</c:v>
                </c:pt>
                <c:pt idx="251">
                  <c:v>304.63352851680048</c:v>
                </c:pt>
                <c:pt idx="252">
                  <c:v>304.63352851680048</c:v>
                </c:pt>
                <c:pt idx="253">
                  <c:v>304.63352851680048</c:v>
                </c:pt>
                <c:pt idx="254">
                  <c:v>304.63352851680048</c:v>
                </c:pt>
                <c:pt idx="255">
                  <c:v>304.63352851680048</c:v>
                </c:pt>
                <c:pt idx="256">
                  <c:v>304.63352851680048</c:v>
                </c:pt>
                <c:pt idx="257">
                  <c:v>304.63352851680048</c:v>
                </c:pt>
                <c:pt idx="258">
                  <c:v>304.63352851680048</c:v>
                </c:pt>
                <c:pt idx="259">
                  <c:v>304.63352851680048</c:v>
                </c:pt>
                <c:pt idx="260">
                  <c:v>304.63352851680048</c:v>
                </c:pt>
                <c:pt idx="261">
                  <c:v>304.63352851680048</c:v>
                </c:pt>
                <c:pt idx="262">
                  <c:v>304.63352851680048</c:v>
                </c:pt>
                <c:pt idx="263">
                  <c:v>304.63352851680048</c:v>
                </c:pt>
                <c:pt idx="264">
                  <c:v>304.63352851680048</c:v>
                </c:pt>
                <c:pt idx="265">
                  <c:v>304.63352851680048</c:v>
                </c:pt>
                <c:pt idx="266">
                  <c:v>304.63352851680048</c:v>
                </c:pt>
                <c:pt idx="267">
                  <c:v>304.63352851680048</c:v>
                </c:pt>
                <c:pt idx="268">
                  <c:v>304.63352851680048</c:v>
                </c:pt>
                <c:pt idx="269">
                  <c:v>304.63352851680048</c:v>
                </c:pt>
                <c:pt idx="270">
                  <c:v>304.63352851680048</c:v>
                </c:pt>
                <c:pt idx="271">
                  <c:v>304.63352851680048</c:v>
                </c:pt>
                <c:pt idx="272">
                  <c:v>304.63352851680048</c:v>
                </c:pt>
                <c:pt idx="273">
                  <c:v>304.63352851680048</c:v>
                </c:pt>
                <c:pt idx="274">
                  <c:v>304.63352851680048</c:v>
                </c:pt>
                <c:pt idx="275">
                  <c:v>304.63352851680048</c:v>
                </c:pt>
                <c:pt idx="276">
                  <c:v>304.63352851680048</c:v>
                </c:pt>
                <c:pt idx="277">
                  <c:v>304.63352851680048</c:v>
                </c:pt>
                <c:pt idx="278">
                  <c:v>304.63352851680048</c:v>
                </c:pt>
                <c:pt idx="279">
                  <c:v>304.63352851680048</c:v>
                </c:pt>
                <c:pt idx="280">
                  <c:v>304.63352851680048</c:v>
                </c:pt>
                <c:pt idx="281">
                  <c:v>304.63352851680048</c:v>
                </c:pt>
                <c:pt idx="282">
                  <c:v>304.63352851680048</c:v>
                </c:pt>
                <c:pt idx="283">
                  <c:v>304.63352851680048</c:v>
                </c:pt>
                <c:pt idx="284">
                  <c:v>304.63352851680048</c:v>
                </c:pt>
                <c:pt idx="285">
                  <c:v>304.63352851680048</c:v>
                </c:pt>
                <c:pt idx="286">
                  <c:v>304.63352851680048</c:v>
                </c:pt>
                <c:pt idx="287">
                  <c:v>304.63352851680048</c:v>
                </c:pt>
                <c:pt idx="288">
                  <c:v>304.63352851680048</c:v>
                </c:pt>
                <c:pt idx="289">
                  <c:v>304.63352851680048</c:v>
                </c:pt>
                <c:pt idx="290">
                  <c:v>304.63352851680048</c:v>
                </c:pt>
                <c:pt idx="291">
                  <c:v>304.63352851680048</c:v>
                </c:pt>
                <c:pt idx="292">
                  <c:v>304.63352851680048</c:v>
                </c:pt>
                <c:pt idx="293">
                  <c:v>304.63352851680048</c:v>
                </c:pt>
                <c:pt idx="294">
                  <c:v>304.63352851680048</c:v>
                </c:pt>
                <c:pt idx="295">
                  <c:v>304.63352851680048</c:v>
                </c:pt>
                <c:pt idx="296">
                  <c:v>304.63352851680048</c:v>
                </c:pt>
                <c:pt idx="297">
                  <c:v>304.63352851680048</c:v>
                </c:pt>
                <c:pt idx="298">
                  <c:v>304.63352851680048</c:v>
                </c:pt>
                <c:pt idx="299">
                  <c:v>304.63352851680048</c:v>
                </c:pt>
                <c:pt idx="300">
                  <c:v>304.63352851680048</c:v>
                </c:pt>
                <c:pt idx="301">
                  <c:v>304.63352851680048</c:v>
                </c:pt>
                <c:pt idx="302">
                  <c:v>304.63352851680048</c:v>
                </c:pt>
                <c:pt idx="303">
                  <c:v>304.63352851680048</c:v>
                </c:pt>
                <c:pt idx="304">
                  <c:v>304.63352851680048</c:v>
                </c:pt>
                <c:pt idx="305">
                  <c:v>304.63352851680048</c:v>
                </c:pt>
                <c:pt idx="306">
                  <c:v>304.63352851680048</c:v>
                </c:pt>
                <c:pt idx="307">
                  <c:v>304.63352851680048</c:v>
                </c:pt>
                <c:pt idx="308">
                  <c:v>304.63352851680048</c:v>
                </c:pt>
                <c:pt idx="309">
                  <c:v>304.63352851680048</c:v>
                </c:pt>
                <c:pt idx="310">
                  <c:v>304.63352851680048</c:v>
                </c:pt>
                <c:pt idx="311">
                  <c:v>304.63352851680048</c:v>
                </c:pt>
                <c:pt idx="312">
                  <c:v>304.63352851680048</c:v>
                </c:pt>
                <c:pt idx="313">
                  <c:v>304.63352851680048</c:v>
                </c:pt>
                <c:pt idx="314">
                  <c:v>304.63352851680048</c:v>
                </c:pt>
                <c:pt idx="315">
                  <c:v>304.63352851680048</c:v>
                </c:pt>
                <c:pt idx="316">
                  <c:v>304.63352851680048</c:v>
                </c:pt>
                <c:pt idx="317">
                  <c:v>304.63352851680048</c:v>
                </c:pt>
                <c:pt idx="318">
                  <c:v>304.63352851680048</c:v>
                </c:pt>
                <c:pt idx="319">
                  <c:v>304.63352851680048</c:v>
                </c:pt>
                <c:pt idx="320">
                  <c:v>304.63352851680048</c:v>
                </c:pt>
                <c:pt idx="321">
                  <c:v>304.63352851680048</c:v>
                </c:pt>
                <c:pt idx="322">
                  <c:v>304.63352851680048</c:v>
                </c:pt>
                <c:pt idx="323">
                  <c:v>304.63352851680048</c:v>
                </c:pt>
                <c:pt idx="324">
                  <c:v>304.63352851680048</c:v>
                </c:pt>
                <c:pt idx="325">
                  <c:v>304.63352851680048</c:v>
                </c:pt>
                <c:pt idx="326">
                  <c:v>304.63352851680048</c:v>
                </c:pt>
                <c:pt idx="327">
                  <c:v>304.63352851680048</c:v>
                </c:pt>
                <c:pt idx="328">
                  <c:v>304.63352851680048</c:v>
                </c:pt>
                <c:pt idx="329">
                  <c:v>304.63352851680048</c:v>
                </c:pt>
                <c:pt idx="330">
                  <c:v>304.63352851680048</c:v>
                </c:pt>
                <c:pt idx="331">
                  <c:v>304.63352851680048</c:v>
                </c:pt>
                <c:pt idx="332">
                  <c:v>304.63352851680048</c:v>
                </c:pt>
                <c:pt idx="333">
                  <c:v>304.63352851680048</c:v>
                </c:pt>
                <c:pt idx="334">
                  <c:v>304.63352851680048</c:v>
                </c:pt>
                <c:pt idx="335">
                  <c:v>304.63352851680048</c:v>
                </c:pt>
                <c:pt idx="336">
                  <c:v>304.63352851680048</c:v>
                </c:pt>
                <c:pt idx="337">
                  <c:v>304.63352851680048</c:v>
                </c:pt>
                <c:pt idx="338">
                  <c:v>304.63352851680048</c:v>
                </c:pt>
                <c:pt idx="339">
                  <c:v>304.63352851680048</c:v>
                </c:pt>
                <c:pt idx="340">
                  <c:v>304.63352851680048</c:v>
                </c:pt>
                <c:pt idx="341">
                  <c:v>304.63352851680048</c:v>
                </c:pt>
                <c:pt idx="342">
                  <c:v>304.63352851680048</c:v>
                </c:pt>
                <c:pt idx="343">
                  <c:v>304.63352851680048</c:v>
                </c:pt>
                <c:pt idx="344">
                  <c:v>304.63352851680048</c:v>
                </c:pt>
                <c:pt idx="345">
                  <c:v>304.63352851680048</c:v>
                </c:pt>
                <c:pt idx="346">
                  <c:v>304.63352851680048</c:v>
                </c:pt>
                <c:pt idx="347">
                  <c:v>304.63352851680048</c:v>
                </c:pt>
                <c:pt idx="348">
                  <c:v>304.63352851680048</c:v>
                </c:pt>
                <c:pt idx="349">
                  <c:v>304.63352851680048</c:v>
                </c:pt>
                <c:pt idx="350">
                  <c:v>304.63352851680048</c:v>
                </c:pt>
                <c:pt idx="351">
                  <c:v>304.63352851680048</c:v>
                </c:pt>
                <c:pt idx="352">
                  <c:v>304.63352851680048</c:v>
                </c:pt>
                <c:pt idx="353">
                  <c:v>304.63352851680048</c:v>
                </c:pt>
                <c:pt idx="354">
                  <c:v>304.63352851680048</c:v>
                </c:pt>
                <c:pt idx="355">
                  <c:v>304.63352851680048</c:v>
                </c:pt>
                <c:pt idx="356">
                  <c:v>304.63352851680048</c:v>
                </c:pt>
                <c:pt idx="357">
                  <c:v>304.63352851680048</c:v>
                </c:pt>
                <c:pt idx="358">
                  <c:v>304.63352851680048</c:v>
                </c:pt>
                <c:pt idx="359">
                  <c:v>304.63352851680048</c:v>
                </c:pt>
                <c:pt idx="360">
                  <c:v>304.63352851680048</c:v>
                </c:pt>
                <c:pt idx="361">
                  <c:v>304.63352851680048</c:v>
                </c:pt>
                <c:pt idx="362">
                  <c:v>304.63352851680048</c:v>
                </c:pt>
                <c:pt idx="363">
                  <c:v>304.63352851680048</c:v>
                </c:pt>
                <c:pt idx="364">
                  <c:v>304.63352851680048</c:v>
                </c:pt>
                <c:pt idx="365">
                  <c:v>304.63352851680048</c:v>
                </c:pt>
                <c:pt idx="366">
                  <c:v>304.63352851680048</c:v>
                </c:pt>
                <c:pt idx="367">
                  <c:v>304.63352851680048</c:v>
                </c:pt>
                <c:pt idx="368">
                  <c:v>304.63352851680048</c:v>
                </c:pt>
                <c:pt idx="369">
                  <c:v>304.63352851680048</c:v>
                </c:pt>
                <c:pt idx="370">
                  <c:v>304.63352851680048</c:v>
                </c:pt>
                <c:pt idx="371">
                  <c:v>304.63352851680048</c:v>
                </c:pt>
                <c:pt idx="372">
                  <c:v>304.63352851680048</c:v>
                </c:pt>
                <c:pt idx="373">
                  <c:v>304.63352851680048</c:v>
                </c:pt>
                <c:pt idx="374">
                  <c:v>304.63352851680048</c:v>
                </c:pt>
                <c:pt idx="375">
                  <c:v>304.63352851680048</c:v>
                </c:pt>
                <c:pt idx="376">
                  <c:v>304.63352851680048</c:v>
                </c:pt>
                <c:pt idx="377">
                  <c:v>304.63352851680048</c:v>
                </c:pt>
                <c:pt idx="378">
                  <c:v>304.63352851680048</c:v>
                </c:pt>
                <c:pt idx="379">
                  <c:v>304.63352851680048</c:v>
                </c:pt>
                <c:pt idx="380">
                  <c:v>304.63352851680048</c:v>
                </c:pt>
                <c:pt idx="381">
                  <c:v>304.63352851680048</c:v>
                </c:pt>
                <c:pt idx="382">
                  <c:v>304.63352851680048</c:v>
                </c:pt>
                <c:pt idx="383">
                  <c:v>304.63352851680048</c:v>
                </c:pt>
                <c:pt idx="384">
                  <c:v>304.63352851680048</c:v>
                </c:pt>
                <c:pt idx="385">
                  <c:v>304.63352851680048</c:v>
                </c:pt>
                <c:pt idx="386">
                  <c:v>304.63352851680048</c:v>
                </c:pt>
                <c:pt idx="387">
                  <c:v>304.63352851680048</c:v>
                </c:pt>
                <c:pt idx="388">
                  <c:v>304.63352851680048</c:v>
                </c:pt>
                <c:pt idx="389">
                  <c:v>304.63352851680048</c:v>
                </c:pt>
                <c:pt idx="390">
                  <c:v>304.63352851680048</c:v>
                </c:pt>
                <c:pt idx="391">
                  <c:v>304.63352851680048</c:v>
                </c:pt>
                <c:pt idx="392">
                  <c:v>304.63352851680048</c:v>
                </c:pt>
                <c:pt idx="393">
                  <c:v>304.63352851680048</c:v>
                </c:pt>
                <c:pt idx="394">
                  <c:v>304.63352851680048</c:v>
                </c:pt>
                <c:pt idx="395">
                  <c:v>304.63352851680048</c:v>
                </c:pt>
                <c:pt idx="396">
                  <c:v>304.63352851680048</c:v>
                </c:pt>
                <c:pt idx="397">
                  <c:v>304.63352851680048</c:v>
                </c:pt>
                <c:pt idx="398">
                  <c:v>304.63352851680048</c:v>
                </c:pt>
                <c:pt idx="399">
                  <c:v>304.63352851680048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53F-486F-9567-AF2EAAEFF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936984"/>
        <c:axId val="1"/>
      </c:lineChart>
      <c:catAx>
        <c:axId val="107893698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12700">
            <a:solidFill>
              <a:srgbClr val="333333"/>
            </a:solidFill>
            <a:prstDash val="solid"/>
          </a:ln>
        </c:spPr>
        <c:txPr>
          <a:bodyPr rot="-5400000" vert="horz"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2"/>
        <c:tickMarkSkip val="12"/>
        <c:noMultiLvlLbl val="0"/>
      </c:catAx>
      <c:valAx>
        <c:axId val="1"/>
        <c:scaling>
          <c:orientation val="minMax"/>
          <c:min val="110"/>
        </c:scaling>
        <c:delete val="0"/>
        <c:axPos val="l"/>
        <c:numFmt formatCode="_-* #,##0.0\ _€_-;\-* #,##0.0\ _€_-;_-* &quot;-&quot;??\ _€_-;_-@_-" sourceLinked="1"/>
        <c:majorTickMark val="none"/>
        <c:minorTickMark val="none"/>
        <c:tickLblPos val="none"/>
        <c:spPr>
          <a:ln w="6350">
            <a:noFill/>
          </a:ln>
        </c:spPr>
        <c:crossAx val="10789369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>
                <a:solidFill>
                  <a:schemeClr val="tx1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570569865207527"/>
          <c:w val="0.24311237200712094"/>
          <c:h val="0.15392154056820967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400" b="0" i="0" u="none" strike="noStrike" baseline="0">
          <a:solidFill>
            <a:srgbClr val="333399"/>
          </a:solidFill>
          <a:latin typeface="Montserrat" pitchFamily="2" charset="0"/>
          <a:ea typeface="Microsoft Sans Serif" panose="020B0604020202020204" pitchFamily="34" charset="0"/>
          <a:cs typeface="Microsoft Sans Serif" panose="020B0604020202020204" pitchFamily="34" charset="0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825DF7-C50A-4FBA-AB0B-10083F7C24CC}">
  <sheetPr/>
  <sheetViews>
    <sheetView workbookViewId="0"/>
  </sheetViews>
  <pageMargins left="0.25" right="0.25" top="1" bottom="1" header="0.3" footer="0.3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DE8C82-8854-4F9C-B56B-2DC564AC38F1}">
  <sheetPr codeName="Gráfico1"/>
  <sheetViews>
    <sheetView workbookViewId="0"/>
  </sheetViews>
  <pageMargins left="0.25" right="0.25" top="1" bottom="1" header="0.3" footer="0.3"/>
  <pageSetup paperSize="9"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3F1202-8E00-41E1-8D4E-F0E938DDC42A}">
  <sheetPr codeName="Gráfico3"/>
  <sheetViews>
    <sheetView workbookViewId="0"/>
  </sheetViews>
  <pageMargins left="0.25" right="0.25" top="1" bottom="1" header="0.3" footer="0.3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yp.gob.ar/sitio/areas/ss_mercados_agropecuarios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817100" cy="5613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40E327-9F69-F0A3-151C-68EB191A32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0.11753</cdr:y>
    </cdr:to>
    <cdr:sp macro="" textlink="">
      <cdr:nvSpPr>
        <cdr:cNvPr id="1146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30118" cy="6611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AR" sz="2000" b="1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PRECIO REAL EFECTIVO LOCAL PRINCIPALES 4 GRANOS*</a:t>
          </a:r>
        </a:p>
        <a:p xmlns:a="http://schemas.openxmlformats.org/drawingml/2006/main"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AR" sz="1600" b="0" i="0" u="none" strike="noStrike" baseline="0">
              <a:solidFill>
                <a:schemeClr val="accent2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FOB 4 granos neto DEX en $AR'93 - Ene'93 a Ago'26 (mensual) y Sep'26 (10/9)</a:t>
          </a:r>
        </a:p>
      </cdr:txBody>
    </cdr:sp>
  </cdr:relSizeAnchor>
  <cdr:relSizeAnchor xmlns:cdr="http://schemas.openxmlformats.org/drawingml/2006/chartDrawing">
    <cdr:from>
      <cdr:x>0</cdr:x>
      <cdr:y>0.94576</cdr:y>
    </cdr:from>
    <cdr:to>
      <cdr:x>1</cdr:x>
      <cdr:y>1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314950"/>
          <a:ext cx="10125075" cy="304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36576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AR" sz="1200" b="0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Fuente: Elaborado por OUTLIER con cotizaciones mercado y datos del BCRA/INDEC. *Soja, Trigo, Maíz y Girasol.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817100" cy="5613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0DFF03-A3AB-80BA-9816-35B2A4273D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0.95932</cdr:y>
    </cdr:from>
    <cdr:to>
      <cdr:x>1</cdr:x>
      <cdr:y>1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391150"/>
          <a:ext cx="10125075" cy="228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36576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AR" sz="1200" b="0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Fuente: OUTLIER con cotizaciones mercado y datos del BCRA/INDEC. </a:t>
          </a:r>
        </a:p>
      </cdr:txBody>
    </cdr:sp>
  </cdr:relSizeAnchor>
  <cdr:relSizeAnchor xmlns:cdr="http://schemas.openxmlformats.org/drawingml/2006/chartDrawing">
    <cdr:from>
      <cdr:x>0</cdr:x>
      <cdr:y>0</cdr:y>
    </cdr:from>
    <cdr:to>
      <cdr:x>1</cdr:x>
      <cdr:y>0.14407</cdr:y>
    </cdr:to>
    <cdr:sp macro="" textlink="">
      <cdr:nvSpPr>
        <cdr:cNvPr id="3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25075" cy="809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AR" sz="2000" b="1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PRECIO REAL EFECTIVO PRODUCTOR TRIGO</a:t>
          </a:r>
        </a:p>
        <a:p xmlns:a="http://schemas.openxmlformats.org/drawingml/2006/main">
          <a:pPr algn="l" rtl="0">
            <a:defRPr sz="1000"/>
          </a:pPr>
          <a:r>
            <a:rPr lang="es-AR" sz="1600" b="0" i="0" u="none" strike="noStrike" baseline="0">
              <a:solidFill>
                <a:schemeClr val="accent2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FOB Trigo neto DEX en $AR'93 - E'93 a A'26 (mensual) y Sep 26 (10/9)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125075" cy="5619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F2C91C-9EAD-9FC6-0F0C-1FEE217304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0.11753</cdr:y>
    </cdr:to>
    <cdr:sp macro="" textlink="">
      <cdr:nvSpPr>
        <cdr:cNvPr id="1146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0"/>
          <a:ext cx="10130118" cy="6611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54864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AR" sz="2000" b="1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PRECIO REAL EFECTIVO LOCAL DEL GRANO DE SOJA</a:t>
          </a:r>
        </a:p>
        <a:p xmlns:a="http://schemas.openxmlformats.org/drawingml/2006/main"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AR" sz="1600" b="0" i="0" u="none" strike="noStrike" baseline="0">
              <a:solidFill>
                <a:schemeClr val="accent2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FOB Soja neto DEX en $AR'93 - Ene'93 a Ago'26 (mensual) y Sep'26 (10/9)</a:t>
          </a:r>
        </a:p>
      </cdr:txBody>
    </cdr:sp>
  </cdr:relSizeAnchor>
  <cdr:relSizeAnchor xmlns:cdr="http://schemas.openxmlformats.org/drawingml/2006/chartDrawing">
    <cdr:from>
      <cdr:x>0</cdr:x>
      <cdr:y>0.92542</cdr:y>
    </cdr:from>
    <cdr:to>
      <cdr:x>1</cdr:x>
      <cdr:y>1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5200651"/>
          <a:ext cx="10125075" cy="4190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36576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AR" sz="1200" b="0" i="0" u="none" strike="noStrike" baseline="0">
              <a:solidFill>
                <a:srgbClr val="00003A"/>
              </a:solidFill>
              <a:latin typeface="Montserrat" pitchFamily="2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Fuente: Elaborado por OUTLIER con cotizaciones mercado y datos del BCRA/INDEC. *DEX 26% a partir de Feb'25 y 24% Dic'25 (Sep'25 en 0%), TCNO $/USD 1.513 e IPC +1,8%.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384</xdr:row>
      <xdr:rowOff>0</xdr:rowOff>
    </xdr:from>
    <xdr:to>
      <xdr:col>1</xdr:col>
      <xdr:colOff>304800</xdr:colOff>
      <xdr:row>385</xdr:row>
      <xdr:rowOff>142875</xdr:rowOff>
    </xdr:to>
    <xdr:sp macro="" textlink="">
      <xdr:nvSpPr>
        <xdr:cNvPr id="9217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0B260B-504F-41FB-8224-E945EA841346}"/>
            </a:ext>
          </a:extLst>
        </xdr:cNvPr>
        <xdr:cNvSpPr>
          <a:spLocks noChangeAspect="1" noChangeArrowheads="1"/>
        </xdr:cNvSpPr>
      </xdr:nvSpPr>
      <xdr:spPr bwMode="auto">
        <a:xfrm>
          <a:off x="762000" y="574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396</xdr:row>
      <xdr:rowOff>0</xdr:rowOff>
    </xdr:from>
    <xdr:ext cx="304800" cy="299757"/>
    <xdr:sp macro="" textlink="">
      <xdr:nvSpPr>
        <xdr:cNvPr id="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00831B-E6BA-4F36-896C-E5DC521CEE5D}"/>
            </a:ext>
          </a:extLst>
        </xdr:cNvPr>
        <xdr:cNvSpPr>
          <a:spLocks noChangeAspect="1" noChangeArrowheads="1"/>
        </xdr:cNvSpPr>
      </xdr:nvSpPr>
      <xdr:spPr bwMode="auto">
        <a:xfrm>
          <a:off x="2286000" y="61027235"/>
          <a:ext cx="304800" cy="299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408</xdr:row>
      <xdr:rowOff>0</xdr:rowOff>
    </xdr:from>
    <xdr:ext cx="304800" cy="299757"/>
    <xdr:sp macro="" textlink="">
      <xdr:nvSpPr>
        <xdr:cNvPr id="3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FD34DD-3265-492E-BFA7-9F1B8B169E63}"/>
            </a:ext>
          </a:extLst>
        </xdr:cNvPr>
        <xdr:cNvSpPr>
          <a:spLocks noChangeAspect="1" noChangeArrowheads="1"/>
        </xdr:cNvSpPr>
      </xdr:nvSpPr>
      <xdr:spPr bwMode="auto">
        <a:xfrm>
          <a:off x="2286000" y="61027235"/>
          <a:ext cx="304800" cy="299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be0dd628e2b1d1a/Escritorio/Archivos/Tatooine/bco%20de%20datos%20reales/IPC%20mensuales%20empalmadas.xls" TargetMode="External"/><Relationship Id="rId1" Type="http://schemas.openxmlformats.org/officeDocument/2006/relationships/externalLinkPath" Target="https://d.docs.live.net/0be0dd628e2b1d1a/Escritorio/Archivos/Tatooine/bco%20de%20datos%20reales/IPC%20mensuales%20empalmad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cg/OneDrive/Escritorio/Consultora%20Ledesma/bco%20de%20datos%20reales/Multilateral%20prop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6 (5)"/>
      <sheetName val="Gráfico6 (3)"/>
      <sheetName val="YoY (2)"/>
      <sheetName val="Gráfico6 (4)"/>
      <sheetName val="Anual"/>
      <sheetName val="Gráfico5"/>
      <sheetName val="Gráfico6 (2)"/>
      <sheetName val="MoM"/>
      <sheetName val="YoY"/>
      <sheetName val="Gráfico2"/>
      <sheetName val="Gráfico3"/>
      <sheetName val="Gráfico3 (2)"/>
      <sheetName val="Gráfico4"/>
      <sheetName val="Gráfico6"/>
      <sheetName val="IPC99ON (real)"/>
      <sheetName val="Gráfico1"/>
      <sheetName val="Gráfico1 (2)"/>
      <sheetName val="Gráfico1 (3)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52">
          <cell r="O152">
            <v>0.96122510905381364</v>
          </cell>
        </row>
        <row r="153">
          <cell r="O153">
            <v>0.96824627318915923</v>
          </cell>
        </row>
        <row r="154">
          <cell r="O154">
            <v>0.97552606594901525</v>
          </cell>
        </row>
        <row r="155">
          <cell r="O155">
            <v>0.98572347100273094</v>
          </cell>
        </row>
        <row r="156">
          <cell r="O156">
            <v>0.99840531890536988</v>
          </cell>
        </row>
        <row r="157">
          <cell r="O157">
            <v>1.0055869533919335</v>
          </cell>
        </row>
        <row r="158">
          <cell r="O158">
            <v>1.0088218212653428</v>
          </cell>
        </row>
        <row r="159">
          <cell r="O159">
            <v>1.0089836316612475</v>
          </cell>
        </row>
        <row r="160">
          <cell r="O160">
            <v>1.0172986089414868</v>
          </cell>
        </row>
        <row r="161">
          <cell r="O161">
            <v>1.023049075702781</v>
          </cell>
        </row>
        <row r="162">
          <cell r="O162">
            <v>1.023634005208474</v>
          </cell>
        </row>
        <row r="163">
          <cell r="O163">
            <v>1.0234996657286446</v>
          </cell>
        </row>
        <row r="164">
          <cell r="O164">
            <v>1.0245301600926262</v>
          </cell>
        </row>
        <row r="165">
          <cell r="O165">
            <v>1.0244939788860881</v>
          </cell>
        </row>
        <row r="166">
          <cell r="O166">
            <v>1.0259221315108125</v>
          </cell>
        </row>
        <row r="167">
          <cell r="O167">
            <v>1.0284193047842578</v>
          </cell>
        </row>
        <row r="168">
          <cell r="O168">
            <v>1.0319838236505658</v>
          </cell>
        </row>
        <row r="169">
          <cell r="O169">
            <v>1.0359774918277516</v>
          </cell>
        </row>
        <row r="170">
          <cell r="O170">
            <v>1.0455420607782286</v>
          </cell>
        </row>
        <row r="171">
          <cell r="O171">
            <v>1.0476991977124539</v>
          </cell>
        </row>
        <row r="172">
          <cell r="O172">
            <v>1.054869776830353</v>
          </cell>
        </row>
        <row r="173">
          <cell r="O173">
            <v>1.0582500395522563</v>
          </cell>
        </row>
        <row r="174">
          <cell r="O174">
            <v>1.0606426893401475</v>
          </cell>
        </row>
        <row r="175">
          <cell r="O175">
            <v>1.0629492412569266</v>
          </cell>
        </row>
        <row r="176">
          <cell r="O176">
            <v>1.0761932379055892</v>
          </cell>
        </row>
        <row r="177">
          <cell r="O177">
            <v>1.0761637569224829</v>
          </cell>
        </row>
        <row r="178">
          <cell r="O178">
            <v>1.0713288756932946</v>
          </cell>
        </row>
        <row r="179">
          <cell r="O179">
            <v>1.0762284140786083</v>
          </cell>
        </row>
        <row r="180">
          <cell r="O180">
            <v>1.0764545466194664</v>
          </cell>
        </row>
        <row r="181">
          <cell r="O181">
            <v>1.074236772663173</v>
          </cell>
        </row>
        <row r="182">
          <cell r="O182">
            <v>1.0785959380286243</v>
          </cell>
        </row>
        <row r="183">
          <cell r="O183">
            <v>1.0759821808674521</v>
          </cell>
        </row>
        <row r="184">
          <cell r="O184">
            <v>1.0777513748649139</v>
          </cell>
        </row>
        <row r="185">
          <cell r="O185">
            <v>1.0814153920491933</v>
          </cell>
        </row>
        <row r="186">
          <cell r="O186">
            <v>1.0789453546806578</v>
          </cell>
        </row>
        <row r="187">
          <cell r="O187">
            <v>1.0800388311449101</v>
          </cell>
        </row>
        <row r="188">
          <cell r="O188">
            <v>1.0832767141188584</v>
          </cell>
        </row>
        <row r="189">
          <cell r="O189">
            <v>1.0797564167272042</v>
          </cell>
        </row>
        <row r="190">
          <cell r="O190">
            <v>1.073931242474631</v>
          </cell>
        </row>
        <row r="191">
          <cell r="O191">
            <v>1.0739476580220451</v>
          </cell>
        </row>
        <row r="192">
          <cell r="O192">
            <v>1.0729898610823128</v>
          </cell>
        </row>
        <row r="193">
          <cell r="O193">
            <v>1.073017667009559</v>
          </cell>
        </row>
        <row r="194">
          <cell r="O194">
            <v>1.0788354710163586</v>
          </cell>
        </row>
        <row r="195">
          <cell r="O195">
            <v>1.0779999531542721</v>
          </cell>
        </row>
        <row r="196">
          <cell r="O196">
            <v>1.0799574234301974</v>
          </cell>
        </row>
        <row r="197">
          <cell r="O197">
            <v>1.085401354969429</v>
          </cell>
        </row>
        <row r="198">
          <cell r="O198">
            <v>1.0837155787537085</v>
          </cell>
        </row>
        <row r="199">
          <cell r="O199">
            <v>1.0806254357064542</v>
          </cell>
        </row>
        <row r="200">
          <cell r="O200">
            <v>1.0856727140184714</v>
          </cell>
        </row>
        <row r="201">
          <cell r="O201">
            <v>1.0898472882283434</v>
          </cell>
        </row>
        <row r="202">
          <cell r="O202">
            <v>1.0844747140686595</v>
          </cell>
        </row>
        <row r="203">
          <cell r="O203">
            <v>1.0808904295432264</v>
          </cell>
        </row>
        <row r="204">
          <cell r="O204">
            <v>1.0799936046367364</v>
          </cell>
        </row>
        <row r="205">
          <cell r="O205">
            <v>1.0824525866366088</v>
          </cell>
        </row>
        <row r="206">
          <cell r="O206">
            <v>1.0848579668490297</v>
          </cell>
        </row>
        <row r="207">
          <cell r="O207">
            <v>1.0866432413827216</v>
          </cell>
        </row>
        <row r="208">
          <cell r="O208">
            <v>1.0861229690331584</v>
          </cell>
        </row>
        <row r="209">
          <cell r="O209">
            <v>1.0844214472923708</v>
          </cell>
        </row>
        <row r="210">
          <cell r="O210">
            <v>1.0823256174025597</v>
          </cell>
        </row>
        <row r="211">
          <cell r="O211">
            <v>1.084169853902464</v>
          </cell>
        </row>
        <row r="212">
          <cell r="O212">
            <v>1.0909846511560766</v>
          </cell>
        </row>
        <row r="213">
          <cell r="O213">
            <v>1.0896342211231778</v>
          </cell>
        </row>
        <row r="214">
          <cell r="O214">
            <v>1.093413482150507</v>
          </cell>
        </row>
        <row r="215">
          <cell r="O215">
            <v>1.0935367662616717</v>
          </cell>
        </row>
        <row r="216">
          <cell r="O216">
            <v>1.0927471449301058</v>
          </cell>
        </row>
        <row r="217">
          <cell r="O217">
            <v>1.0948332594959354</v>
          </cell>
        </row>
        <row r="218">
          <cell r="O218">
            <v>1.098255063603127</v>
          </cell>
        </row>
        <row r="219">
          <cell r="O219">
            <v>1.0984768409987542</v>
          </cell>
        </row>
        <row r="220">
          <cell r="O220">
            <v>1.098137139670702</v>
          </cell>
        </row>
        <row r="221">
          <cell r="O221">
            <v>1.0941196857003317</v>
          </cell>
        </row>
        <row r="222">
          <cell r="O222">
            <v>1.0915216740642271</v>
          </cell>
        </row>
        <row r="223">
          <cell r="O223">
            <v>1.0913739341375333</v>
          </cell>
        </row>
        <row r="224">
          <cell r="O224">
            <v>1.0965187007004931</v>
          </cell>
        </row>
        <row r="225">
          <cell r="O225">
            <v>1.0947572119599731</v>
          </cell>
        </row>
        <row r="226">
          <cell r="O226">
            <v>1.0865377128636531</v>
          </cell>
        </row>
        <row r="227">
          <cell r="O227">
            <v>1.0854737173825069</v>
          </cell>
        </row>
        <row r="228">
          <cell r="O228">
            <v>1.0801292841612469</v>
          </cell>
        </row>
        <row r="229">
          <cell r="O229">
            <v>1.0800636219716016</v>
          </cell>
        </row>
        <row r="230">
          <cell r="O230">
            <v>1.0820710089121046</v>
          </cell>
        </row>
        <row r="231">
          <cell r="O231">
            <v>1.0779979430872435</v>
          </cell>
        </row>
        <row r="232">
          <cell r="O232">
            <v>1.0758501864658259</v>
          </cell>
        </row>
        <row r="233">
          <cell r="O233">
            <v>1.0756820108576608</v>
          </cell>
        </row>
        <row r="234">
          <cell r="O234">
            <v>1.0722819824766263</v>
          </cell>
        </row>
        <row r="235">
          <cell r="O235">
            <v>1.0716149752338795</v>
          </cell>
        </row>
        <row r="236">
          <cell r="O236">
            <v>1.0806726722816566</v>
          </cell>
        </row>
        <row r="237">
          <cell r="O237">
            <v>1.0807168937563107</v>
          </cell>
        </row>
        <row r="238">
          <cell r="O238">
            <v>1.0750069633467871</v>
          </cell>
        </row>
        <row r="239">
          <cell r="O239">
            <v>1.0737982430394957</v>
          </cell>
        </row>
        <row r="240">
          <cell r="O240">
            <v>1.0696243388519626</v>
          </cell>
        </row>
        <row r="241">
          <cell r="O241">
            <v>1.0676467679057393</v>
          </cell>
        </row>
        <row r="242">
          <cell r="O242">
            <v>1.0722836575324839</v>
          </cell>
        </row>
        <row r="243">
          <cell r="O243">
            <v>1.0699767706045338</v>
          </cell>
        </row>
        <row r="244">
          <cell r="O244">
            <v>1.0683335408076131</v>
          </cell>
        </row>
        <row r="245">
          <cell r="O245">
            <v>1.0702983813293132</v>
          </cell>
        </row>
        <row r="246">
          <cell r="O246">
            <v>1.065040248114441</v>
          </cell>
        </row>
        <row r="247">
          <cell r="O247">
            <v>1.0637525420210028</v>
          </cell>
        </row>
        <row r="248">
          <cell r="O248">
            <v>1.0646110127499615</v>
          </cell>
        </row>
        <row r="249">
          <cell r="O249">
            <v>1.0622502182453251</v>
          </cell>
        </row>
        <row r="250">
          <cell r="O250">
            <v>1.0642890862266021</v>
          </cell>
        </row>
        <row r="251">
          <cell r="O251">
            <v>1.0713714697405117</v>
          </cell>
        </row>
        <row r="252">
          <cell r="O252">
            <v>1.0720153227872309</v>
          </cell>
        </row>
        <row r="253">
          <cell r="O253">
            <v>1.0642890862266021</v>
          </cell>
        </row>
        <row r="254">
          <cell r="O254">
            <v>1.060855203310767</v>
          </cell>
        </row>
        <row r="255">
          <cell r="O255">
            <v>1.0570993938715727</v>
          </cell>
        </row>
        <row r="256">
          <cell r="O256">
            <v>1.056240923142614</v>
          </cell>
        </row>
        <row r="257">
          <cell r="O257">
            <v>1.0516266429744605</v>
          </cell>
        </row>
        <row r="258">
          <cell r="O258">
            <v>1.0481927600586256</v>
          </cell>
        </row>
        <row r="259">
          <cell r="O259">
            <v>1.0473342893296669</v>
          </cell>
        </row>
        <row r="260">
          <cell r="O260">
            <v>1.0713714697405117</v>
          </cell>
        </row>
        <row r="261">
          <cell r="O261">
            <v>1.1049591370110226</v>
          </cell>
        </row>
        <row r="262">
          <cell r="O262">
            <v>1.1487411441879183</v>
          </cell>
        </row>
        <row r="263">
          <cell r="O263">
            <v>1.2680685755131837</v>
          </cell>
        </row>
        <row r="264">
          <cell r="O264">
            <v>1.3189329662039893</v>
          </cell>
        </row>
        <row r="265">
          <cell r="O265">
            <v>1.3666854005023195</v>
          </cell>
        </row>
        <row r="266">
          <cell r="O266">
            <v>1.4102527899969755</v>
          </cell>
        </row>
        <row r="267">
          <cell r="O267">
            <v>1.4433039130618872</v>
          </cell>
        </row>
        <row r="268">
          <cell r="O268">
            <v>1.4627268133045788</v>
          </cell>
        </row>
        <row r="269">
          <cell r="O269">
            <v>1.4659460785381742</v>
          </cell>
        </row>
        <row r="270">
          <cell r="O270">
            <v>1.4734576974165632</v>
          </cell>
        </row>
        <row r="271">
          <cell r="O271">
            <v>1.4762477272856789</v>
          </cell>
        </row>
        <row r="272">
          <cell r="O272">
            <v>1.4956706275283704</v>
          </cell>
        </row>
        <row r="273">
          <cell r="O273">
            <v>1.5041480259768381</v>
          </cell>
        </row>
        <row r="274">
          <cell r="O274">
            <v>1.5129473509486653</v>
          </cell>
        </row>
        <row r="275">
          <cell r="O275">
            <v>1.513805821677624</v>
          </cell>
        </row>
        <row r="276">
          <cell r="O276">
            <v>1.5079038354160328</v>
          </cell>
        </row>
        <row r="277">
          <cell r="O277">
            <v>1.5066161293225946</v>
          </cell>
        </row>
        <row r="278">
          <cell r="O278">
            <v>1.5133765863131448</v>
          </cell>
        </row>
        <row r="279">
          <cell r="O279">
            <v>1.5136985128365041</v>
          </cell>
        </row>
        <row r="280">
          <cell r="O280">
            <v>1.5143423658832234</v>
          </cell>
        </row>
        <row r="281">
          <cell r="O281">
            <v>1.52324899969617</v>
          </cell>
        </row>
        <row r="282">
          <cell r="O282">
            <v>1.5270048091353647</v>
          </cell>
        </row>
        <row r="283">
          <cell r="O283">
            <v>1.5302240743689599</v>
          </cell>
        </row>
        <row r="284">
          <cell r="O284">
            <v>1.5366626048361505</v>
          </cell>
        </row>
        <row r="285">
          <cell r="O285">
            <v>1.5381649286118284</v>
          </cell>
        </row>
        <row r="286">
          <cell r="O286">
            <v>1.5473934889481347</v>
          </cell>
        </row>
        <row r="287">
          <cell r="O287">
            <v>1.5605924764058756</v>
          </cell>
        </row>
        <row r="288">
          <cell r="O288">
            <v>1.5720745224056987</v>
          </cell>
        </row>
        <row r="289">
          <cell r="O289">
            <v>1.5808738473775257</v>
          </cell>
        </row>
        <row r="290">
          <cell r="O290">
            <v>1.5881708485736752</v>
          </cell>
        </row>
        <row r="291">
          <cell r="O291">
            <v>1.5936435994707872</v>
          </cell>
        </row>
        <row r="292">
          <cell r="O292">
            <v>1.6037306305360524</v>
          </cell>
        </row>
        <row r="293">
          <cell r="O293">
            <v>1.6100618521621231</v>
          </cell>
        </row>
        <row r="294">
          <cell r="O294">
            <v>1.6100618521621231</v>
          </cell>
        </row>
        <row r="295">
          <cell r="O295">
            <v>1.6235827661432234</v>
          </cell>
        </row>
        <row r="296">
          <cell r="O296">
            <v>1.647619946554068</v>
          </cell>
        </row>
        <row r="297">
          <cell r="O297">
            <v>1.6632870373575652</v>
          </cell>
        </row>
        <row r="298">
          <cell r="O298">
            <v>1.6889338503852076</v>
          </cell>
        </row>
        <row r="299">
          <cell r="O299">
            <v>1.6971966311514355</v>
          </cell>
        </row>
        <row r="300">
          <cell r="O300">
            <v>1.7073909710578208</v>
          </cell>
        </row>
        <row r="301">
          <cell r="O301">
            <v>1.7230580618613176</v>
          </cell>
        </row>
        <row r="302">
          <cell r="O302">
            <v>1.7403347852816125</v>
          </cell>
        </row>
        <row r="303">
          <cell r="O303">
            <v>1.7479537130011211</v>
          </cell>
        </row>
        <row r="304">
          <cell r="O304">
            <v>1.7683423928138913</v>
          </cell>
        </row>
        <row r="305">
          <cell r="O305">
            <v>1.7820779244772313</v>
          </cell>
        </row>
        <row r="306">
          <cell r="O306">
            <v>1.8036470015423198</v>
          </cell>
        </row>
        <row r="307">
          <cell r="O307">
            <v>1.8237137548317301</v>
          </cell>
        </row>
        <row r="308">
          <cell r="O308">
            <v>1.8469997733547363</v>
          </cell>
        </row>
        <row r="309">
          <cell r="O309">
            <v>1.8542967745508858</v>
          </cell>
        </row>
        <row r="310">
          <cell r="O310">
            <v>1.8766170135038129</v>
          </cell>
        </row>
        <row r="311">
          <cell r="O311">
            <v>1.8948595164941864</v>
          </cell>
        </row>
        <row r="312">
          <cell r="O312">
            <v>1.9037661503071333</v>
          </cell>
        </row>
        <row r="313">
          <cell r="O313">
            <v>1.9129947106434397</v>
          </cell>
        </row>
        <row r="314">
          <cell r="O314">
            <v>1.9247986831666224</v>
          </cell>
        </row>
        <row r="315">
          <cell r="O315">
            <v>1.9356368761197265</v>
          </cell>
        </row>
        <row r="316">
          <cell r="O316">
            <v>1.9530209083811412</v>
          </cell>
        </row>
        <row r="317">
          <cell r="O317">
            <v>1.9693607475488095</v>
          </cell>
        </row>
        <row r="318">
          <cell r="O318">
            <v>1.9836733563010711</v>
          </cell>
        </row>
        <row r="319">
          <cell r="O319">
            <v>2.0031102056057049</v>
          </cell>
        </row>
        <row r="320">
          <cell r="O320">
            <v>2.0560169817915055</v>
          </cell>
        </row>
        <row r="321">
          <cell r="O321">
            <v>2.0636076270593779</v>
          </cell>
        </row>
        <row r="322">
          <cell r="O322">
            <v>2.0817824498126796</v>
          </cell>
        </row>
        <row r="323">
          <cell r="O323">
            <v>2.1018101805124889</v>
          </cell>
        </row>
        <row r="324">
          <cell r="O324">
            <v>2.1211122506298321</v>
          </cell>
        </row>
        <row r="325">
          <cell r="O325">
            <v>2.1406162494635268</v>
          </cell>
        </row>
        <row r="326">
          <cell r="O326">
            <v>2.166428097870829</v>
          </cell>
        </row>
        <row r="327">
          <cell r="O327">
            <v>2.1975934684989458</v>
          </cell>
        </row>
        <row r="328">
          <cell r="O328">
            <v>2.2307164301432154</v>
          </cell>
        </row>
        <row r="329">
          <cell r="O329">
            <v>2.265917165216802</v>
          </cell>
        </row>
        <row r="330">
          <cell r="O330">
            <v>2.3177439173822187</v>
          </cell>
        </row>
        <row r="331">
          <cell r="O331">
            <v>2.3923771130598572</v>
          </cell>
        </row>
        <row r="332">
          <cell r="O332">
            <v>2.446922891556957</v>
          </cell>
        </row>
        <row r="333">
          <cell r="O333">
            <v>2.4730875485779258</v>
          </cell>
        </row>
        <row r="334">
          <cell r="O334">
            <v>2.5477943374637815</v>
          </cell>
        </row>
        <row r="335">
          <cell r="O335">
            <v>2.6050694411765645</v>
          </cell>
        </row>
        <row r="336">
          <cell r="O336">
            <v>2.6614640183563356</v>
          </cell>
        </row>
        <row r="337">
          <cell r="O337">
            <v>2.6904331128688721</v>
          </cell>
        </row>
        <row r="338">
          <cell r="O338">
            <v>2.7219237102945608</v>
          </cell>
        </row>
        <row r="339">
          <cell r="O339">
            <v>2.7654872347125723</v>
          </cell>
        </row>
        <row r="340">
          <cell r="O340">
            <v>2.7850998521060863</v>
          </cell>
        </row>
        <row r="341">
          <cell r="O341">
            <v>2.8078337794407497</v>
          </cell>
        </row>
        <row r="342">
          <cell r="O342">
            <v>2.8257058004116025</v>
          </cell>
        </row>
        <row r="343">
          <cell r="O343">
            <v>2.8498370439172263</v>
          </cell>
        </row>
        <row r="344">
          <cell r="O344">
            <v>2.8934660063598896</v>
          </cell>
        </row>
        <row r="345">
          <cell r="O345">
            <v>2.9176817522478338</v>
          </cell>
        </row>
        <row r="346">
          <cell r="O346">
            <v>2.9546179892047939</v>
          </cell>
        </row>
        <row r="347">
          <cell r="O347">
            <v>2.9905863274524642</v>
          </cell>
        </row>
        <row r="348">
          <cell r="O348">
            <v>3.016321328786232</v>
          </cell>
        </row>
        <row r="349">
          <cell r="O349">
            <v>3.0373021831118563</v>
          </cell>
        </row>
        <row r="350">
          <cell r="O350">
            <v>3.0741214084616399</v>
          </cell>
        </row>
        <row r="351">
          <cell r="O351">
            <v>3.1148324411634105</v>
          </cell>
        </row>
        <row r="352">
          <cell r="O352">
            <v>3.1536928413654786</v>
          </cell>
        </row>
        <row r="353">
          <cell r="O353">
            <v>3.1887722501758722</v>
          </cell>
        </row>
        <row r="354">
          <cell r="O354">
            <v>3.2279681982824964</v>
          </cell>
        </row>
        <row r="355">
          <cell r="O355">
            <v>3.2924590840370964</v>
          </cell>
        </row>
        <row r="356">
          <cell r="O356">
            <v>3.3745532753699323</v>
          </cell>
        </row>
        <row r="357">
          <cell r="O357">
            <v>3.4527698770150042</v>
          </cell>
        </row>
        <row r="358">
          <cell r="O358">
            <v>3.5439095697738785</v>
          </cell>
        </row>
        <row r="359">
          <cell r="O359">
            <v>3.6045967842793014</v>
          </cell>
        </row>
        <row r="360">
          <cell r="O360">
            <v>3.652207036722086</v>
          </cell>
        </row>
        <row r="361">
          <cell r="O361">
            <v>3.7083609801231829</v>
          </cell>
        </row>
        <row r="362">
          <cell r="O362">
            <v>3.7746286156846667</v>
          </cell>
        </row>
        <row r="363">
          <cell r="O363">
            <v>3.8355438350078437</v>
          </cell>
        </row>
        <row r="364">
          <cell r="O364">
            <v>3.9011879927864554</v>
          </cell>
        </row>
        <row r="365">
          <cell r="O365">
            <v>3.9856148223013856</v>
          </cell>
        </row>
        <row r="366">
          <cell r="O366">
            <v>4.0533007857478616</v>
          </cell>
        </row>
        <row r="367">
          <cell r="O367">
            <v>4.1175779395066838</v>
          </cell>
        </row>
        <row r="368">
          <cell r="O368">
            <v>4.1989893003904371</v>
          </cell>
        </row>
        <row r="369">
          <cell r="O369">
            <v>4.2693255250399886</v>
          </cell>
        </row>
        <row r="370">
          <cell r="O370">
            <v>4.3547120355407953</v>
          </cell>
        </row>
        <row r="371">
          <cell r="O371">
            <v>4.4548704123582246</v>
          </cell>
        </row>
        <row r="372">
          <cell r="O372">
            <v>4.5216934685436012</v>
          </cell>
        </row>
        <row r="373">
          <cell r="O373">
            <v>4.603083950977382</v>
          </cell>
        </row>
        <row r="374">
          <cell r="O374">
            <v>4.6859394620949795</v>
          </cell>
        </row>
        <row r="375">
          <cell r="O375">
            <v>4.7735665300361525</v>
          </cell>
        </row>
        <row r="376">
          <cell r="O376">
            <v>4.8637869374538338</v>
          </cell>
        </row>
        <row r="377">
          <cell r="O377">
            <v>4.9362573628219053</v>
          </cell>
        </row>
        <row r="378">
          <cell r="O378">
            <v>5.0073394688465322</v>
          </cell>
        </row>
        <row r="379">
          <cell r="O379">
            <v>5.1024789187546196</v>
          </cell>
        </row>
        <row r="380">
          <cell r="O380">
            <v>5.2045284971297114</v>
          </cell>
        </row>
        <row r="381">
          <cell r="O381">
            <v>5.2930054815809164</v>
          </cell>
        </row>
        <row r="382">
          <cell r="O382">
            <v>5.4147446076572772</v>
          </cell>
        </row>
        <row r="383">
          <cell r="O383">
            <v>5.5230394998104204</v>
          </cell>
        </row>
        <row r="384">
          <cell r="O384">
            <v>5.622454210807005</v>
          </cell>
        </row>
        <row r="385">
          <cell r="O385">
            <v>5.7180359323907322</v>
          </cell>
        </row>
        <row r="386">
          <cell r="O386">
            <v>5.8209605791737591</v>
          </cell>
        </row>
        <row r="387">
          <cell r="O387">
            <v>5.9373797907572339</v>
          </cell>
        </row>
        <row r="388">
          <cell r="O388">
            <v>6.0561273865723866</v>
          </cell>
        </row>
        <row r="389">
          <cell r="O389">
            <v>6.1590815521441096</v>
          </cell>
        </row>
        <row r="390">
          <cell r="O390">
            <v>6.2761041016348518</v>
          </cell>
        </row>
        <row r="391">
          <cell r="O391">
            <v>6.4016261836675454</v>
          </cell>
        </row>
        <row r="392">
          <cell r="O392">
            <v>6.5808717168102415</v>
          </cell>
        </row>
        <row r="393">
          <cell r="O393">
            <v>6.6795847925623946</v>
          </cell>
        </row>
        <row r="394">
          <cell r="O394">
            <v>6.7864581492433924</v>
          </cell>
        </row>
        <row r="395">
          <cell r="O395">
            <v>6.8896123131118925</v>
          </cell>
        </row>
        <row r="396">
          <cell r="O396">
            <v>7.0067357224347946</v>
          </cell>
        </row>
        <row r="397">
          <cell r="O397">
            <v>7.1398637011610555</v>
          </cell>
        </row>
        <row r="398">
          <cell r="O398">
            <v>7.3469197484947255</v>
          </cell>
        </row>
        <row r="399">
          <cell r="O399">
            <v>7.4938581434646201</v>
          </cell>
        </row>
        <row r="400">
          <cell r="O400">
            <v>7.6512291644773764</v>
          </cell>
        </row>
        <row r="401">
          <cell r="O401">
            <v>7.8195562060958785</v>
          </cell>
        </row>
        <row r="402">
          <cell r="O402">
            <v>8.0072255550421794</v>
          </cell>
        </row>
        <row r="403">
          <cell r="O403">
            <v>8.2634567728035293</v>
          </cell>
        </row>
        <row r="404">
          <cell r="O404">
            <v>8.6518392411252965</v>
          </cell>
        </row>
        <row r="405">
          <cell r="O405">
            <v>8.9979128107703072</v>
          </cell>
        </row>
        <row r="406">
          <cell r="O406">
            <v>9.2678501950934162</v>
          </cell>
        </row>
        <row r="407">
          <cell r="O407">
            <v>9.4717428993854718</v>
          </cell>
        </row>
        <row r="408">
          <cell r="O408">
            <v>9.6801212431719517</v>
          </cell>
        </row>
        <row r="409">
          <cell r="O409">
            <v>9.883403789278562</v>
          </cell>
        </row>
        <row r="410">
          <cell r="O410">
            <v>10.130488884010525</v>
          </cell>
        </row>
        <row r="411">
          <cell r="O411">
            <v>10.363490128342766</v>
          </cell>
        </row>
        <row r="412">
          <cell r="O412">
            <v>10.632940871679677</v>
          </cell>
        </row>
        <row r="413">
          <cell r="O413">
            <v>10.877498511728311</v>
          </cell>
        </row>
        <row r="414">
          <cell r="O414">
            <v>11.084170983451147</v>
          </cell>
        </row>
        <row r="415">
          <cell r="O415">
            <v>11.35816649166286</v>
          </cell>
        </row>
        <row r="416">
          <cell r="O416">
            <v>11.580511462696627</v>
          </cell>
        </row>
        <row r="417">
          <cell r="O417">
            <v>11.748729495674439</v>
          </cell>
        </row>
        <row r="418">
          <cell r="O418">
            <v>11.944010997680232</v>
          </cell>
        </row>
        <row r="419">
          <cell r="O419">
            <v>12.226850781835356</v>
          </cell>
        </row>
        <row r="420">
          <cell r="O420">
            <v>12.49748547211512</v>
          </cell>
        </row>
        <row r="421">
          <cell r="O421">
            <v>12.666234161348385</v>
          </cell>
        </row>
        <row r="422">
          <cell r="O422">
            <v>12.924663757752787</v>
          </cell>
        </row>
        <row r="423">
          <cell r="O423">
            <v>13.16133644768372</v>
          </cell>
        </row>
        <row r="424">
          <cell r="O424">
            <v>13.379436168673882</v>
          </cell>
        </row>
        <row r="425">
          <cell r="O425">
            <v>13.607087702262156</v>
          </cell>
        </row>
        <row r="426">
          <cell r="O426">
            <v>13.872946486242865</v>
          </cell>
        </row>
        <row r="427">
          <cell r="O427">
            <v>14.416338491824195</v>
          </cell>
        </row>
        <row r="428">
          <cell r="O428">
            <v>15.012796122950578</v>
          </cell>
        </row>
        <row r="429">
          <cell r="O429">
            <v>15.608723097821507</v>
          </cell>
        </row>
        <row r="430">
          <cell r="O430">
            <v>16.126643603141211</v>
          </cell>
        </row>
        <row r="431">
          <cell r="O431">
            <v>17.182118895232289</v>
          </cell>
        </row>
        <row r="432">
          <cell r="O432">
            <v>17.90263386898496</v>
          </cell>
        </row>
        <row r="433">
          <cell r="O433">
            <v>18.453286415339367</v>
          </cell>
        </row>
        <row r="434">
          <cell r="O434">
            <v>18.830983752894365</v>
          </cell>
        </row>
        <row r="435">
          <cell r="O435">
            <v>18.86902496412841</v>
          </cell>
        </row>
        <row r="436">
          <cell r="O436">
            <v>19.085846122467348</v>
          </cell>
        </row>
        <row r="437">
          <cell r="O437">
            <v>19.536155094473596</v>
          </cell>
        </row>
        <row r="438">
          <cell r="O438">
            <v>19.852340446383657</v>
          </cell>
        </row>
        <row r="439">
          <cell r="O439">
            <v>20.090072243418092</v>
          </cell>
        </row>
        <row r="440">
          <cell r="O440">
            <v>20.411513399312785</v>
          </cell>
        </row>
        <row r="441">
          <cell r="O441">
            <v>20.84015518069835</v>
          </cell>
        </row>
        <row r="442">
          <cell r="O442">
            <v>21.340318905035112</v>
          </cell>
        </row>
        <row r="443">
          <cell r="O443">
            <v>21.916507515471057</v>
          </cell>
        </row>
        <row r="444">
          <cell r="O444">
            <v>22.223338620687652</v>
          </cell>
        </row>
        <row r="445">
          <cell r="O445">
            <v>22.490018684135904</v>
          </cell>
        </row>
        <row r="446">
          <cell r="O446">
            <v>22.872349001766214</v>
          </cell>
        </row>
        <row r="447">
          <cell r="O447">
            <v>23.192561887790941</v>
          </cell>
        </row>
        <row r="448">
          <cell r="O448">
            <v>23.63322056365897</v>
          </cell>
        </row>
        <row r="449">
          <cell r="O449">
            <v>23.987718872113852</v>
          </cell>
        </row>
        <row r="450">
          <cell r="O450">
            <v>24.323546936323446</v>
          </cell>
        </row>
        <row r="451">
          <cell r="O451">
            <v>25.077576891349473</v>
          </cell>
        </row>
        <row r="452">
          <cell r="O452">
            <v>25.528973275393767</v>
          </cell>
        </row>
        <row r="453">
          <cell r="O453">
            <v>26.141668634003221</v>
          </cell>
        </row>
        <row r="454">
          <cell r="O454">
            <v>26.742927012585291</v>
          </cell>
        </row>
        <row r="455">
          <cell r="O455">
            <v>27.464986041925087</v>
          </cell>
        </row>
        <row r="456">
          <cell r="O456">
            <v>28.041750748805516</v>
          </cell>
        </row>
        <row r="457">
          <cell r="O457">
            <v>29.079295526511316</v>
          </cell>
        </row>
        <row r="458">
          <cell r="O458">
            <v>29.980753687833165</v>
          </cell>
        </row>
        <row r="459">
          <cell r="O459">
            <v>31.150003081658657</v>
          </cell>
        </row>
        <row r="460">
          <cell r="O460">
            <v>33.174753281966467</v>
          </cell>
        </row>
        <row r="461">
          <cell r="O461">
            <v>34.966189959192661</v>
          </cell>
        </row>
        <row r="462">
          <cell r="O462">
            <v>36.085108037886826</v>
          </cell>
        </row>
        <row r="463">
          <cell r="O463">
            <v>37.023320846871883</v>
          </cell>
        </row>
        <row r="464">
          <cell r="O464">
            <v>38.096997151431168</v>
          </cell>
        </row>
        <row r="465">
          <cell r="O465">
            <v>39.54468304318555</v>
          </cell>
        </row>
        <row r="466">
          <cell r="O466">
            <v>41.403283146215266</v>
          </cell>
        </row>
        <row r="467">
          <cell r="O467">
            <v>42.810994773186593</v>
          </cell>
        </row>
        <row r="468">
          <cell r="O468">
            <v>44.138135611155377</v>
          </cell>
        </row>
        <row r="469">
          <cell r="O469">
            <v>45.329865272656569</v>
          </cell>
        </row>
        <row r="470">
          <cell r="O470">
            <v>46.327122308655014</v>
          </cell>
        </row>
        <row r="471">
          <cell r="O471">
            <v>48.180207201001217</v>
          </cell>
        </row>
        <row r="472">
          <cell r="O472">
            <v>51.022839425860283</v>
          </cell>
        </row>
        <row r="473">
          <cell r="O473">
            <v>52.706593126913674</v>
          </cell>
        </row>
        <row r="474">
          <cell r="O474">
            <v>54.972976631370955</v>
          </cell>
        </row>
        <row r="475">
          <cell r="O475">
            <v>57.006976766731668</v>
          </cell>
        </row>
        <row r="476">
          <cell r="O476">
            <v>58.318137232366489</v>
          </cell>
        </row>
        <row r="477">
          <cell r="O477">
            <v>59.484499977013819</v>
          </cell>
        </row>
        <row r="478">
          <cell r="O478">
            <v>61.447488476255266</v>
          </cell>
        </row>
        <row r="479">
          <cell r="O479">
            <v>62.369200803399096</v>
          </cell>
        </row>
        <row r="480">
          <cell r="O480">
            <v>63.304738815450079</v>
          </cell>
        </row>
        <row r="481">
          <cell r="O481">
            <v>64.69744306938999</v>
          </cell>
        </row>
        <row r="482">
          <cell r="O482">
            <v>65.926694487708389</v>
          </cell>
        </row>
        <row r="483">
          <cell r="O483">
            <v>67.706715238876498</v>
          </cell>
        </row>
        <row r="484">
          <cell r="O484">
            <v>69.602503265565048</v>
          </cell>
        </row>
        <row r="485">
          <cell r="O485">
            <v>72.247398389656524</v>
          </cell>
        </row>
        <row r="486">
          <cell r="O486">
            <v>74.559315138125527</v>
          </cell>
        </row>
        <row r="487">
          <cell r="O487">
            <v>77.541687743650556</v>
          </cell>
        </row>
        <row r="488">
          <cell r="O488">
            <v>80.643355253396578</v>
          </cell>
        </row>
        <row r="489">
          <cell r="O489">
            <v>83.54651604251886</v>
          </cell>
        </row>
        <row r="490">
          <cell r="O490">
            <v>87.556748812559761</v>
          </cell>
        </row>
        <row r="491">
          <cell r="O491">
            <v>91.146575513874723</v>
          </cell>
        </row>
        <row r="492">
          <cell r="O492">
            <v>94.154412505832582</v>
          </cell>
        </row>
        <row r="493">
          <cell r="O493">
            <v>97.167353706019227</v>
          </cell>
        </row>
        <row r="494">
          <cell r="O494">
            <v>100.08237431719981</v>
          </cell>
        </row>
        <row r="495">
          <cell r="O495">
            <v>102.58443367512979</v>
          </cell>
        </row>
        <row r="496">
          <cell r="O496">
            <v>106.17488885375933</v>
          </cell>
        </row>
        <row r="497">
          <cell r="O497">
            <v>109.89100996364088</v>
          </cell>
        </row>
        <row r="498">
          <cell r="O498">
            <v>112.63828521273189</v>
          </cell>
        </row>
        <row r="499">
          <cell r="O499">
            <v>116.91854005081572</v>
          </cell>
        </row>
        <row r="500">
          <cell r="O500">
            <v>121.47836311279751</v>
          </cell>
        </row>
        <row r="501">
          <cell r="O501">
            <v>127.18784617909898</v>
          </cell>
        </row>
        <row r="502">
          <cell r="O502">
            <v>135.70943187309862</v>
          </cell>
        </row>
        <row r="503">
          <cell r="O503">
            <v>143.85199778548454</v>
          </cell>
        </row>
        <row r="504">
          <cell r="O504">
            <v>151.18844967254424</v>
          </cell>
        </row>
        <row r="505">
          <cell r="O505">
            <v>159.20143750518906</v>
          </cell>
        </row>
        <row r="506">
          <cell r="O506">
            <v>170.98234388057307</v>
          </cell>
        </row>
        <row r="507">
          <cell r="O507">
            <v>182.95110795221316</v>
          </cell>
        </row>
        <row r="508">
          <cell r="O508">
            <v>194.29407664525039</v>
          </cell>
        </row>
        <row r="509">
          <cell r="O509">
            <v>206.53460347390114</v>
          </cell>
        </row>
        <row r="510">
          <cell r="O510">
            <v>216.65479904412229</v>
          </cell>
        </row>
        <row r="511">
          <cell r="O511">
            <v>227.7041937953725</v>
          </cell>
        </row>
        <row r="512">
          <cell r="O512">
            <v>241.36644542309489</v>
          </cell>
        </row>
        <row r="513">
          <cell r="O513">
            <v>257.29663082101916</v>
          </cell>
        </row>
        <row r="514">
          <cell r="O514">
            <v>277.10847139423765</v>
          </cell>
        </row>
        <row r="515">
          <cell r="O515">
            <v>300.3855829913536</v>
          </cell>
        </row>
        <row r="516">
          <cell r="O516">
            <v>323.81565846467925</v>
          </cell>
        </row>
        <row r="517">
          <cell r="O517">
            <v>343.24459797255997</v>
          </cell>
        </row>
        <row r="518">
          <cell r="O518">
            <v>364.8690076448313</v>
          </cell>
        </row>
        <row r="519">
          <cell r="O519">
            <v>410.11276459279043</v>
          </cell>
        </row>
        <row r="520">
          <cell r="O520">
            <v>462.19708569607479</v>
          </cell>
        </row>
        <row r="521">
          <cell r="O521">
            <v>500.55944380884898</v>
          </cell>
        </row>
        <row r="522">
          <cell r="O522">
            <v>564.63105261638168</v>
          </cell>
        </row>
        <row r="523">
          <cell r="O523">
            <v>708.61197103355903</v>
          </cell>
        </row>
        <row r="524">
          <cell r="O524">
            <v>854.58603706647216</v>
          </cell>
        </row>
        <row r="525">
          <cell r="O525">
            <v>967.39139395924656</v>
          </cell>
        </row>
        <row r="526">
          <cell r="O526">
            <v>1073.8044472947638</v>
          </cell>
        </row>
        <row r="527">
          <cell r="O527">
            <v>1168.299238656703</v>
          </cell>
        </row>
        <row r="528">
          <cell r="O528">
            <v>1217.3678066802847</v>
          </cell>
        </row>
        <row r="529">
          <cell r="O529">
            <v>1273.3667257875779</v>
          </cell>
        </row>
        <row r="530">
          <cell r="O530">
            <v>1324.301394819081</v>
          </cell>
        </row>
        <row r="531">
          <cell r="O531">
            <v>1379.9220534014826</v>
          </cell>
        </row>
        <row r="532">
          <cell r="O532">
            <v>1428.2193252705342</v>
          </cell>
        </row>
        <row r="533">
          <cell r="O533">
            <v>1466.7812470528386</v>
          </cell>
        </row>
        <row r="534">
          <cell r="O534">
            <v>1501.9839969821066</v>
          </cell>
        </row>
        <row r="535">
          <cell r="O535">
            <v>1542.5375649006232</v>
          </cell>
        </row>
        <row r="536">
          <cell r="O536">
            <v>1576.4733913284369</v>
          </cell>
        </row>
        <row r="537">
          <cell r="O537">
            <v>1614.3087527203195</v>
          </cell>
        </row>
        <row r="538">
          <cell r="O538">
            <v>1674.038176570971</v>
          </cell>
        </row>
        <row r="539">
          <cell r="O539">
            <v>1720.9112455149584</v>
          </cell>
        </row>
        <row r="540">
          <cell r="O540">
            <v>1746.7249141976827</v>
          </cell>
        </row>
        <row r="541">
          <cell r="O541">
            <v>1774.6725128248456</v>
          </cell>
        </row>
        <row r="542">
          <cell r="O542">
            <v>1808.3912905685177</v>
          </cell>
        </row>
        <row r="543">
          <cell r="O543">
            <v>1842.7507250893193</v>
          </cell>
        </row>
        <row r="544">
          <cell r="O544">
            <v>1881.4484903161949</v>
          </cell>
        </row>
        <row r="545">
          <cell r="O545">
            <v>1922.8403571031513</v>
          </cell>
        </row>
        <row r="546">
          <cell r="O546">
            <v>1970.9113660307298</v>
          </cell>
        </row>
        <row r="547">
          <cell r="O547">
            <v>2026.0968842795903</v>
          </cell>
        </row>
        <row r="548">
          <cell r="O548">
            <v>2084.8536939236983</v>
          </cell>
        </row>
        <row r="549">
          <cell r="O549">
            <v>2145.3144510474854</v>
          </cell>
        </row>
        <row r="550">
          <cell r="O550">
            <v>2218.2551423831001</v>
          </cell>
        </row>
        <row r="551">
          <cell r="O551">
            <v>2275.9297760850604</v>
          </cell>
        </row>
        <row r="552">
          <cell r="O552">
            <v>2323.7243013828465</v>
          </cell>
        </row>
        <row r="553">
          <cell r="O553">
            <v>2367.8750631091202</v>
          </cell>
        </row>
        <row r="554">
          <cell r="O554">
            <v>2417.6004394344118</v>
          </cell>
        </row>
        <row r="555">
          <cell r="O555">
            <v>2461.1172473442311</v>
          </cell>
        </row>
        <row r="556">
          <cell r="O556">
            <v>2502.9562405490828</v>
          </cell>
        </row>
      </sheetData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"/>
      <sheetName val="Banco PF"/>
      <sheetName val="Cierre mes"/>
      <sheetName val="Diario"/>
      <sheetName val="Multilateral (3)"/>
      <sheetName val="Peso vs USD (4)"/>
      <sheetName val="Peso vs USD (3)"/>
      <sheetName val="Peso vs USD (2)"/>
      <sheetName val="Multilateral (2)"/>
      <sheetName val="Multilateral"/>
      <sheetName val="Peso vs USD"/>
      <sheetName val="Peso vs $Chile"/>
      <sheetName val="Hoja1"/>
      <sheetName val="Peso vs Real"/>
      <sheetName val="Gráfico1"/>
      <sheetName val="Gráfico2"/>
      <sheetName val="Gráfico3"/>
    </sheetNames>
    <sheetDataSet>
      <sheetData sheetId="0" refreshError="1">
        <row r="466">
          <cell r="C466">
            <v>14.4095</v>
          </cell>
        </row>
        <row r="467">
          <cell r="C467">
            <v>14.137723809523809</v>
          </cell>
        </row>
        <row r="468">
          <cell r="C468">
            <v>14.1408</v>
          </cell>
        </row>
        <row r="469">
          <cell r="C469">
            <v>14.909384999999997</v>
          </cell>
        </row>
        <row r="470">
          <cell r="C470">
            <v>14.849809090909089</v>
          </cell>
        </row>
        <row r="471">
          <cell r="C471">
            <v>15.100736363636367</v>
          </cell>
        </row>
        <row r="472">
          <cell r="C472">
            <v>15.180999999999999</v>
          </cell>
        </row>
        <row r="473">
          <cell r="C473">
            <v>15.3399</v>
          </cell>
        </row>
        <row r="474">
          <cell r="C474">
            <v>15.829599999999999</v>
          </cell>
        </row>
        <row r="475">
          <cell r="C475">
            <v>15.906499999999996</v>
          </cell>
        </row>
        <row r="476">
          <cell r="C476">
            <v>15.5983</v>
          </cell>
        </row>
        <row r="477">
          <cell r="C477">
            <v>15.5237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witter.com/EcoLedesma/status/70329037728186777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twitter.com/EcoLedesma/status/70329037728186777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twitter.com/EcoLedesma/status/70329037728186777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witter.com/EcoLedesma/status/70329037728186777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twitter.com/EcoLedesma/status/703290377281867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R412"/>
  <sheetViews>
    <sheetView tabSelected="1" topLeftCell="A322" workbookViewId="0">
      <selection activeCell="C408" sqref="C408"/>
    </sheetView>
  </sheetViews>
  <sheetFormatPr baseColWidth="10" defaultRowHeight="13" x14ac:dyDescent="0.15"/>
  <cols>
    <col min="2" max="2" width="10.1640625" customWidth="1"/>
    <col min="3" max="3" width="14" style="1" customWidth="1"/>
    <col min="4" max="4" width="14" customWidth="1"/>
    <col min="5" max="5" width="14.5" customWidth="1"/>
    <col min="6" max="8" width="14" customWidth="1"/>
    <col min="9" max="9" width="14" style="4" customWidth="1"/>
    <col min="10" max="10" width="14" customWidth="1"/>
    <col min="11" max="11" width="14" style="24" customWidth="1"/>
    <col min="12" max="13" width="14" customWidth="1"/>
    <col min="18" max="18" width="13.83203125" style="2" customWidth="1"/>
  </cols>
  <sheetData>
    <row r="1" spans="1:18" x14ac:dyDescent="0.15">
      <c r="C1"/>
    </row>
    <row r="2" spans="1:18" x14ac:dyDescent="0.15">
      <c r="A2" t="s">
        <v>89</v>
      </c>
      <c r="C2" s="4">
        <v>0.62170936009685052</v>
      </c>
      <c r="D2" s="4">
        <v>0.14775265203560989</v>
      </c>
      <c r="E2" s="4">
        <v>0.1742153356522137</v>
      </c>
      <c r="F2" s="27">
        <f>1-C2-D2-E2</f>
        <v>5.6322652215325897E-2</v>
      </c>
    </row>
    <row r="3" spans="1:18" x14ac:dyDescent="0.15">
      <c r="C3" s="26" t="s">
        <v>58</v>
      </c>
      <c r="D3" s="26" t="s">
        <v>59</v>
      </c>
      <c r="E3" s="26" t="s">
        <v>60</v>
      </c>
      <c r="F3" s="26" t="s">
        <v>61</v>
      </c>
    </row>
    <row r="4" spans="1:18" x14ac:dyDescent="0.15">
      <c r="A4" s="34">
        <v>33970</v>
      </c>
      <c r="B4" s="6" t="s">
        <v>36</v>
      </c>
      <c r="C4" s="2">
        <f>SOJA!K2</f>
        <v>221.58835021451307</v>
      </c>
      <c r="D4" s="7">
        <f>TRIGO!K2</f>
        <v>130.91755387442217</v>
      </c>
      <c r="E4" s="2">
        <f>MAIZ!K2</f>
        <v>122.60532823160173</v>
      </c>
      <c r="F4" s="3">
        <f>GIRASOL!K2</f>
        <v>210.55906581469566</v>
      </c>
      <c r="G4" s="3"/>
      <c r="H4" s="3"/>
      <c r="J4" s="5"/>
      <c r="K4" s="25">
        <f>+C4*C$2+D4*D$2+E4*E$2+F4*F$2</f>
        <v>190.32594064502575</v>
      </c>
      <c r="L4" s="10">
        <f>+AVERAGE(K4:K111)</f>
        <v>178.61765507110297</v>
      </c>
      <c r="M4" s="10">
        <f>+AVERAGE(K112:K279)</f>
        <v>266.2412214050475</v>
      </c>
      <c r="N4" s="6" t="s">
        <v>36</v>
      </c>
      <c r="P4" s="10"/>
      <c r="Q4" s="10"/>
    </row>
    <row r="5" spans="1:18" x14ac:dyDescent="0.15">
      <c r="A5" s="34">
        <v>34001</v>
      </c>
      <c r="B5" t="s">
        <v>1</v>
      </c>
      <c r="C5" s="2">
        <f>SOJA!K3</f>
        <v>204.14004509820097</v>
      </c>
      <c r="D5" s="7">
        <f>TRIGO!K3</f>
        <v>132.08606481774157</v>
      </c>
      <c r="E5" s="2">
        <f>MAIZ!K3</f>
        <v>97.00070385052895</v>
      </c>
      <c r="F5" s="3">
        <f>GIRASOL!K3</f>
        <v>210.114875686441</v>
      </c>
      <c r="G5" s="3"/>
      <c r="H5" s="3"/>
      <c r="J5" s="5"/>
      <c r="K5" s="25">
        <f t="shared" ref="K5:K68" si="0">+C5*C$2+D5*D$2+E5*E$2+F5*F$2</f>
        <v>175.16508043028824</v>
      </c>
      <c r="L5" s="10">
        <f>+L4</f>
        <v>178.61765507110297</v>
      </c>
      <c r="M5" s="10">
        <f>+M4</f>
        <v>266.2412214050475</v>
      </c>
      <c r="N5" t="s">
        <v>1</v>
      </c>
      <c r="P5" s="10"/>
      <c r="Q5" s="10"/>
    </row>
    <row r="6" spans="1:18" x14ac:dyDescent="0.15">
      <c r="A6" s="34">
        <v>34029</v>
      </c>
      <c r="B6" t="s">
        <v>2</v>
      </c>
      <c r="C6" s="2">
        <f>SOJA!K4</f>
        <v>201.73564775898609</v>
      </c>
      <c r="D6" s="7">
        <f>TRIGO!K4</f>
        <v>126.04635108379198</v>
      </c>
      <c r="E6" s="2">
        <f>MAIZ!K4</f>
        <v>86.080434886492085</v>
      </c>
      <c r="F6" s="3">
        <f>GIRASOL!K4</f>
        <v>207.66904916366215</v>
      </c>
      <c r="G6" s="3"/>
      <c r="H6" s="3"/>
      <c r="J6" s="5"/>
      <c r="K6" s="25">
        <f t="shared" si="0"/>
        <v>170.73762661777582</v>
      </c>
      <c r="L6" s="10">
        <f t="shared" ref="L6:M21" si="1">+L5</f>
        <v>178.61765507110297</v>
      </c>
      <c r="M6" s="10">
        <f t="shared" si="1"/>
        <v>266.2412214050475</v>
      </c>
      <c r="N6" t="s">
        <v>2</v>
      </c>
      <c r="P6" s="10"/>
      <c r="Q6" s="10"/>
    </row>
    <row r="7" spans="1:18" x14ac:dyDescent="0.15">
      <c r="A7" s="34">
        <v>34060</v>
      </c>
      <c r="B7" t="s">
        <v>3</v>
      </c>
      <c r="C7" s="2">
        <f>SOJA!K5</f>
        <v>203.45604127290216</v>
      </c>
      <c r="D7" s="7">
        <f>TRIGO!K5</f>
        <v>128.73115405369953</v>
      </c>
      <c r="E7" s="2">
        <f>MAIZ!K5</f>
        <v>92.240433219579998</v>
      </c>
      <c r="F7" s="3">
        <f>GIRASOL!K5</f>
        <v>220.08466003078357</v>
      </c>
      <c r="G7" s="3"/>
      <c r="H7" s="3"/>
      <c r="J7" s="5"/>
      <c r="K7" s="25">
        <f t="shared" si="0"/>
        <v>173.97634443754995</v>
      </c>
      <c r="L7" s="10">
        <f t="shared" si="1"/>
        <v>178.61765507110297</v>
      </c>
      <c r="M7" s="10">
        <f t="shared" si="1"/>
        <v>266.2412214050475</v>
      </c>
      <c r="N7" t="s">
        <v>3</v>
      </c>
      <c r="P7" s="10"/>
      <c r="Q7" s="10"/>
    </row>
    <row r="8" spans="1:18" x14ac:dyDescent="0.15">
      <c r="A8" s="34">
        <v>34090</v>
      </c>
      <c r="B8" t="s">
        <v>2</v>
      </c>
      <c r="C8" s="2">
        <f>SOJA!K6</f>
        <v>205.74874891513875</v>
      </c>
      <c r="D8" s="7">
        <f>TRIGO!K6</f>
        <v>133.13183782487266</v>
      </c>
      <c r="E8" s="2">
        <f>MAIZ!K6</f>
        <v>96.095161136750207</v>
      </c>
      <c r="F8" s="3">
        <f>GIRASOL!K6</f>
        <v>236.65935908079339</v>
      </c>
      <c r="G8" s="3"/>
      <c r="H8" s="3"/>
      <c r="J8" s="5"/>
      <c r="K8" s="25">
        <f t="shared" si="0"/>
        <v>177.65703866476011</v>
      </c>
      <c r="L8" s="10">
        <f t="shared" si="1"/>
        <v>178.61765507110297</v>
      </c>
      <c r="M8" s="10">
        <f t="shared" si="1"/>
        <v>266.2412214050475</v>
      </c>
      <c r="N8" t="s">
        <v>2</v>
      </c>
      <c r="P8" s="10"/>
      <c r="Q8" s="10"/>
    </row>
    <row r="9" spans="1:18" x14ac:dyDescent="0.15">
      <c r="A9" s="34">
        <v>34121</v>
      </c>
      <c r="B9" t="s">
        <v>4</v>
      </c>
      <c r="C9" s="2">
        <f>SOJA!K7</f>
        <v>209.05177021232251</v>
      </c>
      <c r="D9" s="7">
        <f>TRIGO!K7</f>
        <v>136.1415245476455</v>
      </c>
      <c r="E9" s="2">
        <f>MAIZ!K7</f>
        <v>96.392174314756303</v>
      </c>
      <c r="F9" s="3">
        <f>GIRASOL!K7</f>
        <v>237.82036244337607</v>
      </c>
      <c r="G9" s="3"/>
      <c r="H9" s="3"/>
      <c r="J9" s="5"/>
      <c r="K9" s="25">
        <f t="shared" si="0"/>
        <v>180.27238215601551</v>
      </c>
      <c r="L9" s="10">
        <f t="shared" si="1"/>
        <v>178.61765507110297</v>
      </c>
      <c r="M9" s="10">
        <f t="shared" si="1"/>
        <v>266.2412214050475</v>
      </c>
      <c r="N9" t="s">
        <v>4</v>
      </c>
      <c r="P9" s="10"/>
      <c r="Q9" s="10"/>
    </row>
    <row r="10" spans="1:18" x14ac:dyDescent="0.15">
      <c r="A10" s="34">
        <v>34151</v>
      </c>
      <c r="B10" t="s">
        <v>4</v>
      </c>
      <c r="C10" s="2">
        <f>SOJA!K8</f>
        <v>241.74957956906985</v>
      </c>
      <c r="D10" s="7">
        <f>TRIGO!K8</f>
        <v>135.65582912188481</v>
      </c>
      <c r="E10" s="2">
        <f>MAIZ!K8</f>
        <v>105.95017310979325</v>
      </c>
      <c r="F10" s="3">
        <f>GIRASOL!K8</f>
        <v>243.66064343918109</v>
      </c>
      <c r="G10" s="3"/>
      <c r="H10" s="3"/>
      <c r="J10" s="5"/>
      <c r="K10" s="25">
        <f t="shared" si="0"/>
        <v>202.52324358413736</v>
      </c>
      <c r="L10" s="10">
        <f t="shared" si="1"/>
        <v>178.61765507110297</v>
      </c>
      <c r="M10" s="10">
        <f t="shared" si="1"/>
        <v>266.2412214050475</v>
      </c>
      <c r="N10" t="s">
        <v>4</v>
      </c>
      <c r="P10" s="10"/>
      <c r="Q10" s="10"/>
    </row>
    <row r="11" spans="1:18" x14ac:dyDescent="0.15">
      <c r="A11" s="34">
        <v>34182</v>
      </c>
      <c r="B11" t="s">
        <v>3</v>
      </c>
      <c r="C11" s="2">
        <f>SOJA!K9</f>
        <v>238.1872632356899</v>
      </c>
      <c r="D11" s="7">
        <f>TRIGO!K9</f>
        <v>134.81269242796606</v>
      </c>
      <c r="E11" s="2">
        <f>MAIZ!K9</f>
        <v>121.92618506352815</v>
      </c>
      <c r="F11" s="3">
        <f>GIRASOL!K9</f>
        <v>239.14383859005014</v>
      </c>
      <c r="G11" s="3"/>
      <c r="H11" s="3"/>
      <c r="J11" s="5"/>
      <c r="K11" s="25">
        <f t="shared" si="0"/>
        <v>202.71281034975573</v>
      </c>
      <c r="L11" s="10">
        <f t="shared" si="1"/>
        <v>178.61765507110297</v>
      </c>
      <c r="M11" s="10">
        <f t="shared" si="1"/>
        <v>266.2412214050475</v>
      </c>
      <c r="N11" t="s">
        <v>3</v>
      </c>
      <c r="P11" s="10"/>
      <c r="Q11" s="10"/>
    </row>
    <row r="12" spans="1:18" x14ac:dyDescent="0.15">
      <c r="A12" s="34">
        <v>34213</v>
      </c>
      <c r="B12" t="s">
        <v>5</v>
      </c>
      <c r="C12" s="2">
        <f>SOJA!K10</f>
        <v>227.89159265756416</v>
      </c>
      <c r="D12" s="7">
        <f>TRIGO!K10</f>
        <v>136.77431510967796</v>
      </c>
      <c r="E12" s="2">
        <f>MAIZ!K10</f>
        <v>122.0144969323746</v>
      </c>
      <c r="F12" s="3">
        <f>GIRASOL!K10</f>
        <v>244.98346210688146</v>
      </c>
      <c r="G12" s="3"/>
      <c r="H12" s="3"/>
      <c r="J12" s="5"/>
      <c r="K12" s="25">
        <f t="shared" si="0"/>
        <v>196.94601890265744</v>
      </c>
      <c r="L12" s="10">
        <f t="shared" si="1"/>
        <v>178.61765507110297</v>
      </c>
      <c r="M12" s="10">
        <f t="shared" si="1"/>
        <v>266.2412214050475</v>
      </c>
      <c r="N12" t="s">
        <v>5</v>
      </c>
      <c r="P12" s="10"/>
      <c r="Q12" s="10"/>
    </row>
    <row r="13" spans="1:18" x14ac:dyDescent="0.15">
      <c r="A13" s="34">
        <v>34243</v>
      </c>
      <c r="B13" t="s">
        <v>6</v>
      </c>
      <c r="C13" s="2">
        <f>SOJA!K11</f>
        <v>217.78709498558837</v>
      </c>
      <c r="D13" s="7">
        <f>TRIGO!K11</f>
        <v>131.89447916494822</v>
      </c>
      <c r="E13" s="2">
        <f>MAIZ!K11</f>
        <v>127.0094984551353</v>
      </c>
      <c r="F13" s="3">
        <f>GIRASOL!K11</f>
        <v>240.41432563344171</v>
      </c>
      <c r="G13" s="3"/>
      <c r="H13" s="3"/>
      <c r="J13" s="5"/>
      <c r="K13" s="25">
        <f t="shared" si="0"/>
        <v>190.5558094009339</v>
      </c>
      <c r="L13" s="10">
        <f t="shared" si="1"/>
        <v>178.61765507110297</v>
      </c>
      <c r="M13" s="10">
        <f t="shared" si="1"/>
        <v>266.2412214050475</v>
      </c>
      <c r="N13" t="s">
        <v>6</v>
      </c>
      <c r="P13" s="10"/>
      <c r="Q13" s="10"/>
    </row>
    <row r="14" spans="1:18" x14ac:dyDescent="0.15">
      <c r="A14" s="34">
        <v>34274</v>
      </c>
      <c r="B14" t="s">
        <v>7</v>
      </c>
      <c r="C14" s="2">
        <f>SOJA!K12</f>
        <v>227.80030839490283</v>
      </c>
      <c r="D14" s="7">
        <f>TRIGO!K12</f>
        <v>124.85950188218885</v>
      </c>
      <c r="E14" s="2">
        <f>MAIZ!K12</f>
        <v>130.71229103291645</v>
      </c>
      <c r="F14" s="3">
        <f>GIRASOL!K12</f>
        <v>245.68545657466794</v>
      </c>
      <c r="G14" s="3"/>
      <c r="H14" s="3"/>
      <c r="J14" s="5"/>
      <c r="K14" s="25">
        <f t="shared" si="0"/>
        <v>196.68364867818684</v>
      </c>
      <c r="L14" s="10">
        <f t="shared" si="1"/>
        <v>178.61765507110297</v>
      </c>
      <c r="M14" s="10">
        <f t="shared" si="1"/>
        <v>266.2412214050475</v>
      </c>
      <c r="N14" t="s">
        <v>7</v>
      </c>
      <c r="P14" s="10"/>
      <c r="Q14" s="10"/>
    </row>
    <row r="15" spans="1:18" x14ac:dyDescent="0.15">
      <c r="A15" s="34">
        <v>34304</v>
      </c>
      <c r="B15" s="6" t="s">
        <v>37</v>
      </c>
      <c r="C15" s="2">
        <f>SOJA!K13</f>
        <v>228.78911372901524</v>
      </c>
      <c r="D15" s="7">
        <f>TRIGO!K13</f>
        <v>120.00708325835892</v>
      </c>
      <c r="E15" s="2">
        <f>MAIZ!K13</f>
        <v>132.69075872468954</v>
      </c>
      <c r="F15" s="3">
        <f>GIRASOL!K13</f>
        <v>289.98784785406048</v>
      </c>
      <c r="G15" s="3"/>
      <c r="H15" s="3"/>
      <c r="J15" s="5"/>
      <c r="K15" s="25">
        <f t="shared" si="0"/>
        <v>199.4213480785962</v>
      </c>
      <c r="L15" s="10">
        <f t="shared" si="1"/>
        <v>178.61765507110297</v>
      </c>
      <c r="M15" s="10">
        <f t="shared" si="1"/>
        <v>266.2412214050475</v>
      </c>
      <c r="N15" s="6" t="s">
        <v>37</v>
      </c>
      <c r="P15" s="10"/>
      <c r="Q15" s="10"/>
    </row>
    <row r="16" spans="1:18" x14ac:dyDescent="0.15">
      <c r="A16" s="34">
        <v>34335</v>
      </c>
      <c r="B16" s="6" t="s">
        <v>38</v>
      </c>
      <c r="C16" s="2">
        <f>SOJA!K14</f>
        <v>231.37519409342573</v>
      </c>
      <c r="D16" s="7">
        <f>TRIGO!K14</f>
        <v>116.95953195674245</v>
      </c>
      <c r="E16" s="2">
        <f>MAIZ!K14</f>
        <v>123.78217132088575</v>
      </c>
      <c r="F16" s="3">
        <f>GIRASOL!K14</f>
        <v>272.75937515078647</v>
      </c>
      <c r="G16" s="3"/>
      <c r="H16" s="3"/>
      <c r="J16" s="5"/>
      <c r="K16" s="25">
        <f t="shared" si="0"/>
        <v>198.05648883907594</v>
      </c>
      <c r="L16" s="10">
        <f t="shared" si="1"/>
        <v>178.61765507110297</v>
      </c>
      <c r="M16" s="10">
        <f t="shared" si="1"/>
        <v>266.2412214050475</v>
      </c>
      <c r="N16" s="6" t="s">
        <v>38</v>
      </c>
      <c r="P16" s="10"/>
      <c r="Q16" s="10"/>
      <c r="R16" s="2">
        <v>120.75238095238095</v>
      </c>
    </row>
    <row r="17" spans="1:18" x14ac:dyDescent="0.15">
      <c r="A17" s="34">
        <v>34366</v>
      </c>
      <c r="B17" t="s">
        <v>1</v>
      </c>
      <c r="C17" s="2">
        <f>SOJA!K15</f>
        <v>223.95366530066346</v>
      </c>
      <c r="D17" s="7">
        <f>TRIGO!K15</f>
        <v>113.1128365693254</v>
      </c>
      <c r="E17" s="2">
        <f>MAIZ!K15</f>
        <v>112.13772590924499</v>
      </c>
      <c r="F17" s="3">
        <f>GIRASOL!K15</f>
        <v>256.88802784487871</v>
      </c>
      <c r="G17" s="3"/>
      <c r="H17" s="3"/>
      <c r="J17" s="5"/>
      <c r="K17" s="25">
        <f t="shared" si="0"/>
        <v>189.9515381369512</v>
      </c>
      <c r="L17" s="10">
        <f t="shared" si="1"/>
        <v>178.61765507110297</v>
      </c>
      <c r="M17" s="10">
        <f t="shared" si="1"/>
        <v>266.2412214050475</v>
      </c>
      <c r="N17" t="s">
        <v>1</v>
      </c>
      <c r="P17" s="10"/>
      <c r="Q17" s="10"/>
      <c r="R17" s="2">
        <v>110.30500000000002</v>
      </c>
    </row>
    <row r="18" spans="1:18" x14ac:dyDescent="0.15">
      <c r="A18" s="34">
        <v>34394</v>
      </c>
      <c r="B18" t="s">
        <v>2</v>
      </c>
      <c r="C18" s="2">
        <f>SOJA!K16</f>
        <v>224.92605115719539</v>
      </c>
      <c r="D18" s="7">
        <f>TRIGO!K16</f>
        <v>114.10387835927703</v>
      </c>
      <c r="E18" s="2">
        <f>MAIZ!K16</f>
        <v>105.32665694702494</v>
      </c>
      <c r="F18" s="3">
        <f>GIRASOL!K16</f>
        <v>253.15944669993956</v>
      </c>
      <c r="G18" s="3"/>
      <c r="H18" s="3"/>
      <c r="J18" s="5"/>
      <c r="K18" s="25">
        <f t="shared" si="0"/>
        <v>189.30591233383976</v>
      </c>
      <c r="L18" s="10">
        <f t="shared" si="1"/>
        <v>178.61765507110297</v>
      </c>
      <c r="M18" s="10">
        <f t="shared" si="1"/>
        <v>266.2412214050475</v>
      </c>
      <c r="N18" t="s">
        <v>2</v>
      </c>
      <c r="P18" s="10"/>
      <c r="Q18" s="10"/>
      <c r="R18" s="2">
        <v>103.74545454545455</v>
      </c>
    </row>
    <row r="19" spans="1:18" x14ac:dyDescent="0.15">
      <c r="A19" s="34">
        <v>34425</v>
      </c>
      <c r="B19" t="s">
        <v>3</v>
      </c>
      <c r="C19" s="2">
        <f>SOJA!K17</f>
        <v>214.96963115776782</v>
      </c>
      <c r="D19" s="7">
        <f>TRIGO!K17</f>
        <v>118.67907324591116</v>
      </c>
      <c r="E19" s="2">
        <f>MAIZ!K17</f>
        <v>103.11460462349658</v>
      </c>
      <c r="F19" s="3">
        <f>GIRASOL!K17</f>
        <v>236.56046747492357</v>
      </c>
      <c r="G19" s="3"/>
      <c r="H19" s="3"/>
      <c r="J19" s="5"/>
      <c r="K19" s="25">
        <f t="shared" si="0"/>
        <v>182.47163803317636</v>
      </c>
      <c r="L19" s="10">
        <f t="shared" si="1"/>
        <v>178.61765507110297</v>
      </c>
      <c r="M19" s="10">
        <f t="shared" si="1"/>
        <v>266.2412214050475</v>
      </c>
      <c r="N19" t="s">
        <v>3</v>
      </c>
      <c r="P19" s="10"/>
      <c r="Q19" s="10"/>
      <c r="R19" s="2">
        <v>100.66</v>
      </c>
    </row>
    <row r="20" spans="1:18" x14ac:dyDescent="0.15">
      <c r="A20" s="34">
        <v>34455</v>
      </c>
      <c r="B20" t="s">
        <v>2</v>
      </c>
      <c r="C20" s="2">
        <f>SOJA!K18</f>
        <v>222.31135941495447</v>
      </c>
      <c r="D20" s="7">
        <f>TRIGO!K18</f>
        <v>124.86683225727838</v>
      </c>
      <c r="E20" s="2">
        <f>MAIZ!K18</f>
        <v>105.50763345770035</v>
      </c>
      <c r="F20" s="3">
        <f>GIRASOL!K18</f>
        <v>247.53155565110475</v>
      </c>
      <c r="G20" s="3"/>
      <c r="H20" s="3"/>
      <c r="J20" s="5"/>
      <c r="K20" s="25">
        <f t="shared" si="0"/>
        <v>188.98514011939056</v>
      </c>
      <c r="L20" s="10">
        <f t="shared" si="1"/>
        <v>178.61765507110297</v>
      </c>
      <c r="M20" s="10">
        <f t="shared" si="1"/>
        <v>266.2412214050475</v>
      </c>
      <c r="N20" t="s">
        <v>2</v>
      </c>
      <c r="P20" s="10"/>
      <c r="Q20" s="10"/>
      <c r="R20" s="2">
        <v>107.75238095238095</v>
      </c>
    </row>
    <row r="21" spans="1:18" x14ac:dyDescent="0.15">
      <c r="A21" s="34">
        <v>34486</v>
      </c>
      <c r="B21" t="s">
        <v>4</v>
      </c>
      <c r="C21" s="2">
        <f>SOJA!K19</f>
        <v>224.94544639078552</v>
      </c>
      <c r="D21" s="7">
        <f>TRIGO!K19</f>
        <v>126.18444515562413</v>
      </c>
      <c r="E21" s="2">
        <f>MAIZ!K19</f>
        <v>105.95640432915005</v>
      </c>
      <c r="F21" s="3">
        <f>GIRASOL!K19</f>
        <v>246.32455906428996</v>
      </c>
      <c r="G21" s="3"/>
      <c r="H21" s="3"/>
      <c r="J21" s="5"/>
      <c r="K21" s="25">
        <f t="shared" si="0"/>
        <v>190.82765896667718</v>
      </c>
      <c r="L21" s="10">
        <f t="shared" si="1"/>
        <v>178.61765507110297</v>
      </c>
      <c r="M21" s="10">
        <f t="shared" si="1"/>
        <v>266.2412214050475</v>
      </c>
      <c r="N21" t="s">
        <v>4</v>
      </c>
      <c r="P21" s="10"/>
      <c r="Q21" s="10"/>
      <c r="R21" s="2">
        <v>108.61500000000001</v>
      </c>
    </row>
    <row r="22" spans="1:18" x14ac:dyDescent="0.15">
      <c r="A22" s="34">
        <v>34516</v>
      </c>
      <c r="B22" t="s">
        <v>4</v>
      </c>
      <c r="C22" s="2">
        <f>SOJA!K20</f>
        <v>207.30647276750216</v>
      </c>
      <c r="D22" s="7">
        <f>TRIGO!K20</f>
        <v>125.07609871061732</v>
      </c>
      <c r="E22" s="2">
        <f>MAIZ!K20</f>
        <v>98.34227608544721</v>
      </c>
      <c r="F22" s="3">
        <f>GIRASOL!K20</f>
        <v>230.34052529722462</v>
      </c>
      <c r="G22" s="3"/>
      <c r="H22" s="3"/>
      <c r="J22" s="5"/>
      <c r="K22" s="25">
        <f t="shared" si="0"/>
        <v>177.47082175342027</v>
      </c>
      <c r="L22" s="10">
        <f t="shared" ref="L22:M37" si="2">+L21</f>
        <v>178.61765507110297</v>
      </c>
      <c r="M22" s="10">
        <f t="shared" si="2"/>
        <v>266.2412214050475</v>
      </c>
      <c r="N22" t="s">
        <v>4</v>
      </c>
      <c r="P22" s="10"/>
      <c r="Q22" s="10"/>
      <c r="R22" s="2">
        <v>103.53333333333333</v>
      </c>
    </row>
    <row r="23" spans="1:18" x14ac:dyDescent="0.15">
      <c r="A23" s="34">
        <v>34547</v>
      </c>
      <c r="B23" t="s">
        <v>3</v>
      </c>
      <c r="C23" s="2">
        <f>SOJA!K21</f>
        <v>206.34079944846195</v>
      </c>
      <c r="D23" s="7">
        <f>TRIGO!K21</f>
        <v>122.59280658077877</v>
      </c>
      <c r="E23" s="2">
        <f>MAIZ!K21</f>
        <v>95.983515229912072</v>
      </c>
      <c r="F23" s="3">
        <f>GIRASOL!K21</f>
        <v>224.68220384388079</v>
      </c>
      <c r="G23" s="3"/>
      <c r="H23" s="3"/>
      <c r="J23" s="5"/>
      <c r="K23" s="25">
        <f t="shared" si="0"/>
        <v>175.77391662870482</v>
      </c>
      <c r="L23" s="10">
        <f t="shared" si="2"/>
        <v>178.61765507110297</v>
      </c>
      <c r="M23" s="10">
        <f t="shared" si="2"/>
        <v>266.2412214050475</v>
      </c>
      <c r="N23" t="s">
        <v>3</v>
      </c>
      <c r="P23" s="10"/>
      <c r="Q23" s="10"/>
      <c r="R23" s="2">
        <v>99.61818181818181</v>
      </c>
    </row>
    <row r="24" spans="1:18" x14ac:dyDescent="0.15">
      <c r="A24" s="34">
        <v>34578</v>
      </c>
      <c r="B24" t="s">
        <v>5</v>
      </c>
      <c r="C24" s="2">
        <f>SOJA!K22</f>
        <v>211.07741224233462</v>
      </c>
      <c r="D24" s="7">
        <f>TRIGO!K22</f>
        <v>132.56549677647018</v>
      </c>
      <c r="E24" s="2">
        <f>MAIZ!K22</f>
        <v>104.1586046100837</v>
      </c>
      <c r="F24" s="3">
        <f>GIRASOL!K22</f>
        <v>223.86998268126399</v>
      </c>
      <c r="G24" s="3"/>
      <c r="H24" s="3"/>
      <c r="J24" s="5"/>
      <c r="K24" s="25">
        <f t="shared" si="0"/>
        <v>181.57068405244235</v>
      </c>
      <c r="L24" s="10">
        <f t="shared" si="2"/>
        <v>178.61765507110297</v>
      </c>
      <c r="M24" s="10">
        <f t="shared" si="2"/>
        <v>266.2412214050475</v>
      </c>
      <c r="N24" t="s">
        <v>5</v>
      </c>
      <c r="P24" s="10"/>
      <c r="Q24" s="10"/>
      <c r="R24" s="2">
        <v>107.98636363636363</v>
      </c>
    </row>
    <row r="25" spans="1:18" x14ac:dyDescent="0.15">
      <c r="A25" s="34">
        <v>34608</v>
      </c>
      <c r="B25" t="s">
        <v>6</v>
      </c>
      <c r="C25" s="2">
        <f>SOJA!K23</f>
        <v>209.45829172260989</v>
      </c>
      <c r="D25" s="7">
        <f>TRIGO!K23</f>
        <v>144.38891026609286</v>
      </c>
      <c r="E25" s="2">
        <f>MAIZ!K23</f>
        <v>109.47133065925996</v>
      </c>
      <c r="F25" s="3">
        <f>GIRASOL!K23</f>
        <v>218.565173971419</v>
      </c>
      <c r="G25" s="3"/>
      <c r="H25" s="3"/>
      <c r="J25" s="5"/>
      <c r="K25" s="25">
        <f t="shared" si="0"/>
        <v>182.93777982526203</v>
      </c>
      <c r="L25" s="10">
        <f t="shared" si="2"/>
        <v>178.61765507110297</v>
      </c>
      <c r="M25" s="10">
        <f t="shared" si="2"/>
        <v>266.2412214050475</v>
      </c>
      <c r="N25" t="s">
        <v>6</v>
      </c>
      <c r="P25" s="10"/>
      <c r="Q25" s="10"/>
      <c r="R25" s="2">
        <v>114.745</v>
      </c>
    </row>
    <row r="26" spans="1:18" x14ac:dyDescent="0.15">
      <c r="A26" s="34">
        <v>34639</v>
      </c>
      <c r="B26" t="s">
        <v>7</v>
      </c>
      <c r="C26" s="2">
        <f>SOJA!K24</f>
        <v>205.79189501206318</v>
      </c>
      <c r="D26" s="7">
        <f>TRIGO!K24</f>
        <v>144.37232306316506</v>
      </c>
      <c r="E26" s="2">
        <f>MAIZ!K24</f>
        <v>116.06402442332876</v>
      </c>
      <c r="F26" s="3">
        <f>GIRASOL!K24</f>
        <v>227.64590156201677</v>
      </c>
      <c r="G26" s="3"/>
      <c r="H26" s="3"/>
      <c r="J26" s="5"/>
      <c r="K26" s="25">
        <f t="shared" si="0"/>
        <v>182.31589488817127</v>
      </c>
      <c r="L26" s="10">
        <f t="shared" si="2"/>
        <v>178.61765507110297</v>
      </c>
      <c r="M26" s="10">
        <f t="shared" si="2"/>
        <v>266.2412214050475</v>
      </c>
      <c r="N26" t="s">
        <v>7</v>
      </c>
      <c r="P26" s="10"/>
      <c r="Q26" s="10"/>
      <c r="R26" s="2">
        <v>117.43181818181819</v>
      </c>
    </row>
    <row r="27" spans="1:18" x14ac:dyDescent="0.15">
      <c r="A27" s="34">
        <v>34669</v>
      </c>
      <c r="B27" s="6" t="s">
        <v>39</v>
      </c>
      <c r="C27" s="2">
        <f>SOJA!K25</f>
        <v>206.46352923728554</v>
      </c>
      <c r="D27" s="7">
        <f>TRIGO!K25</f>
        <v>128.18260243441526</v>
      </c>
      <c r="E27" s="2">
        <f>MAIZ!K25</f>
        <v>120.64244935003788</v>
      </c>
      <c r="F27" s="3">
        <f>GIRASOL!K25</f>
        <v>224.65414855334592</v>
      </c>
      <c r="G27" s="3"/>
      <c r="H27" s="3"/>
      <c r="J27" s="5"/>
      <c r="K27" s="25">
        <f t="shared" si="0"/>
        <v>180.97051038508354</v>
      </c>
      <c r="L27" s="10">
        <f t="shared" si="2"/>
        <v>178.61765507110297</v>
      </c>
      <c r="M27" s="10">
        <f t="shared" si="2"/>
        <v>266.2412214050475</v>
      </c>
      <c r="N27" s="6" t="s">
        <v>39</v>
      </c>
      <c r="P27" s="10"/>
      <c r="Q27" s="10"/>
      <c r="R27" s="2">
        <v>124.43999999999997</v>
      </c>
    </row>
    <row r="28" spans="1:18" x14ac:dyDescent="0.15">
      <c r="A28" s="34">
        <v>34700</v>
      </c>
      <c r="B28" s="6" t="s">
        <v>40</v>
      </c>
      <c r="C28" s="2">
        <f>SOJA!K26</f>
        <v>215.61578602805858</v>
      </c>
      <c r="D28" s="7">
        <f>TRIGO!K26</f>
        <v>121.95884270153573</v>
      </c>
      <c r="E28" s="2">
        <f>MAIZ!K26</f>
        <v>119.16589210531734</v>
      </c>
      <c r="F28" s="3">
        <f>GIRASOL!K26</f>
        <v>213.81898781115808</v>
      </c>
      <c r="G28" s="3"/>
      <c r="H28" s="3"/>
      <c r="J28" s="5"/>
      <c r="K28" s="25">
        <f t="shared" si="0"/>
        <v>184.87347318557363</v>
      </c>
      <c r="L28" s="10">
        <f t="shared" si="2"/>
        <v>178.61765507110297</v>
      </c>
      <c r="M28" s="10">
        <f t="shared" si="2"/>
        <v>266.2412214050475</v>
      </c>
      <c r="N28" s="6" t="s">
        <v>40</v>
      </c>
      <c r="P28" s="10"/>
      <c r="Q28" s="10"/>
      <c r="R28" s="2">
        <v>115.73181818181818</v>
      </c>
    </row>
    <row r="29" spans="1:18" x14ac:dyDescent="0.15">
      <c r="A29" s="34">
        <v>34731</v>
      </c>
      <c r="B29" t="s">
        <v>1</v>
      </c>
      <c r="C29" s="2">
        <f>SOJA!K27</f>
        <v>189.57058692294814</v>
      </c>
      <c r="D29" s="7">
        <f>TRIGO!K27</f>
        <v>121.96423095993029</v>
      </c>
      <c r="E29" s="2">
        <f>MAIZ!K27</f>
        <v>97.757589700707484</v>
      </c>
      <c r="F29" s="3">
        <f>GIRASOL!K27</f>
        <v>205.74248533343658</v>
      </c>
      <c r="G29" s="3"/>
      <c r="H29" s="3"/>
      <c r="J29" s="5"/>
      <c r="K29" s="25">
        <f t="shared" si="0"/>
        <v>164.4971806164759</v>
      </c>
      <c r="L29" s="10">
        <f t="shared" si="2"/>
        <v>178.61765507110297</v>
      </c>
      <c r="M29" s="10">
        <f t="shared" si="2"/>
        <v>266.2412214050475</v>
      </c>
      <c r="N29" t="s">
        <v>1</v>
      </c>
      <c r="P29" s="10"/>
      <c r="Q29" s="10"/>
      <c r="R29" s="2">
        <v>95.135000000000005</v>
      </c>
    </row>
    <row r="30" spans="1:18" x14ac:dyDescent="0.15">
      <c r="A30" s="34">
        <v>34759</v>
      </c>
      <c r="B30" t="s">
        <v>2</v>
      </c>
      <c r="C30" s="2">
        <f>SOJA!K28</f>
        <v>188.05868540565555</v>
      </c>
      <c r="D30" s="7">
        <f>TRIGO!K28</f>
        <v>117.11506414760333</v>
      </c>
      <c r="E30" s="2">
        <f>MAIZ!K28</f>
        <v>91.818210291721016</v>
      </c>
      <c r="F30" s="3">
        <f>GIRASOL!K28</f>
        <v>205.23712301482598</v>
      </c>
      <c r="G30" s="3"/>
      <c r="H30" s="3"/>
      <c r="J30" s="5"/>
      <c r="K30" s="25">
        <f t="shared" si="0"/>
        <v>161.7775457115298</v>
      </c>
      <c r="L30" s="10">
        <f t="shared" si="2"/>
        <v>178.61765507110297</v>
      </c>
      <c r="M30" s="10">
        <f t="shared" si="2"/>
        <v>266.2412214050475</v>
      </c>
      <c r="N30" t="s">
        <v>2</v>
      </c>
      <c r="P30" s="10"/>
      <c r="Q30" s="10"/>
      <c r="R30" s="2">
        <v>88.347826086956516</v>
      </c>
    </row>
    <row r="31" spans="1:18" x14ac:dyDescent="0.15">
      <c r="A31" s="34">
        <v>34790</v>
      </c>
      <c r="B31" t="s">
        <v>3</v>
      </c>
      <c r="C31" s="2">
        <f>SOJA!K29</f>
        <v>184.98589891027504</v>
      </c>
      <c r="D31" s="7">
        <f>TRIGO!K29</f>
        <v>113.52824421275496</v>
      </c>
      <c r="E31" s="2">
        <f>MAIZ!K29</f>
        <v>94.917056636893491</v>
      </c>
      <c r="F31" s="3">
        <f>GIRASOL!K29</f>
        <v>207.43564392365792</v>
      </c>
      <c r="G31" s="3"/>
      <c r="H31" s="3"/>
      <c r="J31" s="5"/>
      <c r="K31" s="25">
        <f t="shared" si="0"/>
        <v>160.00089651271966</v>
      </c>
      <c r="L31" s="10">
        <f t="shared" si="2"/>
        <v>178.61765507110297</v>
      </c>
      <c r="M31" s="10">
        <f t="shared" si="2"/>
        <v>266.2412214050475</v>
      </c>
      <c r="N31" t="s">
        <v>3</v>
      </c>
      <c r="P31" s="10"/>
      <c r="Q31" s="10"/>
      <c r="R31" s="2">
        <v>92.14444444444446</v>
      </c>
    </row>
    <row r="32" spans="1:18" x14ac:dyDescent="0.15">
      <c r="A32" s="34">
        <v>34820</v>
      </c>
      <c r="B32" t="s">
        <v>2</v>
      </c>
      <c r="C32" s="2">
        <f>SOJA!K30</f>
        <v>182.95041550049524</v>
      </c>
      <c r="D32" s="7">
        <f>TRIGO!K30</f>
        <v>130.10798623422397</v>
      </c>
      <c r="E32" s="2">
        <f>MAIZ!K30</f>
        <v>103.15704622856329</v>
      </c>
      <c r="F32" s="3">
        <f>GIRASOL!K30</f>
        <v>214.33896717950176</v>
      </c>
      <c r="G32" s="3"/>
      <c r="H32" s="3"/>
      <c r="J32" s="5"/>
      <c r="K32" s="25">
        <f t="shared" si="0"/>
        <v>163.00946430562834</v>
      </c>
      <c r="L32" s="10">
        <f t="shared" si="2"/>
        <v>178.61765507110297</v>
      </c>
      <c r="M32" s="10">
        <f t="shared" si="2"/>
        <v>266.2412214050475</v>
      </c>
      <c r="N32" t="s">
        <v>2</v>
      </c>
      <c r="P32" s="10"/>
      <c r="Q32" s="10"/>
      <c r="R32" s="2">
        <v>102.17619047619047</v>
      </c>
    </row>
    <row r="33" spans="1:18" x14ac:dyDescent="0.15">
      <c r="A33" s="34">
        <v>34851</v>
      </c>
      <c r="B33" t="s">
        <v>4</v>
      </c>
      <c r="C33" s="2">
        <f>SOJA!K31</f>
        <v>191.21384969579725</v>
      </c>
      <c r="D33" s="7">
        <f>TRIGO!K31</f>
        <v>158.14714270979852</v>
      </c>
      <c r="E33" s="2">
        <f>MAIZ!K31</f>
        <v>120.00577299743534</v>
      </c>
      <c r="F33" s="3">
        <f>GIRASOL!K31</f>
        <v>236.99744751028393</v>
      </c>
      <c r="G33" s="3"/>
      <c r="H33" s="3"/>
      <c r="J33" s="5"/>
      <c r="K33" s="25">
        <f t="shared" si="0"/>
        <v>176.50127071824949</v>
      </c>
      <c r="L33" s="10">
        <f t="shared" si="2"/>
        <v>178.61765507110297</v>
      </c>
      <c r="M33" s="10">
        <f t="shared" si="2"/>
        <v>266.2412214050475</v>
      </c>
      <c r="N33" t="s">
        <v>4</v>
      </c>
      <c r="P33" s="10"/>
      <c r="Q33" s="10"/>
      <c r="R33" s="2">
        <v>120.87619047619046</v>
      </c>
    </row>
    <row r="34" spans="1:18" x14ac:dyDescent="0.15">
      <c r="A34" s="34">
        <v>34881</v>
      </c>
      <c r="B34" t="s">
        <v>4</v>
      </c>
      <c r="C34" s="2">
        <f>SOJA!K32</f>
        <v>209.2319877566708</v>
      </c>
      <c r="D34" s="7">
        <f>TRIGO!K32</f>
        <v>198.28902785495572</v>
      </c>
      <c r="E34" s="2">
        <f>MAIZ!K32</f>
        <v>126.94204119686417</v>
      </c>
      <c r="F34" s="3">
        <f>GIRASOL!K32</f>
        <v>266.45783056191402</v>
      </c>
      <c r="G34" s="3"/>
      <c r="H34" s="3"/>
      <c r="J34" s="5"/>
      <c r="K34" s="25">
        <f t="shared" si="0"/>
        <v>196.50207699140225</v>
      </c>
      <c r="L34" s="10">
        <f t="shared" si="2"/>
        <v>178.61765507110297</v>
      </c>
      <c r="M34" s="10">
        <f t="shared" si="2"/>
        <v>266.2412214050475</v>
      </c>
      <c r="N34" t="s">
        <v>4</v>
      </c>
      <c r="P34" s="10"/>
      <c r="Q34" s="10"/>
      <c r="R34" s="2">
        <v>129.79999999999998</v>
      </c>
    </row>
    <row r="35" spans="1:18" x14ac:dyDescent="0.15">
      <c r="A35" s="34">
        <v>34912</v>
      </c>
      <c r="B35" t="s">
        <v>3</v>
      </c>
      <c r="C35" s="2">
        <f>SOJA!K33</f>
        <v>211.63026474696898</v>
      </c>
      <c r="D35" s="7">
        <f>TRIGO!K33</f>
        <v>204.43777221539113</v>
      </c>
      <c r="E35" s="2">
        <f>MAIZ!K33</f>
        <v>124.52118853119279</v>
      </c>
      <c r="F35" s="3">
        <f>GIRASOL!K33</f>
        <v>253.7769700143738</v>
      </c>
      <c r="G35" s="3"/>
      <c r="H35" s="3"/>
      <c r="J35" s="5"/>
      <c r="K35" s="25">
        <f t="shared" si="0"/>
        <v>197.76563217219419</v>
      </c>
      <c r="L35" s="10">
        <f t="shared" si="2"/>
        <v>178.61765507110297</v>
      </c>
      <c r="M35" s="10">
        <f t="shared" si="2"/>
        <v>266.2412214050475</v>
      </c>
      <c r="N35" t="s">
        <v>3</v>
      </c>
      <c r="P35" s="10"/>
      <c r="Q35" s="10"/>
      <c r="R35" s="2">
        <v>128.04285714285714</v>
      </c>
    </row>
    <row r="36" spans="1:18" x14ac:dyDescent="0.15">
      <c r="A36" s="34">
        <v>34943</v>
      </c>
      <c r="B36" t="s">
        <v>5</v>
      </c>
      <c r="C36" s="2">
        <f>SOJA!K34</f>
        <v>215.58070580104848</v>
      </c>
      <c r="D36" s="7">
        <f>TRIGO!K34</f>
        <v>203.93333165450807</v>
      </c>
      <c r="E36" s="2">
        <f>MAIZ!K34</f>
        <v>130.70272619675291</v>
      </c>
      <c r="F36" s="3">
        <f>GIRASOL!K34</f>
        <v>245.9945813082503</v>
      </c>
      <c r="G36" s="3"/>
      <c r="H36" s="3"/>
      <c r="J36" s="5"/>
      <c r="K36" s="25">
        <f t="shared" si="0"/>
        <v>200.78571980811435</v>
      </c>
      <c r="L36" s="10">
        <f t="shared" si="2"/>
        <v>178.61765507110297</v>
      </c>
      <c r="M36" s="10">
        <f t="shared" si="2"/>
        <v>266.2412214050475</v>
      </c>
      <c r="N36" t="s">
        <v>5</v>
      </c>
      <c r="P36" s="10"/>
      <c r="Q36" s="10"/>
      <c r="R36" s="2">
        <v>136.90952380952382</v>
      </c>
    </row>
    <row r="37" spans="1:18" x14ac:dyDescent="0.15">
      <c r="A37" s="34">
        <v>34973</v>
      </c>
      <c r="B37" t="s">
        <v>6</v>
      </c>
      <c r="C37" s="2">
        <f>SOJA!K35</f>
        <v>230.09712884563854</v>
      </c>
      <c r="D37" s="7">
        <f>TRIGO!K35</f>
        <v>204.2473610269756</v>
      </c>
      <c r="E37" s="2">
        <f>MAIZ!K35</f>
        <v>135.85684195006974</v>
      </c>
      <c r="F37" s="3">
        <f>GIRASOL!K35</f>
        <v>245.25856756802557</v>
      </c>
      <c r="G37" s="3"/>
      <c r="H37" s="3"/>
      <c r="J37" s="5"/>
      <c r="K37" s="25">
        <f t="shared" si="0"/>
        <v>210.71358632269889</v>
      </c>
      <c r="L37" s="10">
        <f t="shared" si="2"/>
        <v>178.61765507110297</v>
      </c>
      <c r="M37" s="10">
        <f t="shared" si="2"/>
        <v>266.2412214050475</v>
      </c>
      <c r="N37" t="s">
        <v>6</v>
      </c>
      <c r="P37" s="10"/>
      <c r="Q37" s="10"/>
      <c r="R37" s="2">
        <v>144.02857142857141</v>
      </c>
    </row>
    <row r="38" spans="1:18" x14ac:dyDescent="0.15">
      <c r="A38" s="34">
        <v>35004</v>
      </c>
      <c r="B38" t="s">
        <v>7</v>
      </c>
      <c r="C38" s="2">
        <f>SOJA!K36</f>
        <v>234.25926619094429</v>
      </c>
      <c r="D38" s="7">
        <f>TRIGO!K36</f>
        <v>198.28138656354892</v>
      </c>
      <c r="E38" s="2">
        <f>MAIZ!K36</f>
        <v>137.12918323086564</v>
      </c>
      <c r="F38" s="3">
        <f>GIRASOL!K36</f>
        <v>244.09457889361752</v>
      </c>
      <c r="G38" s="3"/>
      <c r="H38" s="3"/>
      <c r="J38" s="5"/>
      <c r="K38" s="25">
        <f t="shared" si="0"/>
        <v>212.57583995334284</v>
      </c>
      <c r="L38" s="10">
        <f t="shared" ref="L38:M53" si="3">+L37</f>
        <v>178.61765507110297</v>
      </c>
      <c r="M38" s="10">
        <f t="shared" si="3"/>
        <v>266.2412214050475</v>
      </c>
      <c r="N38" t="s">
        <v>7</v>
      </c>
      <c r="P38" s="10"/>
      <c r="Q38" s="10"/>
      <c r="R38" s="2">
        <v>141</v>
      </c>
    </row>
    <row r="39" spans="1:18" x14ac:dyDescent="0.15">
      <c r="A39" s="34">
        <v>35034</v>
      </c>
      <c r="B39" s="6" t="s">
        <v>41</v>
      </c>
      <c r="C39" s="2">
        <f>SOJA!K37</f>
        <v>243.05665231350011</v>
      </c>
      <c r="D39" s="7">
        <f>TRIGO!K37</f>
        <v>200.0161418001982</v>
      </c>
      <c r="E39" s="2">
        <f>MAIZ!K37</f>
        <v>134.27009518994785</v>
      </c>
      <c r="F39" s="3">
        <f>GIRASOL!K37</f>
        <v>220.71688647586225</v>
      </c>
      <c r="G39" s="3"/>
      <c r="H39" s="3"/>
      <c r="J39" s="5"/>
      <c r="K39" s="25">
        <f t="shared" si="0"/>
        <v>216.48678131461972</v>
      </c>
      <c r="L39" s="10">
        <f t="shared" si="3"/>
        <v>178.61765507110297</v>
      </c>
      <c r="M39" s="10">
        <f t="shared" si="3"/>
        <v>266.2412214050475</v>
      </c>
      <c r="N39" s="6" t="s">
        <v>41</v>
      </c>
      <c r="P39" s="10"/>
      <c r="Q39" s="10"/>
      <c r="R39" s="2">
        <v>137.5611111111111</v>
      </c>
    </row>
    <row r="40" spans="1:18" x14ac:dyDescent="0.15">
      <c r="A40" s="34">
        <v>35065</v>
      </c>
      <c r="B40" s="6" t="s">
        <v>42</v>
      </c>
      <c r="C40" s="2">
        <f>SOJA!K38</f>
        <v>244.78281637918184</v>
      </c>
      <c r="D40" s="7">
        <f>TRIGO!K38</f>
        <v>205.69597005203036</v>
      </c>
      <c r="E40" s="2">
        <f>MAIZ!K38</f>
        <v>141.1277283316621</v>
      </c>
      <c r="F40" s="3">
        <f>GIRASOL!K38</f>
        <v>218.07923641054384</v>
      </c>
      <c r="G40" s="3"/>
      <c r="H40" s="3"/>
      <c r="J40" s="5"/>
      <c r="K40" s="25">
        <f t="shared" si="0"/>
        <v>219.44530877090074</v>
      </c>
      <c r="L40" s="10">
        <f t="shared" si="3"/>
        <v>178.61765507110297</v>
      </c>
      <c r="M40" s="10">
        <f t="shared" si="3"/>
        <v>266.2412214050475</v>
      </c>
      <c r="N40" s="6" t="s">
        <v>42</v>
      </c>
      <c r="O40" s="2">
        <v>131.21308389153378</v>
      </c>
      <c r="P40" s="10">
        <f>+AVERAGE(O40:O111)</f>
        <v>94.61497453232208</v>
      </c>
      <c r="Q40" s="10">
        <f>+AVERAGE(O112:O280)</f>
        <v>141.16194247050137</v>
      </c>
      <c r="R40" s="2">
        <v>148.6</v>
      </c>
    </row>
    <row r="41" spans="1:18" x14ac:dyDescent="0.15">
      <c r="A41" s="34">
        <v>35096</v>
      </c>
      <c r="B41" t="s">
        <v>1</v>
      </c>
      <c r="C41" s="2">
        <f>SOJA!K39</f>
        <v>243.83803089407158</v>
      </c>
      <c r="D41" s="7">
        <f>TRIGO!K39</f>
        <v>224.91465583806635</v>
      </c>
      <c r="E41" s="2">
        <f>MAIZ!K39</f>
        <v>149.94310389204423</v>
      </c>
      <c r="F41" s="3">
        <f>GIRASOL!K39</f>
        <v>211.68356528166652</v>
      </c>
      <c r="G41" s="3"/>
      <c r="H41" s="3"/>
      <c r="J41" s="5"/>
      <c r="K41" s="25">
        <f t="shared" si="0"/>
        <v>222.87309103652686</v>
      </c>
      <c r="L41" s="10">
        <f t="shared" si="3"/>
        <v>178.61765507110297</v>
      </c>
      <c r="M41" s="10">
        <f t="shared" si="3"/>
        <v>266.2412214050475</v>
      </c>
      <c r="N41" t="s">
        <v>1</v>
      </c>
      <c r="O41" s="2">
        <v>144.34737483610184</v>
      </c>
      <c r="P41" s="10">
        <f t="shared" ref="P41:Q56" si="4">+P40</f>
        <v>94.61497453232208</v>
      </c>
      <c r="Q41" s="10">
        <f t="shared" si="4"/>
        <v>141.16194247050137</v>
      </c>
      <c r="R41" s="2">
        <v>160.29523809523812</v>
      </c>
    </row>
    <row r="42" spans="1:18" x14ac:dyDescent="0.15">
      <c r="A42" s="34">
        <v>35125</v>
      </c>
      <c r="B42" t="s">
        <v>2</v>
      </c>
      <c r="C42" s="2">
        <f>SOJA!K40</f>
        <v>240.80928147804758</v>
      </c>
      <c r="D42" s="7">
        <f>TRIGO!K40</f>
        <v>229.05839936431715</v>
      </c>
      <c r="E42" s="2">
        <f>MAIZ!K40</f>
        <v>153.63673128094445</v>
      </c>
      <c r="F42" s="3">
        <f>GIRASOL!K40</f>
        <v>209.3603081506906</v>
      </c>
      <c r="G42" s="3"/>
      <c r="H42" s="3"/>
      <c r="J42" s="5"/>
      <c r="K42" s="25">
        <f t="shared" si="0"/>
        <v>222.11497280249256</v>
      </c>
      <c r="L42" s="10">
        <f t="shared" si="3"/>
        <v>178.61765507110297</v>
      </c>
      <c r="M42" s="10">
        <f t="shared" si="3"/>
        <v>266.2412214050475</v>
      </c>
      <c r="N42" t="s">
        <v>2</v>
      </c>
      <c r="O42" s="2">
        <v>145.99639979449464</v>
      </c>
      <c r="P42" s="10">
        <f t="shared" si="4"/>
        <v>94.61497453232208</v>
      </c>
      <c r="Q42" s="10">
        <f t="shared" si="4"/>
        <v>141.16194247050137</v>
      </c>
      <c r="R42" s="2">
        <v>156.39523809523808</v>
      </c>
    </row>
    <row r="43" spans="1:18" x14ac:dyDescent="0.15">
      <c r="A43" s="34">
        <v>35156</v>
      </c>
      <c r="B43" t="s">
        <v>3</v>
      </c>
      <c r="C43" s="2">
        <f>SOJA!K41</f>
        <v>260.39826327761267</v>
      </c>
      <c r="D43" s="7">
        <f>TRIGO!K41</f>
        <v>245.64996071213056</v>
      </c>
      <c r="E43" s="2">
        <f>MAIZ!K41</f>
        <v>174.93254777985055</v>
      </c>
      <c r="F43" s="3">
        <f>GIRASOL!K41</f>
        <v>221.78748630886318</v>
      </c>
      <c r="G43" s="3"/>
      <c r="H43" s="3"/>
      <c r="J43" s="5"/>
      <c r="K43" s="25">
        <f t="shared" si="0"/>
        <v>241.15506278536549</v>
      </c>
      <c r="L43" s="10">
        <f t="shared" si="3"/>
        <v>178.61765507110297</v>
      </c>
      <c r="M43" s="10">
        <f t="shared" si="3"/>
        <v>266.2412214050475</v>
      </c>
      <c r="N43" t="s">
        <v>3</v>
      </c>
      <c r="O43" s="2">
        <v>167.00998550827455</v>
      </c>
      <c r="P43" s="10">
        <f t="shared" si="4"/>
        <v>94.61497453232208</v>
      </c>
      <c r="Q43" s="10">
        <f t="shared" si="4"/>
        <v>141.16194247050137</v>
      </c>
    </row>
    <row r="44" spans="1:18" x14ac:dyDescent="0.15">
      <c r="A44" s="34">
        <v>35186</v>
      </c>
      <c r="B44" t="s">
        <v>2</v>
      </c>
      <c r="C44" s="2">
        <f>SOJA!K42</f>
        <v>264.43714082609898</v>
      </c>
      <c r="D44" s="7">
        <f>TRIGO!K42</f>
        <v>264.70744067749501</v>
      </c>
      <c r="E44" s="2">
        <f>MAIZ!K42</f>
        <v>183.61748525868492</v>
      </c>
      <c r="F44" s="3">
        <f>GIRASOL!K42</f>
        <v>236.55431305191848</v>
      </c>
      <c r="G44" s="3"/>
      <c r="H44" s="3"/>
      <c r="J44" s="5"/>
      <c r="K44" s="25">
        <f t="shared" si="0"/>
        <v>248.8266201125092</v>
      </c>
      <c r="L44" s="10">
        <f t="shared" si="3"/>
        <v>178.61765507110297</v>
      </c>
      <c r="M44" s="10">
        <f t="shared" si="3"/>
        <v>266.2412214050475</v>
      </c>
      <c r="N44" t="s">
        <v>2</v>
      </c>
      <c r="O44" s="2">
        <v>175.33256494097458</v>
      </c>
      <c r="P44" s="10">
        <f t="shared" si="4"/>
        <v>94.61497453232208</v>
      </c>
      <c r="Q44" s="10">
        <f t="shared" si="4"/>
        <v>141.16194247050137</v>
      </c>
    </row>
    <row r="45" spans="1:18" x14ac:dyDescent="0.15">
      <c r="A45" s="34">
        <v>35217</v>
      </c>
      <c r="B45" t="s">
        <v>4</v>
      </c>
      <c r="C45" s="2">
        <f>SOJA!K43</f>
        <v>255.5893070841272</v>
      </c>
      <c r="D45" s="7">
        <f>TRIGO!K43</f>
        <v>245.27471270205598</v>
      </c>
      <c r="E45" s="2">
        <f>MAIZ!K43</f>
        <v>173.46424548510419</v>
      </c>
      <c r="F45" s="3">
        <f>GIRASOL!K43</f>
        <v>239.3899848041473</v>
      </c>
      <c r="G45" s="3"/>
      <c r="H45" s="3"/>
      <c r="J45" s="5"/>
      <c r="K45" s="25">
        <f t="shared" si="0"/>
        <v>238.84546444267278</v>
      </c>
      <c r="L45" s="10">
        <f t="shared" si="3"/>
        <v>178.61765507110297</v>
      </c>
      <c r="M45" s="10">
        <f t="shared" si="3"/>
        <v>266.2412214050475</v>
      </c>
      <c r="N45" t="s">
        <v>4</v>
      </c>
      <c r="O45" s="2">
        <v>163.38970930081388</v>
      </c>
      <c r="P45" s="10">
        <f t="shared" si="4"/>
        <v>94.61497453232208</v>
      </c>
      <c r="Q45" s="10">
        <f t="shared" si="4"/>
        <v>141.16194247050137</v>
      </c>
    </row>
    <row r="46" spans="1:18" x14ac:dyDescent="0.15">
      <c r="A46" s="34">
        <v>35247</v>
      </c>
      <c r="B46" t="s">
        <v>4</v>
      </c>
      <c r="C46" s="2">
        <f>SOJA!K44</f>
        <v>255.29366128642278</v>
      </c>
      <c r="D46" s="7">
        <f>TRIGO!K44</f>
        <v>216.28369449954189</v>
      </c>
      <c r="E46" s="2">
        <f>MAIZ!K44</f>
        <v>168.94262832153058</v>
      </c>
      <c r="F46" s="3">
        <f>GIRASOL!K44</f>
        <v>231.10794600665639</v>
      </c>
      <c r="G46" s="3"/>
      <c r="H46" s="3"/>
      <c r="J46" s="5"/>
      <c r="K46" s="25">
        <f t="shared" si="0"/>
        <v>233.12395741566479</v>
      </c>
      <c r="L46" s="10">
        <f t="shared" si="3"/>
        <v>178.61765507110297</v>
      </c>
      <c r="M46" s="10">
        <f t="shared" si="3"/>
        <v>266.2412214050475</v>
      </c>
      <c r="N46" t="s">
        <v>4</v>
      </c>
      <c r="O46" s="2">
        <v>158.93986778978459</v>
      </c>
      <c r="P46" s="10">
        <f t="shared" si="4"/>
        <v>94.61497453232208</v>
      </c>
      <c r="Q46" s="10">
        <f t="shared" si="4"/>
        <v>141.16194247050137</v>
      </c>
    </row>
    <row r="47" spans="1:18" x14ac:dyDescent="0.15">
      <c r="A47" s="34">
        <v>35278</v>
      </c>
      <c r="B47" t="s">
        <v>3</v>
      </c>
      <c r="C47" s="2">
        <f>SOJA!K45</f>
        <v>264.3926408074467</v>
      </c>
      <c r="D47" s="7">
        <f>TRIGO!K45</f>
        <v>193.18053671010421</v>
      </c>
      <c r="E47" s="2">
        <f>MAIZ!K45</f>
        <v>161.60294897864486</v>
      </c>
      <c r="F47" s="3">
        <f>GIRASOL!K45</f>
        <v>233.92026864658843</v>
      </c>
      <c r="G47" s="3"/>
      <c r="H47" s="3"/>
      <c r="J47" s="5"/>
      <c r="K47" s="25">
        <f t="shared" si="0"/>
        <v>234.2470380870941</v>
      </c>
      <c r="L47" s="10">
        <f t="shared" si="3"/>
        <v>178.61765507110297</v>
      </c>
      <c r="M47" s="10">
        <f t="shared" si="3"/>
        <v>266.2412214050475</v>
      </c>
      <c r="N47" t="s">
        <v>3</v>
      </c>
      <c r="O47" s="2">
        <v>150.21339400729528</v>
      </c>
      <c r="P47" s="10">
        <f t="shared" si="4"/>
        <v>94.61497453232208</v>
      </c>
      <c r="Q47" s="10">
        <f t="shared" si="4"/>
        <v>141.16194247050137</v>
      </c>
    </row>
    <row r="48" spans="1:18" x14ac:dyDescent="0.15">
      <c r="A48" s="34">
        <v>35309</v>
      </c>
      <c r="B48" t="s">
        <v>5</v>
      </c>
      <c r="C48" s="2">
        <f>SOJA!K46</f>
        <v>276.18305079214048</v>
      </c>
      <c r="D48" s="7">
        <f>TRIGO!K46</f>
        <v>165.79226350015307</v>
      </c>
      <c r="E48" s="2">
        <f>MAIZ!K46</f>
        <v>144.48934696102725</v>
      </c>
      <c r="F48" s="3">
        <f>GIRASOL!K46</f>
        <v>235.06842187162761</v>
      </c>
      <c r="G48" s="3"/>
      <c r="H48" s="3"/>
      <c r="J48" s="5"/>
      <c r="K48" s="25">
        <f t="shared" si="0"/>
        <v>234.61377144757759</v>
      </c>
      <c r="L48" s="10">
        <f t="shared" si="3"/>
        <v>178.61765507110297</v>
      </c>
      <c r="M48" s="10">
        <f t="shared" si="3"/>
        <v>266.2412214050475</v>
      </c>
      <c r="N48" t="s">
        <v>5</v>
      </c>
      <c r="O48" s="2">
        <v>134.62572361149614</v>
      </c>
      <c r="P48" s="10">
        <f t="shared" si="4"/>
        <v>94.61497453232208</v>
      </c>
      <c r="Q48" s="10">
        <f t="shared" si="4"/>
        <v>141.16194247050137</v>
      </c>
    </row>
    <row r="49" spans="1:17" x14ac:dyDescent="0.15">
      <c r="A49" s="34">
        <v>35339</v>
      </c>
      <c r="B49" t="s">
        <v>6</v>
      </c>
      <c r="C49" s="2">
        <f>SOJA!K47</f>
        <v>270.18976693528703</v>
      </c>
      <c r="D49" s="7">
        <f>TRIGO!K47</f>
        <v>156.57301738137033</v>
      </c>
      <c r="E49" s="2">
        <f>MAIZ!K47</f>
        <v>131.70553815021151</v>
      </c>
      <c r="F49" s="3">
        <f>GIRASOL!K47</f>
        <v>216.86283925069091</v>
      </c>
      <c r="G49" s="3"/>
      <c r="H49" s="3"/>
      <c r="J49" s="5"/>
      <c r="K49" s="25">
        <f t="shared" si="0"/>
        <v>226.27300047100891</v>
      </c>
      <c r="L49" s="10">
        <f t="shared" si="3"/>
        <v>178.61765507110297</v>
      </c>
      <c r="M49" s="10">
        <f t="shared" si="3"/>
        <v>266.2412214050475</v>
      </c>
      <c r="N49" t="s">
        <v>6</v>
      </c>
      <c r="O49" s="2">
        <v>116.29804983782745</v>
      </c>
      <c r="P49" s="10">
        <f t="shared" si="4"/>
        <v>94.61497453232208</v>
      </c>
      <c r="Q49" s="10">
        <f t="shared" si="4"/>
        <v>141.16194247050137</v>
      </c>
    </row>
    <row r="50" spans="1:17" x14ac:dyDescent="0.15">
      <c r="A50" s="34">
        <v>35370</v>
      </c>
      <c r="B50" t="s">
        <v>7</v>
      </c>
      <c r="C50" s="2">
        <f>SOJA!K48</f>
        <v>270.51142167938383</v>
      </c>
      <c r="D50" s="7">
        <f>TRIGO!K48</f>
        <v>146.61615778232215</v>
      </c>
      <c r="E50" s="2">
        <f>MAIZ!K48</f>
        <v>117.10850338587996</v>
      </c>
      <c r="F50" s="3">
        <f>GIRASOL!K48</f>
        <v>210.00228788267955</v>
      </c>
      <c r="G50" s="3"/>
      <c r="H50" s="3"/>
      <c r="J50" s="5"/>
      <c r="K50" s="25">
        <f t="shared" si="0"/>
        <v>222.07239206472693</v>
      </c>
      <c r="L50" s="10">
        <f t="shared" si="3"/>
        <v>178.61765507110297</v>
      </c>
      <c r="M50" s="10">
        <f t="shared" si="3"/>
        <v>266.2412214050475</v>
      </c>
      <c r="N50" t="s">
        <v>7</v>
      </c>
      <c r="O50" s="2">
        <v>104.36323107268717</v>
      </c>
      <c r="P50" s="10">
        <f t="shared" si="4"/>
        <v>94.61497453232208</v>
      </c>
      <c r="Q50" s="10">
        <f t="shared" si="4"/>
        <v>141.16194247050137</v>
      </c>
    </row>
    <row r="51" spans="1:17" x14ac:dyDescent="0.15">
      <c r="A51" s="34">
        <v>35400</v>
      </c>
      <c r="B51" s="6" t="s">
        <v>43</v>
      </c>
      <c r="C51" s="2">
        <f>SOJA!K49</f>
        <v>271.52671249883991</v>
      </c>
      <c r="D51" s="7">
        <f>TRIGO!K49</f>
        <v>128.65493945097748</v>
      </c>
      <c r="E51" s="2">
        <f>MAIZ!K49</f>
        <v>114.77131289151946</v>
      </c>
      <c r="F51" s="3">
        <f>GIRASOL!K49</f>
        <v>209.89729420140586</v>
      </c>
      <c r="G51" s="3"/>
      <c r="H51" s="3"/>
      <c r="J51" s="5"/>
      <c r="K51" s="25">
        <f t="shared" si="0"/>
        <v>219.63670227910302</v>
      </c>
      <c r="L51" s="10">
        <f t="shared" si="3"/>
        <v>178.61765507110297</v>
      </c>
      <c r="M51" s="10">
        <f t="shared" si="3"/>
        <v>266.2412214050475</v>
      </c>
      <c r="N51" s="6" t="s">
        <v>43</v>
      </c>
      <c r="O51" s="2">
        <v>98.988957037435725</v>
      </c>
      <c r="P51" s="10">
        <f t="shared" si="4"/>
        <v>94.61497453232208</v>
      </c>
      <c r="Q51" s="10">
        <f t="shared" si="4"/>
        <v>141.16194247050137</v>
      </c>
    </row>
    <row r="52" spans="1:17" x14ac:dyDescent="0.15">
      <c r="A52" s="34">
        <v>35431</v>
      </c>
      <c r="B52" s="6" t="s">
        <v>44</v>
      </c>
      <c r="C52" s="2">
        <f>SOJA!K50</f>
        <v>268.16421398525313</v>
      </c>
      <c r="D52" s="7">
        <f>TRIGO!K50</f>
        <v>132.50402091025788</v>
      </c>
      <c r="E52" s="2">
        <f>MAIZ!K50</f>
        <v>105.81918336583095</v>
      </c>
      <c r="F52" s="3">
        <f>GIRASOL!K50</f>
        <v>207.78286778989815</v>
      </c>
      <c r="G52" s="3"/>
      <c r="H52" s="3"/>
      <c r="J52" s="5"/>
      <c r="K52" s="25">
        <f t="shared" si="0"/>
        <v>216.43622911987396</v>
      </c>
      <c r="L52" s="10">
        <f t="shared" si="3"/>
        <v>178.61765507110297</v>
      </c>
      <c r="M52" s="10">
        <f t="shared" si="3"/>
        <v>266.2412214050475</v>
      </c>
      <c r="N52" s="6" t="s">
        <v>44</v>
      </c>
      <c r="O52" s="2">
        <v>95.01025109375685</v>
      </c>
      <c r="P52" s="10">
        <f t="shared" si="4"/>
        <v>94.61497453232208</v>
      </c>
      <c r="Q52" s="10">
        <f t="shared" si="4"/>
        <v>141.16194247050137</v>
      </c>
    </row>
    <row r="53" spans="1:17" x14ac:dyDescent="0.15">
      <c r="A53" s="34">
        <v>35462</v>
      </c>
      <c r="B53" t="s">
        <v>1</v>
      </c>
      <c r="C53" s="2">
        <f>SOJA!K51</f>
        <v>267.19051296936266</v>
      </c>
      <c r="D53" s="7">
        <f>TRIGO!K51</f>
        <v>136.60702890037072</v>
      </c>
      <c r="E53" s="2">
        <f>MAIZ!K51</f>
        <v>104.51812949424337</v>
      </c>
      <c r="F53" s="3">
        <f>GIRASOL!K51</f>
        <v>198.1810427322425</v>
      </c>
      <c r="G53" s="3"/>
      <c r="H53" s="3"/>
      <c r="J53" s="5"/>
      <c r="K53" s="25">
        <f t="shared" si="0"/>
        <v>215.66963660592657</v>
      </c>
      <c r="L53" s="10">
        <f t="shared" si="3"/>
        <v>178.61765507110297</v>
      </c>
      <c r="M53" s="10">
        <f t="shared" si="3"/>
        <v>266.2412214050475</v>
      </c>
      <c r="N53" t="s">
        <v>1</v>
      </c>
      <c r="O53" s="2">
        <v>96.169494437043369</v>
      </c>
      <c r="P53" s="10">
        <f t="shared" si="4"/>
        <v>94.61497453232208</v>
      </c>
      <c r="Q53" s="10">
        <f t="shared" si="4"/>
        <v>141.16194247050137</v>
      </c>
    </row>
    <row r="54" spans="1:17" x14ac:dyDescent="0.15">
      <c r="A54" s="34">
        <v>35490</v>
      </c>
      <c r="B54" t="s">
        <v>2</v>
      </c>
      <c r="C54" s="2">
        <f>SOJA!K52</f>
        <v>269.43027781973808</v>
      </c>
      <c r="D54" s="7">
        <f>TRIGO!K52</f>
        <v>154.80526915205797</v>
      </c>
      <c r="E54" s="2">
        <f>MAIZ!K52</f>
        <v>111.49665218689891</v>
      </c>
      <c r="F54" s="3">
        <f>GIRASOL!K52</f>
        <v>211.63170336995927</v>
      </c>
      <c r="G54" s="3"/>
      <c r="H54" s="3"/>
      <c r="J54" s="5"/>
      <c r="K54" s="25">
        <f t="shared" si="0"/>
        <v>221.72430019181093</v>
      </c>
      <c r="L54" s="10">
        <f t="shared" ref="L54:M69" si="5">+L53</f>
        <v>178.61765507110297</v>
      </c>
      <c r="M54" s="10">
        <f t="shared" si="5"/>
        <v>266.2412214050475</v>
      </c>
      <c r="N54" t="s">
        <v>2</v>
      </c>
      <c r="O54" s="2">
        <v>104.23479138857583</v>
      </c>
      <c r="P54" s="10">
        <f t="shared" si="4"/>
        <v>94.61497453232208</v>
      </c>
      <c r="Q54" s="10">
        <f t="shared" si="4"/>
        <v>141.16194247050137</v>
      </c>
    </row>
    <row r="55" spans="1:17" x14ac:dyDescent="0.15">
      <c r="A55" s="34">
        <v>35521</v>
      </c>
      <c r="B55" t="s">
        <v>3</v>
      </c>
      <c r="C55" s="2">
        <f>SOJA!K53</f>
        <v>278.32528420769864</v>
      </c>
      <c r="D55" s="7">
        <f>TRIGO!K53</f>
        <v>168.24499045370382</v>
      </c>
      <c r="E55" s="2">
        <f>MAIZ!K53</f>
        <v>110.00633991203711</v>
      </c>
      <c r="F55" s="3">
        <f>GIRASOL!K53</f>
        <v>225.69325930944788</v>
      </c>
      <c r="G55" s="3"/>
      <c r="H55" s="3"/>
      <c r="J55" s="5"/>
      <c r="K55" s="25">
        <f t="shared" si="0"/>
        <v>229.77251225785943</v>
      </c>
      <c r="L55" s="10">
        <f t="shared" si="5"/>
        <v>178.61765507110297</v>
      </c>
      <c r="M55" s="10">
        <f t="shared" si="5"/>
        <v>266.2412214050475</v>
      </c>
      <c r="N55" t="s">
        <v>3</v>
      </c>
      <c r="O55" s="2">
        <v>104.63593228634599</v>
      </c>
      <c r="P55" s="10">
        <f t="shared" si="4"/>
        <v>94.61497453232208</v>
      </c>
      <c r="Q55" s="10">
        <f t="shared" si="4"/>
        <v>141.16194247050137</v>
      </c>
    </row>
    <row r="56" spans="1:17" x14ac:dyDescent="0.15">
      <c r="A56" s="34">
        <v>35551</v>
      </c>
      <c r="B56" t="s">
        <v>2</v>
      </c>
      <c r="C56" s="2">
        <f>SOJA!K54</f>
        <v>282.15587637900586</v>
      </c>
      <c r="D56" s="7">
        <f>TRIGO!K54</f>
        <v>170.25211928161957</v>
      </c>
      <c r="E56" s="2">
        <f>MAIZ!K54</f>
        <v>107.33285780797756</v>
      </c>
      <c r="F56" s="3">
        <f>GIRASOL!K54</f>
        <v>238.40385757340047</v>
      </c>
      <c r="G56" s="3"/>
      <c r="H56" s="3"/>
      <c r="J56" s="5"/>
      <c r="K56" s="25">
        <f t="shared" si="0"/>
        <v>232.70071889612694</v>
      </c>
      <c r="L56" s="10">
        <f t="shared" si="5"/>
        <v>178.61765507110297</v>
      </c>
      <c r="M56" s="10">
        <f t="shared" si="5"/>
        <v>266.2412214050475</v>
      </c>
      <c r="N56" t="s">
        <v>2</v>
      </c>
      <c r="O56" s="2">
        <v>101.07467864955677</v>
      </c>
      <c r="P56" s="10">
        <f t="shared" si="4"/>
        <v>94.61497453232208</v>
      </c>
      <c r="Q56" s="10">
        <f t="shared" si="4"/>
        <v>141.16194247050137</v>
      </c>
    </row>
    <row r="57" spans="1:17" x14ac:dyDescent="0.15">
      <c r="A57" s="34">
        <v>35582</v>
      </c>
      <c r="B57" t="s">
        <v>4</v>
      </c>
      <c r="C57" s="2">
        <f>SOJA!K55</f>
        <v>266.39677576640702</v>
      </c>
      <c r="D57" s="7">
        <f>TRIGO!K55</f>
        <v>154.18670716893953</v>
      </c>
      <c r="E57" s="2">
        <f>MAIZ!K55</f>
        <v>105.25320130095274</v>
      </c>
      <c r="F57" s="3">
        <f>GIRASOL!K55</f>
        <v>234.32224758048508</v>
      </c>
      <c r="G57" s="3"/>
      <c r="H57" s="3"/>
      <c r="J57" s="5"/>
      <c r="K57" s="25">
        <f t="shared" si="0"/>
        <v>219.93723613635052</v>
      </c>
      <c r="L57" s="10">
        <f t="shared" si="5"/>
        <v>178.61765507110297</v>
      </c>
      <c r="M57" s="10">
        <f t="shared" si="5"/>
        <v>266.2412214050475</v>
      </c>
      <c r="N57" t="s">
        <v>4</v>
      </c>
      <c r="O57" s="2">
        <v>97.574766781729309</v>
      </c>
      <c r="P57" s="10">
        <f t="shared" ref="P57:Q72" si="6">+P56</f>
        <v>94.61497453232208</v>
      </c>
      <c r="Q57" s="10">
        <f t="shared" si="6"/>
        <v>141.16194247050137</v>
      </c>
    </row>
    <row r="58" spans="1:17" x14ac:dyDescent="0.15">
      <c r="A58" s="34">
        <v>35612</v>
      </c>
      <c r="B58" t="s">
        <v>4</v>
      </c>
      <c r="C58" s="2">
        <f>SOJA!K56</f>
        <v>251.68306759367385</v>
      </c>
      <c r="D58" s="7">
        <f>TRIGO!K56</f>
        <v>152.06322398050565</v>
      </c>
      <c r="E58" s="2">
        <f>MAIZ!K56</f>
        <v>99.532292059967332</v>
      </c>
      <c r="F58" s="3">
        <f>GIRASOL!K56</f>
        <v>224.11354428835978</v>
      </c>
      <c r="G58" s="3"/>
      <c r="H58" s="3"/>
      <c r="J58" s="5"/>
      <c r="K58" s="25">
        <f t="shared" si="0"/>
        <v>208.90418440223868</v>
      </c>
      <c r="L58" s="10">
        <f t="shared" si="5"/>
        <v>178.61765507110297</v>
      </c>
      <c r="M58" s="10">
        <f t="shared" si="5"/>
        <v>266.2412214050475</v>
      </c>
      <c r="N58" t="s">
        <v>4</v>
      </c>
      <c r="O58" s="2">
        <v>93.606733917394024</v>
      </c>
      <c r="P58" s="10">
        <f t="shared" si="6"/>
        <v>94.61497453232208</v>
      </c>
      <c r="Q58" s="10">
        <f t="shared" si="6"/>
        <v>141.16194247050137</v>
      </c>
    </row>
    <row r="59" spans="1:17" x14ac:dyDescent="0.15">
      <c r="A59" s="34">
        <v>35643</v>
      </c>
      <c r="B59" t="s">
        <v>3</v>
      </c>
      <c r="C59" s="2">
        <f>SOJA!K57</f>
        <v>262.78570291077364</v>
      </c>
      <c r="D59" s="7">
        <f>TRIGO!K57</f>
        <v>149.95823265108564</v>
      </c>
      <c r="E59" s="2">
        <f>MAIZ!K57</f>
        <v>103.03878562528584</v>
      </c>
      <c r="F59" s="3">
        <f>GIRASOL!K57</f>
        <v>221.94738421518042</v>
      </c>
      <c r="G59" s="3"/>
      <c r="H59" s="3"/>
      <c r="J59" s="5"/>
      <c r="K59" s="25">
        <f t="shared" si="0"/>
        <v>215.98465972218762</v>
      </c>
      <c r="L59" s="10">
        <f t="shared" si="5"/>
        <v>178.61765507110297</v>
      </c>
      <c r="M59" s="10">
        <f t="shared" si="5"/>
        <v>266.2412214050475</v>
      </c>
      <c r="N59" t="s">
        <v>3</v>
      </c>
      <c r="O59" s="2">
        <v>96.802680113144106</v>
      </c>
      <c r="P59" s="10">
        <f t="shared" si="6"/>
        <v>94.61497453232208</v>
      </c>
      <c r="Q59" s="10">
        <f t="shared" si="6"/>
        <v>141.16194247050137</v>
      </c>
    </row>
    <row r="60" spans="1:17" x14ac:dyDescent="0.15">
      <c r="A60" s="34">
        <v>35674</v>
      </c>
      <c r="B60" t="s">
        <v>5</v>
      </c>
      <c r="C60" s="2">
        <f>SOJA!K58</f>
        <v>268.24087079140435</v>
      </c>
      <c r="D60" s="7">
        <f>TRIGO!K58</f>
        <v>142.66662654039624</v>
      </c>
      <c r="E60" s="2">
        <f>MAIZ!K58</f>
        <v>103.0881430485444</v>
      </c>
      <c r="F60" s="3">
        <f>GIRASOL!K58</f>
        <v>222.0537009862619</v>
      </c>
      <c r="G60" s="3"/>
      <c r="H60" s="3"/>
      <c r="J60" s="5"/>
      <c r="K60" s="25">
        <f t="shared" si="0"/>
        <v>218.3134213766042</v>
      </c>
      <c r="L60" s="10">
        <f t="shared" si="5"/>
        <v>178.61765507110297</v>
      </c>
      <c r="M60" s="10">
        <f t="shared" si="5"/>
        <v>266.2412214050475</v>
      </c>
      <c r="N60" t="s">
        <v>5</v>
      </c>
      <c r="O60" s="2">
        <v>98.266953230772501</v>
      </c>
      <c r="P60" s="10">
        <f t="shared" si="6"/>
        <v>94.61497453232208</v>
      </c>
      <c r="Q60" s="10">
        <f t="shared" si="6"/>
        <v>141.16194247050137</v>
      </c>
    </row>
    <row r="61" spans="1:17" x14ac:dyDescent="0.15">
      <c r="A61" s="34">
        <v>35704</v>
      </c>
      <c r="B61" t="s">
        <v>6</v>
      </c>
      <c r="C61" s="2">
        <f>SOJA!K59</f>
        <v>268.84987633539129</v>
      </c>
      <c r="D61" s="7">
        <f>TRIGO!K59</f>
        <v>137.45541493316853</v>
      </c>
      <c r="E61" s="2">
        <f>MAIZ!K59</f>
        <v>109.77982803387285</v>
      </c>
      <c r="F61" s="3">
        <f>GIRASOL!K59</f>
        <v>218.10668775553265</v>
      </c>
      <c r="G61" s="3"/>
      <c r="H61" s="3"/>
      <c r="J61" s="5"/>
      <c r="K61" s="25">
        <f t="shared" si="0"/>
        <v>218.86556338067936</v>
      </c>
      <c r="L61" s="10">
        <f t="shared" si="5"/>
        <v>178.61765507110297</v>
      </c>
      <c r="M61" s="10">
        <f t="shared" si="5"/>
        <v>266.2412214050475</v>
      </c>
      <c r="N61" t="s">
        <v>6</v>
      </c>
      <c r="O61" s="2">
        <v>105.21742871863582</v>
      </c>
      <c r="P61" s="10">
        <f t="shared" si="6"/>
        <v>94.61497453232208</v>
      </c>
      <c r="Q61" s="10">
        <f t="shared" si="6"/>
        <v>141.16194247050137</v>
      </c>
    </row>
    <row r="62" spans="1:17" x14ac:dyDescent="0.15">
      <c r="A62" s="34">
        <v>35735</v>
      </c>
      <c r="B62" t="s">
        <v>7</v>
      </c>
      <c r="C62" s="2">
        <f>SOJA!K60</f>
        <v>267.77380608945253</v>
      </c>
      <c r="D62" s="7">
        <f>TRIGO!K60</f>
        <v>128.56842503085974</v>
      </c>
      <c r="E62" s="2">
        <f>MAIZ!K60</f>
        <v>109.14441837152123</v>
      </c>
      <c r="F62" s="3">
        <f>GIRASOL!K60</f>
        <v>232.96321129782365</v>
      </c>
      <c r="G62" s="3"/>
      <c r="H62" s="3"/>
      <c r="J62" s="5"/>
      <c r="K62" s="25">
        <f t="shared" si="0"/>
        <v>217.60954481097571</v>
      </c>
      <c r="L62" s="10">
        <f t="shared" si="5"/>
        <v>178.61765507110297</v>
      </c>
      <c r="M62" s="10">
        <f t="shared" si="5"/>
        <v>266.2412214050475</v>
      </c>
      <c r="N62" t="s">
        <v>7</v>
      </c>
      <c r="O62" s="2">
        <v>104.3586375232003</v>
      </c>
      <c r="P62" s="10">
        <f t="shared" si="6"/>
        <v>94.61497453232208</v>
      </c>
      <c r="Q62" s="10">
        <f t="shared" si="6"/>
        <v>141.16194247050137</v>
      </c>
    </row>
    <row r="63" spans="1:17" x14ac:dyDescent="0.15">
      <c r="A63" s="34">
        <v>35765</v>
      </c>
      <c r="B63" s="6" t="s">
        <v>45</v>
      </c>
      <c r="C63" s="2">
        <f>SOJA!K61</f>
        <v>267.21149731033074</v>
      </c>
      <c r="D63" s="7">
        <f>TRIGO!K61</f>
        <v>123.68338735607709</v>
      </c>
      <c r="E63" s="2">
        <f>MAIZ!K61</f>
        <v>107.069200994813</v>
      </c>
      <c r="F63" s="3">
        <f>GIRASOL!K61</f>
        <v>232.47400265998772</v>
      </c>
      <c r="G63" s="3"/>
      <c r="H63" s="3"/>
      <c r="J63" s="5"/>
      <c r="K63" s="25">
        <f t="shared" si="0"/>
        <v>216.14908668818396</v>
      </c>
      <c r="L63" s="10">
        <f t="shared" si="5"/>
        <v>178.61765507110297</v>
      </c>
      <c r="M63" s="10">
        <f t="shared" si="5"/>
        <v>266.2412214050475</v>
      </c>
      <c r="N63" s="6" t="s">
        <v>45</v>
      </c>
      <c r="O63" s="2">
        <v>100.00276715360472</v>
      </c>
      <c r="P63" s="10">
        <f t="shared" si="6"/>
        <v>94.61497453232208</v>
      </c>
      <c r="Q63" s="10">
        <f t="shared" si="6"/>
        <v>141.16194247050137</v>
      </c>
    </row>
    <row r="64" spans="1:17" x14ac:dyDescent="0.15">
      <c r="A64" s="34">
        <v>35796</v>
      </c>
      <c r="B64" s="6" t="s">
        <v>46</v>
      </c>
      <c r="C64" s="2">
        <f>SOJA!K62</f>
        <v>265.19740648359391</v>
      </c>
      <c r="D64" s="7">
        <f>TRIGO!K62</f>
        <v>116.33875863010856</v>
      </c>
      <c r="E64" s="2">
        <f>MAIZ!K62</f>
        <v>107.17822645450946</v>
      </c>
      <c r="F64" s="3">
        <f>GIRASOL!K62</f>
        <v>225.41779551105481</v>
      </c>
      <c r="G64" s="3"/>
      <c r="H64" s="3"/>
      <c r="J64" s="5"/>
      <c r="K64" s="25">
        <f t="shared" si="0"/>
        <v>213.4332888024847</v>
      </c>
      <c r="L64" s="10">
        <f t="shared" si="5"/>
        <v>178.61765507110297</v>
      </c>
      <c r="M64" s="10">
        <f t="shared" si="5"/>
        <v>266.2412214050475</v>
      </c>
      <c r="N64" s="6" t="s">
        <v>46</v>
      </c>
      <c r="O64" s="2">
        <v>97.819939876020939</v>
      </c>
      <c r="P64" s="10">
        <f t="shared" si="6"/>
        <v>94.61497453232208</v>
      </c>
      <c r="Q64" s="10">
        <f t="shared" si="6"/>
        <v>141.16194247050137</v>
      </c>
    </row>
    <row r="65" spans="1:17" x14ac:dyDescent="0.15">
      <c r="A65" s="34">
        <v>35827</v>
      </c>
      <c r="B65" t="s">
        <v>1</v>
      </c>
      <c r="C65" s="2">
        <f>SOJA!K63</f>
        <v>262.79190754934069</v>
      </c>
      <c r="D65" s="7">
        <f>TRIGO!K63</f>
        <v>113.69723674087417</v>
      </c>
      <c r="E65" s="2">
        <f>MAIZ!K63</f>
        <v>99.943538748026484</v>
      </c>
      <c r="F65" s="3">
        <f>GIRASOL!K63</f>
        <v>238.01691289822435</v>
      </c>
      <c r="G65" s="3"/>
      <c r="H65" s="3"/>
      <c r="J65" s="5"/>
      <c r="K65" s="25">
        <f t="shared" si="0"/>
        <v>210.9966978945057</v>
      </c>
      <c r="L65" s="10">
        <f t="shared" si="5"/>
        <v>178.61765507110297</v>
      </c>
      <c r="M65" s="10">
        <f t="shared" si="5"/>
        <v>266.2412214050475</v>
      </c>
      <c r="N65" t="s">
        <v>1</v>
      </c>
      <c r="O65" s="2">
        <v>95.680606810739889</v>
      </c>
      <c r="P65" s="10">
        <f t="shared" si="6"/>
        <v>94.61497453232208</v>
      </c>
      <c r="Q65" s="10">
        <f t="shared" si="6"/>
        <v>141.16194247050137</v>
      </c>
    </row>
    <row r="66" spans="1:17" x14ac:dyDescent="0.15">
      <c r="A66" s="34">
        <v>35855</v>
      </c>
      <c r="B66" t="s">
        <v>2</v>
      </c>
      <c r="C66" s="2">
        <f>SOJA!K64</f>
        <v>205.6152765354812</v>
      </c>
      <c r="D66" s="7">
        <f>TRIGO!K64</f>
        <v>113.39498005470288</v>
      </c>
      <c r="E66" s="2">
        <f>MAIZ!K64</f>
        <v>94.190991497051584</v>
      </c>
      <c r="F66" s="3">
        <f>GIRASOL!K64</f>
        <v>255.91600942184357</v>
      </c>
      <c r="G66" s="3"/>
      <c r="H66" s="3"/>
      <c r="J66" s="5"/>
      <c r="K66" s="25">
        <f t="shared" si="0"/>
        <v>175.41073462569261</v>
      </c>
      <c r="L66" s="10">
        <f t="shared" si="5"/>
        <v>178.61765507110297</v>
      </c>
      <c r="M66" s="10">
        <f t="shared" si="5"/>
        <v>266.2412214050475</v>
      </c>
      <c r="N66" t="s">
        <v>2</v>
      </c>
      <c r="O66" s="2">
        <v>89.005662329811059</v>
      </c>
      <c r="P66" s="10">
        <f t="shared" si="6"/>
        <v>94.61497453232208</v>
      </c>
      <c r="Q66" s="10">
        <f t="shared" si="6"/>
        <v>141.16194247050137</v>
      </c>
    </row>
    <row r="67" spans="1:17" x14ac:dyDescent="0.15">
      <c r="A67" s="34">
        <v>35886</v>
      </c>
      <c r="B67" t="s">
        <v>3</v>
      </c>
      <c r="C67" s="2">
        <f>SOJA!K65</f>
        <v>202.22428392232359</v>
      </c>
      <c r="D67" s="7">
        <f>TRIGO!K65</f>
        <v>113.4729108598689</v>
      </c>
      <c r="E67" s="2">
        <f>MAIZ!K65</f>
        <v>87.849995504414622</v>
      </c>
      <c r="F67" s="3">
        <f>GIRASOL!K65</f>
        <v>268.45494459557364</v>
      </c>
      <c r="G67" s="3"/>
      <c r="H67" s="3"/>
      <c r="J67" s="5"/>
      <c r="K67" s="25">
        <f t="shared" si="0"/>
        <v>172.91556460092576</v>
      </c>
      <c r="L67" s="10">
        <f t="shared" si="5"/>
        <v>178.61765507110297</v>
      </c>
      <c r="M67" s="10">
        <f t="shared" si="5"/>
        <v>266.2412214050475</v>
      </c>
      <c r="N67" t="s">
        <v>3</v>
      </c>
      <c r="O67" s="2">
        <v>83.828897549954732</v>
      </c>
      <c r="P67" s="10">
        <f t="shared" si="6"/>
        <v>94.61497453232208</v>
      </c>
      <c r="Q67" s="10">
        <f t="shared" si="6"/>
        <v>141.16194247050137</v>
      </c>
    </row>
    <row r="68" spans="1:17" x14ac:dyDescent="0.15">
      <c r="A68" s="34">
        <v>35916</v>
      </c>
      <c r="B68" t="s">
        <v>2</v>
      </c>
      <c r="C68" s="2">
        <f>SOJA!K66</f>
        <v>203.09163563561165</v>
      </c>
      <c r="D68" s="7">
        <f>TRIGO!K66</f>
        <v>114.37915951543795</v>
      </c>
      <c r="E68" s="2">
        <f>MAIZ!K66</f>
        <v>92.41836088847387</v>
      </c>
      <c r="F68" s="3">
        <f>GIRASOL!K66</f>
        <v>277.26423299818282</v>
      </c>
      <c r="G68" s="3"/>
      <c r="H68" s="3"/>
      <c r="J68" s="5"/>
      <c r="K68" s="25">
        <f t="shared" si="0"/>
        <v>174.88074771756749</v>
      </c>
      <c r="L68" s="10">
        <f t="shared" si="5"/>
        <v>178.61765507110297</v>
      </c>
      <c r="M68" s="10">
        <f t="shared" si="5"/>
        <v>266.2412214050475</v>
      </c>
      <c r="N68" t="s">
        <v>2</v>
      </c>
      <c r="O68" s="2">
        <v>87.842824555804327</v>
      </c>
      <c r="P68" s="10">
        <f t="shared" si="6"/>
        <v>94.61497453232208</v>
      </c>
      <c r="Q68" s="10">
        <f t="shared" si="6"/>
        <v>141.16194247050137</v>
      </c>
    </row>
    <row r="69" spans="1:17" x14ac:dyDescent="0.15">
      <c r="A69" s="34">
        <v>35947</v>
      </c>
      <c r="B69" t="s">
        <v>4</v>
      </c>
      <c r="C69" s="2">
        <f>SOJA!K67</f>
        <v>197.41671357290582</v>
      </c>
      <c r="D69" s="7">
        <f>TRIGO!K67</f>
        <v>109.59477067333781</v>
      </c>
      <c r="E69" s="2">
        <f>MAIZ!K67</f>
        <v>93.155555072337137</v>
      </c>
      <c r="F69" s="3">
        <f>GIRASOL!K67</f>
        <v>277.61725346189883</v>
      </c>
      <c r="G69" s="3"/>
      <c r="H69" s="3"/>
      <c r="J69" s="5"/>
      <c r="K69" s="25">
        <f t="shared" ref="K69:K132" si="7">+C69*C$2+D69*D$2+E69*E$2+F69*F$2</f>
        <v>170.79400299455867</v>
      </c>
      <c r="L69" s="10">
        <f t="shared" si="5"/>
        <v>178.61765507110297</v>
      </c>
      <c r="M69" s="10">
        <f t="shared" si="5"/>
        <v>266.2412214050475</v>
      </c>
      <c r="N69" t="s">
        <v>4</v>
      </c>
      <c r="O69" s="2">
        <v>87.812456949051111</v>
      </c>
      <c r="P69" s="10">
        <f t="shared" si="6"/>
        <v>94.61497453232208</v>
      </c>
      <c r="Q69" s="10">
        <f t="shared" si="6"/>
        <v>141.16194247050137</v>
      </c>
    </row>
    <row r="70" spans="1:17" x14ac:dyDescent="0.15">
      <c r="A70" s="34">
        <v>35977</v>
      </c>
      <c r="B70" t="s">
        <v>4</v>
      </c>
      <c r="C70" s="2">
        <f>SOJA!K68</f>
        <v>192.40873409381504</v>
      </c>
      <c r="D70" s="7">
        <f>TRIGO!K68</f>
        <v>105.61153218767616</v>
      </c>
      <c r="E70" s="2">
        <f>MAIZ!K68</f>
        <v>91.954868542718046</v>
      </c>
      <c r="F70" s="3">
        <f>GIRASOL!K68</f>
        <v>276.7522887650764</v>
      </c>
      <c r="G70" s="3"/>
      <c r="H70" s="3"/>
      <c r="J70" s="5"/>
      <c r="K70" s="25">
        <f t="shared" si="7"/>
        <v>166.8340661147198</v>
      </c>
      <c r="L70" s="10">
        <f t="shared" ref="L70:M85" si="8">+L69</f>
        <v>178.61765507110297</v>
      </c>
      <c r="M70" s="10">
        <f t="shared" si="8"/>
        <v>266.2412214050475</v>
      </c>
      <c r="N70" t="s">
        <v>4</v>
      </c>
      <c r="O70" s="2">
        <v>87.566156210071867</v>
      </c>
      <c r="P70" s="10">
        <f t="shared" si="6"/>
        <v>94.61497453232208</v>
      </c>
      <c r="Q70" s="10">
        <f t="shared" si="6"/>
        <v>141.16194247050137</v>
      </c>
    </row>
    <row r="71" spans="1:17" x14ac:dyDescent="0.15">
      <c r="A71" s="34">
        <v>36008</v>
      </c>
      <c r="B71" t="s">
        <v>3</v>
      </c>
      <c r="C71" s="2">
        <f>SOJA!K69</f>
        <v>180.95067058425622</v>
      </c>
      <c r="D71" s="7">
        <f>TRIGO!K69</f>
        <v>98.308126279489258</v>
      </c>
      <c r="E71" s="2">
        <f>MAIZ!K69</f>
        <v>88.295261565837578</v>
      </c>
      <c r="F71" s="3">
        <f>GIRASOL!K69</f>
        <v>244.1955651573943</v>
      </c>
      <c r="G71" s="3"/>
      <c r="H71" s="3"/>
      <c r="J71" s="5"/>
      <c r="K71" s="25">
        <f t="shared" si="7"/>
        <v>156.16014251155735</v>
      </c>
      <c r="L71" s="10">
        <f t="shared" si="8"/>
        <v>178.61765507110297</v>
      </c>
      <c r="M71" s="10">
        <f t="shared" si="8"/>
        <v>266.2412214050475</v>
      </c>
      <c r="N71" t="s">
        <v>3</v>
      </c>
      <c r="O71" s="2">
        <v>83.898023697344541</v>
      </c>
      <c r="P71" s="10">
        <f t="shared" si="6"/>
        <v>94.61497453232208</v>
      </c>
      <c r="Q71" s="10">
        <f t="shared" si="6"/>
        <v>141.16194247050137</v>
      </c>
    </row>
    <row r="72" spans="1:17" x14ac:dyDescent="0.15">
      <c r="A72" s="34">
        <v>36039</v>
      </c>
      <c r="B72" t="s">
        <v>5</v>
      </c>
      <c r="C72" s="2">
        <f>SOJA!K70</f>
        <v>181.00664645547374</v>
      </c>
      <c r="D72" s="7">
        <f>TRIGO!K70</f>
        <v>100.15962125912829</v>
      </c>
      <c r="E72" s="2">
        <f>MAIZ!K70</f>
        <v>85.590949075982351</v>
      </c>
      <c r="F72" s="3">
        <f>GIRASOL!K70</f>
        <v>216.15356809731333</v>
      </c>
      <c r="G72" s="3"/>
      <c r="H72" s="3"/>
      <c r="J72" s="5"/>
      <c r="K72" s="25">
        <f t="shared" si="7"/>
        <v>154.41797417213843</v>
      </c>
      <c r="L72" s="10">
        <f t="shared" si="8"/>
        <v>178.61765507110297</v>
      </c>
      <c r="M72" s="10">
        <f t="shared" si="8"/>
        <v>266.2412214050475</v>
      </c>
      <c r="N72" t="s">
        <v>5</v>
      </c>
      <c r="O72" s="2">
        <v>80.126591411677211</v>
      </c>
      <c r="P72" s="10">
        <f t="shared" si="6"/>
        <v>94.61497453232208</v>
      </c>
      <c r="Q72" s="10">
        <f t="shared" si="6"/>
        <v>141.16194247050137</v>
      </c>
    </row>
    <row r="73" spans="1:17" x14ac:dyDescent="0.15">
      <c r="A73" s="34">
        <v>36069</v>
      </c>
      <c r="B73" t="s">
        <v>6</v>
      </c>
      <c r="C73" s="2">
        <f>SOJA!K71</f>
        <v>184.31697567978307</v>
      </c>
      <c r="D73" s="7">
        <f>TRIGO!K71</f>
        <v>119.7189866080848</v>
      </c>
      <c r="E73" s="2">
        <f>MAIZ!K71</f>
        <v>90.474654001529743</v>
      </c>
      <c r="F73" s="3">
        <f>GIRASOL!K71</f>
        <v>210.77395783477587</v>
      </c>
      <c r="G73" s="3"/>
      <c r="H73" s="3"/>
      <c r="J73" s="5"/>
      <c r="K73" s="25">
        <f t="shared" si="7"/>
        <v>159.91380731329514</v>
      </c>
      <c r="L73" s="10">
        <f t="shared" si="8"/>
        <v>178.61765507110297</v>
      </c>
      <c r="M73" s="10">
        <f t="shared" si="8"/>
        <v>266.2412214050475</v>
      </c>
      <c r="N73" t="s">
        <v>6</v>
      </c>
      <c r="O73" s="2">
        <v>87.613816238867756</v>
      </c>
      <c r="P73" s="10">
        <f t="shared" ref="P73:Q88" si="9">+P72</f>
        <v>94.61497453232208</v>
      </c>
      <c r="Q73" s="10">
        <f t="shared" si="9"/>
        <v>141.16194247050137</v>
      </c>
    </row>
    <row r="74" spans="1:17" x14ac:dyDescent="0.15">
      <c r="A74" s="34">
        <v>36100</v>
      </c>
      <c r="B74" t="s">
        <v>7</v>
      </c>
      <c r="C74" s="2">
        <f>SOJA!K72</f>
        <v>189.23243294923898</v>
      </c>
      <c r="D74" s="7">
        <f>TRIGO!K72</f>
        <v>114.54193074744504</v>
      </c>
      <c r="E74" s="2">
        <f>MAIZ!K72</f>
        <v>96.215221827853838</v>
      </c>
      <c r="F74" s="3">
        <f>GIRASOL!K72</f>
        <v>211.3390255834959</v>
      </c>
      <c r="G74" s="3"/>
      <c r="H74" s="3"/>
      <c r="J74" s="5"/>
      <c r="K74" s="25">
        <f t="shared" si="7"/>
        <v>163.23679043871257</v>
      </c>
      <c r="L74" s="10">
        <f t="shared" si="8"/>
        <v>178.61765507110297</v>
      </c>
      <c r="M74" s="10">
        <f t="shared" si="8"/>
        <v>266.2412214050475</v>
      </c>
      <c r="N74" t="s">
        <v>7</v>
      </c>
      <c r="O74" s="2">
        <v>91.596894089988851</v>
      </c>
      <c r="P74" s="10">
        <f t="shared" si="9"/>
        <v>94.61497453232208</v>
      </c>
      <c r="Q74" s="10">
        <f t="shared" si="9"/>
        <v>141.16194247050137</v>
      </c>
    </row>
    <row r="75" spans="1:17" x14ac:dyDescent="0.15">
      <c r="A75" s="34">
        <v>36130</v>
      </c>
      <c r="B75" s="6" t="s">
        <v>47</v>
      </c>
      <c r="C75" s="2">
        <f>SOJA!K73</f>
        <v>182.99415328974879</v>
      </c>
      <c r="D75" s="7">
        <f>TRIGO!K73</f>
        <v>106.26678572056198</v>
      </c>
      <c r="E75" s="2">
        <f>MAIZ!K73</f>
        <v>103.51850677951298</v>
      </c>
      <c r="F75" s="3">
        <f>GIRASOL!K73</f>
        <v>211.28310452294667</v>
      </c>
      <c r="G75" s="3"/>
      <c r="H75" s="3"/>
      <c r="J75" s="5"/>
      <c r="K75" s="25">
        <f t="shared" si="7"/>
        <v>159.40491357657669</v>
      </c>
      <c r="L75" s="10">
        <f t="shared" si="8"/>
        <v>178.61765507110297</v>
      </c>
      <c r="M75" s="10">
        <f t="shared" si="8"/>
        <v>266.2412214050475</v>
      </c>
      <c r="N75" s="6" t="s">
        <v>47</v>
      </c>
      <c r="O75" s="2">
        <v>96.942051803927754</v>
      </c>
      <c r="P75" s="10">
        <f t="shared" si="9"/>
        <v>94.61497453232208</v>
      </c>
      <c r="Q75" s="10">
        <f t="shared" si="9"/>
        <v>141.16194247050137</v>
      </c>
    </row>
    <row r="76" spans="1:17" x14ac:dyDescent="0.15">
      <c r="A76" s="34">
        <v>36161</v>
      </c>
      <c r="B76" s="6" t="s">
        <v>34</v>
      </c>
      <c r="C76" s="2">
        <f>SOJA!K74</f>
        <v>168.96183300990978</v>
      </c>
      <c r="D76" s="7">
        <f>TRIGO!K74</f>
        <v>101.22389607135139</v>
      </c>
      <c r="E76" s="2">
        <f>MAIZ!K74</f>
        <v>105.78353102952038</v>
      </c>
      <c r="F76" s="3">
        <f>GIRASOL!K74</f>
        <v>195.36211941770819</v>
      </c>
      <c r="G76" s="3"/>
      <c r="H76" s="3"/>
      <c r="J76" s="5"/>
      <c r="K76" s="25">
        <f t="shared" si="7"/>
        <v>149.43367824809783</v>
      </c>
      <c r="L76" s="10">
        <f t="shared" si="8"/>
        <v>178.61765507110297</v>
      </c>
      <c r="M76" s="10">
        <f t="shared" si="8"/>
        <v>266.2412214050475</v>
      </c>
      <c r="N76" s="6" t="s">
        <v>34</v>
      </c>
      <c r="O76" s="2">
        <v>89.373815773077311</v>
      </c>
      <c r="P76" s="10">
        <f t="shared" si="9"/>
        <v>94.61497453232208</v>
      </c>
      <c r="Q76" s="10">
        <f t="shared" si="9"/>
        <v>141.16194247050137</v>
      </c>
    </row>
    <row r="77" spans="1:17" x14ac:dyDescent="0.15">
      <c r="A77" s="34">
        <v>36192</v>
      </c>
      <c r="B77" t="s">
        <v>1</v>
      </c>
      <c r="C77" s="2">
        <f>SOJA!K75</f>
        <v>153.41328338848214</v>
      </c>
      <c r="D77" s="7">
        <f>TRIGO!K75</f>
        <v>95.021031936169038</v>
      </c>
      <c r="E77" s="2">
        <f>MAIZ!K75</f>
        <v>93.193704398935012</v>
      </c>
      <c r="F77" s="3">
        <f>GIRASOL!K75</f>
        <v>175.45542180636753</v>
      </c>
      <c r="G77" s="3"/>
      <c r="H77" s="3"/>
      <c r="J77" s="5"/>
      <c r="K77" s="25">
        <f t="shared" si="7"/>
        <v>135.5359709077664</v>
      </c>
      <c r="L77" s="10">
        <f t="shared" si="8"/>
        <v>178.61765507110297</v>
      </c>
      <c r="M77" s="10">
        <f t="shared" si="8"/>
        <v>266.2412214050475</v>
      </c>
      <c r="N77" t="s">
        <v>1</v>
      </c>
      <c r="O77" s="2">
        <v>80.008616508510329</v>
      </c>
      <c r="P77" s="10">
        <f t="shared" si="9"/>
        <v>94.61497453232208</v>
      </c>
      <c r="Q77" s="10">
        <f t="shared" si="9"/>
        <v>141.16194247050137</v>
      </c>
    </row>
    <row r="78" spans="1:17" x14ac:dyDescent="0.15">
      <c r="A78" s="34">
        <v>36220</v>
      </c>
      <c r="B78" t="s">
        <v>2</v>
      </c>
      <c r="C78" s="2">
        <f>SOJA!K76</f>
        <v>148.27331768692821</v>
      </c>
      <c r="D78" s="7">
        <f>TRIGO!K76</f>
        <v>102.12738210573072</v>
      </c>
      <c r="E78" s="2">
        <f>MAIZ!K76</f>
        <v>83.726051996590044</v>
      </c>
      <c r="F78" s="3">
        <f>GIRASOL!K76</f>
        <v>159.8155519978867</v>
      </c>
      <c r="G78" s="3"/>
      <c r="H78" s="3"/>
      <c r="J78" s="5"/>
      <c r="K78" s="25">
        <f t="shared" si="7"/>
        <v>130.86009901535093</v>
      </c>
      <c r="L78" s="10">
        <f t="shared" si="8"/>
        <v>178.61765507110297</v>
      </c>
      <c r="M78" s="10">
        <f t="shared" si="8"/>
        <v>266.2412214050475</v>
      </c>
      <c r="N78" t="s">
        <v>2</v>
      </c>
      <c r="O78" s="2">
        <v>79.279381751837548</v>
      </c>
      <c r="P78" s="10">
        <f t="shared" si="9"/>
        <v>94.61497453232208</v>
      </c>
      <c r="Q78" s="10">
        <f t="shared" si="9"/>
        <v>141.16194247050137</v>
      </c>
    </row>
    <row r="79" spans="1:17" x14ac:dyDescent="0.15">
      <c r="A79" s="34">
        <v>36251</v>
      </c>
      <c r="B79" t="s">
        <v>3</v>
      </c>
      <c r="C79" s="2">
        <f>SOJA!K77</f>
        <v>150.15526646562233</v>
      </c>
      <c r="D79" s="7">
        <f>TRIGO!K77</f>
        <v>110.48613898197064</v>
      </c>
      <c r="E79" s="2">
        <f>MAIZ!K77</f>
        <v>83.785322061327733</v>
      </c>
      <c r="F79" s="3">
        <f>GIRASOL!K77</f>
        <v>172.36758399012268</v>
      </c>
      <c r="G79" s="3"/>
      <c r="H79" s="3"/>
      <c r="J79" s="5"/>
      <c r="K79" s="25">
        <f t="shared" si="7"/>
        <v>133.98244216918997</v>
      </c>
      <c r="L79" s="10">
        <f t="shared" si="8"/>
        <v>178.61765507110297</v>
      </c>
      <c r="M79" s="10">
        <f t="shared" si="8"/>
        <v>266.2412214050475</v>
      </c>
      <c r="N79" t="s">
        <v>3</v>
      </c>
      <c r="O79" s="2">
        <v>78.99776105029089</v>
      </c>
      <c r="P79" s="10">
        <f t="shared" si="9"/>
        <v>94.61497453232208</v>
      </c>
      <c r="Q79" s="10">
        <f t="shared" si="9"/>
        <v>141.16194247050137</v>
      </c>
    </row>
    <row r="80" spans="1:17" x14ac:dyDescent="0.15">
      <c r="A80" s="34">
        <v>36281</v>
      </c>
      <c r="B80" t="s">
        <v>2</v>
      </c>
      <c r="C80" s="2">
        <f>SOJA!K78</f>
        <v>147.43796931092749</v>
      </c>
      <c r="D80" s="7">
        <f>TRIGO!K78</f>
        <v>113.89461595380172</v>
      </c>
      <c r="E80" s="2">
        <f>MAIZ!K78</f>
        <v>88.893358793211107</v>
      </c>
      <c r="F80" s="3">
        <f>GIRASOL!K78</f>
        <v>187.64832457754403</v>
      </c>
      <c r="G80" s="3"/>
      <c r="H80" s="3"/>
      <c r="J80" s="5"/>
      <c r="K80" s="25">
        <f t="shared" si="7"/>
        <v>134.54723477740882</v>
      </c>
      <c r="L80" s="10">
        <f t="shared" si="8"/>
        <v>178.61765507110297</v>
      </c>
      <c r="M80" s="10">
        <f t="shared" si="8"/>
        <v>266.2412214050475</v>
      </c>
      <c r="N80" t="s">
        <v>2</v>
      </c>
      <c r="O80" s="2">
        <v>85.767553243171562</v>
      </c>
      <c r="P80" s="10">
        <f t="shared" si="9"/>
        <v>94.61497453232208</v>
      </c>
      <c r="Q80" s="10">
        <f t="shared" si="9"/>
        <v>141.16194247050137</v>
      </c>
    </row>
    <row r="81" spans="1:17" x14ac:dyDescent="0.15">
      <c r="A81" s="34">
        <v>36312</v>
      </c>
      <c r="B81" t="s">
        <v>4</v>
      </c>
      <c r="C81" s="2">
        <f>SOJA!K79</f>
        <v>148.33239319508564</v>
      </c>
      <c r="D81" s="7">
        <f>TRIGO!K79</f>
        <v>118.52516592153671</v>
      </c>
      <c r="E81" s="2">
        <f>MAIZ!K79</f>
        <v>89.819852299914544</v>
      </c>
      <c r="F81" s="3">
        <f>GIRASOL!K79</f>
        <v>179.60729537477241</v>
      </c>
      <c r="G81" s="3"/>
      <c r="H81" s="3"/>
      <c r="J81" s="5"/>
      <c r="K81" s="25">
        <f t="shared" si="7"/>
        <v>135.49599980220935</v>
      </c>
      <c r="L81" s="10">
        <f t="shared" si="8"/>
        <v>178.61765507110297</v>
      </c>
      <c r="M81" s="10">
        <f t="shared" si="8"/>
        <v>266.2412214050475</v>
      </c>
      <c r="N81" t="s">
        <v>4</v>
      </c>
      <c r="O81" s="2">
        <v>87.013419311144233</v>
      </c>
      <c r="P81" s="10">
        <f t="shared" si="9"/>
        <v>94.61497453232208</v>
      </c>
      <c r="Q81" s="10">
        <f t="shared" si="9"/>
        <v>141.16194247050137</v>
      </c>
    </row>
    <row r="82" spans="1:17" x14ac:dyDescent="0.15">
      <c r="A82" s="34">
        <v>36342</v>
      </c>
      <c r="B82" t="s">
        <v>4</v>
      </c>
      <c r="C82" s="2">
        <f>SOJA!K80</f>
        <v>144.51836431967172</v>
      </c>
      <c r="D82" s="7">
        <f>TRIGO!K80</f>
        <v>116.4799712421073</v>
      </c>
      <c r="E82" s="2">
        <f>MAIZ!K80</f>
        <v>86.89775632347687</v>
      </c>
      <c r="F82" s="3">
        <f>GIRASOL!K80</f>
        <v>173.95729038478999</v>
      </c>
      <c r="G82" s="3"/>
      <c r="H82" s="3"/>
      <c r="J82" s="5"/>
      <c r="K82" s="25">
        <f t="shared" si="7"/>
        <v>131.99530221546132</v>
      </c>
      <c r="L82" s="10">
        <f t="shared" si="8"/>
        <v>178.61765507110297</v>
      </c>
      <c r="M82" s="10">
        <f t="shared" si="8"/>
        <v>266.2412214050475</v>
      </c>
      <c r="N82" t="s">
        <v>4</v>
      </c>
      <c r="O82" s="2">
        <v>81.861538497900739</v>
      </c>
      <c r="P82" s="10">
        <f t="shared" si="9"/>
        <v>94.61497453232208</v>
      </c>
      <c r="Q82" s="10">
        <f t="shared" si="9"/>
        <v>141.16194247050137</v>
      </c>
    </row>
    <row r="83" spans="1:17" x14ac:dyDescent="0.15">
      <c r="A83" s="34">
        <v>36373</v>
      </c>
      <c r="B83" t="s">
        <v>3</v>
      </c>
      <c r="C83" s="2">
        <f>SOJA!K81</f>
        <v>155.78692526912229</v>
      </c>
      <c r="D83" s="7">
        <f>TRIGO!K81</f>
        <v>118.75842078761036</v>
      </c>
      <c r="E83" s="2">
        <f>MAIZ!K81</f>
        <v>89.996615753110973</v>
      </c>
      <c r="F83" s="3">
        <f>GIRASOL!K81</f>
        <v>175.48412271694238</v>
      </c>
      <c r="G83" s="3"/>
      <c r="H83" s="3"/>
      <c r="J83" s="5"/>
      <c r="K83" s="25">
        <f t="shared" si="7"/>
        <v>139.96358307754167</v>
      </c>
      <c r="L83" s="10">
        <f t="shared" si="8"/>
        <v>178.61765507110297</v>
      </c>
      <c r="M83" s="10">
        <f t="shared" si="8"/>
        <v>266.2412214050475</v>
      </c>
      <c r="N83" t="s">
        <v>3</v>
      </c>
      <c r="O83" s="2">
        <v>83.812802868543088</v>
      </c>
      <c r="P83" s="10">
        <f t="shared" si="9"/>
        <v>94.61497453232208</v>
      </c>
      <c r="Q83" s="10">
        <f t="shared" si="9"/>
        <v>141.16194247050137</v>
      </c>
    </row>
    <row r="84" spans="1:17" x14ac:dyDescent="0.15">
      <c r="A84" s="34">
        <v>36404</v>
      </c>
      <c r="B84" t="s">
        <v>5</v>
      </c>
      <c r="C84" s="2">
        <f>SOJA!K82</f>
        <v>167.80031692241045</v>
      </c>
      <c r="D84" s="7">
        <f>TRIGO!K82</f>
        <v>120.88355102332081</v>
      </c>
      <c r="E84" s="2">
        <f>MAIZ!K82</f>
        <v>86.478232655144893</v>
      </c>
      <c r="F84" s="3">
        <f>GIRASOL!K82</f>
        <v>175.87626800423769</v>
      </c>
      <c r="G84" s="3"/>
      <c r="H84" s="3"/>
      <c r="J84" s="5"/>
      <c r="K84" s="25">
        <f t="shared" si="7"/>
        <v>147.15554511341657</v>
      </c>
      <c r="L84" s="10">
        <f t="shared" si="8"/>
        <v>178.61765507110297</v>
      </c>
      <c r="M84" s="10">
        <f t="shared" si="8"/>
        <v>266.2412214050475</v>
      </c>
      <c r="N84" t="s">
        <v>5</v>
      </c>
      <c r="O84" s="2">
        <v>81.275244547202163</v>
      </c>
      <c r="P84" s="10">
        <f t="shared" si="9"/>
        <v>94.61497453232208</v>
      </c>
      <c r="Q84" s="10">
        <f t="shared" si="9"/>
        <v>141.16194247050137</v>
      </c>
    </row>
    <row r="85" spans="1:17" x14ac:dyDescent="0.15">
      <c r="A85" s="34">
        <v>36434</v>
      </c>
      <c r="B85" t="s">
        <v>6</v>
      </c>
      <c r="C85" s="2">
        <f>SOJA!K83</f>
        <v>166.18686721131274</v>
      </c>
      <c r="D85" s="7">
        <f>TRIGO!K83</f>
        <v>104.25951058768815</v>
      </c>
      <c r="E85" s="2">
        <f>MAIZ!K83</f>
        <v>87.503517814666836</v>
      </c>
      <c r="F85" s="3">
        <f>GIRASOL!K83</f>
        <v>178.76317067595264</v>
      </c>
      <c r="G85" s="3"/>
      <c r="H85" s="3"/>
      <c r="J85" s="5"/>
      <c r="K85" s="25">
        <f t="shared" si="7"/>
        <v>144.03742067743346</v>
      </c>
      <c r="L85" s="10">
        <f t="shared" si="8"/>
        <v>178.61765507110297</v>
      </c>
      <c r="M85" s="10">
        <f t="shared" si="8"/>
        <v>266.2412214050475</v>
      </c>
      <c r="N85" t="s">
        <v>6</v>
      </c>
      <c r="O85" s="2">
        <v>81.650534719250246</v>
      </c>
      <c r="P85" s="10">
        <f t="shared" si="9"/>
        <v>94.61497453232208</v>
      </c>
      <c r="Q85" s="10">
        <f t="shared" si="9"/>
        <v>141.16194247050137</v>
      </c>
    </row>
    <row r="86" spans="1:17" x14ac:dyDescent="0.15">
      <c r="A86" s="34">
        <v>36465</v>
      </c>
      <c r="B86" t="s">
        <v>7</v>
      </c>
      <c r="C86" s="2">
        <f>SOJA!K84</f>
        <v>159.39683329782756</v>
      </c>
      <c r="D86" s="7">
        <f>TRIGO!K84</f>
        <v>94.254150423468786</v>
      </c>
      <c r="E86" s="2">
        <f>MAIZ!K84</f>
        <v>86.78847514240195</v>
      </c>
      <c r="F86" s="3">
        <f>GIRASOL!K84</f>
        <v>170.20339826717179</v>
      </c>
      <c r="G86" s="3"/>
      <c r="H86" s="3"/>
      <c r="J86" s="5"/>
      <c r="K86" s="25">
        <f t="shared" si="7"/>
        <v>137.73099405563343</v>
      </c>
      <c r="L86" s="10">
        <f t="shared" ref="L86:M101" si="10">+L85</f>
        <v>178.61765507110297</v>
      </c>
      <c r="M86" s="10">
        <f t="shared" si="10"/>
        <v>266.2412214050475</v>
      </c>
      <c r="N86" t="s">
        <v>7</v>
      </c>
      <c r="O86" s="2">
        <v>78.757321931092193</v>
      </c>
      <c r="P86" s="10">
        <f t="shared" si="9"/>
        <v>94.61497453232208</v>
      </c>
      <c r="Q86" s="10">
        <f t="shared" si="9"/>
        <v>141.16194247050137</v>
      </c>
    </row>
    <row r="87" spans="1:17" x14ac:dyDescent="0.15">
      <c r="A87" s="34">
        <v>36495</v>
      </c>
      <c r="B87" s="6" t="s">
        <v>35</v>
      </c>
      <c r="C87" s="2">
        <f>SOJA!K85</f>
        <v>158.734286836574</v>
      </c>
      <c r="D87" s="7">
        <f>TRIGO!K85</f>
        <v>82.245744474908818</v>
      </c>
      <c r="E87" s="2">
        <f>MAIZ!K85</f>
        <v>86.918798138255909</v>
      </c>
      <c r="F87" s="3">
        <f>GIRASOL!K85</f>
        <v>159.63618619360003</v>
      </c>
      <c r="G87" s="3"/>
      <c r="H87" s="3"/>
      <c r="J87" s="5"/>
      <c r="K87" s="25">
        <f t="shared" si="7"/>
        <v>134.97233974751364</v>
      </c>
      <c r="L87" s="10">
        <f t="shared" si="10"/>
        <v>178.61765507110297</v>
      </c>
      <c r="M87" s="10">
        <f t="shared" si="10"/>
        <v>266.2412214050475</v>
      </c>
      <c r="N87" s="6" t="s">
        <v>35</v>
      </c>
      <c r="O87" s="2">
        <v>82.501654937228821</v>
      </c>
      <c r="P87" s="10">
        <f t="shared" si="9"/>
        <v>94.61497453232208</v>
      </c>
      <c r="Q87" s="10">
        <f t="shared" si="9"/>
        <v>141.16194247050137</v>
      </c>
    </row>
    <row r="88" spans="1:17" x14ac:dyDescent="0.15">
      <c r="A88" s="34">
        <v>36526</v>
      </c>
      <c r="B88" t="s">
        <v>32</v>
      </c>
      <c r="C88" s="2">
        <f>SOJA!K86</f>
        <v>159.78697906933064</v>
      </c>
      <c r="D88" s="7">
        <f>TRIGO!K86</f>
        <v>92.504112698254914</v>
      </c>
      <c r="E88" s="2">
        <f>MAIZ!K86</f>
        <v>90.654030444289802</v>
      </c>
      <c r="F88" s="3">
        <f>GIRASOL!K86</f>
        <v>155.32365563163981</v>
      </c>
      <c r="G88" s="3"/>
      <c r="H88" s="3"/>
      <c r="J88" s="5"/>
      <c r="K88" s="25">
        <f t="shared" si="7"/>
        <v>137.55035106340236</v>
      </c>
      <c r="L88" s="10">
        <f t="shared" si="10"/>
        <v>178.61765507110297</v>
      </c>
      <c r="M88" s="10">
        <f t="shared" si="10"/>
        <v>266.2412214050475</v>
      </c>
      <c r="N88" t="s">
        <v>32</v>
      </c>
      <c r="O88" s="2">
        <v>85.261699550907537</v>
      </c>
      <c r="P88" s="10">
        <f t="shared" si="9"/>
        <v>94.61497453232208</v>
      </c>
      <c r="Q88" s="10">
        <f t="shared" si="9"/>
        <v>141.16194247050137</v>
      </c>
    </row>
    <row r="89" spans="1:17" x14ac:dyDescent="0.15">
      <c r="A89" s="34">
        <v>36557</v>
      </c>
      <c r="B89" t="s">
        <v>1</v>
      </c>
      <c r="C89" s="2">
        <f>SOJA!K87</f>
        <v>162.36313939424062</v>
      </c>
      <c r="D89" s="7">
        <f>TRIGO!K87</f>
        <v>94.295053340616874</v>
      </c>
      <c r="E89" s="2">
        <f>MAIZ!K87</f>
        <v>88.748285497051199</v>
      </c>
      <c r="F89" s="3">
        <f>GIRASOL!K87</f>
        <v>148.08945681013154</v>
      </c>
      <c r="G89" s="3"/>
      <c r="H89" s="3"/>
      <c r="J89" s="5"/>
      <c r="K89" s="25">
        <f t="shared" si="7"/>
        <v>138.67713102012536</v>
      </c>
      <c r="L89" s="10">
        <f t="shared" si="10"/>
        <v>178.61765507110297</v>
      </c>
      <c r="M89" s="10">
        <f t="shared" si="10"/>
        <v>266.2412214050475</v>
      </c>
      <c r="N89" t="s">
        <v>1</v>
      </c>
      <c r="O89" s="2">
        <v>80.132001170346683</v>
      </c>
      <c r="P89" s="10">
        <f t="shared" ref="P89:Q104" si="11">+P88</f>
        <v>94.61497453232208</v>
      </c>
      <c r="Q89" s="10">
        <f t="shared" si="11"/>
        <v>141.16194247050137</v>
      </c>
    </row>
    <row r="90" spans="1:17" x14ac:dyDescent="0.15">
      <c r="A90" s="34">
        <v>36586</v>
      </c>
      <c r="B90" t="s">
        <v>2</v>
      </c>
      <c r="C90" s="2">
        <f>SOJA!K88</f>
        <v>165.01949666234239</v>
      </c>
      <c r="D90" s="7">
        <f>TRIGO!K88</f>
        <v>99.442927139393078</v>
      </c>
      <c r="E90" s="2">
        <f>MAIZ!K88</f>
        <v>83.643583575190434</v>
      </c>
      <c r="F90" s="3">
        <f>GIRASOL!K88</f>
        <v>145.28890467010578</v>
      </c>
      <c r="G90" s="3"/>
      <c r="H90" s="3"/>
      <c r="J90" s="5"/>
      <c r="K90" s="25">
        <f t="shared" si="7"/>
        <v>140.04217332066432</v>
      </c>
      <c r="L90" s="10">
        <f t="shared" si="10"/>
        <v>178.61765507110297</v>
      </c>
      <c r="M90" s="10">
        <f t="shared" si="10"/>
        <v>266.2412214050475</v>
      </c>
      <c r="N90" t="s">
        <v>2</v>
      </c>
      <c r="O90" s="2">
        <v>77.757640507106643</v>
      </c>
      <c r="P90" s="10">
        <f t="shared" si="11"/>
        <v>94.61497453232208</v>
      </c>
      <c r="Q90" s="10">
        <f t="shared" si="11"/>
        <v>141.16194247050137</v>
      </c>
    </row>
    <row r="91" spans="1:17" x14ac:dyDescent="0.15">
      <c r="A91" s="34">
        <v>36617</v>
      </c>
      <c r="B91" t="s">
        <v>3</v>
      </c>
      <c r="C91" s="2">
        <f>SOJA!K89</f>
        <v>170.58491338120058</v>
      </c>
      <c r="D91" s="7">
        <f>TRIGO!K89</f>
        <v>106.06315857898481</v>
      </c>
      <c r="E91" s="2">
        <f>MAIZ!K89</f>
        <v>82.803693978330244</v>
      </c>
      <c r="F91" s="3">
        <f>GIRASOL!K89</f>
        <v>149.93516070873946</v>
      </c>
      <c r="G91" s="3"/>
      <c r="H91" s="3"/>
      <c r="J91" s="5"/>
      <c r="K91" s="25">
        <f t="shared" si="7"/>
        <v>144.59576955484667</v>
      </c>
      <c r="L91" s="10">
        <f t="shared" si="10"/>
        <v>178.61765507110297</v>
      </c>
      <c r="M91" s="10">
        <f t="shared" si="10"/>
        <v>266.2412214050475</v>
      </c>
      <c r="N91" t="s">
        <v>3</v>
      </c>
      <c r="O91" s="2">
        <v>78.227037927929644</v>
      </c>
      <c r="P91" s="10">
        <f t="shared" si="11"/>
        <v>94.61497453232208</v>
      </c>
      <c r="Q91" s="10">
        <f t="shared" si="11"/>
        <v>141.16194247050137</v>
      </c>
    </row>
    <row r="92" spans="1:17" x14ac:dyDescent="0.15">
      <c r="A92" s="34">
        <v>36647</v>
      </c>
      <c r="B92" t="s">
        <v>2</v>
      </c>
      <c r="C92" s="2">
        <f>SOJA!K90</f>
        <v>176.79812353837315</v>
      </c>
      <c r="D92" s="7">
        <f>TRIGO!K90</f>
        <v>118.71292000303156</v>
      </c>
      <c r="E92" s="2">
        <f>MAIZ!K90</f>
        <v>85.062013545479303</v>
      </c>
      <c r="F92" s="3">
        <f>GIRASOL!K90</f>
        <v>153.34531123226242</v>
      </c>
      <c r="G92" s="3"/>
      <c r="H92" s="3"/>
      <c r="J92" s="5"/>
      <c r="K92" s="25">
        <f t="shared" si="7"/>
        <v>150.91311888716947</v>
      </c>
      <c r="L92" s="10">
        <f t="shared" si="10"/>
        <v>178.61765507110297</v>
      </c>
      <c r="M92" s="10">
        <f t="shared" si="10"/>
        <v>266.2412214050475</v>
      </c>
      <c r="N92" t="s">
        <v>2</v>
      </c>
      <c r="O92" s="2">
        <v>81.112593391467669</v>
      </c>
      <c r="P92" s="10">
        <f t="shared" si="11"/>
        <v>94.61497453232208</v>
      </c>
      <c r="Q92" s="10">
        <f t="shared" si="11"/>
        <v>141.16194247050137</v>
      </c>
    </row>
    <row r="93" spans="1:17" x14ac:dyDescent="0.15">
      <c r="A93" s="34">
        <v>36678</v>
      </c>
      <c r="B93" t="s">
        <v>4</v>
      </c>
      <c r="C93" s="2">
        <f>SOJA!K91</f>
        <v>170.76064057929688</v>
      </c>
      <c r="D93" s="7">
        <f>TRIGO!K91</f>
        <v>120.77814861271101</v>
      </c>
      <c r="E93" s="2">
        <f>MAIZ!K91</f>
        <v>78.646236305951362</v>
      </c>
      <c r="F93" s="3">
        <f>GIRASOL!K91</f>
        <v>135.5243179200769</v>
      </c>
      <c r="G93" s="3"/>
      <c r="H93" s="3"/>
      <c r="J93" s="5"/>
      <c r="K93" s="25">
        <f t="shared" si="7"/>
        <v>145.3432498305184</v>
      </c>
      <c r="L93" s="10">
        <f t="shared" si="10"/>
        <v>178.61765507110297</v>
      </c>
      <c r="M93" s="10">
        <f t="shared" si="10"/>
        <v>266.2412214050475</v>
      </c>
      <c r="N93" t="s">
        <v>4</v>
      </c>
      <c r="O93" s="2">
        <v>75.287085614484383</v>
      </c>
      <c r="P93" s="10">
        <f t="shared" si="11"/>
        <v>94.61497453232208</v>
      </c>
      <c r="Q93" s="10">
        <f t="shared" si="11"/>
        <v>141.16194247050137</v>
      </c>
    </row>
    <row r="94" spans="1:17" x14ac:dyDescent="0.15">
      <c r="A94" s="34">
        <v>36708</v>
      </c>
      <c r="B94" t="s">
        <v>4</v>
      </c>
      <c r="C94" s="2">
        <f>SOJA!K92</f>
        <v>159.94366996437762</v>
      </c>
      <c r="D94" s="7">
        <f>TRIGO!K92</f>
        <v>121.04952608353666</v>
      </c>
      <c r="E94" s="2">
        <f>MAIZ!K92</f>
        <v>73.560865850764586</v>
      </c>
      <c r="F94" s="3">
        <f>GIRASOL!K92</f>
        <v>134.78399154301488</v>
      </c>
      <c r="G94" s="3"/>
      <c r="H94" s="3"/>
      <c r="J94" s="5"/>
      <c r="K94" s="25">
        <f t="shared" si="7"/>
        <v>137.73068802652043</v>
      </c>
      <c r="L94" s="10">
        <f t="shared" si="10"/>
        <v>178.61765507110297</v>
      </c>
      <c r="M94" s="10">
        <f t="shared" si="10"/>
        <v>266.2412214050475</v>
      </c>
      <c r="N94" t="s">
        <v>4</v>
      </c>
      <c r="O94" s="2">
        <v>69.440597438078569</v>
      </c>
      <c r="P94" s="10">
        <f t="shared" si="11"/>
        <v>94.61497453232208</v>
      </c>
      <c r="Q94" s="10">
        <f t="shared" si="11"/>
        <v>141.16194247050137</v>
      </c>
    </row>
    <row r="95" spans="1:17" x14ac:dyDescent="0.15">
      <c r="A95" s="34">
        <v>36739</v>
      </c>
      <c r="B95" t="s">
        <v>3</v>
      </c>
      <c r="C95" s="2">
        <f>SOJA!K93</f>
        <v>161.28325041516271</v>
      </c>
      <c r="D95" s="7">
        <f>TRIGO!K93</f>
        <v>119.51403046945221</v>
      </c>
      <c r="E95" s="2">
        <f>MAIZ!K93</f>
        <v>72.828862317322432</v>
      </c>
      <c r="F95" s="3">
        <f>GIRASOL!K93</f>
        <v>135.15356180041567</v>
      </c>
      <c r="G95" s="3"/>
      <c r="H95" s="3"/>
      <c r="J95" s="5"/>
      <c r="K95" s="25">
        <f t="shared" si="7"/>
        <v>138.2299331180057</v>
      </c>
      <c r="L95" s="10">
        <f t="shared" si="10"/>
        <v>178.61765507110297</v>
      </c>
      <c r="M95" s="10">
        <f t="shared" si="10"/>
        <v>266.2412214050475</v>
      </c>
      <c r="N95" t="s">
        <v>3</v>
      </c>
      <c r="O95" s="2">
        <v>67.880010625814862</v>
      </c>
      <c r="P95" s="10">
        <f t="shared" si="11"/>
        <v>94.61497453232208</v>
      </c>
      <c r="Q95" s="10">
        <f t="shared" si="11"/>
        <v>141.16194247050137</v>
      </c>
    </row>
    <row r="96" spans="1:17" x14ac:dyDescent="0.15">
      <c r="A96" s="34">
        <v>36770</v>
      </c>
      <c r="B96" t="s">
        <v>5</v>
      </c>
      <c r="C96" s="2">
        <f>SOJA!K94</f>
        <v>173.22664966607701</v>
      </c>
      <c r="D96" s="7">
        <f>TRIGO!K94</f>
        <v>113.12837116577784</v>
      </c>
      <c r="E96" s="2">
        <f>MAIZ!K94</f>
        <v>72.925726867195635</v>
      </c>
      <c r="F96" s="3">
        <f>GIRASOL!K94</f>
        <v>138.03998645265511</v>
      </c>
      <c r="G96" s="3"/>
      <c r="H96" s="3"/>
      <c r="J96" s="5"/>
      <c r="K96" s="25">
        <f t="shared" si="7"/>
        <v>144.8912045084619</v>
      </c>
      <c r="L96" s="10">
        <f t="shared" si="10"/>
        <v>178.61765507110297</v>
      </c>
      <c r="M96" s="10">
        <f t="shared" si="10"/>
        <v>266.2412214050475</v>
      </c>
      <c r="N96" t="s">
        <v>5</v>
      </c>
      <c r="O96" s="2">
        <v>69.43525545358149</v>
      </c>
      <c r="P96" s="10">
        <f t="shared" si="11"/>
        <v>94.61497453232208</v>
      </c>
      <c r="Q96" s="10">
        <f t="shared" si="11"/>
        <v>141.16194247050137</v>
      </c>
    </row>
    <row r="97" spans="1:17" x14ac:dyDescent="0.15">
      <c r="A97" s="34">
        <v>36800</v>
      </c>
      <c r="B97" t="s">
        <v>6</v>
      </c>
      <c r="C97" s="2">
        <f>SOJA!K95</f>
        <v>169.35642302237591</v>
      </c>
      <c r="D97" s="7">
        <f>TRIGO!K95</f>
        <v>123.22262065347603</v>
      </c>
      <c r="E97" s="2">
        <f>MAIZ!K95</f>
        <v>76.547385557462377</v>
      </c>
      <c r="F97" s="3">
        <f>GIRASOL!K95</f>
        <v>144.13312597649013</v>
      </c>
      <c r="G97" s="3"/>
      <c r="H97" s="3"/>
      <c r="J97" s="5"/>
      <c r="K97" s="25">
        <f t="shared" si="7"/>
        <v>144.95063077313617</v>
      </c>
      <c r="L97" s="10">
        <f t="shared" si="10"/>
        <v>178.61765507110297</v>
      </c>
      <c r="M97" s="10">
        <f t="shared" si="10"/>
        <v>266.2412214050475</v>
      </c>
      <c r="N97" t="s">
        <v>6</v>
      </c>
      <c r="O97" s="2">
        <v>71.559497027270922</v>
      </c>
      <c r="P97" s="10">
        <f t="shared" si="11"/>
        <v>94.61497453232208</v>
      </c>
      <c r="Q97" s="10">
        <f t="shared" si="11"/>
        <v>141.16194247050137</v>
      </c>
    </row>
    <row r="98" spans="1:17" x14ac:dyDescent="0.15">
      <c r="A98" s="34">
        <v>36831</v>
      </c>
      <c r="B98" t="s">
        <v>7</v>
      </c>
      <c r="C98" s="2">
        <f>SOJA!K96</f>
        <v>171.2166919855616</v>
      </c>
      <c r="D98" s="7">
        <f>TRIGO!K96</f>
        <v>121.10071149566819</v>
      </c>
      <c r="E98" s="2">
        <f>MAIZ!K96</f>
        <v>78.856277252993252</v>
      </c>
      <c r="F98" s="3">
        <f>GIRASOL!K96</f>
        <v>144.94534771264472</v>
      </c>
      <c r="G98" s="3"/>
      <c r="H98" s="3"/>
      <c r="J98" s="5"/>
      <c r="K98" s="25">
        <f t="shared" si="7"/>
        <v>146.2416505184903</v>
      </c>
      <c r="L98" s="10">
        <f t="shared" si="10"/>
        <v>178.61765507110297</v>
      </c>
      <c r="M98" s="10">
        <f t="shared" si="10"/>
        <v>266.2412214050475</v>
      </c>
      <c r="N98" t="s">
        <v>7</v>
      </c>
      <c r="O98" s="2">
        <v>74.785919622166261</v>
      </c>
      <c r="P98" s="10">
        <f t="shared" si="11"/>
        <v>94.61497453232208</v>
      </c>
      <c r="Q98" s="10">
        <f t="shared" si="11"/>
        <v>141.16194247050137</v>
      </c>
    </row>
    <row r="99" spans="1:17" x14ac:dyDescent="0.15">
      <c r="A99" s="34">
        <v>36861</v>
      </c>
      <c r="B99" t="s">
        <v>33</v>
      </c>
      <c r="C99" s="2">
        <f>SOJA!K97</f>
        <v>186.04855670933031</v>
      </c>
      <c r="D99" s="7">
        <f>TRIGO!K97</f>
        <v>109.09456629992326</v>
      </c>
      <c r="E99" s="2">
        <f>MAIZ!K97</f>
        <v>88.404217518903337</v>
      </c>
      <c r="F99" s="3">
        <f>GIRASOL!K97</f>
        <v>152.46906110813413</v>
      </c>
      <c r="G99" s="3"/>
      <c r="H99" s="3"/>
      <c r="J99" s="5"/>
      <c r="K99" s="25">
        <f t="shared" si="7"/>
        <v>155.77597296270645</v>
      </c>
      <c r="L99" s="10">
        <f t="shared" si="10"/>
        <v>178.61765507110297</v>
      </c>
      <c r="M99" s="10">
        <f t="shared" si="10"/>
        <v>266.2412214050475</v>
      </c>
      <c r="N99" t="s">
        <v>33</v>
      </c>
      <c r="O99" s="2">
        <v>82.265388192272795</v>
      </c>
      <c r="P99" s="10">
        <f t="shared" si="11"/>
        <v>94.61497453232208</v>
      </c>
      <c r="Q99" s="10">
        <f t="shared" si="11"/>
        <v>141.16194247050137</v>
      </c>
    </row>
    <row r="100" spans="1:17" x14ac:dyDescent="0.15">
      <c r="A100" s="34">
        <v>36892</v>
      </c>
      <c r="B100" t="s">
        <v>0</v>
      </c>
      <c r="C100" s="9">
        <f>SOJA!K98</f>
        <v>186.66351886621842</v>
      </c>
      <c r="D100" s="7">
        <f>TRIGO!K98</f>
        <v>115.49681986289484</v>
      </c>
      <c r="E100" s="2">
        <f>MAIZ!K98</f>
        <v>85.44886672783278</v>
      </c>
      <c r="F100" s="3">
        <f>GIRASOL!K98</f>
        <v>154.04270974396667</v>
      </c>
      <c r="G100" s="3"/>
      <c r="H100" s="3"/>
      <c r="J100" s="5"/>
      <c r="K100" s="25">
        <f t="shared" si="7"/>
        <v>156.67801526947133</v>
      </c>
      <c r="L100" s="10">
        <f t="shared" si="10"/>
        <v>178.61765507110297</v>
      </c>
      <c r="M100" s="10">
        <f t="shared" si="10"/>
        <v>266.2412214050475</v>
      </c>
      <c r="N100" t="s">
        <v>0</v>
      </c>
      <c r="O100" s="2">
        <v>78.507562009878043</v>
      </c>
      <c r="P100" s="10">
        <f t="shared" si="11"/>
        <v>94.61497453232208</v>
      </c>
      <c r="Q100" s="10">
        <f t="shared" si="11"/>
        <v>141.16194247050137</v>
      </c>
    </row>
    <row r="101" spans="1:17" x14ac:dyDescent="0.15">
      <c r="A101" s="34">
        <v>36923</v>
      </c>
      <c r="B101" t="s">
        <v>1</v>
      </c>
      <c r="C101" s="9">
        <f>SOJA!K99</f>
        <v>169.70835811903433</v>
      </c>
      <c r="D101" s="7">
        <f>TRIGO!K99</f>
        <v>117.55587135229997</v>
      </c>
      <c r="E101" s="2">
        <f>MAIZ!K99</f>
        <v>80.878439490382391</v>
      </c>
      <c r="F101" s="3">
        <f>GIRASOL!K99</f>
        <v>149.74266892855971</v>
      </c>
      <c r="G101" s="3"/>
      <c r="H101" s="3"/>
      <c r="J101" s="5"/>
      <c r="K101" s="25">
        <f t="shared" si="7"/>
        <v>145.40263523063345</v>
      </c>
      <c r="L101" s="10">
        <f t="shared" si="10"/>
        <v>178.61765507110297</v>
      </c>
      <c r="M101" s="10">
        <f t="shared" si="10"/>
        <v>266.2412214050475</v>
      </c>
      <c r="N101" t="s">
        <v>1</v>
      </c>
      <c r="O101" s="2">
        <v>77.335841810620622</v>
      </c>
      <c r="P101" s="10">
        <f t="shared" si="11"/>
        <v>94.61497453232208</v>
      </c>
      <c r="Q101" s="10">
        <f t="shared" si="11"/>
        <v>141.16194247050137</v>
      </c>
    </row>
    <row r="102" spans="1:17" x14ac:dyDescent="0.15">
      <c r="A102" s="34">
        <v>36951</v>
      </c>
      <c r="B102" t="s">
        <v>2</v>
      </c>
      <c r="C102" s="9">
        <f>SOJA!K100</f>
        <v>161.9589989512489</v>
      </c>
      <c r="D102" s="7">
        <f>TRIGO!K100</f>
        <v>115.031716085768</v>
      </c>
      <c r="E102" s="2">
        <f>MAIZ!K100</f>
        <v>79.202165173807472</v>
      </c>
      <c r="F102" s="3">
        <f>GIRASOL!K100</f>
        <v>146.49100466938808</v>
      </c>
      <c r="G102" s="3"/>
      <c r="H102" s="3"/>
      <c r="J102" s="5"/>
      <c r="K102" s="25">
        <f t="shared" si="7"/>
        <v>139.73666041859155</v>
      </c>
      <c r="L102" s="10">
        <f t="shared" ref="L102:M117" si="12">+L101</f>
        <v>178.61765507110297</v>
      </c>
      <c r="M102" s="10">
        <f t="shared" si="12"/>
        <v>266.2412214050475</v>
      </c>
      <c r="N102" t="s">
        <v>2</v>
      </c>
      <c r="O102" s="2">
        <v>74.105818869731806</v>
      </c>
      <c r="P102" s="10">
        <f t="shared" si="11"/>
        <v>94.61497453232208</v>
      </c>
      <c r="Q102" s="10">
        <f t="shared" si="11"/>
        <v>141.16194247050137</v>
      </c>
    </row>
    <row r="103" spans="1:17" x14ac:dyDescent="0.15">
      <c r="A103" s="34">
        <v>36982</v>
      </c>
      <c r="B103" t="s">
        <v>3</v>
      </c>
      <c r="C103" s="9">
        <f>SOJA!K101</f>
        <v>137.81240696633509</v>
      </c>
      <c r="D103" s="7">
        <f>TRIGO!K101</f>
        <v>116.67547746819659</v>
      </c>
      <c r="E103" s="2">
        <f>MAIZ!K101</f>
        <v>74.672305579645823</v>
      </c>
      <c r="F103" s="3">
        <f>GIRASOL!K101</f>
        <v>148.62122319898882</v>
      </c>
      <c r="G103" s="3"/>
      <c r="H103" s="3"/>
      <c r="J103" s="5"/>
      <c r="K103" s="25">
        <f t="shared" si="7"/>
        <v>124.29817681842968</v>
      </c>
      <c r="L103" s="10">
        <f t="shared" si="12"/>
        <v>178.61765507110297</v>
      </c>
      <c r="M103" s="10">
        <f t="shared" si="12"/>
        <v>266.2412214050475</v>
      </c>
      <c r="N103" t="s">
        <v>3</v>
      </c>
      <c r="O103" s="2">
        <v>69.518384201388898</v>
      </c>
      <c r="P103" s="10">
        <f t="shared" si="11"/>
        <v>94.61497453232208</v>
      </c>
      <c r="Q103" s="10">
        <f t="shared" si="11"/>
        <v>141.16194247050137</v>
      </c>
    </row>
    <row r="104" spans="1:17" x14ac:dyDescent="0.15">
      <c r="A104" s="34">
        <v>37012</v>
      </c>
      <c r="B104" t="s">
        <v>2</v>
      </c>
      <c r="C104" s="9">
        <f>SOJA!K102</f>
        <v>141.25593434047764</v>
      </c>
      <c r="D104" s="7">
        <f>TRIGO!K102</f>
        <v>123.07041571527704</v>
      </c>
      <c r="E104" s="2">
        <f>MAIZ!K102</f>
        <v>76.452834004944833</v>
      </c>
      <c r="F104" s="3">
        <f>GIRASOL!K102</f>
        <v>148.45368895655292</v>
      </c>
      <c r="G104" s="3"/>
      <c r="H104" s="3"/>
      <c r="J104" s="5"/>
      <c r="K104" s="25">
        <f t="shared" si="7"/>
        <v>127.68467848867482</v>
      </c>
      <c r="L104" s="10">
        <f t="shared" si="12"/>
        <v>178.61765507110297</v>
      </c>
      <c r="M104" s="10">
        <f t="shared" si="12"/>
        <v>266.2412214050475</v>
      </c>
      <c r="N104" t="s">
        <v>2</v>
      </c>
      <c r="O104" s="2">
        <v>71.547497714381052</v>
      </c>
      <c r="P104" s="10">
        <f t="shared" si="11"/>
        <v>94.61497453232208</v>
      </c>
      <c r="Q104" s="10">
        <f t="shared" si="11"/>
        <v>141.16194247050137</v>
      </c>
    </row>
    <row r="105" spans="1:17" x14ac:dyDescent="0.15">
      <c r="A105" s="34">
        <v>37043</v>
      </c>
      <c r="B105" t="s">
        <v>4</v>
      </c>
      <c r="C105" s="9">
        <f>SOJA!K103</f>
        <v>150.49706059458455</v>
      </c>
      <c r="D105" s="7">
        <f>TRIGO!K103</f>
        <v>122.13382781257251</v>
      </c>
      <c r="E105" s="2">
        <f>MAIZ!K103</f>
        <v>77.038260620238049</v>
      </c>
      <c r="F105" s="3">
        <f>GIRASOL!K103</f>
        <v>155.03010458839734</v>
      </c>
      <c r="G105" s="3"/>
      <c r="H105" s="3"/>
      <c r="J105" s="5"/>
      <c r="K105" s="25">
        <f t="shared" si="7"/>
        <v>133.76398129693962</v>
      </c>
      <c r="L105" s="10">
        <f t="shared" si="12"/>
        <v>178.61765507110297</v>
      </c>
      <c r="M105" s="10">
        <f t="shared" si="12"/>
        <v>266.2412214050475</v>
      </c>
      <c r="N105" t="s">
        <v>4</v>
      </c>
      <c r="O105" s="2">
        <v>74.359509386973187</v>
      </c>
      <c r="P105" s="10">
        <f t="shared" ref="P105:Q120" si="13">+P104</f>
        <v>94.61497453232208</v>
      </c>
      <c r="Q105" s="10">
        <f t="shared" si="13"/>
        <v>141.16194247050137</v>
      </c>
    </row>
    <row r="106" spans="1:17" x14ac:dyDescent="0.15">
      <c r="A106" s="34">
        <v>37073</v>
      </c>
      <c r="B106" t="s">
        <v>4</v>
      </c>
      <c r="C106" s="9">
        <f>SOJA!K104</f>
        <v>172.10663955404385</v>
      </c>
      <c r="D106" s="7">
        <f>TRIGO!K104</f>
        <v>118.58301148856512</v>
      </c>
      <c r="E106" s="2">
        <f>MAIZ!K104</f>
        <v>83.48244008794984</v>
      </c>
      <c r="F106" s="3">
        <f>GIRASOL!K104</f>
        <v>168.44479615927699</v>
      </c>
      <c r="G106" s="3"/>
      <c r="H106" s="3"/>
      <c r="J106" s="5"/>
      <c r="K106" s="25">
        <f t="shared" si="7"/>
        <v>148.55244217191702</v>
      </c>
      <c r="L106" s="10">
        <f t="shared" si="12"/>
        <v>178.61765507110297</v>
      </c>
      <c r="M106" s="10">
        <f t="shared" si="12"/>
        <v>266.2412214050475</v>
      </c>
      <c r="N106" t="s">
        <v>4</v>
      </c>
      <c r="O106" s="2">
        <v>80.915864144581576</v>
      </c>
      <c r="P106" s="10">
        <f t="shared" si="13"/>
        <v>94.61497453232208</v>
      </c>
      <c r="Q106" s="10">
        <f t="shared" si="13"/>
        <v>141.16194247050137</v>
      </c>
    </row>
    <row r="107" spans="1:17" x14ac:dyDescent="0.15">
      <c r="A107" s="34">
        <v>37104</v>
      </c>
      <c r="B107" t="s">
        <v>3</v>
      </c>
      <c r="C107" s="9">
        <f>SOJA!K105</f>
        <v>172.62646290620964</v>
      </c>
      <c r="D107" s="7">
        <f>TRIGO!K105</f>
        <v>116.41886634023514</v>
      </c>
      <c r="E107" s="2">
        <f>MAIZ!K105</f>
        <v>85.184536346513511</v>
      </c>
      <c r="F107" s="3">
        <f>GIRASOL!K105</f>
        <v>173.53983043481389</v>
      </c>
      <c r="G107" s="3"/>
      <c r="H107" s="3"/>
      <c r="J107" s="5"/>
      <c r="K107" s="25">
        <f t="shared" si="7"/>
        <v>149.13936014502394</v>
      </c>
      <c r="L107" s="10">
        <f t="shared" si="12"/>
        <v>178.61765507110297</v>
      </c>
      <c r="M107" s="10">
        <f t="shared" si="12"/>
        <v>266.2412214050475</v>
      </c>
      <c r="N107" t="s">
        <v>3</v>
      </c>
      <c r="O107" s="2">
        <v>83.577775631915543</v>
      </c>
      <c r="P107" s="10">
        <f t="shared" si="13"/>
        <v>94.61497453232208</v>
      </c>
      <c r="Q107" s="10">
        <f t="shared" si="13"/>
        <v>141.16194247050137</v>
      </c>
    </row>
    <row r="108" spans="1:17" x14ac:dyDescent="0.15">
      <c r="A108" s="34">
        <v>37135</v>
      </c>
      <c r="B108" t="s">
        <v>5</v>
      </c>
      <c r="C108" s="9">
        <f>SOJA!K106</f>
        <v>164.41904938060372</v>
      </c>
      <c r="D108" s="7">
        <f>TRIGO!K106</f>
        <v>113.5882897275328</v>
      </c>
      <c r="E108" s="2">
        <f>MAIZ!K106</f>
        <v>84.244648214586832</v>
      </c>
      <c r="F108" s="3">
        <f>GIRASOL!K106</f>
        <v>174.46688017608506</v>
      </c>
      <c r="G108" s="3"/>
      <c r="H108" s="3"/>
      <c r="J108" s="5"/>
      <c r="K108" s="25">
        <f t="shared" si="7"/>
        <v>143.50698010643731</v>
      </c>
      <c r="L108" s="10">
        <f t="shared" si="12"/>
        <v>178.61765507110297</v>
      </c>
      <c r="M108" s="10">
        <f t="shared" si="12"/>
        <v>266.2412214050475</v>
      </c>
      <c r="N108" t="s">
        <v>5</v>
      </c>
      <c r="O108" s="2">
        <v>81.364027508550919</v>
      </c>
      <c r="P108" s="10">
        <f t="shared" si="13"/>
        <v>94.61497453232208</v>
      </c>
      <c r="Q108" s="10">
        <f t="shared" si="13"/>
        <v>141.16194247050137</v>
      </c>
    </row>
    <row r="109" spans="1:17" x14ac:dyDescent="0.15">
      <c r="A109" s="34">
        <v>37165</v>
      </c>
      <c r="B109" t="s">
        <v>6</v>
      </c>
      <c r="C109" s="9">
        <f>SOJA!K107</f>
        <v>158.21253490300015</v>
      </c>
      <c r="D109" s="7">
        <f>TRIGO!K107</f>
        <v>120.10350281827942</v>
      </c>
      <c r="E109" s="2">
        <f>MAIZ!K107</f>
        <v>83.881811492131675</v>
      </c>
      <c r="F109" s="3">
        <f>GIRASOL!K107</f>
        <v>192.24662671352925</v>
      </c>
      <c r="G109" s="3"/>
      <c r="H109" s="3"/>
      <c r="J109" s="5"/>
      <c r="K109" s="25">
        <f t="shared" si="7"/>
        <v>141.5491627341851</v>
      </c>
      <c r="L109" s="10">
        <f t="shared" si="12"/>
        <v>178.61765507110297</v>
      </c>
      <c r="M109" s="10">
        <f t="shared" si="12"/>
        <v>266.2412214050475</v>
      </c>
      <c r="N109" t="s">
        <v>6</v>
      </c>
      <c r="O109" s="2">
        <v>82.833595287414965</v>
      </c>
      <c r="P109" s="10">
        <f t="shared" si="13"/>
        <v>94.61497453232208</v>
      </c>
      <c r="Q109" s="10">
        <f t="shared" si="13"/>
        <v>141.16194247050137</v>
      </c>
    </row>
    <row r="110" spans="1:17" x14ac:dyDescent="0.15">
      <c r="A110" s="34">
        <v>37196</v>
      </c>
      <c r="B110" t="s">
        <v>7</v>
      </c>
      <c r="C110" s="9">
        <f>SOJA!K108</f>
        <v>164.51833720440925</v>
      </c>
      <c r="D110" s="7">
        <f>TRIGO!K108</f>
        <v>113.97614325740643</v>
      </c>
      <c r="E110" s="2">
        <f>MAIZ!K108</f>
        <v>89.073792629737795</v>
      </c>
      <c r="F110" s="3">
        <f>GIRASOL!K108</f>
        <v>228.29229937915215</v>
      </c>
      <c r="G110" s="3"/>
      <c r="H110" s="3"/>
      <c r="J110" s="5"/>
      <c r="K110" s="25">
        <f t="shared" si="7"/>
        <v>147.49891604479805</v>
      </c>
      <c r="L110" s="10">
        <f t="shared" si="12"/>
        <v>178.61765507110297</v>
      </c>
      <c r="M110" s="10">
        <f t="shared" si="12"/>
        <v>266.2412214050475</v>
      </c>
      <c r="N110" t="s">
        <v>7</v>
      </c>
      <c r="O110" s="2">
        <v>86.501280905337154</v>
      </c>
      <c r="P110" s="10">
        <f t="shared" si="13"/>
        <v>94.61497453232208</v>
      </c>
      <c r="Q110" s="10">
        <f t="shared" si="13"/>
        <v>141.16194247050137</v>
      </c>
    </row>
    <row r="111" spans="1:17" x14ac:dyDescent="0.15">
      <c r="A111" s="34">
        <v>37226</v>
      </c>
      <c r="B111" t="s">
        <v>20</v>
      </c>
      <c r="C111" s="9">
        <f>SOJA!K109</f>
        <v>173.93332705395923</v>
      </c>
      <c r="D111" s="7">
        <f>TRIGO!K109</f>
        <v>109.75617361207372</v>
      </c>
      <c r="E111" s="2">
        <f>MAIZ!K109</f>
        <v>98.679862513607574</v>
      </c>
      <c r="F111" s="3">
        <f>GIRASOL!K109</f>
        <v>246.81041939500358</v>
      </c>
      <c r="G111" s="3"/>
      <c r="H111" s="3"/>
      <c r="J111" s="5"/>
      <c r="K111" s="25">
        <f t="shared" si="7"/>
        <v>155.44530597532389</v>
      </c>
      <c r="L111" s="10">
        <f t="shared" si="12"/>
        <v>178.61765507110297</v>
      </c>
      <c r="M111" s="10">
        <f t="shared" si="12"/>
        <v>266.2412214050475</v>
      </c>
      <c r="N111" t="s">
        <v>20</v>
      </c>
      <c r="O111" s="2">
        <v>90.859258750000009</v>
      </c>
      <c r="P111" s="10">
        <f t="shared" si="13"/>
        <v>94.61497453232208</v>
      </c>
      <c r="Q111" s="10">
        <f t="shared" si="13"/>
        <v>141.16194247050137</v>
      </c>
    </row>
    <row r="112" spans="1:17" x14ac:dyDescent="0.15">
      <c r="A112" s="34">
        <v>37257</v>
      </c>
      <c r="B112" t="s">
        <v>8</v>
      </c>
      <c r="C112" s="9">
        <f>SOJA!K110</f>
        <v>250.451083525245</v>
      </c>
      <c r="D112" s="7">
        <f>TRIGO!K110</f>
        <v>169.52273166823016</v>
      </c>
      <c r="E112" s="2">
        <f>MAIZ!K110</f>
        <v>150.02011652055768</v>
      </c>
      <c r="F112" s="3">
        <f>GIRASOL!K110</f>
        <v>354.68506048372842</v>
      </c>
      <c r="G112" s="3"/>
      <c r="H112" s="3"/>
      <c r="J112" s="5"/>
      <c r="K112" s="25">
        <f t="shared" si="7"/>
        <v>226.86782432015502</v>
      </c>
      <c r="L112" s="10">
        <f t="shared" si="12"/>
        <v>178.61765507110297</v>
      </c>
      <c r="M112" s="10">
        <f t="shared" si="12"/>
        <v>266.2412214050475</v>
      </c>
      <c r="N112" t="s">
        <v>8</v>
      </c>
      <c r="O112" s="2">
        <v>108.16045060763889</v>
      </c>
      <c r="P112" s="10">
        <f t="shared" si="13"/>
        <v>94.61497453232208</v>
      </c>
      <c r="Q112" s="10">
        <f t="shared" si="13"/>
        <v>141.16194247050137</v>
      </c>
    </row>
    <row r="113" spans="1:17" x14ac:dyDescent="0.15">
      <c r="A113" s="34">
        <v>37288</v>
      </c>
      <c r="B113" t="s">
        <v>1</v>
      </c>
      <c r="C113" s="9">
        <f>SOJA!K111</f>
        <v>327.08858444997378</v>
      </c>
      <c r="D113" s="7">
        <f>TRIGO!K111</f>
        <v>223.40011655791901</v>
      </c>
      <c r="E113" s="2">
        <f>MAIZ!K111</f>
        <v>184.88285508241572</v>
      </c>
      <c r="F113" s="3">
        <f>GIRASOL!K111</f>
        <v>401.47504567453956</v>
      </c>
      <c r="G113" s="3"/>
      <c r="H113" s="3"/>
      <c r="J113" s="5"/>
      <c r="K113" s="25">
        <f t="shared" si="7"/>
        <v>291.18356224505658</v>
      </c>
      <c r="L113" s="10">
        <f t="shared" si="12"/>
        <v>178.61765507110297</v>
      </c>
      <c r="M113" s="10">
        <f t="shared" si="12"/>
        <v>266.2412214050475</v>
      </c>
      <c r="N113" t="s">
        <v>1</v>
      </c>
      <c r="O113" s="2">
        <v>135.91455294746044</v>
      </c>
      <c r="P113" s="10">
        <f t="shared" si="13"/>
        <v>94.61497453232208</v>
      </c>
      <c r="Q113" s="10">
        <f t="shared" si="13"/>
        <v>141.16194247050137</v>
      </c>
    </row>
    <row r="114" spans="1:17" x14ac:dyDescent="0.15">
      <c r="A114" s="34">
        <v>37316</v>
      </c>
      <c r="B114" t="s">
        <v>2</v>
      </c>
      <c r="C114" s="9">
        <f>SOJA!K112</f>
        <v>327.73493132445208</v>
      </c>
      <c r="D114" s="7">
        <f>TRIGO!K112</f>
        <v>254.80524018735076</v>
      </c>
      <c r="E114" s="2">
        <f>MAIZ!K112</f>
        <v>190.55000570532317</v>
      </c>
      <c r="F114" s="3">
        <f>GIRASOL!K112</f>
        <v>444.6462226156309</v>
      </c>
      <c r="G114" s="3"/>
      <c r="H114" s="3"/>
      <c r="J114" s="5"/>
      <c r="K114" s="25">
        <f t="shared" si="7"/>
        <v>299.64441218308463</v>
      </c>
      <c r="L114" s="10">
        <f t="shared" si="12"/>
        <v>178.61765507110297</v>
      </c>
      <c r="M114" s="10">
        <f t="shared" si="12"/>
        <v>266.2412214050475</v>
      </c>
      <c r="N114" t="s">
        <v>2</v>
      </c>
      <c r="O114" s="2">
        <v>148.36243278374593</v>
      </c>
      <c r="P114" s="10">
        <f t="shared" si="13"/>
        <v>94.61497453232208</v>
      </c>
      <c r="Q114" s="10">
        <f t="shared" si="13"/>
        <v>141.16194247050137</v>
      </c>
    </row>
    <row r="115" spans="1:17" x14ac:dyDescent="0.15">
      <c r="A115" s="34">
        <v>37347</v>
      </c>
      <c r="B115" t="s">
        <v>3</v>
      </c>
      <c r="C115" s="9">
        <f>SOJA!K113</f>
        <v>301.92639609025576</v>
      </c>
      <c r="D115" s="7">
        <f>TRIGO!K113</f>
        <v>237.28341051418795</v>
      </c>
      <c r="E115" s="2">
        <f>MAIZ!K113</f>
        <v>166.48110253818027</v>
      </c>
      <c r="F115" s="3">
        <f>GIRASOL!K113</f>
        <v>420.86709758035653</v>
      </c>
      <c r="G115" s="3"/>
      <c r="H115" s="3"/>
      <c r="J115" s="5"/>
      <c r="K115" s="25">
        <f t="shared" si="7"/>
        <v>275.47763202147848</v>
      </c>
      <c r="L115" s="10">
        <f t="shared" si="12"/>
        <v>178.61765507110297</v>
      </c>
      <c r="M115" s="10">
        <f t="shared" si="12"/>
        <v>266.2412214050475</v>
      </c>
      <c r="N115" t="s">
        <v>3</v>
      </c>
      <c r="O115" s="2">
        <v>150.59125207187387</v>
      </c>
      <c r="P115" s="10">
        <f t="shared" si="13"/>
        <v>94.61497453232208</v>
      </c>
      <c r="Q115" s="10">
        <f t="shared" si="13"/>
        <v>141.16194247050137</v>
      </c>
    </row>
    <row r="116" spans="1:17" x14ac:dyDescent="0.15">
      <c r="A116" s="34">
        <v>37377</v>
      </c>
      <c r="B116" t="s">
        <v>2</v>
      </c>
      <c r="C116" s="9">
        <f>SOJA!K114</f>
        <v>353.39243963083675</v>
      </c>
      <c r="D116" s="7">
        <f>TRIGO!K114</f>
        <v>283.95626034367297</v>
      </c>
      <c r="E116" s="2">
        <f>MAIZ!K114</f>
        <v>185.82431743078598</v>
      </c>
      <c r="F116" s="3">
        <f>GIRASOL!K114</f>
        <v>455.21737986345073</v>
      </c>
      <c r="G116" s="3"/>
      <c r="H116" s="3"/>
      <c r="J116" s="5"/>
      <c r="K116" s="25">
        <f t="shared" si="7"/>
        <v>319.67517403581303</v>
      </c>
      <c r="L116" s="10">
        <f t="shared" si="12"/>
        <v>178.61765507110297</v>
      </c>
      <c r="M116" s="10">
        <f t="shared" si="12"/>
        <v>266.2412214050475</v>
      </c>
      <c r="N116" t="s">
        <v>2</v>
      </c>
      <c r="O116" s="2">
        <v>182.52636764841486</v>
      </c>
      <c r="P116" s="10">
        <f t="shared" si="13"/>
        <v>94.61497453232208</v>
      </c>
      <c r="Q116" s="10">
        <f t="shared" si="13"/>
        <v>141.16194247050137</v>
      </c>
    </row>
    <row r="117" spans="1:17" x14ac:dyDescent="0.15">
      <c r="A117" s="34">
        <v>37408</v>
      </c>
      <c r="B117" t="s">
        <v>4</v>
      </c>
      <c r="C117" s="9">
        <f>SOJA!K115</f>
        <v>391.09734383900212</v>
      </c>
      <c r="D117" s="7">
        <f>TRIGO!K115</f>
        <v>330.67332089294024</v>
      </c>
      <c r="E117" s="2">
        <f>MAIZ!K115</f>
        <v>202.31986080949633</v>
      </c>
      <c r="F117" s="3">
        <f>GIRASOL!K115</f>
        <v>478.4701546966516</v>
      </c>
      <c r="G117" s="3"/>
      <c r="H117" s="3"/>
      <c r="J117" s="5"/>
      <c r="K117" s="25">
        <f t="shared" si="7"/>
        <v>354.20267007150636</v>
      </c>
      <c r="L117" s="10">
        <f t="shared" si="12"/>
        <v>178.61765507110297</v>
      </c>
      <c r="M117" s="10">
        <f t="shared" si="12"/>
        <v>266.2412214050475</v>
      </c>
      <c r="N117" t="s">
        <v>4</v>
      </c>
      <c r="O117" s="2">
        <v>196.55587777036226</v>
      </c>
      <c r="P117" s="10">
        <f t="shared" si="13"/>
        <v>94.61497453232208</v>
      </c>
      <c r="Q117" s="10">
        <f t="shared" si="13"/>
        <v>141.16194247050137</v>
      </c>
    </row>
    <row r="118" spans="1:17" x14ac:dyDescent="0.15">
      <c r="A118" s="34">
        <v>37438</v>
      </c>
      <c r="B118" t="s">
        <v>4</v>
      </c>
      <c r="C118" s="9">
        <f>SOJA!K116</f>
        <v>408.45517028156081</v>
      </c>
      <c r="D118" s="7">
        <f>TRIGO!K116</f>
        <v>352.13224308667003</v>
      </c>
      <c r="E118" s="2">
        <f>MAIZ!K116</f>
        <v>204.19502853546544</v>
      </c>
      <c r="F118" s="3">
        <f>GIRASOL!K116</f>
        <v>458.2667764134585</v>
      </c>
      <c r="G118" s="3"/>
      <c r="H118" s="3"/>
      <c r="J118" s="5"/>
      <c r="K118" s="25">
        <f t="shared" si="7"/>
        <v>367.35358103189606</v>
      </c>
      <c r="L118" s="10">
        <f t="shared" ref="L118:M133" si="14">+L117</f>
        <v>178.61765507110297</v>
      </c>
      <c r="M118" s="10">
        <f t="shared" si="14"/>
        <v>266.2412214050475</v>
      </c>
      <c r="N118" t="s">
        <v>4</v>
      </c>
      <c r="O118" s="2">
        <v>192.8448935271141</v>
      </c>
      <c r="P118" s="10">
        <f t="shared" si="13"/>
        <v>94.61497453232208</v>
      </c>
      <c r="Q118" s="10">
        <f t="shared" si="13"/>
        <v>141.16194247050137</v>
      </c>
    </row>
    <row r="119" spans="1:17" x14ac:dyDescent="0.15">
      <c r="A119" s="34">
        <v>37469</v>
      </c>
      <c r="B119" t="s">
        <v>3</v>
      </c>
      <c r="C119" s="9">
        <f>SOJA!K117</f>
        <v>410.35426352392807</v>
      </c>
      <c r="D119" s="7">
        <f>TRIGO!K117</f>
        <v>364.35450701347668</v>
      </c>
      <c r="E119" s="2">
        <f>MAIZ!K117</f>
        <v>212.54012909119476</v>
      </c>
      <c r="F119" s="3">
        <f>GIRASOL!K117</f>
        <v>451.00256321261912</v>
      </c>
      <c r="G119" s="3"/>
      <c r="H119" s="3"/>
      <c r="J119" s="5"/>
      <c r="K119" s="25">
        <f t="shared" si="7"/>
        <v>371.38484172607633</v>
      </c>
      <c r="L119" s="10">
        <f t="shared" si="14"/>
        <v>178.61765507110297</v>
      </c>
      <c r="M119" s="10">
        <f t="shared" si="14"/>
        <v>266.2412214050475</v>
      </c>
      <c r="N119" t="s">
        <v>3</v>
      </c>
      <c r="O119" s="2">
        <v>202.10577277571252</v>
      </c>
      <c r="P119" s="10">
        <f t="shared" si="13"/>
        <v>94.61497453232208</v>
      </c>
      <c r="Q119" s="10">
        <f t="shared" si="13"/>
        <v>141.16194247050137</v>
      </c>
    </row>
    <row r="120" spans="1:17" x14ac:dyDescent="0.15">
      <c r="A120" s="34">
        <v>37500</v>
      </c>
      <c r="B120" t="s">
        <v>5</v>
      </c>
      <c r="C120" s="9">
        <f>SOJA!K118</f>
        <v>423.14346061379348</v>
      </c>
      <c r="D120" s="7">
        <f>TRIGO!K118</f>
        <v>394.22991458254796</v>
      </c>
      <c r="E120" s="2">
        <f>MAIZ!K118</f>
        <v>217.22872844344479</v>
      </c>
      <c r="F120" s="3">
        <f>GIRASOL!K118</f>
        <v>451.99415111018845</v>
      </c>
      <c r="G120" s="3"/>
      <c r="H120" s="3"/>
      <c r="J120" s="5"/>
      <c r="K120" s="25">
        <f t="shared" si="7"/>
        <v>384.62285073413074</v>
      </c>
      <c r="L120" s="10">
        <f t="shared" si="14"/>
        <v>178.61765507110297</v>
      </c>
      <c r="M120" s="10">
        <f t="shared" si="14"/>
        <v>266.2412214050475</v>
      </c>
      <c r="N120" t="s">
        <v>5</v>
      </c>
      <c r="O120" s="2">
        <v>207.68064967353823</v>
      </c>
      <c r="P120" s="10">
        <f t="shared" si="13"/>
        <v>94.61497453232208</v>
      </c>
      <c r="Q120" s="10">
        <f t="shared" si="13"/>
        <v>141.16194247050137</v>
      </c>
    </row>
    <row r="121" spans="1:17" x14ac:dyDescent="0.15">
      <c r="A121" s="34">
        <v>37530</v>
      </c>
      <c r="B121" t="s">
        <v>6</v>
      </c>
      <c r="C121" s="9">
        <f>SOJA!K119</f>
        <v>413.32461452490497</v>
      </c>
      <c r="D121" s="7">
        <f>TRIGO!K119</f>
        <v>369.91265090783412</v>
      </c>
      <c r="E121" s="2">
        <f>MAIZ!K119</f>
        <v>211.09145839849225</v>
      </c>
      <c r="F121" s="3">
        <f>GIRASOL!K119</f>
        <v>449.85097580850118</v>
      </c>
      <c r="G121" s="3"/>
      <c r="H121" s="3"/>
      <c r="J121" s="5"/>
      <c r="K121" s="25">
        <f t="shared" si="7"/>
        <v>373.73552613910715</v>
      </c>
      <c r="L121" s="10">
        <f t="shared" si="14"/>
        <v>178.61765507110297</v>
      </c>
      <c r="M121" s="10">
        <f t="shared" si="14"/>
        <v>266.2412214050475</v>
      </c>
      <c r="N121" t="s">
        <v>6</v>
      </c>
      <c r="O121" s="2">
        <v>202.87925871580902</v>
      </c>
      <c r="P121" s="10">
        <f t="shared" ref="P121:Q136" si="15">+P120</f>
        <v>94.61497453232208</v>
      </c>
      <c r="Q121" s="10">
        <f t="shared" si="15"/>
        <v>141.16194247050137</v>
      </c>
    </row>
    <row r="122" spans="1:17" x14ac:dyDescent="0.15">
      <c r="A122" s="34">
        <v>37561</v>
      </c>
      <c r="B122" t="s">
        <v>7</v>
      </c>
      <c r="C122" s="9">
        <f>SOJA!K120</f>
        <v>429.38045928730759</v>
      </c>
      <c r="D122" s="7">
        <f>TRIGO!K120</f>
        <v>272.89900725494874</v>
      </c>
      <c r="E122" s="2">
        <f>MAIZ!K120</f>
        <v>207.09357288141501</v>
      </c>
      <c r="F122" s="3">
        <f>GIRASOL!K120</f>
        <v>462.69446043890906</v>
      </c>
      <c r="G122" s="3"/>
      <c r="H122" s="3"/>
      <c r="J122" s="5"/>
      <c r="K122" s="25">
        <f t="shared" si="7"/>
        <v>369.41045812961801</v>
      </c>
      <c r="L122" s="10">
        <f t="shared" si="14"/>
        <v>178.61765507110297</v>
      </c>
      <c r="M122" s="10">
        <f t="shared" si="14"/>
        <v>266.2412214050475</v>
      </c>
      <c r="N122" t="s">
        <v>7</v>
      </c>
      <c r="O122" s="2">
        <v>199.14385972980847</v>
      </c>
      <c r="P122" s="10">
        <f t="shared" si="15"/>
        <v>94.61497453232208</v>
      </c>
      <c r="Q122" s="10">
        <f t="shared" si="15"/>
        <v>141.16194247050137</v>
      </c>
    </row>
    <row r="123" spans="1:17" x14ac:dyDescent="0.15">
      <c r="A123" s="34">
        <v>37591</v>
      </c>
      <c r="B123" t="s">
        <v>21</v>
      </c>
      <c r="C123" s="9">
        <f>SOJA!K121</f>
        <v>412.96799999109845</v>
      </c>
      <c r="D123" s="7">
        <f>TRIGO!K121</f>
        <v>248.41617212721522</v>
      </c>
      <c r="E123" s="2">
        <f>MAIZ!K121</f>
        <v>198.73293770177222</v>
      </c>
      <c r="F123" s="3">
        <f>GIRASOL!K121</f>
        <v>464.13217698114607</v>
      </c>
      <c r="G123" s="3"/>
      <c r="H123" s="3"/>
      <c r="J123" s="5"/>
      <c r="K123" s="25">
        <f t="shared" si="7"/>
        <v>354.21369988818844</v>
      </c>
      <c r="L123" s="10">
        <f t="shared" si="14"/>
        <v>178.61765507110297</v>
      </c>
      <c r="M123" s="10">
        <f t="shared" si="14"/>
        <v>266.2412214050475</v>
      </c>
      <c r="N123" t="s">
        <v>21</v>
      </c>
      <c r="O123" s="2">
        <v>191.25519774902475</v>
      </c>
      <c r="P123" s="10">
        <f t="shared" si="15"/>
        <v>94.61497453232208</v>
      </c>
      <c r="Q123" s="10">
        <f t="shared" si="15"/>
        <v>141.16194247050137</v>
      </c>
    </row>
    <row r="124" spans="1:17" x14ac:dyDescent="0.15">
      <c r="A124" s="34">
        <v>37622</v>
      </c>
      <c r="B124" t="s">
        <v>9</v>
      </c>
      <c r="C124" s="9">
        <f>SOJA!K122</f>
        <v>381.2997302491749</v>
      </c>
      <c r="D124" s="7">
        <f>TRIGO!K122</f>
        <v>249.43508310331563</v>
      </c>
      <c r="E124" s="2">
        <f>MAIZ!K122</f>
        <v>177.41509431996394</v>
      </c>
      <c r="F124" s="3">
        <f>GIRASOL!K122</f>
        <v>424.97282710590861</v>
      </c>
      <c r="G124" s="3"/>
      <c r="H124" s="3"/>
      <c r="J124" s="5"/>
      <c r="K124" s="25">
        <f t="shared" si="7"/>
        <v>328.75633328632546</v>
      </c>
      <c r="L124" s="10">
        <f t="shared" si="14"/>
        <v>178.61765507110297</v>
      </c>
      <c r="M124" s="10">
        <f t="shared" si="14"/>
        <v>266.2412214050475</v>
      </c>
      <c r="N124" t="s">
        <v>9</v>
      </c>
      <c r="O124" s="2">
        <v>167.26279208279524</v>
      </c>
      <c r="P124" s="10">
        <f t="shared" si="15"/>
        <v>94.61497453232208</v>
      </c>
      <c r="Q124" s="10">
        <f t="shared" si="15"/>
        <v>141.16194247050137</v>
      </c>
    </row>
    <row r="125" spans="1:17" x14ac:dyDescent="0.15">
      <c r="A125" s="34">
        <v>37653</v>
      </c>
      <c r="B125" t="s">
        <v>1</v>
      </c>
      <c r="C125" s="9">
        <f>SOJA!K123</f>
        <v>362.08174201891114</v>
      </c>
      <c r="D125" s="7">
        <f>TRIGO!K123</f>
        <v>249.60176360048035</v>
      </c>
      <c r="E125" s="2">
        <f>MAIZ!K123</f>
        <v>169.79711809556488</v>
      </c>
      <c r="F125" s="3">
        <f>GIRASOL!K123</f>
        <v>399.42649568005447</v>
      </c>
      <c r="G125" s="3"/>
      <c r="H125" s="3"/>
      <c r="J125" s="5"/>
      <c r="K125" s="25">
        <f t="shared" si="7"/>
        <v>314.06695218163804</v>
      </c>
      <c r="L125" s="10">
        <f t="shared" si="14"/>
        <v>178.61765507110297</v>
      </c>
      <c r="M125" s="10">
        <f t="shared" si="14"/>
        <v>266.2412214050475</v>
      </c>
      <c r="N125" t="s">
        <v>1</v>
      </c>
      <c r="O125" s="2">
        <v>158.96044742098883</v>
      </c>
      <c r="P125" s="10">
        <f t="shared" si="15"/>
        <v>94.61497453232208</v>
      </c>
      <c r="Q125" s="10">
        <f t="shared" si="15"/>
        <v>141.16194247050137</v>
      </c>
    </row>
    <row r="126" spans="1:17" x14ac:dyDescent="0.15">
      <c r="A126" s="34">
        <v>37681</v>
      </c>
      <c r="B126" t="s">
        <v>2</v>
      </c>
      <c r="C126" s="9">
        <f>SOJA!K124</f>
        <v>325.78340716752854</v>
      </c>
      <c r="D126" s="7">
        <f>TRIGO!K124</f>
        <v>247.32676964452901</v>
      </c>
      <c r="E126" s="2">
        <f>MAIZ!K124</f>
        <v>157.24086017135616</v>
      </c>
      <c r="F126" s="3">
        <f>GIRASOL!K124</f>
        <v>366.50633306346964</v>
      </c>
      <c r="G126" s="3"/>
      <c r="H126" s="3"/>
      <c r="J126" s="5"/>
      <c r="K126" s="25">
        <f t="shared" si="7"/>
        <v>287.12215769951922</v>
      </c>
      <c r="L126" s="10">
        <f t="shared" si="14"/>
        <v>178.61765507110297</v>
      </c>
      <c r="M126" s="10">
        <f t="shared" si="14"/>
        <v>266.2412214050475</v>
      </c>
      <c r="N126" t="s">
        <v>2</v>
      </c>
      <c r="O126" s="2">
        <v>140.0643837021538</v>
      </c>
      <c r="P126" s="10">
        <f t="shared" si="15"/>
        <v>94.61497453232208</v>
      </c>
      <c r="Q126" s="10">
        <f t="shared" si="15"/>
        <v>141.16194247050137</v>
      </c>
    </row>
    <row r="127" spans="1:17" x14ac:dyDescent="0.15">
      <c r="A127" s="34">
        <v>37712</v>
      </c>
      <c r="B127" t="s">
        <v>3</v>
      </c>
      <c r="C127" s="9">
        <f>SOJA!K125</f>
        <v>317.05104275119101</v>
      </c>
      <c r="D127" s="7">
        <f>TRIGO!K125</f>
        <v>231.318590242547</v>
      </c>
      <c r="E127" s="2">
        <f>MAIZ!K125</f>
        <v>151.12814562513071</v>
      </c>
      <c r="F127" s="3">
        <f>GIRASOL!K125</f>
        <v>339.17088294313453</v>
      </c>
      <c r="G127" s="3"/>
      <c r="H127" s="3"/>
      <c r="J127" s="5"/>
      <c r="K127" s="25">
        <f t="shared" si="7"/>
        <v>276.72338037850699</v>
      </c>
      <c r="L127" s="10">
        <f t="shared" si="14"/>
        <v>178.61765507110297</v>
      </c>
      <c r="M127" s="10">
        <f t="shared" si="14"/>
        <v>266.2412214050475</v>
      </c>
      <c r="N127" t="s">
        <v>3</v>
      </c>
      <c r="O127" s="2">
        <v>145.96326474327168</v>
      </c>
      <c r="P127" s="10">
        <f t="shared" si="15"/>
        <v>94.61497453232208</v>
      </c>
      <c r="Q127" s="10">
        <f t="shared" si="15"/>
        <v>141.16194247050137</v>
      </c>
    </row>
    <row r="128" spans="1:17" x14ac:dyDescent="0.15">
      <c r="A128" s="34">
        <v>37742</v>
      </c>
      <c r="B128" t="s">
        <v>2</v>
      </c>
      <c r="C128" s="9">
        <f>SOJA!K126</f>
        <v>324.91051927502036</v>
      </c>
      <c r="D128" s="7">
        <f>TRIGO!K126</f>
        <v>247.24750066213039</v>
      </c>
      <c r="E128" s="2">
        <f>MAIZ!K126</f>
        <v>159.26986238971588</v>
      </c>
      <c r="F128" s="3">
        <f>GIRASOL!K126</f>
        <v>340.86594656084731</v>
      </c>
      <c r="G128" s="3"/>
      <c r="H128" s="3"/>
      <c r="J128" s="5"/>
      <c r="K128" s="25">
        <f t="shared" si="7"/>
        <v>285.47711165491501</v>
      </c>
      <c r="L128" s="10">
        <f t="shared" si="14"/>
        <v>178.61765507110297</v>
      </c>
      <c r="M128" s="10">
        <f t="shared" si="14"/>
        <v>266.2412214050475</v>
      </c>
      <c r="N128" t="s">
        <v>2</v>
      </c>
      <c r="O128" s="2">
        <v>153.1928205949331</v>
      </c>
      <c r="P128" s="10">
        <f t="shared" si="15"/>
        <v>94.61497453232208</v>
      </c>
      <c r="Q128" s="10">
        <f t="shared" si="15"/>
        <v>141.16194247050137</v>
      </c>
    </row>
    <row r="129" spans="1:17" x14ac:dyDescent="0.15">
      <c r="A129" s="34">
        <v>37773</v>
      </c>
      <c r="B129" t="s">
        <v>4</v>
      </c>
      <c r="C129" s="9">
        <f>SOJA!K127</f>
        <v>323.01721517304145</v>
      </c>
      <c r="D129" s="7">
        <f>TRIGO!K127</f>
        <v>240.21033285199306</v>
      </c>
      <c r="E129" s="2">
        <f>MAIZ!K127</f>
        <v>154.63540177347056</v>
      </c>
      <c r="F129" s="3">
        <f>GIRASOL!K127</f>
        <v>356.03675272406349</v>
      </c>
      <c r="G129" s="3"/>
      <c r="H129" s="3"/>
      <c r="J129" s="5"/>
      <c r="K129" s="25">
        <f t="shared" si="7"/>
        <v>283.30733249396837</v>
      </c>
      <c r="L129" s="10">
        <f t="shared" si="14"/>
        <v>178.61765507110297</v>
      </c>
      <c r="M129" s="10">
        <f t="shared" si="14"/>
        <v>266.2412214050475</v>
      </c>
      <c r="N129" t="s">
        <v>4</v>
      </c>
      <c r="O129" s="2">
        <v>150.11789430555555</v>
      </c>
      <c r="P129" s="10">
        <f t="shared" si="15"/>
        <v>94.61497453232208</v>
      </c>
      <c r="Q129" s="10">
        <f t="shared" si="15"/>
        <v>141.16194247050137</v>
      </c>
    </row>
    <row r="130" spans="1:17" x14ac:dyDescent="0.15">
      <c r="A130" s="34">
        <v>37803</v>
      </c>
      <c r="B130" t="s">
        <v>4</v>
      </c>
      <c r="C130" s="9">
        <f>SOJA!K128</f>
        <v>309.37856467542582</v>
      </c>
      <c r="D130" s="7">
        <f>TRIGO!K128</f>
        <v>238.54978029851213</v>
      </c>
      <c r="E130" s="2">
        <f>MAIZ!K128</f>
        <v>143.12986817910729</v>
      </c>
      <c r="F130" s="3">
        <f>GIRASOL!K128</f>
        <v>363.55545618540822</v>
      </c>
      <c r="G130" s="3"/>
      <c r="H130" s="3"/>
      <c r="J130" s="5"/>
      <c r="K130" s="25">
        <f t="shared" si="7"/>
        <v>273.00173770005352</v>
      </c>
      <c r="L130" s="10">
        <f t="shared" si="14"/>
        <v>178.61765507110297</v>
      </c>
      <c r="M130" s="10">
        <f t="shared" si="14"/>
        <v>266.2412214050475</v>
      </c>
      <c r="N130" t="s">
        <v>4</v>
      </c>
      <c r="O130" s="2">
        <v>136.71417890992461</v>
      </c>
      <c r="P130" s="10">
        <f t="shared" si="15"/>
        <v>94.61497453232208</v>
      </c>
      <c r="Q130" s="10">
        <f t="shared" si="15"/>
        <v>141.16194247050137</v>
      </c>
    </row>
    <row r="131" spans="1:17" x14ac:dyDescent="0.15">
      <c r="A131" s="34">
        <v>37834</v>
      </c>
      <c r="B131" t="s">
        <v>3</v>
      </c>
      <c r="C131" s="9">
        <f>SOJA!K129</f>
        <v>324.75055263830063</v>
      </c>
      <c r="D131" s="7">
        <f>TRIGO!K129</f>
        <v>255.48523419167137</v>
      </c>
      <c r="E131" s="2">
        <f>MAIZ!K129</f>
        <v>155.7836793851655</v>
      </c>
      <c r="F131" s="3">
        <f>GIRASOL!K129</f>
        <v>379.86876570076447</v>
      </c>
      <c r="G131" s="3"/>
      <c r="H131" s="3"/>
      <c r="J131" s="5"/>
      <c r="K131" s="25">
        <f t="shared" si="7"/>
        <v>288.1842015508675</v>
      </c>
      <c r="L131" s="10">
        <f t="shared" si="14"/>
        <v>178.61765507110297</v>
      </c>
      <c r="M131" s="10">
        <f t="shared" si="14"/>
        <v>266.2412214050475</v>
      </c>
      <c r="N131" t="s">
        <v>3</v>
      </c>
      <c r="O131" s="2">
        <v>150.98782178387449</v>
      </c>
      <c r="P131" s="10">
        <f t="shared" si="15"/>
        <v>94.61497453232208</v>
      </c>
      <c r="Q131" s="10">
        <f t="shared" si="15"/>
        <v>141.16194247050137</v>
      </c>
    </row>
    <row r="132" spans="1:17" x14ac:dyDescent="0.15">
      <c r="A132" s="34">
        <v>37865</v>
      </c>
      <c r="B132" t="s">
        <v>5</v>
      </c>
      <c r="C132" s="9">
        <f>SOJA!K130</f>
        <v>355.29187654687905</v>
      </c>
      <c r="D132" s="7">
        <f>TRIGO!K130</f>
        <v>250.28902397920544</v>
      </c>
      <c r="E132" s="2">
        <f>MAIZ!K130</f>
        <v>161.67738194930041</v>
      </c>
      <c r="F132" s="3">
        <f>GIRASOL!K130</f>
        <v>359.75160721483149</v>
      </c>
      <c r="G132" s="3"/>
      <c r="H132" s="3"/>
      <c r="J132" s="5"/>
      <c r="K132" s="25">
        <f t="shared" si="7"/>
        <v>306.29799630463538</v>
      </c>
      <c r="L132" s="10">
        <f t="shared" si="14"/>
        <v>178.61765507110297</v>
      </c>
      <c r="M132" s="10">
        <f t="shared" si="14"/>
        <v>266.2412214050475</v>
      </c>
      <c r="N132" t="s">
        <v>5</v>
      </c>
      <c r="O132" s="2">
        <v>152.27734946617537</v>
      </c>
      <c r="P132" s="10">
        <f t="shared" si="15"/>
        <v>94.61497453232208</v>
      </c>
      <c r="Q132" s="10">
        <f t="shared" si="15"/>
        <v>141.16194247050137</v>
      </c>
    </row>
    <row r="133" spans="1:17" x14ac:dyDescent="0.15">
      <c r="A133" s="34">
        <v>37895</v>
      </c>
      <c r="B133" t="s">
        <v>6</v>
      </c>
      <c r="C133" s="9">
        <f>SOJA!K131</f>
        <v>402.87045915372158</v>
      </c>
      <c r="D133" s="7">
        <f>TRIGO!K131</f>
        <v>249.15735754815876</v>
      </c>
      <c r="E133" s="2">
        <f>MAIZ!K131</f>
        <v>154.02454830249815</v>
      </c>
      <c r="F133" s="3">
        <f>GIRASOL!K131</f>
        <v>343.6672733999489</v>
      </c>
      <c r="G133" s="3"/>
      <c r="H133" s="3"/>
      <c r="J133" s="5"/>
      <c r="K133" s="25">
        <f t="shared" ref="K133:K196" si="16">+C133*C$2+D133*D$2+E133*E$2+F133*F$2</f>
        <v>333.4716864130047</v>
      </c>
      <c r="L133" s="10">
        <f t="shared" si="14"/>
        <v>178.61765507110297</v>
      </c>
      <c r="M133" s="10">
        <f t="shared" si="14"/>
        <v>266.2412214050475</v>
      </c>
      <c r="N133" t="s">
        <v>6</v>
      </c>
      <c r="O133" s="2">
        <v>146.92282120464955</v>
      </c>
      <c r="P133" s="10">
        <f t="shared" si="15"/>
        <v>94.61497453232208</v>
      </c>
      <c r="Q133" s="10">
        <f t="shared" si="15"/>
        <v>141.16194247050137</v>
      </c>
    </row>
    <row r="134" spans="1:17" x14ac:dyDescent="0.15">
      <c r="A134" s="34">
        <v>37926</v>
      </c>
      <c r="B134" t="s">
        <v>7</v>
      </c>
      <c r="C134" s="9">
        <f>SOJA!K132</f>
        <v>425.16957943807421</v>
      </c>
      <c r="D134" s="7">
        <f>TRIGO!K132</f>
        <v>257.971682632127</v>
      </c>
      <c r="E134" s="2">
        <f>MAIZ!K132</f>
        <v>168.44033395391821</v>
      </c>
      <c r="F134" s="3">
        <f>GIRASOL!K132</f>
        <v>375.83249513467996</v>
      </c>
      <c r="G134" s="3"/>
      <c r="H134" s="3"/>
      <c r="J134" s="5"/>
      <c r="K134" s="25">
        <f t="shared" si="16"/>
        <v>352.96067965591914</v>
      </c>
      <c r="L134" s="10">
        <f t="shared" ref="L134:M149" si="17">+L133</f>
        <v>178.61765507110297</v>
      </c>
      <c r="M134" s="10">
        <f t="shared" si="17"/>
        <v>266.2412214050475</v>
      </c>
      <c r="N134" t="s">
        <v>7</v>
      </c>
      <c r="O134" s="2">
        <v>164.28896871984071</v>
      </c>
      <c r="P134" s="10">
        <f t="shared" si="15"/>
        <v>94.61497453232208</v>
      </c>
      <c r="Q134" s="10">
        <f t="shared" si="15"/>
        <v>141.16194247050137</v>
      </c>
    </row>
    <row r="135" spans="1:17" x14ac:dyDescent="0.15">
      <c r="A135" s="34">
        <v>37956</v>
      </c>
      <c r="B135" t="s">
        <v>22</v>
      </c>
      <c r="C135" s="9">
        <f>SOJA!K133</f>
        <v>438.71472581825589</v>
      </c>
      <c r="D135" s="7">
        <f>TRIGO!K133</f>
        <v>253.49905947358175</v>
      </c>
      <c r="E135" s="2">
        <f>MAIZ!K133</f>
        <v>180.40423864377601</v>
      </c>
      <c r="F135" s="3">
        <f>GIRASOL!K133</f>
        <v>398.56117464166977</v>
      </c>
      <c r="G135" s="3"/>
      <c r="H135" s="3"/>
      <c r="J135" s="5"/>
      <c r="K135" s="25">
        <f t="shared" si="16"/>
        <v>364.08541719356958</v>
      </c>
      <c r="L135" s="10">
        <f t="shared" si="17"/>
        <v>178.61765507110297</v>
      </c>
      <c r="M135" s="10">
        <f t="shared" si="17"/>
        <v>266.2412214050475</v>
      </c>
      <c r="N135" t="s">
        <v>22</v>
      </c>
      <c r="O135" s="2">
        <v>168.08652456638617</v>
      </c>
      <c r="P135" s="10">
        <f t="shared" si="15"/>
        <v>94.61497453232208</v>
      </c>
      <c r="Q135" s="10">
        <f t="shared" si="15"/>
        <v>141.16194247050137</v>
      </c>
    </row>
    <row r="136" spans="1:17" x14ac:dyDescent="0.15">
      <c r="A136" s="34">
        <v>37987</v>
      </c>
      <c r="B136" t="s">
        <v>10</v>
      </c>
      <c r="C136" s="9">
        <f>SOJA!K134</f>
        <v>451.00508119089659</v>
      </c>
      <c r="D136" s="7">
        <f>TRIGO!K134</f>
        <v>246.46956998667599</v>
      </c>
      <c r="E136" s="2">
        <f>MAIZ!K134</f>
        <v>174.96296634856628</v>
      </c>
      <c r="F136" s="3">
        <f>GIRASOL!K134</f>
        <v>394.2657322668806</v>
      </c>
      <c r="G136" s="3"/>
      <c r="H136" s="3"/>
      <c r="J136" s="5"/>
      <c r="K136" s="25">
        <f t="shared" si="16"/>
        <v>369.497936667239</v>
      </c>
      <c r="L136" s="10">
        <f t="shared" si="17"/>
        <v>178.61765507110297</v>
      </c>
      <c r="M136" s="10">
        <f t="shared" si="17"/>
        <v>266.2412214050475</v>
      </c>
      <c r="N136" t="s">
        <v>10</v>
      </c>
      <c r="O136" s="2">
        <v>164.252090735568</v>
      </c>
      <c r="P136" s="10">
        <f t="shared" si="15"/>
        <v>94.61497453232208</v>
      </c>
      <c r="Q136" s="10">
        <f t="shared" si="15"/>
        <v>141.16194247050137</v>
      </c>
    </row>
    <row r="137" spans="1:17" x14ac:dyDescent="0.15">
      <c r="A137" s="34">
        <v>38018</v>
      </c>
      <c r="B137" t="s">
        <v>1</v>
      </c>
      <c r="C137" s="9">
        <f>SOJA!K135</f>
        <v>466.16478614365269</v>
      </c>
      <c r="D137" s="7">
        <f>TRIGO!K135</f>
        <v>231.48232896022219</v>
      </c>
      <c r="E137" s="2">
        <f>MAIZ!K135</f>
        <v>176.29448894321558</v>
      </c>
      <c r="F137" s="3">
        <f>GIRASOL!K135</f>
        <v>403.12992512422795</v>
      </c>
      <c r="G137" s="3"/>
      <c r="H137" s="3"/>
      <c r="J137" s="5"/>
      <c r="K137" s="25">
        <f t="shared" si="16"/>
        <v>377.43968903154786</v>
      </c>
      <c r="L137" s="10">
        <f t="shared" si="17"/>
        <v>178.61765507110297</v>
      </c>
      <c r="M137" s="10">
        <f t="shared" si="17"/>
        <v>266.2412214050475</v>
      </c>
      <c r="N137" t="s">
        <v>1</v>
      </c>
      <c r="O137" s="2">
        <v>164.99534031091576</v>
      </c>
      <c r="P137" s="10">
        <f t="shared" ref="P137:Q152" si="18">+P136</f>
        <v>94.61497453232208</v>
      </c>
      <c r="Q137" s="10">
        <f t="shared" si="18"/>
        <v>141.16194247050137</v>
      </c>
    </row>
    <row r="138" spans="1:17" x14ac:dyDescent="0.15">
      <c r="A138" s="34">
        <v>38047</v>
      </c>
      <c r="B138" t="s">
        <v>2</v>
      </c>
      <c r="C138" s="9">
        <f>SOJA!K136</f>
        <v>470.36471245140189</v>
      </c>
      <c r="D138" s="7">
        <f>TRIGO!K136</f>
        <v>233.87154394311654</v>
      </c>
      <c r="E138" s="2">
        <f>MAIZ!K136</f>
        <v>167.48220243668345</v>
      </c>
      <c r="F138" s="3">
        <f>GIRASOL!K136</f>
        <v>391.00870268199355</v>
      </c>
      <c r="G138" s="3"/>
      <c r="H138" s="3"/>
      <c r="J138" s="5"/>
      <c r="K138" s="25">
        <f t="shared" si="16"/>
        <v>378.18590053116083</v>
      </c>
      <c r="L138" s="10">
        <f t="shared" si="17"/>
        <v>178.61765507110297</v>
      </c>
      <c r="M138" s="10">
        <f t="shared" si="17"/>
        <v>266.2412214050475</v>
      </c>
      <c r="N138" t="s">
        <v>2</v>
      </c>
      <c r="O138" s="2">
        <v>153.49686075820622</v>
      </c>
      <c r="P138" s="10">
        <f t="shared" si="18"/>
        <v>94.61497453232208</v>
      </c>
      <c r="Q138" s="10">
        <f t="shared" si="18"/>
        <v>141.16194247050137</v>
      </c>
    </row>
    <row r="139" spans="1:17" x14ac:dyDescent="0.15">
      <c r="A139" s="34">
        <v>38078</v>
      </c>
      <c r="B139" t="s">
        <v>3</v>
      </c>
      <c r="C139" s="9">
        <f>SOJA!K137</f>
        <v>452.61747616953994</v>
      </c>
      <c r="D139" s="7">
        <f>TRIGO!K137</f>
        <v>238.12361370333258</v>
      </c>
      <c r="E139" s="2">
        <f>MAIZ!K137</f>
        <v>179.68837107674787</v>
      </c>
      <c r="F139" s="3">
        <f>GIRASOL!K137</f>
        <v>377.18123014128332</v>
      </c>
      <c r="G139" s="3"/>
      <c r="H139" s="3"/>
      <c r="J139" s="5"/>
      <c r="K139" s="25">
        <f t="shared" si="16"/>
        <v>369.12823404231807</v>
      </c>
      <c r="L139" s="10">
        <f t="shared" si="17"/>
        <v>178.61765507110297</v>
      </c>
      <c r="M139" s="10">
        <f t="shared" si="17"/>
        <v>266.2412214050475</v>
      </c>
      <c r="N139" t="s">
        <v>3</v>
      </c>
      <c r="O139" s="2">
        <v>170.71083717137685</v>
      </c>
      <c r="P139" s="10">
        <f t="shared" si="18"/>
        <v>94.61497453232208</v>
      </c>
      <c r="Q139" s="10">
        <f t="shared" si="18"/>
        <v>141.16194247050137</v>
      </c>
    </row>
    <row r="140" spans="1:17" x14ac:dyDescent="0.15">
      <c r="A140" s="34">
        <v>38108</v>
      </c>
      <c r="B140" t="s">
        <v>2</v>
      </c>
      <c r="C140" s="9">
        <f>SOJA!K138</f>
        <v>426.99055956507021</v>
      </c>
      <c r="D140" s="7">
        <f>TRIGO!K138</f>
        <v>240.43711750270418</v>
      </c>
      <c r="E140" s="2">
        <f>MAIZ!K138</f>
        <v>177.71439119765091</v>
      </c>
      <c r="F140" s="3">
        <f>GIRASOL!K138</f>
        <v>382.72063532922681</v>
      </c>
      <c r="G140" s="3"/>
      <c r="H140" s="3"/>
      <c r="J140" s="5"/>
      <c r="K140" s="25">
        <f t="shared" si="16"/>
        <v>353.50566286542221</v>
      </c>
      <c r="L140" s="10">
        <f t="shared" si="17"/>
        <v>178.61765507110297</v>
      </c>
      <c r="M140" s="10">
        <f t="shared" si="17"/>
        <v>266.2412214050475</v>
      </c>
      <c r="N140" t="s">
        <v>2</v>
      </c>
      <c r="O140" s="2">
        <v>171.7148744155844</v>
      </c>
      <c r="P140" s="10">
        <f t="shared" si="18"/>
        <v>94.61497453232208</v>
      </c>
      <c r="Q140" s="10">
        <f t="shared" si="18"/>
        <v>141.16194247050137</v>
      </c>
    </row>
    <row r="141" spans="1:17" x14ac:dyDescent="0.15">
      <c r="A141" s="34">
        <v>38139</v>
      </c>
      <c r="B141" t="s">
        <v>4</v>
      </c>
      <c r="C141" s="9">
        <f>SOJA!K139</f>
        <v>385.75921194287457</v>
      </c>
      <c r="D141" s="7">
        <f>TRIGO!K139</f>
        <v>221.2724774386989</v>
      </c>
      <c r="E141" s="2">
        <f>MAIZ!K139</f>
        <v>173.10431908469644</v>
      </c>
      <c r="F141" s="3">
        <f>GIRASOL!K139</f>
        <v>380.00161176462268</v>
      </c>
      <c r="G141" s="3"/>
      <c r="H141" s="3"/>
      <c r="J141" s="5"/>
      <c r="K141" s="25">
        <f t="shared" si="16"/>
        <v>324.08383384539775</v>
      </c>
      <c r="L141" s="10">
        <f t="shared" si="17"/>
        <v>178.61765507110297</v>
      </c>
      <c r="M141" s="10">
        <f t="shared" si="17"/>
        <v>266.2412214050475</v>
      </c>
      <c r="N141" t="s">
        <v>4</v>
      </c>
      <c r="O141" s="2">
        <v>166.69897351230881</v>
      </c>
      <c r="P141" s="10">
        <f t="shared" si="18"/>
        <v>94.61497453232208</v>
      </c>
      <c r="Q141" s="10">
        <f t="shared" si="18"/>
        <v>141.16194247050137</v>
      </c>
    </row>
    <row r="142" spans="1:17" x14ac:dyDescent="0.15">
      <c r="A142" s="34">
        <v>38169</v>
      </c>
      <c r="B142" t="s">
        <v>4</v>
      </c>
      <c r="C142" s="9">
        <f>SOJA!K140</f>
        <v>350.56870716169379</v>
      </c>
      <c r="D142" s="7">
        <f>TRIGO!K140</f>
        <v>207.99381211887609</v>
      </c>
      <c r="E142" s="2">
        <f>MAIZ!K140</f>
        <v>155.62126949901523</v>
      </c>
      <c r="F142" s="3">
        <f>GIRASOL!K140</f>
        <v>350.56870716169379</v>
      </c>
      <c r="G142" s="3"/>
      <c r="H142" s="3"/>
      <c r="J142" s="5"/>
      <c r="K142" s="25">
        <f t="shared" si="16"/>
        <v>295.54005501847615</v>
      </c>
      <c r="L142" s="10">
        <f t="shared" si="17"/>
        <v>178.61765507110297</v>
      </c>
      <c r="M142" s="10">
        <f t="shared" si="17"/>
        <v>266.2412214050475</v>
      </c>
      <c r="N142" t="s">
        <v>4</v>
      </c>
      <c r="O142" s="2">
        <v>148.55457322860363</v>
      </c>
      <c r="P142" s="10">
        <f t="shared" si="18"/>
        <v>94.61497453232208</v>
      </c>
      <c r="Q142" s="10">
        <f t="shared" si="18"/>
        <v>141.16194247050137</v>
      </c>
    </row>
    <row r="143" spans="1:17" x14ac:dyDescent="0.15">
      <c r="A143" s="34">
        <v>38200</v>
      </c>
      <c r="B143" t="s">
        <v>3</v>
      </c>
      <c r="C143" s="9">
        <f>SOJA!K141</f>
        <v>340.40338025513608</v>
      </c>
      <c r="D143" s="7">
        <f>TRIGO!K141</f>
        <v>190.15886277589863</v>
      </c>
      <c r="E143" s="2">
        <f>MAIZ!K141</f>
        <v>152.12709022071891</v>
      </c>
      <c r="F143" s="3">
        <f>GIRASOL!K141</f>
        <v>334.58451905419366</v>
      </c>
      <c r="G143" s="3"/>
      <c r="H143" s="3"/>
      <c r="J143" s="5"/>
      <c r="K143" s="25">
        <f t="shared" si="16"/>
        <v>285.07600358435877</v>
      </c>
      <c r="L143" s="10">
        <f t="shared" si="17"/>
        <v>178.61765507110297</v>
      </c>
      <c r="M143" s="10">
        <f t="shared" si="17"/>
        <v>266.2412214050475</v>
      </c>
      <c r="N143" t="s">
        <v>3</v>
      </c>
      <c r="O143" s="2">
        <v>142.55385653266896</v>
      </c>
      <c r="P143" s="10">
        <f t="shared" si="18"/>
        <v>94.61497453232208</v>
      </c>
      <c r="Q143" s="10">
        <f t="shared" si="18"/>
        <v>141.16194247050137</v>
      </c>
    </row>
    <row r="144" spans="1:17" x14ac:dyDescent="0.15">
      <c r="A144" s="34">
        <v>38231</v>
      </c>
      <c r="B144" t="s">
        <v>5</v>
      </c>
      <c r="C144" s="9">
        <f>SOJA!K142</f>
        <v>327.83396866155198</v>
      </c>
      <c r="D144" s="7">
        <f>TRIGO!K142</f>
        <v>192.46759770062451</v>
      </c>
      <c r="E144" s="2">
        <f>MAIZ!K142</f>
        <v>142.84704516843223</v>
      </c>
      <c r="F144" s="3">
        <f>GIRASOL!K142</f>
        <v>320.64462724353547</v>
      </c>
      <c r="G144" s="3"/>
      <c r="H144" s="3"/>
      <c r="J144" s="5"/>
      <c r="K144" s="25">
        <f t="shared" si="16"/>
        <v>275.20074661167035</v>
      </c>
      <c r="L144" s="10">
        <f t="shared" si="17"/>
        <v>178.61765507110297</v>
      </c>
      <c r="M144" s="10">
        <f t="shared" si="17"/>
        <v>266.2412214050475</v>
      </c>
      <c r="N144" t="s">
        <v>5</v>
      </c>
      <c r="O144" s="2">
        <v>139.30646213783876</v>
      </c>
      <c r="P144" s="10">
        <f t="shared" si="18"/>
        <v>94.61497453232208</v>
      </c>
      <c r="Q144" s="10">
        <f t="shared" si="18"/>
        <v>141.16194247050137</v>
      </c>
    </row>
    <row r="145" spans="1:17" x14ac:dyDescent="0.15">
      <c r="A145" s="34">
        <v>38261</v>
      </c>
      <c r="B145" t="s">
        <v>6</v>
      </c>
      <c r="C145" s="9">
        <f>SOJA!K143</f>
        <v>309.35855000298818</v>
      </c>
      <c r="D145" s="7">
        <f>TRIGO!K143</f>
        <v>184.01611896801842</v>
      </c>
      <c r="E145" s="2">
        <f>MAIZ!K143</f>
        <v>138.01208922601379</v>
      </c>
      <c r="F145" s="3">
        <f>GIRASOL!K143</f>
        <v>324.96838509488214</v>
      </c>
      <c r="G145" s="3"/>
      <c r="H145" s="3"/>
      <c r="J145" s="5"/>
      <c r="K145" s="25">
        <f t="shared" si="16"/>
        <v>261.86687954092071</v>
      </c>
      <c r="L145" s="10">
        <f t="shared" si="17"/>
        <v>178.61765507110297</v>
      </c>
      <c r="M145" s="10">
        <f t="shared" si="17"/>
        <v>266.2412214050475</v>
      </c>
      <c r="N145" t="s">
        <v>6</v>
      </c>
      <c r="O145" s="2">
        <v>132.218546867502</v>
      </c>
      <c r="P145" s="10">
        <f t="shared" si="18"/>
        <v>94.61497453232208</v>
      </c>
      <c r="Q145" s="10">
        <f t="shared" si="18"/>
        <v>141.16194247050137</v>
      </c>
    </row>
    <row r="146" spans="1:17" x14ac:dyDescent="0.15">
      <c r="A146" s="34">
        <v>38292</v>
      </c>
      <c r="B146" t="s">
        <v>7</v>
      </c>
      <c r="C146" s="9">
        <f>SOJA!K144</f>
        <v>308.90148258213503</v>
      </c>
      <c r="D146" s="7">
        <f>TRIGO!K144</f>
        <v>172.57993117669648</v>
      </c>
      <c r="E146" s="2">
        <f>MAIZ!K144</f>
        <v>128.32866677241529</v>
      </c>
      <c r="F146" s="3">
        <f>GIRASOL!K144</f>
        <v>330.05911837543198</v>
      </c>
      <c r="G146" s="3"/>
      <c r="H146" s="3"/>
      <c r="J146" s="5"/>
      <c r="K146" s="25">
        <f t="shared" si="16"/>
        <v>258.49271227890148</v>
      </c>
      <c r="L146" s="10">
        <f t="shared" si="17"/>
        <v>178.61765507110297</v>
      </c>
      <c r="M146" s="10">
        <f t="shared" si="17"/>
        <v>266.2412214050475</v>
      </c>
      <c r="N146" t="s">
        <v>7</v>
      </c>
      <c r="O146" s="2">
        <v>123.24994569892475</v>
      </c>
      <c r="P146" s="10">
        <f t="shared" si="18"/>
        <v>94.61497453232208</v>
      </c>
      <c r="Q146" s="10">
        <f t="shared" si="18"/>
        <v>141.16194247050137</v>
      </c>
    </row>
    <row r="147" spans="1:17" x14ac:dyDescent="0.15">
      <c r="A147" s="34">
        <v>38322</v>
      </c>
      <c r="B147" t="s">
        <v>23</v>
      </c>
      <c r="C147" s="9">
        <f>SOJA!K145</f>
        <v>313.55206653926189</v>
      </c>
      <c r="D147" s="7">
        <f>TRIGO!K145</f>
        <v>164.68398934269979</v>
      </c>
      <c r="E147" s="2">
        <f>MAIZ!K145</f>
        <v>129.39456305497839</v>
      </c>
      <c r="F147" s="3">
        <f>GIRASOL!K145</f>
        <v>340.26726503363852</v>
      </c>
      <c r="G147" s="3"/>
      <c r="H147" s="3"/>
      <c r="J147" s="5"/>
      <c r="K147" s="25">
        <f t="shared" si="16"/>
        <v>260.97802288130191</v>
      </c>
      <c r="L147" s="10">
        <f t="shared" si="17"/>
        <v>178.61765507110297</v>
      </c>
      <c r="M147" s="10">
        <f t="shared" si="17"/>
        <v>266.2412214050475</v>
      </c>
      <c r="N147" t="s">
        <v>23</v>
      </c>
      <c r="O147" s="2">
        <v>123.6647989006389</v>
      </c>
      <c r="P147" s="10">
        <f t="shared" si="18"/>
        <v>94.61497453232208</v>
      </c>
      <c r="Q147" s="10">
        <f t="shared" si="18"/>
        <v>141.16194247050137</v>
      </c>
    </row>
    <row r="148" spans="1:17" x14ac:dyDescent="0.15">
      <c r="A148" s="34">
        <v>38353</v>
      </c>
      <c r="B148" t="s">
        <v>11</v>
      </c>
      <c r="C148" s="9">
        <f>SOJA!K146</f>
        <v>295.62701356245708</v>
      </c>
      <c r="D148" s="7">
        <f>TRIGO!K146</f>
        <v>153.85725709649691</v>
      </c>
      <c r="E148" s="2">
        <f>MAIZ!K146</f>
        <v>116.47138154033878</v>
      </c>
      <c r="F148" s="3">
        <f>GIRASOL!K146</f>
        <v>327.25222896681294</v>
      </c>
      <c r="G148" s="3"/>
      <c r="H148" s="3"/>
      <c r="J148" s="5"/>
      <c r="K148" s="25">
        <f t="shared" si="16"/>
        <v>245.2497135079054</v>
      </c>
      <c r="L148" s="10">
        <f t="shared" si="17"/>
        <v>178.61765507110297</v>
      </c>
      <c r="M148" s="10">
        <f t="shared" si="17"/>
        <v>266.2412214050475</v>
      </c>
      <c r="N148" t="s">
        <v>11</v>
      </c>
      <c r="O148" s="2">
        <v>110.26816785202556</v>
      </c>
      <c r="P148" s="10">
        <f t="shared" si="18"/>
        <v>94.61497453232208</v>
      </c>
      <c r="Q148" s="10">
        <f t="shared" si="18"/>
        <v>141.16194247050137</v>
      </c>
    </row>
    <row r="149" spans="1:17" x14ac:dyDescent="0.15">
      <c r="A149" s="34">
        <v>38384</v>
      </c>
      <c r="B149" t="s">
        <v>1</v>
      </c>
      <c r="C149" s="9">
        <f>SOJA!K147</f>
        <v>275.09859075612712</v>
      </c>
      <c r="D149" s="7">
        <f>TRIGO!K147</f>
        <v>164.99569457114887</v>
      </c>
      <c r="E149" s="2">
        <f>MAIZ!K147</f>
        <v>112.81756893753769</v>
      </c>
      <c r="F149" s="3">
        <f>GIRASOL!K147</f>
        <v>323.64540088956124</v>
      </c>
      <c r="G149" s="3"/>
      <c r="H149" s="3"/>
      <c r="J149" s="5"/>
      <c r="K149" s="25">
        <f t="shared" si="16"/>
        <v>233.29303826519424</v>
      </c>
      <c r="L149" s="10">
        <f t="shared" si="17"/>
        <v>178.61765507110297</v>
      </c>
      <c r="M149" s="10">
        <f t="shared" si="17"/>
        <v>266.2412214050475</v>
      </c>
      <c r="N149" t="s">
        <v>1</v>
      </c>
      <c r="O149" s="2">
        <v>112.19953593333335</v>
      </c>
      <c r="P149" s="10">
        <f t="shared" si="18"/>
        <v>94.61497453232208</v>
      </c>
      <c r="Q149" s="10">
        <f t="shared" si="18"/>
        <v>141.16194247050137</v>
      </c>
    </row>
    <row r="150" spans="1:17" x14ac:dyDescent="0.15">
      <c r="A150" s="34">
        <v>38412</v>
      </c>
      <c r="B150" t="s">
        <v>2</v>
      </c>
      <c r="C150" s="9">
        <f>SOJA!K148</f>
        <v>305.95763113051635</v>
      </c>
      <c r="D150" s="7">
        <f>TRIGO!K148</f>
        <v>185.01785707466286</v>
      </c>
      <c r="E150" s="2">
        <f>MAIZ!K148</f>
        <v>118.24449512290485</v>
      </c>
      <c r="F150" s="3">
        <f>GIRASOL!K148</f>
        <v>347.19539880462935</v>
      </c>
      <c r="G150" s="3"/>
      <c r="H150" s="3"/>
      <c r="J150" s="5"/>
      <c r="K150" s="25">
        <f t="shared" si="16"/>
        <v>257.70857222812634</v>
      </c>
      <c r="L150" s="10">
        <f t="shared" ref="L150:M165" si="19">+L149</f>
        <v>178.61765507110297</v>
      </c>
      <c r="M150" s="10">
        <f t="shared" si="19"/>
        <v>266.2412214050475</v>
      </c>
      <c r="N150" t="s">
        <v>2</v>
      </c>
      <c r="O150" s="2">
        <v>110.85101632674674</v>
      </c>
      <c r="P150" s="10">
        <f t="shared" si="18"/>
        <v>94.61497453232208</v>
      </c>
      <c r="Q150" s="10">
        <f t="shared" si="18"/>
        <v>141.16194247050137</v>
      </c>
    </row>
    <row r="151" spans="1:17" x14ac:dyDescent="0.15">
      <c r="A151" s="34">
        <v>38443</v>
      </c>
      <c r="B151" t="s">
        <v>3</v>
      </c>
      <c r="C151" s="9">
        <f>SOJA!K149</f>
        <v>294.62985656573733</v>
      </c>
      <c r="D151" s="7">
        <f>TRIGO!K149</f>
        <v>188.44206512374424</v>
      </c>
      <c r="E151" s="2">
        <f>MAIZ!K149</f>
        <v>118.29209927475915</v>
      </c>
      <c r="F151" s="3">
        <f>GIRASOL!K149</f>
        <v>352.50357839115003</v>
      </c>
      <c r="G151" s="3"/>
      <c r="H151" s="3"/>
      <c r="J151" s="5"/>
      <c r="K151" s="25">
        <f t="shared" si="16"/>
        <v>251.4791886985515</v>
      </c>
      <c r="L151" s="10">
        <f t="shared" si="19"/>
        <v>178.61765507110297</v>
      </c>
      <c r="M151" s="10">
        <f t="shared" si="19"/>
        <v>266.2412214050475</v>
      </c>
      <c r="N151" t="s">
        <v>3</v>
      </c>
      <c r="O151" s="2">
        <v>111.3365597538358</v>
      </c>
      <c r="P151" s="10">
        <f t="shared" si="18"/>
        <v>94.61497453232208</v>
      </c>
      <c r="Q151" s="10">
        <f t="shared" si="18"/>
        <v>141.16194247050137</v>
      </c>
    </row>
    <row r="152" spans="1:17" x14ac:dyDescent="0.15">
      <c r="A152" s="34">
        <v>38473</v>
      </c>
      <c r="B152" t="s">
        <v>2</v>
      </c>
      <c r="C152" s="9">
        <f>SOJA!K150</f>
        <v>296.54454312877999</v>
      </c>
      <c r="D152" s="7">
        <f>TRIGO!K150</f>
        <v>187.69933242413322</v>
      </c>
      <c r="E152" s="2">
        <f>MAIZ!K150</f>
        <v>119.69232792263566</v>
      </c>
      <c r="F152" s="3">
        <f>GIRASOL!K150</f>
        <v>349.87053553351677</v>
      </c>
      <c r="G152" s="3"/>
      <c r="H152" s="3"/>
      <c r="J152" s="5"/>
      <c r="K152" s="25">
        <f t="shared" si="16"/>
        <v>252.65546787706683</v>
      </c>
      <c r="L152" s="10">
        <f t="shared" si="19"/>
        <v>178.61765507110297</v>
      </c>
      <c r="M152" s="10">
        <f t="shared" si="19"/>
        <v>266.2412214050475</v>
      </c>
      <c r="N152" t="s">
        <v>2</v>
      </c>
      <c r="O152" s="2">
        <v>113.10241073156936</v>
      </c>
      <c r="P152" s="10">
        <f t="shared" si="18"/>
        <v>94.61497453232208</v>
      </c>
      <c r="Q152" s="10">
        <f t="shared" si="18"/>
        <v>141.16194247050137</v>
      </c>
    </row>
    <row r="153" spans="1:17" x14ac:dyDescent="0.15">
      <c r="A153" s="34">
        <v>38504</v>
      </c>
      <c r="B153" t="s">
        <v>4</v>
      </c>
      <c r="C153" s="9">
        <f>SOJA!K151</f>
        <v>312.23383671951723</v>
      </c>
      <c r="D153" s="7">
        <f>TRIGO!K151</f>
        <v>182.74316918197624</v>
      </c>
      <c r="E153" s="2">
        <f>MAIZ!K151</f>
        <v>123.62037915251335</v>
      </c>
      <c r="F153" s="3">
        <f>GIRASOL!K151</f>
        <v>348.21139815221881</v>
      </c>
      <c r="G153" s="3"/>
      <c r="H153" s="3"/>
      <c r="J153" s="5"/>
      <c r="K153" s="25">
        <f t="shared" si="16"/>
        <v>262.26824203855347</v>
      </c>
      <c r="L153" s="10">
        <f t="shared" si="19"/>
        <v>178.61765507110297</v>
      </c>
      <c r="M153" s="10">
        <f t="shared" si="19"/>
        <v>266.2412214050475</v>
      </c>
      <c r="N153" t="s">
        <v>4</v>
      </c>
      <c r="O153" s="2">
        <v>116.62406552178697</v>
      </c>
      <c r="P153" s="10">
        <f t="shared" ref="P153:Q168" si="20">+P152</f>
        <v>94.61497453232208</v>
      </c>
      <c r="Q153" s="10">
        <f t="shared" si="20"/>
        <v>141.16194247050137</v>
      </c>
    </row>
    <row r="154" spans="1:17" x14ac:dyDescent="0.15">
      <c r="A154" s="34">
        <v>38534</v>
      </c>
      <c r="B154" t="s">
        <v>4</v>
      </c>
      <c r="C154" s="9">
        <f>SOJA!K152</f>
        <v>319.65573791020967</v>
      </c>
      <c r="D154" s="7">
        <f>TRIGO!K152</f>
        <v>192.34394438004111</v>
      </c>
      <c r="E154" s="2">
        <f>MAIZ!K152</f>
        <v>133.97750608540795</v>
      </c>
      <c r="F154" s="3">
        <f>GIRASOL!K152</f>
        <v>348.83066637026849</v>
      </c>
      <c r="G154" s="3"/>
      <c r="H154" s="3"/>
      <c r="J154" s="5"/>
      <c r="K154" s="25">
        <f t="shared" si="16"/>
        <v>270.14029664911277</v>
      </c>
      <c r="L154" s="10">
        <f t="shared" si="19"/>
        <v>178.61765507110297</v>
      </c>
      <c r="M154" s="10">
        <f t="shared" si="19"/>
        <v>266.2412214050475</v>
      </c>
      <c r="N154" t="s">
        <v>4</v>
      </c>
      <c r="O154" s="2">
        <v>128.64768453878406</v>
      </c>
      <c r="P154" s="10">
        <f t="shared" si="20"/>
        <v>94.61497453232208</v>
      </c>
      <c r="Q154" s="10">
        <f t="shared" si="20"/>
        <v>141.16194247050137</v>
      </c>
    </row>
    <row r="155" spans="1:17" x14ac:dyDescent="0.15">
      <c r="A155" s="34">
        <v>38565</v>
      </c>
      <c r="B155" t="s">
        <v>3</v>
      </c>
      <c r="C155" s="9">
        <f>SOJA!K153</f>
        <v>306.88122403368004</v>
      </c>
      <c r="D155" s="7">
        <f>TRIGO!K153</f>
        <v>188.30933425282805</v>
      </c>
      <c r="E155" s="2">
        <f>MAIZ!K153</f>
        <v>132.61220722030143</v>
      </c>
      <c r="F155" s="3">
        <f>GIRASOL!K153</f>
        <v>343.65624674845986</v>
      </c>
      <c r="G155" s="3"/>
      <c r="H155" s="3"/>
      <c r="J155" s="5"/>
      <c r="K155" s="25">
        <f t="shared" si="16"/>
        <v>261.07284441833633</v>
      </c>
      <c r="L155" s="10">
        <f t="shared" si="19"/>
        <v>178.61765507110297</v>
      </c>
      <c r="M155" s="10">
        <f t="shared" si="19"/>
        <v>266.2412214050475</v>
      </c>
      <c r="N155" t="s">
        <v>3</v>
      </c>
      <c r="O155" s="2">
        <v>126.76539337589787</v>
      </c>
      <c r="P155" s="10">
        <f t="shared" si="20"/>
        <v>94.61497453232208</v>
      </c>
      <c r="Q155" s="10">
        <f t="shared" si="20"/>
        <v>141.16194247050137</v>
      </c>
    </row>
    <row r="156" spans="1:17" x14ac:dyDescent="0.15">
      <c r="A156" s="34">
        <v>38596</v>
      </c>
      <c r="B156" t="s">
        <v>5</v>
      </c>
      <c r="C156" s="9">
        <f>SOJA!K154</f>
        <v>296.70809862563141</v>
      </c>
      <c r="D156" s="7">
        <f>TRIGO!K154</f>
        <v>176.92731565939474</v>
      </c>
      <c r="E156" s="2">
        <f>MAIZ!K154</f>
        <v>129.39460398970661</v>
      </c>
      <c r="F156" s="3">
        <f>GIRASOL!K154</f>
        <v>334.58572823741417</v>
      </c>
      <c r="G156" s="3"/>
      <c r="H156" s="3"/>
      <c r="J156" s="5"/>
      <c r="K156" s="25">
        <f t="shared" si="16"/>
        <v>251.99496221169102</v>
      </c>
      <c r="L156" s="10">
        <f t="shared" si="19"/>
        <v>178.61765507110297</v>
      </c>
      <c r="M156" s="10">
        <f t="shared" si="19"/>
        <v>266.2412214050475</v>
      </c>
      <c r="N156" t="s">
        <v>5</v>
      </c>
      <c r="O156" s="2">
        <v>121.95038689139716</v>
      </c>
      <c r="P156" s="10">
        <f t="shared" si="20"/>
        <v>94.61497453232208</v>
      </c>
      <c r="Q156" s="10">
        <f t="shared" si="20"/>
        <v>141.16194247050137</v>
      </c>
    </row>
    <row r="157" spans="1:17" x14ac:dyDescent="0.15">
      <c r="A157" s="34">
        <v>38626</v>
      </c>
      <c r="B157" t="s">
        <v>6</v>
      </c>
      <c r="C157" s="9">
        <f>SOJA!K155</f>
        <v>295.02209907809066</v>
      </c>
      <c r="D157" s="7">
        <f>TRIGO!K155</f>
        <v>180.30380386743514</v>
      </c>
      <c r="E157" s="2">
        <f>MAIZ!K155</f>
        <v>128.21603830573164</v>
      </c>
      <c r="F157" s="3">
        <f>GIRASOL!K155</f>
        <v>337.16811323210368</v>
      </c>
      <c r="G157" s="3"/>
      <c r="H157" s="3"/>
      <c r="J157" s="5"/>
      <c r="K157" s="25">
        <f t="shared" si="16"/>
        <v>251.38576815489088</v>
      </c>
      <c r="L157" s="10">
        <f t="shared" si="19"/>
        <v>178.61765507110297</v>
      </c>
      <c r="M157" s="10">
        <f t="shared" si="19"/>
        <v>266.2412214050475</v>
      </c>
      <c r="N157" t="s">
        <v>6</v>
      </c>
      <c r="O157" s="2">
        <v>121.90827138656391</v>
      </c>
      <c r="P157" s="10">
        <f t="shared" si="20"/>
        <v>94.61497453232208</v>
      </c>
      <c r="Q157" s="10">
        <f t="shared" si="20"/>
        <v>141.16194247050137</v>
      </c>
    </row>
    <row r="158" spans="1:17" x14ac:dyDescent="0.15">
      <c r="A158" s="34">
        <v>38657</v>
      </c>
      <c r="B158" t="s">
        <v>7</v>
      </c>
      <c r="C158" s="9">
        <f>SOJA!K156</f>
        <v>287.27304128933628</v>
      </c>
      <c r="D158" s="7">
        <f>TRIGO!K156</f>
        <v>181.30848708825692</v>
      </c>
      <c r="E158" s="2">
        <f>MAIZ!K156</f>
        <v>121.75460446802654</v>
      </c>
      <c r="F158" s="3">
        <f>GIRASOL!K156</f>
        <v>327.76968147109295</v>
      </c>
      <c r="G158" s="3"/>
      <c r="H158" s="3"/>
      <c r="J158" s="5"/>
      <c r="K158" s="25">
        <f t="shared" si="16"/>
        <v>245.06152553774777</v>
      </c>
      <c r="L158" s="10">
        <f t="shared" si="19"/>
        <v>178.61765507110297</v>
      </c>
      <c r="M158" s="10">
        <f t="shared" si="19"/>
        <v>266.2412214050475</v>
      </c>
      <c r="N158" t="s">
        <v>7</v>
      </c>
      <c r="O158" s="2">
        <v>115.89853091385054</v>
      </c>
      <c r="P158" s="10">
        <f t="shared" si="20"/>
        <v>94.61497453232208</v>
      </c>
      <c r="Q158" s="10">
        <f t="shared" si="20"/>
        <v>141.16194247050137</v>
      </c>
    </row>
    <row r="159" spans="1:17" x14ac:dyDescent="0.15">
      <c r="A159" s="34">
        <v>38687</v>
      </c>
      <c r="B159" t="s">
        <v>24</v>
      </c>
      <c r="C159" s="9">
        <f>SOJA!K157</f>
        <v>302.69214380482504</v>
      </c>
      <c r="D159" s="7">
        <f>TRIGO!K157</f>
        <v>174.23044252620238</v>
      </c>
      <c r="E159" s="2">
        <f>MAIZ!K157</f>
        <v>127.68032429401092</v>
      </c>
      <c r="F159" s="3">
        <f>GIRASOL!K157</f>
        <v>303.96395953509744</v>
      </c>
      <c r="G159" s="3"/>
      <c r="H159" s="3"/>
      <c r="J159" s="5"/>
      <c r="K159" s="25">
        <f t="shared" si="16"/>
        <v>253.29347591177921</v>
      </c>
      <c r="L159" s="10">
        <f t="shared" si="19"/>
        <v>178.61765507110297</v>
      </c>
      <c r="M159" s="10">
        <f t="shared" si="19"/>
        <v>266.2412214050475</v>
      </c>
      <c r="N159" t="s">
        <v>24</v>
      </c>
      <c r="O159" s="2">
        <v>119.49245806413653</v>
      </c>
      <c r="P159" s="10">
        <f t="shared" si="20"/>
        <v>94.61497453232208</v>
      </c>
      <c r="Q159" s="10">
        <f t="shared" si="20"/>
        <v>141.16194247050137</v>
      </c>
    </row>
    <row r="160" spans="1:17" x14ac:dyDescent="0.15">
      <c r="A160" s="34">
        <v>38718</v>
      </c>
      <c r="B160" t="s">
        <v>12</v>
      </c>
      <c r="C160" s="9">
        <f>SOJA!K158</f>
        <v>297.23399571951819</v>
      </c>
      <c r="D160" s="7">
        <f>TRIGO!K158</f>
        <v>181.98338601675437</v>
      </c>
      <c r="E160" s="2">
        <f>MAIZ!K158</f>
        <v>136.81962598339925</v>
      </c>
      <c r="F160" s="3">
        <f>GIRASOL!K158</f>
        <v>292.15307271576575</v>
      </c>
      <c r="G160" s="3"/>
      <c r="H160" s="3"/>
      <c r="J160" s="5"/>
      <c r="K160" s="25">
        <f t="shared" si="16"/>
        <v>251.97259816092441</v>
      </c>
      <c r="L160" s="10">
        <f t="shared" si="19"/>
        <v>178.61765507110297</v>
      </c>
      <c r="M160" s="10">
        <f t="shared" si="19"/>
        <v>266.2412214050475</v>
      </c>
      <c r="N160" t="s">
        <v>12</v>
      </c>
      <c r="O160" s="2">
        <v>130.84465258056395</v>
      </c>
      <c r="P160" s="10">
        <f t="shared" si="20"/>
        <v>94.61497453232208</v>
      </c>
      <c r="Q160" s="10">
        <f t="shared" si="20"/>
        <v>141.16194247050137</v>
      </c>
    </row>
    <row r="161" spans="1:17" x14ac:dyDescent="0.15">
      <c r="A161" s="34">
        <v>38749</v>
      </c>
      <c r="B161" t="s">
        <v>1</v>
      </c>
      <c r="C161" s="9">
        <f>SOJA!K159</f>
        <v>299.14076868000183</v>
      </c>
      <c r="D161" s="7">
        <f>TRIGO!K159</f>
        <v>189.02734708412299</v>
      </c>
      <c r="E161" s="2">
        <f>MAIZ!K159</f>
        <v>142.43609956338844</v>
      </c>
      <c r="F161" s="3">
        <f>GIRASOL!K159</f>
        <v>291.50313203285287</v>
      </c>
      <c r="G161" s="3"/>
      <c r="H161" s="3"/>
      <c r="J161" s="5"/>
      <c r="K161" s="25">
        <f t="shared" si="16"/>
        <v>255.14069013345124</v>
      </c>
      <c r="L161" s="10">
        <f t="shared" si="19"/>
        <v>178.61765507110297</v>
      </c>
      <c r="M161" s="10">
        <f t="shared" si="19"/>
        <v>266.2412214050475</v>
      </c>
      <c r="N161" t="s">
        <v>1</v>
      </c>
      <c r="O161" s="2">
        <v>134.80584585551699</v>
      </c>
      <c r="P161" s="10">
        <f t="shared" si="20"/>
        <v>94.61497453232208</v>
      </c>
      <c r="Q161" s="10">
        <f t="shared" si="20"/>
        <v>141.16194247050137</v>
      </c>
    </row>
    <row r="162" spans="1:17" x14ac:dyDescent="0.15">
      <c r="A162" s="34">
        <v>38777</v>
      </c>
      <c r="B162" t="s">
        <v>2</v>
      </c>
      <c r="C162" s="9">
        <f>SOJA!K160</f>
        <v>272.17658425785908</v>
      </c>
      <c r="D162" s="7">
        <f>TRIGO!K160</f>
        <v>183.16410172763213</v>
      </c>
      <c r="E162" s="2">
        <f>MAIZ!K160</f>
        <v>134.40818975696746</v>
      </c>
      <c r="F162" s="3">
        <f>GIRASOL!K160</f>
        <v>283.51727526860321</v>
      </c>
      <c r="G162" s="3"/>
      <c r="H162" s="3"/>
      <c r="J162" s="5"/>
      <c r="K162" s="25">
        <f t="shared" si="16"/>
        <v>235.66212460518483</v>
      </c>
      <c r="L162" s="10">
        <f t="shared" si="19"/>
        <v>178.61765507110297</v>
      </c>
      <c r="M162" s="10">
        <f t="shared" si="19"/>
        <v>266.2412214050475</v>
      </c>
      <c r="N162" t="s">
        <v>2</v>
      </c>
      <c r="O162" s="2">
        <v>128.20412568713786</v>
      </c>
      <c r="P162" s="10">
        <f t="shared" si="20"/>
        <v>94.61497453232208</v>
      </c>
      <c r="Q162" s="10">
        <f t="shared" si="20"/>
        <v>141.16194247050137</v>
      </c>
    </row>
    <row r="163" spans="1:17" x14ac:dyDescent="0.15">
      <c r="A163" s="34">
        <v>38808</v>
      </c>
      <c r="B163" t="s">
        <v>3</v>
      </c>
      <c r="C163" s="9">
        <f>SOJA!K161</f>
        <v>265.46095402927637</v>
      </c>
      <c r="D163" s="7">
        <f>TRIGO!K161</f>
        <v>185.07081762389637</v>
      </c>
      <c r="E163" s="2">
        <f>MAIZ!K161</f>
        <v>142.06140226059651</v>
      </c>
      <c r="F163" s="3">
        <f>GIRASOL!K161</f>
        <v>285.40168297044266</v>
      </c>
      <c r="G163" s="3"/>
      <c r="H163" s="3"/>
      <c r="J163" s="5"/>
      <c r="K163" s="25">
        <f t="shared" si="16"/>
        <v>233.20811858823717</v>
      </c>
      <c r="L163" s="10">
        <f t="shared" si="19"/>
        <v>178.61765507110297</v>
      </c>
      <c r="M163" s="10">
        <f t="shared" si="19"/>
        <v>266.2412214050475</v>
      </c>
      <c r="N163" t="s">
        <v>3</v>
      </c>
      <c r="O163" s="2">
        <v>136.17370806150186</v>
      </c>
      <c r="P163" s="10">
        <f t="shared" si="20"/>
        <v>94.61497453232208</v>
      </c>
      <c r="Q163" s="10">
        <f t="shared" si="20"/>
        <v>141.16194247050137</v>
      </c>
    </row>
    <row r="164" spans="1:17" x14ac:dyDescent="0.15">
      <c r="A164" s="34">
        <v>38838</v>
      </c>
      <c r="B164" t="s">
        <v>2</v>
      </c>
      <c r="C164" s="9">
        <f>SOJA!K162</f>
        <v>279.19605334217306</v>
      </c>
      <c r="D164" s="7">
        <f>TRIGO!K162</f>
        <v>210.57993727699329</v>
      </c>
      <c r="E164" s="2">
        <f>MAIZ!K162</f>
        <v>148.56866740401367</v>
      </c>
      <c r="F164" s="3">
        <f>GIRASOL!K162</f>
        <v>276.72529180817151</v>
      </c>
      <c r="G164" s="3"/>
      <c r="H164" s="3"/>
      <c r="J164" s="5"/>
      <c r="K164" s="25">
        <f t="shared" si="16"/>
        <v>246.16138649198527</v>
      </c>
      <c r="L164" s="10">
        <f t="shared" si="19"/>
        <v>178.61765507110297</v>
      </c>
      <c r="M164" s="10">
        <f t="shared" si="19"/>
        <v>266.2412214050475</v>
      </c>
      <c r="N164" t="s">
        <v>2</v>
      </c>
      <c r="O164" s="2">
        <v>138.47816738721983</v>
      </c>
      <c r="P164" s="10">
        <f t="shared" si="20"/>
        <v>94.61497453232208</v>
      </c>
      <c r="Q164" s="10">
        <f t="shared" si="20"/>
        <v>141.16194247050137</v>
      </c>
    </row>
    <row r="165" spans="1:17" x14ac:dyDescent="0.15">
      <c r="A165" s="34">
        <v>38869</v>
      </c>
      <c r="B165" t="s">
        <v>4</v>
      </c>
      <c r="C165" s="9">
        <f>SOJA!K163</f>
        <v>281.44846982342887</v>
      </c>
      <c r="D165" s="7">
        <f>TRIGO!K163</f>
        <v>238.57196601312216</v>
      </c>
      <c r="E165" s="2">
        <f>MAIZ!K163</f>
        <v>146.51430521458045</v>
      </c>
      <c r="F165" s="3">
        <f>GIRASOL!K163</f>
        <v>278.96874762234137</v>
      </c>
      <c r="G165" s="3"/>
      <c r="H165" s="3"/>
      <c r="J165" s="5"/>
      <c r="K165" s="25">
        <f t="shared" si="16"/>
        <v>251.4660873660371</v>
      </c>
      <c r="L165" s="10">
        <f t="shared" si="19"/>
        <v>178.61765507110297</v>
      </c>
      <c r="M165" s="10">
        <f t="shared" si="19"/>
        <v>266.2412214050475</v>
      </c>
      <c r="N165" t="s">
        <v>4</v>
      </c>
      <c r="O165" s="2">
        <v>136.57123344178305</v>
      </c>
      <c r="P165" s="10">
        <f t="shared" si="20"/>
        <v>94.61497453232208</v>
      </c>
      <c r="Q165" s="10">
        <f t="shared" si="20"/>
        <v>141.16194247050137</v>
      </c>
    </row>
    <row r="166" spans="1:17" x14ac:dyDescent="0.15">
      <c r="A166" s="34">
        <v>38899</v>
      </c>
      <c r="B166" t="s">
        <v>4</v>
      </c>
      <c r="C166" s="9">
        <f>SOJA!K164</f>
        <v>284.74092111198507</v>
      </c>
      <c r="D166" s="7">
        <f>TRIGO!K164</f>
        <v>234.60531428517686</v>
      </c>
      <c r="E166" s="2">
        <f>MAIZ!K164</f>
        <v>149.52866185209075</v>
      </c>
      <c r="F166" s="3">
        <f>GIRASOL!K164</f>
        <v>277.34505303115429</v>
      </c>
      <c r="G166" s="3"/>
      <c r="H166" s="3"/>
      <c r="J166" s="5"/>
      <c r="K166" s="25">
        <f t="shared" si="16"/>
        <v>253.36064820490583</v>
      </c>
      <c r="L166" s="10">
        <f t="shared" ref="L166:M181" si="21">+L165</f>
        <v>178.61765507110297</v>
      </c>
      <c r="M166" s="10">
        <f t="shared" si="21"/>
        <v>266.2412214050475</v>
      </c>
      <c r="N166" t="s">
        <v>4</v>
      </c>
      <c r="O166" s="2">
        <v>138.29500737860289</v>
      </c>
      <c r="P166" s="10">
        <f t="shared" si="20"/>
        <v>94.61497453232208</v>
      </c>
      <c r="Q166" s="10">
        <f t="shared" si="20"/>
        <v>141.16194247050137</v>
      </c>
    </row>
    <row r="167" spans="1:17" x14ac:dyDescent="0.15">
      <c r="A167" s="34">
        <v>38930</v>
      </c>
      <c r="B167" t="s">
        <v>3</v>
      </c>
      <c r="C167" s="9">
        <f>SOJA!K165</f>
        <v>276.54075023932035</v>
      </c>
      <c r="D167" s="7">
        <f>TRIGO!K165</f>
        <v>227.77143174318476</v>
      </c>
      <c r="E167" s="2">
        <f>MAIZ!K165</f>
        <v>149.71492985366638</v>
      </c>
      <c r="F167" s="3">
        <f>GIRASOL!K165</f>
        <v>272.86985532463905</v>
      </c>
      <c r="G167" s="3"/>
      <c r="H167" s="3"/>
      <c r="J167" s="5"/>
      <c r="K167" s="25">
        <f t="shared" si="16"/>
        <v>247.03319668809434</v>
      </c>
      <c r="L167" s="10">
        <f t="shared" si="21"/>
        <v>178.61765507110297</v>
      </c>
      <c r="M167" s="10">
        <f t="shared" si="21"/>
        <v>266.2412214050475</v>
      </c>
      <c r="N167" t="s">
        <v>3</v>
      </c>
      <c r="O167" s="2">
        <v>136.94203244354512</v>
      </c>
      <c r="P167" s="10">
        <f t="shared" si="20"/>
        <v>94.61497453232208</v>
      </c>
      <c r="Q167" s="10">
        <f t="shared" si="20"/>
        <v>141.16194247050137</v>
      </c>
    </row>
    <row r="168" spans="1:17" x14ac:dyDescent="0.15">
      <c r="A168" s="34">
        <v>38961</v>
      </c>
      <c r="B168" t="s">
        <v>5</v>
      </c>
      <c r="C168" s="9">
        <f>SOJA!K166</f>
        <v>270.93915995212069</v>
      </c>
      <c r="D168" s="7">
        <f>TRIGO!K166</f>
        <v>232.28370540557486</v>
      </c>
      <c r="E168" s="2">
        <f>MAIZ!K166</f>
        <v>149.32523918929812</v>
      </c>
      <c r="F168" s="3">
        <f>GIRASOL!K166</f>
        <v>277.04139328437566</v>
      </c>
      <c r="G168" s="3"/>
      <c r="H168" s="3"/>
      <c r="J168" s="5"/>
      <c r="K168" s="25">
        <f t="shared" si="16"/>
        <v>244.3843979672591</v>
      </c>
      <c r="L168" s="10">
        <f t="shared" si="21"/>
        <v>178.61765507110297</v>
      </c>
      <c r="M168" s="10">
        <f t="shared" si="21"/>
        <v>266.2412214050475</v>
      </c>
      <c r="N168" t="s">
        <v>5</v>
      </c>
      <c r="O168" s="2">
        <v>139.0000731071429</v>
      </c>
      <c r="P168" s="10">
        <f t="shared" si="20"/>
        <v>94.61497453232208</v>
      </c>
      <c r="Q168" s="10">
        <f t="shared" si="20"/>
        <v>141.16194247050137</v>
      </c>
    </row>
    <row r="169" spans="1:17" x14ac:dyDescent="0.15">
      <c r="A169" s="34">
        <v>38991</v>
      </c>
      <c r="B169" t="s">
        <v>6</v>
      </c>
      <c r="C169" s="9">
        <f>SOJA!K167</f>
        <v>294.16470238013625</v>
      </c>
      <c r="D169" s="7">
        <f>TRIGO!K167</f>
        <v>253.18783388914068</v>
      </c>
      <c r="E169" s="2">
        <f>MAIZ!K167</f>
        <v>184.82711873907269</v>
      </c>
      <c r="F169" s="3">
        <f>GIRASOL!K167</f>
        <v>278.42749607996433</v>
      </c>
      <c r="G169" s="3"/>
      <c r="H169" s="3"/>
      <c r="J169" s="5"/>
      <c r="K169" s="25">
        <f t="shared" si="16"/>
        <v>268.17561635776195</v>
      </c>
      <c r="L169" s="10">
        <f t="shared" si="21"/>
        <v>178.61765507110297</v>
      </c>
      <c r="M169" s="10">
        <f t="shared" si="21"/>
        <v>266.2412214050475</v>
      </c>
      <c r="N169" t="s">
        <v>6</v>
      </c>
      <c r="O169" s="2">
        <v>164.28391265344666</v>
      </c>
      <c r="P169" s="10">
        <f t="shared" ref="P169:Q184" si="22">+P168</f>
        <v>94.61497453232208</v>
      </c>
      <c r="Q169" s="10">
        <f t="shared" si="22"/>
        <v>141.16194247050137</v>
      </c>
    </row>
    <row r="170" spans="1:17" x14ac:dyDescent="0.15">
      <c r="A170" s="34">
        <v>39022</v>
      </c>
      <c r="B170" t="s">
        <v>7</v>
      </c>
      <c r="C170" s="9">
        <f>SOJA!K168</f>
        <v>317.53919739543238</v>
      </c>
      <c r="D170" s="7">
        <f>TRIGO!K168</f>
        <v>255.9164006725191</v>
      </c>
      <c r="E170" s="2">
        <f>MAIZ!K168</f>
        <v>229.70057426216351</v>
      </c>
      <c r="F170" s="3">
        <f>GIRASOL!K168</f>
        <v>298.43909529645902</v>
      </c>
      <c r="G170" s="3"/>
      <c r="H170" s="3"/>
      <c r="J170" s="5"/>
      <c r="K170" s="25">
        <f t="shared" si="16"/>
        <v>292.05566213358225</v>
      </c>
      <c r="L170" s="10">
        <f t="shared" si="21"/>
        <v>178.61765507110297</v>
      </c>
      <c r="M170" s="10">
        <f t="shared" si="21"/>
        <v>266.2412214050475</v>
      </c>
      <c r="N170" t="s">
        <v>7</v>
      </c>
      <c r="O170" s="2">
        <v>195.71904565166432</v>
      </c>
      <c r="P170" s="10">
        <f t="shared" si="22"/>
        <v>94.61497453232208</v>
      </c>
      <c r="Q170" s="10">
        <f t="shared" si="22"/>
        <v>141.16194247050137</v>
      </c>
    </row>
    <row r="171" spans="1:17" x14ac:dyDescent="0.15">
      <c r="A171" s="34">
        <v>39052</v>
      </c>
      <c r="B171" t="s">
        <v>25</v>
      </c>
      <c r="C171" s="9">
        <f>SOJA!K169</f>
        <v>314.19175889011677</v>
      </c>
      <c r="D171" s="7">
        <f>TRIGO!K169</f>
        <v>238.73374448481616</v>
      </c>
      <c r="E171" s="2">
        <f>MAIZ!K169</f>
        <v>220.2749498081551</v>
      </c>
      <c r="F171" s="3">
        <f>GIRASOL!K169</f>
        <v>317.72200337202821</v>
      </c>
      <c r="G171" s="3"/>
      <c r="H171" s="3"/>
      <c r="J171" s="5"/>
      <c r="K171" s="25">
        <f t="shared" si="16"/>
        <v>286.87972145898334</v>
      </c>
      <c r="L171" s="10">
        <f t="shared" si="21"/>
        <v>178.61765507110297</v>
      </c>
      <c r="M171" s="10">
        <f t="shared" si="21"/>
        <v>266.2412214050475</v>
      </c>
      <c r="N171" t="s">
        <v>25</v>
      </c>
      <c r="O171" s="2">
        <v>192.12396333547619</v>
      </c>
      <c r="P171" s="10">
        <f t="shared" si="22"/>
        <v>94.61497453232208</v>
      </c>
      <c r="Q171" s="10">
        <f t="shared" si="22"/>
        <v>141.16194247050137</v>
      </c>
    </row>
    <row r="172" spans="1:17" x14ac:dyDescent="0.15">
      <c r="A172" s="34">
        <v>39083</v>
      </c>
      <c r="B172" t="s">
        <v>13</v>
      </c>
      <c r="C172" s="9">
        <f>SOJA!K170</f>
        <v>300.78788525430213</v>
      </c>
      <c r="D172" s="7">
        <f>TRIGO!K170</f>
        <v>231.72924978086928</v>
      </c>
      <c r="E172" s="2">
        <f>MAIZ!K170</f>
        <v>214.83232531768087</v>
      </c>
      <c r="F172" s="3">
        <f>GIRASOL!K170</f>
        <v>311.61247748853214</v>
      </c>
      <c r="G172" s="3"/>
      <c r="H172" s="3"/>
      <c r="J172" s="5"/>
      <c r="K172" s="25">
        <f t="shared" si="16"/>
        <v>276.2191817353908</v>
      </c>
      <c r="L172" s="10">
        <f t="shared" si="21"/>
        <v>178.61765507110297</v>
      </c>
      <c r="M172" s="10">
        <f t="shared" si="21"/>
        <v>266.2412214050475</v>
      </c>
      <c r="N172" t="s">
        <v>13</v>
      </c>
      <c r="O172" s="2">
        <v>184.59481216763419</v>
      </c>
      <c r="P172" s="10">
        <f t="shared" si="22"/>
        <v>94.61497453232208</v>
      </c>
      <c r="Q172" s="10">
        <f t="shared" si="22"/>
        <v>141.16194247050137</v>
      </c>
    </row>
    <row r="173" spans="1:17" x14ac:dyDescent="0.15">
      <c r="A173" s="34">
        <v>39114</v>
      </c>
      <c r="B173" t="s">
        <v>1</v>
      </c>
      <c r="C173" s="9">
        <f>SOJA!K171</f>
        <v>325.55316775860564</v>
      </c>
      <c r="D173" s="7">
        <f>TRIGO!K171</f>
        <v>217.71580706949601</v>
      </c>
      <c r="E173" s="2">
        <f>MAIZ!K171</f>
        <v>201.99188767003238</v>
      </c>
      <c r="F173" s="3">
        <f>GIRASOL!K171</f>
        <v>312.28611076530825</v>
      </c>
      <c r="G173" s="3"/>
      <c r="H173" s="3"/>
      <c r="J173" s="5"/>
      <c r="K173" s="25">
        <f t="shared" si="16"/>
        <v>287.34640600706666</v>
      </c>
      <c r="L173" s="10">
        <f t="shared" si="21"/>
        <v>178.61765507110297</v>
      </c>
      <c r="M173" s="10">
        <f t="shared" si="21"/>
        <v>266.2412214050475</v>
      </c>
      <c r="N173" t="s">
        <v>1</v>
      </c>
      <c r="O173" s="2">
        <v>191.89698000249027</v>
      </c>
      <c r="P173" s="10">
        <f t="shared" si="22"/>
        <v>94.61497453232208</v>
      </c>
      <c r="Q173" s="10">
        <f t="shared" si="22"/>
        <v>141.16194247050137</v>
      </c>
    </row>
    <row r="174" spans="1:17" x14ac:dyDescent="0.15">
      <c r="A174" s="34">
        <v>39142</v>
      </c>
      <c r="B174" t="s">
        <v>2</v>
      </c>
      <c r="C174" s="9">
        <f>SOJA!K172</f>
        <v>296.61169307149061</v>
      </c>
      <c r="D174" s="7">
        <f>TRIGO!K172</f>
        <v>225.3904187846517</v>
      </c>
      <c r="E174" s="2">
        <f>MAIZ!K172</f>
        <v>193.02051821451556</v>
      </c>
      <c r="F174" s="3">
        <f>GIRASOL!K172</f>
        <v>317.56221205160654</v>
      </c>
      <c r="G174" s="3"/>
      <c r="H174" s="3"/>
      <c r="J174" s="5"/>
      <c r="K174" s="25">
        <f t="shared" si="16"/>
        <v>269.22137841018719</v>
      </c>
      <c r="L174" s="10">
        <f t="shared" si="21"/>
        <v>178.61765507110297</v>
      </c>
      <c r="M174" s="10">
        <f t="shared" si="21"/>
        <v>266.2412214050475</v>
      </c>
      <c r="N174" t="s">
        <v>2</v>
      </c>
      <c r="O174" s="2">
        <v>180.08128935985718</v>
      </c>
      <c r="P174" s="10">
        <f t="shared" si="22"/>
        <v>94.61497453232208</v>
      </c>
      <c r="Q174" s="10">
        <f t="shared" si="22"/>
        <v>141.16194247050137</v>
      </c>
    </row>
    <row r="175" spans="1:17" x14ac:dyDescent="0.15">
      <c r="A175" s="34">
        <v>39173</v>
      </c>
      <c r="B175" t="s">
        <v>3</v>
      </c>
      <c r="C175" s="9">
        <f>SOJA!K173</f>
        <v>280.20621994070035</v>
      </c>
      <c r="D175" s="7">
        <f>TRIGO!K173</f>
        <v>242.85279466389147</v>
      </c>
      <c r="E175" s="2">
        <f>MAIZ!K173</f>
        <v>177.69716682723765</v>
      </c>
      <c r="F175" s="3">
        <f>GIRASOL!K173</f>
        <v>334.18173436447381</v>
      </c>
      <c r="G175" s="3"/>
      <c r="H175" s="3"/>
      <c r="J175" s="5"/>
      <c r="K175" s="25">
        <f t="shared" si="16"/>
        <v>259.86854732491884</v>
      </c>
      <c r="L175" s="10">
        <f t="shared" si="21"/>
        <v>178.61765507110297</v>
      </c>
      <c r="M175" s="10">
        <f t="shared" si="21"/>
        <v>266.2412214050475</v>
      </c>
      <c r="N175" t="s">
        <v>3</v>
      </c>
      <c r="O175" s="2">
        <v>173.31875691726117</v>
      </c>
      <c r="P175" s="10">
        <f t="shared" si="22"/>
        <v>94.61497453232208</v>
      </c>
      <c r="Q175" s="10">
        <f t="shared" si="22"/>
        <v>141.16194247050137</v>
      </c>
    </row>
    <row r="176" spans="1:17" x14ac:dyDescent="0.15">
      <c r="A176" s="34">
        <v>39203</v>
      </c>
      <c r="B176" t="s">
        <v>2</v>
      </c>
      <c r="C176" s="9">
        <f>SOJA!K174</f>
        <v>285.22840656436654</v>
      </c>
      <c r="D176" s="7">
        <f>TRIGO!K174</f>
        <v>245.70374209877491</v>
      </c>
      <c r="E176" s="2">
        <f>MAIZ!K174</f>
        <v>175.50267292769638</v>
      </c>
      <c r="F176" s="3">
        <f>GIRASOL!K174</f>
        <v>330.05471427464897</v>
      </c>
      <c r="G176" s="3"/>
      <c r="H176" s="3"/>
      <c r="J176" s="5"/>
      <c r="K176" s="25">
        <f t="shared" si="16"/>
        <v>262.79736359282327</v>
      </c>
      <c r="L176" s="10">
        <f t="shared" si="21"/>
        <v>178.61765507110297</v>
      </c>
      <c r="M176" s="10">
        <f t="shared" si="21"/>
        <v>266.2412214050475</v>
      </c>
      <c r="N176" t="s">
        <v>2</v>
      </c>
      <c r="O176" s="2">
        <v>168.39595011191463</v>
      </c>
      <c r="P176" s="10">
        <f t="shared" si="22"/>
        <v>94.61497453232208</v>
      </c>
      <c r="Q176" s="10">
        <f t="shared" si="22"/>
        <v>141.16194247050137</v>
      </c>
    </row>
    <row r="177" spans="1:17" x14ac:dyDescent="0.15">
      <c r="A177" s="34">
        <v>39234</v>
      </c>
      <c r="B177" t="s">
        <v>4</v>
      </c>
      <c r="C177" s="9">
        <f>SOJA!K175</f>
        <v>294.64547836053902</v>
      </c>
      <c r="D177" s="7">
        <f>TRIGO!K175</f>
        <v>261.48927469670122</v>
      </c>
      <c r="E177" s="2">
        <f>MAIZ!K175</f>
        <v>182.81108584990616</v>
      </c>
      <c r="F177" s="3">
        <f>GIRASOL!K175</f>
        <v>326.39154904412641</v>
      </c>
      <c r="G177" s="3"/>
      <c r="H177" s="3"/>
      <c r="J177" s="5"/>
      <c r="K177" s="25">
        <f t="shared" si="16"/>
        <v>272.05131800738769</v>
      </c>
      <c r="L177" s="10">
        <f t="shared" si="21"/>
        <v>178.61765507110297</v>
      </c>
      <c r="M177" s="10">
        <f t="shared" si="21"/>
        <v>266.2412214050475</v>
      </c>
      <c r="N177" t="s">
        <v>4</v>
      </c>
      <c r="O177" s="2">
        <v>174.57998389031698</v>
      </c>
      <c r="P177" s="10">
        <f t="shared" si="22"/>
        <v>94.61497453232208</v>
      </c>
      <c r="Q177" s="10">
        <f t="shared" si="22"/>
        <v>141.16194247050137</v>
      </c>
    </row>
    <row r="178" spans="1:17" x14ac:dyDescent="0.15">
      <c r="A178" s="34">
        <v>39264</v>
      </c>
      <c r="B178" t="s">
        <v>4</v>
      </c>
      <c r="C178" s="9">
        <f>SOJA!K176</f>
        <v>299.92202401666839</v>
      </c>
      <c r="D178" s="7">
        <f>TRIGO!K176</f>
        <v>275.40464611899523</v>
      </c>
      <c r="E178" s="2">
        <f>MAIZ!K176</f>
        <v>165.4742201471274</v>
      </c>
      <c r="F178" s="3">
        <f>GIRASOL!K176</f>
        <v>326.42827475264841</v>
      </c>
      <c r="G178" s="3"/>
      <c r="H178" s="3"/>
      <c r="J178" s="5"/>
      <c r="K178" s="25">
        <f t="shared" si="16"/>
        <v>274.36954947422765</v>
      </c>
      <c r="L178" s="10">
        <f t="shared" si="21"/>
        <v>178.61765507110297</v>
      </c>
      <c r="M178" s="10">
        <f t="shared" si="21"/>
        <v>266.2412214050475</v>
      </c>
      <c r="N178" t="s">
        <v>4</v>
      </c>
      <c r="O178" s="2">
        <v>157.95628918892396</v>
      </c>
      <c r="P178" s="10">
        <f t="shared" si="22"/>
        <v>94.61497453232208</v>
      </c>
      <c r="Q178" s="10">
        <f t="shared" si="22"/>
        <v>141.16194247050137</v>
      </c>
    </row>
    <row r="179" spans="1:17" x14ac:dyDescent="0.15">
      <c r="A179" s="34">
        <v>39295</v>
      </c>
      <c r="B179" t="s">
        <v>3</v>
      </c>
      <c r="C179" s="9">
        <f>SOJA!K177</f>
        <v>321.33249655793315</v>
      </c>
      <c r="D179" s="7">
        <f>TRIGO!K177</f>
        <v>288.52573051314079</v>
      </c>
      <c r="E179" s="2">
        <f>MAIZ!K177</f>
        <v>180.76310827329303</v>
      </c>
      <c r="F179" s="3">
        <f>GIRASOL!K177</f>
        <v>330.19684129056577</v>
      </c>
      <c r="G179" s="3"/>
      <c r="H179" s="3"/>
      <c r="J179" s="5"/>
      <c r="K179" s="25">
        <f t="shared" si="16"/>
        <v>292.49513011316122</v>
      </c>
      <c r="L179" s="10">
        <f t="shared" si="21"/>
        <v>178.61765507110297</v>
      </c>
      <c r="M179" s="10">
        <f t="shared" si="21"/>
        <v>266.2412214050475</v>
      </c>
      <c r="N179" t="s">
        <v>3</v>
      </c>
      <c r="O179" s="2">
        <v>168.86046046579145</v>
      </c>
      <c r="P179" s="10">
        <f t="shared" si="22"/>
        <v>94.61497453232208</v>
      </c>
      <c r="Q179" s="10">
        <f t="shared" si="22"/>
        <v>141.16194247050137</v>
      </c>
    </row>
    <row r="180" spans="1:17" x14ac:dyDescent="0.15">
      <c r="A180" s="34">
        <v>39326</v>
      </c>
      <c r="B180" t="s">
        <v>5</v>
      </c>
      <c r="C180" s="9">
        <f>SOJA!K178</f>
        <v>361.44918022961559</v>
      </c>
      <c r="D180" s="7">
        <f>TRIGO!K178</f>
        <v>303.11876079945699</v>
      </c>
      <c r="E180" s="2">
        <f>MAIZ!K178</f>
        <v>191.44342787334128</v>
      </c>
      <c r="F180" s="3">
        <f>GIRASOL!K178</f>
        <v>440.23441829267</v>
      </c>
      <c r="G180" s="3"/>
      <c r="H180" s="3"/>
      <c r="J180" s="5"/>
      <c r="K180" s="25">
        <f t="shared" si="16"/>
        <v>327.65049041803184</v>
      </c>
      <c r="L180" s="10">
        <f t="shared" si="21"/>
        <v>178.61765507110297</v>
      </c>
      <c r="M180" s="10">
        <f t="shared" si="21"/>
        <v>266.2412214050475</v>
      </c>
      <c r="N180" t="s">
        <v>5</v>
      </c>
      <c r="O180" s="2">
        <v>171.81708040584101</v>
      </c>
      <c r="P180" s="10">
        <f t="shared" si="22"/>
        <v>94.61497453232208</v>
      </c>
      <c r="Q180" s="10">
        <f t="shared" si="22"/>
        <v>141.16194247050137</v>
      </c>
    </row>
    <row r="181" spans="1:17" x14ac:dyDescent="0.15">
      <c r="A181" s="34">
        <v>39356</v>
      </c>
      <c r="B181" t="s">
        <v>6</v>
      </c>
      <c r="C181" s="9">
        <f>SOJA!K179</f>
        <v>378.55014033025992</v>
      </c>
      <c r="D181" s="7">
        <f>TRIGO!K179</f>
        <v>307.66848631958834</v>
      </c>
      <c r="E181" s="2">
        <f>MAIZ!K179</f>
        <v>189.76632915332277</v>
      </c>
      <c r="F181" s="3">
        <f>GIRASOL!K179</f>
        <v>461.71326904575085</v>
      </c>
      <c r="G181" s="3"/>
      <c r="H181" s="3"/>
      <c r="J181" s="5"/>
      <c r="K181" s="25">
        <f t="shared" si="16"/>
        <v>339.87212091539942</v>
      </c>
      <c r="L181" s="10">
        <f t="shared" si="21"/>
        <v>178.61765507110297</v>
      </c>
      <c r="M181" s="10">
        <f t="shared" si="21"/>
        <v>266.2412214050475</v>
      </c>
      <c r="N181" t="s">
        <v>6</v>
      </c>
      <c r="O181" s="2">
        <v>164.75398731222759</v>
      </c>
      <c r="P181" s="10">
        <f t="shared" si="22"/>
        <v>94.61497453232208</v>
      </c>
      <c r="Q181" s="10">
        <f t="shared" si="22"/>
        <v>141.16194247050137</v>
      </c>
    </row>
    <row r="182" spans="1:17" x14ac:dyDescent="0.15">
      <c r="A182" s="34">
        <v>39387</v>
      </c>
      <c r="B182" t="s">
        <v>7</v>
      </c>
      <c r="C182" s="9">
        <f>SOJA!K180</f>
        <v>357.06185036735684</v>
      </c>
      <c r="D182" s="7">
        <f>TRIGO!K180</f>
        <v>286.84603181072964</v>
      </c>
      <c r="E182" s="2">
        <f>MAIZ!K180</f>
        <v>170.30463350537488</v>
      </c>
      <c r="F182" s="3">
        <f>GIRASOL!K180</f>
        <v>397.5814358241247</v>
      </c>
      <c r="G182" s="3"/>
      <c r="H182" s="3"/>
      <c r="J182" s="5"/>
      <c r="K182" s="25">
        <f t="shared" si="16"/>
        <v>316.43347625927129</v>
      </c>
      <c r="L182" s="10">
        <f t="shared" ref="L182:M197" si="23">+L181</f>
        <v>178.61765507110297</v>
      </c>
      <c r="M182" s="10">
        <f t="shared" si="23"/>
        <v>266.2412214050475</v>
      </c>
      <c r="N182" t="s">
        <v>7</v>
      </c>
      <c r="O182" s="2">
        <v>146.6728307933862</v>
      </c>
      <c r="P182" s="10">
        <f t="shared" si="22"/>
        <v>94.61497453232208</v>
      </c>
      <c r="Q182" s="10">
        <f t="shared" si="22"/>
        <v>141.16194247050137</v>
      </c>
    </row>
    <row r="183" spans="1:17" x14ac:dyDescent="0.15">
      <c r="A183" s="34">
        <v>39417</v>
      </c>
      <c r="B183" t="s">
        <v>26</v>
      </c>
      <c r="C183" s="9">
        <f>SOJA!K181</f>
        <v>375.75190177699568</v>
      </c>
      <c r="D183" s="7">
        <f>TRIGO!K181</f>
        <v>281.27940044507659</v>
      </c>
      <c r="E183" s="2">
        <f>MAIZ!K181</f>
        <v>157.38817803620208</v>
      </c>
      <c r="F183" s="3">
        <f>GIRASOL!K181</f>
        <v>428.09584425846964</v>
      </c>
      <c r="G183" s="3"/>
      <c r="H183" s="3"/>
      <c r="J183" s="5"/>
      <c r="K183" s="25">
        <f t="shared" si="16"/>
        <v>326.6991794029604</v>
      </c>
      <c r="L183" s="10">
        <f t="shared" si="23"/>
        <v>178.61765507110297</v>
      </c>
      <c r="M183" s="10">
        <f t="shared" si="23"/>
        <v>266.2412214050475</v>
      </c>
      <c r="N183" t="s">
        <v>26</v>
      </c>
      <c r="O183" s="2">
        <v>148.14974700175762</v>
      </c>
      <c r="P183" s="10">
        <f t="shared" si="22"/>
        <v>94.61497453232208</v>
      </c>
      <c r="Q183" s="10">
        <f t="shared" si="22"/>
        <v>141.16194247050137</v>
      </c>
    </row>
    <row r="184" spans="1:17" x14ac:dyDescent="0.15">
      <c r="A184" s="34">
        <v>39448</v>
      </c>
      <c r="B184" t="s">
        <v>14</v>
      </c>
      <c r="C184" s="9">
        <f>SOJA!K182</f>
        <v>396.71450738120404</v>
      </c>
      <c r="D184" s="7">
        <f>TRIGO!K182</f>
        <v>292.33773086291592</v>
      </c>
      <c r="E184" s="2">
        <f>MAIZ!K182</f>
        <v>195.90041678048374</v>
      </c>
      <c r="F184" s="3">
        <f>GIRASOL!K182</f>
        <v>451.95454569712649</v>
      </c>
      <c r="G184" s="3"/>
      <c r="H184" s="3"/>
      <c r="J184" s="5"/>
      <c r="K184" s="25">
        <f t="shared" si="16"/>
        <v>349.41893310842926</v>
      </c>
      <c r="L184" s="10">
        <f t="shared" si="23"/>
        <v>178.61765507110297</v>
      </c>
      <c r="M184" s="10">
        <f t="shared" si="23"/>
        <v>266.2412214050475</v>
      </c>
      <c r="N184" t="s">
        <v>14</v>
      </c>
      <c r="O184" s="2">
        <v>180.34081958441556</v>
      </c>
      <c r="P184" s="10">
        <f t="shared" si="22"/>
        <v>94.61497453232208</v>
      </c>
      <c r="Q184" s="10">
        <f t="shared" si="22"/>
        <v>141.16194247050137</v>
      </c>
    </row>
    <row r="185" spans="1:17" x14ac:dyDescent="0.15">
      <c r="A185" s="34">
        <v>39479</v>
      </c>
      <c r="B185" t="s">
        <v>1</v>
      </c>
      <c r="C185" s="9">
        <f>SOJA!K183</f>
        <v>429.46879465798338</v>
      </c>
      <c r="D185" s="7">
        <f>TRIGO!K183</f>
        <v>318.68573142059165</v>
      </c>
      <c r="E185" s="2">
        <f>MAIZ!K183</f>
        <v>208.8007358643369</v>
      </c>
      <c r="F185" s="3">
        <f>GIRASOL!K183</f>
        <v>496.40049597928873</v>
      </c>
      <c r="G185" s="3"/>
      <c r="H185" s="3"/>
      <c r="J185" s="5"/>
      <c r="K185" s="25">
        <f t="shared" si="16"/>
        <v>378.4263142692725</v>
      </c>
      <c r="L185" s="10">
        <f t="shared" si="23"/>
        <v>178.61765507110297</v>
      </c>
      <c r="M185" s="10">
        <f t="shared" si="23"/>
        <v>266.2412214050475</v>
      </c>
      <c r="N185" t="s">
        <v>1</v>
      </c>
      <c r="O185" s="2">
        <v>193.45861278215654</v>
      </c>
      <c r="P185" s="10">
        <f t="shared" ref="P185:Q200" si="24">+P184</f>
        <v>94.61497453232208</v>
      </c>
      <c r="Q185" s="10">
        <f t="shared" si="24"/>
        <v>141.16194247050137</v>
      </c>
    </row>
    <row r="186" spans="1:17" x14ac:dyDescent="0.15">
      <c r="A186" s="34">
        <v>39508</v>
      </c>
      <c r="B186" t="s">
        <v>2</v>
      </c>
      <c r="C186" s="9">
        <f>SOJA!K184</f>
        <v>416.04140402812317</v>
      </c>
      <c r="D186" s="7">
        <f>TRIGO!K184</f>
        <v>311.11578683743272</v>
      </c>
      <c r="E186" s="2">
        <f>MAIZ!K184</f>
        <v>202.6660835246245</v>
      </c>
      <c r="F186" s="3">
        <f>GIRASOL!K184</f>
        <v>500.44513454301739</v>
      </c>
      <c r="G186" s="3"/>
      <c r="H186" s="3"/>
      <c r="J186" s="5"/>
      <c r="K186" s="25">
        <f t="shared" si="16"/>
        <v>368.11895469977628</v>
      </c>
      <c r="L186" s="10">
        <f t="shared" si="23"/>
        <v>178.61765507110297</v>
      </c>
      <c r="M186" s="10">
        <f t="shared" si="23"/>
        <v>266.2412214050475</v>
      </c>
      <c r="N186" t="s">
        <v>2</v>
      </c>
      <c r="O186" s="2">
        <v>195.68301991280683</v>
      </c>
      <c r="P186" s="10">
        <f t="shared" si="24"/>
        <v>94.61497453232208</v>
      </c>
      <c r="Q186" s="10">
        <f t="shared" si="24"/>
        <v>141.16194247050137</v>
      </c>
    </row>
    <row r="187" spans="1:17" x14ac:dyDescent="0.15">
      <c r="A187" s="34">
        <v>39539</v>
      </c>
      <c r="B187" t="s">
        <v>3</v>
      </c>
      <c r="C187" s="9">
        <f>SOJA!K185</f>
        <v>368.95153290127587</v>
      </c>
      <c r="D187" s="7">
        <f>TRIGO!K185</f>
        <v>327.65244884707465</v>
      </c>
      <c r="E187" s="2">
        <f>MAIZ!K185</f>
        <v>206.43425456594929</v>
      </c>
      <c r="F187" s="3">
        <f>GIRASOL!K185</f>
        <v>499.11215326167286</v>
      </c>
      <c r="G187" s="3"/>
      <c r="H187" s="3"/>
      <c r="J187" s="5"/>
      <c r="K187" s="25">
        <f t="shared" si="16"/>
        <v>341.86747286384264</v>
      </c>
      <c r="L187" s="10">
        <f t="shared" si="23"/>
        <v>178.61765507110297</v>
      </c>
      <c r="M187" s="10">
        <f t="shared" si="23"/>
        <v>266.2412214050475</v>
      </c>
      <c r="N187" t="s">
        <v>3</v>
      </c>
      <c r="O187" s="2">
        <v>196.20977631734735</v>
      </c>
      <c r="P187" s="10">
        <f t="shared" si="24"/>
        <v>94.61497453232208</v>
      </c>
      <c r="Q187" s="10">
        <f t="shared" si="24"/>
        <v>141.16194247050137</v>
      </c>
    </row>
    <row r="188" spans="1:17" x14ac:dyDescent="0.15">
      <c r="A188" s="34">
        <v>39569</v>
      </c>
      <c r="B188" t="s">
        <v>2</v>
      </c>
      <c r="C188" s="9">
        <f>SOJA!K186</f>
        <v>359.92365231809276</v>
      </c>
      <c r="D188" s="7">
        <f>TRIGO!K186</f>
        <v>303.9647631605464</v>
      </c>
      <c r="E188" s="2">
        <f>MAIZ!K186</f>
        <v>191.05433945112247</v>
      </c>
      <c r="F188" s="3">
        <f>GIRASOL!K186</f>
        <v>487.95098902070714</v>
      </c>
      <c r="G188" s="3"/>
      <c r="H188" s="3"/>
      <c r="J188" s="5"/>
      <c r="K188" s="25">
        <f t="shared" si="16"/>
        <v>329.4467931767764</v>
      </c>
      <c r="L188" s="10">
        <f t="shared" si="23"/>
        <v>178.61765507110297</v>
      </c>
      <c r="M188" s="10">
        <f t="shared" si="23"/>
        <v>266.2412214050475</v>
      </c>
      <c r="N188" t="s">
        <v>2</v>
      </c>
      <c r="O188" s="2">
        <v>192.18749112578323</v>
      </c>
      <c r="P188" s="10">
        <f t="shared" si="24"/>
        <v>94.61497453232208</v>
      </c>
      <c r="Q188" s="10">
        <f t="shared" si="24"/>
        <v>141.16194247050137</v>
      </c>
    </row>
    <row r="189" spans="1:17" x14ac:dyDescent="0.15">
      <c r="A189" s="34">
        <v>39600</v>
      </c>
      <c r="B189" t="s">
        <v>4</v>
      </c>
      <c r="C189" s="9">
        <f>SOJA!K187</f>
        <v>394.33255265415886</v>
      </c>
      <c r="D189" s="7">
        <f>TRIGO!K187</f>
        <v>292.84461798149783</v>
      </c>
      <c r="E189" s="2">
        <f>MAIZ!K187</f>
        <v>222.78675291195412</v>
      </c>
      <c r="F189" s="3">
        <f>GIRASOL!K187</f>
        <v>466.13843686193474</v>
      </c>
      <c r="G189" s="3"/>
      <c r="H189" s="3"/>
      <c r="J189" s="5"/>
      <c r="K189" s="25">
        <f t="shared" si="16"/>
        <v>353.49582991808938</v>
      </c>
      <c r="L189" s="10">
        <f t="shared" si="23"/>
        <v>178.61765507110297</v>
      </c>
      <c r="M189" s="10">
        <f t="shared" si="23"/>
        <v>266.2412214050475</v>
      </c>
      <c r="N189" t="s">
        <v>4</v>
      </c>
      <c r="O189" s="2">
        <v>194.88315551040142</v>
      </c>
      <c r="P189" s="10">
        <f t="shared" si="24"/>
        <v>94.61497453232208</v>
      </c>
      <c r="Q189" s="10">
        <f t="shared" si="24"/>
        <v>141.16194247050137</v>
      </c>
    </row>
    <row r="190" spans="1:17" x14ac:dyDescent="0.15">
      <c r="A190" s="34">
        <v>39630</v>
      </c>
      <c r="B190" t="s">
        <v>4</v>
      </c>
      <c r="C190" s="9">
        <f>SOJA!K188</f>
        <v>398.67797887723515</v>
      </c>
      <c r="D190" s="7">
        <f>TRIGO!K188</f>
        <v>266.74041528922703</v>
      </c>
      <c r="E190" s="2">
        <f>MAIZ!K188</f>
        <v>205.66276984472756</v>
      </c>
      <c r="F190" s="3">
        <f>GIRASOL!K188</f>
        <v>456.65529304298684</v>
      </c>
      <c r="G190" s="3"/>
      <c r="H190" s="3"/>
      <c r="J190" s="5"/>
      <c r="K190" s="25">
        <f t="shared" si="16"/>
        <v>348.82308062854582</v>
      </c>
      <c r="L190" s="10">
        <f t="shared" si="23"/>
        <v>178.61765507110297</v>
      </c>
      <c r="M190" s="10">
        <f t="shared" si="23"/>
        <v>266.2412214050475</v>
      </c>
      <c r="N190" t="s">
        <v>4</v>
      </c>
      <c r="O190" s="2">
        <v>179.75525417725794</v>
      </c>
      <c r="P190" s="10">
        <f t="shared" si="24"/>
        <v>94.61497453232208</v>
      </c>
      <c r="Q190" s="10">
        <f t="shared" si="24"/>
        <v>141.16194247050137</v>
      </c>
    </row>
    <row r="191" spans="1:17" x14ac:dyDescent="0.15">
      <c r="A191" s="34">
        <v>39661</v>
      </c>
      <c r="B191" t="s">
        <v>3</v>
      </c>
      <c r="C191" s="9">
        <f>SOJA!K189</f>
        <v>340.2216804604065</v>
      </c>
      <c r="D191" s="7">
        <f>TRIGO!K189</f>
        <v>241.69984232123909</v>
      </c>
      <c r="E191" s="2">
        <f>MAIZ!K189</f>
        <v>180.54607190936858</v>
      </c>
      <c r="F191" s="3">
        <f>GIRASOL!K189</f>
        <v>438.52266713546447</v>
      </c>
      <c r="G191" s="3"/>
      <c r="H191" s="3"/>
      <c r="J191" s="5"/>
      <c r="K191" s="25">
        <f t="shared" si="16"/>
        <v>303.38345013765354</v>
      </c>
      <c r="L191" s="10">
        <f t="shared" si="23"/>
        <v>178.61765507110297</v>
      </c>
      <c r="M191" s="10">
        <f t="shared" si="23"/>
        <v>266.2412214050475</v>
      </c>
      <c r="N191" t="s">
        <v>3</v>
      </c>
      <c r="O191" s="2">
        <v>155.05769547149657</v>
      </c>
      <c r="P191" s="10">
        <f t="shared" si="24"/>
        <v>94.61497453232208</v>
      </c>
      <c r="Q191" s="10">
        <f t="shared" si="24"/>
        <v>141.16194247050137</v>
      </c>
    </row>
    <row r="192" spans="1:17" x14ac:dyDescent="0.15">
      <c r="A192" s="34">
        <v>39692</v>
      </c>
      <c r="B192" t="s">
        <v>5</v>
      </c>
      <c r="C192" s="9">
        <f>SOJA!K190</f>
        <v>321.85993072265637</v>
      </c>
      <c r="D192" s="7">
        <f>TRIGO!K190</f>
        <v>225.93064938263836</v>
      </c>
      <c r="E192" s="2">
        <f>MAIZ!K190</f>
        <v>171.08371425620888</v>
      </c>
      <c r="F192" s="3">
        <f>GIRASOL!K190</f>
        <v>393.46472429915741</v>
      </c>
      <c r="G192" s="3"/>
      <c r="H192" s="3"/>
      <c r="J192" s="5"/>
      <c r="K192" s="25">
        <f t="shared" si="16"/>
        <v>285.45156772228501</v>
      </c>
      <c r="L192" s="10">
        <f t="shared" si="23"/>
        <v>178.61765507110297</v>
      </c>
      <c r="M192" s="10">
        <f t="shared" si="23"/>
        <v>266.2412214050475</v>
      </c>
      <c r="N192" t="s">
        <v>5</v>
      </c>
      <c r="O192" s="2">
        <v>149.03238556211187</v>
      </c>
      <c r="P192" s="10">
        <f t="shared" si="24"/>
        <v>94.61497453232208</v>
      </c>
      <c r="Q192" s="10">
        <f t="shared" si="24"/>
        <v>141.16194247050137</v>
      </c>
    </row>
    <row r="193" spans="1:17" x14ac:dyDescent="0.15">
      <c r="A193" s="34">
        <v>39722</v>
      </c>
      <c r="B193" t="s">
        <v>6</v>
      </c>
      <c r="C193" s="9">
        <f>SOJA!K191</f>
        <v>273.20849352746006</v>
      </c>
      <c r="D193" s="7">
        <f>TRIGO!K191</f>
        <v>194.78732203215765</v>
      </c>
      <c r="E193" s="2">
        <f>MAIZ!K191</f>
        <v>148.04115140140738</v>
      </c>
      <c r="F193" s="3">
        <f>GIRASOL!K191</f>
        <v>357.66742178580017</v>
      </c>
      <c r="G193" s="3"/>
      <c r="H193" s="3"/>
      <c r="J193" s="5"/>
      <c r="K193" s="25">
        <f t="shared" si="16"/>
        <v>244.57243778487765</v>
      </c>
      <c r="L193" s="10">
        <f t="shared" si="23"/>
        <v>178.61765507110297</v>
      </c>
      <c r="M193" s="10">
        <f t="shared" si="23"/>
        <v>266.2412214050475</v>
      </c>
      <c r="N193" t="s">
        <v>6</v>
      </c>
      <c r="O193" s="2">
        <v>114.67917386399745</v>
      </c>
      <c r="P193" s="10">
        <f t="shared" si="24"/>
        <v>94.61497453232208</v>
      </c>
      <c r="Q193" s="10">
        <f t="shared" si="24"/>
        <v>141.16194247050137</v>
      </c>
    </row>
    <row r="194" spans="1:17" x14ac:dyDescent="0.15">
      <c r="A194" s="34">
        <v>39753</v>
      </c>
      <c r="B194" t="s">
        <v>7</v>
      </c>
      <c r="C194" s="9">
        <f>SOJA!K192</f>
        <v>271.41418079981474</v>
      </c>
      <c r="D194" s="7">
        <f>TRIGO!K192</f>
        <v>160.11603187214175</v>
      </c>
      <c r="E194" s="2">
        <f>MAIZ!K192</f>
        <v>137.510998117143</v>
      </c>
      <c r="F194" s="3">
        <f>GIRASOL!K192</f>
        <v>321.74616333645503</v>
      </c>
      <c r="G194" s="3"/>
      <c r="H194" s="3"/>
      <c r="J194" s="5"/>
      <c r="K194" s="25">
        <f t="shared" si="16"/>
        <v>234.4764269608545</v>
      </c>
      <c r="L194" s="10">
        <f t="shared" si="23"/>
        <v>178.61765507110297</v>
      </c>
      <c r="M194" s="10">
        <f t="shared" si="23"/>
        <v>266.2412214050475</v>
      </c>
      <c r="N194" t="s">
        <v>7</v>
      </c>
      <c r="O194" s="2">
        <v>103.75108863861675</v>
      </c>
      <c r="P194" s="10">
        <f t="shared" si="24"/>
        <v>94.61497453232208</v>
      </c>
      <c r="Q194" s="10">
        <f t="shared" si="24"/>
        <v>141.16194247050137</v>
      </c>
    </row>
    <row r="195" spans="1:17" x14ac:dyDescent="0.15">
      <c r="A195" s="34">
        <v>39783</v>
      </c>
      <c r="B195" t="s">
        <v>27</v>
      </c>
      <c r="C195" s="9">
        <f>SOJA!K193</f>
        <v>262.94729146623678</v>
      </c>
      <c r="D195" s="7">
        <f>TRIGO!K193</f>
        <v>152.15319735818983</v>
      </c>
      <c r="E195" s="2">
        <f>MAIZ!K193</f>
        <v>135.2472865406132</v>
      </c>
      <c r="F195" s="3">
        <f>GIRASOL!K193</f>
        <v>251.27013735152497</v>
      </c>
      <c r="G195" s="3"/>
      <c r="H195" s="3"/>
      <c r="J195" s="5"/>
      <c r="K195" s="25">
        <f t="shared" si="16"/>
        <v>223.67218272091537</v>
      </c>
      <c r="L195" s="10">
        <f t="shared" si="23"/>
        <v>178.61765507110297</v>
      </c>
      <c r="M195" s="10">
        <f t="shared" si="23"/>
        <v>266.2412214050475</v>
      </c>
      <c r="N195" t="s">
        <v>27</v>
      </c>
      <c r="O195" s="2">
        <v>100.03731691041767</v>
      </c>
      <c r="P195" s="10">
        <f t="shared" si="24"/>
        <v>94.61497453232208</v>
      </c>
      <c r="Q195" s="10">
        <f t="shared" si="24"/>
        <v>141.16194247050137</v>
      </c>
    </row>
    <row r="196" spans="1:17" x14ac:dyDescent="0.15">
      <c r="A196" s="34">
        <v>39814</v>
      </c>
      <c r="B196" t="s">
        <v>15</v>
      </c>
      <c r="C196" s="9">
        <f>SOJA!K194</f>
        <v>305.38302694372413</v>
      </c>
      <c r="D196" s="7">
        <f>TRIGO!K194</f>
        <v>182.54491226948878</v>
      </c>
      <c r="E196" s="2">
        <f>MAIZ!K194</f>
        <v>150.9191744408096</v>
      </c>
      <c r="F196" s="3">
        <f>GIRASOL!K194</f>
        <v>245.12349988793909</v>
      </c>
      <c r="G196" s="3"/>
      <c r="H196" s="3"/>
      <c r="J196" s="5"/>
      <c r="K196" s="25">
        <f t="shared" si="16"/>
        <v>256.92942143459919</v>
      </c>
      <c r="L196" s="10">
        <f t="shared" si="23"/>
        <v>178.61765507110297</v>
      </c>
      <c r="M196" s="10">
        <f t="shared" si="23"/>
        <v>266.2412214050475</v>
      </c>
      <c r="N196" t="s">
        <v>15</v>
      </c>
      <c r="O196" s="2">
        <v>129.66112854097685</v>
      </c>
      <c r="P196" s="10">
        <f t="shared" si="24"/>
        <v>94.61497453232208</v>
      </c>
      <c r="Q196" s="10">
        <f t="shared" si="24"/>
        <v>141.16194247050137</v>
      </c>
    </row>
    <row r="197" spans="1:17" x14ac:dyDescent="0.15">
      <c r="A197" s="34">
        <v>39845</v>
      </c>
      <c r="B197" t="s">
        <v>1</v>
      </c>
      <c r="C197" s="9">
        <f>SOJA!K195</f>
        <v>286.79644356528229</v>
      </c>
      <c r="D197" s="7">
        <f>TRIGO!K195</f>
        <v>188.86860418393977</v>
      </c>
      <c r="E197" s="2">
        <f>MAIZ!K195</f>
        <v>146.99451016876006</v>
      </c>
      <c r="F197" s="3">
        <f>GIRASOL!K195</f>
        <v>246.60263219101193</v>
      </c>
      <c r="G197" s="3"/>
      <c r="H197" s="3"/>
      <c r="J197" s="5"/>
      <c r="K197" s="25">
        <f t="shared" ref="K197:K260" si="25">+C197*C$2+D197*D$2+E197*E$2+F197*F$2</f>
        <v>245.70788277782668</v>
      </c>
      <c r="L197" s="10">
        <f t="shared" si="23"/>
        <v>178.61765507110297</v>
      </c>
      <c r="M197" s="10">
        <f t="shared" si="23"/>
        <v>266.2412214050475</v>
      </c>
      <c r="N197" t="s">
        <v>1</v>
      </c>
      <c r="O197" s="2">
        <v>135.86816701762282</v>
      </c>
      <c r="P197" s="10">
        <f t="shared" si="24"/>
        <v>94.61497453232208</v>
      </c>
      <c r="Q197" s="10">
        <f t="shared" si="24"/>
        <v>141.16194247050137</v>
      </c>
    </row>
    <row r="198" spans="1:17" x14ac:dyDescent="0.15">
      <c r="A198" s="34">
        <v>39873</v>
      </c>
      <c r="B198" t="s">
        <v>2</v>
      </c>
      <c r="C198" s="9">
        <f>SOJA!K196</f>
        <v>278.68415825029837</v>
      </c>
      <c r="D198" s="7">
        <f>TRIGO!K196</f>
        <v>189.69163841839708</v>
      </c>
      <c r="E198" s="2">
        <f>MAIZ!K196</f>
        <v>160.06474730273547</v>
      </c>
      <c r="F198" s="3">
        <f>GIRASOL!K196</f>
        <v>253.51869914408411</v>
      </c>
      <c r="G198" s="3"/>
      <c r="H198" s="3"/>
      <c r="J198" s="5"/>
      <c r="K198" s="25">
        <f t="shared" si="25"/>
        <v>243.45257153962748</v>
      </c>
      <c r="L198" s="10">
        <f t="shared" ref="L198:M213" si="26">+L197</f>
        <v>178.61765507110297</v>
      </c>
      <c r="M198" s="10">
        <f t="shared" si="26"/>
        <v>266.2412214050475</v>
      </c>
      <c r="N198" t="s">
        <v>2</v>
      </c>
      <c r="O198" s="2">
        <v>135.63854070712489</v>
      </c>
      <c r="P198" s="10">
        <f t="shared" si="24"/>
        <v>94.61497453232208</v>
      </c>
      <c r="Q198" s="10">
        <f t="shared" si="24"/>
        <v>141.16194247050137</v>
      </c>
    </row>
    <row r="199" spans="1:17" x14ac:dyDescent="0.15">
      <c r="A199" s="34">
        <v>39904</v>
      </c>
      <c r="B199" t="s">
        <v>3</v>
      </c>
      <c r="C199" s="9">
        <f>SOJA!K197</f>
        <v>313.75596849033752</v>
      </c>
      <c r="D199" s="7">
        <f>TRIGO!K197</f>
        <v>186.7273013186711</v>
      </c>
      <c r="E199" s="2">
        <f>MAIZ!K197</f>
        <v>162.80317605668296</v>
      </c>
      <c r="F199" s="3">
        <f>GIRASOL!K197</f>
        <v>253.13908472228141</v>
      </c>
      <c r="G199" s="3"/>
      <c r="H199" s="3"/>
      <c r="J199" s="5"/>
      <c r="K199" s="25">
        <f t="shared" si="25"/>
        <v>265.27475096686186</v>
      </c>
      <c r="L199" s="10">
        <f t="shared" si="26"/>
        <v>178.61765507110297</v>
      </c>
      <c r="M199" s="10">
        <f t="shared" si="26"/>
        <v>266.2412214050475</v>
      </c>
      <c r="N199" t="s">
        <v>3</v>
      </c>
      <c r="O199" s="2">
        <v>129.09510961273077</v>
      </c>
      <c r="P199" s="10">
        <f t="shared" si="24"/>
        <v>94.61497453232208</v>
      </c>
      <c r="Q199" s="10">
        <f t="shared" si="24"/>
        <v>141.16194247050137</v>
      </c>
    </row>
    <row r="200" spans="1:17" x14ac:dyDescent="0.15">
      <c r="A200" s="34">
        <v>39934</v>
      </c>
      <c r="B200" t="s">
        <v>2</v>
      </c>
      <c r="C200" s="9">
        <f>SOJA!K198</f>
        <v>349.64141251634612</v>
      </c>
      <c r="D200" s="7">
        <f>TRIGO!K198</f>
        <v>186.50847130613172</v>
      </c>
      <c r="E200" s="2">
        <f>MAIZ!K198</f>
        <v>179.46854495699014</v>
      </c>
      <c r="F200" s="3">
        <f>GIRASOL!K198</f>
        <v>269.69858689669235</v>
      </c>
      <c r="G200" s="3"/>
      <c r="H200" s="3"/>
      <c r="J200" s="5"/>
      <c r="K200" s="25">
        <f t="shared" si="25"/>
        <v>291.38877261292862</v>
      </c>
      <c r="L200" s="10">
        <f t="shared" si="26"/>
        <v>178.61765507110297</v>
      </c>
      <c r="M200" s="10">
        <f t="shared" si="26"/>
        <v>266.2412214050475</v>
      </c>
      <c r="N200" t="s">
        <v>2</v>
      </c>
      <c r="O200" s="2">
        <v>122.40740506688726</v>
      </c>
      <c r="P200" s="10">
        <f t="shared" si="24"/>
        <v>94.61497453232208</v>
      </c>
      <c r="Q200" s="10">
        <f t="shared" si="24"/>
        <v>141.16194247050137</v>
      </c>
    </row>
    <row r="201" spans="1:17" x14ac:dyDescent="0.15">
      <c r="A201" s="34">
        <v>39965</v>
      </c>
      <c r="B201" t="s">
        <v>4</v>
      </c>
      <c r="C201" s="9">
        <f>SOJA!K199</f>
        <v>364.96426208876051</v>
      </c>
      <c r="D201" s="7">
        <f>TRIGO!K199</f>
        <v>208.85691491731347</v>
      </c>
      <c r="E201" s="2">
        <f>MAIZ!K199</f>
        <v>185.25219921135101</v>
      </c>
      <c r="F201" s="3">
        <f>GIRASOL!K199</f>
        <v>290.3778423659644</v>
      </c>
      <c r="G201" s="3"/>
      <c r="H201" s="3"/>
      <c r="J201" s="5"/>
      <c r="K201" s="25">
        <f t="shared" si="25"/>
        <v>306.38948520896253</v>
      </c>
      <c r="L201" s="10">
        <f t="shared" si="26"/>
        <v>178.61765507110297</v>
      </c>
      <c r="M201" s="10">
        <f t="shared" si="26"/>
        <v>266.2412214050475</v>
      </c>
      <c r="N201" t="s">
        <v>4</v>
      </c>
      <c r="O201" s="2">
        <v>135.02116331078759</v>
      </c>
      <c r="P201" s="10">
        <f t="shared" ref="P201:Q216" si="27">+P200</f>
        <v>94.61497453232208</v>
      </c>
      <c r="Q201" s="10">
        <f t="shared" si="27"/>
        <v>141.16194247050137</v>
      </c>
    </row>
    <row r="202" spans="1:17" x14ac:dyDescent="0.15">
      <c r="A202" s="34">
        <v>39995</v>
      </c>
      <c r="B202" t="s">
        <v>4</v>
      </c>
      <c r="C202" s="9">
        <f>SOJA!K200</f>
        <v>348.24207336014086</v>
      </c>
      <c r="D202" s="7">
        <f>TRIGO!K200</f>
        <v>214.80003668260693</v>
      </c>
      <c r="E202" s="2">
        <f>MAIZ!K200</f>
        <v>163.08891674049789</v>
      </c>
      <c r="F202" s="3">
        <f>GIRASOL!K200</f>
        <v>295.8472727457202</v>
      </c>
      <c r="G202" s="3"/>
      <c r="H202" s="3"/>
      <c r="J202" s="5"/>
      <c r="K202" s="25">
        <f t="shared" si="25"/>
        <v>293.31812508754672</v>
      </c>
      <c r="L202" s="10">
        <f t="shared" si="26"/>
        <v>178.61765507110297</v>
      </c>
      <c r="M202" s="10">
        <f t="shared" si="26"/>
        <v>266.2412214050475</v>
      </c>
      <c r="N202" t="s">
        <v>4</v>
      </c>
      <c r="O202" s="2">
        <v>136.62442697372359</v>
      </c>
      <c r="P202" s="10">
        <f t="shared" si="27"/>
        <v>94.61497453232208</v>
      </c>
      <c r="Q202" s="10">
        <f t="shared" si="27"/>
        <v>141.16194247050137</v>
      </c>
    </row>
    <row r="203" spans="1:17" x14ac:dyDescent="0.15">
      <c r="A203" s="34">
        <v>40026</v>
      </c>
      <c r="B203" t="s">
        <v>3</v>
      </c>
      <c r="C203" s="9">
        <f>SOJA!K201</f>
        <v>360.86673996229223</v>
      </c>
      <c r="D203" s="7">
        <f>TRIGO!K201</f>
        <v>209.21244612513226</v>
      </c>
      <c r="E203" s="2">
        <f>MAIZ!K201</f>
        <v>162.22619935944064</v>
      </c>
      <c r="F203" s="3">
        <f>GIRASOL!K201</f>
        <v>294.28228237459496</v>
      </c>
      <c r="G203" s="3"/>
      <c r="H203" s="3"/>
      <c r="J203" s="5"/>
      <c r="K203" s="25">
        <f t="shared" si="25"/>
        <v>300.10297415234322</v>
      </c>
      <c r="L203" s="10">
        <f t="shared" si="26"/>
        <v>178.61765507110297</v>
      </c>
      <c r="M203" s="10">
        <f t="shared" si="26"/>
        <v>266.2412214050475</v>
      </c>
      <c r="N203" t="s">
        <v>3</v>
      </c>
      <c r="O203" s="2"/>
      <c r="P203" s="10">
        <f t="shared" si="27"/>
        <v>94.61497453232208</v>
      </c>
      <c r="Q203" s="10">
        <f t="shared" si="27"/>
        <v>141.16194247050137</v>
      </c>
    </row>
    <row r="204" spans="1:17" x14ac:dyDescent="0.15">
      <c r="A204" s="34">
        <v>40057</v>
      </c>
      <c r="B204" t="s">
        <v>5</v>
      </c>
      <c r="C204" s="9">
        <f>SOJA!K202</f>
        <v>323.34157170439079</v>
      </c>
      <c r="D204" s="7">
        <f>TRIGO!K202</f>
        <v>192.72159904119573</v>
      </c>
      <c r="E204" s="2">
        <f>MAIZ!K202</f>
        <v>157.42352838981489</v>
      </c>
      <c r="F204" s="3">
        <f>GIRASOL!K202</f>
        <v>285.90459441727864</v>
      </c>
      <c r="G204" s="3"/>
      <c r="H204" s="3"/>
      <c r="J204" s="5"/>
      <c r="K204" s="25">
        <f t="shared" si="25"/>
        <v>273.02810687604244</v>
      </c>
      <c r="L204" s="10">
        <f t="shared" si="26"/>
        <v>178.61765507110297</v>
      </c>
      <c r="M204" s="10">
        <f t="shared" si="26"/>
        <v>266.2412214050475</v>
      </c>
      <c r="N204" t="s">
        <v>5</v>
      </c>
      <c r="O204" s="2"/>
      <c r="P204" s="10">
        <f t="shared" si="27"/>
        <v>94.61497453232208</v>
      </c>
      <c r="Q204" s="10">
        <f t="shared" si="27"/>
        <v>141.16194247050137</v>
      </c>
    </row>
    <row r="205" spans="1:17" x14ac:dyDescent="0.15">
      <c r="A205" s="34">
        <v>40087</v>
      </c>
      <c r="B205" t="s">
        <v>6</v>
      </c>
      <c r="C205" s="9">
        <f>SOJA!K203</f>
        <v>330.22123025451839</v>
      </c>
      <c r="D205" s="7">
        <f>TRIGO!K203</f>
        <v>188.09247180082372</v>
      </c>
      <c r="E205" s="2">
        <f>MAIZ!K203</f>
        <v>166.61545121117513</v>
      </c>
      <c r="F205" s="3">
        <f>GIRASOL!K203</f>
        <v>255.4128188508881</v>
      </c>
      <c r="G205" s="3"/>
      <c r="H205" s="3"/>
      <c r="J205" s="5"/>
      <c r="K205" s="25">
        <f t="shared" si="25"/>
        <v>276.50528541351071</v>
      </c>
      <c r="L205" s="10">
        <f t="shared" si="26"/>
        <v>178.61765507110297</v>
      </c>
      <c r="M205" s="10">
        <f t="shared" si="26"/>
        <v>266.2412214050475</v>
      </c>
      <c r="N205" t="s">
        <v>6</v>
      </c>
      <c r="O205" s="2">
        <v>151.05189371667683</v>
      </c>
      <c r="P205" s="10">
        <f t="shared" si="27"/>
        <v>94.61497453232208</v>
      </c>
      <c r="Q205" s="10">
        <f t="shared" si="27"/>
        <v>141.16194247050137</v>
      </c>
    </row>
    <row r="206" spans="1:17" x14ac:dyDescent="0.15">
      <c r="A206" s="34">
        <v>40118</v>
      </c>
      <c r="B206" t="s">
        <v>7</v>
      </c>
      <c r="C206" s="9">
        <f>SOJA!K204</f>
        <v>337.85355270531727</v>
      </c>
      <c r="D206" s="7">
        <f>TRIGO!K204</f>
        <v>184.98769607386984</v>
      </c>
      <c r="E206" s="2">
        <f>MAIZ!K204</f>
        <v>165.75958429558233</v>
      </c>
      <c r="F206" s="3">
        <f>GIRASOL!K204</f>
        <v>263.27357974261201</v>
      </c>
      <c r="G206" s="3"/>
      <c r="H206" s="3"/>
      <c r="J206" s="5"/>
      <c r="K206" s="25">
        <f t="shared" si="25"/>
        <v>281.08526663269532</v>
      </c>
      <c r="L206" s="10">
        <f t="shared" si="26"/>
        <v>178.61765507110297</v>
      </c>
      <c r="M206" s="10">
        <f t="shared" si="26"/>
        <v>266.2412214050475</v>
      </c>
      <c r="N206" t="s">
        <v>7</v>
      </c>
      <c r="O206" s="2">
        <v>150.9030009224503</v>
      </c>
      <c r="P206" s="10">
        <f t="shared" si="27"/>
        <v>94.61497453232208</v>
      </c>
      <c r="Q206" s="10">
        <f t="shared" si="27"/>
        <v>141.16194247050137</v>
      </c>
    </row>
    <row r="207" spans="1:17" x14ac:dyDescent="0.15">
      <c r="A207" s="34">
        <v>40148</v>
      </c>
      <c r="B207" t="s">
        <v>28</v>
      </c>
      <c r="C207" s="9">
        <f>SOJA!K205</f>
        <v>338.24265041161976</v>
      </c>
      <c r="D207" s="7">
        <f>TRIGO!K205</f>
        <v>192.35227647034418</v>
      </c>
      <c r="E207" s="2">
        <f>MAIZ!K205</f>
        <v>163.54589690232166</v>
      </c>
      <c r="F207" s="3">
        <f>GIRASOL!K205</f>
        <v>292.2453669078418</v>
      </c>
      <c r="G207" s="3"/>
      <c r="H207" s="3"/>
      <c r="J207" s="5"/>
      <c r="K207" s="25">
        <f t="shared" si="25"/>
        <v>283.66141820372201</v>
      </c>
      <c r="L207" s="10">
        <f t="shared" si="26"/>
        <v>178.61765507110297</v>
      </c>
      <c r="M207" s="10">
        <f t="shared" si="26"/>
        <v>266.2412214050475</v>
      </c>
      <c r="N207" t="s">
        <v>28</v>
      </c>
      <c r="O207" s="2">
        <v>149.93659042866591</v>
      </c>
      <c r="P207" s="10">
        <f t="shared" si="27"/>
        <v>94.61497453232208</v>
      </c>
      <c r="Q207" s="10">
        <f t="shared" si="27"/>
        <v>141.16194247050137</v>
      </c>
    </row>
    <row r="208" spans="1:17" x14ac:dyDescent="0.15">
      <c r="A208" s="34">
        <v>40179</v>
      </c>
      <c r="B208" t="s">
        <v>16</v>
      </c>
      <c r="C208" s="9">
        <f>SOJA!K206</f>
        <v>283.95437513477179</v>
      </c>
      <c r="D208" s="7">
        <f>TRIGO!K206</f>
        <v>189.53741787217695</v>
      </c>
      <c r="E208" s="2">
        <f>MAIZ!K206</f>
        <v>161.57883324352247</v>
      </c>
      <c r="F208" s="3">
        <f>GIRASOL!K206</f>
        <v>285.48619693869563</v>
      </c>
      <c r="G208" s="3"/>
      <c r="H208" s="3"/>
      <c r="J208" s="5"/>
      <c r="K208" s="25">
        <f t="shared" si="25"/>
        <v>248.77059946260326</v>
      </c>
      <c r="L208" s="10">
        <f t="shared" si="26"/>
        <v>178.61765507110297</v>
      </c>
      <c r="M208" s="10">
        <f t="shared" si="26"/>
        <v>266.2412214050475</v>
      </c>
      <c r="N208" t="s">
        <v>16</v>
      </c>
      <c r="O208" s="2">
        <v>150.09396805288452</v>
      </c>
      <c r="P208" s="10">
        <f t="shared" si="27"/>
        <v>94.61497453232208</v>
      </c>
      <c r="Q208" s="10">
        <f t="shared" si="27"/>
        <v>141.16194247050137</v>
      </c>
    </row>
    <row r="209" spans="1:17" x14ac:dyDescent="0.15">
      <c r="A209" s="34">
        <v>40210</v>
      </c>
      <c r="B209" t="s">
        <v>1</v>
      </c>
      <c r="C209" s="9">
        <f>SOJA!K207</f>
        <v>253.01158034694552</v>
      </c>
      <c r="D209" s="7">
        <f>TRIGO!K207</f>
        <v>181.72412332611469</v>
      </c>
      <c r="E209" s="2">
        <f>MAIZ!K207</f>
        <v>145.37929866089175</v>
      </c>
      <c r="F209" s="3">
        <f>GIRASOL!K207</f>
        <v>288.33560901076868</v>
      </c>
      <c r="G209" s="3"/>
      <c r="H209" s="3"/>
      <c r="J209" s="5"/>
      <c r="K209" s="25">
        <f t="shared" si="25"/>
        <v>225.71701841557046</v>
      </c>
      <c r="L209" s="10">
        <f t="shared" si="26"/>
        <v>178.61765507110297</v>
      </c>
      <c r="M209" s="10">
        <f t="shared" si="26"/>
        <v>266.2412214050475</v>
      </c>
      <c r="N209" t="s">
        <v>1</v>
      </c>
      <c r="O209" s="2">
        <v>131.52631024381574</v>
      </c>
      <c r="P209" s="10">
        <f t="shared" si="27"/>
        <v>94.61497453232208</v>
      </c>
      <c r="Q209" s="10">
        <f t="shared" si="27"/>
        <v>141.16194247050137</v>
      </c>
    </row>
    <row r="210" spans="1:17" x14ac:dyDescent="0.15">
      <c r="A210" s="34">
        <v>40238</v>
      </c>
      <c r="B210" t="s">
        <v>2</v>
      </c>
      <c r="C210" s="9">
        <f>SOJA!K208</f>
        <v>251.26643448634806</v>
      </c>
      <c r="D210" s="7">
        <f>TRIGO!K208</f>
        <v>169.51860561554446</v>
      </c>
      <c r="E210" s="2">
        <f>MAIZ!K208</f>
        <v>140.17042324799544</v>
      </c>
      <c r="F210" s="3">
        <f>GIRASOL!K208</f>
        <v>296.37283865498034</v>
      </c>
      <c r="G210" s="3"/>
      <c r="H210" s="3"/>
      <c r="J210" s="5"/>
      <c r="K210" s="25">
        <f t="shared" si="25"/>
        <v>222.37385939969576</v>
      </c>
      <c r="L210" s="10">
        <f t="shared" si="26"/>
        <v>178.61765507110297</v>
      </c>
      <c r="M210" s="10">
        <f t="shared" si="26"/>
        <v>266.2412214050475</v>
      </c>
      <c r="N210" t="s">
        <v>2</v>
      </c>
      <c r="O210" s="2"/>
      <c r="P210" s="10">
        <f t="shared" si="27"/>
        <v>94.61497453232208</v>
      </c>
      <c r="Q210" s="10">
        <f t="shared" si="27"/>
        <v>141.16194247050137</v>
      </c>
    </row>
    <row r="211" spans="1:17" x14ac:dyDescent="0.15">
      <c r="A211" s="34">
        <v>40269</v>
      </c>
      <c r="B211" t="s">
        <v>3</v>
      </c>
      <c r="C211" s="9">
        <f>SOJA!K209</f>
        <v>255.51242700545777</v>
      </c>
      <c r="D211" s="7">
        <f>TRIGO!K209</f>
        <v>171.06157412368771</v>
      </c>
      <c r="E211" s="2">
        <f>MAIZ!K209</f>
        <v>143.41525911379878</v>
      </c>
      <c r="F211" s="3">
        <f>GIRASOL!K209</f>
        <v>300.35129416212135</v>
      </c>
      <c r="G211" s="3"/>
      <c r="H211" s="3"/>
      <c r="J211" s="5"/>
      <c r="K211" s="25">
        <f t="shared" si="25"/>
        <v>226.03098771619315</v>
      </c>
      <c r="L211" s="10">
        <f t="shared" si="26"/>
        <v>178.61765507110297</v>
      </c>
      <c r="M211" s="10">
        <f t="shared" si="26"/>
        <v>266.2412214050475</v>
      </c>
      <c r="N211" t="s">
        <v>3</v>
      </c>
      <c r="O211" s="2"/>
      <c r="P211" s="10">
        <f t="shared" si="27"/>
        <v>94.61497453232208</v>
      </c>
      <c r="Q211" s="10">
        <f t="shared" si="27"/>
        <v>141.16194247050137</v>
      </c>
    </row>
    <row r="212" spans="1:17" x14ac:dyDescent="0.15">
      <c r="A212" s="34">
        <v>40299</v>
      </c>
      <c r="B212" t="s">
        <v>2</v>
      </c>
      <c r="C212" s="9">
        <f>SOJA!K210</f>
        <v>250.36422245675115</v>
      </c>
      <c r="D212" s="7">
        <f>TRIGO!K210</f>
        <v>175.35688244410287</v>
      </c>
      <c r="E212" s="2">
        <f>MAIZ!K210</f>
        <v>146.77448310299363</v>
      </c>
      <c r="F212" s="3">
        <f>GIRASOL!K210</f>
        <v>306.42392086414452</v>
      </c>
      <c r="G212" s="3"/>
      <c r="H212" s="3"/>
      <c r="J212" s="5"/>
      <c r="K212" s="25">
        <f t="shared" si="25"/>
        <v>224.39219873280112</v>
      </c>
      <c r="L212" s="10">
        <f t="shared" si="26"/>
        <v>178.61765507110297</v>
      </c>
      <c r="M212" s="10">
        <f t="shared" si="26"/>
        <v>266.2412214050475</v>
      </c>
      <c r="N212" t="s">
        <v>2</v>
      </c>
      <c r="O212" s="2"/>
      <c r="P212" s="10">
        <f t="shared" si="27"/>
        <v>94.61497453232208</v>
      </c>
      <c r="Q212" s="10">
        <f t="shared" si="27"/>
        <v>141.16194247050137</v>
      </c>
    </row>
    <row r="213" spans="1:17" x14ac:dyDescent="0.15">
      <c r="A213" s="34">
        <v>40330</v>
      </c>
      <c r="B213" t="s">
        <v>4</v>
      </c>
      <c r="C213" s="9">
        <f>SOJA!K211</f>
        <v>252.44762762741743</v>
      </c>
      <c r="D213" s="7">
        <f>TRIGO!K211</f>
        <v>173.90954798493192</v>
      </c>
      <c r="E213" s="2">
        <f>MAIZ!K211</f>
        <v>140.45558207299936</v>
      </c>
      <c r="F213" s="3">
        <f>GIRASOL!K211</f>
        <v>299.55345049386949</v>
      </c>
      <c r="G213" s="3"/>
      <c r="H213" s="3"/>
      <c r="J213" s="5"/>
      <c r="K213" s="25">
        <f t="shared" si="25"/>
        <v>223.9858111464392</v>
      </c>
      <c r="L213" s="10">
        <f t="shared" si="26"/>
        <v>178.61765507110297</v>
      </c>
      <c r="M213" s="10">
        <f t="shared" si="26"/>
        <v>266.2412214050475</v>
      </c>
      <c r="N213" t="s">
        <v>4</v>
      </c>
      <c r="O213" s="2">
        <v>128.54737946965463</v>
      </c>
      <c r="P213" s="10">
        <f t="shared" si="27"/>
        <v>94.61497453232208</v>
      </c>
      <c r="Q213" s="10">
        <f t="shared" si="27"/>
        <v>141.16194247050137</v>
      </c>
    </row>
    <row r="214" spans="1:17" x14ac:dyDescent="0.15">
      <c r="A214" s="34">
        <v>40360</v>
      </c>
      <c r="B214" t="s">
        <v>4</v>
      </c>
      <c r="C214" s="9">
        <f>SOJA!K212</f>
        <v>270.99972535874855</v>
      </c>
      <c r="D214" s="7">
        <f>TRIGO!K212</f>
        <v>172.71911371144358</v>
      </c>
      <c r="E214" s="2">
        <f>MAIZ!K212</f>
        <v>147.49424557600227</v>
      </c>
      <c r="F214" s="3">
        <f>GIRASOL!K212</f>
        <v>270.68546205141325</v>
      </c>
      <c r="G214" s="3"/>
      <c r="H214" s="3"/>
      <c r="J214" s="5"/>
      <c r="K214" s="25">
        <f t="shared" si="25"/>
        <v>234.94425558597544</v>
      </c>
      <c r="L214" s="10">
        <f t="shared" ref="L214:M229" si="28">+L213</f>
        <v>178.61765507110297</v>
      </c>
      <c r="M214" s="10">
        <f t="shared" si="28"/>
        <v>266.2412214050475</v>
      </c>
      <c r="N214" t="s">
        <v>4</v>
      </c>
      <c r="O214" s="2">
        <v>133.23167443971792</v>
      </c>
      <c r="P214" s="10">
        <f t="shared" si="27"/>
        <v>94.61497453232208</v>
      </c>
      <c r="Q214" s="10">
        <f t="shared" si="27"/>
        <v>141.16194247050137</v>
      </c>
    </row>
    <row r="215" spans="1:17" x14ac:dyDescent="0.15">
      <c r="A215" s="34">
        <v>40391</v>
      </c>
      <c r="B215" t="s">
        <v>3</v>
      </c>
      <c r="C215" s="9">
        <f>SOJA!K213</f>
        <v>284.46104779808542</v>
      </c>
      <c r="D215" s="7">
        <f>TRIGO!K213</f>
        <v>199.90716885897382</v>
      </c>
      <c r="E215" s="2">
        <f>MAIZ!K213</f>
        <v>165.14429480295234</v>
      </c>
      <c r="F215" s="3">
        <f>GIRASOL!K213</f>
        <v>298.29188248783265</v>
      </c>
      <c r="G215" s="3"/>
      <c r="H215" s="3"/>
      <c r="J215" s="5"/>
      <c r="K215" s="25">
        <f t="shared" si="25"/>
        <v>251.96016906503269</v>
      </c>
      <c r="L215" s="10">
        <f t="shared" si="28"/>
        <v>178.61765507110297</v>
      </c>
      <c r="M215" s="10">
        <f t="shared" si="28"/>
        <v>266.2412214050475</v>
      </c>
      <c r="N215" t="s">
        <v>3</v>
      </c>
      <c r="O215" s="2">
        <v>140.21482227690504</v>
      </c>
      <c r="P215" s="10">
        <f t="shared" si="27"/>
        <v>94.61497453232208</v>
      </c>
      <c r="Q215" s="10">
        <f t="shared" si="27"/>
        <v>141.16194247050137</v>
      </c>
    </row>
    <row r="216" spans="1:17" x14ac:dyDescent="0.15">
      <c r="A216" s="34">
        <v>40422</v>
      </c>
      <c r="B216" t="s">
        <v>5</v>
      </c>
      <c r="C216" s="9">
        <f>SOJA!K214</f>
        <v>289.2092135651651</v>
      </c>
      <c r="D216" s="7">
        <f>TRIGO!K214</f>
        <v>214.05859904925302</v>
      </c>
      <c r="E216" s="2">
        <f>MAIZ!K214</f>
        <v>187.34200068998553</v>
      </c>
      <c r="F216" s="3">
        <f>GIRASOL!K214</f>
        <v>319.86610291720564</v>
      </c>
      <c r="G216" s="3"/>
      <c r="H216" s="3"/>
      <c r="J216" s="5"/>
      <c r="K216" s="25">
        <f t="shared" si="25"/>
        <v>262.08535760230706</v>
      </c>
      <c r="L216" s="10">
        <f t="shared" si="28"/>
        <v>178.61765507110297</v>
      </c>
      <c r="M216" s="10">
        <f t="shared" si="28"/>
        <v>266.2412214050475</v>
      </c>
      <c r="N216" t="s">
        <v>5</v>
      </c>
      <c r="O216" s="2">
        <v>144.82770456580812</v>
      </c>
      <c r="P216" s="10">
        <f t="shared" si="27"/>
        <v>94.61497453232208</v>
      </c>
      <c r="Q216" s="10">
        <f t="shared" si="27"/>
        <v>141.16194247050137</v>
      </c>
    </row>
    <row r="217" spans="1:17" x14ac:dyDescent="0.15">
      <c r="A217" s="34">
        <v>40452</v>
      </c>
      <c r="B217" t="s">
        <v>6</v>
      </c>
      <c r="C217" s="9">
        <f>SOJA!K215</f>
        <v>302.83676203388256</v>
      </c>
      <c r="D217" s="7">
        <f>TRIGO!K215</f>
        <v>213.33754964034077</v>
      </c>
      <c r="E217" s="2">
        <f>MAIZ!K215</f>
        <v>198.73194859874619</v>
      </c>
      <c r="F217" s="3">
        <f>GIRASOL!K215</f>
        <v>375.15643549735194</v>
      </c>
      <c r="G217" s="3"/>
      <c r="H217" s="3"/>
      <c r="J217" s="5"/>
      <c r="K217" s="25">
        <f t="shared" si="25"/>
        <v>275.54959684883397</v>
      </c>
      <c r="L217" s="10">
        <f t="shared" si="28"/>
        <v>178.61765507110297</v>
      </c>
      <c r="M217" s="10">
        <f t="shared" si="28"/>
        <v>266.2412214050475</v>
      </c>
      <c r="N217" t="s">
        <v>6</v>
      </c>
      <c r="O217" s="2">
        <v>147.02878526794544</v>
      </c>
      <c r="P217" s="10">
        <f t="shared" ref="P217:Q232" si="29">+P216</f>
        <v>94.61497453232208</v>
      </c>
      <c r="Q217" s="10">
        <f t="shared" si="29"/>
        <v>141.16194247050137</v>
      </c>
    </row>
    <row r="218" spans="1:17" x14ac:dyDescent="0.15">
      <c r="A218" s="34">
        <v>40483</v>
      </c>
      <c r="B218" t="s">
        <v>7</v>
      </c>
      <c r="C218" s="9">
        <f>SOJA!K216</f>
        <v>316.6079339614617</v>
      </c>
      <c r="D218" s="7">
        <f>TRIGO!K216</f>
        <v>211.13099708087404</v>
      </c>
      <c r="E218" s="2">
        <f>MAIZ!K216</f>
        <v>196.01647379991664</v>
      </c>
      <c r="F218" s="3">
        <f>GIRASOL!K216</f>
        <v>409.50911514344028</v>
      </c>
      <c r="G218" s="3"/>
      <c r="H218" s="3"/>
      <c r="J218" s="5"/>
      <c r="K218" s="25">
        <f t="shared" si="25"/>
        <v>285.24699601803366</v>
      </c>
      <c r="L218" s="10">
        <f t="shared" si="28"/>
        <v>178.61765507110297</v>
      </c>
      <c r="M218" s="10">
        <f t="shared" si="28"/>
        <v>266.2412214050475</v>
      </c>
      <c r="N218" t="s">
        <v>7</v>
      </c>
      <c r="O218" s="2">
        <v>164.06384704524734</v>
      </c>
      <c r="P218" s="10">
        <f t="shared" si="29"/>
        <v>94.61497453232208</v>
      </c>
      <c r="Q218" s="10">
        <f t="shared" si="29"/>
        <v>141.16194247050137</v>
      </c>
    </row>
    <row r="219" spans="1:17" x14ac:dyDescent="0.15">
      <c r="A219" s="34">
        <v>40513</v>
      </c>
      <c r="B219" t="s">
        <v>29</v>
      </c>
      <c r="C219" s="9">
        <f>SOJA!K217</f>
        <v>324.11455341143846</v>
      </c>
      <c r="D219" s="7">
        <f>TRIGO!K217</f>
        <v>209.25290465861286</v>
      </c>
      <c r="E219" s="2">
        <f>MAIZ!K217</f>
        <v>199.06630840804496</v>
      </c>
      <c r="F219" s="3">
        <f>GIRASOL!K217</f>
        <v>408.47473362010169</v>
      </c>
      <c r="G219" s="3"/>
      <c r="H219" s="3"/>
      <c r="J219" s="5"/>
      <c r="K219" s="25">
        <f t="shared" si="25"/>
        <v>290.10950730575411</v>
      </c>
      <c r="L219" s="10">
        <f t="shared" si="28"/>
        <v>178.61765507110297</v>
      </c>
      <c r="M219" s="10">
        <f t="shared" si="28"/>
        <v>266.2412214050475</v>
      </c>
      <c r="N219" t="s">
        <v>29</v>
      </c>
      <c r="O219" s="2">
        <v>162.71704649867695</v>
      </c>
      <c r="P219" s="10">
        <f t="shared" si="29"/>
        <v>94.61497453232208</v>
      </c>
      <c r="Q219" s="10">
        <f t="shared" si="29"/>
        <v>141.16194247050137</v>
      </c>
    </row>
    <row r="220" spans="1:17" x14ac:dyDescent="0.15">
      <c r="A220" s="34">
        <v>40544</v>
      </c>
      <c r="B220" t="s">
        <v>17</v>
      </c>
      <c r="C220" s="9">
        <f>SOJA!K218</f>
        <v>338.28657628482995</v>
      </c>
      <c r="D220" s="7">
        <f>TRIGO!K218</f>
        <v>219.73320373614177</v>
      </c>
      <c r="E220" s="2">
        <f>MAIZ!K218</f>
        <v>209.70706312679505</v>
      </c>
      <c r="F220" s="3">
        <f>GIRASOL!K218</f>
        <v>422.20766924779736</v>
      </c>
      <c r="G220" s="3"/>
      <c r="H220" s="3"/>
      <c r="J220" s="5"/>
      <c r="K220" s="25">
        <f t="shared" si="25"/>
        <v>303.09613657265356</v>
      </c>
      <c r="L220" s="10">
        <f t="shared" si="28"/>
        <v>178.61765507110297</v>
      </c>
      <c r="M220" s="10">
        <f t="shared" si="28"/>
        <v>266.2412214050475</v>
      </c>
      <c r="N220" t="s">
        <v>17</v>
      </c>
      <c r="O220" s="2">
        <v>177.27840707167027</v>
      </c>
      <c r="P220" s="10">
        <f t="shared" si="29"/>
        <v>94.61497453232208</v>
      </c>
      <c r="Q220" s="10">
        <f t="shared" si="29"/>
        <v>141.16194247050137</v>
      </c>
    </row>
    <row r="221" spans="1:17" x14ac:dyDescent="0.15">
      <c r="A221" s="34">
        <v>40575</v>
      </c>
      <c r="B221" t="s">
        <v>1</v>
      </c>
      <c r="C221" s="9">
        <f>SOJA!K219</f>
        <v>334.50317156550204</v>
      </c>
      <c r="D221" s="7">
        <f>TRIGO!K219</f>
        <v>238.82929376542432</v>
      </c>
      <c r="E221" s="2">
        <f>MAIZ!K219</f>
        <v>222.14915261355341</v>
      </c>
      <c r="F221" s="3">
        <f>GIRASOL!K219</f>
        <v>438.23279935369919</v>
      </c>
      <c r="G221" s="3"/>
      <c r="H221" s="3"/>
      <c r="J221" s="5"/>
      <c r="K221" s="25">
        <f t="shared" si="25"/>
        <v>306.63563701676065</v>
      </c>
      <c r="L221" s="10">
        <f t="shared" si="28"/>
        <v>178.61765507110297</v>
      </c>
      <c r="M221" s="10">
        <f t="shared" si="28"/>
        <v>266.2412214050475</v>
      </c>
      <c r="N221" t="s">
        <v>1</v>
      </c>
      <c r="O221" s="2">
        <v>180.72647186799392</v>
      </c>
      <c r="P221" s="10">
        <f t="shared" si="29"/>
        <v>94.61497453232208</v>
      </c>
      <c r="Q221" s="10">
        <f t="shared" si="29"/>
        <v>141.16194247050137</v>
      </c>
    </row>
    <row r="222" spans="1:17" x14ac:dyDescent="0.15">
      <c r="A222" s="34">
        <v>40603</v>
      </c>
      <c r="B222" t="s">
        <v>2</v>
      </c>
      <c r="C222" s="9">
        <f>SOJA!K220</f>
        <v>311.09131971850297</v>
      </c>
      <c r="D222" s="7">
        <f>TRIGO!K220</f>
        <v>233.08758530055712</v>
      </c>
      <c r="E222" s="2">
        <f>MAIZ!K220</f>
        <v>212.71201348273704</v>
      </c>
      <c r="F222" s="3">
        <f>GIRASOL!K220</f>
        <v>412.99716723042997</v>
      </c>
      <c r="G222" s="3"/>
      <c r="H222" s="3"/>
      <c r="J222" s="5"/>
      <c r="K222" s="25">
        <f t="shared" si="25"/>
        <v>288.16648484059647</v>
      </c>
      <c r="L222" s="10">
        <f t="shared" si="28"/>
        <v>178.61765507110297</v>
      </c>
      <c r="M222" s="10">
        <f t="shared" si="28"/>
        <v>266.2412214050475</v>
      </c>
      <c r="N222" t="s">
        <v>2</v>
      </c>
      <c r="O222" s="2">
        <v>169.9446777793714</v>
      </c>
      <c r="P222" s="10">
        <f t="shared" si="29"/>
        <v>94.61497453232208</v>
      </c>
      <c r="Q222" s="10">
        <f t="shared" si="29"/>
        <v>141.16194247050137</v>
      </c>
    </row>
    <row r="223" spans="1:17" x14ac:dyDescent="0.15">
      <c r="A223" s="34">
        <v>40634</v>
      </c>
      <c r="B223" t="s">
        <v>3</v>
      </c>
      <c r="C223" s="9">
        <f>SOJA!K221</f>
        <v>301.29931858833243</v>
      </c>
      <c r="D223" s="7">
        <f>TRIGO!K221</f>
        <v>231.30975867253548</v>
      </c>
      <c r="E223" s="2">
        <f>MAIZ!K221</f>
        <v>229.84112528413846</v>
      </c>
      <c r="F223" s="3">
        <f>GIRASOL!K221</f>
        <v>388.23323622276035</v>
      </c>
      <c r="G223" s="3"/>
      <c r="H223" s="3"/>
      <c r="J223" s="5"/>
      <c r="K223" s="25">
        <f t="shared" si="25"/>
        <v>283.40541117301694</v>
      </c>
      <c r="L223" s="10">
        <f t="shared" si="28"/>
        <v>178.61765507110297</v>
      </c>
      <c r="M223" s="10">
        <f t="shared" si="28"/>
        <v>266.2412214050475</v>
      </c>
      <c r="N223" t="s">
        <v>3</v>
      </c>
      <c r="O223" s="2">
        <v>171.04877743510352</v>
      </c>
      <c r="P223" s="10">
        <f t="shared" si="29"/>
        <v>94.61497453232208</v>
      </c>
      <c r="Q223" s="10">
        <f t="shared" si="29"/>
        <v>141.16194247050137</v>
      </c>
    </row>
    <row r="224" spans="1:17" x14ac:dyDescent="0.15">
      <c r="A224" s="34">
        <v>40664</v>
      </c>
      <c r="B224" t="s">
        <v>2</v>
      </c>
      <c r="C224" s="9">
        <f>SOJA!K222</f>
        <v>296.42016521560151</v>
      </c>
      <c r="D224" s="7">
        <f>TRIGO!K222</f>
        <v>230.03624797570032</v>
      </c>
      <c r="E224" s="2">
        <f>MAIZ!K222</f>
        <v>219.91436178746915</v>
      </c>
      <c r="F224" s="3">
        <f>GIRASOL!K222</f>
        <v>391.18541441135233</v>
      </c>
      <c r="G224" s="3"/>
      <c r="H224" s="3"/>
      <c r="J224" s="5"/>
      <c r="K224" s="25">
        <f t="shared" si="25"/>
        <v>278.6207113398703</v>
      </c>
      <c r="L224" s="10">
        <f t="shared" si="28"/>
        <v>178.61765507110297</v>
      </c>
      <c r="M224" s="10">
        <f t="shared" si="28"/>
        <v>266.2412214050475</v>
      </c>
      <c r="N224" t="s">
        <v>2</v>
      </c>
      <c r="O224" s="2">
        <v>163.15792709456272</v>
      </c>
      <c r="P224" s="10">
        <f t="shared" si="29"/>
        <v>94.61497453232208</v>
      </c>
      <c r="Q224" s="10">
        <f t="shared" si="29"/>
        <v>141.16194247050137</v>
      </c>
    </row>
    <row r="225" spans="1:17" x14ac:dyDescent="0.15">
      <c r="A225" s="34">
        <v>40695</v>
      </c>
      <c r="B225" t="s">
        <v>4</v>
      </c>
      <c r="C225" s="9">
        <f>SOJA!K223</f>
        <v>297.35219806086553</v>
      </c>
      <c r="D225" s="7">
        <f>TRIGO!K223</f>
        <v>222.16649295841685</v>
      </c>
      <c r="E225" s="2">
        <f>MAIZ!K223</f>
        <v>220.30075367646637</v>
      </c>
      <c r="F225" s="3">
        <f>GIRASOL!K223</f>
        <v>406.22884904315174</v>
      </c>
      <c r="G225" s="3"/>
      <c r="H225" s="3"/>
      <c r="J225" s="5"/>
      <c r="K225" s="25">
        <f t="shared" si="25"/>
        <v>278.95198923854025</v>
      </c>
      <c r="L225" s="10">
        <f t="shared" si="28"/>
        <v>178.61765507110297</v>
      </c>
      <c r="M225" s="10">
        <f t="shared" si="28"/>
        <v>266.2412214050475</v>
      </c>
      <c r="N225" t="s">
        <v>4</v>
      </c>
      <c r="O225" s="2"/>
      <c r="P225" s="10">
        <f t="shared" si="29"/>
        <v>94.61497453232208</v>
      </c>
      <c r="Q225" s="10">
        <f t="shared" si="29"/>
        <v>141.16194247050137</v>
      </c>
    </row>
    <row r="226" spans="1:17" x14ac:dyDescent="0.15">
      <c r="A226" s="34">
        <v>40725</v>
      </c>
      <c r="B226" t="s">
        <v>4</v>
      </c>
      <c r="C226" s="9">
        <f>SOJA!K224</f>
        <v>301.9737708884486</v>
      </c>
      <c r="D226" s="7">
        <f>TRIGO!K224</f>
        <v>200.44107493382398</v>
      </c>
      <c r="E226" s="2">
        <f>MAIZ!K224</f>
        <v>213.49173232512749</v>
      </c>
      <c r="F226" s="3">
        <f>GIRASOL!K224</f>
        <v>399.71184635157999</v>
      </c>
      <c r="G226" s="3"/>
      <c r="H226" s="3"/>
      <c r="J226" s="5"/>
      <c r="K226" s="25">
        <f t="shared" si="25"/>
        <v>277.06198537783166</v>
      </c>
      <c r="L226" s="10">
        <f t="shared" si="28"/>
        <v>178.61765507110297</v>
      </c>
      <c r="M226" s="10">
        <f t="shared" si="28"/>
        <v>266.2412214050475</v>
      </c>
      <c r="N226" t="s">
        <v>4</v>
      </c>
      <c r="O226" s="2"/>
      <c r="P226" s="10">
        <f t="shared" si="29"/>
        <v>94.61497453232208</v>
      </c>
      <c r="Q226" s="10">
        <f t="shared" si="29"/>
        <v>141.16194247050137</v>
      </c>
    </row>
    <row r="227" spans="1:17" x14ac:dyDescent="0.15">
      <c r="A227" s="34">
        <v>40756</v>
      </c>
      <c r="B227" t="s">
        <v>3</v>
      </c>
      <c r="C227" s="9">
        <f>SOJA!K225</f>
        <v>300.96980347813474</v>
      </c>
      <c r="D227" s="7">
        <f>TRIGO!K225</f>
        <v>186.61797185449075</v>
      </c>
      <c r="E227" s="2">
        <f>MAIZ!K225</f>
        <v>217.19379775155423</v>
      </c>
      <c r="F227" s="3">
        <f>GIRASOL!K225</f>
        <v>351.90315483597288</v>
      </c>
      <c r="G227" s="3"/>
      <c r="H227" s="3"/>
      <c r="J227" s="5"/>
      <c r="K227" s="25">
        <f t="shared" si="25"/>
        <v>272.34765356804235</v>
      </c>
      <c r="L227" s="10">
        <f t="shared" si="28"/>
        <v>178.61765507110297</v>
      </c>
      <c r="M227" s="10">
        <f t="shared" si="28"/>
        <v>266.2412214050475</v>
      </c>
      <c r="N227" t="s">
        <v>3</v>
      </c>
      <c r="O227" s="2"/>
      <c r="P227" s="10">
        <f t="shared" si="29"/>
        <v>94.61497453232208</v>
      </c>
      <c r="Q227" s="10">
        <f t="shared" si="29"/>
        <v>141.16194247050137</v>
      </c>
    </row>
    <row r="228" spans="1:17" x14ac:dyDescent="0.15">
      <c r="A228" s="34">
        <v>40787</v>
      </c>
      <c r="B228" t="s">
        <v>5</v>
      </c>
      <c r="C228" s="9">
        <f>SOJA!K226</f>
        <v>289.9158095134203</v>
      </c>
      <c r="D228" s="7">
        <f>TRIGO!K226</f>
        <v>186.9120675757195</v>
      </c>
      <c r="E228" s="2">
        <f>MAIZ!K226</f>
        <v>204.19551006594264</v>
      </c>
      <c r="F228" s="3">
        <f>GIRASOL!K226</f>
        <v>312.77455603274763</v>
      </c>
      <c r="G228" s="3"/>
      <c r="H228" s="3"/>
      <c r="J228" s="5"/>
      <c r="K228" s="25">
        <f t="shared" si="25"/>
        <v>261.05040796236921</v>
      </c>
      <c r="L228" s="10">
        <f t="shared" si="28"/>
        <v>178.61765507110297</v>
      </c>
      <c r="M228" s="10">
        <f t="shared" si="28"/>
        <v>266.2412214050475</v>
      </c>
      <c r="N228" t="s">
        <v>5</v>
      </c>
      <c r="O228" s="2"/>
      <c r="P228" s="10">
        <f t="shared" si="29"/>
        <v>94.61497453232208</v>
      </c>
      <c r="Q228" s="10">
        <f t="shared" si="29"/>
        <v>141.16194247050137</v>
      </c>
    </row>
    <row r="229" spans="1:17" x14ac:dyDescent="0.15">
      <c r="A229" s="34">
        <v>40817</v>
      </c>
      <c r="B229" t="s">
        <v>6</v>
      </c>
      <c r="C229" s="9">
        <f>SOJA!K227</f>
        <v>267.02043881872288</v>
      </c>
      <c r="D229" s="7">
        <f>TRIGO!K227</f>
        <v>161.83996407938849</v>
      </c>
      <c r="E229" s="2">
        <f>MAIZ!K227</f>
        <v>190.84576436777616</v>
      </c>
      <c r="F229" s="3">
        <f>GIRASOL!K227</f>
        <v>295.74203738219461</v>
      </c>
      <c r="G229" s="3"/>
      <c r="H229" s="3"/>
      <c r="J229" s="5"/>
      <c r="K229" s="25">
        <f t="shared" si="25"/>
        <v>239.82662486291059</v>
      </c>
      <c r="L229" s="10">
        <f t="shared" si="28"/>
        <v>178.61765507110297</v>
      </c>
      <c r="M229" s="10">
        <f t="shared" si="28"/>
        <v>266.2412214050475</v>
      </c>
      <c r="N229" t="s">
        <v>6</v>
      </c>
      <c r="O229" s="2"/>
      <c r="P229" s="10">
        <f t="shared" si="29"/>
        <v>94.61497453232208</v>
      </c>
      <c r="Q229" s="10">
        <f t="shared" si="29"/>
        <v>141.16194247050137</v>
      </c>
    </row>
    <row r="230" spans="1:17" x14ac:dyDescent="0.15">
      <c r="A230" s="34">
        <v>40848</v>
      </c>
      <c r="B230" t="s">
        <v>7</v>
      </c>
      <c r="C230" s="9">
        <f>SOJA!K228</f>
        <v>254.53875505649643</v>
      </c>
      <c r="D230" s="7">
        <f>TRIGO!K228</f>
        <v>147.1314375885855</v>
      </c>
      <c r="E230" s="2">
        <f>MAIZ!K228</f>
        <v>184.68381287270148</v>
      </c>
      <c r="F230" s="3">
        <f>GIRASOL!K228</f>
        <v>293.61306176150777</v>
      </c>
      <c r="G230" s="3"/>
      <c r="H230" s="3"/>
      <c r="J230" s="5"/>
      <c r="K230" s="25">
        <f t="shared" si="25"/>
        <v>228.70000544016742</v>
      </c>
      <c r="L230" s="10">
        <f t="shared" ref="L230:M245" si="30">+L229</f>
        <v>178.61765507110297</v>
      </c>
      <c r="M230" s="10">
        <f t="shared" si="30"/>
        <v>266.2412214050475</v>
      </c>
      <c r="N230" t="s">
        <v>7</v>
      </c>
      <c r="O230" s="2">
        <v>105.64494355980241</v>
      </c>
      <c r="P230" s="10">
        <f t="shared" si="29"/>
        <v>94.61497453232208</v>
      </c>
      <c r="Q230" s="10">
        <f t="shared" si="29"/>
        <v>141.16194247050137</v>
      </c>
    </row>
    <row r="231" spans="1:17" x14ac:dyDescent="0.15">
      <c r="A231" s="34">
        <v>40878</v>
      </c>
      <c r="B231" t="s">
        <v>30</v>
      </c>
      <c r="C231" s="9">
        <f>SOJA!K229</f>
        <v>244.7715961158234</v>
      </c>
      <c r="D231" s="7">
        <f>TRIGO!K229</f>
        <v>136.17372549692996</v>
      </c>
      <c r="E231" s="2">
        <f>MAIZ!K229</f>
        <v>162.11157797253566</v>
      </c>
      <c r="F231" s="3">
        <f>GIRASOL!K229</f>
        <v>286.49844082104579</v>
      </c>
      <c r="G231" s="3"/>
      <c r="H231" s="3"/>
      <c r="J231" s="5"/>
      <c r="K231" s="25">
        <f t="shared" si="25"/>
        <v>216.67549648298606</v>
      </c>
      <c r="L231" s="10">
        <f t="shared" si="30"/>
        <v>178.61765507110297</v>
      </c>
      <c r="M231" s="10">
        <f t="shared" si="30"/>
        <v>266.2412214050475</v>
      </c>
      <c r="N231" t="s">
        <v>30</v>
      </c>
      <c r="O231" s="2">
        <v>125.23326908718052</v>
      </c>
      <c r="P231" s="10">
        <f t="shared" si="29"/>
        <v>94.61497453232208</v>
      </c>
      <c r="Q231" s="10">
        <f t="shared" si="29"/>
        <v>141.16194247050137</v>
      </c>
    </row>
    <row r="232" spans="1:17" x14ac:dyDescent="0.15">
      <c r="A232" s="34">
        <v>40909</v>
      </c>
      <c r="B232" t="s">
        <v>18</v>
      </c>
      <c r="C232" s="9">
        <f>SOJA!K230</f>
        <v>251.9572128467299</v>
      </c>
      <c r="D232" s="7">
        <f>TRIGO!K230</f>
        <v>149.44876466223897</v>
      </c>
      <c r="E232" s="2">
        <f>MAIZ!K230</f>
        <v>170.72237284039795</v>
      </c>
      <c r="F232" s="3">
        <f>GIRASOL!K230</f>
        <v>281.725259400102</v>
      </c>
      <c r="G232" s="3"/>
      <c r="H232" s="3"/>
      <c r="J232" s="5"/>
      <c r="K232" s="25">
        <f t="shared" si="25"/>
        <v>224.33557818621469</v>
      </c>
      <c r="L232" s="10">
        <f t="shared" si="30"/>
        <v>178.61765507110297</v>
      </c>
      <c r="M232" s="10">
        <f t="shared" si="30"/>
        <v>266.2412214050475</v>
      </c>
      <c r="N232" t="s">
        <v>18</v>
      </c>
      <c r="O232" s="2">
        <v>137.38038509517639</v>
      </c>
      <c r="P232" s="10">
        <f t="shared" si="29"/>
        <v>94.61497453232208</v>
      </c>
      <c r="Q232" s="10">
        <f t="shared" si="29"/>
        <v>141.16194247050137</v>
      </c>
    </row>
    <row r="233" spans="1:17" x14ac:dyDescent="0.15">
      <c r="A233" s="34">
        <v>40940</v>
      </c>
      <c r="B233" t="s">
        <v>1</v>
      </c>
      <c r="C233" s="9">
        <f>SOJA!K231</f>
        <v>257.7778339439227</v>
      </c>
      <c r="D233" s="7">
        <f>TRIGO!K231</f>
        <v>154.93878315925784</v>
      </c>
      <c r="E233" s="2">
        <f>MAIZ!K231</f>
        <v>176.11177140707468</v>
      </c>
      <c r="F233" s="3">
        <f>GIRASOL!K231</f>
        <v>285.93428054294708</v>
      </c>
      <c r="G233" s="3"/>
      <c r="H233" s="3"/>
      <c r="J233" s="5"/>
      <c r="K233" s="25">
        <f t="shared" si="25"/>
        <v>229.94145671082828</v>
      </c>
      <c r="L233" s="10">
        <f t="shared" si="30"/>
        <v>178.61765507110297</v>
      </c>
      <c r="M233" s="10">
        <f t="shared" si="30"/>
        <v>266.2412214050475</v>
      </c>
      <c r="N233" t="s">
        <v>1</v>
      </c>
      <c r="O233" s="2"/>
      <c r="P233" s="10">
        <f t="shared" ref="P233:Q248" si="31">+P232</f>
        <v>94.61497453232208</v>
      </c>
      <c r="Q233" s="10">
        <f t="shared" si="31"/>
        <v>141.16194247050137</v>
      </c>
    </row>
    <row r="234" spans="1:17" x14ac:dyDescent="0.15">
      <c r="A234" s="34">
        <v>40969</v>
      </c>
      <c r="B234" t="s">
        <v>2</v>
      </c>
      <c r="C234" s="9">
        <f>SOJA!K232</f>
        <v>270.3726212888231</v>
      </c>
      <c r="D234" s="7">
        <f>TRIGO!K232</f>
        <v>151.19866976928358</v>
      </c>
      <c r="E234" s="2">
        <f>MAIZ!K232</f>
        <v>173.81385541853541</v>
      </c>
      <c r="F234" s="3">
        <f>GIRASOL!K232</f>
        <v>283.94980953039169</v>
      </c>
      <c r="G234" s="3"/>
      <c r="H234" s="3"/>
      <c r="J234" s="5"/>
      <c r="K234" s="25">
        <f t="shared" si="25"/>
        <v>236.70703934338411</v>
      </c>
      <c r="L234" s="10">
        <f t="shared" si="30"/>
        <v>178.61765507110297</v>
      </c>
      <c r="M234" s="10">
        <f t="shared" si="30"/>
        <v>266.2412214050475</v>
      </c>
      <c r="N234" t="s">
        <v>2</v>
      </c>
      <c r="O234" s="2"/>
      <c r="P234" s="10">
        <f t="shared" si="31"/>
        <v>94.61497453232208</v>
      </c>
      <c r="Q234" s="10">
        <f t="shared" si="31"/>
        <v>141.16194247050137</v>
      </c>
    </row>
    <row r="235" spans="1:17" x14ac:dyDescent="0.15">
      <c r="A235" s="34">
        <v>41000</v>
      </c>
      <c r="B235" t="s">
        <v>3</v>
      </c>
      <c r="C235" s="9">
        <f>SOJA!K233</f>
        <v>284.49457641103857</v>
      </c>
      <c r="D235" s="7">
        <f>TRIGO!K233</f>
        <v>145.4899832651173</v>
      </c>
      <c r="E235" s="2">
        <f>MAIZ!K233</f>
        <v>161.65553696124147</v>
      </c>
      <c r="F235" s="3">
        <f>GIRASOL!K233</f>
        <v>307.40110210297729</v>
      </c>
      <c r="G235" s="3"/>
      <c r="H235" s="3"/>
      <c r="J235" s="5"/>
      <c r="K235" s="25">
        <f t="shared" si="25"/>
        <v>243.84599091966433</v>
      </c>
      <c r="L235" s="10">
        <f t="shared" si="30"/>
        <v>178.61765507110297</v>
      </c>
      <c r="M235" s="10">
        <f t="shared" si="30"/>
        <v>266.2412214050475</v>
      </c>
      <c r="N235" t="s">
        <v>3</v>
      </c>
      <c r="O235" s="2"/>
      <c r="P235" s="10">
        <f t="shared" si="31"/>
        <v>94.61497453232208</v>
      </c>
      <c r="Q235" s="10">
        <f t="shared" si="31"/>
        <v>141.16194247050137</v>
      </c>
    </row>
    <row r="236" spans="1:17" x14ac:dyDescent="0.15">
      <c r="A236" s="34">
        <v>41030</v>
      </c>
      <c r="B236" t="s">
        <v>2</v>
      </c>
      <c r="C236" s="9">
        <f>SOJA!K234</f>
        <v>278.04422005403057</v>
      </c>
      <c r="D236" s="7">
        <f>TRIGO!K234</f>
        <v>143.99412954646294</v>
      </c>
      <c r="E236" s="2">
        <f>MAIZ!K234</f>
        <v>154.91431926515415</v>
      </c>
      <c r="F236" s="3">
        <f>GIRASOL!K234</f>
        <v>327.0342862847578</v>
      </c>
      <c r="G236" s="3"/>
      <c r="H236" s="3"/>
      <c r="J236" s="5"/>
      <c r="K236" s="25">
        <f t="shared" si="25"/>
        <v>239.54609714348507</v>
      </c>
      <c r="L236" s="10">
        <f t="shared" si="30"/>
        <v>178.61765507110297</v>
      </c>
      <c r="M236" s="10">
        <f t="shared" si="30"/>
        <v>266.2412214050475</v>
      </c>
      <c r="N236" t="s">
        <v>2</v>
      </c>
      <c r="O236" s="2"/>
      <c r="P236" s="10">
        <f t="shared" si="31"/>
        <v>94.61497453232208</v>
      </c>
      <c r="Q236" s="10">
        <f t="shared" si="31"/>
        <v>141.16194247050137</v>
      </c>
    </row>
    <row r="237" spans="1:17" x14ac:dyDescent="0.15">
      <c r="A237" s="34">
        <v>41061</v>
      </c>
      <c r="B237" t="s">
        <v>4</v>
      </c>
      <c r="C237" s="9">
        <f>SOJA!K235</f>
        <v>276.9729446834433</v>
      </c>
      <c r="D237" s="7">
        <f>TRIGO!K235</f>
        <v>150.55965198176921</v>
      </c>
      <c r="E237" s="2">
        <f>MAIZ!K235</f>
        <v>151.50656803196901</v>
      </c>
      <c r="F237" s="3">
        <f>GIRASOL!K235</f>
        <v>325.70755740039334</v>
      </c>
      <c r="G237" s="3"/>
      <c r="H237" s="3"/>
      <c r="J237" s="5"/>
      <c r="K237" s="25">
        <f t="shared" si="25"/>
        <v>239.18174115571887</v>
      </c>
      <c r="L237" s="10">
        <f t="shared" si="30"/>
        <v>178.61765507110297</v>
      </c>
      <c r="M237" s="10">
        <f t="shared" si="30"/>
        <v>266.2412214050475</v>
      </c>
      <c r="N237" t="s">
        <v>4</v>
      </c>
      <c r="O237" s="2"/>
      <c r="P237" s="10">
        <f t="shared" si="31"/>
        <v>94.61497453232208</v>
      </c>
      <c r="Q237" s="10">
        <f t="shared" si="31"/>
        <v>141.16194247050137</v>
      </c>
    </row>
    <row r="238" spans="1:17" x14ac:dyDescent="0.15">
      <c r="A238" s="34">
        <v>41091</v>
      </c>
      <c r="B238" t="s">
        <v>4</v>
      </c>
      <c r="C238" s="9">
        <f>SOJA!K236</f>
        <v>322.64484246988167</v>
      </c>
      <c r="D238" s="7">
        <f>TRIGO!K236</f>
        <v>173.60617327055172</v>
      </c>
      <c r="E238" s="2">
        <f>MAIZ!K236</f>
        <v>182.84254948147142</v>
      </c>
      <c r="F238" s="3">
        <f>GIRASOL!K236</f>
        <v>314.03679117126944</v>
      </c>
      <c r="G238" s="3"/>
      <c r="H238" s="3"/>
      <c r="J238" s="5"/>
      <c r="K238" s="25">
        <f t="shared" si="25"/>
        <v>275.78345216235425</v>
      </c>
      <c r="L238" s="10">
        <f t="shared" si="30"/>
        <v>178.61765507110297</v>
      </c>
      <c r="M238" s="10">
        <f t="shared" si="30"/>
        <v>266.2412214050475</v>
      </c>
      <c r="N238" t="s">
        <v>4</v>
      </c>
      <c r="O238" s="2"/>
      <c r="P238" s="10">
        <f t="shared" si="31"/>
        <v>94.61497453232208</v>
      </c>
      <c r="Q238" s="10">
        <f t="shared" si="31"/>
        <v>141.16194247050137</v>
      </c>
    </row>
    <row r="239" spans="1:17" x14ac:dyDescent="0.15">
      <c r="A239" s="34">
        <v>41122</v>
      </c>
      <c r="B239" t="s">
        <v>3</v>
      </c>
      <c r="C239" s="9">
        <f>SOJA!K237</f>
        <v>328.05001004518681</v>
      </c>
      <c r="D239" s="7">
        <f>TRIGO!K237</f>
        <v>188.97923655594516</v>
      </c>
      <c r="E239" s="2">
        <f>MAIZ!K237</f>
        <v>184.43077487820568</v>
      </c>
      <c r="F239" s="3">
        <f>GIRASOL!K237</f>
        <v>320.41731750377454</v>
      </c>
      <c r="G239" s="3"/>
      <c r="H239" s="3"/>
      <c r="J239" s="5"/>
      <c r="K239" s="25">
        <f t="shared" si="25"/>
        <v>282.05136769330147</v>
      </c>
      <c r="L239" s="10">
        <f t="shared" si="30"/>
        <v>178.61765507110297</v>
      </c>
      <c r="M239" s="10">
        <f t="shared" si="30"/>
        <v>266.2412214050475</v>
      </c>
      <c r="N239" t="s">
        <v>3</v>
      </c>
      <c r="O239" s="2"/>
      <c r="P239" s="10">
        <f t="shared" si="31"/>
        <v>94.61497453232208</v>
      </c>
      <c r="Q239" s="10">
        <f t="shared" si="31"/>
        <v>141.16194247050137</v>
      </c>
    </row>
    <row r="240" spans="1:17" x14ac:dyDescent="0.15">
      <c r="A240" s="34">
        <v>41153</v>
      </c>
      <c r="B240" t="s">
        <v>5</v>
      </c>
      <c r="C240" s="9">
        <f>SOJA!K238</f>
        <v>328.62469144269403</v>
      </c>
      <c r="D240" s="7">
        <f>TRIGO!K238</f>
        <v>185.07349803854771</v>
      </c>
      <c r="E240" s="2">
        <f>MAIZ!K238</f>
        <v>170.95142389102801</v>
      </c>
      <c r="F240" s="3">
        <f>GIRASOL!K238</f>
        <v>327.99755986048507</v>
      </c>
      <c r="G240" s="3"/>
      <c r="H240" s="3"/>
      <c r="J240" s="5"/>
      <c r="K240" s="25">
        <f t="shared" si="25"/>
        <v>279.91019897046186</v>
      </c>
      <c r="L240" s="10">
        <f t="shared" si="30"/>
        <v>178.61765507110297</v>
      </c>
      <c r="M240" s="10">
        <f t="shared" si="30"/>
        <v>266.2412214050475</v>
      </c>
      <c r="N240" t="s">
        <v>5</v>
      </c>
      <c r="O240" s="2"/>
      <c r="P240" s="10">
        <f t="shared" si="31"/>
        <v>94.61497453232208</v>
      </c>
      <c r="Q240" s="10">
        <f t="shared" si="31"/>
        <v>141.16194247050137</v>
      </c>
    </row>
    <row r="241" spans="1:17" x14ac:dyDescent="0.15">
      <c r="A241" s="34">
        <v>41183</v>
      </c>
      <c r="B241" t="s">
        <v>6</v>
      </c>
      <c r="C241" s="9">
        <f>SOJA!K239</f>
        <v>299.41607111177456</v>
      </c>
      <c r="D241" s="7">
        <f>TRIGO!K239</f>
        <v>183.02356186302453</v>
      </c>
      <c r="E241" s="2">
        <f>MAIZ!K239</f>
        <v>170.08250193331577</v>
      </c>
      <c r="F241" s="3">
        <f>GIRASOL!K239</f>
        <v>334.18746666100407</v>
      </c>
      <c r="G241" s="3"/>
      <c r="H241" s="3"/>
      <c r="J241" s="5"/>
      <c r="K241" s="25">
        <f t="shared" si="25"/>
        <v>261.6452952462293</v>
      </c>
      <c r="L241" s="10">
        <f t="shared" si="30"/>
        <v>178.61765507110297</v>
      </c>
      <c r="M241" s="10">
        <f t="shared" si="30"/>
        <v>266.2412214050475</v>
      </c>
      <c r="N241" t="s">
        <v>6</v>
      </c>
      <c r="O241" s="2"/>
      <c r="P241" s="10">
        <f t="shared" si="31"/>
        <v>94.61497453232208</v>
      </c>
      <c r="Q241" s="10">
        <f t="shared" si="31"/>
        <v>141.16194247050137</v>
      </c>
    </row>
    <row r="242" spans="1:17" x14ac:dyDescent="0.15">
      <c r="A242" s="34">
        <v>41214</v>
      </c>
      <c r="B242" t="s">
        <v>7</v>
      </c>
      <c r="C242" s="9">
        <f>SOJA!K240</f>
        <v>278.29943970257301</v>
      </c>
      <c r="D242" s="7">
        <f>TRIGO!K240</f>
        <v>182.31030293171037</v>
      </c>
      <c r="E242" s="2">
        <f>MAIZ!K240</f>
        <v>178.62726650884755</v>
      </c>
      <c r="F242" s="3">
        <f>GIRASOL!K240</f>
        <v>321.92807532840237</v>
      </c>
      <c r="G242" s="3"/>
      <c r="H242" s="3"/>
      <c r="J242" s="5"/>
      <c r="K242" s="25">
        <f t="shared" si="25"/>
        <v>249.2096495409215</v>
      </c>
      <c r="L242" s="10">
        <f t="shared" si="30"/>
        <v>178.61765507110297</v>
      </c>
      <c r="M242" s="10">
        <f t="shared" si="30"/>
        <v>266.2412214050475</v>
      </c>
      <c r="N242" t="s">
        <v>7</v>
      </c>
      <c r="O242" s="2"/>
      <c r="P242" s="10">
        <f t="shared" si="31"/>
        <v>94.61497453232208</v>
      </c>
      <c r="Q242" s="10">
        <f t="shared" si="31"/>
        <v>141.16194247050137</v>
      </c>
    </row>
    <row r="243" spans="1:17" x14ac:dyDescent="0.15">
      <c r="A243" s="34">
        <v>41244</v>
      </c>
      <c r="B243" t="s">
        <v>31</v>
      </c>
      <c r="C243" s="9">
        <f>SOJA!K241</f>
        <v>276.55855702991215</v>
      </c>
      <c r="D243" s="7">
        <f>TRIGO!K241</f>
        <v>194.1447945165653</v>
      </c>
      <c r="E243" s="2">
        <f>MAIZ!K241</f>
        <v>173.55090224332562</v>
      </c>
      <c r="F243" s="3">
        <f>GIRASOL!K241</f>
        <v>319.44976812569882</v>
      </c>
      <c r="G243" s="3"/>
      <c r="H243" s="3"/>
      <c r="J243" s="5"/>
      <c r="K243" s="25">
        <f t="shared" si="25"/>
        <v>248.85193866658184</v>
      </c>
      <c r="L243" s="10">
        <f t="shared" si="30"/>
        <v>178.61765507110297</v>
      </c>
      <c r="M243" s="10">
        <f t="shared" si="30"/>
        <v>266.2412214050475</v>
      </c>
      <c r="N243" t="s">
        <v>31</v>
      </c>
      <c r="O243" s="2"/>
      <c r="P243" s="10">
        <f t="shared" si="31"/>
        <v>94.61497453232208</v>
      </c>
      <c r="Q243" s="10">
        <f t="shared" si="31"/>
        <v>141.16194247050137</v>
      </c>
    </row>
    <row r="244" spans="1:17" x14ac:dyDescent="0.15">
      <c r="A244" s="34">
        <v>41275</v>
      </c>
      <c r="B244" t="s">
        <v>19</v>
      </c>
      <c r="C244" s="9">
        <f>SOJA!K242</f>
        <v>258.64301467116405</v>
      </c>
      <c r="D244" s="7">
        <f>TRIGO!K242</f>
        <v>195.33878031108895</v>
      </c>
      <c r="E244" s="2">
        <f>MAIZ!K242</f>
        <v>172.42867644744274</v>
      </c>
      <c r="F244" s="3">
        <f>GIRASOL!K242</f>
        <v>317.72696674056749</v>
      </c>
      <c r="G244" s="3"/>
      <c r="H244" s="3"/>
      <c r="J244" s="5"/>
      <c r="K244" s="25">
        <f t="shared" si="25"/>
        <v>237.59755117161208</v>
      </c>
      <c r="L244" s="10">
        <f t="shared" si="30"/>
        <v>178.61765507110297</v>
      </c>
      <c r="M244" s="10">
        <f t="shared" si="30"/>
        <v>266.2412214050475</v>
      </c>
      <c r="N244" t="s">
        <v>19</v>
      </c>
      <c r="O244" s="2"/>
      <c r="P244" s="10">
        <f t="shared" si="31"/>
        <v>94.61497453232208</v>
      </c>
      <c r="Q244" s="10">
        <f t="shared" si="31"/>
        <v>141.16194247050137</v>
      </c>
    </row>
    <row r="245" spans="1:17" x14ac:dyDescent="0.15">
      <c r="A245" s="34">
        <v>41306</v>
      </c>
      <c r="B245" t="s">
        <v>1</v>
      </c>
      <c r="C245" s="9">
        <f>SOJA!K243</f>
        <v>264.23185971190264</v>
      </c>
      <c r="D245" s="7">
        <f>TRIGO!K243</f>
        <v>192.60034204849958</v>
      </c>
      <c r="E245" s="2">
        <f>MAIZ!K243</f>
        <v>169.51715498650717</v>
      </c>
      <c r="F245" s="3">
        <f>GIRASOL!K243</f>
        <v>316.7926974393236</v>
      </c>
      <c r="G245" s="3"/>
      <c r="H245" s="3"/>
      <c r="J245" s="5"/>
      <c r="K245" s="25">
        <f t="shared" si="25"/>
        <v>240.10772471633183</v>
      </c>
      <c r="L245" s="10">
        <f t="shared" si="30"/>
        <v>178.61765507110297</v>
      </c>
      <c r="M245" s="10">
        <f t="shared" si="30"/>
        <v>266.2412214050475</v>
      </c>
      <c r="N245" t="s">
        <v>1</v>
      </c>
      <c r="O245" s="2">
        <v>135.86176268961148</v>
      </c>
      <c r="P245" s="10">
        <f t="shared" si="31"/>
        <v>94.61497453232208</v>
      </c>
      <c r="Q245" s="10">
        <f t="shared" si="31"/>
        <v>141.16194247050137</v>
      </c>
    </row>
    <row r="246" spans="1:17" x14ac:dyDescent="0.15">
      <c r="A246" s="34">
        <v>41334</v>
      </c>
      <c r="B246" t="s">
        <v>2</v>
      </c>
      <c r="C246" s="9">
        <f>SOJA!K244</f>
        <v>263.07294773475365</v>
      </c>
      <c r="D246" s="7">
        <f>TRIGO!K244</f>
        <v>187.06074708058173</v>
      </c>
      <c r="E246" s="2">
        <f>MAIZ!K244</f>
        <v>166.99707029030742</v>
      </c>
      <c r="F246" s="3">
        <f>GIRASOL!K244</f>
        <v>316.57358288846046</v>
      </c>
      <c r="G246" s="3"/>
      <c r="H246" s="3"/>
      <c r="J246" s="5"/>
      <c r="K246" s="25">
        <f t="shared" si="25"/>
        <v>238.11734993103295</v>
      </c>
      <c r="L246" s="10">
        <f t="shared" ref="L246:M261" si="32">+L245</f>
        <v>178.61765507110297</v>
      </c>
      <c r="M246" s="10">
        <f t="shared" si="32"/>
        <v>266.2412214050475</v>
      </c>
      <c r="N246" t="s">
        <v>2</v>
      </c>
      <c r="O246" s="2"/>
      <c r="P246" s="10">
        <f t="shared" si="31"/>
        <v>94.61497453232208</v>
      </c>
      <c r="Q246" s="10">
        <f t="shared" si="31"/>
        <v>141.16194247050137</v>
      </c>
    </row>
    <row r="247" spans="1:17" x14ac:dyDescent="0.15">
      <c r="A247" s="34">
        <v>41365</v>
      </c>
      <c r="B247" t="s">
        <v>3</v>
      </c>
      <c r="C247" s="9">
        <f>SOJA!K245</f>
        <v>253.22436851090686</v>
      </c>
      <c r="D247" s="7">
        <f>TRIGO!K245</f>
        <v>174.76976534385901</v>
      </c>
      <c r="E247" s="2">
        <f>MAIZ!K245</f>
        <v>145.04212350210523</v>
      </c>
      <c r="F247" s="3">
        <f>GIRASOL!K245</f>
        <v>304.64839411619869</v>
      </c>
      <c r="G247" s="3"/>
      <c r="H247" s="3"/>
      <c r="J247" s="5"/>
      <c r="K247" s="25">
        <f t="shared" si="25"/>
        <v>225.68182421243463</v>
      </c>
      <c r="L247" s="10">
        <f t="shared" si="32"/>
        <v>178.61765507110297</v>
      </c>
      <c r="M247" s="10">
        <f t="shared" si="32"/>
        <v>266.2412214050475</v>
      </c>
      <c r="N247" t="s">
        <v>3</v>
      </c>
      <c r="O247" s="2"/>
      <c r="P247" s="10">
        <f t="shared" si="31"/>
        <v>94.61497453232208</v>
      </c>
      <c r="Q247" s="10">
        <f t="shared" si="31"/>
        <v>141.16194247050137</v>
      </c>
    </row>
    <row r="248" spans="1:17" x14ac:dyDescent="0.15">
      <c r="A248" s="34">
        <v>41395</v>
      </c>
      <c r="B248" t="s">
        <v>2</v>
      </c>
      <c r="C248" s="9">
        <f>SOJA!K246</f>
        <v>262.83902517684265</v>
      </c>
      <c r="D248" s="7">
        <f>TRIGO!K246</f>
        <v>169.83444703734449</v>
      </c>
      <c r="E248" s="2">
        <f>MAIZ!K246</f>
        <v>154.55833275356218</v>
      </c>
      <c r="F248" s="3">
        <f>GIRASOL!K246</f>
        <v>293.30139424862023</v>
      </c>
      <c r="G248" s="3"/>
      <c r="H248" s="3"/>
      <c r="J248" s="5"/>
      <c r="K248" s="25">
        <f t="shared" si="25"/>
        <v>231.94891634898744</v>
      </c>
      <c r="L248" s="10">
        <f t="shared" si="32"/>
        <v>178.61765507110297</v>
      </c>
      <c r="M248" s="10">
        <f t="shared" si="32"/>
        <v>266.2412214050475</v>
      </c>
      <c r="N248" t="s">
        <v>2</v>
      </c>
      <c r="O248" s="2">
        <v>135.58384521178081</v>
      </c>
      <c r="P248" s="10">
        <f t="shared" si="31"/>
        <v>94.61497453232208</v>
      </c>
      <c r="Q248" s="10">
        <f t="shared" si="31"/>
        <v>141.16194247050137</v>
      </c>
    </row>
    <row r="249" spans="1:17" x14ac:dyDescent="0.15">
      <c r="A249" s="34">
        <v>41426</v>
      </c>
      <c r="B249" t="s">
        <v>4</v>
      </c>
      <c r="C249" s="9">
        <f>SOJA!K247</f>
        <v>265.90381572217842</v>
      </c>
      <c r="D249" s="8">
        <f>TRIGO!K247</f>
        <v>166.92372850285537</v>
      </c>
      <c r="E249" s="9">
        <f>MAIZ!K247</f>
        <v>157.35104156362354</v>
      </c>
      <c r="F249" s="3">
        <f>GIRASOL!K247</f>
        <v>289.87292637861435</v>
      </c>
      <c r="G249" s="3"/>
      <c r="H249" s="3"/>
      <c r="J249" s="5"/>
      <c r="K249" s="25">
        <f t="shared" si="25"/>
        <v>233.71769123420898</v>
      </c>
      <c r="L249" s="10">
        <f t="shared" si="32"/>
        <v>178.61765507110297</v>
      </c>
      <c r="M249" s="10">
        <f t="shared" si="32"/>
        <v>266.2412214050475</v>
      </c>
      <c r="N249" t="s">
        <v>4</v>
      </c>
      <c r="O249" s="2">
        <v>143.51817177677995</v>
      </c>
      <c r="P249" s="10">
        <f t="shared" ref="P249:Q264" si="33">+P248</f>
        <v>94.61497453232208</v>
      </c>
      <c r="Q249" s="10">
        <f t="shared" si="33"/>
        <v>141.16194247050137</v>
      </c>
    </row>
    <row r="250" spans="1:17" x14ac:dyDescent="0.15">
      <c r="A250" s="34">
        <v>41456</v>
      </c>
      <c r="B250" t="s">
        <v>4</v>
      </c>
      <c r="C250" s="9">
        <f>SOJA!K248</f>
        <v>257.3807242789585</v>
      </c>
      <c r="D250" s="8">
        <f>TRIGO!K248</f>
        <v>165.50670601862157</v>
      </c>
      <c r="E250" s="9">
        <f>MAIZ!K248</f>
        <v>139.99850401575156</v>
      </c>
      <c r="F250" s="3">
        <f>GIRASOL!K248</f>
        <v>258.16673282904691</v>
      </c>
      <c r="G250" s="3"/>
      <c r="H250" s="3"/>
      <c r="J250" s="5"/>
      <c r="K250" s="25">
        <f t="shared" si="25"/>
        <v>223.40058161127388</v>
      </c>
      <c r="L250" s="10">
        <f t="shared" si="32"/>
        <v>178.61765507110297</v>
      </c>
      <c r="M250" s="10">
        <f t="shared" si="32"/>
        <v>266.2412214050475</v>
      </c>
      <c r="N250" t="s">
        <v>4</v>
      </c>
      <c r="O250" s="2">
        <v>125.08645765705705</v>
      </c>
      <c r="P250" s="10">
        <f t="shared" si="33"/>
        <v>94.61497453232208</v>
      </c>
      <c r="Q250" s="10">
        <f t="shared" si="33"/>
        <v>141.16194247050137</v>
      </c>
    </row>
    <row r="251" spans="1:17" x14ac:dyDescent="0.15">
      <c r="A251" s="34">
        <v>41487</v>
      </c>
      <c r="B251" t="s">
        <v>3</v>
      </c>
      <c r="C251" s="9">
        <f>SOJA!K249</f>
        <v>251.96531573372613</v>
      </c>
      <c r="D251" s="7">
        <f>TRIGO!K249</f>
        <v>166.06720351917224</v>
      </c>
      <c r="E251" s="2">
        <f>MAIZ!K249</f>
        <v>132.13949527331985</v>
      </c>
      <c r="F251" s="3">
        <f>GIRASOL!K249</f>
        <v>226.15496049143184</v>
      </c>
      <c r="G251" s="3"/>
      <c r="H251" s="3"/>
      <c r="J251" s="5"/>
      <c r="K251" s="25">
        <f t="shared" si="25"/>
        <v>216.94443865599607</v>
      </c>
      <c r="L251" s="10">
        <f t="shared" si="32"/>
        <v>178.61765507110297</v>
      </c>
      <c r="M251" s="10">
        <f t="shared" si="32"/>
        <v>266.2412214050475</v>
      </c>
      <c r="N251" t="s">
        <v>3</v>
      </c>
      <c r="O251" s="2">
        <v>113.42624016780654</v>
      </c>
      <c r="P251" s="10">
        <f t="shared" si="33"/>
        <v>94.61497453232208</v>
      </c>
      <c r="Q251" s="10">
        <f t="shared" si="33"/>
        <v>141.16194247050137</v>
      </c>
    </row>
    <row r="252" spans="1:17" x14ac:dyDescent="0.15">
      <c r="A252" s="34">
        <v>41518</v>
      </c>
      <c r="B252" t="s">
        <v>5</v>
      </c>
      <c r="C252" s="9">
        <f>SOJA!K250</f>
        <v>265.6030384922505</v>
      </c>
      <c r="D252" s="7">
        <f>TRIGO!K250</f>
        <v>163.86866198379346</v>
      </c>
      <c r="E252" s="2">
        <f>MAIZ!K250</f>
        <v>130.99878369074798</v>
      </c>
      <c r="F252" s="3">
        <f>GIRASOL!K250</f>
        <v>199.71305394321138</v>
      </c>
      <c r="G252" s="3"/>
      <c r="H252" s="3"/>
      <c r="J252" s="5"/>
      <c r="K252" s="25">
        <f t="shared" si="25"/>
        <v>223.41029044524817</v>
      </c>
      <c r="L252" s="10">
        <f t="shared" si="32"/>
        <v>178.61765507110297</v>
      </c>
      <c r="M252" s="10">
        <f t="shared" si="32"/>
        <v>266.2412214050475</v>
      </c>
      <c r="N252" t="s">
        <v>5</v>
      </c>
      <c r="O252" s="2">
        <v>112.68387565302503</v>
      </c>
      <c r="P252" s="10">
        <f t="shared" si="33"/>
        <v>94.61497453232208</v>
      </c>
      <c r="Q252" s="10">
        <f t="shared" si="33"/>
        <v>141.16194247050137</v>
      </c>
    </row>
    <row r="253" spans="1:17" x14ac:dyDescent="0.15">
      <c r="A253" s="34">
        <v>41548</v>
      </c>
      <c r="B253" t="s">
        <v>6</v>
      </c>
      <c r="C253" s="9">
        <f>SOJA!K251</f>
        <v>258.61619377669865</v>
      </c>
      <c r="D253" s="7">
        <f>TRIGO!K251</f>
        <v>161.84585790458323</v>
      </c>
      <c r="E253" s="2">
        <f>MAIZ!K251</f>
        <v>124.68125349686414</v>
      </c>
      <c r="F253" s="3">
        <f>GIRASOL!K251</f>
        <v>208.90104251758243</v>
      </c>
      <c r="G253" s="3"/>
      <c r="H253" s="3"/>
      <c r="J253" s="5"/>
      <c r="K253" s="25">
        <f t="shared" si="25"/>
        <v>218.18451026260681</v>
      </c>
      <c r="L253" s="10">
        <f t="shared" si="32"/>
        <v>178.61765507110297</v>
      </c>
      <c r="M253" s="10">
        <f t="shared" si="32"/>
        <v>266.2412214050475</v>
      </c>
      <c r="N253" t="s">
        <v>6</v>
      </c>
      <c r="O253" s="2">
        <v>109.66097465359837</v>
      </c>
      <c r="P253" s="10">
        <f t="shared" si="33"/>
        <v>94.61497453232208</v>
      </c>
      <c r="Q253" s="10">
        <f t="shared" si="33"/>
        <v>141.16194247050137</v>
      </c>
    </row>
    <row r="254" spans="1:17" x14ac:dyDescent="0.15">
      <c r="A254" s="34">
        <v>41579</v>
      </c>
      <c r="B254" t="s">
        <v>7</v>
      </c>
      <c r="C254" s="9">
        <f>SOJA!K252</f>
        <v>263.6192443299895</v>
      </c>
      <c r="D254" s="7">
        <f>TRIGO!K252</f>
        <v>174.44694050368136</v>
      </c>
      <c r="E254" s="2">
        <f>MAIZ!K252</f>
        <v>124.60495750262953</v>
      </c>
      <c r="F254" s="3">
        <f>GIRASOL!K252</f>
        <v>219.50337078905244</v>
      </c>
      <c r="G254" s="3"/>
      <c r="H254" s="3"/>
      <c r="J254" s="5"/>
      <c r="K254" s="25">
        <f t="shared" si="25"/>
        <v>223.74065630882419</v>
      </c>
      <c r="L254" s="10">
        <f t="shared" si="32"/>
        <v>178.61765507110297</v>
      </c>
      <c r="M254" s="10">
        <f t="shared" si="32"/>
        <v>266.2412214050475</v>
      </c>
      <c r="N254" t="s">
        <v>7</v>
      </c>
      <c r="O254" s="2">
        <v>128.2591802218995</v>
      </c>
      <c r="P254" s="10">
        <f t="shared" si="33"/>
        <v>94.61497453232208</v>
      </c>
      <c r="Q254" s="10">
        <f t="shared" si="33"/>
        <v>141.16194247050137</v>
      </c>
    </row>
    <row r="255" spans="1:17" x14ac:dyDescent="0.15">
      <c r="A255" s="34">
        <v>41609</v>
      </c>
      <c r="B255" t="s">
        <v>48</v>
      </c>
      <c r="C255" s="9">
        <f>SOJA!K253</f>
        <v>275.14581921894097</v>
      </c>
      <c r="D255" s="7">
        <f>TRIGO!K253</f>
        <v>191.38441011816997</v>
      </c>
      <c r="E255" s="2">
        <f>MAIZ!K253</f>
        <v>129.67922458231814</v>
      </c>
      <c r="F255" s="3">
        <f>GIRASOL!K253</f>
        <v>224.63391746368373</v>
      </c>
      <c r="G255" s="3"/>
      <c r="H255" s="3"/>
      <c r="J255" s="5"/>
      <c r="K255" s="25">
        <f t="shared" si="25"/>
        <v>234.58237299996256</v>
      </c>
      <c r="L255" s="10">
        <f t="shared" si="32"/>
        <v>178.61765507110297</v>
      </c>
      <c r="M255" s="10">
        <f t="shared" si="32"/>
        <v>266.2412214050475</v>
      </c>
      <c r="N255" t="s">
        <v>48</v>
      </c>
      <c r="O255" s="2"/>
      <c r="P255" s="10">
        <f t="shared" si="33"/>
        <v>94.61497453232208</v>
      </c>
      <c r="Q255" s="10">
        <f t="shared" si="33"/>
        <v>141.16194247050137</v>
      </c>
    </row>
    <row r="256" spans="1:17" x14ac:dyDescent="0.15">
      <c r="A256" s="34">
        <v>41640</v>
      </c>
      <c r="B256" t="s">
        <v>49</v>
      </c>
      <c r="C256" s="9">
        <f>SOJA!K254</f>
        <v>279.25124183866438</v>
      </c>
      <c r="D256" s="7">
        <f>TRIGO!K254</f>
        <v>195.92527701422313</v>
      </c>
      <c r="E256" s="2">
        <f>MAIZ!K254</f>
        <v>139.85238628624683</v>
      </c>
      <c r="F256" s="3">
        <f>GIRASOL!K254</f>
        <v>241.11343013029816</v>
      </c>
      <c r="G256" s="3"/>
      <c r="H256" s="3"/>
      <c r="J256" s="5"/>
      <c r="K256" s="25">
        <f t="shared" si="25"/>
        <v>240.50616843772445</v>
      </c>
      <c r="L256" s="10">
        <f t="shared" si="32"/>
        <v>178.61765507110297</v>
      </c>
      <c r="M256" s="10">
        <f t="shared" si="32"/>
        <v>266.2412214050475</v>
      </c>
      <c r="N256" t="s">
        <v>49</v>
      </c>
      <c r="O256" s="2">
        <v>138.93002212109448</v>
      </c>
      <c r="P256" s="10">
        <f t="shared" si="33"/>
        <v>94.61497453232208</v>
      </c>
      <c r="Q256" s="10">
        <f t="shared" si="33"/>
        <v>141.16194247050137</v>
      </c>
    </row>
    <row r="257" spans="1:17" x14ac:dyDescent="0.15">
      <c r="A257" s="34">
        <v>41671</v>
      </c>
      <c r="B257" t="s">
        <v>1</v>
      </c>
      <c r="C257" s="9">
        <f>SOJA!K255</f>
        <v>308.83769630149368</v>
      </c>
      <c r="D257" s="7">
        <f>TRIGO!K255</f>
        <v>207.52216244693122</v>
      </c>
      <c r="E257" s="2">
        <f>MAIZ!K255</f>
        <v>152.32266469168692</v>
      </c>
      <c r="F257" s="3">
        <f>GIRASOL!K255</f>
        <v>255.38501809546588</v>
      </c>
      <c r="G257" s="3"/>
      <c r="H257" s="3"/>
      <c r="J257" s="5"/>
      <c r="K257" s="25">
        <f t="shared" si="25"/>
        <v>263.59014211098332</v>
      </c>
      <c r="L257" s="10">
        <f t="shared" si="32"/>
        <v>178.61765507110297</v>
      </c>
      <c r="M257" s="10">
        <f t="shared" si="32"/>
        <v>266.2412214050475</v>
      </c>
      <c r="N257" t="s">
        <v>1</v>
      </c>
      <c r="O257" s="2">
        <v>138.04759509591091</v>
      </c>
      <c r="P257" s="10">
        <f t="shared" si="33"/>
        <v>94.61497453232208</v>
      </c>
      <c r="Q257" s="10">
        <f t="shared" si="33"/>
        <v>141.16194247050137</v>
      </c>
    </row>
    <row r="258" spans="1:17" x14ac:dyDescent="0.15">
      <c r="A258" s="34">
        <v>41699</v>
      </c>
      <c r="B258" t="s">
        <v>2</v>
      </c>
      <c r="C258" s="9">
        <f>SOJA!K256</f>
        <v>300.12664117861931</v>
      </c>
      <c r="D258" s="7">
        <f>TRIGO!K256</f>
        <v>208.47386726767175</v>
      </c>
      <c r="E258" s="2">
        <f>MAIZ!K256</f>
        <v>154.19664738733118</v>
      </c>
      <c r="F258" s="3">
        <f>GIRASOL!K256</f>
        <v>263.29934189427837</v>
      </c>
      <c r="G258" s="3"/>
      <c r="H258" s="3"/>
      <c r="J258" s="5"/>
      <c r="K258" s="25">
        <f t="shared" si="25"/>
        <v>259.08724674716024</v>
      </c>
      <c r="L258" s="10">
        <f t="shared" si="32"/>
        <v>178.61765507110297</v>
      </c>
      <c r="M258" s="10">
        <f t="shared" si="32"/>
        <v>266.2412214050475</v>
      </c>
      <c r="N258" t="s">
        <v>2</v>
      </c>
      <c r="O258" s="2">
        <v>141.02517936892465</v>
      </c>
      <c r="P258" s="10">
        <f t="shared" si="33"/>
        <v>94.61497453232208</v>
      </c>
      <c r="Q258" s="10">
        <f t="shared" si="33"/>
        <v>141.16194247050137</v>
      </c>
    </row>
    <row r="259" spans="1:17" x14ac:dyDescent="0.15">
      <c r="A259" s="34">
        <v>41730</v>
      </c>
      <c r="B259" t="s">
        <v>3</v>
      </c>
      <c r="C259" s="9">
        <f>SOJA!K257</f>
        <v>289.13569858169205</v>
      </c>
      <c r="D259" s="7">
        <f>TRIGO!K257</f>
        <v>216.76297824059461</v>
      </c>
      <c r="E259" s="2">
        <f>MAIZ!K257</f>
        <v>154.25080848581641</v>
      </c>
      <c r="F259" s="3">
        <f>GIRASOL!K257</f>
        <v>264.52660578050092</v>
      </c>
      <c r="G259" s="3"/>
      <c r="H259" s="3"/>
      <c r="J259" s="5"/>
      <c r="K259" s="25">
        <f t="shared" si="25"/>
        <v>253.55737143862225</v>
      </c>
      <c r="L259" s="10">
        <f t="shared" si="32"/>
        <v>178.61765507110297</v>
      </c>
      <c r="M259" s="10">
        <f t="shared" si="32"/>
        <v>266.2412214050475</v>
      </c>
      <c r="N259" t="s">
        <v>3</v>
      </c>
      <c r="O259" s="2">
        <v>149.39175088154585</v>
      </c>
      <c r="P259" s="10">
        <f t="shared" si="33"/>
        <v>94.61497453232208</v>
      </c>
      <c r="Q259" s="10">
        <f t="shared" si="33"/>
        <v>141.16194247050137</v>
      </c>
    </row>
    <row r="260" spans="1:17" x14ac:dyDescent="0.15">
      <c r="A260" s="34">
        <v>41760</v>
      </c>
      <c r="B260" t="s">
        <v>2</v>
      </c>
      <c r="C260" s="9">
        <f>SOJA!K258</f>
        <v>287.12438081726691</v>
      </c>
      <c r="D260" s="7">
        <f>TRIGO!K258</f>
        <v>222.21255860903472</v>
      </c>
      <c r="E260" s="2">
        <f>MAIZ!K258</f>
        <v>147.74240195030163</v>
      </c>
      <c r="F260" s="3">
        <f>GIRASOL!K258</f>
        <v>260.21296920075639</v>
      </c>
      <c r="G260" s="3"/>
      <c r="H260" s="3"/>
      <c r="J260" s="5"/>
      <c r="K260" s="25">
        <f t="shared" si="25"/>
        <v>251.73528662825831</v>
      </c>
      <c r="L260" s="10">
        <f t="shared" si="32"/>
        <v>178.61765507110297</v>
      </c>
      <c r="M260" s="10">
        <f t="shared" si="32"/>
        <v>266.2412214050475</v>
      </c>
      <c r="N260" t="s">
        <v>2</v>
      </c>
      <c r="O260" s="2">
        <v>147.76160571554362</v>
      </c>
      <c r="P260" s="10">
        <f t="shared" si="33"/>
        <v>94.61497453232208</v>
      </c>
      <c r="Q260" s="10">
        <f t="shared" si="33"/>
        <v>141.16194247050137</v>
      </c>
    </row>
    <row r="261" spans="1:17" x14ac:dyDescent="0.15">
      <c r="A261" s="34">
        <v>41791</v>
      </c>
      <c r="B261" t="s">
        <v>4</v>
      </c>
      <c r="C261" s="9">
        <f>SOJA!K259</f>
        <v>274.64878168667838</v>
      </c>
      <c r="D261" s="7">
        <f>TRIGO!K259</f>
        <v>219.4225084460372</v>
      </c>
      <c r="E261" s="2">
        <f>MAIZ!K259</f>
        <v>134.42099616513994</v>
      </c>
      <c r="F261" s="3">
        <f>GIRASOL!K259</f>
        <v>257.64024264985153</v>
      </c>
      <c r="G261" s="3"/>
      <c r="H261" s="3"/>
      <c r="J261" s="5"/>
      <c r="K261" s="25">
        <f t="shared" ref="K261:K294" si="34">+C261*C$2+D261*D$2+E261*E$2+F261*F$2</f>
        <v>241.10115660206699</v>
      </c>
      <c r="L261" s="10">
        <f t="shared" si="32"/>
        <v>178.61765507110297</v>
      </c>
      <c r="M261" s="10">
        <f t="shared" si="32"/>
        <v>266.2412214050475</v>
      </c>
      <c r="N261" t="s">
        <v>4</v>
      </c>
      <c r="O261" s="2">
        <v>126.47466930224338</v>
      </c>
      <c r="P261" s="10">
        <f t="shared" si="33"/>
        <v>94.61497453232208</v>
      </c>
      <c r="Q261" s="10">
        <f t="shared" si="33"/>
        <v>141.16194247050137</v>
      </c>
    </row>
    <row r="262" spans="1:17" x14ac:dyDescent="0.15">
      <c r="A262" s="34">
        <v>41821</v>
      </c>
      <c r="B262" t="s">
        <v>4</v>
      </c>
      <c r="C262" s="9">
        <f>SOJA!K260</f>
        <v>252.81695884852681</v>
      </c>
      <c r="D262" s="7">
        <f>TRIGO!K260</f>
        <v>194.63597342567724</v>
      </c>
      <c r="E262" s="2">
        <f>MAIZ!K260</f>
        <v>122.65616899130572</v>
      </c>
      <c r="F262" s="3">
        <f>GIRASOL!K260</f>
        <v>252.41348460842383</v>
      </c>
      <c r="G262" s="3"/>
      <c r="H262" s="3"/>
      <c r="J262" s="5"/>
      <c r="K262" s="25">
        <f t="shared" si="34"/>
        <v>221.52183352121943</v>
      </c>
      <c r="L262" s="10">
        <f t="shared" ref="L262:M277" si="35">+L261</f>
        <v>178.61765507110297</v>
      </c>
      <c r="M262" s="10">
        <f t="shared" si="35"/>
        <v>266.2412214050475</v>
      </c>
      <c r="N262" t="s">
        <v>4</v>
      </c>
      <c r="O262" s="2">
        <v>110.13389524855101</v>
      </c>
      <c r="P262" s="10">
        <f t="shared" si="33"/>
        <v>94.61497453232208</v>
      </c>
      <c r="Q262" s="10">
        <f t="shared" si="33"/>
        <v>141.16194247050137</v>
      </c>
    </row>
    <row r="263" spans="1:17" x14ac:dyDescent="0.15">
      <c r="A263" s="34">
        <v>41852</v>
      </c>
      <c r="B263" t="s">
        <v>3</v>
      </c>
      <c r="C263" s="9">
        <f>SOJA!K261</f>
        <v>246.63595048012746</v>
      </c>
      <c r="D263" s="7">
        <f>TRIGO!K261</f>
        <v>176.53603235148626</v>
      </c>
      <c r="E263" s="2">
        <f>MAIZ!K261</f>
        <v>116.40445120444086</v>
      </c>
      <c r="F263" s="3">
        <f>GIRASOL!K261</f>
        <v>232.32656352267546</v>
      </c>
      <c r="G263" s="3"/>
      <c r="H263" s="3"/>
      <c r="J263" s="5"/>
      <c r="K263" s="25">
        <f t="shared" si="34"/>
        <v>212.78423468531773</v>
      </c>
      <c r="L263" s="10">
        <f t="shared" si="35"/>
        <v>178.61765507110297</v>
      </c>
      <c r="M263" s="10">
        <f t="shared" si="35"/>
        <v>266.2412214050475</v>
      </c>
      <c r="N263" t="s">
        <v>3</v>
      </c>
      <c r="O263" s="2">
        <v>98.7679027284765</v>
      </c>
      <c r="P263" s="10">
        <f t="shared" si="33"/>
        <v>94.61497453232208</v>
      </c>
      <c r="Q263" s="10">
        <f t="shared" si="33"/>
        <v>141.16194247050137</v>
      </c>
    </row>
    <row r="264" spans="1:17" x14ac:dyDescent="0.15">
      <c r="A264" s="34">
        <v>41883</v>
      </c>
      <c r="B264" t="s">
        <v>5</v>
      </c>
      <c r="C264" s="9">
        <f>SOJA!K262</f>
        <v>226.82164361730455</v>
      </c>
      <c r="D264" s="7">
        <f>TRIGO!K262</f>
        <v>161.59852483727963</v>
      </c>
      <c r="E264" s="2">
        <f>MAIZ!K262</f>
        <v>105.32137857474844</v>
      </c>
      <c r="F264" s="3">
        <f>GIRASOL!K262</f>
        <v>213.02200515946856</v>
      </c>
      <c r="G264" s="3"/>
      <c r="H264" s="3"/>
      <c r="J264" s="5"/>
      <c r="K264" s="25">
        <f t="shared" si="34"/>
        <v>195.24031314974249</v>
      </c>
      <c r="L264" s="10">
        <f t="shared" si="35"/>
        <v>178.61765507110297</v>
      </c>
      <c r="M264" s="10">
        <f t="shared" si="35"/>
        <v>266.2412214050475</v>
      </c>
      <c r="N264" t="s">
        <v>5</v>
      </c>
      <c r="O264" s="2">
        <v>87.370011650385919</v>
      </c>
      <c r="P264" s="10">
        <f t="shared" si="33"/>
        <v>94.61497453232208</v>
      </c>
      <c r="Q264" s="10">
        <f t="shared" si="33"/>
        <v>141.16194247050137</v>
      </c>
    </row>
    <row r="265" spans="1:17" x14ac:dyDescent="0.15">
      <c r="A265" s="34">
        <v>41913</v>
      </c>
      <c r="B265" t="s">
        <v>6</v>
      </c>
      <c r="C265" s="9">
        <f>SOJA!K263</f>
        <v>217.69267665274137</v>
      </c>
      <c r="D265" s="7">
        <f>TRIGO!K263</f>
        <v>151.76423288970028</v>
      </c>
      <c r="E265" s="2">
        <f>MAIZ!K263</f>
        <v>106.17250860596317</v>
      </c>
      <c r="F265" s="3">
        <f>GIRASOL!K263</f>
        <v>196.41914092103181</v>
      </c>
      <c r="G265" s="3"/>
      <c r="H265" s="3"/>
      <c r="J265" s="5"/>
      <c r="K265" s="25">
        <f t="shared" si="34"/>
        <v>187.32486877950336</v>
      </c>
      <c r="L265" s="10">
        <f t="shared" si="35"/>
        <v>178.61765507110297</v>
      </c>
      <c r="M265" s="10">
        <f t="shared" si="35"/>
        <v>266.2412214050475</v>
      </c>
      <c r="N265" t="s">
        <v>6</v>
      </c>
      <c r="O265" s="2">
        <v>87.047602906334518</v>
      </c>
      <c r="P265" s="10">
        <f t="shared" ref="P265:Q280" si="36">+P264</f>
        <v>94.61497453232208</v>
      </c>
      <c r="Q265" s="10">
        <f t="shared" si="36"/>
        <v>141.16194247050137</v>
      </c>
    </row>
    <row r="266" spans="1:17" x14ac:dyDescent="0.15">
      <c r="A266" s="34">
        <v>41944</v>
      </c>
      <c r="B266" t="s">
        <v>7</v>
      </c>
      <c r="C266" s="9">
        <f>SOJA!K264</f>
        <v>228.5187258111383</v>
      </c>
      <c r="D266" s="7">
        <f>TRIGO!K264</f>
        <v>142.35012632248112</v>
      </c>
      <c r="E266" s="2">
        <f>MAIZ!K264</f>
        <v>110.77830842216432</v>
      </c>
      <c r="F266" s="3">
        <f>GIRASOL!K264</f>
        <v>195.64680137447797</v>
      </c>
      <c r="G266" s="3"/>
      <c r="H266" s="3"/>
      <c r="J266" s="5"/>
      <c r="K266" s="25">
        <f t="shared" si="34"/>
        <v>193.42346641154859</v>
      </c>
      <c r="L266" s="10">
        <f t="shared" si="35"/>
        <v>178.61765507110297</v>
      </c>
      <c r="M266" s="10">
        <f t="shared" si="35"/>
        <v>266.2412214050475</v>
      </c>
      <c r="N266" t="s">
        <v>7</v>
      </c>
      <c r="O266" s="2">
        <v>91.030730561271838</v>
      </c>
      <c r="P266" s="10">
        <f t="shared" si="36"/>
        <v>94.61497453232208</v>
      </c>
      <c r="Q266" s="10">
        <f t="shared" si="36"/>
        <v>141.16194247050137</v>
      </c>
    </row>
    <row r="267" spans="1:17" x14ac:dyDescent="0.15">
      <c r="A267" s="34">
        <v>41974</v>
      </c>
      <c r="B267" t="s">
        <v>50</v>
      </c>
      <c r="C267" s="9">
        <f>SOJA!K265</f>
        <v>222.94283050131611</v>
      </c>
      <c r="D267" s="7">
        <f>TRIGO!K265</f>
        <v>136.77344773003816</v>
      </c>
      <c r="E267" s="2">
        <f>MAIZ!K265</f>
        <v>118.19927581608238</v>
      </c>
      <c r="F267" s="3">
        <f>GIRASOL!K265</f>
        <v>199.91357108689442</v>
      </c>
      <c r="G267" s="3"/>
      <c r="H267" s="3"/>
      <c r="J267" s="5"/>
      <c r="K267" s="25">
        <f t="shared" si="34"/>
        <v>190.6660731669192</v>
      </c>
      <c r="L267" s="10">
        <f t="shared" si="35"/>
        <v>178.61765507110297</v>
      </c>
      <c r="M267" s="10">
        <f t="shared" si="35"/>
        <v>266.2412214050475</v>
      </c>
      <c r="N267" t="s">
        <v>50</v>
      </c>
      <c r="O267" s="2">
        <v>88.834776548682996</v>
      </c>
      <c r="P267" s="10">
        <f t="shared" si="36"/>
        <v>94.61497453232208</v>
      </c>
      <c r="Q267" s="10">
        <f t="shared" si="36"/>
        <v>141.16194247050137</v>
      </c>
    </row>
    <row r="268" spans="1:17" x14ac:dyDescent="0.15">
      <c r="A268" s="34">
        <v>42005</v>
      </c>
      <c r="B268" t="s">
        <v>51</v>
      </c>
      <c r="C268" s="9">
        <f>SOJA!K266</f>
        <v>215.07951448759229</v>
      </c>
      <c r="D268" s="7">
        <f>TRIGO!K266</f>
        <v>133.84377738207991</v>
      </c>
      <c r="E268" s="2">
        <f>MAIZ!K266</f>
        <v>108.85960560409166</v>
      </c>
      <c r="F268" s="3">
        <f>GIRASOL!K266</f>
        <v>197.19649867626438</v>
      </c>
      <c r="G268" s="3"/>
      <c r="H268" s="3"/>
      <c r="J268" s="5"/>
      <c r="K268" s="25">
        <f t="shared" si="34"/>
        <v>183.56436293099603</v>
      </c>
      <c r="L268" s="10">
        <f t="shared" si="35"/>
        <v>178.61765507110297</v>
      </c>
      <c r="M268" s="10">
        <f t="shared" si="35"/>
        <v>266.2412214050475</v>
      </c>
      <c r="N268" t="s">
        <v>51</v>
      </c>
      <c r="O268" s="2">
        <v>85.238145546926035</v>
      </c>
      <c r="P268" s="10">
        <f t="shared" si="36"/>
        <v>94.61497453232208</v>
      </c>
      <c r="Q268" s="10">
        <f t="shared" si="36"/>
        <v>141.16194247050137</v>
      </c>
    </row>
    <row r="269" spans="1:17" x14ac:dyDescent="0.15">
      <c r="A269" s="34">
        <v>42036</v>
      </c>
      <c r="B269" t="s">
        <v>1</v>
      </c>
      <c r="C269" s="9">
        <f>SOJA!K267</f>
        <v>210.67647882441497</v>
      </c>
      <c r="D269" s="7">
        <f>TRIGO!K267</f>
        <v>127.33828056236501</v>
      </c>
      <c r="E269" s="2">
        <f>MAIZ!K267</f>
        <v>104.78324341951935</v>
      </c>
      <c r="F269" s="3">
        <f>GIRASOL!K267</f>
        <v>196.24658301452348</v>
      </c>
      <c r="G269" s="3"/>
      <c r="H269" s="3"/>
      <c r="J269" s="5"/>
      <c r="K269" s="25">
        <f t="shared" si="34"/>
        <v>179.10208346276096</v>
      </c>
      <c r="L269" s="10">
        <f t="shared" si="35"/>
        <v>178.61765507110297</v>
      </c>
      <c r="M269" s="10">
        <f t="shared" si="35"/>
        <v>266.2412214050475</v>
      </c>
      <c r="N269" t="s">
        <v>1</v>
      </c>
      <c r="O269" s="2">
        <v>82.355506376320321</v>
      </c>
      <c r="P269" s="10">
        <f t="shared" si="36"/>
        <v>94.61497453232208</v>
      </c>
      <c r="Q269" s="10">
        <f t="shared" si="36"/>
        <v>141.16194247050137</v>
      </c>
    </row>
    <row r="270" spans="1:17" x14ac:dyDescent="0.15">
      <c r="A270" s="34">
        <v>42064</v>
      </c>
      <c r="B270" t="s">
        <v>2</v>
      </c>
      <c r="C270" s="9">
        <f>SOJA!K268</f>
        <v>193.78319684683808</v>
      </c>
      <c r="D270" s="7">
        <f>TRIGO!K268</f>
        <v>121.37121935842985</v>
      </c>
      <c r="E270" s="2">
        <f>MAIZ!K268</f>
        <v>100.11211688953458</v>
      </c>
      <c r="F270" s="3">
        <f>GIRASOL!K268</f>
        <v>195.21862793459243</v>
      </c>
      <c r="G270" s="3"/>
      <c r="H270" s="3"/>
      <c r="J270" s="5"/>
      <c r="K270" s="25">
        <f t="shared" si="34"/>
        <v>166.84604378405058</v>
      </c>
      <c r="L270" s="10">
        <f t="shared" si="35"/>
        <v>178.61765507110297</v>
      </c>
      <c r="M270" s="10">
        <f t="shared" si="35"/>
        <v>266.2412214050475</v>
      </c>
      <c r="N270" t="s">
        <v>2</v>
      </c>
      <c r="O270" s="2">
        <v>78.697784794109936</v>
      </c>
      <c r="P270" s="10">
        <f t="shared" si="36"/>
        <v>94.61497453232208</v>
      </c>
      <c r="Q270" s="10">
        <f t="shared" si="36"/>
        <v>141.16194247050137</v>
      </c>
    </row>
    <row r="271" spans="1:17" x14ac:dyDescent="0.15">
      <c r="A271" s="34">
        <v>42095</v>
      </c>
      <c r="B271" t="s">
        <v>3</v>
      </c>
      <c r="C271" s="9">
        <f>SOJA!K269</f>
        <v>173.64162780831597</v>
      </c>
      <c r="D271" s="7">
        <f>TRIGO!K269</f>
        <v>118.64543331518045</v>
      </c>
      <c r="E271" s="2">
        <f>MAIZ!K269</f>
        <v>97.564526661528717</v>
      </c>
      <c r="F271" s="3">
        <f>GIRASOL!K269</f>
        <v>192.51571778748075</v>
      </c>
      <c r="G271" s="3"/>
      <c r="H271" s="3"/>
      <c r="J271" s="5"/>
      <c r="K271" s="25">
        <f t="shared" si="34"/>
        <v>153.32503531413133</v>
      </c>
      <c r="L271" s="10">
        <f t="shared" si="35"/>
        <v>178.61765507110297</v>
      </c>
      <c r="M271" s="10">
        <f t="shared" si="35"/>
        <v>266.2412214050475</v>
      </c>
      <c r="N271" t="s">
        <v>3</v>
      </c>
      <c r="O271" s="2">
        <v>80.012649873004221</v>
      </c>
      <c r="P271" s="10">
        <f t="shared" si="36"/>
        <v>94.61497453232208</v>
      </c>
      <c r="Q271" s="10">
        <f t="shared" si="36"/>
        <v>141.16194247050137</v>
      </c>
    </row>
    <row r="272" spans="1:17" x14ac:dyDescent="0.15">
      <c r="A272" s="34">
        <v>42125</v>
      </c>
      <c r="B272" t="s">
        <v>2</v>
      </c>
      <c r="C272" s="9">
        <f>SOJA!K270</f>
        <v>168.26225467717535</v>
      </c>
      <c r="D272" s="7">
        <f>TRIGO!K270</f>
        <v>117.19916004448129</v>
      </c>
      <c r="E272" s="2">
        <f>MAIZ!K270</f>
        <v>96.948889121474977</v>
      </c>
      <c r="F272" s="3">
        <f>GIRASOL!K270</f>
        <v>190.1689748152009</v>
      </c>
      <c r="G272" s="3"/>
      <c r="H272" s="3"/>
      <c r="J272" s="5"/>
      <c r="K272" s="25">
        <f t="shared" si="34"/>
        <v>149.52750968678663</v>
      </c>
      <c r="L272" s="10">
        <f t="shared" si="35"/>
        <v>178.61765507110297</v>
      </c>
      <c r="M272" s="10">
        <f t="shared" si="35"/>
        <v>266.2412214050475</v>
      </c>
      <c r="N272" t="s">
        <v>2</v>
      </c>
      <c r="O272" s="2">
        <v>78.223880661296121</v>
      </c>
      <c r="P272" s="10">
        <f t="shared" si="36"/>
        <v>94.61497453232208</v>
      </c>
      <c r="Q272" s="10">
        <f t="shared" si="36"/>
        <v>141.16194247050137</v>
      </c>
    </row>
    <row r="273" spans="1:18" x14ac:dyDescent="0.15">
      <c r="A273" s="34">
        <v>42156</v>
      </c>
      <c r="B273" t="s">
        <v>4</v>
      </c>
      <c r="C273" s="9">
        <f>SOJA!K271</f>
        <v>169.51466968390778</v>
      </c>
      <c r="D273" s="7">
        <f>TRIGO!K271</f>
        <v>116.26312771745192</v>
      </c>
      <c r="E273" s="2">
        <f>MAIZ!K271</f>
        <v>97.171738996887086</v>
      </c>
      <c r="F273" s="3">
        <f>GIRASOL!K271</f>
        <v>189.48489104392976</v>
      </c>
      <c r="G273" s="3"/>
      <c r="H273" s="3"/>
      <c r="J273" s="5"/>
      <c r="K273" s="25">
        <f t="shared" si="34"/>
        <v>150.1681410139978</v>
      </c>
      <c r="L273" s="10">
        <f t="shared" si="35"/>
        <v>178.61765507110297</v>
      </c>
      <c r="M273" s="10">
        <f t="shared" si="35"/>
        <v>266.2412214050475</v>
      </c>
      <c r="N273" t="s">
        <v>4</v>
      </c>
      <c r="O273" s="2">
        <v>71.89900347655437</v>
      </c>
      <c r="P273" s="10">
        <f t="shared" si="36"/>
        <v>94.61497453232208</v>
      </c>
      <c r="Q273" s="10">
        <f t="shared" si="36"/>
        <v>141.16194247050137</v>
      </c>
    </row>
    <row r="274" spans="1:18" x14ac:dyDescent="0.15">
      <c r="A274" s="34">
        <v>42186</v>
      </c>
      <c r="B274" t="s">
        <v>4</v>
      </c>
      <c r="C274" s="9">
        <f>SOJA!K272</f>
        <v>172.85981392233646</v>
      </c>
      <c r="D274" s="7">
        <f>TRIGO!K272</f>
        <v>115.08898904027244</v>
      </c>
      <c r="E274" s="2">
        <f>MAIZ!K272</f>
        <v>99.585359248220016</v>
      </c>
      <c r="F274" s="3">
        <f>GIRASOL!K272</f>
        <v>184.20462331396604</v>
      </c>
      <c r="G274" s="3"/>
      <c r="H274" s="3"/>
      <c r="J274" s="5"/>
      <c r="K274" s="25">
        <f t="shared" si="34"/>
        <v>152.19745737375652</v>
      </c>
      <c r="L274" s="10">
        <f t="shared" si="35"/>
        <v>178.61765507110297</v>
      </c>
      <c r="M274" s="10">
        <f t="shared" si="35"/>
        <v>266.2412214050475</v>
      </c>
      <c r="N274" t="s">
        <v>4</v>
      </c>
      <c r="O274" s="2">
        <v>68.276956842275808</v>
      </c>
      <c r="P274" s="10">
        <f t="shared" si="36"/>
        <v>94.61497453232208</v>
      </c>
      <c r="Q274" s="10">
        <f t="shared" si="36"/>
        <v>141.16194247050137</v>
      </c>
    </row>
    <row r="275" spans="1:18" x14ac:dyDescent="0.15">
      <c r="A275" s="34">
        <v>42217</v>
      </c>
      <c r="B275" t="s">
        <v>3</v>
      </c>
      <c r="C275" s="9">
        <f>SOJA!K273</f>
        <v>165.37472074138046</v>
      </c>
      <c r="D275" s="7">
        <f>TRIGO!K273</f>
        <v>113.35161479460194</v>
      </c>
      <c r="E275" s="2">
        <f>MAIZ!K273</f>
        <v>89.9615990433349</v>
      </c>
      <c r="F275" s="3">
        <f>GIRASOL!K273</f>
        <v>173.48532115513109</v>
      </c>
      <c r="G275" s="3"/>
      <c r="H275" s="3"/>
      <c r="J275" s="5"/>
      <c r="K275" s="25">
        <f t="shared" si="34"/>
        <v>145.00685708776933</v>
      </c>
      <c r="L275" s="10">
        <f t="shared" si="35"/>
        <v>178.61765507110297</v>
      </c>
      <c r="M275" s="10">
        <f t="shared" si="35"/>
        <v>266.2412214050475</v>
      </c>
      <c r="N275" t="s">
        <v>3</v>
      </c>
      <c r="O275" s="2">
        <v>67.022570214942007</v>
      </c>
      <c r="P275" s="10">
        <f t="shared" si="36"/>
        <v>94.61497453232208</v>
      </c>
      <c r="Q275" s="10">
        <f t="shared" si="36"/>
        <v>141.16194247050137</v>
      </c>
    </row>
    <row r="276" spans="1:18" x14ac:dyDescent="0.15">
      <c r="A276" s="34">
        <v>42248</v>
      </c>
      <c r="B276" t="s">
        <v>5</v>
      </c>
      <c r="C276" s="9">
        <f>SOJA!K274</f>
        <v>160.32648707741558</v>
      </c>
      <c r="D276" s="7">
        <f>TRIGO!K274</f>
        <v>112.50883201551505</v>
      </c>
      <c r="E276" s="2">
        <f>MAIZ!K274</f>
        <v>90.253721746377309</v>
      </c>
      <c r="F276" s="3">
        <f>GIRASOL!K274</f>
        <v>167.24967629212213</v>
      </c>
      <c r="G276" s="3"/>
      <c r="H276" s="3"/>
      <c r="J276" s="5"/>
      <c r="K276" s="25">
        <f t="shared" si="34"/>
        <v>141.44348377403094</v>
      </c>
      <c r="L276" s="10">
        <f t="shared" si="35"/>
        <v>178.61765507110297</v>
      </c>
      <c r="M276" s="10">
        <f t="shared" si="35"/>
        <v>266.2412214050475</v>
      </c>
      <c r="N276" t="s">
        <v>5</v>
      </c>
      <c r="O276" s="2">
        <v>67.2443145958961</v>
      </c>
      <c r="P276" s="10">
        <f t="shared" si="36"/>
        <v>94.61497453232208</v>
      </c>
      <c r="Q276" s="10">
        <f t="shared" si="36"/>
        <v>141.16194247050137</v>
      </c>
    </row>
    <row r="277" spans="1:18" x14ac:dyDescent="0.15">
      <c r="A277" s="34">
        <v>42278</v>
      </c>
      <c r="B277" t="s">
        <v>6</v>
      </c>
      <c r="C277" s="9">
        <f>SOJA!K275</f>
        <v>162.0038565218957</v>
      </c>
      <c r="D277" s="7">
        <f>TRIGO!K275</f>
        <v>112.09368327151725</v>
      </c>
      <c r="E277" s="2">
        <f>MAIZ!K275</f>
        <v>91.037719846822668</v>
      </c>
      <c r="F277" s="3">
        <f>GIRASOL!K275</f>
        <v>173.27885019924375</v>
      </c>
      <c r="G277" s="3"/>
      <c r="H277" s="3"/>
      <c r="J277" s="5"/>
      <c r="K277" s="25">
        <f t="shared" si="34"/>
        <v>142.90114428742606</v>
      </c>
      <c r="L277" s="10">
        <f t="shared" si="35"/>
        <v>178.61765507110297</v>
      </c>
      <c r="M277" s="10">
        <f t="shared" si="35"/>
        <v>266.2412214050475</v>
      </c>
      <c r="N277" t="s">
        <v>6</v>
      </c>
      <c r="O277" s="2">
        <v>77.28609762035299</v>
      </c>
      <c r="P277" s="10">
        <f t="shared" si="36"/>
        <v>94.61497453232208</v>
      </c>
      <c r="Q277" s="10">
        <f t="shared" si="36"/>
        <v>141.16194247050137</v>
      </c>
    </row>
    <row r="278" spans="1:18" x14ac:dyDescent="0.15">
      <c r="A278" s="34">
        <v>42309</v>
      </c>
      <c r="B278" t="s">
        <v>7</v>
      </c>
      <c r="C278" s="9">
        <f>SOJA!K276</f>
        <v>157.95301890225045</v>
      </c>
      <c r="D278" s="7">
        <f>TRIGO!K276</f>
        <v>104.27614772228794</v>
      </c>
      <c r="E278" s="2">
        <f>MAIZ!K276</f>
        <v>93.581158212309717</v>
      </c>
      <c r="F278" s="3">
        <f>GIRASOL!K276</f>
        <v>174.71268019816031</v>
      </c>
      <c r="G278" s="3"/>
      <c r="H278" s="3"/>
      <c r="J278" s="5"/>
      <c r="K278" s="25">
        <f t="shared" si="34"/>
        <v>139.75150209019785</v>
      </c>
      <c r="L278" s="10">
        <f t="shared" ref="L278:M291" si="37">+L277</f>
        <v>178.61765507110297</v>
      </c>
      <c r="M278" s="10">
        <f t="shared" si="37"/>
        <v>266.2412214050475</v>
      </c>
      <c r="N278" t="s">
        <v>7</v>
      </c>
      <c r="O278" s="2">
        <v>87.585071631624615</v>
      </c>
      <c r="P278" s="10">
        <f t="shared" si="36"/>
        <v>94.61497453232208</v>
      </c>
      <c r="Q278" s="10">
        <f t="shared" si="36"/>
        <v>141.16194247050137</v>
      </c>
    </row>
    <row r="279" spans="1:18" x14ac:dyDescent="0.15">
      <c r="A279" s="34">
        <v>42339</v>
      </c>
      <c r="B279" t="s">
        <v>52</v>
      </c>
      <c r="C279" s="9">
        <f>SOJA!K277</f>
        <v>194.90789877703884</v>
      </c>
      <c r="D279" s="7">
        <f>TRIGO!K277</f>
        <v>131.35996835128429</v>
      </c>
      <c r="E279" s="2">
        <f>MAIZ!K277</f>
        <v>118.13805293220518</v>
      </c>
      <c r="F279" s="3">
        <f>GIRASOL!K277</f>
        <v>257.27842638569132</v>
      </c>
      <c r="G279" s="3"/>
      <c r="H279" s="3"/>
      <c r="J279" s="15">
        <f>+AVERAGE(K268:K279)</f>
        <v>156.6242111170271</v>
      </c>
      <c r="K279" s="25">
        <f t="shared" si="34"/>
        <v>175.65691259842129</v>
      </c>
      <c r="L279" s="10">
        <f t="shared" si="37"/>
        <v>178.61765507110297</v>
      </c>
      <c r="M279" s="10">
        <f t="shared" si="37"/>
        <v>266.2412214050475</v>
      </c>
      <c r="N279" t="s">
        <v>52</v>
      </c>
      <c r="O279" s="2">
        <v>113.46482347368465</v>
      </c>
      <c r="P279" s="10">
        <f t="shared" si="36"/>
        <v>94.61497453232208</v>
      </c>
      <c r="Q279" s="10">
        <f t="shared" si="36"/>
        <v>141.16194247050137</v>
      </c>
    </row>
    <row r="280" spans="1:18" x14ac:dyDescent="0.15">
      <c r="A280" s="34">
        <v>42370</v>
      </c>
      <c r="B280" t="s">
        <v>53</v>
      </c>
      <c r="C280" s="9">
        <f>SOJA!K278</f>
        <v>216.91080340602051</v>
      </c>
      <c r="D280" s="7">
        <f>TRIGO!K278</f>
        <v>174.63246543341009</v>
      </c>
      <c r="E280" s="2">
        <f>MAIZ!K278</f>
        <v>146.43659861864074</v>
      </c>
      <c r="F280" s="3">
        <f>GIRASOL!K278</f>
        <v>350.17447495761917</v>
      </c>
      <c r="G280" s="3"/>
      <c r="H280" s="3"/>
      <c r="J280" s="5"/>
      <c r="K280" s="25">
        <f t="shared" si="34"/>
        <v>205.8921430307914</v>
      </c>
      <c r="L280" s="10">
        <f t="shared" si="37"/>
        <v>178.61765507110297</v>
      </c>
      <c r="M280" s="10">
        <f t="shared" si="37"/>
        <v>266.2412214050475</v>
      </c>
      <c r="N280" t="s">
        <v>53</v>
      </c>
      <c r="O280" s="2">
        <v>131.3256372165896</v>
      </c>
      <c r="P280" s="10">
        <f>+P279</f>
        <v>94.61497453232208</v>
      </c>
      <c r="Q280" s="10">
        <f t="shared" si="36"/>
        <v>141.16194247050137</v>
      </c>
    </row>
    <row r="281" spans="1:18" x14ac:dyDescent="0.15">
      <c r="A281" s="34">
        <v>42401</v>
      </c>
      <c r="B281" t="s">
        <v>1</v>
      </c>
      <c r="C281" s="9">
        <f>SOJA!K279</f>
        <v>217.14798087955413</v>
      </c>
      <c r="D281" s="7">
        <f>TRIGO!K279</f>
        <v>183.18076258262647</v>
      </c>
      <c r="E281" s="2">
        <f>MAIZ!K279</f>
        <v>158.50356140569235</v>
      </c>
      <c r="F281" s="3">
        <f>GIRASOL!K279</f>
        <v>360.66678643211429</v>
      </c>
      <c r="G281" s="3"/>
      <c r="H281" s="3"/>
      <c r="J281" s="5"/>
      <c r="K281" s="25">
        <f t="shared" si="34"/>
        <v>209.99583684263837</v>
      </c>
      <c r="L281" s="10">
        <f t="shared" si="37"/>
        <v>178.61765507110297</v>
      </c>
      <c r="M281" s="10">
        <f t="shared" si="37"/>
        <v>266.2412214050475</v>
      </c>
      <c r="N281" t="s">
        <v>1</v>
      </c>
      <c r="P281" s="10">
        <f>+P280</f>
        <v>94.61497453232208</v>
      </c>
      <c r="Q281" s="10">
        <f>+Q280</f>
        <v>141.16194247050137</v>
      </c>
    </row>
    <row r="282" spans="1:18" x14ac:dyDescent="0.15">
      <c r="A282" s="34">
        <v>42430</v>
      </c>
      <c r="B282" t="s">
        <v>2</v>
      </c>
      <c r="C282" s="9">
        <f>SOJA!K280</f>
        <v>215.92091632270871</v>
      </c>
      <c r="D282" s="7">
        <f>TRIGO!K280</f>
        <v>179.0558265600628</v>
      </c>
      <c r="E282" s="2">
        <f>MAIZ!K280</f>
        <v>150.29556426285066</v>
      </c>
      <c r="F282" s="3">
        <f>GIRASOL!K280</f>
        <v>353.47290113670431</v>
      </c>
      <c r="G282" s="3"/>
      <c r="H282" s="3"/>
      <c r="J282" s="5"/>
      <c r="K282" s="25">
        <f t="shared" si="34"/>
        <v>206.78835140855054</v>
      </c>
      <c r="L282" s="10">
        <f t="shared" si="37"/>
        <v>178.61765507110297</v>
      </c>
      <c r="M282" s="10">
        <f t="shared" si="37"/>
        <v>266.2412214050475</v>
      </c>
      <c r="N282" t="s">
        <v>2</v>
      </c>
      <c r="P282" s="10"/>
      <c r="Q282" s="10"/>
    </row>
    <row r="283" spans="1:18" x14ac:dyDescent="0.15">
      <c r="A283" s="34">
        <v>42461</v>
      </c>
      <c r="B283" t="s">
        <v>3</v>
      </c>
      <c r="C283" s="9">
        <f>SOJA!K281</f>
        <v>211.30628239963156</v>
      </c>
      <c r="D283" s="7">
        <f>TRIGO!K281</f>
        <v>166.88806063352718</v>
      </c>
      <c r="E283" s="2">
        <f>MAIZ!K281</f>
        <v>144.24495692948076</v>
      </c>
      <c r="F283" s="3">
        <f>GIRASOL!K281</f>
        <v>318.68071879769008</v>
      </c>
      <c r="G283" s="3"/>
      <c r="H283" s="3"/>
      <c r="J283" s="5"/>
      <c r="K283" s="25">
        <f t="shared" si="34"/>
        <v>199.10787404698362</v>
      </c>
      <c r="L283" s="10">
        <f t="shared" si="37"/>
        <v>178.61765507110297</v>
      </c>
      <c r="M283" s="10">
        <f t="shared" si="37"/>
        <v>266.2412214050475</v>
      </c>
      <c r="N283" t="s">
        <v>3</v>
      </c>
    </row>
    <row r="284" spans="1:18" x14ac:dyDescent="0.15">
      <c r="A284" s="34">
        <v>42491</v>
      </c>
      <c r="B284" t="s">
        <v>2</v>
      </c>
      <c r="C284" s="9">
        <f>SOJA!K282</f>
        <v>221.43130711813117</v>
      </c>
      <c r="D284" s="7">
        <f>TRIGO!K282</f>
        <v>161.0989577427122</v>
      </c>
      <c r="E284" s="2">
        <f>MAIZ!K282</f>
        <v>144.51524150449183</v>
      </c>
      <c r="F284" s="3">
        <f>GIRASOL!K282</f>
        <v>300.0862938344639</v>
      </c>
      <c r="G284" s="3"/>
      <c r="H284" s="3"/>
      <c r="J284" s="5"/>
      <c r="K284" s="25">
        <f t="shared" si="34"/>
        <v>203.54714176827125</v>
      </c>
      <c r="L284" s="10">
        <f t="shared" si="37"/>
        <v>178.61765507110297</v>
      </c>
      <c r="M284" s="10">
        <f t="shared" si="37"/>
        <v>266.2412214050475</v>
      </c>
      <c r="N284" t="s">
        <v>2</v>
      </c>
    </row>
    <row r="285" spans="1:18" x14ac:dyDescent="0.15">
      <c r="A285" s="34">
        <v>42522</v>
      </c>
      <c r="B285" t="s">
        <v>4</v>
      </c>
      <c r="C285" s="9">
        <f>SOJA!K283</f>
        <v>236.84188812931416</v>
      </c>
      <c r="D285" s="7">
        <f>TRIGO!K283</f>
        <v>160.92353053879523</v>
      </c>
      <c r="E285" s="2">
        <f>MAIZ!K283</f>
        <v>150.19529516954222</v>
      </c>
      <c r="F285" s="3">
        <f>GIRASOL!K283</f>
        <v>291.19496002258182</v>
      </c>
      <c r="G285" s="3"/>
      <c r="H285" s="3"/>
      <c r="J285" s="5"/>
      <c r="K285" s="25">
        <f t="shared" si="34"/>
        <v>213.5908933465989</v>
      </c>
      <c r="L285" s="10">
        <f t="shared" si="37"/>
        <v>178.61765507110297</v>
      </c>
      <c r="M285" s="10">
        <f t="shared" si="37"/>
        <v>266.2412214050475</v>
      </c>
      <c r="N285" t="s">
        <v>4</v>
      </c>
    </row>
    <row r="286" spans="1:18" x14ac:dyDescent="0.15">
      <c r="A286" s="34">
        <v>42552</v>
      </c>
      <c r="B286" t="s">
        <v>4</v>
      </c>
      <c r="C286" s="9">
        <f>SOJA!K284</f>
        <v>236.70876104732852</v>
      </c>
      <c r="D286" s="7">
        <f>TRIGO!K284</f>
        <v>167.05873024379142</v>
      </c>
      <c r="E286" s="2">
        <f>MAIZ!K284</f>
        <v>141.72280906937758</v>
      </c>
      <c r="F286" s="3">
        <f>GIRASOL!K284</f>
        <v>300.86406394616461</v>
      </c>
      <c r="G286" s="3"/>
      <c r="H286" s="3"/>
      <c r="J286" s="5"/>
      <c r="K286" s="25">
        <f t="shared" si="34"/>
        <v>213.48317158860027</v>
      </c>
      <c r="L286" s="10">
        <f t="shared" si="37"/>
        <v>178.61765507110297</v>
      </c>
      <c r="M286" s="10">
        <f t="shared" si="37"/>
        <v>266.2412214050475</v>
      </c>
      <c r="N286" t="s">
        <v>4</v>
      </c>
    </row>
    <row r="287" spans="1:18" x14ac:dyDescent="0.15">
      <c r="A287" s="34">
        <v>42583</v>
      </c>
      <c r="B287" t="s">
        <v>3</v>
      </c>
      <c r="C287" s="9">
        <f>SOJA!K285</f>
        <v>224.8406033807197</v>
      </c>
      <c r="D287" s="7">
        <f>TRIGO!K285</f>
        <v>169.20370610643948</v>
      </c>
      <c r="E287" s="2">
        <f>MAIZ!K285</f>
        <v>139.29793479460366</v>
      </c>
      <c r="F287" s="3">
        <f>GIRASOL!K285</f>
        <v>299.05771311835815</v>
      </c>
      <c r="G287" s="3"/>
      <c r="H287" s="3"/>
      <c r="J287" s="5"/>
      <c r="K287" s="25">
        <f t="shared" si="34"/>
        <v>205.89736399727542</v>
      </c>
      <c r="L287" s="10">
        <f t="shared" si="37"/>
        <v>178.61765507110297</v>
      </c>
      <c r="M287" s="10">
        <f t="shared" si="37"/>
        <v>266.2412214050475</v>
      </c>
      <c r="N287" t="s">
        <v>3</v>
      </c>
    </row>
    <row r="288" spans="1:18" s="16" customFormat="1" x14ac:dyDescent="0.15">
      <c r="A288" s="34">
        <v>42614</v>
      </c>
      <c r="B288" s="16" t="s">
        <v>5</v>
      </c>
      <c r="C288" s="23">
        <f>SOJA!K286</f>
        <v>219.32085657299947</v>
      </c>
      <c r="D288" s="7">
        <f>TRIGO!K286</f>
        <v>159.03135703886329</v>
      </c>
      <c r="E288" s="18">
        <f>MAIZ!K286</f>
        <v>135.29533360022697</v>
      </c>
      <c r="F288" s="19">
        <f>GIRASOL!K286</f>
        <v>300.65629688939327</v>
      </c>
      <c r="G288" s="19"/>
      <c r="H288" s="19"/>
      <c r="I288" s="20"/>
      <c r="J288" s="21"/>
      <c r="K288" s="25">
        <f t="shared" si="34"/>
        <v>200.35541615659747</v>
      </c>
      <c r="L288" s="22">
        <f t="shared" si="37"/>
        <v>178.61765507110297</v>
      </c>
      <c r="M288" s="22">
        <f t="shared" si="37"/>
        <v>266.2412214050475</v>
      </c>
      <c r="N288" t="s">
        <v>5</v>
      </c>
      <c r="R288" s="18"/>
    </row>
    <row r="289" spans="1:18" s="16" customFormat="1" x14ac:dyDescent="0.15">
      <c r="A289" s="34">
        <v>42644</v>
      </c>
      <c r="B289" s="16" t="s">
        <v>6</v>
      </c>
      <c r="C289" s="23">
        <f>SOJA!K287</f>
        <v>209.96486668762932</v>
      </c>
      <c r="D289" s="17">
        <f>TRIGO!K287</f>
        <v>142.20418432211758</v>
      </c>
      <c r="E289" s="18">
        <f>MAIZ!K287</f>
        <v>135.98760795830913</v>
      </c>
      <c r="F289" s="19">
        <f>GIRASOL!K287</f>
        <v>295.28737728089988</v>
      </c>
      <c r="G289" s="19"/>
      <c r="H289" s="19"/>
      <c r="I289" s="20"/>
      <c r="J289" s="21"/>
      <c r="K289" s="25">
        <f t="shared" si="34"/>
        <v>191.87066329450644</v>
      </c>
      <c r="L289" s="22">
        <f t="shared" ref="L289:L352" si="38">+L288</f>
        <v>178.61765507110297</v>
      </c>
      <c r="M289" s="22">
        <f t="shared" si="37"/>
        <v>266.2412214050475</v>
      </c>
      <c r="N289" t="s">
        <v>6</v>
      </c>
      <c r="R289" s="18"/>
    </row>
    <row r="290" spans="1:18" x14ac:dyDescent="0.15">
      <c r="A290" s="34">
        <v>42675</v>
      </c>
      <c r="B290" t="s">
        <v>7</v>
      </c>
      <c r="C290" s="23">
        <f>SOJA!K288</f>
        <v>207.70171311217464</v>
      </c>
      <c r="D290" s="17">
        <f>TRIGO!K288</f>
        <v>135.99516929963815</v>
      </c>
      <c r="E290" s="18">
        <f>MAIZ!K288</f>
        <v>136.76786912520427</v>
      </c>
      <c r="F290" s="19">
        <f>GIRASOL!K288</f>
        <v>293.62593371512787</v>
      </c>
      <c r="G290" s="19"/>
      <c r="H290" s="19"/>
      <c r="I290" s="20"/>
      <c r="J290" s="21"/>
      <c r="K290" s="25">
        <f t="shared" si="34"/>
        <v>189.58859765016601</v>
      </c>
      <c r="L290" s="22">
        <f t="shared" si="38"/>
        <v>178.61765507110297</v>
      </c>
      <c r="M290" s="22">
        <f t="shared" si="37"/>
        <v>266.2412214050475</v>
      </c>
      <c r="N290" t="s">
        <v>7</v>
      </c>
    </row>
    <row r="291" spans="1:18" s="16" customFormat="1" x14ac:dyDescent="0.15">
      <c r="A291" s="34">
        <v>42705</v>
      </c>
      <c r="B291" s="16" t="s">
        <v>55</v>
      </c>
      <c r="C291" s="23">
        <f>SOJA!K289</f>
        <v>212.89908110715135</v>
      </c>
      <c r="D291" s="17">
        <f>TRIGO!K289</f>
        <v>133.94834858703084</v>
      </c>
      <c r="E291" s="18">
        <f>MAIZ!K289</f>
        <v>142.61559467207402</v>
      </c>
      <c r="F291" s="19">
        <f>GIRASOL!K289</f>
        <v>298.62602420285111</v>
      </c>
      <c r="G291" s="19"/>
      <c r="H291" s="19"/>
      <c r="I291" s="20"/>
      <c r="J291" s="15">
        <f>+AVERAGE(K280:K291)</f>
        <v>202.8279384791247</v>
      </c>
      <c r="K291" s="32">
        <f t="shared" si="34"/>
        <v>193.81780861851684</v>
      </c>
      <c r="L291" s="22">
        <f t="shared" si="38"/>
        <v>178.61765507110297</v>
      </c>
      <c r="M291" s="22">
        <f t="shared" si="37"/>
        <v>266.2412214050475</v>
      </c>
      <c r="N291" t="s">
        <v>55</v>
      </c>
      <c r="R291" s="18"/>
    </row>
    <row r="292" spans="1:18" s="16" customFormat="1" x14ac:dyDescent="0.15">
      <c r="A292" s="34">
        <v>42736</v>
      </c>
      <c r="B292" t="s">
        <v>56</v>
      </c>
      <c r="C292" s="23">
        <f>SOJA!K290</f>
        <v>193.2184092793816</v>
      </c>
      <c r="D292" s="17">
        <f>TRIGO!K290</f>
        <v>124.24713201743209</v>
      </c>
      <c r="E292" s="18">
        <f>MAIZ!K290</f>
        <v>129.89472892731536</v>
      </c>
      <c r="F292" s="19">
        <f>GIRASOL!K290</f>
        <v>257.67160901342447</v>
      </c>
      <c r="G292" s="19"/>
      <c r="H292" s="19"/>
      <c r="I292" s="20"/>
      <c r="J292" s="21"/>
      <c r="K292" s="32">
        <f t="shared" si="34"/>
        <v>175.62593907516191</v>
      </c>
      <c r="L292" s="22">
        <f t="shared" si="38"/>
        <v>178.61765507110297</v>
      </c>
      <c r="M292" s="22">
        <f t="shared" ref="M292:M355" si="39">+M291</f>
        <v>266.2412214050475</v>
      </c>
      <c r="N292" t="s">
        <v>56</v>
      </c>
      <c r="R292" s="2">
        <f t="shared" ref="R292:R301" si="40">+R293</f>
        <v>158.09955272671382</v>
      </c>
    </row>
    <row r="293" spans="1:18" s="16" customFormat="1" x14ac:dyDescent="0.15">
      <c r="A293" s="34">
        <v>42767</v>
      </c>
      <c r="B293" t="s">
        <v>1</v>
      </c>
      <c r="C293" s="23">
        <f>SOJA!K291</f>
        <v>183.7754732050733</v>
      </c>
      <c r="D293" s="17">
        <f>TRIGO!K291</f>
        <v>124.82350339510332</v>
      </c>
      <c r="E293" s="18">
        <f>MAIZ!K291</f>
        <v>124.14511478969514</v>
      </c>
      <c r="F293" s="19">
        <f>GIRASOL!K291</f>
        <v>250.25755653507397</v>
      </c>
      <c r="G293" s="19"/>
      <c r="H293" s="19"/>
      <c r="I293" s="20"/>
      <c r="J293" s="21"/>
      <c r="K293" s="32">
        <f t="shared" si="34"/>
        <v>168.42108767447604</v>
      </c>
      <c r="L293" s="22">
        <f t="shared" si="38"/>
        <v>178.61765507110297</v>
      </c>
      <c r="M293" s="22">
        <f t="shared" si="39"/>
        <v>266.2412214050475</v>
      </c>
      <c r="N293" t="s">
        <v>1</v>
      </c>
      <c r="R293" s="2">
        <f t="shared" si="40"/>
        <v>158.09955272671382</v>
      </c>
    </row>
    <row r="294" spans="1:18" s="16" customFormat="1" x14ac:dyDescent="0.15">
      <c r="A294" s="34">
        <v>42795</v>
      </c>
      <c r="B294" t="s">
        <v>2</v>
      </c>
      <c r="C294" s="23">
        <f>SOJA!K292</f>
        <v>174.19417353076045</v>
      </c>
      <c r="D294" s="17">
        <f>TRIGO!K292</f>
        <v>125.47859856298165</v>
      </c>
      <c r="E294" s="18">
        <f>MAIZ!K292</f>
        <v>108.61157619253764</v>
      </c>
      <c r="F294" s="19">
        <f>GIRASOL!K292</f>
        <v>245.17421802752534</v>
      </c>
      <c r="G294" s="19"/>
      <c r="H294" s="19"/>
      <c r="I294" s="20"/>
      <c r="J294" s="20">
        <f>+K294/L294-1</f>
        <v>-0.10664705444426148</v>
      </c>
      <c r="K294" s="32">
        <f t="shared" si="34"/>
        <v>159.56860828602873</v>
      </c>
      <c r="L294" s="22">
        <f t="shared" si="38"/>
        <v>178.61765507110297</v>
      </c>
      <c r="M294" s="22">
        <f t="shared" si="39"/>
        <v>266.2412214050475</v>
      </c>
      <c r="N294" t="s">
        <v>2</v>
      </c>
      <c r="R294" s="2">
        <f t="shared" si="40"/>
        <v>158.09955272671382</v>
      </c>
    </row>
    <row r="295" spans="1:18" s="16" customFormat="1" x14ac:dyDescent="0.15">
      <c r="A295" s="34">
        <v>42826</v>
      </c>
      <c r="B295" t="s">
        <v>3</v>
      </c>
      <c r="C295" s="23">
        <f>SOJA!K293</f>
        <v>167.62125358735742</v>
      </c>
      <c r="D295" s="17">
        <f>TRIGO!K293</f>
        <v>127.89283958775647</v>
      </c>
      <c r="E295" s="18">
        <f>MAIZ!K293</f>
        <v>111.56609410846841</v>
      </c>
      <c r="F295" s="19">
        <f>GIRASOL!K293</f>
        <v>251.70399280569089</v>
      </c>
      <c r="G295" s="19"/>
      <c r="H295" s="19"/>
      <c r="I295" s="20"/>
      <c r="J295" s="20">
        <f>+K295/L295-1</f>
        <v>-0.122587465108003</v>
      </c>
      <c r="K295" s="32">
        <f t="shared" ref="K295:K301" si="41">+C295*C$2+D295*D$2+E295*E$2+F295*F$2</f>
        <v>156.72136951240083</v>
      </c>
      <c r="L295" s="22">
        <f t="shared" si="38"/>
        <v>178.61765507110297</v>
      </c>
      <c r="M295" s="22">
        <f t="shared" si="39"/>
        <v>266.2412214050475</v>
      </c>
      <c r="N295" t="s">
        <v>3</v>
      </c>
      <c r="R295" s="2">
        <f t="shared" si="40"/>
        <v>158.09955272671382</v>
      </c>
    </row>
    <row r="296" spans="1:18" s="16" customFormat="1" x14ac:dyDescent="0.15">
      <c r="A296" s="34">
        <v>42856</v>
      </c>
      <c r="B296" t="s">
        <v>2</v>
      </c>
      <c r="C296" s="23">
        <f>SOJA!K294</f>
        <v>168.85612109512155</v>
      </c>
      <c r="D296" s="17">
        <f>TRIGO!K294</f>
        <v>126.29128170549258</v>
      </c>
      <c r="E296" s="18">
        <f>MAIZ!K294</f>
        <v>107.58146219356776</v>
      </c>
      <c r="F296" s="19">
        <f>GIRASOL!K294</f>
        <v>247.23690069329237</v>
      </c>
      <c r="G296" s="19"/>
      <c r="H296" s="19"/>
      <c r="I296" s="20"/>
      <c r="J296" s="20">
        <f>+K296/L296-1</f>
        <v>-0.12490911801648441</v>
      </c>
      <c r="K296" s="32">
        <f t="shared" si="41"/>
        <v>156.30668131399887</v>
      </c>
      <c r="L296" s="22">
        <f t="shared" si="38"/>
        <v>178.61765507110297</v>
      </c>
      <c r="M296" s="22">
        <f t="shared" si="39"/>
        <v>266.2412214050475</v>
      </c>
      <c r="N296" t="s">
        <v>2</v>
      </c>
      <c r="R296" s="2">
        <f t="shared" si="40"/>
        <v>158.09955272671382</v>
      </c>
    </row>
    <row r="297" spans="1:18" s="28" customFormat="1" x14ac:dyDescent="0.15">
      <c r="A297" s="34">
        <v>42887</v>
      </c>
      <c r="B297" t="s">
        <v>4</v>
      </c>
      <c r="C297" s="23">
        <f>SOJA!K295</f>
        <v>166.85326228788827</v>
      </c>
      <c r="D297" s="17">
        <f>TRIGO!K295</f>
        <v>126.23103947735613</v>
      </c>
      <c r="E297" s="18">
        <f>MAIZ!K295</f>
        <v>108.77355529431752</v>
      </c>
      <c r="F297" s="19">
        <f>GIRASOL!K295</f>
        <v>248.43342875862643</v>
      </c>
      <c r="G297" s="13"/>
      <c r="H297" s="13"/>
      <c r="I297" s="14"/>
      <c r="J297" s="15"/>
      <c r="K297" s="32">
        <f t="shared" si="41"/>
        <v>155.32765683138334</v>
      </c>
      <c r="L297" s="22">
        <f t="shared" si="38"/>
        <v>178.61765507110297</v>
      </c>
      <c r="M297" s="22">
        <f t="shared" si="39"/>
        <v>266.2412214050475</v>
      </c>
      <c r="N297" t="s">
        <v>4</v>
      </c>
      <c r="R297" s="2">
        <f t="shared" si="40"/>
        <v>158.09955272671382</v>
      </c>
    </row>
    <row r="298" spans="1:18" x14ac:dyDescent="0.15">
      <c r="A298" s="34">
        <v>42917</v>
      </c>
      <c r="B298" t="s">
        <v>4</v>
      </c>
      <c r="C298" s="23">
        <f>SOJA!K296</f>
        <v>175.62221526480786</v>
      </c>
      <c r="D298" s="17">
        <f>TRIGO!K296</f>
        <v>128.76307543980622</v>
      </c>
      <c r="E298" s="18">
        <f>MAIZ!K296</f>
        <v>98.89535175531509</v>
      </c>
      <c r="F298" s="19">
        <f>GIRASOL!K296</f>
        <v>245.57906140581596</v>
      </c>
      <c r="G298" s="13"/>
      <c r="H298" s="13"/>
      <c r="I298" s="14"/>
      <c r="J298" s="15"/>
      <c r="K298" s="32">
        <f t="shared" si="41"/>
        <v>159.27181191898958</v>
      </c>
      <c r="L298" s="22">
        <f t="shared" si="38"/>
        <v>178.61765507110297</v>
      </c>
      <c r="M298" s="22">
        <f t="shared" si="39"/>
        <v>266.2412214050475</v>
      </c>
      <c r="N298" t="s">
        <v>4</v>
      </c>
      <c r="R298" s="2">
        <f t="shared" si="40"/>
        <v>158.09955272671382</v>
      </c>
    </row>
    <row r="299" spans="1:18" x14ac:dyDescent="0.15">
      <c r="A299" s="34">
        <v>42948</v>
      </c>
      <c r="B299" t="s">
        <v>3</v>
      </c>
      <c r="C299" s="23">
        <f>SOJA!K297</f>
        <v>170.71713175941372</v>
      </c>
      <c r="D299" s="17">
        <f>TRIGO!K297</f>
        <v>126.87135390686211</v>
      </c>
      <c r="E299" s="18">
        <f>MAIZ!K297</f>
        <v>98.821360258733591</v>
      </c>
      <c r="F299" s="19">
        <f>GIRASOL!K297</f>
        <v>244.72341725162505</v>
      </c>
      <c r="G299" s="13"/>
      <c r="H299" s="13"/>
      <c r="I299" s="14"/>
      <c r="J299" s="15"/>
      <c r="K299" s="32">
        <f t="shared" si="41"/>
        <v>155.88168611669511</v>
      </c>
      <c r="L299" s="22">
        <f t="shared" si="38"/>
        <v>178.61765507110297</v>
      </c>
      <c r="M299" s="22">
        <f t="shared" si="39"/>
        <v>266.2412214050475</v>
      </c>
      <c r="N299" t="s">
        <v>3</v>
      </c>
      <c r="R299" s="2">
        <f t="shared" si="40"/>
        <v>158.09955272671382</v>
      </c>
    </row>
    <row r="300" spans="1:18" x14ac:dyDescent="0.15">
      <c r="A300" s="34">
        <v>42979</v>
      </c>
      <c r="B300" t="s">
        <v>5</v>
      </c>
      <c r="C300" s="23">
        <f>SOJA!K298</f>
        <v>177.22985103607564</v>
      </c>
      <c r="D300" s="17">
        <f>TRIGO!K298</f>
        <v>123.91353908417987</v>
      </c>
      <c r="E300" s="18">
        <f>MAIZ!K298</f>
        <v>100.47043709528099</v>
      </c>
      <c r="F300" s="19">
        <f>GIRASOL!K298</f>
        <v>247.82707816835975</v>
      </c>
      <c r="G300" s="13"/>
      <c r="H300" s="13"/>
      <c r="I300" s="14"/>
      <c r="J300" s="15"/>
      <c r="K300" s="32">
        <f t="shared" si="41"/>
        <v>159.95578055540042</v>
      </c>
      <c r="L300" s="22">
        <f t="shared" si="38"/>
        <v>178.61765507110297</v>
      </c>
      <c r="M300" s="22">
        <f t="shared" si="39"/>
        <v>266.2412214050475</v>
      </c>
      <c r="N300" t="s">
        <v>5</v>
      </c>
      <c r="R300" s="2">
        <f t="shared" si="40"/>
        <v>158.09955272671382</v>
      </c>
    </row>
    <row r="301" spans="1:18" x14ac:dyDescent="0.15">
      <c r="A301" s="34">
        <v>43009</v>
      </c>
      <c r="B301" t="s">
        <v>6</v>
      </c>
      <c r="C301" s="23">
        <f>SOJA!K299</f>
        <v>174.9947701313078</v>
      </c>
      <c r="D301" s="17">
        <f>TRIGO!K299</f>
        <v>122.67537883399754</v>
      </c>
      <c r="E301" s="18">
        <f>MAIZ!K299</f>
        <v>98.803413223057476</v>
      </c>
      <c r="F301" s="19">
        <f>GIRASOL!K299</f>
        <v>230.0992240832278</v>
      </c>
      <c r="G301" s="19"/>
      <c r="H301" s="19"/>
      <c r="I301" s="20"/>
      <c r="J301" s="21"/>
      <c r="K301" s="32">
        <f t="shared" si="41"/>
        <v>157.09436749212242</v>
      </c>
      <c r="L301" s="22">
        <f t="shared" si="38"/>
        <v>178.61765507110297</v>
      </c>
      <c r="M301" s="22">
        <f t="shared" si="39"/>
        <v>266.2412214050475</v>
      </c>
      <c r="N301" t="s">
        <v>6</v>
      </c>
      <c r="R301" s="2">
        <f t="shared" si="40"/>
        <v>158.09955272671382</v>
      </c>
    </row>
    <row r="302" spans="1:18" x14ac:dyDescent="0.15">
      <c r="A302" s="34">
        <v>43040</v>
      </c>
      <c r="B302" t="s">
        <v>7</v>
      </c>
      <c r="C302" s="23">
        <f>SOJA!K300</f>
        <v>166.09254030985693</v>
      </c>
      <c r="D302" s="17">
        <f>TRIGO!K300</f>
        <v>114.78982515623318</v>
      </c>
      <c r="E302" s="18">
        <f>MAIZ!K300</f>
        <v>96.192590913044555</v>
      </c>
      <c r="F302" s="19">
        <f>GIRASOL!K300</f>
        <v>215.47140364521982</v>
      </c>
      <c r="G302" s="13"/>
      <c r="H302" s="13"/>
      <c r="I302" s="14"/>
      <c r="J302" s="15"/>
      <c r="K302" s="32">
        <f t="shared" ref="K302:K315" si="42">+C302*C$2+D302*D$2+E302*E$2+F302*F$2</f>
        <v>149.11593348946889</v>
      </c>
      <c r="L302" s="22">
        <f t="shared" si="38"/>
        <v>178.61765507110297</v>
      </c>
      <c r="M302" s="22">
        <f t="shared" si="39"/>
        <v>266.2412214050475</v>
      </c>
      <c r="N302" t="s">
        <v>7</v>
      </c>
      <c r="R302" s="2">
        <f>+R303</f>
        <v>158.09955272671382</v>
      </c>
    </row>
    <row r="303" spans="1:18" x14ac:dyDescent="0.15">
      <c r="A303" s="34">
        <v>43070</v>
      </c>
      <c r="B303" t="s">
        <v>57</v>
      </c>
      <c r="C303" s="23">
        <f>SOJA!K301</f>
        <v>159.02806508294171</v>
      </c>
      <c r="D303" s="17">
        <f>TRIGO!K301</f>
        <v>110.18682594302697</v>
      </c>
      <c r="E303" s="18">
        <f>MAIZ!K301</f>
        <v>97.806283702237423</v>
      </c>
      <c r="F303" s="19">
        <f>GIRASOL!K301</f>
        <v>207.99310964526438</v>
      </c>
      <c r="G303" s="13"/>
      <c r="H303" s="13"/>
      <c r="I303" s="14"/>
      <c r="J303" s="15">
        <f>+AVERAGE(K292:K303)</f>
        <v>158.09955272671382</v>
      </c>
      <c r="K303" s="32">
        <f t="shared" si="42"/>
        <v>143.90371045443965</v>
      </c>
      <c r="L303" s="22">
        <f t="shared" si="38"/>
        <v>178.61765507110297</v>
      </c>
      <c r="M303" s="22">
        <f t="shared" si="39"/>
        <v>266.2412214050475</v>
      </c>
      <c r="N303" t="s">
        <v>57</v>
      </c>
      <c r="R303" s="2">
        <f>+J303</f>
        <v>158.09955272671382</v>
      </c>
    </row>
    <row r="304" spans="1:18" x14ac:dyDescent="0.15">
      <c r="A304" s="34">
        <v>43101</v>
      </c>
      <c r="B304" t="s">
        <v>62</v>
      </c>
      <c r="C304" s="23">
        <f>SOJA!K302</f>
        <v>198.63892863381272</v>
      </c>
      <c r="D304" s="17">
        <f>TRIGO!K302</f>
        <v>133.42477475872445</v>
      </c>
      <c r="E304" s="18">
        <f>MAIZ!K302</f>
        <v>122.24392771190395</v>
      </c>
      <c r="F304" s="19">
        <f>GIRASOL!K302</f>
        <v>253.43253306126428</v>
      </c>
      <c r="G304" s="13"/>
      <c r="H304" s="13"/>
      <c r="I304" s="14"/>
      <c r="J304" s="15">
        <f>+AVERAGE(K293:K304)</f>
        <v>158.36241654099533</v>
      </c>
      <c r="K304" s="32">
        <f t="shared" si="42"/>
        <v>178.78030484654008</v>
      </c>
      <c r="L304" s="22">
        <f t="shared" si="38"/>
        <v>178.61765507110297</v>
      </c>
      <c r="M304" s="22">
        <f t="shared" si="39"/>
        <v>266.2412214050475</v>
      </c>
      <c r="N304" t="s">
        <v>62</v>
      </c>
    </row>
    <row r="305" spans="1:14" x14ac:dyDescent="0.15">
      <c r="A305" s="34">
        <v>43132</v>
      </c>
      <c r="B305" t="s">
        <v>1</v>
      </c>
      <c r="C305" s="23">
        <f>SOJA!K303</f>
        <v>209.08301075749736</v>
      </c>
      <c r="D305" s="17">
        <f>TRIGO!K303</f>
        <v>143.44667138509877</v>
      </c>
      <c r="E305" s="18">
        <f>MAIZ!K303</f>
        <v>129.02610653686133</v>
      </c>
      <c r="F305" s="19">
        <f>GIRASOL!K303</f>
        <v>260.32914436554961</v>
      </c>
      <c r="G305" s="13"/>
      <c r="H305" s="13"/>
      <c r="I305" s="14"/>
      <c r="J305" s="15">
        <f>+AVERAGE(K294:K305)</f>
        <v>160.02101300694127</v>
      </c>
      <c r="K305" s="32">
        <f t="shared" si="42"/>
        <v>188.32424526582733</v>
      </c>
      <c r="L305" s="22">
        <f t="shared" si="38"/>
        <v>178.61765507110297</v>
      </c>
      <c r="M305" s="22">
        <f t="shared" si="39"/>
        <v>266.2412214050475</v>
      </c>
      <c r="N305" t="s">
        <v>1</v>
      </c>
    </row>
    <row r="306" spans="1:14" x14ac:dyDescent="0.15">
      <c r="A306" s="34">
        <v>43160</v>
      </c>
      <c r="B306" t="s">
        <v>2</v>
      </c>
      <c r="C306" s="23">
        <f>SOJA!K304</f>
        <v>217.51361962968858</v>
      </c>
      <c r="D306" s="17">
        <f>TRIGO!K304</f>
        <v>158.91820659720489</v>
      </c>
      <c r="E306" s="18">
        <f>MAIZ!K304</f>
        <v>142.26963257273579</v>
      </c>
      <c r="F306" s="19">
        <f>GIRASOL!K304</f>
        <v>264.86367766200812</v>
      </c>
      <c r="G306" s="13"/>
      <c r="H306" s="13"/>
      <c r="I306" s="14"/>
      <c r="J306" s="15">
        <f>+AVERAGE(K295:K306)</f>
        <v>163.25814701202299</v>
      </c>
      <c r="K306" s="32">
        <f t="shared" si="42"/>
        <v>198.41421634700916</v>
      </c>
      <c r="L306" s="22">
        <f t="shared" si="38"/>
        <v>178.61765507110297</v>
      </c>
      <c r="M306" s="22">
        <f t="shared" si="39"/>
        <v>266.2412214050475</v>
      </c>
      <c r="N306" t="s">
        <v>2</v>
      </c>
    </row>
    <row r="307" spans="1:14" x14ac:dyDescent="0.15">
      <c r="A307" s="34">
        <v>43191</v>
      </c>
      <c r="B307" t="s">
        <v>3</v>
      </c>
      <c r="C307" s="23">
        <f>SOJA!K305</f>
        <v>223.85491136295727</v>
      </c>
      <c r="D307" s="17">
        <f>TRIGO!K305</f>
        <v>185.66165634368497</v>
      </c>
      <c r="E307" s="18">
        <f>MAIZ!K305</f>
        <v>141.45650007137903</v>
      </c>
      <c r="F307" s="19">
        <f>GIRASOL!K305</f>
        <v>258.60016419298972</v>
      </c>
      <c r="G307" s="13"/>
      <c r="H307" s="13"/>
      <c r="I307" s="14"/>
      <c r="J307" s="15">
        <f>+AVERAGE(K296:K307)</f>
        <v>167.34916909889753</v>
      </c>
      <c r="K307" s="32">
        <f t="shared" si="42"/>
        <v>205.81363455489546</v>
      </c>
      <c r="L307" s="22">
        <f t="shared" si="38"/>
        <v>178.61765507110297</v>
      </c>
      <c r="M307" s="22">
        <f t="shared" si="39"/>
        <v>266.2412214050475</v>
      </c>
    </row>
    <row r="308" spans="1:14" x14ac:dyDescent="0.15">
      <c r="A308" s="34">
        <v>43221</v>
      </c>
      <c r="B308" t="s">
        <v>2</v>
      </c>
      <c r="C308" s="23">
        <f>SOJA!K306</f>
        <v>245.38706121239986</v>
      </c>
      <c r="D308" s="17">
        <f>TRIGO!K306</f>
        <v>220.29761106350114</v>
      </c>
      <c r="E308" s="18">
        <f>MAIZ!K306</f>
        <v>166.2782734847116</v>
      </c>
      <c r="F308" s="19">
        <f>GIRASOL!K306</f>
        <v>297.10635668334254</v>
      </c>
      <c r="G308" s="13"/>
      <c r="H308" s="13"/>
      <c r="I308" s="14"/>
      <c r="J308" s="15"/>
      <c r="K308" s="32">
        <f t="shared" si="42"/>
        <v>230.81103229939748</v>
      </c>
      <c r="L308" s="22">
        <f t="shared" si="38"/>
        <v>178.61765507110297</v>
      </c>
      <c r="M308" s="22">
        <f t="shared" si="39"/>
        <v>266.2412214050475</v>
      </c>
    </row>
    <row r="309" spans="1:14" x14ac:dyDescent="0.15">
      <c r="A309" s="34">
        <v>43252</v>
      </c>
      <c r="B309" t="s">
        <v>4</v>
      </c>
      <c r="C309" s="23">
        <f>SOJA!K307</f>
        <v>257.11788200589194</v>
      </c>
      <c r="D309" s="17">
        <f>TRIGO!K307</f>
        <v>227.20687280668287</v>
      </c>
      <c r="E309" s="18">
        <f>MAIZ!K307</f>
        <v>156.94611294276888</v>
      </c>
      <c r="F309" s="19">
        <f>GIRASOL!K307</f>
        <v>321.1920450921782</v>
      </c>
      <c r="G309" s="13"/>
      <c r="H309" s="13"/>
      <c r="I309" s="14"/>
      <c r="J309" s="15"/>
      <c r="K309" s="32">
        <f t="shared" si="42"/>
        <v>238.85581950493622</v>
      </c>
      <c r="L309" s="22">
        <f t="shared" si="38"/>
        <v>178.61765507110297</v>
      </c>
      <c r="M309" s="22">
        <f t="shared" si="39"/>
        <v>266.2412214050475</v>
      </c>
    </row>
    <row r="310" spans="1:14" x14ac:dyDescent="0.15">
      <c r="A310" s="34">
        <v>43282</v>
      </c>
      <c r="B310" t="s">
        <v>4</v>
      </c>
      <c r="C310" s="23">
        <f>SOJA!K308</f>
        <v>256.67381933173039</v>
      </c>
      <c r="D310" s="17">
        <f>TRIGO!K308</f>
        <v>222.98229956483678</v>
      </c>
      <c r="E310" s="18">
        <f>MAIZ!K308</f>
        <v>150.19055714491071</v>
      </c>
      <c r="F310" s="19">
        <f>GIRASOL!K308</f>
        <v>324.33789027612625</v>
      </c>
      <c r="G310" s="13"/>
      <c r="H310" s="13"/>
      <c r="I310" s="14"/>
      <c r="J310" s="15"/>
      <c r="K310" s="32">
        <f t="shared" si="42"/>
        <v>236.95581060711655</v>
      </c>
      <c r="L310" s="22">
        <f t="shared" si="38"/>
        <v>178.61765507110297</v>
      </c>
      <c r="M310" s="22">
        <f t="shared" si="39"/>
        <v>266.2412214050475</v>
      </c>
    </row>
    <row r="311" spans="1:14" x14ac:dyDescent="0.15">
      <c r="A311" s="34">
        <v>43313</v>
      </c>
      <c r="B311" t="s">
        <v>3</v>
      </c>
      <c r="C311" s="23">
        <f>SOJA!K309</f>
        <v>274.08940434510481</v>
      </c>
      <c r="D311" s="17">
        <f>TRIGO!K309</f>
        <v>243.70379611518737</v>
      </c>
      <c r="E311" s="18">
        <f>MAIZ!K309</f>
        <v>163.43627596613754</v>
      </c>
      <c r="F311" s="19">
        <f>GIRASOL!K309</f>
        <v>340.41165171645218</v>
      </c>
      <c r="G311" s="13"/>
      <c r="H311" s="13"/>
      <c r="I311" s="14"/>
      <c r="J311" s="15"/>
      <c r="K311" s="32">
        <f t="shared" si="42"/>
        <v>254.05782311674542</v>
      </c>
      <c r="L311" s="22">
        <f t="shared" si="38"/>
        <v>178.61765507110297</v>
      </c>
      <c r="M311" s="22">
        <f t="shared" si="39"/>
        <v>266.2412214050475</v>
      </c>
    </row>
    <row r="312" spans="1:14" x14ac:dyDescent="0.15">
      <c r="A312" s="34">
        <v>43344</v>
      </c>
      <c r="B312" t="s">
        <v>5</v>
      </c>
      <c r="C312" s="23">
        <f>SOJA!K310</f>
        <v>316.64573088807992</v>
      </c>
      <c r="D312" s="17">
        <f>TRIGO!K310</f>
        <v>253.3664660158631</v>
      </c>
      <c r="E312" s="18">
        <f>MAIZ!K310</f>
        <v>168.91097734390871</v>
      </c>
      <c r="F312" s="19">
        <f>GIRASOL!K310</f>
        <v>354.50452035141336</v>
      </c>
      <c r="G312" s="13"/>
      <c r="H312" s="13"/>
      <c r="I312" s="14"/>
      <c r="J312" s="15"/>
      <c r="K312" s="32">
        <f t="shared" si="42"/>
        <v>283.69069944038779</v>
      </c>
      <c r="L312" s="22">
        <f t="shared" si="38"/>
        <v>178.61765507110297</v>
      </c>
      <c r="M312" s="22">
        <f t="shared" si="39"/>
        <v>266.2412214050475</v>
      </c>
    </row>
    <row r="313" spans="1:14" x14ac:dyDescent="0.15">
      <c r="A313" s="34">
        <v>43374</v>
      </c>
      <c r="B313" t="s">
        <v>6</v>
      </c>
      <c r="C313" s="23">
        <f>SOJA!K311</f>
        <v>297.15435579701631</v>
      </c>
      <c r="D313" s="17">
        <f>TRIGO!K311</f>
        <v>229.2239563233517</v>
      </c>
      <c r="E313" s="18">
        <f>MAIZ!K311</f>
        <v>157.23626756064621</v>
      </c>
      <c r="F313" s="19">
        <f>GIRASOL!K311</f>
        <v>288.89796148191022</v>
      </c>
      <c r="G313" s="13"/>
      <c r="H313" s="13"/>
      <c r="I313" s="14"/>
      <c r="J313" s="15"/>
      <c r="K313" s="32">
        <f t="shared" si="42"/>
        <v>262.2765603894664</v>
      </c>
      <c r="L313" s="22">
        <f t="shared" si="38"/>
        <v>178.61765507110297</v>
      </c>
      <c r="M313" s="22">
        <f t="shared" si="39"/>
        <v>266.2412214050475</v>
      </c>
    </row>
    <row r="314" spans="1:14" x14ac:dyDescent="0.15">
      <c r="A314" s="34">
        <v>43405</v>
      </c>
      <c r="B314" t="s">
        <v>7</v>
      </c>
      <c r="C314" s="23">
        <f>SOJA!K312</f>
        <v>264.81185008417094</v>
      </c>
      <c r="D314" s="17">
        <f>TRIGO!K312</f>
        <v>214.08393711580516</v>
      </c>
      <c r="E314" s="18">
        <f>MAIZ!K312</f>
        <v>147.52002389492458</v>
      </c>
      <c r="F314" s="19">
        <f>GIRASOL!K312</f>
        <v>269.85370224681321</v>
      </c>
      <c r="G314" s="13"/>
      <c r="H314" s="13"/>
      <c r="I314" s="14"/>
      <c r="J314" s="15"/>
      <c r="K314" s="32">
        <f t="shared" si="42"/>
        <v>237.16660202792022</v>
      </c>
      <c r="L314" s="22">
        <f t="shared" si="38"/>
        <v>178.61765507110297</v>
      </c>
      <c r="M314" s="22">
        <f t="shared" si="39"/>
        <v>266.2412214050475</v>
      </c>
    </row>
    <row r="315" spans="1:14" x14ac:dyDescent="0.15">
      <c r="A315" s="34">
        <v>43435</v>
      </c>
      <c r="B315" t="s">
        <v>64</v>
      </c>
      <c r="C315" s="23">
        <f>SOJA!K313</f>
        <v>261.71556441616917</v>
      </c>
      <c r="D315" s="17">
        <f>TRIGO!K313</f>
        <v>219.65744330811731</v>
      </c>
      <c r="E315" s="18">
        <f>MAIZ!K313</f>
        <v>155.59068900991642</v>
      </c>
      <c r="F315" s="19">
        <f>GIRASOL!K313</f>
        <v>274.57180413514664</v>
      </c>
      <c r="G315" s="13"/>
      <c r="H315" s="13"/>
      <c r="I315" s="14"/>
      <c r="J315" s="15"/>
      <c r="K315" s="32">
        <f t="shared" si="42"/>
        <v>237.73688221135879</v>
      </c>
      <c r="L315" s="22">
        <f t="shared" si="38"/>
        <v>178.61765507110297</v>
      </c>
      <c r="M315" s="22">
        <f t="shared" si="39"/>
        <v>266.2412214050475</v>
      </c>
    </row>
    <row r="316" spans="1:14" x14ac:dyDescent="0.15">
      <c r="A316" s="34">
        <v>43466</v>
      </c>
      <c r="B316" t="s">
        <v>65</v>
      </c>
      <c r="C316" s="23">
        <f>SOJA!K314</f>
        <v>242.95246392279745</v>
      </c>
      <c r="D316" s="17">
        <f>TRIGO!K314</f>
        <v>212.20753351937859</v>
      </c>
      <c r="E316" s="18">
        <f>MAIZ!K314</f>
        <v>151.70207974732435</v>
      </c>
      <c r="F316" s="19">
        <f>GIRASOL!K314</f>
        <v>263.06719031327918</v>
      </c>
      <c r="G316" s="13"/>
      <c r="H316" s="13"/>
      <c r="I316" s="14"/>
      <c r="J316" s="15"/>
      <c r="K316" s="32">
        <f t="shared" ref="K316:K327" si="43">+C316*C$2+D316*D$2+E316*E$2+F316*F$2</f>
        <v>223.64551735041613</v>
      </c>
      <c r="L316" s="22">
        <f t="shared" si="38"/>
        <v>178.61765507110297</v>
      </c>
      <c r="M316" s="22">
        <f t="shared" si="39"/>
        <v>266.2412214050475</v>
      </c>
    </row>
    <row r="317" spans="1:14" x14ac:dyDescent="0.15">
      <c r="A317" s="34">
        <v>43497</v>
      </c>
      <c r="B317" t="s">
        <v>1</v>
      </c>
      <c r="C317" s="23">
        <f>SOJA!K315</f>
        <v>241.26588734017159</v>
      </c>
      <c r="D317" s="17">
        <f>TRIGO!K315</f>
        <v>206.21832247572567</v>
      </c>
      <c r="E317" s="18">
        <f>MAIZ!K315</f>
        <v>147.9203156998876</v>
      </c>
      <c r="F317" s="19">
        <f>GIRASOL!K315</f>
        <v>267.12668776391467</v>
      </c>
      <c r="G317" s="13"/>
      <c r="H317" s="13"/>
      <c r="I317" s="14"/>
      <c r="J317" s="15"/>
      <c r="K317" s="32">
        <f t="shared" si="43"/>
        <v>221.28183545737625</v>
      </c>
      <c r="L317" s="22">
        <f t="shared" si="38"/>
        <v>178.61765507110297</v>
      </c>
      <c r="M317" s="22">
        <f t="shared" si="39"/>
        <v>266.2412214050475</v>
      </c>
    </row>
    <row r="318" spans="1:14" x14ac:dyDescent="0.15">
      <c r="A318" s="34">
        <v>43525</v>
      </c>
      <c r="B318" t="s">
        <v>2</v>
      </c>
      <c r="C318" s="23">
        <f>SOJA!K316</f>
        <v>242.06416782472351</v>
      </c>
      <c r="D318" s="17">
        <f>TRIGO!K316</f>
        <v>202.13801814808591</v>
      </c>
      <c r="E318" s="18">
        <f>MAIZ!K316</f>
        <v>147.09150427740175</v>
      </c>
      <c r="F318" s="19">
        <f>GIRASOL!K316</f>
        <v>299.5974197551987</v>
      </c>
      <c r="G318" s="13"/>
      <c r="H318" s="13"/>
      <c r="I318" s="14"/>
      <c r="J318" s="15"/>
      <c r="K318" s="32">
        <f t="shared" si="43"/>
        <v>222.85970420604505</v>
      </c>
      <c r="L318" s="22">
        <f t="shared" si="38"/>
        <v>178.61765507110297</v>
      </c>
      <c r="M318" s="22">
        <f t="shared" si="39"/>
        <v>266.2412214050475</v>
      </c>
    </row>
    <row r="319" spans="1:14" x14ac:dyDescent="0.15">
      <c r="A319" s="34">
        <v>43556</v>
      </c>
      <c r="B319" t="s">
        <v>3</v>
      </c>
      <c r="C319" s="23">
        <f>SOJA!K317</f>
        <v>233.62329562741755</v>
      </c>
      <c r="D319" s="17">
        <f>TRIGO!K317</f>
        <v>198.86794607567319</v>
      </c>
      <c r="E319" s="18">
        <f>MAIZ!K317</f>
        <v>142.9649750590093</v>
      </c>
      <c r="F319" s="19">
        <f>GIRASOL!K317</f>
        <v>302.42590877867349</v>
      </c>
      <c r="G319" s="13"/>
      <c r="H319" s="13"/>
      <c r="I319" s="14"/>
      <c r="J319" s="15"/>
      <c r="K319" s="32">
        <f t="shared" si="43"/>
        <v>216.56917646325522</v>
      </c>
      <c r="L319" s="22">
        <f t="shared" si="38"/>
        <v>178.61765507110297</v>
      </c>
      <c r="M319" s="22">
        <f t="shared" si="39"/>
        <v>266.2412214050475</v>
      </c>
    </row>
    <row r="320" spans="1:14" x14ac:dyDescent="0.15">
      <c r="A320" s="34">
        <v>43586</v>
      </c>
      <c r="B320" t="s">
        <v>2</v>
      </c>
      <c r="C320" s="23">
        <f>SOJA!K318</f>
        <v>238.12677029665034</v>
      </c>
      <c r="D320" s="17">
        <f>TRIGO!K318</f>
        <v>198.46114201946693</v>
      </c>
      <c r="E320" s="18">
        <f>MAIZ!K318</f>
        <v>153.01910482809367</v>
      </c>
      <c r="F320" s="19">
        <f>GIRASOL!K318</f>
        <v>306.03820965618735</v>
      </c>
      <c r="G320" s="13"/>
      <c r="H320" s="13"/>
      <c r="I320" s="14"/>
      <c r="J320" s="15"/>
      <c r="K320" s="32">
        <f t="shared" si="43"/>
        <v>221.26396039834628</v>
      </c>
      <c r="L320" s="22">
        <f t="shared" si="38"/>
        <v>178.61765507110297</v>
      </c>
      <c r="M320" s="22">
        <f t="shared" si="39"/>
        <v>266.2412214050475</v>
      </c>
    </row>
    <row r="321" spans="1:13" x14ac:dyDescent="0.15">
      <c r="A321" s="34">
        <v>43617</v>
      </c>
      <c r="B321" t="s">
        <v>4</v>
      </c>
      <c r="C321" s="23">
        <f>SOJA!K319</f>
        <v>243.54646768957849</v>
      </c>
      <c r="D321" s="17">
        <f>TRIGO!K319</f>
        <v>203.64368489681604</v>
      </c>
      <c r="E321" s="18">
        <f>MAIZ!K319</f>
        <v>159.75495970353671</v>
      </c>
      <c r="F321" s="19">
        <f>GIRASOL!K319</f>
        <v>289.66558627564348</v>
      </c>
      <c r="G321" s="13"/>
      <c r="H321" s="13"/>
      <c r="I321" s="14"/>
      <c r="J321" s="15"/>
      <c r="K321" s="32">
        <f t="shared" si="43"/>
        <v>225.65051109635382</v>
      </c>
      <c r="L321" s="22">
        <f t="shared" si="38"/>
        <v>178.61765507110297</v>
      </c>
      <c r="M321" s="22">
        <f t="shared" si="39"/>
        <v>266.2412214050475</v>
      </c>
    </row>
    <row r="322" spans="1:13" x14ac:dyDescent="0.15">
      <c r="A322" s="34">
        <v>43647</v>
      </c>
      <c r="B322" t="s">
        <v>4</v>
      </c>
      <c r="C322" s="23">
        <f>SOJA!K320</f>
        <v>227.33951480583053</v>
      </c>
      <c r="D322" s="17">
        <f>TRIGO!K320</f>
        <v>189.69223129057184</v>
      </c>
      <c r="E322" s="18">
        <f>MAIZ!K320</f>
        <v>145.59710735021963</v>
      </c>
      <c r="F322" s="19">
        <f>GIRASOL!K320</f>
        <v>274.55454528898559</v>
      </c>
      <c r="G322" s="13"/>
      <c r="H322" s="13"/>
      <c r="I322" s="14"/>
      <c r="J322" s="15"/>
      <c r="K322" s="32">
        <f t="shared" si="43"/>
        <v>210.19552361385402</v>
      </c>
      <c r="L322" s="22">
        <f t="shared" si="38"/>
        <v>178.61765507110297</v>
      </c>
      <c r="M322" s="22">
        <f t="shared" si="39"/>
        <v>266.2412214050475</v>
      </c>
    </row>
    <row r="323" spans="1:13" x14ac:dyDescent="0.15">
      <c r="A323" s="34">
        <v>43678</v>
      </c>
      <c r="B323" t="s">
        <v>3</v>
      </c>
      <c r="C323" s="23">
        <f>SOJA!K321</f>
        <v>282.58427734028237</v>
      </c>
      <c r="D323" s="17">
        <f>TRIGO!K321</f>
        <v>215.41775975974465</v>
      </c>
      <c r="E323" s="18">
        <f>MAIZ!K321</f>
        <v>154.73670067249262</v>
      </c>
      <c r="F323" s="19">
        <f>GIRASOL!K321</f>
        <v>333.74582497988609</v>
      </c>
      <c r="G323" s="13"/>
      <c r="H323" s="13"/>
      <c r="I323" s="14"/>
      <c r="J323" s="15"/>
      <c r="K323" s="32">
        <f t="shared" si="43"/>
        <v>253.26879181276362</v>
      </c>
      <c r="L323" s="22">
        <f t="shared" si="38"/>
        <v>178.61765507110297</v>
      </c>
      <c r="M323" s="22">
        <f t="shared" si="39"/>
        <v>266.2412214050475</v>
      </c>
    </row>
    <row r="324" spans="1:13" x14ac:dyDescent="0.15">
      <c r="A324" s="34">
        <v>43709</v>
      </c>
      <c r="B324" t="s">
        <v>5</v>
      </c>
      <c r="C324" s="23">
        <f>SOJA!K322</f>
        <v>289.54818701274002</v>
      </c>
      <c r="D324" s="17">
        <f>TRIGO!K322</f>
        <v>212.99853011496248</v>
      </c>
      <c r="E324" s="18">
        <f>MAIZ!K322</f>
        <v>150.23084732746148</v>
      </c>
      <c r="F324" s="19">
        <f>GIRASOL!K322</f>
        <v>339.56287409631705</v>
      </c>
      <c r="G324" s="13"/>
      <c r="H324" s="13"/>
      <c r="I324" s="14"/>
      <c r="J324" s="15"/>
      <c r="K324" s="32">
        <f t="shared" si="43"/>
        <v>256.78351492449974</v>
      </c>
      <c r="L324" s="22">
        <f t="shared" si="38"/>
        <v>178.61765507110297</v>
      </c>
      <c r="M324" s="22">
        <f t="shared" si="39"/>
        <v>266.2412214050475</v>
      </c>
    </row>
    <row r="325" spans="1:13" x14ac:dyDescent="0.15">
      <c r="A325" s="34">
        <v>43739</v>
      </c>
      <c r="B325" t="s">
        <v>6</v>
      </c>
      <c r="C325" s="23">
        <f>SOJA!K323</f>
        <v>295.4909376612174</v>
      </c>
      <c r="D325" s="17">
        <f>TRIGO!K323</f>
        <v>226.57972165349281</v>
      </c>
      <c r="E325" s="18">
        <f>MAIZ!K323</f>
        <v>160.36464317941272</v>
      </c>
      <c r="F325" s="19">
        <f>GIRASOL!K323</f>
        <v>341.42149838197554</v>
      </c>
      <c r="G325" s="13"/>
      <c r="H325" s="13"/>
      <c r="I325" s="14"/>
      <c r="J325" s="15"/>
      <c r="K325" s="32">
        <f t="shared" si="43"/>
        <v>264.35498099002001</v>
      </c>
      <c r="L325" s="22">
        <f t="shared" si="38"/>
        <v>178.61765507110297</v>
      </c>
      <c r="M325" s="22">
        <f t="shared" si="39"/>
        <v>266.2412214050475</v>
      </c>
    </row>
    <row r="326" spans="1:13" x14ac:dyDescent="0.15">
      <c r="A326" s="34">
        <v>43770</v>
      </c>
      <c r="B326" t="s">
        <v>7</v>
      </c>
      <c r="C326" s="23">
        <f>SOJA!K324</f>
        <v>288.86539167206047</v>
      </c>
      <c r="D326" s="17">
        <f>TRIGO!K324</f>
        <v>228.13158880036511</v>
      </c>
      <c r="E326" s="18">
        <f>MAIZ!K324</f>
        <v>168.31041662604713</v>
      </c>
      <c r="F326" s="19">
        <f>GIRASOL!K324</f>
        <v>334.59299690720212</v>
      </c>
      <c r="G326" s="13"/>
      <c r="H326" s="13"/>
      <c r="I326" s="14"/>
      <c r="J326" s="15"/>
      <c r="K326" s="32">
        <f t="shared" si="43"/>
        <v>261.46478579367266</v>
      </c>
      <c r="L326" s="22">
        <f t="shared" si="38"/>
        <v>178.61765507110297</v>
      </c>
      <c r="M326" s="22">
        <f t="shared" si="39"/>
        <v>266.2412214050475</v>
      </c>
    </row>
    <row r="327" spans="1:13" x14ac:dyDescent="0.15">
      <c r="A327" s="34">
        <v>43800</v>
      </c>
      <c r="B327" t="s">
        <v>66</v>
      </c>
      <c r="C327" s="23">
        <f>SOJA!K325</f>
        <v>266.920331212512</v>
      </c>
      <c r="D327" s="17">
        <f>TRIGO!K325</f>
        <v>189.30726976493676</v>
      </c>
      <c r="E327" s="18">
        <f>MAIZ!K325</f>
        <v>178.94426579168268</v>
      </c>
      <c r="F327" s="19">
        <f>GIRASOL!K325</f>
        <v>305.05180710001372</v>
      </c>
      <c r="G327" s="13"/>
      <c r="H327" s="13"/>
      <c r="I327" s="14"/>
      <c r="J327" s="15"/>
      <c r="K327" s="32">
        <f t="shared" si="43"/>
        <v>242.27368163924794</v>
      </c>
      <c r="L327" s="22">
        <f t="shared" si="38"/>
        <v>178.61765507110297</v>
      </c>
      <c r="M327" s="22">
        <f t="shared" si="39"/>
        <v>266.2412214050475</v>
      </c>
    </row>
    <row r="328" spans="1:13" x14ac:dyDescent="0.15">
      <c r="A328" s="34">
        <v>43831</v>
      </c>
      <c r="B328" t="s">
        <v>67</v>
      </c>
      <c r="C328" s="23">
        <f>SOJA!K326</f>
        <v>260.03539241276667</v>
      </c>
      <c r="D328" s="17">
        <f>TRIGO!K326</f>
        <v>220.95290644586174</v>
      </c>
      <c r="E328" s="18">
        <f>MAIZ!K326</f>
        <v>166.62022453294495</v>
      </c>
      <c r="F328" s="19">
        <f>GIRASOL!K326</f>
        <v>298.82975052104251</v>
      </c>
      <c r="G328" s="13"/>
      <c r="H328" s="13"/>
      <c r="I328" s="14"/>
      <c r="J328" s="15"/>
      <c r="K328" s="32">
        <f>+C328*C$2+D328*D$2+E328*E$2+F328*F$2</f>
        <v>240.17149777547016</v>
      </c>
      <c r="L328" s="22">
        <f t="shared" si="38"/>
        <v>178.61765507110297</v>
      </c>
      <c r="M328" s="22">
        <f t="shared" si="39"/>
        <v>266.2412214050475</v>
      </c>
    </row>
    <row r="329" spans="1:13" x14ac:dyDescent="0.15">
      <c r="A329" s="34">
        <v>43862</v>
      </c>
      <c r="B329" t="s">
        <v>1</v>
      </c>
      <c r="C329" s="23">
        <f>SOJA!K327</f>
        <v>250.51108046227654</v>
      </c>
      <c r="D329" s="17">
        <f>TRIGO!K327</f>
        <v>213.27991535446191</v>
      </c>
      <c r="E329" s="18">
        <f>MAIZ!K327</f>
        <v>162.45576531254756</v>
      </c>
      <c r="F329" s="19">
        <f>GIRASOL!K327</f>
        <v>299.49945560413795</v>
      </c>
      <c r="G329" s="13"/>
      <c r="H329" s="13"/>
      <c r="I329" s="14"/>
      <c r="J329" s="15"/>
      <c r="K329" s="32">
        <f>+C329*C$2+D329*D$2+E329*E$2+F329*F$2</f>
        <v>232.42864601015879</v>
      </c>
      <c r="L329" s="22">
        <f t="shared" si="38"/>
        <v>178.61765507110297</v>
      </c>
      <c r="M329" s="22">
        <f t="shared" si="39"/>
        <v>266.2412214050475</v>
      </c>
    </row>
    <row r="330" spans="1:13" x14ac:dyDescent="0.15">
      <c r="A330" s="34">
        <v>43891</v>
      </c>
      <c r="B330" t="s">
        <v>2</v>
      </c>
      <c r="C330" s="23">
        <f>SOJA!K328</f>
        <v>222.99814127138865</v>
      </c>
      <c r="D330" s="17">
        <f>TRIGO!K328</f>
        <v>206.10994594016685</v>
      </c>
      <c r="E330" s="18">
        <f>MAIZ!K328</f>
        <v>150.96649549126258</v>
      </c>
      <c r="F330" s="19">
        <f>GIRASOL!K328</f>
        <v>298.31702701866254</v>
      </c>
      <c r="G330" s="13"/>
      <c r="H330" s="13"/>
      <c r="I330" s="14"/>
      <c r="J330" s="15"/>
      <c r="K330" s="32">
        <f t="shared" ref="K330:K347" si="44">+C330*C$2+D330*D$2+E330*E$2+F330*F$2</f>
        <v>212.19600768312878</v>
      </c>
      <c r="L330" s="22">
        <f t="shared" si="38"/>
        <v>178.61765507110297</v>
      </c>
      <c r="M330" s="22">
        <f t="shared" si="39"/>
        <v>266.2412214050475</v>
      </c>
    </row>
    <row r="331" spans="1:13" x14ac:dyDescent="0.15">
      <c r="A331" s="34">
        <v>43922</v>
      </c>
      <c r="B331" t="s">
        <v>3</v>
      </c>
      <c r="C331" s="23">
        <f>SOJA!K329</f>
        <v>229.59530209692187</v>
      </c>
      <c r="D331" s="17">
        <f>TRIGO!K329</f>
        <v>218.97750787365666</v>
      </c>
      <c r="E331" s="18">
        <f>MAIZ!K329</f>
        <v>145.67571498374616</v>
      </c>
      <c r="F331" s="19">
        <f>GIRASOL!K329</f>
        <v>323.59494013109213</v>
      </c>
      <c r="G331" s="13"/>
      <c r="H331" s="13"/>
      <c r="I331" s="14"/>
      <c r="J331" s="15"/>
      <c r="K331" s="32">
        <f t="shared" si="44"/>
        <v>218.70072472631406</v>
      </c>
      <c r="L331" s="22">
        <f t="shared" si="38"/>
        <v>178.61765507110297</v>
      </c>
      <c r="M331" s="22">
        <f t="shared" si="39"/>
        <v>266.2412214050475</v>
      </c>
    </row>
    <row r="332" spans="1:13" x14ac:dyDescent="0.15">
      <c r="A332" s="34">
        <v>43952</v>
      </c>
      <c r="B332" t="s">
        <v>2</v>
      </c>
      <c r="C332" s="23">
        <f>SOJA!K330</f>
        <v>235.82329292157996</v>
      </c>
      <c r="D332" s="17">
        <f>TRIGO!K330</f>
        <v>215.59275048567252</v>
      </c>
      <c r="E332" s="18">
        <f>MAIZ!K330</f>
        <v>137.45214659785233</v>
      </c>
      <c r="F332" s="19">
        <f>GIRASOL!K330</f>
        <v>333.30647783749146</v>
      </c>
      <c r="G332" s="13"/>
      <c r="H332" s="13"/>
      <c r="I332" s="14"/>
      <c r="J332" s="15"/>
      <c r="K332" s="32">
        <f t="shared" si="44"/>
        <v>221.18692587013564</v>
      </c>
      <c r="L332" s="22">
        <f t="shared" si="38"/>
        <v>178.61765507110297</v>
      </c>
      <c r="M332" s="22">
        <f t="shared" si="39"/>
        <v>266.2412214050475</v>
      </c>
    </row>
    <row r="333" spans="1:13" x14ac:dyDescent="0.15">
      <c r="A333" s="34">
        <v>43983</v>
      </c>
      <c r="B333" t="s">
        <v>4</v>
      </c>
      <c r="C333" s="23">
        <f>SOJA!K331</f>
        <v>249.17406792583455</v>
      </c>
      <c r="D333" s="17">
        <f>TRIGO!K331</f>
        <v>211.87642252411572</v>
      </c>
      <c r="E333" s="18">
        <f>MAIZ!K331</f>
        <v>139.98977916771932</v>
      </c>
      <c r="F333" s="19">
        <f>GIRASOL!K331</f>
        <v>359.86316082119492</v>
      </c>
      <c r="G333" s="13"/>
      <c r="H333" s="13"/>
      <c r="I333" s="14"/>
      <c r="J333" s="15"/>
      <c r="K333" s="32">
        <f t="shared" si="44"/>
        <v>230.87596767227888</v>
      </c>
      <c r="L333" s="22">
        <f t="shared" si="38"/>
        <v>178.61765507110297</v>
      </c>
      <c r="M333" s="22">
        <f t="shared" si="39"/>
        <v>266.2412214050475</v>
      </c>
    </row>
    <row r="334" spans="1:13" x14ac:dyDescent="0.15">
      <c r="A334" s="34">
        <v>44013</v>
      </c>
      <c r="B334" t="s">
        <v>4</v>
      </c>
      <c r="C334" s="23">
        <f>SOJA!K332</f>
        <v>261.49871480685624</v>
      </c>
      <c r="D334" s="17">
        <f>TRIGO!K332</f>
        <v>211.80094910724475</v>
      </c>
      <c r="E334" s="18">
        <f>MAIZ!K332</f>
        <v>147.87904104334655</v>
      </c>
      <c r="F334" s="19">
        <f>GIRASOL!K332</f>
        <v>362.97582801548702</v>
      </c>
      <c r="G334" s="13"/>
      <c r="H334" s="13"/>
      <c r="I334" s="14"/>
      <c r="J334" s="15"/>
      <c r="K334" s="32">
        <f t="shared" si="44"/>
        <v>240.07690867815438</v>
      </c>
      <c r="L334" s="22">
        <f t="shared" si="38"/>
        <v>178.61765507110297</v>
      </c>
      <c r="M334" s="22">
        <f t="shared" si="39"/>
        <v>266.2412214050475</v>
      </c>
    </row>
    <row r="335" spans="1:13" x14ac:dyDescent="0.15">
      <c r="A335" s="34">
        <v>44044</v>
      </c>
      <c r="B335" t="s">
        <v>3</v>
      </c>
      <c r="C335" s="23">
        <f>SOJA!K333</f>
        <v>267.62823046532242</v>
      </c>
      <c r="D335" s="17">
        <f>TRIGO!K333</f>
        <v>194.33167468808267</v>
      </c>
      <c r="E335" s="18">
        <f>MAIZ!K333</f>
        <v>157.18003099771394</v>
      </c>
      <c r="F335" s="19">
        <f>GIRASOL!K333</f>
        <v>362.42337725919162</v>
      </c>
      <c r="G335" s="13"/>
      <c r="H335" s="13"/>
      <c r="I335" s="14"/>
      <c r="J335" s="15"/>
      <c r="K335" s="32">
        <f t="shared" si="44"/>
        <v>242.89581390629905</v>
      </c>
      <c r="L335" s="22">
        <f t="shared" si="38"/>
        <v>178.61765507110297</v>
      </c>
      <c r="M335" s="22">
        <f t="shared" si="39"/>
        <v>266.2412214050475</v>
      </c>
    </row>
    <row r="336" spans="1:13" x14ac:dyDescent="0.15">
      <c r="A336" s="34">
        <v>44075</v>
      </c>
      <c r="B336" t="s">
        <v>5</v>
      </c>
      <c r="C336" s="23">
        <f>SOJA!K334</f>
        <v>296.78609893072348</v>
      </c>
      <c r="D336" s="17">
        <f>TRIGO!K334</f>
        <v>212.96860510092549</v>
      </c>
      <c r="E336" s="18">
        <f>MAIZ!K334</f>
        <v>176.84000244987558</v>
      </c>
      <c r="F336" s="19">
        <f>GIRASOL!K334</f>
        <v>363.72773231167594</v>
      </c>
      <c r="G336" s="13"/>
      <c r="H336" s="13"/>
      <c r="I336" s="14"/>
      <c r="J336" s="15"/>
      <c r="K336" s="32">
        <f t="shared" si="44"/>
        <v>267.27572280744999</v>
      </c>
      <c r="L336" s="22">
        <f t="shared" si="38"/>
        <v>178.61765507110297</v>
      </c>
      <c r="M336" s="22">
        <f t="shared" si="39"/>
        <v>266.2412214050475</v>
      </c>
    </row>
    <row r="337" spans="1:13" x14ac:dyDescent="0.15">
      <c r="A337" s="34">
        <v>44105</v>
      </c>
      <c r="B337" t="s">
        <v>6</v>
      </c>
      <c r="C337" s="23">
        <f>SOJA!K335</f>
        <v>321.55108937910137</v>
      </c>
      <c r="D337" s="17">
        <f>TRIGO!K335</f>
        <v>255.10213642016259</v>
      </c>
      <c r="E337" s="18">
        <f>MAIZ!K335</f>
        <v>205.02653186361215</v>
      </c>
      <c r="F337" s="19">
        <f>GIRASOL!K335</f>
        <v>390.41578226626149</v>
      </c>
      <c r="G337" s="13"/>
      <c r="H337" s="13"/>
      <c r="I337" s="14"/>
      <c r="J337" s="15"/>
      <c r="K337" s="32">
        <f t="shared" si="44"/>
        <v>295.31135760254074</v>
      </c>
      <c r="L337" s="22">
        <f t="shared" si="38"/>
        <v>178.61765507110297</v>
      </c>
      <c r="M337" s="22">
        <f t="shared" si="39"/>
        <v>266.2412214050475</v>
      </c>
    </row>
    <row r="338" spans="1:13" x14ac:dyDescent="0.15">
      <c r="A338" s="34">
        <v>44136</v>
      </c>
      <c r="B338" t="s">
        <v>7</v>
      </c>
      <c r="C338" s="23">
        <f>SOJA!K336</f>
        <v>346.21599675612265</v>
      </c>
      <c r="D338" s="17">
        <f>TRIGO!K336</f>
        <v>261.32907465557832</v>
      </c>
      <c r="E338" s="18">
        <f>MAIZ!K336</f>
        <v>213.21433527855848</v>
      </c>
      <c r="F338" s="19">
        <f>GIRASOL!K336</f>
        <v>488.54471332682567</v>
      </c>
      <c r="G338" s="13"/>
      <c r="H338" s="13"/>
      <c r="I338" s="14"/>
      <c r="J338" s="15"/>
      <c r="K338" s="32">
        <f t="shared" si="44"/>
        <v>318.51913059967643</v>
      </c>
      <c r="L338" s="22">
        <f t="shared" si="38"/>
        <v>178.61765507110297</v>
      </c>
      <c r="M338" s="22">
        <f t="shared" si="39"/>
        <v>266.2412214050475</v>
      </c>
    </row>
    <row r="339" spans="1:13" x14ac:dyDescent="0.15">
      <c r="A339" s="34">
        <v>44166</v>
      </c>
      <c r="B339" t="s">
        <v>69</v>
      </c>
      <c r="C339" s="23">
        <f>SOJA!K337</f>
        <v>357.73097929856942</v>
      </c>
      <c r="D339" s="17">
        <f>TRIGO!K337</f>
        <v>256.02910735748901</v>
      </c>
      <c r="E339" s="18">
        <f>MAIZ!K337</f>
        <v>216.64001391787531</v>
      </c>
      <c r="F339" s="19">
        <f>GIRASOL!K337</f>
        <v>564.93935152432948</v>
      </c>
      <c r="G339" s="13"/>
      <c r="H339" s="13"/>
      <c r="I339" s="14"/>
      <c r="J339" s="15"/>
      <c r="K339" s="32">
        <f t="shared" si="44"/>
        <v>329.79457319597162</v>
      </c>
      <c r="L339" s="22">
        <f t="shared" si="38"/>
        <v>178.61765507110297</v>
      </c>
      <c r="M339" s="22">
        <f t="shared" si="39"/>
        <v>266.2412214050475</v>
      </c>
    </row>
    <row r="340" spans="1:13" x14ac:dyDescent="0.15">
      <c r="A340" s="34">
        <v>44197</v>
      </c>
      <c r="B340" t="s">
        <v>68</v>
      </c>
      <c r="C340" s="23">
        <f>SOJA!K338</f>
        <v>397.84360101570405</v>
      </c>
      <c r="D340" s="17">
        <f>TRIGO!K338</f>
        <v>264.55389487407791</v>
      </c>
      <c r="E340" s="18">
        <f>MAIZ!K338</f>
        <v>239.22426664145345</v>
      </c>
      <c r="F340" s="19">
        <f>GIRASOL!K338</f>
        <v>565.11935715969003</v>
      </c>
      <c r="G340" s="13"/>
      <c r="H340" s="13"/>
      <c r="I340" s="14"/>
      <c r="J340" s="15"/>
      <c r="K340" s="32">
        <f t="shared" si="44"/>
        <v>359.93718710264426</v>
      </c>
      <c r="L340" s="22">
        <f t="shared" si="38"/>
        <v>178.61765507110297</v>
      </c>
      <c r="M340" s="22">
        <f t="shared" si="39"/>
        <v>266.2412214050475</v>
      </c>
    </row>
    <row r="341" spans="1:13" x14ac:dyDescent="0.15">
      <c r="A341" s="34">
        <v>44228</v>
      </c>
      <c r="B341" t="s">
        <v>1</v>
      </c>
      <c r="C341" s="23">
        <f>SOJA!K339</f>
        <v>393.96302308104782</v>
      </c>
      <c r="D341" s="17">
        <f>TRIGO!K339</f>
        <v>253.11789898261839</v>
      </c>
      <c r="E341" s="18">
        <f>MAIZ!K339</f>
        <v>230.70155368526474</v>
      </c>
      <c r="F341" s="19">
        <f>GIRASOL!K339</f>
        <v>601.13378248400522</v>
      </c>
      <c r="G341" s="13"/>
      <c r="H341" s="13"/>
      <c r="I341" s="14"/>
      <c r="J341" s="15"/>
      <c r="K341" s="32">
        <f t="shared" si="44"/>
        <v>356.37853741039805</v>
      </c>
      <c r="L341" s="22">
        <f t="shared" si="38"/>
        <v>178.61765507110297</v>
      </c>
      <c r="M341" s="22">
        <f t="shared" si="39"/>
        <v>266.2412214050475</v>
      </c>
    </row>
    <row r="342" spans="1:13" x14ac:dyDescent="0.15">
      <c r="A342" s="34">
        <v>44256</v>
      </c>
      <c r="B342" t="s">
        <v>2</v>
      </c>
      <c r="C342" s="23">
        <f>SOJA!K340</f>
        <v>362.36537091985724</v>
      </c>
      <c r="D342" s="17">
        <f>TRIGO!K340</f>
        <v>243.46293348140128</v>
      </c>
      <c r="E342" s="18">
        <f>MAIZ!K340</f>
        <v>215.08943371477179</v>
      </c>
      <c r="F342" s="19">
        <f>GIRASOL!K340</f>
        <v>638.40374474916302</v>
      </c>
      <c r="G342" s="13"/>
      <c r="H342" s="13"/>
      <c r="I342" s="14"/>
      <c r="J342" s="15"/>
      <c r="K342" s="32">
        <f t="shared" si="44"/>
        <v>334.68670694842103</v>
      </c>
      <c r="L342" s="22">
        <f t="shared" si="38"/>
        <v>178.61765507110297</v>
      </c>
      <c r="M342" s="22">
        <f t="shared" si="39"/>
        <v>266.2412214050475</v>
      </c>
    </row>
    <row r="343" spans="1:13" x14ac:dyDescent="0.15">
      <c r="A343" s="34">
        <v>44287</v>
      </c>
      <c r="B343" t="s">
        <v>3</v>
      </c>
      <c r="C343" s="23">
        <f>SOJA!K341</f>
        <v>362.47279658872952</v>
      </c>
      <c r="D343" s="17">
        <f>TRIGO!K341</f>
        <v>238.49012627677945</v>
      </c>
      <c r="E343" s="18">
        <f>MAIZ!K341</f>
        <v>229.52433205584791</v>
      </c>
      <c r="F343" s="19">
        <f>GIRASOL!K341</f>
        <v>625.36414690997617</v>
      </c>
      <c r="G343" s="13"/>
      <c r="H343" s="13"/>
      <c r="I343" s="14"/>
      <c r="J343" s="15"/>
      <c r="K343" s="32">
        <f t="shared" si="44"/>
        <v>335.7991049652008</v>
      </c>
      <c r="L343" s="22">
        <f t="shared" si="38"/>
        <v>178.61765507110297</v>
      </c>
      <c r="M343" s="22">
        <f t="shared" si="39"/>
        <v>266.2412214050475</v>
      </c>
    </row>
    <row r="344" spans="1:13" x14ac:dyDescent="0.15">
      <c r="A344" s="34">
        <v>44317</v>
      </c>
      <c r="B344" t="s">
        <v>2</v>
      </c>
      <c r="C344" s="23">
        <f>SOJA!K342</f>
        <v>372.99335609814858</v>
      </c>
      <c r="D344" s="17">
        <f>TRIGO!K342</f>
        <v>245.39062887327492</v>
      </c>
      <c r="E344" s="18">
        <f>MAIZ!K342</f>
        <v>237.4748021354273</v>
      </c>
      <c r="F344" s="19">
        <f>GIRASOL!K342</f>
        <v>613.47657218318716</v>
      </c>
      <c r="G344" s="13"/>
      <c r="H344" s="13"/>
      <c r="I344" s="14"/>
      <c r="J344" s="15"/>
      <c r="K344" s="32">
        <f t="shared" si="44"/>
        <v>344.07495692115958</v>
      </c>
      <c r="L344" s="22">
        <f t="shared" si="38"/>
        <v>178.61765507110297</v>
      </c>
      <c r="M344" s="22">
        <f t="shared" si="39"/>
        <v>266.2412214050475</v>
      </c>
    </row>
    <row r="345" spans="1:13" x14ac:dyDescent="0.15">
      <c r="A345" s="34">
        <v>44348</v>
      </c>
      <c r="B345" t="s">
        <v>4</v>
      </c>
      <c r="C345" s="23">
        <f>SOJA!K343</f>
        <v>346.1382810605092</v>
      </c>
      <c r="D345" s="17">
        <f>TRIGO!K343</f>
        <v>236.37277274720321</v>
      </c>
      <c r="E345" s="18">
        <f>MAIZ!K343</f>
        <v>213.94323956681168</v>
      </c>
      <c r="F345" s="19">
        <f>GIRASOL!K343</f>
        <v>601.71536128165781</v>
      </c>
      <c r="G345" s="13"/>
      <c r="H345" s="13"/>
      <c r="I345" s="14"/>
      <c r="J345" s="15"/>
      <c r="K345" s="32">
        <f t="shared" si="44"/>
        <v>321.28451158330284</v>
      </c>
      <c r="L345" s="22">
        <f t="shared" si="38"/>
        <v>178.61765507110297</v>
      </c>
      <c r="M345" s="22">
        <f t="shared" si="39"/>
        <v>266.2412214050475</v>
      </c>
    </row>
    <row r="346" spans="1:13" x14ac:dyDescent="0.15">
      <c r="A346" s="34">
        <v>44378</v>
      </c>
      <c r="B346" t="s">
        <v>4</v>
      </c>
      <c r="C346" s="23">
        <f>SOJA!K344</f>
        <v>342.74767826031479</v>
      </c>
      <c r="D346" s="17">
        <f>TRIGO!K344</f>
        <v>233.54998343582446</v>
      </c>
      <c r="E346" s="18">
        <f>MAIZ!K344</f>
        <v>200.54835534163183</v>
      </c>
      <c r="F346" s="19">
        <f>GIRASOL!K344</f>
        <v>590.22142553075196</v>
      </c>
      <c r="G346" s="13"/>
      <c r="H346" s="13"/>
      <c r="I346" s="14"/>
      <c r="J346" s="15"/>
      <c r="K346" s="32">
        <f t="shared" si="44"/>
        <v>315.77850428196155</v>
      </c>
      <c r="L346" s="22">
        <f t="shared" si="38"/>
        <v>178.61765507110297</v>
      </c>
      <c r="M346" s="22">
        <f t="shared" si="39"/>
        <v>266.2412214050475</v>
      </c>
    </row>
    <row r="347" spans="1:13" x14ac:dyDescent="0.15">
      <c r="A347" s="34">
        <v>44409</v>
      </c>
      <c r="B347" t="s">
        <v>3</v>
      </c>
      <c r="C347" s="23">
        <f>SOJA!K345</f>
        <v>339.04903617391824</v>
      </c>
      <c r="D347" s="17">
        <f>TRIGO!K345</f>
        <v>237.6697922533923</v>
      </c>
      <c r="E347" s="18">
        <f>MAIZ!K345</f>
        <v>198.47512475897324</v>
      </c>
      <c r="F347" s="19">
        <f>GIRASOL!K345</f>
        <v>581.66554419909176</v>
      </c>
      <c r="G347" s="13"/>
      <c r="H347" s="13"/>
      <c r="I347" s="14"/>
      <c r="J347" s="15"/>
      <c r="K347" s="32">
        <f t="shared" si="44"/>
        <v>313.24465806539502</v>
      </c>
      <c r="L347" s="22">
        <f t="shared" si="38"/>
        <v>178.61765507110297</v>
      </c>
      <c r="M347" s="22">
        <f t="shared" si="39"/>
        <v>266.2412214050475</v>
      </c>
    </row>
    <row r="348" spans="1:13" x14ac:dyDescent="0.15">
      <c r="A348" s="34">
        <v>44440</v>
      </c>
      <c r="B348" t="s">
        <v>5</v>
      </c>
      <c r="C348" s="23">
        <f>SOJA!K346</f>
        <v>337.39537838688881</v>
      </c>
      <c r="D348" s="17">
        <f>TRIGO!K346</f>
        <v>237.8652228662614</v>
      </c>
      <c r="E348" s="18">
        <f>MAIZ!K346</f>
        <v>195.50566262980388</v>
      </c>
      <c r="F348" s="19">
        <f>GIRASOL!K346</f>
        <v>564.74476636927443</v>
      </c>
      <c r="G348" s="13"/>
      <c r="H348" s="13"/>
      <c r="I348" s="14"/>
      <c r="J348" s="15"/>
      <c r="K348" s="32">
        <f>+C348*C$2+D348*D$2+E348*E$2+F348*F$2</f>
        <v>310.77509000568074</v>
      </c>
      <c r="L348" s="22">
        <f t="shared" si="38"/>
        <v>178.61765507110297</v>
      </c>
      <c r="M348" s="22">
        <f t="shared" si="39"/>
        <v>266.2412214050475</v>
      </c>
    </row>
    <row r="349" spans="1:13" x14ac:dyDescent="0.15">
      <c r="A349" s="34">
        <v>44470</v>
      </c>
      <c r="B349" t="s">
        <v>6</v>
      </c>
      <c r="C349" s="23">
        <f>SOJA!K347</f>
        <v>326.7630754497643</v>
      </c>
      <c r="D349" s="17">
        <f>TRIGO!K347</f>
        <v>240.02364547133601</v>
      </c>
      <c r="E349" s="18">
        <f>MAIZ!K347</f>
        <v>196.31072990536424</v>
      </c>
      <c r="F349" s="19">
        <f>GIRASOL!K347</f>
        <v>467.00566902588213</v>
      </c>
      <c r="G349" s="13"/>
      <c r="H349" s="13"/>
      <c r="I349" s="14"/>
      <c r="J349" s="15"/>
      <c r="K349" s="32">
        <f>+C349*C$2+D349*D$2+E349*E$2+F349*F$2</f>
        <v>299.11913029252122</v>
      </c>
      <c r="L349" s="22">
        <f t="shared" si="38"/>
        <v>178.61765507110297</v>
      </c>
      <c r="M349" s="22">
        <f t="shared" si="39"/>
        <v>266.2412214050475</v>
      </c>
    </row>
    <row r="350" spans="1:13" x14ac:dyDescent="0.15">
      <c r="A350" s="34">
        <v>44501</v>
      </c>
      <c r="B350" t="s">
        <v>7</v>
      </c>
      <c r="C350" s="23">
        <f>SOJA!K348</f>
        <v>323.39456913076805</v>
      </c>
      <c r="D350" s="17">
        <f>TRIGO!K348</f>
        <v>246.07696024181811</v>
      </c>
      <c r="E350" s="18">
        <f>MAIZ!K348</f>
        <v>196.70483127610302</v>
      </c>
      <c r="F350" s="19">
        <f>GIRASOL!K348</f>
        <v>470.42448421445425</v>
      </c>
      <c r="G350" s="13"/>
      <c r="H350" s="13"/>
      <c r="I350" s="14"/>
      <c r="J350" s="15"/>
      <c r="K350" s="32">
        <f t="shared" ref="K350:K412" si="45">+C350*C$2+D350*D$2+E350*E$2+F350*F$2</f>
        <v>298.18050693683961</v>
      </c>
      <c r="L350" s="22">
        <f t="shared" si="38"/>
        <v>178.61765507110297</v>
      </c>
      <c r="M350" s="22">
        <f t="shared" si="39"/>
        <v>266.2412214050475</v>
      </c>
    </row>
    <row r="351" spans="1:13" x14ac:dyDescent="0.15">
      <c r="A351" s="34">
        <v>44531</v>
      </c>
      <c r="B351" t="s">
        <v>73</v>
      </c>
      <c r="C351" s="23">
        <f>SOJA!K349</f>
        <v>326.96752100552146</v>
      </c>
      <c r="D351" s="17">
        <f>TRIGO!K349</f>
        <v>243.0993061292651</v>
      </c>
      <c r="E351" s="18">
        <f>MAIZ!K349</f>
        <v>198.62056873021973</v>
      </c>
      <c r="F351" s="19">
        <f>GIRASOL!K349</f>
        <v>470.05938387627469</v>
      </c>
      <c r="G351" s="13"/>
      <c r="H351" s="13"/>
      <c r="I351" s="14"/>
      <c r="J351" s="15"/>
      <c r="K351" s="32">
        <f t="shared" si="45"/>
        <v>300.27507569279442</v>
      </c>
      <c r="L351" s="22">
        <f t="shared" si="38"/>
        <v>178.61765507110297</v>
      </c>
      <c r="M351" s="22">
        <f t="shared" si="39"/>
        <v>266.2412214050475</v>
      </c>
    </row>
    <row r="352" spans="1:13" x14ac:dyDescent="0.15">
      <c r="A352" s="34">
        <v>44562</v>
      </c>
      <c r="B352" t="s">
        <v>70</v>
      </c>
      <c r="C352" s="23">
        <f>SOJA!K350</f>
        <v>345.25612207217483</v>
      </c>
      <c r="D352" s="17">
        <f>TRIGO!K350</f>
        <v>228.99518465004269</v>
      </c>
      <c r="E352" s="18">
        <f>MAIZ!K350</f>
        <v>204.89042837109082</v>
      </c>
      <c r="F352" s="19">
        <f>GIRASOL!K350</f>
        <v>485.60469591794703</v>
      </c>
      <c r="G352" s="13"/>
      <c r="H352" s="13"/>
      <c r="I352" s="14"/>
      <c r="J352" s="15"/>
      <c r="K352" s="32">
        <f t="shared" si="45"/>
        <v>311.52920771135098</v>
      </c>
      <c r="L352" s="22">
        <f t="shared" si="38"/>
        <v>178.61765507110297</v>
      </c>
      <c r="M352" s="22">
        <f t="shared" si="39"/>
        <v>266.2412214050475</v>
      </c>
    </row>
    <row r="353" spans="1:13" x14ac:dyDescent="0.15">
      <c r="A353" s="34">
        <v>44593</v>
      </c>
      <c r="B353" t="s">
        <v>1</v>
      </c>
      <c r="C353" s="23">
        <f>SOJA!K351</f>
        <v>361.76286024380528</v>
      </c>
      <c r="D353" s="17">
        <f>TRIGO!K351</f>
        <v>233.16244049168691</v>
      </c>
      <c r="E353" s="18">
        <f>MAIZ!K351</f>
        <v>211.09659438837272</v>
      </c>
      <c r="F353" s="19">
        <f>GIRASOL!K351</f>
        <v>474.16494297008171</v>
      </c>
      <c r="G353" s="13"/>
      <c r="H353" s="13"/>
      <c r="I353" s="14"/>
      <c r="J353" s="15"/>
      <c r="K353" s="32">
        <f t="shared" si="45"/>
        <v>322.84421650873765</v>
      </c>
      <c r="L353" s="22">
        <f t="shared" ref="L353:M368" si="46">+L352</f>
        <v>178.61765507110297</v>
      </c>
      <c r="M353" s="22">
        <f t="shared" si="39"/>
        <v>266.2412214050475</v>
      </c>
    </row>
    <row r="354" spans="1:13" x14ac:dyDescent="0.15">
      <c r="A354" s="34">
        <v>44621</v>
      </c>
      <c r="B354" t="s">
        <v>2</v>
      </c>
      <c r="C354" s="23">
        <f>SOJA!K352</f>
        <v>371.79427740277617</v>
      </c>
      <c r="D354" s="17">
        <f>TRIGO!K352</f>
        <v>291.00871070574817</v>
      </c>
      <c r="E354" s="18">
        <f>MAIZ!K352</f>
        <v>237.7754099668918</v>
      </c>
      <c r="F354" s="19">
        <f>GIRASOL!K352</f>
        <v>612.83627627864325</v>
      </c>
      <c r="G354" s="13"/>
      <c r="H354" s="13"/>
      <c r="I354" s="14"/>
      <c r="J354" s="15"/>
      <c r="K354" s="32">
        <f t="shared" si="45"/>
        <v>350.08597837499099</v>
      </c>
      <c r="L354" s="22">
        <f t="shared" si="46"/>
        <v>178.61765507110297</v>
      </c>
      <c r="M354" s="22">
        <f t="shared" si="39"/>
        <v>266.2412214050475</v>
      </c>
    </row>
    <row r="355" spans="1:13" x14ac:dyDescent="0.15">
      <c r="A355" s="34">
        <v>44652</v>
      </c>
      <c r="B355" t="s">
        <v>3</v>
      </c>
      <c r="C355" s="23">
        <f>SOJA!K353</f>
        <v>344.16653047689351</v>
      </c>
      <c r="D355" s="17">
        <f>TRIGO!K353</f>
        <v>291.88447992647087</v>
      </c>
      <c r="E355" s="18">
        <f>MAIZ!K353</f>
        <v>219.086688020819</v>
      </c>
      <c r="F355" s="19">
        <f>GIRASOL!K353</f>
        <v>677.75216977096341</v>
      </c>
      <c r="G355" s="13"/>
      <c r="H355" s="13"/>
      <c r="I355" s="14"/>
      <c r="J355" s="15"/>
      <c r="K355" s="32">
        <f t="shared" si="45"/>
        <v>333.43932006338474</v>
      </c>
      <c r="L355" s="22">
        <f t="shared" si="46"/>
        <v>178.61765507110297</v>
      </c>
      <c r="M355" s="22">
        <f t="shared" si="39"/>
        <v>266.2412214050475</v>
      </c>
    </row>
    <row r="356" spans="1:13" x14ac:dyDescent="0.15">
      <c r="A356" s="34">
        <v>44682</v>
      </c>
      <c r="B356" t="s">
        <v>2</v>
      </c>
      <c r="C356" s="23">
        <f>SOJA!K354</f>
        <v>338.20460294914744</v>
      </c>
      <c r="D356" s="17">
        <f>TRIGO!K354</f>
        <v>318.76111002117</v>
      </c>
      <c r="E356" s="18">
        <f>MAIZ!K354</f>
        <v>215.24943773472555</v>
      </c>
      <c r="F356" s="19">
        <f>GIRASOL!K354</f>
        <v>676.64290172675612</v>
      </c>
      <c r="G356" s="13"/>
      <c r="H356" s="13"/>
      <c r="I356" s="14"/>
      <c r="J356" s="15"/>
      <c r="K356" s="32">
        <f t="shared" si="45"/>
        <v>332.97284252459707</v>
      </c>
      <c r="L356" s="22">
        <f t="shared" si="46"/>
        <v>178.61765507110297</v>
      </c>
      <c r="M356" s="22">
        <f t="shared" si="46"/>
        <v>266.2412214050475</v>
      </c>
    </row>
    <row r="357" spans="1:13" x14ac:dyDescent="0.15">
      <c r="A357" s="34">
        <v>44713</v>
      </c>
      <c r="B357" t="s">
        <v>4</v>
      </c>
      <c r="C357" s="23">
        <f>SOJA!K355</f>
        <v>334.19735039305669</v>
      </c>
      <c r="D357" s="17">
        <f>TRIGO!K355</f>
        <v>324.96912763312014</v>
      </c>
      <c r="E357" s="18">
        <f>MAIZ!K355</f>
        <v>202.17286019764052</v>
      </c>
      <c r="F357" s="19">
        <f>GIRASOL!K355</f>
        <v>658.18737669742836</v>
      </c>
      <c r="G357" s="13"/>
      <c r="H357" s="13"/>
      <c r="I357" s="14"/>
      <c r="J357" s="15"/>
      <c r="K357" s="32">
        <f t="shared" si="45"/>
        <v>328.08114270576931</v>
      </c>
      <c r="L357" s="22">
        <f t="shared" si="46"/>
        <v>178.61765507110297</v>
      </c>
      <c r="M357" s="22">
        <f t="shared" si="46"/>
        <v>266.2412214050475</v>
      </c>
    </row>
    <row r="358" spans="1:13" x14ac:dyDescent="0.15">
      <c r="A358" s="34">
        <v>44743</v>
      </c>
      <c r="B358" t="s">
        <v>4</v>
      </c>
      <c r="C358" s="23">
        <f>SOJA!K356</f>
        <v>297.4606844407561</v>
      </c>
      <c r="D358" s="17">
        <f>TRIGO!K356</f>
        <v>280.95637543461066</v>
      </c>
      <c r="E358" s="18">
        <f>MAIZ!K356</f>
        <v>178.48993262904679</v>
      </c>
      <c r="F358" s="19">
        <f>GIRASOL!K356</f>
        <v>528.86657184417186</v>
      </c>
      <c r="G358" s="13"/>
      <c r="H358" s="13"/>
      <c r="I358" s="14"/>
      <c r="J358" s="15"/>
      <c r="K358" s="32">
        <f t="shared" si="45"/>
        <v>287.32899287221119</v>
      </c>
      <c r="L358" s="22">
        <f t="shared" si="46"/>
        <v>178.61765507110297</v>
      </c>
      <c r="M358" s="22">
        <f t="shared" si="46"/>
        <v>266.2412214050475</v>
      </c>
    </row>
    <row r="359" spans="1:13" x14ac:dyDescent="0.15">
      <c r="A359" s="34">
        <v>44774</v>
      </c>
      <c r="B359" t="s">
        <v>3</v>
      </c>
      <c r="C359" s="23">
        <f>SOJA!K357</f>
        <v>300.24725305488636</v>
      </c>
      <c r="D359" s="17">
        <f>TRIGO!K357</f>
        <v>264.85531785167757</v>
      </c>
      <c r="E359" s="18">
        <f>MAIZ!K357</f>
        <v>182.21004667928679</v>
      </c>
      <c r="F359" s="19">
        <f>GIRASOL!K357</f>
        <v>490.34764550555298</v>
      </c>
      <c r="G359" s="13"/>
      <c r="H359" s="13"/>
      <c r="I359" s="14"/>
      <c r="J359" s="15"/>
      <c r="K359" s="32">
        <f t="shared" si="45"/>
        <v>285.16106752976094</v>
      </c>
      <c r="L359" s="22">
        <f t="shared" si="46"/>
        <v>178.61765507110297</v>
      </c>
      <c r="M359" s="22">
        <f t="shared" si="46"/>
        <v>266.2412214050475</v>
      </c>
    </row>
    <row r="360" spans="1:13" x14ac:dyDescent="0.15">
      <c r="A360" s="34">
        <v>44805</v>
      </c>
      <c r="B360" t="s">
        <v>5</v>
      </c>
      <c r="C360" s="23">
        <f>SOJA!K358</f>
        <v>400.01219461725617</v>
      </c>
      <c r="D360" s="17">
        <f>TRIGO!K358</f>
        <v>364.14903234122636</v>
      </c>
      <c r="E360" s="18">
        <f>MAIZ!K358</f>
        <v>266.31794902567299</v>
      </c>
      <c r="F360" s="19">
        <f>GIRASOL!K358</f>
        <v>610.7648881991837</v>
      </c>
      <c r="G360" s="13"/>
      <c r="H360" s="13"/>
      <c r="I360" s="14"/>
      <c r="J360" s="15"/>
      <c r="K360" s="32">
        <f t="shared" si="45"/>
        <v>383.29188007414018</v>
      </c>
      <c r="L360" s="22">
        <f t="shared" si="46"/>
        <v>178.61765507110297</v>
      </c>
      <c r="M360" s="22">
        <f t="shared" si="46"/>
        <v>266.2412214050475</v>
      </c>
    </row>
    <row r="361" spans="1:13" x14ac:dyDescent="0.15">
      <c r="A361" s="34">
        <v>44835</v>
      </c>
      <c r="B361" t="s">
        <v>6</v>
      </c>
      <c r="C361" s="23">
        <f>SOJA!K359</f>
        <v>290.57243014768511</v>
      </c>
      <c r="D361" s="17">
        <f>TRIGO!K359</f>
        <v>274.37000091445083</v>
      </c>
      <c r="E361" s="18">
        <f>MAIZ!K359</f>
        <v>200.25109071481242</v>
      </c>
      <c r="F361" s="19">
        <f>GIRASOL!K359</f>
        <v>426.00641568093585</v>
      </c>
      <c r="G361" s="13"/>
      <c r="H361" s="13"/>
      <c r="I361" s="14"/>
      <c r="J361" s="15"/>
      <c r="K361" s="32">
        <f t="shared" si="45"/>
        <v>280.07111705852481</v>
      </c>
      <c r="L361" s="22">
        <f t="shared" si="46"/>
        <v>178.61765507110297</v>
      </c>
      <c r="M361" s="22">
        <f t="shared" si="46"/>
        <v>266.2412214050475</v>
      </c>
    </row>
    <row r="362" spans="1:13" x14ac:dyDescent="0.15">
      <c r="A362" s="34">
        <v>44866</v>
      </c>
      <c r="B362" t="s">
        <v>7</v>
      </c>
      <c r="C362" s="23">
        <f>SOJA!K360</f>
        <v>300.80827605728518</v>
      </c>
      <c r="D362" s="17">
        <f>TRIGO!K360</f>
        <v>272.61311227161735</v>
      </c>
      <c r="E362" s="18">
        <f>MAIZ!K360</f>
        <v>197.54573353015746</v>
      </c>
      <c r="F362" s="19">
        <f>GIRASOL!K360</f>
        <v>441.20043713655849</v>
      </c>
      <c r="G362" s="13"/>
      <c r="H362" s="13"/>
      <c r="I362" s="14"/>
      <c r="J362" s="15"/>
      <c r="K362" s="32">
        <f t="shared" si="45"/>
        <v>286.55970618893576</v>
      </c>
      <c r="L362" s="22">
        <f t="shared" si="46"/>
        <v>178.61765507110297</v>
      </c>
      <c r="M362" s="22">
        <f t="shared" si="46"/>
        <v>266.2412214050475</v>
      </c>
    </row>
    <row r="363" spans="1:13" x14ac:dyDescent="0.15">
      <c r="A363" s="34">
        <v>44896</v>
      </c>
      <c r="B363" t="s">
        <v>74</v>
      </c>
      <c r="C363" s="23">
        <f>SOJA!K361</f>
        <v>416.20445552780137</v>
      </c>
      <c r="D363" s="17">
        <f>TRIGO!K361</f>
        <v>351.10464443990719</v>
      </c>
      <c r="E363" s="18">
        <f>MAIZ!K361</f>
        <v>276.43935296407881</v>
      </c>
      <c r="F363" s="19">
        <f>GIRASOL!K361</f>
        <v>583.35289212709893</v>
      </c>
      <c r="G363" s="13"/>
      <c r="H363" s="13"/>
      <c r="I363" s="14"/>
      <c r="J363" s="15"/>
      <c r="K363" s="32">
        <f t="shared" si="45"/>
        <v>391.65080479986057</v>
      </c>
      <c r="L363" s="22">
        <f t="shared" si="46"/>
        <v>178.61765507110297</v>
      </c>
      <c r="M363" s="22">
        <f t="shared" si="46"/>
        <v>266.2412214050475</v>
      </c>
    </row>
    <row r="364" spans="1:13" x14ac:dyDescent="0.15">
      <c r="A364" s="34">
        <v>44927</v>
      </c>
      <c r="B364" t="s">
        <v>71</v>
      </c>
      <c r="C364" s="23">
        <f>SOJA!K362</f>
        <v>311.62486078026751</v>
      </c>
      <c r="D364" s="17">
        <f>TRIGO!K362</f>
        <v>249.16699955778324</v>
      </c>
      <c r="E364" s="18">
        <f>MAIZ!K362</f>
        <v>205.97805296776747</v>
      </c>
      <c r="F364" s="19">
        <f>GIRASOL!K362</f>
        <v>455.02424428334086</v>
      </c>
      <c r="G364" s="13"/>
      <c r="H364" s="13"/>
      <c r="I364" s="14"/>
      <c r="J364" s="15"/>
      <c r="K364" s="32">
        <f t="shared" si="45"/>
        <v>292.06788566546953</v>
      </c>
      <c r="L364" s="22">
        <f t="shared" si="46"/>
        <v>178.61765507110297</v>
      </c>
      <c r="M364" s="22">
        <f t="shared" si="46"/>
        <v>266.2412214050475</v>
      </c>
    </row>
    <row r="365" spans="1:13" x14ac:dyDescent="0.15">
      <c r="A365" s="34">
        <v>44958</v>
      </c>
      <c r="B365" t="s">
        <v>1</v>
      </c>
      <c r="C365" s="23">
        <f>SOJA!K363</f>
        <v>310.30593215788667</v>
      </c>
      <c r="D365" s="17">
        <f>TRIGO!K363</f>
        <v>238.23906306274259</v>
      </c>
      <c r="E365" s="18">
        <f>MAIZ!K363</f>
        <v>204.76745916136557</v>
      </c>
      <c r="F365" s="19">
        <f>GIRASOL!K363</f>
        <v>409.91527745797396</v>
      </c>
      <c r="G365" s="13"/>
      <c r="H365" s="13"/>
      <c r="I365" s="14"/>
      <c r="J365" s="15"/>
      <c r="K365" s="32">
        <f t="shared" si="45"/>
        <v>286.88170314059812</v>
      </c>
      <c r="L365" s="22">
        <f t="shared" si="46"/>
        <v>178.61765507110297</v>
      </c>
      <c r="M365" s="22">
        <f t="shared" si="46"/>
        <v>266.2412214050475</v>
      </c>
    </row>
    <row r="366" spans="1:13" x14ac:dyDescent="0.15">
      <c r="A366" s="34">
        <v>44986</v>
      </c>
      <c r="B366" t="s">
        <v>2</v>
      </c>
      <c r="C366" s="23">
        <f>SOJA!K364</f>
        <v>297.59066799758182</v>
      </c>
      <c r="D366" s="17">
        <f>TRIGO!K364</f>
        <v>225.10232489881616</v>
      </c>
      <c r="E366" s="18">
        <f>MAIZ!K364</f>
        <v>192.20771581618112</v>
      </c>
      <c r="F366" s="19">
        <f>GIRASOL!K364</f>
        <v>370.8119569315221</v>
      </c>
      <c r="G366" s="13"/>
      <c r="H366" s="13"/>
      <c r="I366" s="14"/>
      <c r="J366" s="15"/>
      <c r="K366" s="32">
        <f t="shared" si="45"/>
        <v>272.64501386815232</v>
      </c>
      <c r="L366" s="22">
        <f t="shared" si="46"/>
        <v>178.61765507110297</v>
      </c>
      <c r="M366" s="22">
        <f t="shared" si="46"/>
        <v>266.2412214050475</v>
      </c>
    </row>
    <row r="367" spans="1:13" x14ac:dyDescent="0.15">
      <c r="A367" s="34">
        <v>45017</v>
      </c>
      <c r="B367" t="s">
        <v>3</v>
      </c>
      <c r="C367" s="23">
        <f>SOJA!K365</f>
        <v>378.06408306642624</v>
      </c>
      <c r="D367" s="17">
        <f>TRIGO!K365</f>
        <v>302.3314204883597</v>
      </c>
      <c r="E367" s="18">
        <f>MAIZ!K365</f>
        <v>246.9625847593868</v>
      </c>
      <c r="F367" s="19">
        <f>GIRASOL!K365</f>
        <v>459.75908239236378</v>
      </c>
      <c r="G367" s="13"/>
      <c r="H367" s="13"/>
      <c r="I367" s="14"/>
      <c r="J367" s="15"/>
      <c r="K367" s="32">
        <f t="shared" si="45"/>
        <v>348.63576882749595</v>
      </c>
      <c r="L367" s="22">
        <f t="shared" si="46"/>
        <v>178.61765507110297</v>
      </c>
      <c r="M367" s="22">
        <f t="shared" si="46"/>
        <v>266.2412214050475</v>
      </c>
    </row>
    <row r="368" spans="1:13" x14ac:dyDescent="0.15">
      <c r="A368" s="34">
        <v>45047</v>
      </c>
      <c r="B368" t="s">
        <v>2</v>
      </c>
      <c r="C368" s="23">
        <f>SOJA!K366</f>
        <v>326.50057906798912</v>
      </c>
      <c r="D368" s="17">
        <f>TRIGO!K366</f>
        <v>297.57671527336169</v>
      </c>
      <c r="E368" s="18">
        <f>MAIZ!K366</f>
        <v>206.26550401139863</v>
      </c>
      <c r="F368" s="19">
        <f>GIRASOL!K366</f>
        <v>385.13579173813565</v>
      </c>
      <c r="G368" s="13"/>
      <c r="H368" s="13"/>
      <c r="I368" s="14"/>
      <c r="J368" s="15"/>
      <c r="K368" s="32">
        <f t="shared" si="45"/>
        <v>304.58269821785547</v>
      </c>
      <c r="L368" s="22">
        <f t="shared" si="46"/>
        <v>178.61765507110297</v>
      </c>
      <c r="M368" s="22">
        <f t="shared" si="46"/>
        <v>266.2412214050475</v>
      </c>
    </row>
    <row r="369" spans="1:13" x14ac:dyDescent="0.15">
      <c r="A369" s="34">
        <v>45078</v>
      </c>
      <c r="B369" t="s">
        <v>4</v>
      </c>
      <c r="C369" s="23">
        <f>SOJA!K367</f>
        <v>280.86947042851068</v>
      </c>
      <c r="D369" s="17">
        <f>TRIGO!K367</f>
        <v>245.25230264725019</v>
      </c>
      <c r="E369" s="18">
        <f>MAIZ!K367</f>
        <v>161.90750898996737</v>
      </c>
      <c r="F369" s="19">
        <f>GIRASOL!K367</f>
        <v>291.67572534383646</v>
      </c>
      <c r="G369" s="13"/>
      <c r="H369" s="13"/>
      <c r="I369" s="14"/>
      <c r="J369" s="15"/>
      <c r="K369" s="32">
        <f t="shared" si="45"/>
        <v>255.49057832631669</v>
      </c>
      <c r="L369" s="22">
        <f t="shared" ref="L369:M384" si="47">+L368</f>
        <v>178.61765507110297</v>
      </c>
      <c r="M369" s="22">
        <f t="shared" si="47"/>
        <v>266.2412214050475</v>
      </c>
    </row>
    <row r="370" spans="1:13" x14ac:dyDescent="0.15">
      <c r="A370" s="34">
        <v>45108</v>
      </c>
      <c r="B370" t="s">
        <v>4</v>
      </c>
      <c r="C370" s="23">
        <f>SOJA!K368</f>
        <v>347.12951044416883</v>
      </c>
      <c r="D370" s="17">
        <f>TRIGO!K368</f>
        <v>274.70680682632064</v>
      </c>
      <c r="E370" s="18">
        <f>MAIZ!K368</f>
        <v>186.96463270567494</v>
      </c>
      <c r="F370" s="19">
        <f>GIRASOL!K368</f>
        <v>366.57703777953282</v>
      </c>
      <c r="G370" s="13"/>
      <c r="H370" s="13"/>
      <c r="I370" s="14"/>
      <c r="J370" s="15"/>
      <c r="K370" s="32">
        <f t="shared" si="45"/>
        <v>309.62102230069308</v>
      </c>
      <c r="L370" s="22">
        <f t="shared" si="47"/>
        <v>178.61765507110297</v>
      </c>
      <c r="M370" s="22">
        <f t="shared" si="47"/>
        <v>266.2412214050475</v>
      </c>
    </row>
    <row r="371" spans="1:13" x14ac:dyDescent="0.15">
      <c r="A371" s="34">
        <v>45139</v>
      </c>
      <c r="B371" t="s">
        <v>3</v>
      </c>
      <c r="C371" s="23">
        <f>SOJA!K369</f>
        <v>293.28128842667678</v>
      </c>
      <c r="D371" s="17">
        <f>TRIGO!K369</f>
        <v>234.18729747503301</v>
      </c>
      <c r="E371" s="18">
        <f>MAIZ!K369</f>
        <v>159.77264220259258</v>
      </c>
      <c r="F371" s="19">
        <f>GIRASOL!K369</f>
        <v>338.47227393136404</v>
      </c>
      <c r="G371" s="13"/>
      <c r="H371" s="13"/>
      <c r="I371" s="14"/>
      <c r="J371" s="15"/>
      <c r="K371" s="32">
        <f t="shared" si="45"/>
        <v>263.83601708964989</v>
      </c>
      <c r="L371" s="22">
        <f t="shared" si="47"/>
        <v>178.61765507110297</v>
      </c>
      <c r="M371" s="22">
        <f t="shared" si="47"/>
        <v>266.2412214050475</v>
      </c>
    </row>
    <row r="372" spans="1:13" x14ac:dyDescent="0.15">
      <c r="A372" s="34">
        <v>45170</v>
      </c>
      <c r="B372" t="s">
        <v>5</v>
      </c>
      <c r="C372" s="23">
        <f>SOJA!K370</f>
        <v>357.07724699169182</v>
      </c>
      <c r="D372" s="17">
        <f>TRIGO!K370</f>
        <v>269.35055980115459</v>
      </c>
      <c r="E372" s="18">
        <f>MAIZ!K370</f>
        <v>203.08860100023159</v>
      </c>
      <c r="F372" s="19">
        <f>GIRASOL!K370</f>
        <v>409.24778273592506</v>
      </c>
      <c r="G372" s="13"/>
      <c r="H372" s="13"/>
      <c r="I372" s="14"/>
      <c r="J372" s="15"/>
      <c r="K372" s="32">
        <f t="shared" si="45"/>
        <v>320.22659559756914</v>
      </c>
      <c r="L372" s="22">
        <f t="shared" si="47"/>
        <v>178.61765507110297</v>
      </c>
      <c r="M372" s="22">
        <f t="shared" si="47"/>
        <v>266.2412214050475</v>
      </c>
    </row>
    <row r="373" spans="1:13" x14ac:dyDescent="0.15">
      <c r="A373" s="34">
        <v>45200</v>
      </c>
      <c r="B373" t="s">
        <v>6</v>
      </c>
      <c r="C373" s="23">
        <f>SOJA!K371</f>
        <v>340.28551815438237</v>
      </c>
      <c r="D373" s="17">
        <f>TRIGO!K371</f>
        <v>264.49898134527905</v>
      </c>
      <c r="E373" s="18">
        <f>MAIZ!K371</f>
        <v>213.86881329898799</v>
      </c>
      <c r="F373" s="19">
        <f>GIRASOL!K371</f>
        <v>415.13960280902819</v>
      </c>
      <c r="G373" s="13"/>
      <c r="H373" s="13"/>
      <c r="I373" s="14"/>
      <c r="J373" s="15"/>
      <c r="K373" s="32">
        <f t="shared" si="45"/>
        <v>311.2801082607138</v>
      </c>
      <c r="L373" s="22">
        <f t="shared" si="47"/>
        <v>178.61765507110297</v>
      </c>
      <c r="M373" s="22">
        <f t="shared" si="47"/>
        <v>266.2412214050475</v>
      </c>
    </row>
    <row r="374" spans="1:13" x14ac:dyDescent="0.15">
      <c r="A374" s="34">
        <v>45231</v>
      </c>
      <c r="B374" t="s">
        <v>7</v>
      </c>
      <c r="C374" s="23">
        <f>SOJA!K372</f>
        <v>345.3946344630358</v>
      </c>
      <c r="D374" s="17">
        <f>TRIGO!K372</f>
        <v>221.67118331209761</v>
      </c>
      <c r="E374" s="18">
        <f>MAIZ!K372</f>
        <v>183.00760482742945</v>
      </c>
      <c r="F374" s="19">
        <f>GIRASOL!K372</f>
        <v>412.23576029789405</v>
      </c>
      <c r="G374" s="13"/>
      <c r="H374" s="13"/>
      <c r="I374" s="14"/>
      <c r="J374" s="15"/>
      <c r="K374" s="32">
        <f t="shared" si="45"/>
        <v>302.58852504703088</v>
      </c>
      <c r="L374" s="22">
        <f t="shared" si="47"/>
        <v>178.61765507110297</v>
      </c>
      <c r="M374" s="22">
        <f t="shared" si="47"/>
        <v>266.2412214050475</v>
      </c>
    </row>
    <row r="375" spans="1:13" x14ac:dyDescent="0.15">
      <c r="A375" s="34">
        <v>45261</v>
      </c>
      <c r="B375" t="s">
        <v>75</v>
      </c>
      <c r="C375" s="23">
        <f>SOJA!K373</f>
        <v>369.49959317157857</v>
      </c>
      <c r="D375" s="17">
        <f>TRIGO!K373</f>
        <v>235.96906678744361</v>
      </c>
      <c r="E375" s="18">
        <f>MAIZ!K373</f>
        <v>206.35351589509241</v>
      </c>
      <c r="F375" s="19">
        <f>GIRASOL!K373</f>
        <v>459.37757918249338</v>
      </c>
      <c r="G375" s="13"/>
      <c r="H375" s="13"/>
      <c r="I375" s="14"/>
      <c r="J375" s="15"/>
      <c r="K375" s="32">
        <f t="shared" si="45"/>
        <v>326.40972170545331</v>
      </c>
      <c r="L375" s="22">
        <f t="shared" si="47"/>
        <v>178.61765507110297</v>
      </c>
      <c r="M375" s="22">
        <f t="shared" si="47"/>
        <v>266.2412214050475</v>
      </c>
    </row>
    <row r="376" spans="1:13" x14ac:dyDescent="0.15">
      <c r="A376" s="34">
        <v>45292</v>
      </c>
      <c r="B376" t="s">
        <v>72</v>
      </c>
      <c r="C376" s="23">
        <f>SOJA!K374</f>
        <v>325.99445276127238</v>
      </c>
      <c r="D376" s="17">
        <f>TRIGO!K374</f>
        <v>225.15931837654534</v>
      </c>
      <c r="E376" s="18">
        <f>MAIZ!K374</f>
        <v>191.93909107508782</v>
      </c>
      <c r="F376" s="19">
        <f>GIRASOL!K374</f>
        <v>438.84675270391307</v>
      </c>
      <c r="G376" s="13"/>
      <c r="H376" s="13"/>
      <c r="I376" s="14"/>
      <c r="J376" s="15"/>
      <c r="K376" s="32">
        <f t="shared" si="45"/>
        <v>294.09743524679328</v>
      </c>
      <c r="L376" s="22">
        <f t="shared" si="47"/>
        <v>178.61765507110297</v>
      </c>
      <c r="M376" s="22">
        <f t="shared" si="47"/>
        <v>266.2412214050475</v>
      </c>
    </row>
    <row r="377" spans="1:13" ht="12" customHeight="1" x14ac:dyDescent="0.15">
      <c r="A377" s="34">
        <v>45323</v>
      </c>
      <c r="B377" t="s">
        <v>1</v>
      </c>
      <c r="C377" s="23">
        <f>SOJA!K375</f>
        <v>259.22426663685917</v>
      </c>
      <c r="D377" s="17">
        <f>TRIGO!K375</f>
        <v>190.3370842531242</v>
      </c>
      <c r="E377" s="18">
        <f>MAIZ!K375</f>
        <v>155.87950865557585</v>
      </c>
      <c r="F377" s="19">
        <f>GIRASOL!K375</f>
        <v>390.16491849496703</v>
      </c>
      <c r="G377" s="13"/>
      <c r="H377" s="13"/>
      <c r="I377" s="14"/>
      <c r="J377" s="15"/>
      <c r="K377" s="32">
        <f t="shared" si="45"/>
        <v>238.41668584424778</v>
      </c>
      <c r="L377" s="22">
        <f t="shared" si="47"/>
        <v>178.61765507110297</v>
      </c>
      <c r="M377" s="22">
        <f t="shared" si="47"/>
        <v>266.2412214050475</v>
      </c>
    </row>
    <row r="378" spans="1:13" x14ac:dyDescent="0.15">
      <c r="A378" s="34">
        <v>45352</v>
      </c>
      <c r="B378" t="s">
        <v>2</v>
      </c>
      <c r="C378" s="23">
        <f>SOJA!K376</f>
        <v>236.47284793979094</v>
      </c>
      <c r="D378" s="17">
        <f>TRIGO!K376</f>
        <v>162.65558275210634</v>
      </c>
      <c r="E378" s="18">
        <f>MAIZ!K376</f>
        <v>139.10364316809097</v>
      </c>
      <c r="F378" s="19">
        <f>GIRASOL!K376</f>
        <v>340.6834897071318</v>
      </c>
      <c r="K378" s="32">
        <f t="shared" si="45"/>
        <v>214.47236228420167</v>
      </c>
      <c r="L378" s="22">
        <f t="shared" si="47"/>
        <v>178.61765507110297</v>
      </c>
      <c r="M378" s="22">
        <f t="shared" si="47"/>
        <v>266.2412214050475</v>
      </c>
    </row>
    <row r="379" spans="1:13" x14ac:dyDescent="0.15">
      <c r="A379" s="34">
        <v>45383</v>
      </c>
      <c r="B379" t="s">
        <v>3</v>
      </c>
      <c r="C379" s="23">
        <f>SOJA!K377</f>
        <v>220.89894616993234</v>
      </c>
      <c r="D379" s="17">
        <f>TRIGO!K377</f>
        <v>166.5721570556905</v>
      </c>
      <c r="E379" s="18">
        <f>MAIZ!K377</f>
        <v>132.43851831477033</v>
      </c>
      <c r="F379" s="19">
        <f>GIRASOL!K377</f>
        <v>304.45654227867124</v>
      </c>
      <c r="K379" s="32">
        <f t="shared" si="45"/>
        <v>202.1670412965795</v>
      </c>
      <c r="L379" s="22">
        <f t="shared" si="47"/>
        <v>178.61765507110297</v>
      </c>
      <c r="M379" s="22">
        <f t="shared" si="47"/>
        <v>266.2412214050475</v>
      </c>
    </row>
    <row r="380" spans="1:13" x14ac:dyDescent="0.15">
      <c r="A380" s="34">
        <v>45413</v>
      </c>
      <c r="B380" t="s">
        <v>2</v>
      </c>
      <c r="C380" s="23">
        <f>SOJA!K378</f>
        <v>235.29149504037471</v>
      </c>
      <c r="D380" s="17">
        <f>TRIGO!K378</f>
        <v>192.21582392932564</v>
      </c>
      <c r="E380" s="18">
        <f>MAIZ!K378</f>
        <v>133.80394810627968</v>
      </c>
      <c r="F380" s="19">
        <f>GIRASOL!K378</f>
        <v>303.62906752151224</v>
      </c>
      <c r="K380" s="32">
        <f t="shared" si="45"/>
        <v>215.09521666995508</v>
      </c>
      <c r="L380" s="22">
        <f t="shared" si="47"/>
        <v>178.61765507110297</v>
      </c>
      <c r="M380" s="22">
        <f t="shared" si="47"/>
        <v>266.2412214050475</v>
      </c>
    </row>
    <row r="381" spans="1:13" x14ac:dyDescent="0.15">
      <c r="A381" s="34">
        <v>45444</v>
      </c>
      <c r="B381" t="s">
        <v>4</v>
      </c>
      <c r="C381" s="23">
        <f>SOJA!K379</f>
        <v>229.79505526888843</v>
      </c>
      <c r="D381" s="17">
        <f>TRIGO!K379</f>
        <v>195.77537584828258</v>
      </c>
      <c r="E381" s="18">
        <f>MAIZ!K379</f>
        <v>130.51691723218838</v>
      </c>
      <c r="F381" s="19">
        <f>GIRASOL!K379</f>
        <v>314.65886047206209</v>
      </c>
      <c r="K381" s="32">
        <f t="shared" si="45"/>
        <v>212.25253785822963</v>
      </c>
      <c r="L381" s="22">
        <f t="shared" si="47"/>
        <v>178.61765507110297</v>
      </c>
      <c r="M381" s="22">
        <f t="shared" si="47"/>
        <v>266.2412214050475</v>
      </c>
    </row>
    <row r="382" spans="1:13" x14ac:dyDescent="0.15">
      <c r="A382" s="34">
        <v>45474</v>
      </c>
      <c r="B382" t="s">
        <v>4</v>
      </c>
      <c r="C382" s="23">
        <f>SOJA!K380</f>
        <v>217.47044816678195</v>
      </c>
      <c r="D382" s="17">
        <f>TRIGO!K380</f>
        <v>182.37588982272067</v>
      </c>
      <c r="E382" s="18">
        <f>MAIZ!K380</f>
        <v>122.70142587337456</v>
      </c>
      <c r="F382" s="19">
        <f>GIRASOL!K380</f>
        <v>307.53073466847638</v>
      </c>
      <c r="K382" s="32">
        <f t="shared" si="45"/>
        <v>200.84735126619793</v>
      </c>
      <c r="L382" s="22">
        <f t="shared" si="47"/>
        <v>178.61765507110297</v>
      </c>
      <c r="M382" s="22">
        <f t="shared" si="47"/>
        <v>266.2412214050475</v>
      </c>
    </row>
    <row r="383" spans="1:13" x14ac:dyDescent="0.15">
      <c r="A383" s="34">
        <v>45505</v>
      </c>
      <c r="B383" t="s">
        <v>3</v>
      </c>
      <c r="C383" s="23">
        <f>SOJA!K381</f>
        <v>197.35200396231971</v>
      </c>
      <c r="D383" s="17">
        <f>TRIGO!K381</f>
        <v>173.88307729914141</v>
      </c>
      <c r="E383" s="18">
        <f>MAIZ!K381</f>
        <v>119.58501598639839</v>
      </c>
      <c r="F383" s="19">
        <f>GIRASOL!K381</f>
        <v>297.84602138921872</v>
      </c>
      <c r="K383" s="32">
        <f t="shared" si="45"/>
        <v>185.99629548777523</v>
      </c>
      <c r="L383" s="22">
        <f t="shared" si="47"/>
        <v>178.61765507110297</v>
      </c>
      <c r="M383" s="22">
        <f t="shared" si="47"/>
        <v>266.2412214050475</v>
      </c>
    </row>
    <row r="384" spans="1:13" x14ac:dyDescent="0.15">
      <c r="A384" s="34">
        <v>45536</v>
      </c>
      <c r="B384" t="s">
        <v>5</v>
      </c>
      <c r="C384" s="23">
        <f>SOJA!K382</f>
        <v>201.26763376061385</v>
      </c>
      <c r="D384" s="17">
        <f>TRIGO!K382</f>
        <v>161.37373010706716</v>
      </c>
      <c r="E384" s="18">
        <f>MAIZ!K382</f>
        <v>121.81518926370049</v>
      </c>
      <c r="F384" s="19">
        <f>GIRASOL!K382</f>
        <v>289.98893550058875</v>
      </c>
      <c r="K384" s="32">
        <f t="shared" si="45"/>
        <v>186.52838843132216</v>
      </c>
      <c r="L384" s="22">
        <f t="shared" si="47"/>
        <v>178.61765507110297</v>
      </c>
      <c r="M384" s="22">
        <f t="shared" si="47"/>
        <v>266.2412214050475</v>
      </c>
    </row>
    <row r="385" spans="1:13" x14ac:dyDescent="0.15">
      <c r="A385" s="34">
        <v>45566</v>
      </c>
      <c r="B385" t="s">
        <v>6</v>
      </c>
      <c r="C385" s="23">
        <f>SOJA!K383</f>
        <v>194.48106387714276</v>
      </c>
      <c r="D385" s="17">
        <f>TRIGO!K383</f>
        <v>148.59603675113493</v>
      </c>
      <c r="E385" s="18">
        <f>MAIZ!K383</f>
        <v>127.71890762081019</v>
      </c>
      <c r="F385" s="19">
        <f>GIRASOL!K383</f>
        <v>295.25926442168833</v>
      </c>
      <c r="K385" s="32">
        <f t="shared" si="45"/>
        <v>181.74653350964348</v>
      </c>
      <c r="L385" s="22">
        <f t="shared" ref="L385:M400" si="48">+L384</f>
        <v>178.61765507110297</v>
      </c>
      <c r="M385" s="22">
        <f t="shared" si="48"/>
        <v>266.2412214050475</v>
      </c>
    </row>
    <row r="386" spans="1:13" x14ac:dyDescent="0.15">
      <c r="A386" s="34">
        <v>45597</v>
      </c>
      <c r="B386" t="s">
        <v>7</v>
      </c>
      <c r="C386" s="23">
        <f>SOJA!K384</f>
        <v>191.86629561225152</v>
      </c>
      <c r="D386" s="17">
        <f>TRIGO!K384</f>
        <v>135.64781308014642</v>
      </c>
      <c r="E386" s="18">
        <f>MAIZ!K384</f>
        <v>126.0017463722249</v>
      </c>
      <c r="F386" s="19">
        <f>GIRASOL!K384</f>
        <v>282.2502147014622</v>
      </c>
      <c r="K386" s="32">
        <f t="shared" si="45"/>
        <v>177.17591321200217</v>
      </c>
      <c r="L386" s="22">
        <f t="shared" si="48"/>
        <v>178.61765507110297</v>
      </c>
      <c r="M386" s="22">
        <f t="shared" si="48"/>
        <v>266.2412214050475</v>
      </c>
    </row>
    <row r="387" spans="1:13" x14ac:dyDescent="0.15">
      <c r="A387" s="34">
        <v>45627</v>
      </c>
      <c r="B387" t="s">
        <v>76</v>
      </c>
      <c r="C387" s="23">
        <f>SOJA!K385</f>
        <v>185.56290286391859</v>
      </c>
      <c r="D387" s="17">
        <f>TRIGO!K385</f>
        <v>134.94010002219289</v>
      </c>
      <c r="E387" s="18">
        <f>MAIZ!K385</f>
        <v>124.24000398519081</v>
      </c>
      <c r="F387" s="19">
        <f>GIRASOL!K385</f>
        <v>282.07317564210598</v>
      </c>
      <c r="K387" s="32">
        <f t="shared" si="45"/>
        <v>172.83557460814555</v>
      </c>
      <c r="L387" s="22">
        <f t="shared" si="48"/>
        <v>178.61765507110297</v>
      </c>
      <c r="M387" s="22">
        <f t="shared" si="48"/>
        <v>266.2412214050475</v>
      </c>
    </row>
    <row r="388" spans="1:13" x14ac:dyDescent="0.15">
      <c r="A388" s="34">
        <v>45658</v>
      </c>
      <c r="B388" t="s">
        <v>77</v>
      </c>
      <c r="C388" s="23">
        <f>SOJA!K386</f>
        <v>184.5018578606651</v>
      </c>
      <c r="D388" s="17">
        <f>TRIGO!K386</f>
        <v>133.3984443028173</v>
      </c>
      <c r="E388" s="18">
        <f>MAIZ!K386</f>
        <v>130.48581451454615</v>
      </c>
      <c r="F388" s="19">
        <f>GIRASOL!K386</f>
        <v>272.10581835607422</v>
      </c>
      <c r="K388" s="32">
        <f t="shared" si="45"/>
        <v>172.47485725693997</v>
      </c>
      <c r="L388" s="22">
        <f t="shared" si="48"/>
        <v>178.61765507110297</v>
      </c>
      <c r="M388" s="22">
        <f t="shared" si="48"/>
        <v>266.2412214050475</v>
      </c>
    </row>
    <row r="389" spans="1:13" x14ac:dyDescent="0.15">
      <c r="A389" s="34">
        <v>45689</v>
      </c>
      <c r="B389" t="s">
        <v>1</v>
      </c>
      <c r="C389" s="23">
        <f>SOJA!K387</f>
        <v>196.505910480533</v>
      </c>
      <c r="D389" s="17">
        <f>TRIGO!K387</f>
        <v>140.63253323128836</v>
      </c>
      <c r="E389" s="18">
        <f>MAIZ!K387</f>
        <v>135.29205728579637</v>
      </c>
      <c r="F389" s="19">
        <f>GIRASOL!K387</f>
        <v>263.33562327909266</v>
      </c>
      <c r="K389" s="32">
        <f t="shared" si="45"/>
        <v>181.35010550448803</v>
      </c>
      <c r="L389" s="22">
        <f t="shared" si="48"/>
        <v>178.61765507110297</v>
      </c>
      <c r="M389" s="22">
        <f t="shared" si="48"/>
        <v>266.2412214050475</v>
      </c>
    </row>
    <row r="390" spans="1:13" x14ac:dyDescent="0.15">
      <c r="A390" s="34">
        <v>45717</v>
      </c>
      <c r="B390" t="s">
        <v>2</v>
      </c>
      <c r="C390" s="23">
        <f>SOJA!K388</f>
        <v>190.91477027522288</v>
      </c>
      <c r="D390" s="17">
        <f>TRIGO!K388</f>
        <v>140.43692034076679</v>
      </c>
      <c r="E390" s="18">
        <f>MAIZ!K388</f>
        <v>125.41074779401809</v>
      </c>
      <c r="F390" s="19">
        <f>GIRASOL!K388</f>
        <v>261.30405497413392</v>
      </c>
      <c r="K390" s="32">
        <f t="shared" si="45"/>
        <v>176.00924001700056</v>
      </c>
      <c r="L390" s="22">
        <f t="shared" si="48"/>
        <v>178.61765507110297</v>
      </c>
      <c r="M390" s="22">
        <f t="shared" si="48"/>
        <v>266.2412214050475</v>
      </c>
    </row>
    <row r="391" spans="1:13" x14ac:dyDescent="0.15">
      <c r="A391" s="34">
        <v>45748</v>
      </c>
      <c r="B391" t="s">
        <v>3</v>
      </c>
      <c r="C391" s="23">
        <f>SOJA!K389</f>
        <v>193.3941039593881</v>
      </c>
      <c r="D391" s="17">
        <f>TRIGO!K389</f>
        <v>146.27408739180788</v>
      </c>
      <c r="E391" s="18">
        <f>MAIZ!K389</f>
        <v>130.93890081040865</v>
      </c>
      <c r="F391" s="19">
        <f>GIRASOL!K389</f>
        <v>255.5918740994575</v>
      </c>
      <c r="K391" s="32">
        <f t="shared" si="45"/>
        <v>179.05448574390752</v>
      </c>
      <c r="L391" s="22">
        <f t="shared" si="48"/>
        <v>178.61765507110297</v>
      </c>
      <c r="M391" s="22">
        <f t="shared" si="48"/>
        <v>266.2412214050475</v>
      </c>
    </row>
    <row r="392" spans="1:13" x14ac:dyDescent="0.15">
      <c r="A392" s="34">
        <v>45778</v>
      </c>
      <c r="B392" t="s">
        <v>2</v>
      </c>
      <c r="C392" s="23">
        <f>SOJA!K390</f>
        <v>189.11263750063833</v>
      </c>
      <c r="D392" s="17">
        <f>TRIGO!K390</f>
        <v>139.7190654500391</v>
      </c>
      <c r="E392" s="18">
        <f>MAIZ!K390</f>
        <v>121.88258900960857</v>
      </c>
      <c r="F392" s="19">
        <f>GIRASOL!K390</f>
        <v>251.43519136883137</v>
      </c>
      <c r="K392" s="32">
        <f t="shared" si="45"/>
        <v>173.61227229956009</v>
      </c>
      <c r="L392" s="22">
        <f t="shared" si="48"/>
        <v>178.61765507110297</v>
      </c>
      <c r="M392" s="22">
        <f t="shared" si="48"/>
        <v>266.2412214050475</v>
      </c>
    </row>
    <row r="393" spans="1:13" x14ac:dyDescent="0.15">
      <c r="A393" s="34">
        <v>45809</v>
      </c>
      <c r="B393" t="s">
        <v>4</v>
      </c>
      <c r="C393" s="23">
        <f>SOJA!K391</f>
        <v>194.57683132779826</v>
      </c>
      <c r="D393" s="17">
        <f>TRIGO!K391</f>
        <v>140.36757967135199</v>
      </c>
      <c r="E393" s="18">
        <f>MAIZ!K391</f>
        <v>115.66770513690807</v>
      </c>
      <c r="F393" s="19">
        <f>GIRASOL!K391</f>
        <v>271.75520226226604</v>
      </c>
      <c r="K393" s="32">
        <f t="shared" si="45"/>
        <v>177.16698127001118</v>
      </c>
      <c r="L393" s="22">
        <f t="shared" si="48"/>
        <v>178.61765507110297</v>
      </c>
      <c r="M393" s="22">
        <f t="shared" si="48"/>
        <v>266.2412214050475</v>
      </c>
    </row>
    <row r="394" spans="1:13" x14ac:dyDescent="0.15">
      <c r="A394" s="34">
        <v>45839</v>
      </c>
      <c r="B394" t="s">
        <v>4</v>
      </c>
      <c r="C394" s="23">
        <f>SOJA!K392</f>
        <v>188.23967499975203</v>
      </c>
      <c r="D394" s="17">
        <f>TRIGO!K392</f>
        <v>142.42513542244984</v>
      </c>
      <c r="E394" s="18">
        <f>MAIZ!K392</f>
        <v>121.4621284771542</v>
      </c>
      <c r="F394" s="19">
        <f>GIRASOL!K392</f>
        <v>267.01209715415013</v>
      </c>
      <c r="K394" s="32">
        <f t="shared" si="45"/>
        <v>174.27345433111051</v>
      </c>
      <c r="L394" s="22">
        <f t="shared" si="48"/>
        <v>178.61765507110297</v>
      </c>
      <c r="M394" s="22">
        <f t="shared" si="48"/>
        <v>266.2412214050475</v>
      </c>
    </row>
    <row r="395" spans="1:13" x14ac:dyDescent="0.15">
      <c r="A395" s="34">
        <v>45870</v>
      </c>
      <c r="B395" t="s">
        <v>3</v>
      </c>
      <c r="C395" s="23">
        <f>SOJA!K393</f>
        <v>222.10536586827911</v>
      </c>
      <c r="D395" s="17">
        <f>TRIGO!K393</f>
        <v>151.48532555127304</v>
      </c>
      <c r="E395" s="18">
        <f>MAIZ!K393</f>
        <v>130.59079788902847</v>
      </c>
      <c r="F395" s="19">
        <f>GIRASOL!K393</f>
        <v>289.08906573577855</v>
      </c>
      <c r="K395" s="32">
        <f t="shared" si="45"/>
        <v>199.50052607874022</v>
      </c>
      <c r="L395" s="22">
        <f t="shared" si="48"/>
        <v>178.61765507110297</v>
      </c>
      <c r="M395" s="22">
        <f t="shared" si="48"/>
        <v>266.2412214050475</v>
      </c>
    </row>
    <row r="396" spans="1:13" x14ac:dyDescent="0.15">
      <c r="A396" s="34">
        <v>45901</v>
      </c>
      <c r="B396" t="s">
        <v>5</v>
      </c>
      <c r="C396" s="23">
        <f>SOJA!K394</f>
        <v>305.80584994027964</v>
      </c>
      <c r="D396" s="17">
        <f>TRIGO!K394</f>
        <v>168.1560148090102</v>
      </c>
      <c r="E396" s="18">
        <f>MAIZ!K394</f>
        <v>148.81063257434531</v>
      </c>
      <c r="F396" s="19">
        <f>GIRASOL!K394</f>
        <v>330.35960431504662</v>
      </c>
      <c r="K396" s="32">
        <f t="shared" si="45"/>
        <v>259.4996798264022</v>
      </c>
      <c r="L396" s="22">
        <f t="shared" si="48"/>
        <v>178.61765507110297</v>
      </c>
      <c r="M396" s="22">
        <f t="shared" si="48"/>
        <v>266.2412214050475</v>
      </c>
    </row>
    <row r="397" spans="1:13" x14ac:dyDescent="0.15">
      <c r="A397" s="34">
        <v>45931</v>
      </c>
      <c r="B397" t="s">
        <v>6</v>
      </c>
      <c r="C397" s="23">
        <f>SOJA!K395</f>
        <v>225.95515305002118</v>
      </c>
      <c r="D397" s="17">
        <f>TRIGO!K395</f>
        <v>146.93042895596139</v>
      </c>
      <c r="E397" s="18">
        <f>MAIZ!K395</f>
        <v>136.14654426194585</v>
      </c>
      <c r="F397" s="19">
        <f>GIRASOL!K395</f>
        <v>296.29244517200283</v>
      </c>
      <c r="K397" s="32">
        <f t="shared" si="45"/>
        <v>202.59458640622273</v>
      </c>
      <c r="L397" s="22">
        <f t="shared" si="48"/>
        <v>178.61765507110297</v>
      </c>
      <c r="M397" s="22">
        <f t="shared" si="48"/>
        <v>266.2412214050475</v>
      </c>
    </row>
    <row r="398" spans="1:13" x14ac:dyDescent="0.15">
      <c r="A398" s="34">
        <v>45962</v>
      </c>
      <c r="B398" t="s">
        <v>7</v>
      </c>
      <c r="C398" s="23">
        <f>SOJA!K396</f>
        <v>234.23832621035376</v>
      </c>
      <c r="D398" s="17">
        <f>TRIGO!K396</f>
        <v>138.97261817897973</v>
      </c>
      <c r="E398" s="18">
        <f>MAIZ!K396</f>
        <v>136.35049330767822</v>
      </c>
      <c r="F398" s="19">
        <f>GIRASOL!K396</f>
        <v>300.49768328281368</v>
      </c>
      <c r="K398" s="32">
        <f t="shared" si="45"/>
        <v>206.840906259664</v>
      </c>
      <c r="L398" s="22">
        <f t="shared" si="48"/>
        <v>178.61765507110297</v>
      </c>
      <c r="M398" s="22">
        <f t="shared" si="48"/>
        <v>266.2412214050475</v>
      </c>
    </row>
    <row r="399" spans="1:13" x14ac:dyDescent="0.15">
      <c r="A399" s="34">
        <v>45992</v>
      </c>
      <c r="B399" t="s">
        <v>79</v>
      </c>
      <c r="C399" s="23">
        <f>SOJA!K397</f>
        <v>227.0123823321222</v>
      </c>
      <c r="D399" s="17">
        <f>TRIGO!K397</f>
        <v>137.48798275214153</v>
      </c>
      <c r="E399" s="18">
        <f>MAIZ!K397</f>
        <v>141.23245795807301</v>
      </c>
      <c r="F399" s="19">
        <f>GIRASOL!K397</f>
        <v>305.73211299727768</v>
      </c>
      <c r="K399" s="32">
        <f t="shared" si="45"/>
        <v>203.2744405679756</v>
      </c>
      <c r="L399" s="22">
        <f t="shared" si="48"/>
        <v>178.61765507110297</v>
      </c>
      <c r="M399" s="22">
        <f t="shared" si="48"/>
        <v>266.2412214050475</v>
      </c>
    </row>
    <row r="400" spans="1:13" x14ac:dyDescent="0.15">
      <c r="A400" s="34">
        <v>46023</v>
      </c>
      <c r="B400" t="s">
        <v>78</v>
      </c>
      <c r="C400" s="23">
        <f>SOJA!K398</f>
        <v>215.03101666586642</v>
      </c>
      <c r="D400" s="17">
        <f>TRIGO!K398</f>
        <v>132.30538953784978</v>
      </c>
      <c r="E400" s="18">
        <f>MAIZ!K398</f>
        <v>137.39405836622865</v>
      </c>
      <c r="F400" s="19">
        <f>GIRASOL!K398</f>
        <v>298.08685112905789</v>
      </c>
      <c r="K400" s="32">
        <f t="shared" si="45"/>
        <v>193.96046199612866</v>
      </c>
      <c r="L400" s="22">
        <f t="shared" si="48"/>
        <v>178.61765507110297</v>
      </c>
      <c r="M400" s="22">
        <f t="shared" si="48"/>
        <v>266.2412214050475</v>
      </c>
    </row>
    <row r="401" spans="1:13" x14ac:dyDescent="0.15">
      <c r="A401" s="34">
        <v>46054</v>
      </c>
      <c r="B401" t="s">
        <v>1</v>
      </c>
      <c r="C401" s="23">
        <f>SOJA!K399</f>
        <v>216.23401559687343</v>
      </c>
      <c r="D401" s="17">
        <f>TRIGO!K399</f>
        <v>124.45546287870978</v>
      </c>
      <c r="E401" s="18">
        <f>MAIZ!K399</f>
        <v>126.25916523927077</v>
      </c>
      <c r="F401" s="19">
        <f>GIRASOL!K399</f>
        <v>294.93326212670661</v>
      </c>
      <c r="K401" s="32">
        <f t="shared" si="45"/>
        <v>191.43104256937525</v>
      </c>
      <c r="L401" s="22">
        <f t="shared" ref="L401:M412" si="49">+L400</f>
        <v>178.61765507110297</v>
      </c>
      <c r="M401" s="22">
        <f t="shared" si="49"/>
        <v>266.2412214050475</v>
      </c>
    </row>
    <row r="402" spans="1:13" x14ac:dyDescent="0.15">
      <c r="A402" s="34">
        <v>46082</v>
      </c>
      <c r="B402" t="s">
        <v>2</v>
      </c>
      <c r="C402" s="23">
        <f>SOJA!K400</f>
        <v>207.62641231306034</v>
      </c>
      <c r="D402" s="17">
        <f>TRIGO!K400</f>
        <v>123.83369501057119</v>
      </c>
      <c r="E402" s="18">
        <f>MAIZ!K400</f>
        <v>119.225929614829</v>
      </c>
      <c r="F402" s="19">
        <f>GIRASOL!K400</f>
        <v>274.12427247784234</v>
      </c>
      <c r="K402" s="32">
        <f t="shared" si="45"/>
        <v>183.59043219638176</v>
      </c>
      <c r="L402" s="22">
        <f t="shared" si="49"/>
        <v>178.61765507110297</v>
      </c>
      <c r="M402" s="22">
        <f t="shared" si="49"/>
        <v>266.2412214050475</v>
      </c>
    </row>
    <row r="403" spans="1:13" x14ac:dyDescent="0.15">
      <c r="A403" s="34">
        <v>46113</v>
      </c>
      <c r="B403" t="s">
        <v>3</v>
      </c>
      <c r="C403" s="23">
        <f>SOJA!K401</f>
        <v>195.1331232055561</v>
      </c>
      <c r="D403" s="17">
        <f>TRIGO!K401</f>
        <v>126.0735515596928</v>
      </c>
      <c r="E403" s="18">
        <f>MAIZ!K401</f>
        <v>117.18731004006688</v>
      </c>
      <c r="F403" s="19">
        <f>GIRASOL!K401</f>
        <v>266.06827451642249</v>
      </c>
      <c r="K403" s="32">
        <f t="shared" si="45"/>
        <v>175.34528820024957</v>
      </c>
      <c r="L403" s="22">
        <f t="shared" si="49"/>
        <v>178.61765507110297</v>
      </c>
      <c r="M403" s="22">
        <f t="shared" si="49"/>
        <v>266.2412214050475</v>
      </c>
    </row>
    <row r="404" spans="1:13" x14ac:dyDescent="0.15">
      <c r="A404" s="34">
        <v>46143</v>
      </c>
      <c r="B404" t="s">
        <v>2</v>
      </c>
      <c r="C404" s="23">
        <f>SOJA!K402</f>
        <v>198.33020542658167</v>
      </c>
      <c r="D404" s="17">
        <f>TRIGO!K402</f>
        <v>128.19248164540409</v>
      </c>
      <c r="E404" s="18">
        <f>MAIZ!K402</f>
        <v>115.53828817826118</v>
      </c>
      <c r="F404" s="19">
        <f>GIRASOL!K402</f>
        <v>275.05809126049797</v>
      </c>
      <c r="K404" s="32">
        <f t="shared" si="45"/>
        <v>177.86506710650605</v>
      </c>
      <c r="L404" s="22">
        <f t="shared" si="49"/>
        <v>178.61765507110297</v>
      </c>
      <c r="M404" s="22">
        <f t="shared" si="49"/>
        <v>266.2412214050475</v>
      </c>
    </row>
    <row r="405" spans="1:13" x14ac:dyDescent="0.15">
      <c r="A405" s="34">
        <v>46174</v>
      </c>
      <c r="B405" t="s">
        <v>4</v>
      </c>
      <c r="C405" s="23">
        <f>SOJA!K403</f>
        <v>193.64123369158929</v>
      </c>
      <c r="D405" s="17">
        <f>TRIGO!K403</f>
        <v>136.01618475474348</v>
      </c>
      <c r="E405" s="18">
        <f>MAIZ!K403</f>
        <v>110.40232976681881</v>
      </c>
      <c r="F405" s="19">
        <f>GIRASOL!K403</f>
        <v>282.51494072226387</v>
      </c>
      <c r="K405" s="32">
        <f t="shared" si="45"/>
        <v>175.63108919308772</v>
      </c>
      <c r="L405" s="22">
        <f t="shared" si="49"/>
        <v>178.61765507110297</v>
      </c>
      <c r="M405" s="22">
        <f t="shared" si="49"/>
        <v>266.2412214050475</v>
      </c>
    </row>
    <row r="406" spans="1:13" x14ac:dyDescent="0.15">
      <c r="A406" s="34">
        <v>46204</v>
      </c>
      <c r="B406" t="s">
        <v>4</v>
      </c>
      <c r="C406" s="23">
        <f>SOJA!K404</f>
        <v>211.29030961605184</v>
      </c>
      <c r="D406" s="17">
        <f>TRIGO!K404</f>
        <v>134.26763547285759</v>
      </c>
      <c r="E406" s="18">
        <f>MAIZ!K404</f>
        <v>116.49814011652394</v>
      </c>
      <c r="F406" s="19">
        <f>GIRASOL!K404</f>
        <v>294.87275073658424</v>
      </c>
      <c r="K406" s="32">
        <f t="shared" si="45"/>
        <v>188.10334038049822</v>
      </c>
      <c r="L406" s="22">
        <f t="shared" si="49"/>
        <v>178.61765507110297</v>
      </c>
      <c r="M406" s="22">
        <f t="shared" si="49"/>
        <v>266.2412214050475</v>
      </c>
    </row>
    <row r="407" spans="1:13" x14ac:dyDescent="0.15">
      <c r="A407" s="34">
        <v>46235</v>
      </c>
      <c r="B407" t="s">
        <v>3</v>
      </c>
      <c r="C407" s="23">
        <f>SOJA!K405</f>
        <v>216.77423326649802</v>
      </c>
      <c r="D407" s="17">
        <f>TRIGO!K405</f>
        <v>140.53025952144938</v>
      </c>
      <c r="E407" s="18">
        <f>MAIZ!K405</f>
        <v>119.33918864123085</v>
      </c>
      <c r="F407" s="19">
        <f>GIRASOL!K405</f>
        <v>318.95700415454644</v>
      </c>
      <c r="K407" s="32">
        <f t="shared" si="45"/>
        <v>194.28950960738024</v>
      </c>
      <c r="L407" s="22">
        <f t="shared" si="49"/>
        <v>178.61765507110297</v>
      </c>
      <c r="M407" s="22">
        <f t="shared" si="49"/>
        <v>266.2412214050475</v>
      </c>
    </row>
    <row r="408" spans="1:13" x14ac:dyDescent="0.15">
      <c r="A408" s="34">
        <v>46266</v>
      </c>
      <c r="B408" t="s">
        <v>5</v>
      </c>
      <c r="C408" s="23">
        <f>SOJA!K406</f>
        <v>233.22812861959517</v>
      </c>
      <c r="D408" s="17">
        <f>TRIGO!K406</f>
        <v>150.43432198295207</v>
      </c>
      <c r="E408" s="18">
        <f>MAIZ!K406</f>
        <v>121.28988516930755</v>
      </c>
      <c r="F408" s="19">
        <f>GIRASOL!K406</f>
        <v>331.22062286559685</v>
      </c>
      <c r="K408" s="32">
        <f t="shared" si="45"/>
        <v>207.01296263502647</v>
      </c>
      <c r="L408" s="22">
        <f t="shared" si="49"/>
        <v>178.61765507110297</v>
      </c>
      <c r="M408" s="22">
        <f t="shared" si="49"/>
        <v>266.2412214050475</v>
      </c>
    </row>
    <row r="409" spans="1:13" x14ac:dyDescent="0.15">
      <c r="A409" s="34">
        <v>46296</v>
      </c>
      <c r="B409" t="s">
        <v>6</v>
      </c>
      <c r="C409" s="23">
        <f>SOJA!K407</f>
        <v>0</v>
      </c>
      <c r="D409" s="17">
        <f>TRIGO!K407</f>
        <v>0</v>
      </c>
      <c r="E409" s="18">
        <f>MAIZ!K407</f>
        <v>0</v>
      </c>
      <c r="F409" s="19">
        <f>GIRASOL!K407</f>
        <v>0</v>
      </c>
      <c r="K409" s="32">
        <f t="shared" si="45"/>
        <v>0</v>
      </c>
      <c r="L409" s="22">
        <f t="shared" si="49"/>
        <v>178.61765507110297</v>
      </c>
      <c r="M409" s="22">
        <f t="shared" si="49"/>
        <v>266.2412214050475</v>
      </c>
    </row>
    <row r="410" spans="1:13" x14ac:dyDescent="0.15">
      <c r="A410" s="34">
        <v>46327</v>
      </c>
      <c r="B410" t="s">
        <v>7</v>
      </c>
      <c r="C410" s="23">
        <f>SOJA!K408</f>
        <v>0</v>
      </c>
      <c r="D410" s="17">
        <f>TRIGO!K408</f>
        <v>0</v>
      </c>
      <c r="E410" s="18">
        <f>MAIZ!K408</f>
        <v>0</v>
      </c>
      <c r="F410" s="19">
        <f>GIRASOL!K408</f>
        <v>0</v>
      </c>
      <c r="K410" s="32">
        <f t="shared" si="45"/>
        <v>0</v>
      </c>
      <c r="L410" s="22">
        <f t="shared" si="49"/>
        <v>178.61765507110297</v>
      </c>
      <c r="M410" s="22">
        <f t="shared" si="49"/>
        <v>266.2412214050475</v>
      </c>
    </row>
    <row r="411" spans="1:13" x14ac:dyDescent="0.15">
      <c r="A411" s="34">
        <v>46357</v>
      </c>
      <c r="B411" t="s">
        <v>80</v>
      </c>
      <c r="C411" s="23">
        <f>SOJA!K409</f>
        <v>0</v>
      </c>
      <c r="D411" s="17">
        <f>TRIGO!K409</f>
        <v>0</v>
      </c>
      <c r="E411" s="18">
        <f>MAIZ!K409</f>
        <v>0</v>
      </c>
      <c r="F411" s="19">
        <f>GIRASOL!K409</f>
        <v>0</v>
      </c>
      <c r="K411" s="32">
        <f t="shared" si="45"/>
        <v>0</v>
      </c>
      <c r="L411" s="22">
        <f t="shared" si="49"/>
        <v>178.61765507110297</v>
      </c>
      <c r="M411" s="22">
        <f t="shared" si="49"/>
        <v>266.2412214050475</v>
      </c>
    </row>
    <row r="412" spans="1:13" x14ac:dyDescent="0.15">
      <c r="K412" s="32">
        <f t="shared" si="45"/>
        <v>0</v>
      </c>
      <c r="L412" s="22">
        <f t="shared" si="49"/>
        <v>178.61765507110297</v>
      </c>
      <c r="M412" s="22">
        <f t="shared" si="49"/>
        <v>266.2412214050475</v>
      </c>
    </row>
  </sheetData>
  <phoneticPr fontId="2" type="noConversion"/>
  <hyperlinks>
    <hyperlink ref="C281" r:id="rId1" display="https://twitter.com/EcoLedesma/status/703290377281867776" xr:uid="{00000000-0004-0000-0100-000000000000}"/>
  </hyperlinks>
  <pageMargins left="0.75" right="0.75" top="1" bottom="1" header="0" footer="0"/>
  <pageSetup paperSize="9" orientation="portrait" horizont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9"/>
  <dimension ref="A1:M422"/>
  <sheetViews>
    <sheetView zoomScaleNormal="100" workbookViewId="0">
      <selection activeCell="H2" sqref="H2"/>
    </sheetView>
  </sheetViews>
  <sheetFormatPr baseColWidth="10" defaultColWidth="11.5" defaultRowHeight="13" x14ac:dyDescent="0.15"/>
  <cols>
    <col min="1" max="1" width="11.5" style="12"/>
    <col min="2" max="2" width="8.5" style="12" customWidth="1"/>
    <col min="3" max="3" width="15.83203125" style="11" bestFit="1" customWidth="1"/>
    <col min="4" max="4" width="14.83203125" style="12" bestFit="1" customWidth="1"/>
    <col min="5" max="8" width="11.5" style="12"/>
    <col min="9" max="9" width="13.83203125" style="35" customWidth="1"/>
    <col min="10" max="16384" width="11.5" style="12"/>
  </cols>
  <sheetData>
    <row r="1" spans="1:13" s="39" customFormat="1" ht="56" x14ac:dyDescent="0.15">
      <c r="A1" s="36"/>
      <c r="B1" s="36"/>
      <c r="C1" s="37" t="s">
        <v>88</v>
      </c>
      <c r="D1" s="37" t="s">
        <v>86</v>
      </c>
      <c r="E1" s="37" t="s">
        <v>82</v>
      </c>
      <c r="F1" s="37" t="s">
        <v>81</v>
      </c>
      <c r="G1" s="37" t="s">
        <v>83</v>
      </c>
      <c r="H1" s="37" t="s">
        <v>84</v>
      </c>
      <c r="I1" s="38" t="s">
        <v>54</v>
      </c>
      <c r="J1" s="37" t="s">
        <v>87</v>
      </c>
      <c r="K1" s="62" t="s">
        <v>85</v>
      </c>
    </row>
    <row r="2" spans="1:13" x14ac:dyDescent="0.15">
      <c r="A2" s="40">
        <v>33970</v>
      </c>
      <c r="B2" s="41" t="s">
        <v>36</v>
      </c>
      <c r="C2" s="12">
        <v>221</v>
      </c>
      <c r="D2" s="42">
        <v>0.99873999999999996</v>
      </c>
      <c r="E2" s="43">
        <f>'[1]IPC99ON (real)'!O152</f>
        <v>0.96122510905381364</v>
      </c>
      <c r="F2" s="31">
        <f t="shared" ref="F2:F33" si="0">+(C2*(D2/E2))/(AVERAGE(C$2:C$13)*AVERAGE(D$2:D$13)/AVERAGE(E$2:E$13))*100</f>
        <v>101.11126488373985</v>
      </c>
      <c r="G2" s="44">
        <f t="shared" ref="G2:G33" si="1">+E2/AVERAGE(E$2:E$13)</f>
        <v>0.96122510905381375</v>
      </c>
      <c r="H2" s="44">
        <f>+(C2*D2)/G2</f>
        <v>229.6252333829151</v>
      </c>
      <c r="I2" s="35">
        <f t="shared" ref="I2:I65" si="2">+I3</f>
        <v>3.5000000000000003E-2</v>
      </c>
      <c r="J2" s="45">
        <f>+F2*(1-I2)</f>
        <v>97.572370612808953</v>
      </c>
      <c r="K2" s="63">
        <f>+H2*(1-I2)</f>
        <v>221.58835021451307</v>
      </c>
      <c r="L2" s="47">
        <f>+AVERAGE(K2:K109)</f>
        <v>206.90372263979032</v>
      </c>
      <c r="M2" s="47">
        <f>+AVERAGE(K110:K277)</f>
        <v>304.63352851680048</v>
      </c>
    </row>
    <row r="3" spans="1:13" x14ac:dyDescent="0.15">
      <c r="A3" s="40">
        <v>34001</v>
      </c>
      <c r="B3" s="12" t="s">
        <v>1</v>
      </c>
      <c r="C3" s="12">
        <v>205</v>
      </c>
      <c r="D3" s="42">
        <v>0.99915500000000002</v>
      </c>
      <c r="E3" s="43">
        <f>'[1]IPC99ON (real)'!O153</f>
        <v>0.96824627318915923</v>
      </c>
      <c r="F3" s="31">
        <f t="shared" si="0"/>
        <v>93.149563834565313</v>
      </c>
      <c r="G3" s="44">
        <f t="shared" si="1"/>
        <v>0.96824627318915935</v>
      </c>
      <c r="H3" s="44">
        <f t="shared" ref="H3:H65" si="3">+(C3*D3)/G3</f>
        <v>211.54408818466422</v>
      </c>
      <c r="I3" s="35">
        <f t="shared" si="2"/>
        <v>3.5000000000000003E-2</v>
      </c>
      <c r="J3" s="45">
        <f t="shared" ref="J3:J66" si="4">+F3*(1-I3)</f>
        <v>89.889329100355525</v>
      </c>
      <c r="K3" s="63">
        <f t="shared" ref="K3:K65" si="5">+H3*(1-I3)</f>
        <v>204.14004509820097</v>
      </c>
      <c r="L3" s="47">
        <f>+L2</f>
        <v>206.90372263979032</v>
      </c>
      <c r="M3" s="47">
        <f>+M2</f>
        <v>304.63352851680048</v>
      </c>
    </row>
    <row r="4" spans="1:13" x14ac:dyDescent="0.15">
      <c r="A4" s="40">
        <v>34029</v>
      </c>
      <c r="B4" s="12" t="s">
        <v>2</v>
      </c>
      <c r="C4" s="12">
        <v>204</v>
      </c>
      <c r="D4" s="42">
        <v>0.99968699999999999</v>
      </c>
      <c r="E4" s="43">
        <f>'[1]IPC99ON (real)'!O154</f>
        <v>0.97552606594901525</v>
      </c>
      <c r="F4" s="31">
        <f t="shared" si="0"/>
        <v>92.052431895924286</v>
      </c>
      <c r="G4" s="44">
        <f t="shared" si="1"/>
        <v>0.97552606594901536</v>
      </c>
      <c r="H4" s="44">
        <f t="shared" si="3"/>
        <v>209.05248472433792</v>
      </c>
      <c r="I4" s="35">
        <f t="shared" si="2"/>
        <v>3.5000000000000003E-2</v>
      </c>
      <c r="J4" s="45">
        <f t="shared" si="4"/>
        <v>88.830596779566932</v>
      </c>
      <c r="K4" s="63">
        <f t="shared" si="5"/>
        <v>201.73564775898609</v>
      </c>
      <c r="L4" s="47">
        <f t="shared" ref="L4:L67" si="6">+L3</f>
        <v>206.90372263979032</v>
      </c>
      <c r="M4" s="47">
        <f t="shared" ref="M4:M67" si="7">+M3</f>
        <v>304.63352851680048</v>
      </c>
    </row>
    <row r="5" spans="1:13" x14ac:dyDescent="0.15">
      <c r="A5" s="40">
        <v>34060</v>
      </c>
      <c r="B5" s="12" t="s">
        <v>3</v>
      </c>
      <c r="C5" s="12">
        <v>208</v>
      </c>
      <c r="D5" s="42">
        <v>0.99916000000000005</v>
      </c>
      <c r="E5" s="43">
        <f>'[1]IPC99ON (real)'!O155</f>
        <v>0.98572347100273094</v>
      </c>
      <c r="F5" s="31">
        <f t="shared" si="0"/>
        <v>92.837451343568688</v>
      </c>
      <c r="G5" s="44">
        <f t="shared" si="1"/>
        <v>0.98572347100273106</v>
      </c>
      <c r="H5" s="44">
        <f t="shared" si="3"/>
        <v>210.83527593046855</v>
      </c>
      <c r="I5" s="35">
        <f t="shared" si="2"/>
        <v>3.5000000000000003E-2</v>
      </c>
      <c r="J5" s="45">
        <f t="shared" si="4"/>
        <v>89.588140546543784</v>
      </c>
      <c r="K5" s="63">
        <f t="shared" si="5"/>
        <v>203.45604127290216</v>
      </c>
      <c r="L5" s="47">
        <f t="shared" si="6"/>
        <v>206.90372263979032</v>
      </c>
      <c r="M5" s="47">
        <f t="shared" si="7"/>
        <v>304.63352851680048</v>
      </c>
    </row>
    <row r="6" spans="1:13" x14ac:dyDescent="0.15">
      <c r="A6" s="40">
        <v>34090</v>
      </c>
      <c r="B6" s="12" t="s">
        <v>2</v>
      </c>
      <c r="C6" s="12">
        <v>213</v>
      </c>
      <c r="D6" s="42">
        <v>0.99939500000000003</v>
      </c>
      <c r="E6" s="43">
        <f>'[1]IPC99ON (real)'!O156</f>
        <v>0.99840531890536988</v>
      </c>
      <c r="F6" s="31">
        <f t="shared" si="0"/>
        <v>93.883619021114669</v>
      </c>
      <c r="G6" s="44">
        <f t="shared" si="1"/>
        <v>0.99840531890536999</v>
      </c>
      <c r="H6" s="44">
        <f t="shared" si="3"/>
        <v>213.2111387721645</v>
      </c>
      <c r="I6" s="35">
        <f t="shared" si="2"/>
        <v>3.5000000000000003E-2</v>
      </c>
      <c r="J6" s="45">
        <f t="shared" si="4"/>
        <v>90.597692355375656</v>
      </c>
      <c r="K6" s="63">
        <f t="shared" si="5"/>
        <v>205.74874891513875</v>
      </c>
      <c r="L6" s="47">
        <f t="shared" si="6"/>
        <v>206.90372263979032</v>
      </c>
      <c r="M6" s="47">
        <f t="shared" si="7"/>
        <v>304.63352851680048</v>
      </c>
    </row>
    <row r="7" spans="1:13" x14ac:dyDescent="0.15">
      <c r="A7" s="40">
        <v>34121</v>
      </c>
      <c r="B7" s="12" t="s">
        <v>4</v>
      </c>
      <c r="C7" s="12">
        <v>218</v>
      </c>
      <c r="D7" s="42">
        <v>0.99928570000000005</v>
      </c>
      <c r="E7" s="43">
        <f>'[1]IPC99ON (real)'!O157</f>
        <v>1.0055869533919335</v>
      </c>
      <c r="F7" s="31">
        <f t="shared" si="0"/>
        <v>95.390795102225766</v>
      </c>
      <c r="G7" s="44">
        <f t="shared" si="1"/>
        <v>1.0055869533919337</v>
      </c>
      <c r="H7" s="44">
        <f t="shared" si="3"/>
        <v>216.63395876924614</v>
      </c>
      <c r="I7" s="35">
        <f t="shared" si="2"/>
        <v>3.5000000000000003E-2</v>
      </c>
      <c r="J7" s="45">
        <f t="shared" si="4"/>
        <v>92.052117273647866</v>
      </c>
      <c r="K7" s="63">
        <f t="shared" si="5"/>
        <v>209.05177021232251</v>
      </c>
      <c r="L7" s="47">
        <f t="shared" si="6"/>
        <v>206.90372263979032</v>
      </c>
      <c r="M7" s="47">
        <f t="shared" si="7"/>
        <v>304.63352851680048</v>
      </c>
    </row>
    <row r="8" spans="1:13" x14ac:dyDescent="0.15">
      <c r="A8" s="40">
        <v>34151</v>
      </c>
      <c r="B8" s="12" t="s">
        <v>4</v>
      </c>
      <c r="C8" s="12">
        <v>253</v>
      </c>
      <c r="D8" s="42">
        <v>0.99892380000000003</v>
      </c>
      <c r="E8" s="43">
        <f>'[1]IPC99ON (real)'!O158</f>
        <v>1.0088218212653428</v>
      </c>
      <c r="F8" s="31">
        <f t="shared" si="0"/>
        <v>110.31087939270201</v>
      </c>
      <c r="G8" s="44">
        <f t="shared" si="1"/>
        <v>1.008821821265343</v>
      </c>
      <c r="H8" s="44">
        <f t="shared" si="3"/>
        <v>250.51769903530555</v>
      </c>
      <c r="I8" s="35">
        <f t="shared" si="2"/>
        <v>3.5000000000000003E-2</v>
      </c>
      <c r="J8" s="45">
        <f t="shared" si="4"/>
        <v>106.44999861395743</v>
      </c>
      <c r="K8" s="63">
        <f t="shared" si="5"/>
        <v>241.74957956906985</v>
      </c>
      <c r="L8" s="47">
        <f t="shared" si="6"/>
        <v>206.90372263979032</v>
      </c>
      <c r="M8" s="47">
        <f t="shared" si="7"/>
        <v>304.63352851680048</v>
      </c>
    </row>
    <row r="9" spans="1:13" x14ac:dyDescent="0.15">
      <c r="A9" s="40">
        <v>34182</v>
      </c>
      <c r="B9" s="12" t="s">
        <v>3</v>
      </c>
      <c r="C9" s="12">
        <v>249</v>
      </c>
      <c r="D9" s="42">
        <v>1.000175</v>
      </c>
      <c r="E9" s="43">
        <f>'[1]IPC99ON (real)'!O159</f>
        <v>1.0089836316612475</v>
      </c>
      <c r="F9" s="31">
        <f t="shared" si="0"/>
        <v>108.68538640069517</v>
      </c>
      <c r="G9" s="44">
        <f t="shared" si="1"/>
        <v>1.0089836316612477</v>
      </c>
      <c r="H9" s="44">
        <f t="shared" si="3"/>
        <v>246.82617951884964</v>
      </c>
      <c r="I9" s="35">
        <f t="shared" si="2"/>
        <v>3.5000000000000003E-2</v>
      </c>
      <c r="J9" s="45">
        <f t="shared" si="4"/>
        <v>104.88139787667083</v>
      </c>
      <c r="K9" s="63">
        <f t="shared" si="5"/>
        <v>238.1872632356899</v>
      </c>
      <c r="L9" s="47">
        <f t="shared" si="6"/>
        <v>206.90372263979032</v>
      </c>
      <c r="M9" s="47">
        <f t="shared" si="7"/>
        <v>304.63352851680048</v>
      </c>
    </row>
    <row r="10" spans="1:13" x14ac:dyDescent="0.15">
      <c r="A10" s="40">
        <v>34213</v>
      </c>
      <c r="B10" s="12" t="s">
        <v>5</v>
      </c>
      <c r="C10" s="12">
        <v>240</v>
      </c>
      <c r="D10" s="42">
        <v>1.0010095000000001</v>
      </c>
      <c r="E10" s="43">
        <f>'[1]IPC99ON (real)'!O160</f>
        <v>1.0172986089414868</v>
      </c>
      <c r="F10" s="31">
        <f t="shared" si="0"/>
        <v>103.9874486527367</v>
      </c>
      <c r="G10" s="44">
        <f t="shared" si="1"/>
        <v>1.017298608941487</v>
      </c>
      <c r="H10" s="44">
        <f t="shared" si="3"/>
        <v>236.15709083685405</v>
      </c>
      <c r="I10" s="35">
        <f t="shared" si="2"/>
        <v>3.5000000000000003E-2</v>
      </c>
      <c r="J10" s="45">
        <f t="shared" si="4"/>
        <v>100.34788794989092</v>
      </c>
      <c r="K10" s="63">
        <f t="shared" si="5"/>
        <v>227.89159265756416</v>
      </c>
      <c r="L10" s="47">
        <f t="shared" si="6"/>
        <v>206.90372263979032</v>
      </c>
      <c r="M10" s="47">
        <f t="shared" si="7"/>
        <v>304.63352851680048</v>
      </c>
    </row>
    <row r="11" spans="1:13" x14ac:dyDescent="0.15">
      <c r="A11" s="40">
        <v>34243</v>
      </c>
      <c r="B11" s="12" t="s">
        <v>6</v>
      </c>
      <c r="C11" s="12">
        <v>231</v>
      </c>
      <c r="D11" s="42">
        <v>0.99951500000000004</v>
      </c>
      <c r="E11" s="43">
        <f>'[1]IPC99ON (real)'!O161</f>
        <v>1.023049075702781</v>
      </c>
      <c r="F11" s="31">
        <f t="shared" si="0"/>
        <v>99.376743533811364</v>
      </c>
      <c r="G11" s="44">
        <f t="shared" si="1"/>
        <v>1.0230490757027813</v>
      </c>
      <c r="H11" s="44">
        <f t="shared" si="3"/>
        <v>225.68610879335583</v>
      </c>
      <c r="I11" s="35">
        <f t="shared" si="2"/>
        <v>3.5000000000000003E-2</v>
      </c>
      <c r="J11" s="45">
        <f t="shared" si="4"/>
        <v>95.898557510127958</v>
      </c>
      <c r="K11" s="63">
        <f t="shared" si="5"/>
        <v>217.78709498558837</v>
      </c>
      <c r="L11" s="47">
        <f t="shared" si="6"/>
        <v>206.90372263979032</v>
      </c>
      <c r="M11" s="47">
        <f t="shared" si="7"/>
        <v>304.63352851680048</v>
      </c>
    </row>
    <row r="12" spans="1:13" x14ac:dyDescent="0.15">
      <c r="A12" s="40">
        <v>34274</v>
      </c>
      <c r="B12" s="12" t="s">
        <v>7</v>
      </c>
      <c r="C12" s="12">
        <v>242</v>
      </c>
      <c r="D12" s="42">
        <v>0.99851900000000005</v>
      </c>
      <c r="E12" s="43">
        <f>'[1]IPC99ON (real)'!O162</f>
        <v>1.023634005208474</v>
      </c>
      <c r="F12" s="31">
        <f t="shared" si="0"/>
        <v>103.94579543742672</v>
      </c>
      <c r="G12" s="44">
        <f t="shared" si="1"/>
        <v>1.0236340052084743</v>
      </c>
      <c r="H12" s="44">
        <f t="shared" si="3"/>
        <v>236.0624957460133</v>
      </c>
      <c r="I12" s="35">
        <f t="shared" si="2"/>
        <v>3.5000000000000003E-2</v>
      </c>
      <c r="J12" s="45">
        <f t="shared" si="4"/>
        <v>100.30769259711678</v>
      </c>
      <c r="K12" s="63">
        <f t="shared" si="5"/>
        <v>227.80030839490283</v>
      </c>
      <c r="L12" s="47">
        <f t="shared" si="6"/>
        <v>206.90372263979032</v>
      </c>
      <c r="M12" s="47">
        <f t="shared" si="7"/>
        <v>304.63352851680048</v>
      </c>
    </row>
    <row r="13" spans="1:13" x14ac:dyDescent="0.15">
      <c r="A13" s="40">
        <v>34304</v>
      </c>
      <c r="B13" s="41" t="s">
        <v>37</v>
      </c>
      <c r="C13" s="12">
        <v>243</v>
      </c>
      <c r="D13" s="42">
        <v>0.99859520000000002</v>
      </c>
      <c r="E13" s="43">
        <f>'[1]IPC99ON (real)'!O163</f>
        <v>1.0234996657286446</v>
      </c>
      <c r="F13" s="31">
        <f t="shared" si="0"/>
        <v>104.39698954559671</v>
      </c>
      <c r="G13" s="44">
        <f t="shared" si="1"/>
        <v>1.0234996657286448</v>
      </c>
      <c r="H13" s="44">
        <f t="shared" si="3"/>
        <v>237.08716448602615</v>
      </c>
      <c r="I13" s="35">
        <f t="shared" si="2"/>
        <v>3.5000000000000003E-2</v>
      </c>
      <c r="J13" s="45">
        <f t="shared" si="4"/>
        <v>100.74309491150082</v>
      </c>
      <c r="K13" s="63">
        <f t="shared" si="5"/>
        <v>228.78911372901524</v>
      </c>
      <c r="L13" s="47">
        <f t="shared" si="6"/>
        <v>206.90372263979032</v>
      </c>
      <c r="M13" s="47">
        <f t="shared" si="7"/>
        <v>304.63352851680048</v>
      </c>
    </row>
    <row r="14" spans="1:13" x14ac:dyDescent="0.15">
      <c r="A14" s="40">
        <v>34335</v>
      </c>
      <c r="B14" s="41" t="s">
        <v>38</v>
      </c>
      <c r="C14" s="12">
        <v>246</v>
      </c>
      <c r="D14" s="42">
        <v>0.9985714</v>
      </c>
      <c r="E14" s="43">
        <f>'[1]IPC99ON (real)'!O164</f>
        <v>1.0245301600926262</v>
      </c>
      <c r="F14" s="31">
        <f t="shared" si="0"/>
        <v>105.57702385914894</v>
      </c>
      <c r="G14" s="44">
        <f t="shared" si="1"/>
        <v>1.0245301600926264</v>
      </c>
      <c r="H14" s="44">
        <f t="shared" si="3"/>
        <v>239.76704051132202</v>
      </c>
      <c r="I14" s="35">
        <f t="shared" si="2"/>
        <v>3.5000000000000003E-2</v>
      </c>
      <c r="J14" s="45">
        <f t="shared" si="4"/>
        <v>101.88182802407871</v>
      </c>
      <c r="K14" s="63">
        <f t="shared" si="5"/>
        <v>231.37519409342573</v>
      </c>
      <c r="L14" s="47">
        <f t="shared" si="6"/>
        <v>206.90372263979032</v>
      </c>
      <c r="M14" s="47">
        <f t="shared" si="7"/>
        <v>304.63352851680048</v>
      </c>
    </row>
    <row r="15" spans="1:13" x14ac:dyDescent="0.15">
      <c r="A15" s="40">
        <v>34366</v>
      </c>
      <c r="B15" s="12" t="s">
        <v>1</v>
      </c>
      <c r="C15" s="12">
        <v>238</v>
      </c>
      <c r="D15" s="42">
        <v>0.99899499999999997</v>
      </c>
      <c r="E15" s="43">
        <f>'[1]IPC99ON (real)'!O165</f>
        <v>1.0244939788860881</v>
      </c>
      <c r="F15" s="31">
        <f t="shared" si="0"/>
        <v>102.19056350200087</v>
      </c>
      <c r="G15" s="44">
        <f t="shared" si="1"/>
        <v>1.0244939788860883</v>
      </c>
      <c r="H15" s="44">
        <f t="shared" si="3"/>
        <v>232.07633709913313</v>
      </c>
      <c r="I15" s="35">
        <f t="shared" si="2"/>
        <v>3.5000000000000003E-2</v>
      </c>
      <c r="J15" s="45">
        <f t="shared" si="4"/>
        <v>98.613893779430839</v>
      </c>
      <c r="K15" s="63">
        <f t="shared" si="5"/>
        <v>223.95366530066346</v>
      </c>
      <c r="L15" s="47">
        <f t="shared" si="6"/>
        <v>206.90372263979032</v>
      </c>
      <c r="M15" s="47">
        <f t="shared" si="7"/>
        <v>304.63352851680048</v>
      </c>
    </row>
    <row r="16" spans="1:13" x14ac:dyDescent="0.15">
      <c r="A16" s="40">
        <v>34394</v>
      </c>
      <c r="B16" s="12" t="s">
        <v>2</v>
      </c>
      <c r="C16" s="12">
        <v>239</v>
      </c>
      <c r="D16" s="42">
        <v>1.0005272999999999</v>
      </c>
      <c r="E16" s="43">
        <f>'[1]IPC99ON (real)'!O166</f>
        <v>1.0259221315108125</v>
      </c>
      <c r="F16" s="31">
        <f t="shared" si="0"/>
        <v>102.6342653654509</v>
      </c>
      <c r="G16" s="44">
        <f t="shared" si="1"/>
        <v>1.0259221315108127</v>
      </c>
      <c r="H16" s="44">
        <f t="shared" si="3"/>
        <v>233.08399083647191</v>
      </c>
      <c r="I16" s="35">
        <f t="shared" si="2"/>
        <v>3.5000000000000003E-2</v>
      </c>
      <c r="J16" s="45">
        <f t="shared" si="4"/>
        <v>99.04206607766011</v>
      </c>
      <c r="K16" s="63">
        <f t="shared" si="5"/>
        <v>224.92605115719539</v>
      </c>
      <c r="L16" s="47">
        <f t="shared" si="6"/>
        <v>206.90372263979032</v>
      </c>
      <c r="M16" s="47">
        <f t="shared" si="7"/>
        <v>304.63352851680048</v>
      </c>
    </row>
    <row r="17" spans="1:13" x14ac:dyDescent="0.15">
      <c r="A17" s="40">
        <v>34425</v>
      </c>
      <c r="B17" s="12" t="s">
        <v>3</v>
      </c>
      <c r="C17" s="12">
        <v>229</v>
      </c>
      <c r="D17" s="42">
        <v>1.0004249999999999</v>
      </c>
      <c r="E17" s="43">
        <f>'[1]IPC99ON (real)'!O167</f>
        <v>1.0284193047842578</v>
      </c>
      <c r="F17" s="31">
        <f t="shared" si="0"/>
        <v>98.091128423092158</v>
      </c>
      <c r="G17" s="44">
        <f t="shared" si="1"/>
        <v>1.028419304784258</v>
      </c>
      <c r="H17" s="44">
        <f t="shared" si="3"/>
        <v>222.76645715830864</v>
      </c>
      <c r="I17" s="35">
        <f t="shared" si="2"/>
        <v>3.5000000000000003E-2</v>
      </c>
      <c r="J17" s="45">
        <f t="shared" si="4"/>
        <v>94.657938928283926</v>
      </c>
      <c r="K17" s="63">
        <f t="shared" si="5"/>
        <v>214.96963115776782</v>
      </c>
      <c r="L17" s="47">
        <f t="shared" si="6"/>
        <v>206.90372263979032</v>
      </c>
      <c r="M17" s="47">
        <f t="shared" si="7"/>
        <v>304.63352851680048</v>
      </c>
    </row>
    <row r="18" spans="1:13" x14ac:dyDescent="0.15">
      <c r="A18" s="40">
        <v>34455</v>
      </c>
      <c r="B18" s="12" t="s">
        <v>2</v>
      </c>
      <c r="C18" s="12">
        <v>238</v>
      </c>
      <c r="D18" s="42">
        <v>0.998919</v>
      </c>
      <c r="E18" s="43">
        <f>'[1]IPC99ON (real)'!O168</f>
        <v>1.0319838236505658</v>
      </c>
      <c r="F18" s="31">
        <f t="shared" si="0"/>
        <v>101.44117561554702</v>
      </c>
      <c r="G18" s="44">
        <f t="shared" si="1"/>
        <v>1.0319838236505661</v>
      </c>
      <c r="H18" s="44">
        <f t="shared" si="3"/>
        <v>230.37446571497873</v>
      </c>
      <c r="I18" s="35">
        <f t="shared" si="2"/>
        <v>3.5000000000000003E-2</v>
      </c>
      <c r="J18" s="45">
        <f t="shared" si="4"/>
        <v>97.890734469002879</v>
      </c>
      <c r="K18" s="63">
        <f t="shared" si="5"/>
        <v>222.31135941495447</v>
      </c>
      <c r="L18" s="47">
        <f t="shared" si="6"/>
        <v>206.90372263979032</v>
      </c>
      <c r="M18" s="47">
        <f t="shared" si="7"/>
        <v>304.63352851680048</v>
      </c>
    </row>
    <row r="19" spans="1:13" x14ac:dyDescent="0.15">
      <c r="A19" s="40">
        <v>34486</v>
      </c>
      <c r="B19" s="12" t="s">
        <v>4</v>
      </c>
      <c r="C19" s="12">
        <v>242</v>
      </c>
      <c r="D19" s="42">
        <v>0.99789499999999998</v>
      </c>
      <c r="E19" s="43">
        <f>'[1]IPC99ON (real)'!O169</f>
        <v>1.0359774918277516</v>
      </c>
      <c r="F19" s="31">
        <f t="shared" si="0"/>
        <v>102.6431154543618</v>
      </c>
      <c r="G19" s="44">
        <f t="shared" si="1"/>
        <v>1.0359774918277518</v>
      </c>
      <c r="H19" s="44">
        <f t="shared" si="3"/>
        <v>233.10408952413007</v>
      </c>
      <c r="I19" s="35">
        <f t="shared" si="2"/>
        <v>3.5000000000000003E-2</v>
      </c>
      <c r="J19" s="45">
        <f t="shared" si="4"/>
        <v>99.050606413459136</v>
      </c>
      <c r="K19" s="63">
        <f t="shared" si="5"/>
        <v>224.94544639078552</v>
      </c>
      <c r="L19" s="47">
        <f t="shared" si="6"/>
        <v>206.90372263979032</v>
      </c>
      <c r="M19" s="47">
        <f t="shared" si="7"/>
        <v>304.63352851680048</v>
      </c>
    </row>
    <row r="20" spans="1:13" x14ac:dyDescent="0.15">
      <c r="A20" s="40">
        <v>34516</v>
      </c>
      <c r="B20" s="12" t="s">
        <v>4</v>
      </c>
      <c r="C20" s="12">
        <v>225</v>
      </c>
      <c r="D20" s="42">
        <v>0.99826199999999998</v>
      </c>
      <c r="E20" s="43">
        <f>'[1]IPC99ON (real)'!O170</f>
        <v>1.0455420607782286</v>
      </c>
      <c r="F20" s="31">
        <f t="shared" si="0"/>
        <v>94.594411934639069</v>
      </c>
      <c r="G20" s="44">
        <f t="shared" si="1"/>
        <v>1.0455420607782289</v>
      </c>
      <c r="H20" s="44">
        <f t="shared" si="3"/>
        <v>214.82536038083126</v>
      </c>
      <c r="I20" s="35">
        <f t="shared" si="2"/>
        <v>3.5000000000000003E-2</v>
      </c>
      <c r="J20" s="45">
        <f t="shared" si="4"/>
        <v>91.283607516926693</v>
      </c>
      <c r="K20" s="63">
        <f t="shared" si="5"/>
        <v>207.30647276750216</v>
      </c>
      <c r="L20" s="47">
        <f t="shared" si="6"/>
        <v>206.90372263979032</v>
      </c>
      <c r="M20" s="47">
        <f t="shared" si="7"/>
        <v>304.63352851680048</v>
      </c>
    </row>
    <row r="21" spans="1:13" x14ac:dyDescent="0.15">
      <c r="A21" s="40">
        <v>34547</v>
      </c>
      <c r="B21" s="12" t="s">
        <v>3</v>
      </c>
      <c r="C21" s="12">
        <v>225</v>
      </c>
      <c r="D21" s="42">
        <v>0.99566189999999999</v>
      </c>
      <c r="E21" s="43">
        <f>'[1]IPC99ON (real)'!O171</f>
        <v>1.0476991977124539</v>
      </c>
      <c r="F21" s="31">
        <f t="shared" si="0"/>
        <v>94.153773017213524</v>
      </c>
      <c r="G21" s="44">
        <f t="shared" si="1"/>
        <v>1.0476991977124541</v>
      </c>
      <c r="H21" s="44">
        <f t="shared" si="3"/>
        <v>213.82466264089322</v>
      </c>
      <c r="I21" s="35">
        <f t="shared" si="2"/>
        <v>3.5000000000000003E-2</v>
      </c>
      <c r="J21" s="45">
        <f t="shared" si="4"/>
        <v>90.85839096161105</v>
      </c>
      <c r="K21" s="63">
        <f t="shared" si="5"/>
        <v>206.34079944846195</v>
      </c>
      <c r="L21" s="47">
        <f t="shared" si="6"/>
        <v>206.90372263979032</v>
      </c>
      <c r="M21" s="47">
        <f t="shared" si="7"/>
        <v>304.63352851680048</v>
      </c>
    </row>
    <row r="22" spans="1:13" x14ac:dyDescent="0.15">
      <c r="A22" s="40">
        <v>34578</v>
      </c>
      <c r="B22" s="12" t="s">
        <v>5</v>
      </c>
      <c r="C22" s="12">
        <v>231</v>
      </c>
      <c r="D22" s="42">
        <v>0.99885239999999997</v>
      </c>
      <c r="E22" s="43">
        <f>'[1]IPC99ON (real)'!O172</f>
        <v>1.054869776830353</v>
      </c>
      <c r="F22" s="31">
        <f t="shared" si="0"/>
        <v>96.315100137476563</v>
      </c>
      <c r="G22" s="44">
        <f t="shared" si="1"/>
        <v>1.0548697768303532</v>
      </c>
      <c r="H22" s="44">
        <f t="shared" si="3"/>
        <v>218.73306968117578</v>
      </c>
      <c r="I22" s="35">
        <f t="shared" si="2"/>
        <v>3.5000000000000003E-2</v>
      </c>
      <c r="J22" s="45">
        <f t="shared" si="4"/>
        <v>92.944071632664887</v>
      </c>
      <c r="K22" s="63">
        <f t="shared" si="5"/>
        <v>211.07741224233462</v>
      </c>
      <c r="L22" s="47">
        <f t="shared" si="6"/>
        <v>206.90372263979032</v>
      </c>
      <c r="M22" s="47">
        <f t="shared" si="7"/>
        <v>304.63352851680048</v>
      </c>
    </row>
    <row r="23" spans="1:13" x14ac:dyDescent="0.15">
      <c r="A23" s="40">
        <v>34608</v>
      </c>
      <c r="B23" s="12" t="s">
        <v>6</v>
      </c>
      <c r="C23" s="12">
        <v>230</v>
      </c>
      <c r="D23" s="42">
        <v>0.99868999999999997</v>
      </c>
      <c r="E23" s="43">
        <f>'[1]IPC99ON (real)'!O173</f>
        <v>1.0582500395522563</v>
      </c>
      <c r="F23" s="31">
        <f t="shared" si="0"/>
        <v>95.576291785908879</v>
      </c>
      <c r="G23" s="44">
        <f t="shared" si="1"/>
        <v>1.0582500395522565</v>
      </c>
      <c r="H23" s="44">
        <f t="shared" si="3"/>
        <v>217.05522458301544</v>
      </c>
      <c r="I23" s="35">
        <f t="shared" si="2"/>
        <v>3.5000000000000003E-2</v>
      </c>
      <c r="J23" s="45">
        <f t="shared" si="4"/>
        <v>92.231121573402064</v>
      </c>
      <c r="K23" s="63">
        <f t="shared" si="5"/>
        <v>209.45829172260989</v>
      </c>
      <c r="L23" s="47">
        <f t="shared" si="6"/>
        <v>206.90372263979032</v>
      </c>
      <c r="M23" s="47">
        <f t="shared" si="7"/>
        <v>304.63352851680048</v>
      </c>
    </row>
    <row r="24" spans="1:13" x14ac:dyDescent="0.15">
      <c r="A24" s="40">
        <v>34639</v>
      </c>
      <c r="B24" s="12" t="s">
        <v>7</v>
      </c>
      <c r="C24" s="12">
        <v>226</v>
      </c>
      <c r="D24" s="42">
        <v>1.0008330000000001</v>
      </c>
      <c r="E24" s="43">
        <f>'[1]IPC99ON (real)'!O174</f>
        <v>1.0606426893401475</v>
      </c>
      <c r="F24" s="31">
        <f t="shared" si="0"/>
        <v>93.903306682630273</v>
      </c>
      <c r="G24" s="44">
        <f t="shared" si="1"/>
        <v>1.0606426893401477</v>
      </c>
      <c r="H24" s="44">
        <f t="shared" si="3"/>
        <v>213.25584975343335</v>
      </c>
      <c r="I24" s="35">
        <f t="shared" si="2"/>
        <v>3.5000000000000003E-2</v>
      </c>
      <c r="J24" s="45">
        <f t="shared" si="4"/>
        <v>90.61669094873821</v>
      </c>
      <c r="K24" s="63">
        <f t="shared" si="5"/>
        <v>205.79189501206318</v>
      </c>
      <c r="L24" s="47">
        <f t="shared" si="6"/>
        <v>206.90372263979032</v>
      </c>
      <c r="M24" s="47">
        <f t="shared" si="7"/>
        <v>304.63352851680048</v>
      </c>
    </row>
    <row r="25" spans="1:13" x14ac:dyDescent="0.15">
      <c r="A25" s="40">
        <v>34669</v>
      </c>
      <c r="B25" s="41" t="s">
        <v>39</v>
      </c>
      <c r="C25" s="12">
        <v>227</v>
      </c>
      <c r="D25" s="42">
        <v>1.0018499999999999</v>
      </c>
      <c r="E25" s="43">
        <f>'[1]IPC99ON (real)'!O175</f>
        <v>1.0629492412569266</v>
      </c>
      <c r="F25" s="31">
        <f t="shared" si="0"/>
        <v>94.209774897162774</v>
      </c>
      <c r="G25" s="44">
        <f t="shared" si="1"/>
        <v>1.0629492412569268</v>
      </c>
      <c r="H25" s="44">
        <f t="shared" si="3"/>
        <v>213.95184376920781</v>
      </c>
      <c r="I25" s="35">
        <f t="shared" si="2"/>
        <v>3.5000000000000003E-2</v>
      </c>
      <c r="J25" s="45">
        <f t="shared" si="4"/>
        <v>90.91243277576207</v>
      </c>
      <c r="K25" s="63">
        <f t="shared" si="5"/>
        <v>206.46352923728554</v>
      </c>
      <c r="L25" s="47">
        <f t="shared" si="6"/>
        <v>206.90372263979032</v>
      </c>
      <c r="M25" s="47">
        <f t="shared" si="7"/>
        <v>304.63352851680048</v>
      </c>
    </row>
    <row r="26" spans="1:13" x14ac:dyDescent="0.15">
      <c r="A26" s="40">
        <v>34700</v>
      </c>
      <c r="B26" s="41" t="s">
        <v>40</v>
      </c>
      <c r="C26" s="12">
        <v>240</v>
      </c>
      <c r="D26" s="42">
        <v>1.0019181818181999</v>
      </c>
      <c r="E26" s="43">
        <f>'[1]IPC99ON (real)'!O176</f>
        <v>1.0761932379055892</v>
      </c>
      <c r="F26" s="31">
        <f t="shared" si="0"/>
        <v>98.385970350398509</v>
      </c>
      <c r="G26" s="44">
        <f t="shared" si="1"/>
        <v>1.0761932379055894</v>
      </c>
      <c r="H26" s="44">
        <f t="shared" si="3"/>
        <v>223.43604769747003</v>
      </c>
      <c r="I26" s="35">
        <f t="shared" si="2"/>
        <v>3.5000000000000003E-2</v>
      </c>
      <c r="J26" s="45">
        <f t="shared" si="4"/>
        <v>94.942461388134561</v>
      </c>
      <c r="K26" s="63">
        <f t="shared" si="5"/>
        <v>215.61578602805858</v>
      </c>
      <c r="L26" s="47">
        <f t="shared" si="6"/>
        <v>206.90372263979032</v>
      </c>
      <c r="M26" s="47">
        <f t="shared" si="7"/>
        <v>304.63352851680048</v>
      </c>
    </row>
    <row r="27" spans="1:13" x14ac:dyDescent="0.15">
      <c r="A27" s="40">
        <v>34731</v>
      </c>
      <c r="B27" s="12" t="s">
        <v>1</v>
      </c>
      <c r="C27" s="12">
        <v>211</v>
      </c>
      <c r="D27" s="42">
        <v>1.001935</v>
      </c>
      <c r="E27" s="43">
        <f>'[1]IPC99ON (real)'!O177</f>
        <v>1.0761637569224829</v>
      </c>
      <c r="F27" s="31">
        <f t="shared" si="0"/>
        <v>86.501487149376487</v>
      </c>
      <c r="G27" s="44">
        <f t="shared" si="1"/>
        <v>1.0761637569224831</v>
      </c>
      <c r="H27" s="44">
        <f t="shared" si="3"/>
        <v>196.44620406523123</v>
      </c>
      <c r="I27" s="35">
        <f t="shared" si="2"/>
        <v>3.5000000000000003E-2</v>
      </c>
      <c r="J27" s="45">
        <f t="shared" si="4"/>
        <v>83.473935099148306</v>
      </c>
      <c r="K27" s="63">
        <f t="shared" si="5"/>
        <v>189.57058692294814</v>
      </c>
      <c r="L27" s="47">
        <f t="shared" si="6"/>
        <v>206.90372263979032</v>
      </c>
      <c r="M27" s="47">
        <f t="shared" si="7"/>
        <v>304.63352851680048</v>
      </c>
    </row>
    <row r="28" spans="1:13" x14ac:dyDescent="0.15">
      <c r="A28" s="40">
        <v>34759</v>
      </c>
      <c r="B28" s="12" t="s">
        <v>2</v>
      </c>
      <c r="C28" s="12">
        <v>208</v>
      </c>
      <c r="D28" s="42">
        <v>1.0037499999999999</v>
      </c>
      <c r="E28" s="43">
        <f>'[1]IPC99ON (real)'!O178</f>
        <v>1.0713288756932946</v>
      </c>
      <c r="F28" s="31">
        <f t="shared" si="0"/>
        <v>85.811603070880892</v>
      </c>
      <c r="G28" s="44">
        <f t="shared" si="1"/>
        <v>1.0713288756932948</v>
      </c>
      <c r="H28" s="44">
        <f t="shared" si="3"/>
        <v>194.87946674161196</v>
      </c>
      <c r="I28" s="35">
        <f t="shared" si="2"/>
        <v>3.5000000000000003E-2</v>
      </c>
      <c r="J28" s="45">
        <f t="shared" si="4"/>
        <v>82.808196963400064</v>
      </c>
      <c r="K28" s="63">
        <f t="shared" si="5"/>
        <v>188.05868540565555</v>
      </c>
      <c r="L28" s="47">
        <f t="shared" si="6"/>
        <v>206.90372263979032</v>
      </c>
      <c r="M28" s="47">
        <f t="shared" si="7"/>
        <v>304.63352851680048</v>
      </c>
    </row>
    <row r="29" spans="1:13" x14ac:dyDescent="0.15">
      <c r="A29" s="40">
        <v>34790</v>
      </c>
      <c r="B29" s="12" t="s">
        <v>3</v>
      </c>
      <c r="C29" s="12">
        <v>206</v>
      </c>
      <c r="D29" s="42">
        <v>1.0014944444444445</v>
      </c>
      <c r="E29" s="43">
        <f>'[1]IPC99ON (real)'!O179</f>
        <v>1.0762284140786083</v>
      </c>
      <c r="F29" s="31">
        <f t="shared" si="0"/>
        <v>84.409483650050234</v>
      </c>
      <c r="G29" s="44">
        <f t="shared" si="1"/>
        <v>1.0762284140786085</v>
      </c>
      <c r="H29" s="44">
        <f t="shared" si="3"/>
        <v>191.69523203137311</v>
      </c>
      <c r="I29" s="35">
        <f t="shared" si="2"/>
        <v>3.5000000000000003E-2</v>
      </c>
      <c r="J29" s="45">
        <f t="shared" si="4"/>
        <v>81.455151722298467</v>
      </c>
      <c r="K29" s="63">
        <f t="shared" si="5"/>
        <v>184.98589891027504</v>
      </c>
      <c r="L29" s="47">
        <f t="shared" si="6"/>
        <v>206.90372263979032</v>
      </c>
      <c r="M29" s="47">
        <f t="shared" si="7"/>
        <v>304.63352851680048</v>
      </c>
    </row>
    <row r="30" spans="1:13" x14ac:dyDescent="0.15">
      <c r="A30" s="40">
        <v>34820</v>
      </c>
      <c r="B30" s="12" t="s">
        <v>2</v>
      </c>
      <c r="C30" s="12">
        <v>204</v>
      </c>
      <c r="D30" s="42">
        <v>1.0003952380952383</v>
      </c>
      <c r="E30" s="43">
        <f>'[1]IPC99ON (real)'!O180</f>
        <v>1.0764545466194664</v>
      </c>
      <c r="F30" s="31">
        <f t="shared" si="0"/>
        <v>83.480687970974742</v>
      </c>
      <c r="G30" s="44">
        <f t="shared" si="1"/>
        <v>1.0764545466194666</v>
      </c>
      <c r="H30" s="44">
        <f t="shared" si="3"/>
        <v>189.58592279844066</v>
      </c>
      <c r="I30" s="35">
        <f t="shared" si="2"/>
        <v>3.5000000000000003E-2</v>
      </c>
      <c r="J30" s="45">
        <f t="shared" si="4"/>
        <v>80.558863891990626</v>
      </c>
      <c r="K30" s="63">
        <f t="shared" si="5"/>
        <v>182.95041550049524</v>
      </c>
      <c r="L30" s="47">
        <f t="shared" si="6"/>
        <v>206.90372263979032</v>
      </c>
      <c r="M30" s="47">
        <f t="shared" si="7"/>
        <v>304.63352851680048</v>
      </c>
    </row>
    <row r="31" spans="1:13" x14ac:dyDescent="0.15">
      <c r="A31" s="40">
        <v>34851</v>
      </c>
      <c r="B31" s="12" t="s">
        <v>4</v>
      </c>
      <c r="C31" s="12">
        <v>213</v>
      </c>
      <c r="D31" s="42">
        <v>0.99933809523809547</v>
      </c>
      <c r="E31" s="43">
        <f>'[1]IPC99ON (real)'!O181</f>
        <v>1.074236772663173</v>
      </c>
      <c r="F31" s="31">
        <f t="shared" si="0"/>
        <v>87.251311665594471</v>
      </c>
      <c r="G31" s="44">
        <f t="shared" si="1"/>
        <v>1.0742367726631732</v>
      </c>
      <c r="H31" s="44">
        <f t="shared" si="3"/>
        <v>198.14906704227695</v>
      </c>
      <c r="I31" s="35">
        <f t="shared" si="2"/>
        <v>3.5000000000000003E-2</v>
      </c>
      <c r="J31" s="45">
        <f t="shared" si="4"/>
        <v>84.19751575729866</v>
      </c>
      <c r="K31" s="63">
        <f t="shared" si="5"/>
        <v>191.21384969579725</v>
      </c>
      <c r="L31" s="47">
        <f t="shared" si="6"/>
        <v>206.90372263979032</v>
      </c>
      <c r="M31" s="47">
        <f t="shared" si="7"/>
        <v>304.63352851680048</v>
      </c>
    </row>
    <row r="32" spans="1:13" x14ac:dyDescent="0.15">
      <c r="A32" s="40">
        <v>34881</v>
      </c>
      <c r="B32" s="12" t="s">
        <v>4</v>
      </c>
      <c r="C32" s="12">
        <v>234</v>
      </c>
      <c r="D32" s="42">
        <v>0.99941000000000013</v>
      </c>
      <c r="E32" s="43">
        <f>'[1]IPC99ON (real)'!O182</f>
        <v>1.0785959380286243</v>
      </c>
      <c r="F32" s="31">
        <f t="shared" si="0"/>
        <v>95.473028774915036</v>
      </c>
      <c r="G32" s="44">
        <f t="shared" si="1"/>
        <v>1.0785959380286245</v>
      </c>
      <c r="H32" s="44">
        <f t="shared" si="3"/>
        <v>216.82071270121327</v>
      </c>
      <c r="I32" s="35">
        <f t="shared" si="2"/>
        <v>3.5000000000000003E-2</v>
      </c>
      <c r="J32" s="45">
        <f t="shared" si="4"/>
        <v>92.131472767793014</v>
      </c>
      <c r="K32" s="63">
        <f t="shared" si="5"/>
        <v>209.2319877566708</v>
      </c>
      <c r="L32" s="47">
        <f t="shared" si="6"/>
        <v>206.90372263979032</v>
      </c>
      <c r="M32" s="47">
        <f t="shared" si="7"/>
        <v>304.63352851680048</v>
      </c>
    </row>
    <row r="33" spans="1:13" x14ac:dyDescent="0.15">
      <c r="A33" s="40">
        <v>34912</v>
      </c>
      <c r="B33" s="12" t="s">
        <v>3</v>
      </c>
      <c r="C33" s="12">
        <v>236</v>
      </c>
      <c r="D33" s="42">
        <v>0.99987000000000004</v>
      </c>
      <c r="E33" s="43">
        <f>'[1]IPC99ON (real)'!O183</f>
        <v>1.0759821808674521</v>
      </c>
      <c r="F33" s="31">
        <f t="shared" si="0"/>
        <v>96.56736798451638</v>
      </c>
      <c r="G33" s="44">
        <f t="shared" si="1"/>
        <v>1.0759821808674523</v>
      </c>
      <c r="H33" s="44">
        <f t="shared" si="3"/>
        <v>219.30597383105595</v>
      </c>
      <c r="I33" s="35">
        <f t="shared" si="2"/>
        <v>3.5000000000000003E-2</v>
      </c>
      <c r="J33" s="45">
        <f t="shared" si="4"/>
        <v>93.187510105058308</v>
      </c>
      <c r="K33" s="63">
        <f t="shared" si="5"/>
        <v>211.63026474696898</v>
      </c>
      <c r="L33" s="47">
        <f t="shared" si="6"/>
        <v>206.90372263979032</v>
      </c>
      <c r="M33" s="47">
        <f t="shared" si="7"/>
        <v>304.63352851680048</v>
      </c>
    </row>
    <row r="34" spans="1:13" x14ac:dyDescent="0.15">
      <c r="A34" s="40">
        <v>34943</v>
      </c>
      <c r="B34" s="12" t="s">
        <v>5</v>
      </c>
      <c r="C34" s="12">
        <v>241</v>
      </c>
      <c r="D34" s="42">
        <v>0.99904285714285712</v>
      </c>
      <c r="E34" s="43">
        <f>'[1]IPC99ON (real)'!O184</f>
        <v>1.0777513748649139</v>
      </c>
      <c r="F34" s="31">
        <f t="shared" ref="F34:F65" si="8">+(C34*(D34/E34))/(AVERAGE(C$2:C$13)*AVERAGE(D$2:D$13)/AVERAGE(E$2:E$13))*100</f>
        <v>98.369963163549727</v>
      </c>
      <c r="G34" s="44">
        <f t="shared" ref="G34:G66" si="9">+E34/AVERAGE(E$2:E$13)</f>
        <v>1.0777513748649141</v>
      </c>
      <c r="H34" s="44">
        <f t="shared" si="3"/>
        <v>223.39969513062019</v>
      </c>
      <c r="I34" s="35">
        <f t="shared" si="2"/>
        <v>3.5000000000000003E-2</v>
      </c>
      <c r="J34" s="45">
        <f t="shared" si="4"/>
        <v>94.927014452825489</v>
      </c>
      <c r="K34" s="63">
        <f t="shared" si="5"/>
        <v>215.58070580104848</v>
      </c>
      <c r="L34" s="47">
        <f t="shared" si="6"/>
        <v>206.90372263979032</v>
      </c>
      <c r="M34" s="47">
        <f t="shared" si="7"/>
        <v>304.63352851680048</v>
      </c>
    </row>
    <row r="35" spans="1:13" x14ac:dyDescent="0.15">
      <c r="A35" s="40">
        <v>34973</v>
      </c>
      <c r="B35" s="12" t="s">
        <v>6</v>
      </c>
      <c r="C35" s="12">
        <v>258</v>
      </c>
      <c r="D35" s="42">
        <v>0.99944</v>
      </c>
      <c r="E35" s="43">
        <f>'[1]IPC99ON (real)'!O185</f>
        <v>1.0814153920491933</v>
      </c>
      <c r="F35" s="31">
        <f t="shared" si="8"/>
        <v>104.99383979878377</v>
      </c>
      <c r="G35" s="44">
        <f t="shared" si="9"/>
        <v>1.0814153920491936</v>
      </c>
      <c r="H35" s="44">
        <f t="shared" si="3"/>
        <v>238.44262056542854</v>
      </c>
      <c r="I35" s="35">
        <f t="shared" si="2"/>
        <v>3.5000000000000003E-2</v>
      </c>
      <c r="J35" s="45">
        <f t="shared" si="4"/>
        <v>101.31905540582633</v>
      </c>
      <c r="K35" s="63">
        <f t="shared" si="5"/>
        <v>230.09712884563854</v>
      </c>
      <c r="L35" s="47">
        <f t="shared" si="6"/>
        <v>206.90372263979032</v>
      </c>
      <c r="M35" s="47">
        <f t="shared" si="7"/>
        <v>304.63352851680048</v>
      </c>
    </row>
    <row r="36" spans="1:13" x14ac:dyDescent="0.15">
      <c r="A36" s="40">
        <v>35004</v>
      </c>
      <c r="B36" s="12" t="s">
        <v>7</v>
      </c>
      <c r="C36" s="12">
        <v>262</v>
      </c>
      <c r="D36" s="42">
        <v>0.99969523809523808</v>
      </c>
      <c r="E36" s="43">
        <f>'[1]IPC99ON (real)'!O186</f>
        <v>1.0789453546806578</v>
      </c>
      <c r="F36" s="31">
        <f t="shared" si="8"/>
        <v>106.8930324738333</v>
      </c>
      <c r="G36" s="44">
        <f t="shared" si="9"/>
        <v>1.078945354680658</v>
      </c>
      <c r="H36" s="44">
        <f t="shared" si="3"/>
        <v>242.75571626004592</v>
      </c>
      <c r="I36" s="35">
        <f t="shared" si="2"/>
        <v>3.5000000000000003E-2</v>
      </c>
      <c r="J36" s="45">
        <f t="shared" si="4"/>
        <v>103.15177633724913</v>
      </c>
      <c r="K36" s="63">
        <f t="shared" si="5"/>
        <v>234.25926619094429</v>
      </c>
      <c r="L36" s="47">
        <f t="shared" si="6"/>
        <v>206.90372263979032</v>
      </c>
      <c r="M36" s="47">
        <f t="shared" si="7"/>
        <v>304.63352851680048</v>
      </c>
    </row>
    <row r="37" spans="1:13" x14ac:dyDescent="0.15">
      <c r="A37" s="40">
        <v>35034</v>
      </c>
      <c r="B37" s="41" t="s">
        <v>41</v>
      </c>
      <c r="C37" s="12">
        <v>272</v>
      </c>
      <c r="D37" s="42">
        <v>1.0001166666666699</v>
      </c>
      <c r="E37" s="43">
        <f>'[1]IPC99ON (real)'!O187</f>
        <v>1.0800388311449101</v>
      </c>
      <c r="F37" s="31">
        <f t="shared" si="8"/>
        <v>110.90729963932809</v>
      </c>
      <c r="G37" s="44">
        <f t="shared" si="9"/>
        <v>1.0800388311449103</v>
      </c>
      <c r="H37" s="44">
        <f t="shared" si="3"/>
        <v>251.87217856321254</v>
      </c>
      <c r="I37" s="35">
        <f t="shared" si="2"/>
        <v>3.5000000000000003E-2</v>
      </c>
      <c r="J37" s="45">
        <f t="shared" si="4"/>
        <v>107.02554415195161</v>
      </c>
      <c r="K37" s="63">
        <f t="shared" si="5"/>
        <v>243.05665231350011</v>
      </c>
      <c r="L37" s="47">
        <f t="shared" si="6"/>
        <v>206.90372263979032</v>
      </c>
      <c r="M37" s="47">
        <f t="shared" si="7"/>
        <v>304.63352851680048</v>
      </c>
    </row>
    <row r="38" spans="1:13" x14ac:dyDescent="0.15">
      <c r="A38" s="40">
        <v>35065</v>
      </c>
      <c r="B38" s="41" t="s">
        <v>42</v>
      </c>
      <c r="C38" s="12">
        <v>275</v>
      </c>
      <c r="D38" s="42">
        <v>0.99921818181818201</v>
      </c>
      <c r="E38" s="43">
        <f>'[1]IPC99ON (real)'!O188</f>
        <v>1.0832767141188584</v>
      </c>
      <c r="F38" s="31">
        <f t="shared" si="8"/>
        <v>111.69495220278181</v>
      </c>
      <c r="G38" s="44">
        <f t="shared" si="9"/>
        <v>1.0832767141188586</v>
      </c>
      <c r="H38" s="44">
        <f t="shared" si="3"/>
        <v>253.66094961573248</v>
      </c>
      <c r="I38" s="35">
        <f t="shared" si="2"/>
        <v>3.5000000000000003E-2</v>
      </c>
      <c r="J38" s="45">
        <f t="shared" si="4"/>
        <v>107.78562887568444</v>
      </c>
      <c r="K38" s="63">
        <f t="shared" si="5"/>
        <v>244.78281637918184</v>
      </c>
      <c r="L38" s="47">
        <f t="shared" si="6"/>
        <v>206.90372263979032</v>
      </c>
      <c r="M38" s="47">
        <f t="shared" si="7"/>
        <v>304.63352851680048</v>
      </c>
    </row>
    <row r="39" spans="1:13" x14ac:dyDescent="0.15">
      <c r="A39" s="40">
        <v>35096</v>
      </c>
      <c r="B39" s="12" t="s">
        <v>1</v>
      </c>
      <c r="C39" s="12">
        <v>273</v>
      </c>
      <c r="D39" s="42">
        <v>0.99939523809523845</v>
      </c>
      <c r="E39" s="43">
        <f>'[1]IPC99ON (real)'!O189</f>
        <v>1.0797564167272042</v>
      </c>
      <c r="F39" s="31">
        <f t="shared" si="8"/>
        <v>111.26384445117475</v>
      </c>
      <c r="G39" s="44">
        <f t="shared" si="9"/>
        <v>1.0797564167272045</v>
      </c>
      <c r="H39" s="44">
        <f t="shared" si="3"/>
        <v>252.68189729955606</v>
      </c>
      <c r="I39" s="35">
        <f t="shared" si="2"/>
        <v>3.5000000000000003E-2</v>
      </c>
      <c r="J39" s="45">
        <f t="shared" si="4"/>
        <v>107.36960989538363</v>
      </c>
      <c r="K39" s="63">
        <f t="shared" si="5"/>
        <v>243.83803089407158</v>
      </c>
      <c r="L39" s="47">
        <f t="shared" si="6"/>
        <v>206.90372263979032</v>
      </c>
      <c r="M39" s="47">
        <f t="shared" si="7"/>
        <v>304.63352851680048</v>
      </c>
    </row>
    <row r="40" spans="1:13" x14ac:dyDescent="0.15">
      <c r="A40" s="40">
        <v>35125</v>
      </c>
      <c r="B40" s="12" t="s">
        <v>2</v>
      </c>
      <c r="C40" s="12">
        <v>268</v>
      </c>
      <c r="D40" s="42">
        <v>0.9999714285714284</v>
      </c>
      <c r="E40" s="43">
        <f>'[1]IPC99ON (real)'!O190</f>
        <v>1.073931242474631</v>
      </c>
      <c r="F40" s="31">
        <f t="shared" si="8"/>
        <v>109.88181924915659</v>
      </c>
      <c r="G40" s="44">
        <f t="shared" si="9"/>
        <v>1.0739312424746312</v>
      </c>
      <c r="H40" s="44">
        <f t="shared" si="3"/>
        <v>249.54329686844309</v>
      </c>
      <c r="I40" s="35">
        <f t="shared" si="2"/>
        <v>3.5000000000000003E-2</v>
      </c>
      <c r="J40" s="45">
        <f t="shared" si="4"/>
        <v>106.03595557543611</v>
      </c>
      <c r="K40" s="63">
        <f t="shared" si="5"/>
        <v>240.80928147804758</v>
      </c>
      <c r="L40" s="47">
        <f t="shared" si="6"/>
        <v>206.90372263979032</v>
      </c>
      <c r="M40" s="47">
        <f t="shared" si="7"/>
        <v>304.63352851680048</v>
      </c>
    </row>
    <row r="41" spans="1:13" x14ac:dyDescent="0.15">
      <c r="A41" s="40">
        <v>35156</v>
      </c>
      <c r="B41" s="12" t="s">
        <v>3</v>
      </c>
      <c r="C41" s="12">
        <v>290</v>
      </c>
      <c r="D41" s="42">
        <v>0.99930000000000019</v>
      </c>
      <c r="E41" s="43">
        <f>'[1]IPC99ON (real)'!O191</f>
        <v>1.0739476580220451</v>
      </c>
      <c r="F41" s="31">
        <f t="shared" si="8"/>
        <v>118.82031590577758</v>
      </c>
      <c r="G41" s="44">
        <f t="shared" si="9"/>
        <v>1.0739476580220453</v>
      </c>
      <c r="H41" s="44">
        <f t="shared" si="3"/>
        <v>269.84275987317375</v>
      </c>
      <c r="I41" s="35">
        <f t="shared" si="2"/>
        <v>3.5000000000000003E-2</v>
      </c>
      <c r="J41" s="45">
        <f t="shared" si="4"/>
        <v>114.66160484907536</v>
      </c>
      <c r="K41" s="63">
        <f t="shared" si="5"/>
        <v>260.39826327761267</v>
      </c>
      <c r="L41" s="47">
        <f t="shared" si="6"/>
        <v>206.90372263979032</v>
      </c>
      <c r="M41" s="47">
        <f t="shared" si="7"/>
        <v>304.63352851680048</v>
      </c>
    </row>
    <row r="42" spans="1:13" x14ac:dyDescent="0.15">
      <c r="A42" s="40">
        <v>35186</v>
      </c>
      <c r="B42" s="12" t="s">
        <v>2</v>
      </c>
      <c r="C42" s="12">
        <v>294</v>
      </c>
      <c r="D42" s="42">
        <v>1.0001</v>
      </c>
      <c r="E42" s="43">
        <f>'[1]IPC99ON (real)'!O192</f>
        <v>1.0729898610823128</v>
      </c>
      <c r="F42" s="31">
        <f t="shared" si="8"/>
        <v>120.66326485703183</v>
      </c>
      <c r="G42" s="44">
        <f t="shared" si="9"/>
        <v>1.072989861082313</v>
      </c>
      <c r="H42" s="44">
        <f t="shared" si="3"/>
        <v>274.02812520839274</v>
      </c>
      <c r="I42" s="35">
        <f t="shared" si="2"/>
        <v>3.5000000000000003E-2</v>
      </c>
      <c r="J42" s="45">
        <f t="shared" si="4"/>
        <v>116.44005058703571</v>
      </c>
      <c r="K42" s="63">
        <f t="shared" si="5"/>
        <v>264.43714082609898</v>
      </c>
      <c r="L42" s="47">
        <f t="shared" si="6"/>
        <v>206.90372263979032</v>
      </c>
      <c r="M42" s="47">
        <f t="shared" si="7"/>
        <v>304.63352851680048</v>
      </c>
    </row>
    <row r="43" spans="1:13" x14ac:dyDescent="0.15">
      <c r="A43" s="40">
        <v>35217</v>
      </c>
      <c r="B43" s="12" t="s">
        <v>4</v>
      </c>
      <c r="C43" s="12">
        <v>284</v>
      </c>
      <c r="D43" s="42">
        <v>1.0006999999999999</v>
      </c>
      <c r="E43" s="43">
        <f>'[1]IPC99ON (real)'!O193</f>
        <v>1.073017667009559</v>
      </c>
      <c r="F43" s="31">
        <f t="shared" si="8"/>
        <v>116.62597832881067</v>
      </c>
      <c r="G43" s="44">
        <f t="shared" si="9"/>
        <v>1.0730176670095593</v>
      </c>
      <c r="H43" s="44">
        <f t="shared" si="3"/>
        <v>264.85938557940642</v>
      </c>
      <c r="I43" s="35">
        <f t="shared" si="2"/>
        <v>3.5000000000000003E-2</v>
      </c>
      <c r="J43" s="45">
        <f t="shared" si="4"/>
        <v>112.5440690873023</v>
      </c>
      <c r="K43" s="63">
        <f t="shared" si="5"/>
        <v>255.5893070841272</v>
      </c>
      <c r="L43" s="47">
        <f t="shared" si="6"/>
        <v>206.90372263979032</v>
      </c>
      <c r="M43" s="47">
        <f t="shared" si="7"/>
        <v>304.63352851680048</v>
      </c>
    </row>
    <row r="44" spans="1:13" x14ac:dyDescent="0.15">
      <c r="A44" s="40">
        <v>35247</v>
      </c>
      <c r="B44" s="12" t="s">
        <v>4</v>
      </c>
      <c r="C44" s="12">
        <v>285</v>
      </c>
      <c r="D44" s="42">
        <v>1.0014357142857147</v>
      </c>
      <c r="E44" s="43">
        <f>'[1]IPC99ON (real)'!O194</f>
        <v>1.0788354710163586</v>
      </c>
      <c r="F44" s="31">
        <f t="shared" si="8"/>
        <v>116.49107448330382</v>
      </c>
      <c r="G44" s="44">
        <f t="shared" si="9"/>
        <v>1.0788354710163588</v>
      </c>
      <c r="H44" s="44">
        <f t="shared" si="3"/>
        <v>264.55301687712205</v>
      </c>
      <c r="I44" s="35">
        <f t="shared" si="2"/>
        <v>3.5000000000000003E-2</v>
      </c>
      <c r="J44" s="45">
        <f t="shared" si="4"/>
        <v>112.41388687638818</v>
      </c>
      <c r="K44" s="63">
        <f t="shared" si="5"/>
        <v>255.29366128642278</v>
      </c>
      <c r="L44" s="47">
        <f t="shared" si="6"/>
        <v>206.90372263979032</v>
      </c>
      <c r="M44" s="47">
        <f t="shared" si="7"/>
        <v>304.63352851680048</v>
      </c>
    </row>
    <row r="45" spans="1:13" x14ac:dyDescent="0.15">
      <c r="A45" s="40">
        <v>35278</v>
      </c>
      <c r="B45" s="12" t="s">
        <v>3</v>
      </c>
      <c r="C45" s="12">
        <v>295</v>
      </c>
      <c r="D45" s="42">
        <v>1.001195238095238</v>
      </c>
      <c r="E45" s="43">
        <f>'[1]IPC99ON (real)'!O195</f>
        <v>1.0779999531542721</v>
      </c>
      <c r="F45" s="31">
        <f t="shared" si="8"/>
        <v>120.64295939797259</v>
      </c>
      <c r="G45" s="44">
        <f t="shared" si="9"/>
        <v>1.0779999531542723</v>
      </c>
      <c r="H45" s="44">
        <f t="shared" si="3"/>
        <v>273.98201119942661</v>
      </c>
      <c r="I45" s="35">
        <f t="shared" si="2"/>
        <v>3.5000000000000003E-2</v>
      </c>
      <c r="J45" s="45">
        <f t="shared" si="4"/>
        <v>116.42045581904354</v>
      </c>
      <c r="K45" s="63">
        <f t="shared" si="5"/>
        <v>264.3926408074467</v>
      </c>
      <c r="L45" s="47">
        <f t="shared" si="6"/>
        <v>206.90372263979032</v>
      </c>
      <c r="M45" s="47">
        <f t="shared" si="7"/>
        <v>304.63352851680048</v>
      </c>
    </row>
    <row r="46" spans="1:13" x14ac:dyDescent="0.15">
      <c r="A46" s="40">
        <v>35309</v>
      </c>
      <c r="B46" s="12" t="s">
        <v>5</v>
      </c>
      <c r="C46" s="12">
        <v>309</v>
      </c>
      <c r="D46" s="42">
        <v>1.0002714285714285</v>
      </c>
      <c r="E46" s="43">
        <f>'[1]IPC99ON (real)'!O196</f>
        <v>1.0799574234301974</v>
      </c>
      <c r="F46" s="31">
        <f t="shared" si="8"/>
        <v>126.02295011452509</v>
      </c>
      <c r="G46" s="44">
        <f t="shared" si="9"/>
        <v>1.0799574234301976</v>
      </c>
      <c r="H46" s="44">
        <f t="shared" si="3"/>
        <v>286.20005263434246</v>
      </c>
      <c r="I46" s="35">
        <f t="shared" si="2"/>
        <v>3.5000000000000003E-2</v>
      </c>
      <c r="J46" s="45">
        <f t="shared" si="4"/>
        <v>121.6121468605167</v>
      </c>
      <c r="K46" s="63">
        <f t="shared" si="5"/>
        <v>276.18305079214048</v>
      </c>
      <c r="L46" s="47">
        <f t="shared" si="6"/>
        <v>206.90372263979032</v>
      </c>
      <c r="M46" s="47">
        <f t="shared" si="7"/>
        <v>304.63352851680048</v>
      </c>
    </row>
    <row r="47" spans="1:13" x14ac:dyDescent="0.15">
      <c r="A47" s="40">
        <v>35339</v>
      </c>
      <c r="B47" s="12" t="s">
        <v>6</v>
      </c>
      <c r="C47" s="12">
        <v>304</v>
      </c>
      <c r="D47" s="42">
        <v>0.99967391304347852</v>
      </c>
      <c r="E47" s="43">
        <f>'[1]IPC99ON (real)'!O197</f>
        <v>1.085401354969429</v>
      </c>
      <c r="F47" s="31">
        <f t="shared" si="8"/>
        <v>123.28820114876444</v>
      </c>
      <c r="G47" s="44">
        <f t="shared" si="9"/>
        <v>1.0854013549694292</v>
      </c>
      <c r="H47" s="44">
        <f t="shared" si="3"/>
        <v>279.98939578786224</v>
      </c>
      <c r="I47" s="35">
        <f t="shared" si="2"/>
        <v>3.5000000000000003E-2</v>
      </c>
      <c r="J47" s="45">
        <f t="shared" si="4"/>
        <v>118.97311410855768</v>
      </c>
      <c r="K47" s="63">
        <f t="shared" si="5"/>
        <v>270.18976693528703</v>
      </c>
      <c r="L47" s="47">
        <f t="shared" si="6"/>
        <v>206.90372263979032</v>
      </c>
      <c r="M47" s="47">
        <f t="shared" si="7"/>
        <v>304.63352851680048</v>
      </c>
    </row>
    <row r="48" spans="1:13" x14ac:dyDescent="0.15">
      <c r="A48" s="40">
        <v>35370</v>
      </c>
      <c r="B48" s="12" t="s">
        <v>7</v>
      </c>
      <c r="C48" s="12">
        <v>304</v>
      </c>
      <c r="D48" s="42">
        <v>0.99930952380952409</v>
      </c>
      <c r="E48" s="43">
        <f>'[1]IPC99ON (real)'!O198</f>
        <v>1.0837155787537085</v>
      </c>
      <c r="F48" s="31">
        <f t="shared" si="8"/>
        <v>123.43497293527757</v>
      </c>
      <c r="G48" s="44">
        <f t="shared" si="9"/>
        <v>1.0837155787537087</v>
      </c>
      <c r="H48" s="44">
        <f t="shared" si="3"/>
        <v>280.32271676620087</v>
      </c>
      <c r="I48" s="35">
        <f t="shared" si="2"/>
        <v>3.5000000000000003E-2</v>
      </c>
      <c r="J48" s="45">
        <f t="shared" si="4"/>
        <v>119.11474888254286</v>
      </c>
      <c r="K48" s="63">
        <f t="shared" si="5"/>
        <v>270.51142167938383</v>
      </c>
      <c r="L48" s="47">
        <f t="shared" si="6"/>
        <v>206.90372263979032</v>
      </c>
      <c r="M48" s="47">
        <f t="shared" si="7"/>
        <v>304.63352851680048</v>
      </c>
    </row>
    <row r="49" spans="1:13" x14ac:dyDescent="0.15">
      <c r="A49" s="40">
        <v>35400</v>
      </c>
      <c r="B49" s="41" t="s">
        <v>43</v>
      </c>
      <c r="C49" s="12">
        <v>304</v>
      </c>
      <c r="D49" s="42">
        <v>1.0002000000000002</v>
      </c>
      <c r="E49" s="43">
        <f>'[1]IPC99ON (real)'!O199</f>
        <v>1.0806254357064542</v>
      </c>
      <c r="F49" s="31">
        <f t="shared" si="8"/>
        <v>123.89825243025405</v>
      </c>
      <c r="G49" s="44">
        <f t="shared" si="9"/>
        <v>1.0806254357064544</v>
      </c>
      <c r="H49" s="44">
        <f t="shared" si="3"/>
        <v>281.37483160501546</v>
      </c>
      <c r="I49" s="35">
        <f t="shared" si="2"/>
        <v>3.5000000000000003E-2</v>
      </c>
      <c r="J49" s="45">
        <f t="shared" si="4"/>
        <v>119.56181359519515</v>
      </c>
      <c r="K49" s="63">
        <f t="shared" si="5"/>
        <v>271.52671249883991</v>
      </c>
      <c r="L49" s="47">
        <f t="shared" si="6"/>
        <v>206.90372263979032</v>
      </c>
      <c r="M49" s="47">
        <f t="shared" si="7"/>
        <v>304.63352851680048</v>
      </c>
    </row>
    <row r="50" spans="1:13" x14ac:dyDescent="0.15">
      <c r="A50" s="40">
        <v>35431</v>
      </c>
      <c r="B50" s="41" t="s">
        <v>44</v>
      </c>
      <c r="C50" s="12">
        <v>302</v>
      </c>
      <c r="D50" s="42">
        <v>0.999</v>
      </c>
      <c r="E50" s="43">
        <f>'[1]IPC99ON (real)'!O200</f>
        <v>1.0856727140184714</v>
      </c>
      <c r="F50" s="31">
        <f t="shared" si="8"/>
        <v>122.36393676090897</v>
      </c>
      <c r="G50" s="44">
        <f t="shared" si="9"/>
        <v>1.0856727140184717</v>
      </c>
      <c r="H50" s="44">
        <f t="shared" si="3"/>
        <v>277.89037718679083</v>
      </c>
      <c r="I50" s="35">
        <f t="shared" si="2"/>
        <v>3.5000000000000003E-2</v>
      </c>
      <c r="J50" s="45">
        <f t="shared" si="4"/>
        <v>118.08119897427716</v>
      </c>
      <c r="K50" s="63">
        <f t="shared" si="5"/>
        <v>268.16421398525313</v>
      </c>
      <c r="L50" s="47">
        <f t="shared" si="6"/>
        <v>206.90372263979032</v>
      </c>
      <c r="M50" s="47">
        <f t="shared" si="7"/>
        <v>304.63352851680048</v>
      </c>
    </row>
    <row r="51" spans="1:13" x14ac:dyDescent="0.15">
      <c r="A51" s="40">
        <v>35462</v>
      </c>
      <c r="B51" s="12" t="s">
        <v>1</v>
      </c>
      <c r="C51" s="12">
        <v>302</v>
      </c>
      <c r="D51" s="42">
        <v>0.99919999999999998</v>
      </c>
      <c r="E51" s="43">
        <f>'[1]IPC99ON (real)'!O201</f>
        <v>1.0898472882283434</v>
      </c>
      <c r="F51" s="31">
        <f t="shared" si="8"/>
        <v>121.91963478727202</v>
      </c>
      <c r="G51" s="44">
        <f t="shared" si="9"/>
        <v>1.0898472882283436</v>
      </c>
      <c r="H51" s="44">
        <f t="shared" si="3"/>
        <v>276.88136059001312</v>
      </c>
      <c r="I51" s="35">
        <f t="shared" si="2"/>
        <v>3.5000000000000003E-2</v>
      </c>
      <c r="J51" s="45">
        <f t="shared" si="4"/>
        <v>117.65244756971749</v>
      </c>
      <c r="K51" s="63">
        <f t="shared" si="5"/>
        <v>267.19051296936266</v>
      </c>
      <c r="L51" s="47">
        <f t="shared" si="6"/>
        <v>206.90372263979032</v>
      </c>
      <c r="M51" s="47">
        <f t="shared" si="7"/>
        <v>304.63352851680048</v>
      </c>
    </row>
    <row r="52" spans="1:13" x14ac:dyDescent="0.15">
      <c r="A52" s="40">
        <v>35490</v>
      </c>
      <c r="B52" s="12" t="s">
        <v>2</v>
      </c>
      <c r="C52" s="12">
        <v>303</v>
      </c>
      <c r="D52" s="42">
        <v>0.99929999999999997</v>
      </c>
      <c r="E52" s="43">
        <f>'[1]IPC99ON (real)'!O202</f>
        <v>1.0844747140686595</v>
      </c>
      <c r="F52" s="31">
        <f t="shared" si="8"/>
        <v>122.941644549267</v>
      </c>
      <c r="G52" s="44">
        <f t="shared" si="9"/>
        <v>1.0844747140686597</v>
      </c>
      <c r="H52" s="44">
        <f t="shared" si="3"/>
        <v>279.20236043496175</v>
      </c>
      <c r="I52" s="35">
        <f t="shared" si="2"/>
        <v>3.5000000000000003E-2</v>
      </c>
      <c r="J52" s="45">
        <f t="shared" si="4"/>
        <v>118.63868699004264</v>
      </c>
      <c r="K52" s="63">
        <f t="shared" si="5"/>
        <v>269.43027781973808</v>
      </c>
      <c r="L52" s="47">
        <f t="shared" si="6"/>
        <v>206.90372263979032</v>
      </c>
      <c r="M52" s="47">
        <f t="shared" si="7"/>
        <v>304.63352851680048</v>
      </c>
    </row>
    <row r="53" spans="1:13" x14ac:dyDescent="0.15">
      <c r="A53" s="40">
        <v>35521</v>
      </c>
      <c r="B53" s="12" t="s">
        <v>3</v>
      </c>
      <c r="C53" s="12">
        <v>312</v>
      </c>
      <c r="D53" s="42">
        <v>0.99919999999999998</v>
      </c>
      <c r="E53" s="43">
        <f>'[1]IPC99ON (real)'!O203</f>
        <v>1.0808904295432264</v>
      </c>
      <c r="F53" s="31">
        <f t="shared" si="8"/>
        <v>127.0004560624398</v>
      </c>
      <c r="G53" s="44">
        <f t="shared" si="9"/>
        <v>1.0808904295432267</v>
      </c>
      <c r="H53" s="44">
        <f t="shared" si="3"/>
        <v>288.41998363492087</v>
      </c>
      <c r="I53" s="35">
        <f t="shared" si="2"/>
        <v>3.5000000000000003E-2</v>
      </c>
      <c r="J53" s="45">
        <f t="shared" si="4"/>
        <v>122.5554401002544</v>
      </c>
      <c r="K53" s="63">
        <f t="shared" si="5"/>
        <v>278.32528420769864</v>
      </c>
      <c r="L53" s="47">
        <f t="shared" si="6"/>
        <v>206.90372263979032</v>
      </c>
      <c r="M53" s="47">
        <f t="shared" si="7"/>
        <v>304.63352851680048</v>
      </c>
    </row>
    <row r="54" spans="1:13" x14ac:dyDescent="0.15">
      <c r="A54" s="40">
        <v>35551</v>
      </c>
      <c r="B54" s="12" t="s">
        <v>2</v>
      </c>
      <c r="C54" s="12">
        <v>316</v>
      </c>
      <c r="D54" s="42">
        <v>0.99929999999999997</v>
      </c>
      <c r="E54" s="43">
        <f>'[1]IPC99ON (real)'!O204</f>
        <v>1.0799936046367364</v>
      </c>
      <c r="F54" s="31">
        <f t="shared" si="8"/>
        <v>128.74836392546453</v>
      </c>
      <c r="G54" s="44">
        <f t="shared" si="9"/>
        <v>1.0799936046367367</v>
      </c>
      <c r="H54" s="44">
        <f t="shared" si="3"/>
        <v>292.38950920104236</v>
      </c>
      <c r="I54" s="35">
        <f t="shared" si="2"/>
        <v>3.5000000000000003E-2</v>
      </c>
      <c r="J54" s="45">
        <f t="shared" si="4"/>
        <v>124.24217118807327</v>
      </c>
      <c r="K54" s="63">
        <f t="shared" si="5"/>
        <v>282.15587637900586</v>
      </c>
      <c r="L54" s="47">
        <f t="shared" si="6"/>
        <v>206.90372263979032</v>
      </c>
      <c r="M54" s="47">
        <f t="shared" si="7"/>
        <v>304.63352851680048</v>
      </c>
    </row>
    <row r="55" spans="1:13" x14ac:dyDescent="0.15">
      <c r="A55" s="40">
        <v>35582</v>
      </c>
      <c r="B55" s="12" t="s">
        <v>4</v>
      </c>
      <c r="C55" s="12">
        <v>299</v>
      </c>
      <c r="D55" s="42">
        <v>0.99939999999999996</v>
      </c>
      <c r="E55" s="43">
        <f>'[1]IPC99ON (real)'!O205</f>
        <v>1.0824525866366088</v>
      </c>
      <c r="F55" s="31">
        <f t="shared" si="8"/>
        <v>121.55745070810704</v>
      </c>
      <c r="G55" s="44">
        <f t="shared" si="9"/>
        <v>1.082452586636609</v>
      </c>
      <c r="H55" s="44">
        <f t="shared" si="3"/>
        <v>276.05883499109535</v>
      </c>
      <c r="I55" s="35">
        <f t="shared" si="2"/>
        <v>3.5000000000000003E-2</v>
      </c>
      <c r="J55" s="45">
        <f t="shared" si="4"/>
        <v>117.30293993332329</v>
      </c>
      <c r="K55" s="63">
        <f t="shared" si="5"/>
        <v>266.39677576640702</v>
      </c>
      <c r="L55" s="47">
        <f t="shared" si="6"/>
        <v>206.90372263979032</v>
      </c>
      <c r="M55" s="47">
        <f t="shared" si="7"/>
        <v>304.63352851680048</v>
      </c>
    </row>
    <row r="56" spans="1:13" x14ac:dyDescent="0.15">
      <c r="A56" s="40">
        <v>35612</v>
      </c>
      <c r="B56" s="12" t="s">
        <v>4</v>
      </c>
      <c r="C56" s="12">
        <v>283</v>
      </c>
      <c r="D56" s="42">
        <v>0.99980000000000002</v>
      </c>
      <c r="E56" s="43">
        <f>'[1]IPC99ON (real)'!O206</f>
        <v>1.0848579668490297</v>
      </c>
      <c r="F56" s="31">
        <f t="shared" si="8"/>
        <v>114.8435524231338</v>
      </c>
      <c r="G56" s="44">
        <f t="shared" si="9"/>
        <v>1.0848579668490299</v>
      </c>
      <c r="H56" s="44">
        <f t="shared" si="3"/>
        <v>260.81146900898847</v>
      </c>
      <c r="I56" s="35">
        <f t="shared" si="2"/>
        <v>3.5000000000000003E-2</v>
      </c>
      <c r="J56" s="45">
        <f t="shared" si="4"/>
        <v>110.82402808832411</v>
      </c>
      <c r="K56" s="63">
        <f t="shared" si="5"/>
        <v>251.68306759367385</v>
      </c>
      <c r="L56" s="47">
        <f t="shared" si="6"/>
        <v>206.90372263979032</v>
      </c>
      <c r="M56" s="47">
        <f t="shared" si="7"/>
        <v>304.63352851680048</v>
      </c>
    </row>
    <row r="57" spans="1:13" x14ac:dyDescent="0.15">
      <c r="A57" s="40">
        <v>35643</v>
      </c>
      <c r="B57" s="12" t="s">
        <v>3</v>
      </c>
      <c r="C57" s="12">
        <v>296</v>
      </c>
      <c r="D57" s="42">
        <v>0.99970000000000003</v>
      </c>
      <c r="E57" s="43">
        <f>'[1]IPC99ON (real)'!O207</f>
        <v>1.0866432413827216</v>
      </c>
      <c r="F57" s="31">
        <f t="shared" si="8"/>
        <v>119.90971000483013</v>
      </c>
      <c r="G57" s="44">
        <f t="shared" si="9"/>
        <v>1.0866432413827218</v>
      </c>
      <c r="H57" s="44">
        <f t="shared" si="3"/>
        <v>272.31679058111257</v>
      </c>
      <c r="I57" s="35">
        <f t="shared" si="2"/>
        <v>3.5000000000000003E-2</v>
      </c>
      <c r="J57" s="45">
        <f t="shared" si="4"/>
        <v>115.71287015466108</v>
      </c>
      <c r="K57" s="63">
        <f t="shared" si="5"/>
        <v>262.78570291077364</v>
      </c>
      <c r="L57" s="47">
        <f t="shared" si="6"/>
        <v>206.90372263979032</v>
      </c>
      <c r="M57" s="47">
        <f t="shared" si="7"/>
        <v>304.63352851680048</v>
      </c>
    </row>
    <row r="58" spans="1:13" x14ac:dyDescent="0.15">
      <c r="A58" s="40">
        <v>35674</v>
      </c>
      <c r="B58" s="12" t="s">
        <v>5</v>
      </c>
      <c r="C58" s="12">
        <v>302</v>
      </c>
      <c r="D58" s="42">
        <v>0.99970000000000003</v>
      </c>
      <c r="E58" s="43">
        <f>'[1]IPC99ON (real)'!O208</f>
        <v>1.0861229690331584</v>
      </c>
      <c r="F58" s="31">
        <f t="shared" si="8"/>
        <v>122.39891543476251</v>
      </c>
      <c r="G58" s="44">
        <f t="shared" si="9"/>
        <v>1.0861229690331586</v>
      </c>
      <c r="H58" s="44">
        <f t="shared" si="3"/>
        <v>277.96981429161076</v>
      </c>
      <c r="I58" s="35">
        <f t="shared" si="2"/>
        <v>3.5000000000000003E-2</v>
      </c>
      <c r="J58" s="45">
        <f t="shared" si="4"/>
        <v>118.11495339454582</v>
      </c>
      <c r="K58" s="63">
        <f t="shared" si="5"/>
        <v>268.24087079140435</v>
      </c>
      <c r="L58" s="47">
        <f t="shared" si="6"/>
        <v>206.90372263979032</v>
      </c>
      <c r="M58" s="47">
        <f t="shared" si="7"/>
        <v>304.63352851680048</v>
      </c>
    </row>
    <row r="59" spans="1:13" x14ac:dyDescent="0.15">
      <c r="A59" s="40">
        <v>35704</v>
      </c>
      <c r="B59" s="12" t="s">
        <v>6</v>
      </c>
      <c r="C59" s="12">
        <v>302</v>
      </c>
      <c r="D59" s="42">
        <v>1.0004</v>
      </c>
      <c r="E59" s="43">
        <f>'[1]IPC99ON (real)'!O209</f>
        <v>1.0844214472923708</v>
      </c>
      <c r="F59" s="31">
        <f t="shared" si="8"/>
        <v>122.67680604053723</v>
      </c>
      <c r="G59" s="44">
        <f t="shared" si="9"/>
        <v>1.084421447292371</v>
      </c>
      <c r="H59" s="44">
        <f t="shared" si="3"/>
        <v>278.60090811957645</v>
      </c>
      <c r="I59" s="35">
        <f t="shared" si="2"/>
        <v>3.5000000000000003E-2</v>
      </c>
      <c r="J59" s="45">
        <f t="shared" si="4"/>
        <v>118.38311782911842</v>
      </c>
      <c r="K59" s="63">
        <f t="shared" si="5"/>
        <v>268.84987633539129</v>
      </c>
      <c r="L59" s="47">
        <f t="shared" si="6"/>
        <v>206.90372263979032</v>
      </c>
      <c r="M59" s="47">
        <f t="shared" si="7"/>
        <v>304.63352851680048</v>
      </c>
    </row>
    <row r="60" spans="1:13" x14ac:dyDescent="0.15">
      <c r="A60" s="40">
        <v>35735</v>
      </c>
      <c r="B60" s="12" t="s">
        <v>7</v>
      </c>
      <c r="C60" s="12">
        <v>300</v>
      </c>
      <c r="D60" s="42">
        <v>1.0011000000000001</v>
      </c>
      <c r="E60" s="43">
        <f>'[1]IPC99ON (real)'!O210</f>
        <v>1.0823256174025597</v>
      </c>
      <c r="F60" s="31">
        <f t="shared" si="8"/>
        <v>122.18579275592502</v>
      </c>
      <c r="G60" s="44">
        <f t="shared" si="9"/>
        <v>1.0823256174025599</v>
      </c>
      <c r="H60" s="44">
        <f t="shared" si="3"/>
        <v>277.48580941912178</v>
      </c>
      <c r="I60" s="35">
        <f t="shared" si="2"/>
        <v>3.5000000000000003E-2</v>
      </c>
      <c r="J60" s="45">
        <f t="shared" si="4"/>
        <v>117.90929000946764</v>
      </c>
      <c r="K60" s="63">
        <f t="shared" si="5"/>
        <v>267.77380608945253</v>
      </c>
      <c r="L60" s="47">
        <f t="shared" si="6"/>
        <v>206.90372263979032</v>
      </c>
      <c r="M60" s="47">
        <f t="shared" si="7"/>
        <v>304.63352851680048</v>
      </c>
    </row>
    <row r="61" spans="1:13" x14ac:dyDescent="0.15">
      <c r="A61" s="40">
        <v>35765</v>
      </c>
      <c r="B61" s="41" t="s">
        <v>45</v>
      </c>
      <c r="C61" s="12">
        <v>300</v>
      </c>
      <c r="D61" s="42">
        <v>1.0006999999999999</v>
      </c>
      <c r="E61" s="43">
        <f>'[1]IPC99ON (real)'!O211</f>
        <v>1.084169853902464</v>
      </c>
      <c r="F61" s="31">
        <f t="shared" si="8"/>
        <v>121.92920998947001</v>
      </c>
      <c r="G61" s="44">
        <f t="shared" si="9"/>
        <v>1.0841698539024642</v>
      </c>
      <c r="H61" s="44">
        <f t="shared" si="3"/>
        <v>276.90310602106814</v>
      </c>
      <c r="I61" s="35">
        <f t="shared" si="2"/>
        <v>3.5000000000000003E-2</v>
      </c>
      <c r="J61" s="45">
        <f t="shared" si="4"/>
        <v>117.66168763983856</v>
      </c>
      <c r="K61" s="63">
        <f t="shared" si="5"/>
        <v>267.21149731033074</v>
      </c>
      <c r="L61" s="47">
        <f t="shared" si="6"/>
        <v>206.90372263979032</v>
      </c>
      <c r="M61" s="47">
        <f t="shared" si="7"/>
        <v>304.63352851680048</v>
      </c>
    </row>
    <row r="62" spans="1:13" x14ac:dyDescent="0.15">
      <c r="A62" s="40">
        <v>35796</v>
      </c>
      <c r="B62" s="41" t="s">
        <v>46</v>
      </c>
      <c r="C62" s="12">
        <v>300</v>
      </c>
      <c r="D62" s="42">
        <v>0.99939999999999996</v>
      </c>
      <c r="E62" s="43">
        <f>'[1]IPC99ON (real)'!O212</f>
        <v>1.0909846511560766</v>
      </c>
      <c r="F62" s="31">
        <f t="shared" si="8"/>
        <v>121.01017579437381</v>
      </c>
      <c r="G62" s="44">
        <f t="shared" si="9"/>
        <v>1.0909846511560768</v>
      </c>
      <c r="H62" s="44">
        <f t="shared" si="3"/>
        <v>274.81596526797296</v>
      </c>
      <c r="I62" s="35">
        <f t="shared" si="2"/>
        <v>3.5000000000000003E-2</v>
      </c>
      <c r="J62" s="45">
        <f t="shared" si="4"/>
        <v>116.77481964157072</v>
      </c>
      <c r="K62" s="63">
        <f t="shared" si="5"/>
        <v>265.19740648359391</v>
      </c>
      <c r="L62" s="47">
        <f t="shared" si="6"/>
        <v>206.90372263979032</v>
      </c>
      <c r="M62" s="47">
        <f t="shared" si="7"/>
        <v>304.63352851680048</v>
      </c>
    </row>
    <row r="63" spans="1:13" x14ac:dyDescent="0.15">
      <c r="A63" s="40">
        <v>35827</v>
      </c>
      <c r="B63" s="12" t="s">
        <v>1</v>
      </c>
      <c r="C63" s="12">
        <v>297</v>
      </c>
      <c r="D63" s="42">
        <v>0.99909999999999999</v>
      </c>
      <c r="E63" s="43">
        <f>'[1]IPC99ON (real)'!O213</f>
        <v>1.0896342211231778</v>
      </c>
      <c r="F63" s="31">
        <f t="shared" si="8"/>
        <v>119.91254119542769</v>
      </c>
      <c r="G63" s="44">
        <f t="shared" si="9"/>
        <v>1.089634221123178</v>
      </c>
      <c r="H63" s="44">
        <f t="shared" si="3"/>
        <v>272.32322025838414</v>
      </c>
      <c r="I63" s="35">
        <f t="shared" si="2"/>
        <v>3.5000000000000003E-2</v>
      </c>
      <c r="J63" s="45">
        <f t="shared" si="4"/>
        <v>115.71560225358772</v>
      </c>
      <c r="K63" s="63">
        <f t="shared" si="5"/>
        <v>262.79190754934069</v>
      </c>
      <c r="L63" s="47">
        <f t="shared" si="6"/>
        <v>206.90372263979032</v>
      </c>
      <c r="M63" s="47">
        <f t="shared" si="7"/>
        <v>304.63352851680048</v>
      </c>
    </row>
    <row r="64" spans="1:13" x14ac:dyDescent="0.15">
      <c r="A64" s="40">
        <v>35855</v>
      </c>
      <c r="B64" s="12" t="s">
        <v>2</v>
      </c>
      <c r="C64" s="12">
        <v>233</v>
      </c>
      <c r="D64" s="42">
        <v>0.99990000000000001</v>
      </c>
      <c r="E64" s="43">
        <f>'[1]IPC99ON (real)'!O214</f>
        <v>1.093413482150507</v>
      </c>
      <c r="F64" s="31">
        <f t="shared" si="8"/>
        <v>93.822715272694893</v>
      </c>
      <c r="G64" s="44">
        <f t="shared" si="9"/>
        <v>1.0934134821505073</v>
      </c>
      <c r="H64" s="44">
        <f t="shared" si="3"/>
        <v>213.07282542536913</v>
      </c>
      <c r="I64" s="35">
        <f t="shared" si="2"/>
        <v>3.5000000000000003E-2</v>
      </c>
      <c r="J64" s="45">
        <f t="shared" si="4"/>
        <v>90.538920238150567</v>
      </c>
      <c r="K64" s="63">
        <f t="shared" si="5"/>
        <v>205.6152765354812</v>
      </c>
      <c r="L64" s="47">
        <f t="shared" si="6"/>
        <v>206.90372263979032</v>
      </c>
      <c r="M64" s="47">
        <f t="shared" si="7"/>
        <v>304.63352851680048</v>
      </c>
    </row>
    <row r="65" spans="1:13" x14ac:dyDescent="0.15">
      <c r="A65" s="40">
        <v>35886</v>
      </c>
      <c r="B65" s="12" t="s">
        <v>3</v>
      </c>
      <c r="C65" s="12">
        <v>229</v>
      </c>
      <c r="D65" s="42">
        <v>1.0006999999999999</v>
      </c>
      <c r="E65" s="43">
        <f>'[1]IPC99ON (real)'!O215</f>
        <v>1.0935367662616717</v>
      </c>
      <c r="F65" s="31">
        <f t="shared" si="8"/>
        <v>92.275397681332976</v>
      </c>
      <c r="G65" s="44">
        <f t="shared" si="9"/>
        <v>1.093536766261672</v>
      </c>
      <c r="H65" s="44">
        <f t="shared" si="3"/>
        <v>209.55884344282239</v>
      </c>
      <c r="I65" s="35">
        <f t="shared" si="2"/>
        <v>3.5000000000000003E-2</v>
      </c>
      <c r="J65" s="45">
        <f t="shared" si="4"/>
        <v>89.045758762486315</v>
      </c>
      <c r="K65" s="63">
        <f t="shared" si="5"/>
        <v>202.22428392232359</v>
      </c>
      <c r="L65" s="47">
        <f t="shared" si="6"/>
        <v>206.90372263979032</v>
      </c>
      <c r="M65" s="47">
        <f t="shared" si="7"/>
        <v>304.63352851680048</v>
      </c>
    </row>
    <row r="66" spans="1:13" x14ac:dyDescent="0.15">
      <c r="A66" s="40">
        <v>35916</v>
      </c>
      <c r="B66" s="12" t="s">
        <v>2</v>
      </c>
      <c r="C66" s="12">
        <v>230</v>
      </c>
      <c r="D66" s="42">
        <v>0.99990000000000001</v>
      </c>
      <c r="E66" s="43">
        <f>'[1]IPC99ON (real)'!O216</f>
        <v>1.0927471449301058</v>
      </c>
      <c r="F66" s="31">
        <f t="shared" ref="F66:F129" si="10">+(C66*(D66/E66))/(AVERAGE(C$2:C$13)*AVERAGE(D$2:D$13)/AVERAGE(E$2:E$13))*100</f>
        <v>92.671172227895255</v>
      </c>
      <c r="G66" s="44">
        <f t="shared" si="9"/>
        <v>1.0927471449301061</v>
      </c>
      <c r="H66" s="44">
        <f t="shared" ref="H66:H129" si="11">+(C66*D66)/G66</f>
        <v>210.45765350840585</v>
      </c>
      <c r="I66" s="35">
        <f t="shared" ref="I66:I96" si="12">+I67</f>
        <v>3.5000000000000003E-2</v>
      </c>
      <c r="J66" s="45">
        <f t="shared" si="4"/>
        <v>89.427681199918922</v>
      </c>
      <c r="K66" s="63">
        <f t="shared" ref="K66:K129" si="13">+H66*(1-I66)</f>
        <v>203.09163563561165</v>
      </c>
      <c r="L66" s="47">
        <f t="shared" si="6"/>
        <v>206.90372263979032</v>
      </c>
      <c r="M66" s="47">
        <f t="shared" si="7"/>
        <v>304.63352851680048</v>
      </c>
    </row>
    <row r="67" spans="1:13" x14ac:dyDescent="0.15">
      <c r="A67" s="40">
        <v>35947</v>
      </c>
      <c r="B67" s="12" t="s">
        <v>4</v>
      </c>
      <c r="C67" s="12">
        <v>224</v>
      </c>
      <c r="D67" s="42">
        <v>0.99990000000000001</v>
      </c>
      <c r="E67" s="43">
        <f>'[1]IPC99ON (real)'!O217</f>
        <v>1.0948332594959354</v>
      </c>
      <c r="F67" s="31">
        <f t="shared" si="10"/>
        <v>90.081692468145462</v>
      </c>
      <c r="G67" s="44">
        <f t="shared" ref="G67:G130" si="14">+E67/AVERAGE(E$2:E$13)</f>
        <v>1.0948332594959356</v>
      </c>
      <c r="H67" s="44">
        <f t="shared" si="11"/>
        <v>204.57690525689722</v>
      </c>
      <c r="I67" s="35">
        <f t="shared" si="12"/>
        <v>3.5000000000000003E-2</v>
      </c>
      <c r="J67" s="45">
        <f t="shared" ref="J67:J130" si="15">+F67*(1-I67)</f>
        <v>86.928833231760365</v>
      </c>
      <c r="K67" s="63">
        <f t="shared" si="13"/>
        <v>197.41671357290582</v>
      </c>
      <c r="L67" s="47">
        <f t="shared" si="6"/>
        <v>206.90372263979032</v>
      </c>
      <c r="M67" s="47">
        <f t="shared" si="7"/>
        <v>304.63352851680048</v>
      </c>
    </row>
    <row r="68" spans="1:13" x14ac:dyDescent="0.15">
      <c r="A68" s="40">
        <v>35977</v>
      </c>
      <c r="B68" s="12" t="s">
        <v>4</v>
      </c>
      <c r="C68" s="12">
        <v>219</v>
      </c>
      <c r="D68" s="42">
        <v>0.99990000000000001</v>
      </c>
      <c r="E68" s="43">
        <f>'[1]IPC99ON (real)'!O218</f>
        <v>1.098255063603127</v>
      </c>
      <c r="F68" s="31">
        <f t="shared" si="10"/>
        <v>87.796540116261951</v>
      </c>
      <c r="G68" s="44">
        <f t="shared" si="14"/>
        <v>1.0982550636031272</v>
      </c>
      <c r="H68" s="44">
        <f t="shared" si="11"/>
        <v>199.38728921638864</v>
      </c>
      <c r="I68" s="35">
        <f t="shared" si="12"/>
        <v>3.5000000000000003E-2</v>
      </c>
      <c r="J68" s="45">
        <f t="shared" si="15"/>
        <v>84.723661212192781</v>
      </c>
      <c r="K68" s="63">
        <f t="shared" si="13"/>
        <v>192.40873409381504</v>
      </c>
      <c r="L68" s="47">
        <f t="shared" ref="L68:L131" si="16">+L67</f>
        <v>206.90372263979032</v>
      </c>
      <c r="M68" s="47">
        <f t="shared" ref="M68:M131" si="17">+M67</f>
        <v>304.63352851680048</v>
      </c>
    </row>
    <row r="69" spans="1:13" x14ac:dyDescent="0.15">
      <c r="A69" s="40">
        <v>36008</v>
      </c>
      <c r="B69" s="12" t="s">
        <v>3</v>
      </c>
      <c r="C69" s="12">
        <v>206</v>
      </c>
      <c r="D69" s="42">
        <v>0.99990000000000001</v>
      </c>
      <c r="E69" s="43">
        <f>'[1]IPC99ON (real)'!O219</f>
        <v>1.0984768409987542</v>
      </c>
      <c r="F69" s="31">
        <f t="shared" si="10"/>
        <v>82.568199847253368</v>
      </c>
      <c r="G69" s="44">
        <f t="shared" si="14"/>
        <v>1.0984768409987544</v>
      </c>
      <c r="H69" s="44">
        <f t="shared" si="11"/>
        <v>187.51364827384063</v>
      </c>
      <c r="I69" s="35">
        <f t="shared" si="12"/>
        <v>3.5000000000000003E-2</v>
      </c>
      <c r="J69" s="45">
        <f t="shared" si="15"/>
        <v>79.678312852599504</v>
      </c>
      <c r="K69" s="63">
        <f t="shared" si="13"/>
        <v>180.95067058425622</v>
      </c>
      <c r="L69" s="47">
        <f t="shared" si="16"/>
        <v>206.90372263979032</v>
      </c>
      <c r="M69" s="47">
        <f t="shared" si="17"/>
        <v>304.63352851680048</v>
      </c>
    </row>
    <row r="70" spans="1:13" x14ac:dyDescent="0.15">
      <c r="A70" s="40">
        <v>36039</v>
      </c>
      <c r="B70" s="12" t="s">
        <v>5</v>
      </c>
      <c r="C70" s="12">
        <v>206</v>
      </c>
      <c r="D70" s="42">
        <v>0.99990000000000001</v>
      </c>
      <c r="E70" s="43">
        <f>'[1]IPC99ON (real)'!O220</f>
        <v>1.098137139670702</v>
      </c>
      <c r="F70" s="31">
        <f t="shared" si="10"/>
        <v>82.593741763767909</v>
      </c>
      <c r="G70" s="44">
        <f t="shared" si="14"/>
        <v>1.0981371396707023</v>
      </c>
      <c r="H70" s="44">
        <f t="shared" si="11"/>
        <v>187.57165435800388</v>
      </c>
      <c r="I70" s="35">
        <f t="shared" si="12"/>
        <v>3.5000000000000003E-2</v>
      </c>
      <c r="J70" s="45">
        <f t="shared" si="15"/>
        <v>79.702960802036031</v>
      </c>
      <c r="K70" s="63">
        <f t="shared" si="13"/>
        <v>181.00664645547374</v>
      </c>
      <c r="L70" s="47">
        <f t="shared" si="16"/>
        <v>206.90372263979032</v>
      </c>
      <c r="M70" s="47">
        <f t="shared" si="17"/>
        <v>304.63352851680048</v>
      </c>
    </row>
    <row r="71" spans="1:13" x14ac:dyDescent="0.15">
      <c r="A71" s="40">
        <v>36069</v>
      </c>
      <c r="B71" s="12" t="s">
        <v>6</v>
      </c>
      <c r="C71" s="12">
        <v>209</v>
      </c>
      <c r="D71" s="42">
        <v>0.99990000000000001</v>
      </c>
      <c r="E71" s="43">
        <f>'[1]IPC99ON (real)'!O221</f>
        <v>1.0941196857003317</v>
      </c>
      <c r="F71" s="31">
        <f t="shared" si="10"/>
        <v>84.104252468538732</v>
      </c>
      <c r="G71" s="44">
        <f t="shared" si="14"/>
        <v>1.0941196857003319</v>
      </c>
      <c r="H71" s="44">
        <f t="shared" si="11"/>
        <v>191.00204733656278</v>
      </c>
      <c r="I71" s="35">
        <f t="shared" si="12"/>
        <v>3.5000000000000003E-2</v>
      </c>
      <c r="J71" s="45">
        <f t="shared" si="15"/>
        <v>81.160603632139868</v>
      </c>
      <c r="K71" s="63">
        <f t="shared" si="13"/>
        <v>184.31697567978307</v>
      </c>
      <c r="L71" s="47">
        <f t="shared" si="16"/>
        <v>206.90372263979032</v>
      </c>
      <c r="M71" s="47">
        <f t="shared" si="17"/>
        <v>304.63352851680048</v>
      </c>
    </row>
    <row r="72" spans="1:13" x14ac:dyDescent="0.15">
      <c r="A72" s="40">
        <v>36100</v>
      </c>
      <c r="B72" s="12" t="s">
        <v>7</v>
      </c>
      <c r="C72" s="12">
        <v>214</v>
      </c>
      <c r="D72" s="42">
        <v>1.0002</v>
      </c>
      <c r="E72" s="43">
        <f>'[1]IPC99ON (real)'!O222</f>
        <v>1.0915216740642271</v>
      </c>
      <c r="F72" s="31">
        <f t="shared" si="10"/>
        <v>86.347186727111094</v>
      </c>
      <c r="G72" s="44">
        <f t="shared" si="14"/>
        <v>1.0915216740642273</v>
      </c>
      <c r="H72" s="44">
        <f t="shared" si="11"/>
        <v>196.0957854396259</v>
      </c>
      <c r="I72" s="35">
        <f t="shared" si="12"/>
        <v>3.5000000000000003E-2</v>
      </c>
      <c r="J72" s="45">
        <f t="shared" si="15"/>
        <v>83.325035191662209</v>
      </c>
      <c r="K72" s="63">
        <f t="shared" si="13"/>
        <v>189.23243294923898</v>
      </c>
      <c r="L72" s="47">
        <f t="shared" si="16"/>
        <v>206.90372263979032</v>
      </c>
      <c r="M72" s="47">
        <f t="shared" si="17"/>
        <v>304.63352851680048</v>
      </c>
    </row>
    <row r="73" spans="1:13" x14ac:dyDescent="0.15">
      <c r="A73" s="40">
        <v>36130</v>
      </c>
      <c r="B73" s="41" t="s">
        <v>47</v>
      </c>
      <c r="C73" s="12">
        <v>207</v>
      </c>
      <c r="D73" s="42">
        <v>0.99980000000000002</v>
      </c>
      <c r="E73" s="43">
        <f>'[1]IPC99ON (real)'!O223</f>
        <v>1.0913739341375333</v>
      </c>
      <c r="F73" s="31">
        <f t="shared" si="10"/>
        <v>83.500645623037059</v>
      </c>
      <c r="G73" s="44">
        <f t="shared" si="14"/>
        <v>1.0913739341375335</v>
      </c>
      <c r="H73" s="44">
        <f t="shared" si="11"/>
        <v>189.63124693238217</v>
      </c>
      <c r="I73" s="35">
        <f t="shared" si="12"/>
        <v>3.5000000000000003E-2</v>
      </c>
      <c r="J73" s="45">
        <f t="shared" si="15"/>
        <v>80.578123026230756</v>
      </c>
      <c r="K73" s="63">
        <f t="shared" si="13"/>
        <v>182.99415328974879</v>
      </c>
      <c r="L73" s="47">
        <f t="shared" si="16"/>
        <v>206.90372263979032</v>
      </c>
      <c r="M73" s="47">
        <f t="shared" si="17"/>
        <v>304.63352851680048</v>
      </c>
    </row>
    <row r="74" spans="1:13" x14ac:dyDescent="0.15">
      <c r="A74" s="40">
        <v>36161</v>
      </c>
      <c r="B74" s="41" t="s">
        <v>34</v>
      </c>
      <c r="C74" s="12">
        <v>192</v>
      </c>
      <c r="D74" s="42">
        <v>0.99994499999999997</v>
      </c>
      <c r="E74" s="43">
        <f>'[1]IPC99ON (real)'!O224</f>
        <v>1.0965187007004931</v>
      </c>
      <c r="F74" s="31">
        <f t="shared" si="10"/>
        <v>77.09766617319346</v>
      </c>
      <c r="G74" s="44">
        <f t="shared" si="14"/>
        <v>1.0965187007004933</v>
      </c>
      <c r="H74" s="44">
        <f t="shared" si="11"/>
        <v>175.0899823936889</v>
      </c>
      <c r="I74" s="35">
        <f t="shared" si="12"/>
        <v>3.5000000000000003E-2</v>
      </c>
      <c r="J74" s="45">
        <f t="shared" si="15"/>
        <v>74.399247857131684</v>
      </c>
      <c r="K74" s="63">
        <f t="shared" si="13"/>
        <v>168.96183300990978</v>
      </c>
      <c r="L74" s="47">
        <f t="shared" si="16"/>
        <v>206.90372263979032</v>
      </c>
      <c r="M74" s="47">
        <f t="shared" si="17"/>
        <v>304.63352851680048</v>
      </c>
    </row>
    <row r="75" spans="1:13" x14ac:dyDescent="0.15">
      <c r="A75" s="40">
        <v>36192</v>
      </c>
      <c r="B75" s="12" t="s">
        <v>1</v>
      </c>
      <c r="C75" s="12">
        <v>174</v>
      </c>
      <c r="D75" s="42">
        <v>1.00024</v>
      </c>
      <c r="E75" s="43">
        <f>'[1]IPC99ON (real)'!O225</f>
        <v>1.0947572119599731</v>
      </c>
      <c r="F75" s="31">
        <f t="shared" si="10"/>
        <v>70.002827848849208</v>
      </c>
      <c r="G75" s="44">
        <f t="shared" si="14"/>
        <v>1.0947572119599733</v>
      </c>
      <c r="H75" s="44">
        <f t="shared" si="11"/>
        <v>158.97749573935974</v>
      </c>
      <c r="I75" s="35">
        <f t="shared" si="12"/>
        <v>3.5000000000000003E-2</v>
      </c>
      <c r="J75" s="45">
        <f t="shared" si="15"/>
        <v>67.55272887413949</v>
      </c>
      <c r="K75" s="63">
        <f t="shared" si="13"/>
        <v>153.41328338848214</v>
      </c>
      <c r="L75" s="47">
        <f t="shared" si="16"/>
        <v>206.90372263979032</v>
      </c>
      <c r="M75" s="47">
        <f t="shared" si="17"/>
        <v>304.63352851680048</v>
      </c>
    </row>
    <row r="76" spans="1:13" x14ac:dyDescent="0.15">
      <c r="A76" s="40">
        <v>36220</v>
      </c>
      <c r="B76" s="12" t="s">
        <v>2</v>
      </c>
      <c r="C76" s="12">
        <v>167</v>
      </c>
      <c r="D76" s="42">
        <v>0.99968695652173911</v>
      </c>
      <c r="E76" s="43">
        <f>'[1]IPC99ON (real)'!O226</f>
        <v>1.0865377128636531</v>
      </c>
      <c r="F76" s="31">
        <f t="shared" si="10"/>
        <v>67.657449885431703</v>
      </c>
      <c r="G76" s="44">
        <f t="shared" si="14"/>
        <v>1.0865377128636533</v>
      </c>
      <c r="H76" s="44">
        <f t="shared" si="11"/>
        <v>153.65110641132458</v>
      </c>
      <c r="I76" s="35">
        <f t="shared" si="12"/>
        <v>3.5000000000000003E-2</v>
      </c>
      <c r="J76" s="45">
        <f t="shared" si="15"/>
        <v>65.289439139441598</v>
      </c>
      <c r="K76" s="63">
        <f t="shared" si="13"/>
        <v>148.27331768692821</v>
      </c>
      <c r="L76" s="47">
        <f t="shared" si="16"/>
        <v>206.90372263979032</v>
      </c>
      <c r="M76" s="47">
        <f t="shared" si="17"/>
        <v>304.63352851680048</v>
      </c>
    </row>
    <row r="77" spans="1:13" x14ac:dyDescent="0.15">
      <c r="A77" s="40">
        <v>36251</v>
      </c>
      <c r="B77" s="12" t="s">
        <v>3</v>
      </c>
      <c r="C77" s="12">
        <v>169</v>
      </c>
      <c r="D77" s="42">
        <v>0.99941499999999994</v>
      </c>
      <c r="E77" s="43">
        <f>'[1]IPC99ON (real)'!O227</f>
        <v>1.0854737173825069</v>
      </c>
      <c r="F77" s="31">
        <f t="shared" si="10"/>
        <v>68.516187365429928</v>
      </c>
      <c r="G77" s="44">
        <f t="shared" si="14"/>
        <v>1.0854737173825071</v>
      </c>
      <c r="H77" s="44">
        <f t="shared" si="11"/>
        <v>155.60131239960864</v>
      </c>
      <c r="I77" s="35">
        <f t="shared" si="12"/>
        <v>3.5000000000000003E-2</v>
      </c>
      <c r="J77" s="45">
        <f t="shared" si="15"/>
        <v>66.118120807639883</v>
      </c>
      <c r="K77" s="63">
        <f t="shared" si="13"/>
        <v>150.15526646562233</v>
      </c>
      <c r="L77" s="47">
        <f t="shared" si="16"/>
        <v>206.90372263979032</v>
      </c>
      <c r="M77" s="47">
        <f t="shared" si="17"/>
        <v>304.63352851680048</v>
      </c>
    </row>
    <row r="78" spans="1:13" x14ac:dyDescent="0.15">
      <c r="A78" s="40">
        <v>36281</v>
      </c>
      <c r="B78" s="12" t="s">
        <v>2</v>
      </c>
      <c r="C78" s="12">
        <v>165</v>
      </c>
      <c r="D78" s="42">
        <v>1.00017</v>
      </c>
      <c r="E78" s="43">
        <f>'[1]IPC99ON (real)'!O228</f>
        <v>1.0801292841612469</v>
      </c>
      <c r="F78" s="31">
        <f t="shared" si="10"/>
        <v>67.276278533985447</v>
      </c>
      <c r="G78" s="44">
        <f t="shared" si="14"/>
        <v>1.0801292841612471</v>
      </c>
      <c r="H78" s="44">
        <f t="shared" si="11"/>
        <v>152.78546042583159</v>
      </c>
      <c r="I78" s="35">
        <f t="shared" si="12"/>
        <v>3.5000000000000003E-2</v>
      </c>
      <c r="J78" s="45">
        <f t="shared" si="15"/>
        <v>64.921608785295959</v>
      </c>
      <c r="K78" s="63">
        <f t="shared" si="13"/>
        <v>147.43796931092749</v>
      </c>
      <c r="L78" s="47">
        <f t="shared" si="16"/>
        <v>206.90372263979032</v>
      </c>
      <c r="M78" s="47">
        <f t="shared" si="17"/>
        <v>304.63352851680048</v>
      </c>
    </row>
    <row r="79" spans="1:13" x14ac:dyDescent="0.15">
      <c r="A79" s="40">
        <v>36312</v>
      </c>
      <c r="B79" s="12" t="s">
        <v>4</v>
      </c>
      <c r="C79" s="12">
        <v>166</v>
      </c>
      <c r="D79" s="42">
        <v>1.0001150000000001</v>
      </c>
      <c r="E79" s="43">
        <f>'[1]IPC99ON (real)'!O229</f>
        <v>1.0800636219716016</v>
      </c>
      <c r="F79" s="31">
        <f t="shared" si="10"/>
        <v>67.684406173285609</v>
      </c>
      <c r="G79" s="44">
        <f t="shared" si="14"/>
        <v>1.0800636219716018</v>
      </c>
      <c r="H79" s="44">
        <f t="shared" si="11"/>
        <v>153.71232455449291</v>
      </c>
      <c r="I79" s="35">
        <f t="shared" si="12"/>
        <v>3.5000000000000003E-2</v>
      </c>
      <c r="J79" s="45">
        <f t="shared" si="15"/>
        <v>65.315451957220617</v>
      </c>
      <c r="K79" s="63">
        <f t="shared" si="13"/>
        <v>148.33239319508564</v>
      </c>
      <c r="L79" s="47">
        <f t="shared" si="16"/>
        <v>206.90372263979032</v>
      </c>
      <c r="M79" s="47">
        <f t="shared" si="17"/>
        <v>304.63352851680048</v>
      </c>
    </row>
    <row r="80" spans="1:13" x14ac:dyDescent="0.15">
      <c r="A80" s="40">
        <v>36342</v>
      </c>
      <c r="B80" s="12" t="s">
        <v>4</v>
      </c>
      <c r="C80" s="12">
        <v>162</v>
      </c>
      <c r="D80" s="42">
        <v>1.0003142857142857</v>
      </c>
      <c r="E80" s="43">
        <f>'[1]IPC99ON (real)'!O230</f>
        <v>1.0820710089121046</v>
      </c>
      <c r="F80" s="31">
        <f t="shared" si="10"/>
        <v>65.944056179601873</v>
      </c>
      <c r="G80" s="44">
        <f t="shared" si="14"/>
        <v>1.0820710089121048</v>
      </c>
      <c r="H80" s="44">
        <f t="shared" si="11"/>
        <v>149.75996302556655</v>
      </c>
      <c r="I80" s="35">
        <f t="shared" si="12"/>
        <v>3.5000000000000003E-2</v>
      </c>
      <c r="J80" s="45">
        <f t="shared" si="15"/>
        <v>63.636014213315804</v>
      </c>
      <c r="K80" s="63">
        <f t="shared" si="13"/>
        <v>144.51836431967172</v>
      </c>
      <c r="L80" s="47">
        <f t="shared" si="16"/>
        <v>206.90372263979032</v>
      </c>
      <c r="M80" s="47">
        <f t="shared" si="17"/>
        <v>304.63352851680048</v>
      </c>
    </row>
    <row r="81" spans="1:13" x14ac:dyDescent="0.15">
      <c r="A81" s="40">
        <v>36373</v>
      </c>
      <c r="B81" s="12" t="s">
        <v>3</v>
      </c>
      <c r="C81" s="12">
        <v>174</v>
      </c>
      <c r="D81" s="42">
        <v>1.0001666666666666</v>
      </c>
      <c r="E81" s="43">
        <f>'[1]IPC99ON (real)'!O231</f>
        <v>1.0779979430872435</v>
      </c>
      <c r="F81" s="31">
        <f t="shared" si="10"/>
        <v>71.085926002250361</v>
      </c>
      <c r="G81" s="44">
        <f t="shared" si="14"/>
        <v>1.0779979430872437</v>
      </c>
      <c r="H81" s="44">
        <f t="shared" si="11"/>
        <v>161.43722825815783</v>
      </c>
      <c r="I81" s="35">
        <f t="shared" si="12"/>
        <v>3.5000000000000003E-2</v>
      </c>
      <c r="J81" s="45">
        <f t="shared" si="15"/>
        <v>68.597918592171595</v>
      </c>
      <c r="K81" s="63">
        <f t="shared" si="13"/>
        <v>155.78692526912229</v>
      </c>
      <c r="L81" s="47">
        <f t="shared" si="16"/>
        <v>206.90372263979032</v>
      </c>
      <c r="M81" s="47">
        <f t="shared" si="17"/>
        <v>304.63352851680048</v>
      </c>
    </row>
    <row r="82" spans="1:13" x14ac:dyDescent="0.15">
      <c r="A82" s="40">
        <v>36404</v>
      </c>
      <c r="B82" s="12" t="s">
        <v>5</v>
      </c>
      <c r="C82" s="12">
        <v>187</v>
      </c>
      <c r="D82" s="42">
        <v>1.0004045454545454</v>
      </c>
      <c r="E82" s="43">
        <f>'[1]IPC99ON (real)'!O232</f>
        <v>1.0758501864658259</v>
      </c>
      <c r="F82" s="31">
        <f t="shared" si="10"/>
        <v>76.567663758011534</v>
      </c>
      <c r="G82" s="44">
        <f t="shared" si="14"/>
        <v>1.0758501864658261</v>
      </c>
      <c r="H82" s="44">
        <f t="shared" si="11"/>
        <v>173.88633877969994</v>
      </c>
      <c r="I82" s="35">
        <f t="shared" si="12"/>
        <v>3.5000000000000003E-2</v>
      </c>
      <c r="J82" s="45">
        <f t="shared" si="15"/>
        <v>73.887795526481128</v>
      </c>
      <c r="K82" s="63">
        <f t="shared" si="13"/>
        <v>167.80031692241045</v>
      </c>
      <c r="L82" s="47">
        <f t="shared" si="16"/>
        <v>206.90372263979032</v>
      </c>
      <c r="M82" s="47">
        <f t="shared" si="17"/>
        <v>304.63352851680048</v>
      </c>
    </row>
    <row r="83" spans="1:13" x14ac:dyDescent="0.15">
      <c r="A83" s="40">
        <v>36434</v>
      </c>
      <c r="B83" s="12" t="s">
        <v>6</v>
      </c>
      <c r="C83" s="12">
        <v>185</v>
      </c>
      <c r="D83" s="42">
        <v>1.0013399999999999</v>
      </c>
      <c r="E83" s="43">
        <f>'[1]IPC99ON (real)'!O233</f>
        <v>1.0756820108576608</v>
      </c>
      <c r="F83" s="31">
        <f t="shared" si="10"/>
        <v>75.831443009233595</v>
      </c>
      <c r="G83" s="44">
        <f t="shared" si="14"/>
        <v>1.075682010857661</v>
      </c>
      <c r="H83" s="44">
        <f t="shared" si="11"/>
        <v>172.21437016716348</v>
      </c>
      <c r="I83" s="35">
        <f t="shared" si="12"/>
        <v>3.5000000000000003E-2</v>
      </c>
      <c r="J83" s="45">
        <f t="shared" si="15"/>
        <v>73.177342503910424</v>
      </c>
      <c r="K83" s="63">
        <f t="shared" si="13"/>
        <v>166.18686721131274</v>
      </c>
      <c r="L83" s="47">
        <f t="shared" si="16"/>
        <v>206.90372263979032</v>
      </c>
      <c r="M83" s="47">
        <f t="shared" si="17"/>
        <v>304.63352851680048</v>
      </c>
    </row>
    <row r="84" spans="1:13" x14ac:dyDescent="0.15">
      <c r="A84" s="40">
        <v>36465</v>
      </c>
      <c r="B84" s="12" t="s">
        <v>7</v>
      </c>
      <c r="C84" s="12">
        <v>177</v>
      </c>
      <c r="D84" s="42">
        <v>1.0006636363636363</v>
      </c>
      <c r="E84" s="43">
        <f>'[1]IPC99ON (real)'!O234</f>
        <v>1.0722819824766263</v>
      </c>
      <c r="F84" s="31">
        <f t="shared" si="10"/>
        <v>72.733135192368024</v>
      </c>
      <c r="G84" s="44">
        <f t="shared" si="14"/>
        <v>1.0722819824766265</v>
      </c>
      <c r="H84" s="44">
        <f t="shared" si="11"/>
        <v>165.17806559360369</v>
      </c>
      <c r="I84" s="35">
        <f t="shared" si="12"/>
        <v>3.5000000000000003E-2</v>
      </c>
      <c r="J84" s="45">
        <f t="shared" si="15"/>
        <v>70.187475460635142</v>
      </c>
      <c r="K84" s="63">
        <f t="shared" si="13"/>
        <v>159.39683329782756</v>
      </c>
      <c r="L84" s="47">
        <f t="shared" si="16"/>
        <v>206.90372263979032</v>
      </c>
      <c r="M84" s="47">
        <f t="shared" si="17"/>
        <v>304.63352851680048</v>
      </c>
    </row>
    <row r="85" spans="1:13" x14ac:dyDescent="0.15">
      <c r="A85" s="40">
        <v>36495</v>
      </c>
      <c r="B85" s="41" t="s">
        <v>35</v>
      </c>
      <c r="C85" s="12">
        <v>176</v>
      </c>
      <c r="D85" s="42">
        <v>1.0015428571428571</v>
      </c>
      <c r="E85" s="43">
        <f>'[1]IPC99ON (real)'!O235</f>
        <v>1.0716149752338795</v>
      </c>
      <c r="F85" s="31">
        <f t="shared" si="10"/>
        <v>72.430813745068363</v>
      </c>
      <c r="G85" s="44">
        <f t="shared" si="14"/>
        <v>1.0716149752338797</v>
      </c>
      <c r="H85" s="44">
        <f t="shared" si="11"/>
        <v>164.49148894981764</v>
      </c>
      <c r="I85" s="35">
        <f t="shared" si="12"/>
        <v>3.5000000000000003E-2</v>
      </c>
      <c r="J85" s="45">
        <f t="shared" si="15"/>
        <v>69.895735263990971</v>
      </c>
      <c r="K85" s="63">
        <f t="shared" si="13"/>
        <v>158.734286836574</v>
      </c>
      <c r="L85" s="47">
        <f t="shared" si="16"/>
        <v>206.90372263979032</v>
      </c>
      <c r="M85" s="47">
        <f t="shared" si="17"/>
        <v>304.63352851680048</v>
      </c>
    </row>
    <row r="86" spans="1:13" x14ac:dyDescent="0.15">
      <c r="A86" s="40">
        <v>36526</v>
      </c>
      <c r="B86" s="12" t="s">
        <v>32</v>
      </c>
      <c r="C86" s="12">
        <v>179</v>
      </c>
      <c r="D86" s="42">
        <v>0.99966666666666681</v>
      </c>
      <c r="E86" s="43">
        <f>'[1]IPC99ON (real)'!O236</f>
        <v>1.0806726722816566</v>
      </c>
      <c r="F86" s="31">
        <f t="shared" si="10"/>
        <v>72.911159589442704</v>
      </c>
      <c r="G86" s="44">
        <f t="shared" si="14"/>
        <v>1.0806726722816569</v>
      </c>
      <c r="H86" s="44">
        <f t="shared" si="11"/>
        <v>165.58236172987631</v>
      </c>
      <c r="I86" s="35">
        <f t="shared" si="12"/>
        <v>3.5000000000000003E-2</v>
      </c>
      <c r="J86" s="45">
        <f t="shared" si="15"/>
        <v>70.359269003812202</v>
      </c>
      <c r="K86" s="63">
        <f t="shared" si="13"/>
        <v>159.78697906933064</v>
      </c>
      <c r="L86" s="47">
        <f t="shared" si="16"/>
        <v>206.90372263979032</v>
      </c>
      <c r="M86" s="47">
        <f t="shared" si="17"/>
        <v>304.63352851680048</v>
      </c>
    </row>
    <row r="87" spans="1:13" x14ac:dyDescent="0.15">
      <c r="A87" s="40">
        <v>36557</v>
      </c>
      <c r="B87" s="12" t="s">
        <v>1</v>
      </c>
      <c r="C87" s="12">
        <v>182</v>
      </c>
      <c r="D87" s="42">
        <v>0.99908095238095229</v>
      </c>
      <c r="E87" s="43">
        <f>'[1]IPC99ON (real)'!O237</f>
        <v>1.0807168937563107</v>
      </c>
      <c r="F87" s="31">
        <f t="shared" si="10"/>
        <v>74.086667366556426</v>
      </c>
      <c r="G87" s="44">
        <f t="shared" si="14"/>
        <v>1.080716893756311</v>
      </c>
      <c r="H87" s="44">
        <f t="shared" si="11"/>
        <v>168.25195792149287</v>
      </c>
      <c r="I87" s="35">
        <f t="shared" si="12"/>
        <v>3.5000000000000003E-2</v>
      </c>
      <c r="J87" s="45">
        <f t="shared" si="15"/>
        <v>71.493634008726943</v>
      </c>
      <c r="K87" s="63">
        <f t="shared" si="13"/>
        <v>162.36313939424062</v>
      </c>
      <c r="L87" s="47">
        <f t="shared" si="16"/>
        <v>206.90372263979032</v>
      </c>
      <c r="M87" s="47">
        <f t="shared" si="17"/>
        <v>304.63352851680048</v>
      </c>
    </row>
    <row r="88" spans="1:13" x14ac:dyDescent="0.15">
      <c r="A88" s="40">
        <v>36586</v>
      </c>
      <c r="B88" s="12" t="s">
        <v>2</v>
      </c>
      <c r="C88" s="12">
        <v>184</v>
      </c>
      <c r="D88" s="42">
        <v>0.99908260869565213</v>
      </c>
      <c r="E88" s="43">
        <f>'[1]IPC99ON (real)'!O238</f>
        <v>1.0750069633467871</v>
      </c>
      <c r="F88" s="31">
        <f t="shared" si="10"/>
        <v>75.298769190054244</v>
      </c>
      <c r="G88" s="44">
        <f t="shared" si="14"/>
        <v>1.0750069633467874</v>
      </c>
      <c r="H88" s="44">
        <f t="shared" si="11"/>
        <v>171.00465975372268</v>
      </c>
      <c r="I88" s="35">
        <f t="shared" si="12"/>
        <v>3.5000000000000003E-2</v>
      </c>
      <c r="J88" s="45">
        <f t="shared" si="15"/>
        <v>72.66331226840235</v>
      </c>
      <c r="K88" s="63">
        <f t="shared" si="13"/>
        <v>165.01949666234239</v>
      </c>
      <c r="L88" s="47">
        <f t="shared" si="16"/>
        <v>206.90372263979032</v>
      </c>
      <c r="M88" s="47">
        <f t="shared" si="17"/>
        <v>304.63352851680048</v>
      </c>
    </row>
    <row r="89" spans="1:13" x14ac:dyDescent="0.15">
      <c r="A89" s="40">
        <v>36617</v>
      </c>
      <c r="B89" s="12" t="s">
        <v>3</v>
      </c>
      <c r="C89" s="12">
        <v>190</v>
      </c>
      <c r="D89" s="42">
        <v>0.99903888888888892</v>
      </c>
      <c r="E89" s="43">
        <f>'[1]IPC99ON (real)'!O239</f>
        <v>1.0737982430394957</v>
      </c>
      <c r="F89" s="31">
        <f t="shared" si="10"/>
        <v>77.838281413978052</v>
      </c>
      <c r="G89" s="44">
        <f t="shared" si="14"/>
        <v>1.0737982430394959</v>
      </c>
      <c r="H89" s="44">
        <f t="shared" si="11"/>
        <v>176.7719309649747</v>
      </c>
      <c r="I89" s="35">
        <f t="shared" si="12"/>
        <v>3.5000000000000003E-2</v>
      </c>
      <c r="J89" s="45">
        <f t="shared" si="15"/>
        <v>75.113941564488812</v>
      </c>
      <c r="K89" s="63">
        <f t="shared" si="13"/>
        <v>170.58491338120058</v>
      </c>
      <c r="L89" s="47">
        <f t="shared" si="16"/>
        <v>206.90372263979032</v>
      </c>
      <c r="M89" s="47">
        <f t="shared" si="17"/>
        <v>304.63352851680048</v>
      </c>
    </row>
    <row r="90" spans="1:13" x14ac:dyDescent="0.15">
      <c r="A90" s="40">
        <v>36647</v>
      </c>
      <c r="B90" s="12" t="s">
        <v>2</v>
      </c>
      <c r="C90" s="12">
        <v>196</v>
      </c>
      <c r="D90" s="42">
        <v>0.99982857142857151</v>
      </c>
      <c r="E90" s="43">
        <f>'[1]IPC99ON (real)'!O240</f>
        <v>1.0696243388519626</v>
      </c>
      <c r="F90" s="31">
        <f t="shared" si="10"/>
        <v>80.673383247499757</v>
      </c>
      <c r="G90" s="44">
        <f t="shared" si="14"/>
        <v>1.0696243388519628</v>
      </c>
      <c r="H90" s="44">
        <f t="shared" si="11"/>
        <v>183.21049071334005</v>
      </c>
      <c r="I90" s="35">
        <f t="shared" si="12"/>
        <v>3.5000000000000003E-2</v>
      </c>
      <c r="J90" s="45">
        <f t="shared" si="15"/>
        <v>77.849814833837257</v>
      </c>
      <c r="K90" s="63">
        <f t="shared" si="13"/>
        <v>176.79812353837315</v>
      </c>
      <c r="L90" s="47">
        <f t="shared" si="16"/>
        <v>206.90372263979032</v>
      </c>
      <c r="M90" s="47">
        <f t="shared" si="17"/>
        <v>304.63352851680048</v>
      </c>
    </row>
    <row r="91" spans="1:13" x14ac:dyDescent="0.15">
      <c r="A91" s="40">
        <v>36678</v>
      </c>
      <c r="B91" s="12" t="s">
        <v>4</v>
      </c>
      <c r="C91" s="12">
        <v>189</v>
      </c>
      <c r="D91" s="42">
        <v>0.99959999999999993</v>
      </c>
      <c r="E91" s="43">
        <f>'[1]IPC99ON (real)'!O241</f>
        <v>1.0676467679057393</v>
      </c>
      <c r="F91" s="31">
        <f t="shared" si="10"/>
        <v>77.918466131526571</v>
      </c>
      <c r="G91" s="44">
        <f t="shared" si="14"/>
        <v>1.0676467679057395</v>
      </c>
      <c r="H91" s="44">
        <f t="shared" si="11"/>
        <v>176.95403168839056</v>
      </c>
      <c r="I91" s="35">
        <f t="shared" si="12"/>
        <v>3.5000000000000003E-2</v>
      </c>
      <c r="J91" s="45">
        <f t="shared" si="15"/>
        <v>75.191319816923141</v>
      </c>
      <c r="K91" s="63">
        <f t="shared" si="13"/>
        <v>170.76064057929688</v>
      </c>
      <c r="L91" s="47">
        <f t="shared" si="16"/>
        <v>206.90372263979032</v>
      </c>
      <c r="M91" s="47">
        <f t="shared" si="17"/>
        <v>304.63352851680048</v>
      </c>
    </row>
    <row r="92" spans="1:13" x14ac:dyDescent="0.15">
      <c r="A92" s="40">
        <v>36708</v>
      </c>
      <c r="B92" s="12" t="s">
        <v>4</v>
      </c>
      <c r="C92" s="12">
        <v>178</v>
      </c>
      <c r="D92" s="42">
        <v>0.9984571428571426</v>
      </c>
      <c r="E92" s="43">
        <f>'[1]IPC99ON (real)'!O242</f>
        <v>1.0722836575324839</v>
      </c>
      <c r="F92" s="31">
        <f t="shared" si="10"/>
        <v>72.982657998897139</v>
      </c>
      <c r="G92" s="44">
        <f t="shared" si="14"/>
        <v>1.0722836575324841</v>
      </c>
      <c r="H92" s="44">
        <f t="shared" si="11"/>
        <v>165.74473571438097</v>
      </c>
      <c r="I92" s="35">
        <f t="shared" si="12"/>
        <v>3.5000000000000003E-2</v>
      </c>
      <c r="J92" s="45">
        <f t="shared" si="15"/>
        <v>70.428264968935736</v>
      </c>
      <c r="K92" s="63">
        <f t="shared" si="13"/>
        <v>159.94366996437762</v>
      </c>
      <c r="L92" s="47">
        <f t="shared" si="16"/>
        <v>206.90372263979032</v>
      </c>
      <c r="M92" s="47">
        <f t="shared" si="17"/>
        <v>304.63352851680048</v>
      </c>
    </row>
    <row r="93" spans="1:13" x14ac:dyDescent="0.15">
      <c r="A93" s="40">
        <v>36739</v>
      </c>
      <c r="B93" s="12" t="s">
        <v>3</v>
      </c>
      <c r="C93" s="12">
        <v>179</v>
      </c>
      <c r="D93" s="42">
        <v>0.99904090909090904</v>
      </c>
      <c r="E93" s="43">
        <f>'[1]IPC99ON (real)'!O243</f>
        <v>1.0699767706045338</v>
      </c>
      <c r="F93" s="31">
        <f t="shared" si="10"/>
        <v>73.59391158538439</v>
      </c>
      <c r="G93" s="44">
        <f t="shared" si="14"/>
        <v>1.069976770604534</v>
      </c>
      <c r="H93" s="44">
        <f t="shared" si="11"/>
        <v>167.13290198462457</v>
      </c>
      <c r="I93" s="35">
        <f t="shared" si="12"/>
        <v>3.5000000000000003E-2</v>
      </c>
      <c r="J93" s="45">
        <f t="shared" si="15"/>
        <v>71.018124679895934</v>
      </c>
      <c r="K93" s="63">
        <f t="shared" si="13"/>
        <v>161.28325041516271</v>
      </c>
      <c r="L93" s="47">
        <f t="shared" si="16"/>
        <v>206.90372263979032</v>
      </c>
      <c r="M93" s="47">
        <f t="shared" si="17"/>
        <v>304.63352851680048</v>
      </c>
    </row>
    <row r="94" spans="1:13" x14ac:dyDescent="0.15">
      <c r="A94" s="40">
        <v>36770</v>
      </c>
      <c r="B94" s="12" t="s">
        <v>5</v>
      </c>
      <c r="C94" s="12">
        <v>192</v>
      </c>
      <c r="D94" s="42">
        <v>0.99883333333333335</v>
      </c>
      <c r="E94" s="43">
        <f>'[1]IPC99ON (real)'!O244</f>
        <v>1.0683335408076131</v>
      </c>
      <c r="F94" s="31">
        <f t="shared" si="10"/>
        <v>79.043711649793906</v>
      </c>
      <c r="G94" s="44">
        <f t="shared" si="14"/>
        <v>1.0683335408076133</v>
      </c>
      <c r="H94" s="44">
        <f t="shared" si="11"/>
        <v>179.50948151925078</v>
      </c>
      <c r="I94" s="35">
        <f t="shared" si="12"/>
        <v>3.5000000000000003E-2</v>
      </c>
      <c r="J94" s="45">
        <f t="shared" si="15"/>
        <v>76.277181742051113</v>
      </c>
      <c r="K94" s="63">
        <f t="shared" si="13"/>
        <v>173.22664966607701</v>
      </c>
      <c r="L94" s="47">
        <f t="shared" si="16"/>
        <v>206.90372263979032</v>
      </c>
      <c r="M94" s="47">
        <f t="shared" si="17"/>
        <v>304.63352851680048</v>
      </c>
    </row>
    <row r="95" spans="1:13" x14ac:dyDescent="0.15">
      <c r="A95" s="40">
        <v>36800</v>
      </c>
      <c r="B95" s="12" t="s">
        <v>6</v>
      </c>
      <c r="C95" s="12">
        <v>188</v>
      </c>
      <c r="D95" s="42">
        <v>0.99912857142857125</v>
      </c>
      <c r="E95" s="43">
        <f>'[1]IPC99ON (real)'!O245</f>
        <v>1.0702983813293132</v>
      </c>
      <c r="F95" s="31">
        <f t="shared" si="10"/>
        <v>77.277718487461399</v>
      </c>
      <c r="G95" s="44">
        <f t="shared" si="14"/>
        <v>1.0702983813293134</v>
      </c>
      <c r="H95" s="44">
        <f t="shared" si="11"/>
        <v>175.4988839610113</v>
      </c>
      <c r="I95" s="35">
        <f t="shared" si="12"/>
        <v>3.5000000000000003E-2</v>
      </c>
      <c r="J95" s="45">
        <f t="shared" si="15"/>
        <v>74.572998340400247</v>
      </c>
      <c r="K95" s="63">
        <f t="shared" si="13"/>
        <v>169.35642302237591</v>
      </c>
      <c r="L95" s="47">
        <f t="shared" si="16"/>
        <v>206.90372263979032</v>
      </c>
      <c r="M95" s="47">
        <f t="shared" si="17"/>
        <v>304.63352851680048</v>
      </c>
    </row>
    <row r="96" spans="1:13" x14ac:dyDescent="0.15">
      <c r="A96" s="40">
        <v>36831</v>
      </c>
      <c r="B96" s="12" t="s">
        <v>7</v>
      </c>
      <c r="C96" s="12">
        <v>189</v>
      </c>
      <c r="D96" s="42">
        <v>0.99982272727272725</v>
      </c>
      <c r="E96" s="43">
        <f>'[1]IPC99ON (real)'!O246</f>
        <v>1.065040248114441</v>
      </c>
      <c r="F96" s="31">
        <f t="shared" si="10"/>
        <v>78.126563418657383</v>
      </c>
      <c r="G96" s="44">
        <f t="shared" si="14"/>
        <v>1.0650402481144412</v>
      </c>
      <c r="H96" s="44">
        <f t="shared" si="11"/>
        <v>177.42662381923481</v>
      </c>
      <c r="I96" s="35">
        <f t="shared" si="12"/>
        <v>3.5000000000000003E-2</v>
      </c>
      <c r="J96" s="45">
        <f t="shared" si="15"/>
        <v>75.392133699004376</v>
      </c>
      <c r="K96" s="63">
        <f t="shared" si="13"/>
        <v>171.2166919855616</v>
      </c>
      <c r="L96" s="47">
        <f t="shared" si="16"/>
        <v>206.90372263979032</v>
      </c>
      <c r="M96" s="47">
        <f t="shared" si="17"/>
        <v>304.63352851680048</v>
      </c>
    </row>
    <row r="97" spans="1:13" x14ac:dyDescent="0.15">
      <c r="A97" s="40">
        <v>36861</v>
      </c>
      <c r="B97" s="12" t="s">
        <v>33</v>
      </c>
      <c r="C97" s="12">
        <v>205</v>
      </c>
      <c r="D97" s="42">
        <v>1.0004277777777777</v>
      </c>
      <c r="E97" s="43">
        <f>'[1]IPC99ON (real)'!O247</f>
        <v>1.0637525420210028</v>
      </c>
      <c r="F97" s="31">
        <f t="shared" si="10"/>
        <v>84.894376804843958</v>
      </c>
      <c r="G97" s="44">
        <f t="shared" si="14"/>
        <v>1.063752542021003</v>
      </c>
      <c r="H97" s="44">
        <f t="shared" si="11"/>
        <v>192.79643182314024</v>
      </c>
      <c r="I97" s="35">
        <f>+I98</f>
        <v>3.5000000000000003E-2</v>
      </c>
      <c r="J97" s="45">
        <f t="shared" si="15"/>
        <v>81.923073616674415</v>
      </c>
      <c r="K97" s="63">
        <f t="shared" si="13"/>
        <v>186.04855670933031</v>
      </c>
      <c r="L97" s="47">
        <f t="shared" si="16"/>
        <v>206.90372263979032</v>
      </c>
      <c r="M97" s="47">
        <f t="shared" si="17"/>
        <v>304.63352851680048</v>
      </c>
    </row>
    <row r="98" spans="1:13" x14ac:dyDescent="0.15">
      <c r="A98" s="40">
        <v>36892</v>
      </c>
      <c r="B98" s="12" t="s">
        <v>0</v>
      </c>
      <c r="C98" s="48">
        <v>206</v>
      </c>
      <c r="D98" s="42">
        <v>0.99966818181818196</v>
      </c>
      <c r="E98" s="43">
        <f>'[1]IPC99ON (real)'!O248</f>
        <v>1.0646110127499615</v>
      </c>
      <c r="F98" s="31">
        <f t="shared" si="10"/>
        <v>85.174985426544467</v>
      </c>
      <c r="G98" s="44">
        <f t="shared" si="14"/>
        <v>1.0646110127499617</v>
      </c>
      <c r="H98" s="44">
        <f t="shared" si="11"/>
        <v>193.4336983069621</v>
      </c>
      <c r="I98" s="35">
        <v>3.5000000000000003E-2</v>
      </c>
      <c r="J98" s="45">
        <f t="shared" si="15"/>
        <v>82.193860936615408</v>
      </c>
      <c r="K98" s="63">
        <f t="shared" si="13"/>
        <v>186.66351886621842</v>
      </c>
      <c r="L98" s="47">
        <f t="shared" si="16"/>
        <v>206.90372263979032</v>
      </c>
      <c r="M98" s="47">
        <f t="shared" si="17"/>
        <v>304.63352851680048</v>
      </c>
    </row>
    <row r="99" spans="1:13" x14ac:dyDescent="0.15">
      <c r="A99" s="40">
        <v>36923</v>
      </c>
      <c r="B99" s="12" t="s">
        <v>1</v>
      </c>
      <c r="C99" s="48">
        <v>187</v>
      </c>
      <c r="D99" s="42">
        <v>0.99899000000000027</v>
      </c>
      <c r="E99" s="43">
        <f>'[1]IPC99ON (real)'!O249</f>
        <v>1.0622502182453251</v>
      </c>
      <c r="F99" s="31">
        <f t="shared" si="10"/>
        <v>77.438307267267135</v>
      </c>
      <c r="G99" s="44">
        <f t="shared" si="14"/>
        <v>1.0622502182453253</v>
      </c>
      <c r="H99" s="44">
        <f t="shared" si="11"/>
        <v>175.86358354304076</v>
      </c>
      <c r="I99" s="35">
        <v>3.5000000000000003E-2</v>
      </c>
      <c r="J99" s="45">
        <f t="shared" si="15"/>
        <v>74.727966512912786</v>
      </c>
      <c r="K99" s="63">
        <f t="shared" si="13"/>
        <v>169.70835811903433</v>
      </c>
      <c r="L99" s="47">
        <f t="shared" si="16"/>
        <v>206.90372263979032</v>
      </c>
      <c r="M99" s="47">
        <f t="shared" si="17"/>
        <v>304.63352851680048</v>
      </c>
    </row>
    <row r="100" spans="1:13" x14ac:dyDescent="0.15">
      <c r="A100" s="40">
        <v>36951</v>
      </c>
      <c r="B100" s="12" t="s">
        <v>2</v>
      </c>
      <c r="C100" s="48">
        <v>178</v>
      </c>
      <c r="D100" s="42">
        <v>1.0034999999999998</v>
      </c>
      <c r="E100" s="43">
        <f>'[1]IPC99ON (real)'!O250</f>
        <v>1.0642890862266021</v>
      </c>
      <c r="F100" s="31">
        <f t="shared" si="10"/>
        <v>73.90225716926038</v>
      </c>
      <c r="G100" s="44">
        <f t="shared" si="14"/>
        <v>1.0642890862266023</v>
      </c>
      <c r="H100" s="44">
        <f t="shared" si="11"/>
        <v>167.83315953497296</v>
      </c>
      <c r="I100" s="35">
        <v>3.5000000000000003E-2</v>
      </c>
      <c r="J100" s="45">
        <f t="shared" si="15"/>
        <v>71.315678168336262</v>
      </c>
      <c r="K100" s="63">
        <f t="shared" si="13"/>
        <v>161.9589989512489</v>
      </c>
      <c r="L100" s="47">
        <f t="shared" si="16"/>
        <v>206.90372263979032</v>
      </c>
      <c r="M100" s="47">
        <f t="shared" si="17"/>
        <v>304.63352851680048</v>
      </c>
    </row>
    <row r="101" spans="1:13" x14ac:dyDescent="0.15">
      <c r="A101" s="40">
        <v>36982</v>
      </c>
      <c r="B101" s="12" t="s">
        <v>3</v>
      </c>
      <c r="C101" s="48">
        <v>153</v>
      </c>
      <c r="D101" s="42">
        <v>1.0000222222222221</v>
      </c>
      <c r="E101" s="43">
        <f>'[1]IPC99ON (real)'!O251</f>
        <v>1.0713714697405117</v>
      </c>
      <c r="F101" s="31">
        <f t="shared" si="10"/>
        <v>62.884112687103809</v>
      </c>
      <c r="G101" s="44">
        <f t="shared" si="14"/>
        <v>1.0713714697405119</v>
      </c>
      <c r="H101" s="44">
        <f t="shared" si="11"/>
        <v>142.81078442107264</v>
      </c>
      <c r="I101" s="35">
        <v>3.5000000000000003E-2</v>
      </c>
      <c r="J101" s="45">
        <f t="shared" si="15"/>
        <v>60.683168743055177</v>
      </c>
      <c r="K101" s="63">
        <f t="shared" si="13"/>
        <v>137.81240696633509</v>
      </c>
      <c r="L101" s="47">
        <f t="shared" si="16"/>
        <v>206.90372263979032</v>
      </c>
      <c r="M101" s="47">
        <f t="shared" si="17"/>
        <v>304.63352851680048</v>
      </c>
    </row>
    <row r="102" spans="1:13" x14ac:dyDescent="0.15">
      <c r="A102" s="40">
        <v>37012</v>
      </c>
      <c r="B102" s="12" t="s">
        <v>2</v>
      </c>
      <c r="C102" s="48">
        <v>157</v>
      </c>
      <c r="D102" s="42">
        <v>0.99949523809523821</v>
      </c>
      <c r="E102" s="43">
        <f>'[1]IPC99ON (real)'!O252</f>
        <v>1.0720153227872309</v>
      </c>
      <c r="F102" s="31">
        <f t="shared" si="10"/>
        <v>64.45540200860593</v>
      </c>
      <c r="G102" s="44">
        <f t="shared" si="14"/>
        <v>1.0720153227872311</v>
      </c>
      <c r="H102" s="44">
        <f t="shared" si="11"/>
        <v>146.37920657044316</v>
      </c>
      <c r="I102" s="35">
        <v>3.5000000000000003E-2</v>
      </c>
      <c r="J102" s="45">
        <f t="shared" si="15"/>
        <v>62.19946293830472</v>
      </c>
      <c r="K102" s="63">
        <f t="shared" si="13"/>
        <v>141.25593434047764</v>
      </c>
      <c r="L102" s="47">
        <f t="shared" si="16"/>
        <v>206.90372263979032</v>
      </c>
      <c r="M102" s="47">
        <f t="shared" si="17"/>
        <v>304.63352851680048</v>
      </c>
    </row>
    <row r="103" spans="1:13" x14ac:dyDescent="0.15">
      <c r="A103" s="40">
        <v>37043</v>
      </c>
      <c r="B103" s="12" t="s">
        <v>4</v>
      </c>
      <c r="C103" s="48">
        <v>166</v>
      </c>
      <c r="D103" s="42">
        <v>0.99988999999999995</v>
      </c>
      <c r="E103" s="43">
        <f>'[1]IPC99ON (real)'!O253</f>
        <v>1.0642890862266021</v>
      </c>
      <c r="F103" s="31">
        <f t="shared" si="10"/>
        <v>68.672148798762251</v>
      </c>
      <c r="G103" s="44">
        <f t="shared" si="14"/>
        <v>1.0642890862266023</v>
      </c>
      <c r="H103" s="44">
        <f t="shared" si="11"/>
        <v>155.95550320682338</v>
      </c>
      <c r="I103" s="35">
        <v>3.5000000000000003E-2</v>
      </c>
      <c r="J103" s="45">
        <f t="shared" si="15"/>
        <v>66.268623590805575</v>
      </c>
      <c r="K103" s="63">
        <f t="shared" si="13"/>
        <v>150.49706059458455</v>
      </c>
      <c r="L103" s="47">
        <f t="shared" si="16"/>
        <v>206.90372263979032</v>
      </c>
      <c r="M103" s="47">
        <f t="shared" si="17"/>
        <v>304.63352851680048</v>
      </c>
    </row>
    <row r="104" spans="1:13" x14ac:dyDescent="0.15">
      <c r="A104" s="40">
        <v>37073</v>
      </c>
      <c r="B104" s="12" t="s">
        <v>4</v>
      </c>
      <c r="C104" s="48">
        <v>188</v>
      </c>
      <c r="D104" s="42">
        <v>1.0063952380952383</v>
      </c>
      <c r="E104" s="43">
        <f>'[1]IPC99ON (real)'!O254</f>
        <v>1.060855203310767</v>
      </c>
      <c r="F104" s="31">
        <f t="shared" si="10"/>
        <v>78.532648505000338</v>
      </c>
      <c r="G104" s="44">
        <f t="shared" si="14"/>
        <v>1.0608552033107672</v>
      </c>
      <c r="H104" s="44">
        <f t="shared" si="11"/>
        <v>178.34884927880194</v>
      </c>
      <c r="I104" s="35">
        <v>3.5000000000000003E-2</v>
      </c>
      <c r="J104" s="45">
        <f t="shared" si="15"/>
        <v>75.784005807325329</v>
      </c>
      <c r="K104" s="63">
        <f t="shared" si="13"/>
        <v>172.10663955404385</v>
      </c>
      <c r="L104" s="47">
        <f t="shared" si="16"/>
        <v>206.90372263979032</v>
      </c>
      <c r="M104" s="47">
        <f t="shared" si="17"/>
        <v>304.63352851680048</v>
      </c>
    </row>
    <row r="105" spans="1:13" x14ac:dyDescent="0.15">
      <c r="A105" s="40">
        <v>37104</v>
      </c>
      <c r="B105" s="12" t="s">
        <v>3</v>
      </c>
      <c r="C105" s="48">
        <v>189</v>
      </c>
      <c r="D105" s="42">
        <v>1.0005391304347824</v>
      </c>
      <c r="E105" s="43">
        <f>'[1]IPC99ON (real)'!O255</f>
        <v>1.0570993938715727</v>
      </c>
      <c r="F105" s="31">
        <f t="shared" si="10"/>
        <v>78.769845075139074</v>
      </c>
      <c r="G105" s="44">
        <f t="shared" si="14"/>
        <v>1.0570993938715729</v>
      </c>
      <c r="H105" s="44">
        <f t="shared" si="11"/>
        <v>178.88752632767839</v>
      </c>
      <c r="I105" s="35">
        <v>3.5000000000000003E-2</v>
      </c>
      <c r="J105" s="45">
        <f t="shared" si="15"/>
        <v>76.012900497509207</v>
      </c>
      <c r="K105" s="63">
        <f t="shared" si="13"/>
        <v>172.62646290620964</v>
      </c>
      <c r="L105" s="47">
        <f t="shared" si="16"/>
        <v>206.90372263979032</v>
      </c>
      <c r="M105" s="47">
        <f t="shared" si="17"/>
        <v>304.63352851680048</v>
      </c>
    </row>
    <row r="106" spans="1:13" x14ac:dyDescent="0.15">
      <c r="A106" s="40">
        <v>37135</v>
      </c>
      <c r="B106" s="12" t="s">
        <v>5</v>
      </c>
      <c r="C106" s="48">
        <v>180</v>
      </c>
      <c r="D106" s="42">
        <v>0.99980499999999972</v>
      </c>
      <c r="E106" s="43">
        <f>'[1]IPC99ON (real)'!O256</f>
        <v>1.056240923142614</v>
      </c>
      <c r="F106" s="31">
        <f t="shared" si="10"/>
        <v>75.024783738680895</v>
      </c>
      <c r="G106" s="44">
        <f t="shared" si="14"/>
        <v>1.0562409231426142</v>
      </c>
      <c r="H106" s="44">
        <f t="shared" si="11"/>
        <v>170.38243459129919</v>
      </c>
      <c r="I106" s="35">
        <v>3.5000000000000003E-2</v>
      </c>
      <c r="J106" s="45">
        <f t="shared" si="15"/>
        <v>72.398916307827065</v>
      </c>
      <c r="K106" s="63">
        <f t="shared" si="13"/>
        <v>164.41904938060372</v>
      </c>
      <c r="L106" s="47">
        <f t="shared" si="16"/>
        <v>206.90372263979032</v>
      </c>
      <c r="M106" s="47">
        <f t="shared" si="17"/>
        <v>304.63352851680048</v>
      </c>
    </row>
    <row r="107" spans="1:13" x14ac:dyDescent="0.15">
      <c r="A107" s="40">
        <v>37165</v>
      </c>
      <c r="B107" s="12" t="s">
        <v>6</v>
      </c>
      <c r="C107" s="48">
        <v>172</v>
      </c>
      <c r="D107" s="42">
        <v>1.002413043478261</v>
      </c>
      <c r="E107" s="43">
        <f>'[1]IPC99ON (real)'!O257</f>
        <v>1.0516266429744605</v>
      </c>
      <c r="F107" s="31">
        <f t="shared" si="10"/>
        <v>72.19273715887546</v>
      </c>
      <c r="G107" s="44">
        <f t="shared" si="14"/>
        <v>1.0516266429744607</v>
      </c>
      <c r="H107" s="44">
        <f t="shared" si="11"/>
        <v>163.9508133709846</v>
      </c>
      <c r="I107" s="35">
        <v>3.5000000000000003E-2</v>
      </c>
      <c r="J107" s="45">
        <f t="shared" si="15"/>
        <v>69.665991358314812</v>
      </c>
      <c r="K107" s="63">
        <f t="shared" si="13"/>
        <v>158.21253490300015</v>
      </c>
      <c r="L107" s="47">
        <f t="shared" si="16"/>
        <v>206.90372263979032</v>
      </c>
      <c r="M107" s="47">
        <f t="shared" si="17"/>
        <v>304.63352851680048</v>
      </c>
    </row>
    <row r="108" spans="1:13" x14ac:dyDescent="0.15">
      <c r="A108" s="40">
        <v>37196</v>
      </c>
      <c r="B108" s="12" t="s">
        <v>7</v>
      </c>
      <c r="C108" s="48">
        <v>178</v>
      </c>
      <c r="D108" s="42">
        <v>1.0039409090909091</v>
      </c>
      <c r="E108" s="43">
        <f>'[1]IPC99ON (real)'!O258</f>
        <v>1.0481927600586256</v>
      </c>
      <c r="F108" s="31">
        <f t="shared" si="10"/>
        <v>75.070088997025081</v>
      </c>
      <c r="G108" s="44">
        <f t="shared" si="14"/>
        <v>1.0481927600586258</v>
      </c>
      <c r="H108" s="44">
        <f t="shared" si="11"/>
        <v>170.48532352788524</v>
      </c>
      <c r="I108" s="35">
        <v>3.5000000000000003E-2</v>
      </c>
      <c r="J108" s="45">
        <f t="shared" si="15"/>
        <v>72.442635882129196</v>
      </c>
      <c r="K108" s="63">
        <f t="shared" si="13"/>
        <v>164.51833720440925</v>
      </c>
      <c r="L108" s="47">
        <f t="shared" si="16"/>
        <v>206.90372263979032</v>
      </c>
      <c r="M108" s="47">
        <f t="shared" si="17"/>
        <v>304.63352851680048</v>
      </c>
    </row>
    <row r="109" spans="1:13" x14ac:dyDescent="0.15">
      <c r="A109" s="40">
        <v>37226</v>
      </c>
      <c r="B109" s="12" t="s">
        <v>20</v>
      </c>
      <c r="C109" s="48">
        <v>179</v>
      </c>
      <c r="D109" s="42">
        <v>1.0546000375187596</v>
      </c>
      <c r="E109" s="43">
        <f>'[1]IPC99ON (real)'!O259</f>
        <v>1.0473342893296669</v>
      </c>
      <c r="F109" s="31">
        <f t="shared" si="10"/>
        <v>79.366170138628434</v>
      </c>
      <c r="G109" s="44">
        <f t="shared" si="14"/>
        <v>1.0473342893296671</v>
      </c>
      <c r="H109" s="44">
        <f t="shared" si="11"/>
        <v>180.24178969322202</v>
      </c>
      <c r="I109" s="35">
        <v>3.5000000000000003E-2</v>
      </c>
      <c r="J109" s="45">
        <f t="shared" si="15"/>
        <v>76.588354183776431</v>
      </c>
      <c r="K109" s="63">
        <f t="shared" si="13"/>
        <v>173.93332705395923</v>
      </c>
      <c r="L109" s="47">
        <f t="shared" si="16"/>
        <v>206.90372263979032</v>
      </c>
      <c r="M109" s="47">
        <f t="shared" si="17"/>
        <v>304.63352851680048</v>
      </c>
    </row>
    <row r="110" spans="1:13" x14ac:dyDescent="0.15">
      <c r="A110" s="40">
        <v>37257</v>
      </c>
      <c r="B110" s="12" t="s">
        <v>8</v>
      </c>
      <c r="C110" s="48">
        <v>173</v>
      </c>
      <c r="D110" s="42">
        <v>1.6072727272727272</v>
      </c>
      <c r="E110" s="43">
        <f>'[1]IPC99ON (real)'!O260</f>
        <v>1.0713714697405117</v>
      </c>
      <c r="F110" s="31">
        <f t="shared" si="10"/>
        <v>114.2813953090307</v>
      </c>
      <c r="G110" s="44">
        <f t="shared" si="14"/>
        <v>1.0713714697405119</v>
      </c>
      <c r="H110" s="44">
        <f t="shared" si="11"/>
        <v>259.53480158056476</v>
      </c>
      <c r="I110" s="35">
        <v>3.5000000000000003E-2</v>
      </c>
      <c r="J110" s="45">
        <f t="shared" si="15"/>
        <v>110.28154647321462</v>
      </c>
      <c r="K110" s="63">
        <f t="shared" si="13"/>
        <v>250.451083525245</v>
      </c>
      <c r="L110" s="47">
        <f t="shared" si="16"/>
        <v>206.90372263979032</v>
      </c>
      <c r="M110" s="47">
        <f t="shared" si="17"/>
        <v>304.63352851680048</v>
      </c>
    </row>
    <row r="111" spans="1:13" x14ac:dyDescent="0.15">
      <c r="A111" s="40">
        <v>37288</v>
      </c>
      <c r="B111" s="12" t="s">
        <v>1</v>
      </c>
      <c r="C111" s="48">
        <v>176</v>
      </c>
      <c r="D111" s="42">
        <v>2.1280000000000006</v>
      </c>
      <c r="E111" s="43">
        <f>'[1]IPC99ON (real)'!O261</f>
        <v>1.1049591370110226</v>
      </c>
      <c r="F111" s="31">
        <f t="shared" si="10"/>
        <v>149.25126014410267</v>
      </c>
      <c r="G111" s="44">
        <f t="shared" si="14"/>
        <v>1.1049591370110228</v>
      </c>
      <c r="H111" s="44">
        <f t="shared" si="11"/>
        <v>338.95190098442879</v>
      </c>
      <c r="I111" s="35">
        <v>3.5000000000000003E-2</v>
      </c>
      <c r="J111" s="45">
        <f t="shared" si="15"/>
        <v>144.02746603905908</v>
      </c>
      <c r="K111" s="63">
        <f t="shared" si="13"/>
        <v>327.08858444997378</v>
      </c>
      <c r="L111" s="47">
        <f t="shared" si="16"/>
        <v>206.90372263979032</v>
      </c>
      <c r="M111" s="47">
        <f t="shared" si="17"/>
        <v>304.63352851680048</v>
      </c>
    </row>
    <row r="112" spans="1:13" x14ac:dyDescent="0.15">
      <c r="A112" s="40">
        <v>37316</v>
      </c>
      <c r="B112" s="12" t="s">
        <v>2</v>
      </c>
      <c r="C112" s="48">
        <v>171</v>
      </c>
      <c r="D112" s="42">
        <v>2.5452631578947367</v>
      </c>
      <c r="E112" s="43">
        <f>'[1]IPC99ON (real)'!O262</f>
        <v>1.1487411441879183</v>
      </c>
      <c r="F112" s="31">
        <f t="shared" si="10"/>
        <v>166.83476652535981</v>
      </c>
      <c r="G112" s="44">
        <f t="shared" si="14"/>
        <v>1.1487411441879185</v>
      </c>
      <c r="H112" s="44">
        <f t="shared" si="11"/>
        <v>378.88431366988681</v>
      </c>
      <c r="I112" s="35">
        <v>0.13500000000000001</v>
      </c>
      <c r="J112" s="45">
        <f t="shared" si="15"/>
        <v>144.31207304443623</v>
      </c>
      <c r="K112" s="63">
        <f t="shared" si="13"/>
        <v>327.73493132445208</v>
      </c>
      <c r="L112" s="47">
        <f t="shared" si="16"/>
        <v>206.90372263979032</v>
      </c>
      <c r="M112" s="47">
        <f t="shared" si="17"/>
        <v>304.63352851680048</v>
      </c>
    </row>
    <row r="113" spans="1:13" x14ac:dyDescent="0.15">
      <c r="A113" s="40">
        <v>37347</v>
      </c>
      <c r="B113" s="12" t="s">
        <v>3</v>
      </c>
      <c r="C113" s="48">
        <v>165</v>
      </c>
      <c r="D113" s="42">
        <v>3.0331818181818182</v>
      </c>
      <c r="E113" s="43">
        <f>'[1]IPC99ON (real)'!O263</f>
        <v>1.2680685755131837</v>
      </c>
      <c r="F113" s="31">
        <f t="shared" si="10"/>
        <v>173.78791811166766</v>
      </c>
      <c r="G113" s="44">
        <f t="shared" si="14"/>
        <v>1.268068575513184</v>
      </c>
      <c r="H113" s="44">
        <f t="shared" si="11"/>
        <v>394.67502756896181</v>
      </c>
      <c r="I113" s="35">
        <v>0.23499999999999999</v>
      </c>
      <c r="J113" s="45">
        <f t="shared" si="15"/>
        <v>132.94775735542578</v>
      </c>
      <c r="K113" s="63">
        <f t="shared" si="13"/>
        <v>301.92639609025576</v>
      </c>
      <c r="L113" s="47">
        <f t="shared" si="16"/>
        <v>206.90372263979032</v>
      </c>
      <c r="M113" s="47">
        <f t="shared" si="17"/>
        <v>304.63352851680048</v>
      </c>
    </row>
    <row r="114" spans="1:13" x14ac:dyDescent="0.15">
      <c r="A114" s="40">
        <v>37377</v>
      </c>
      <c r="B114" s="12" t="s">
        <v>2</v>
      </c>
      <c r="C114" s="48">
        <v>177</v>
      </c>
      <c r="D114" s="42">
        <v>3.4422727272727283</v>
      </c>
      <c r="E114" s="43">
        <f>'[1]IPC99ON (real)'!O264</f>
        <v>1.3189329662039893</v>
      </c>
      <c r="F114" s="31">
        <f t="shared" si="10"/>
        <v>203.41161672226647</v>
      </c>
      <c r="G114" s="44">
        <f t="shared" si="14"/>
        <v>1.3189329662039895</v>
      </c>
      <c r="H114" s="44">
        <f t="shared" si="11"/>
        <v>461.95090147821799</v>
      </c>
      <c r="I114" s="35">
        <v>0.23499999999999999</v>
      </c>
      <c r="J114" s="45">
        <f t="shared" si="15"/>
        <v>155.60988679253384</v>
      </c>
      <c r="K114" s="63">
        <f t="shared" si="13"/>
        <v>353.39243963083675</v>
      </c>
      <c r="L114" s="47">
        <f t="shared" si="16"/>
        <v>206.90372263979032</v>
      </c>
      <c r="M114" s="47">
        <f t="shared" si="17"/>
        <v>304.63352851680048</v>
      </c>
    </row>
    <row r="115" spans="1:13" x14ac:dyDescent="0.15">
      <c r="A115" s="40">
        <v>37408</v>
      </c>
      <c r="B115" s="12" t="s">
        <v>4</v>
      </c>
      <c r="C115" s="48">
        <v>188</v>
      </c>
      <c r="D115" s="42">
        <v>3.7165000000000008</v>
      </c>
      <c r="E115" s="43">
        <f>'[1]IPC99ON (real)'!O265</f>
        <v>1.3666854005023195</v>
      </c>
      <c r="F115" s="31">
        <f t="shared" si="10"/>
        <v>225.11444525859</v>
      </c>
      <c r="G115" s="44">
        <f t="shared" si="14"/>
        <v>1.3666854005023197</v>
      </c>
      <c r="H115" s="44">
        <f t="shared" si="11"/>
        <v>511.23835795947991</v>
      </c>
      <c r="I115" s="35">
        <v>0.23499999999999999</v>
      </c>
      <c r="J115" s="45">
        <f t="shared" si="15"/>
        <v>172.21255062282134</v>
      </c>
      <c r="K115" s="63">
        <f t="shared" si="13"/>
        <v>391.09734383900212</v>
      </c>
      <c r="L115" s="47">
        <f t="shared" si="16"/>
        <v>206.90372263979032</v>
      </c>
      <c r="M115" s="47">
        <f t="shared" si="17"/>
        <v>304.63352851680048</v>
      </c>
    </row>
    <row r="116" spans="1:13" x14ac:dyDescent="0.15">
      <c r="A116" s="40">
        <v>37438</v>
      </c>
      <c r="B116" s="12" t="s">
        <v>4</v>
      </c>
      <c r="C116" s="48">
        <v>205</v>
      </c>
      <c r="D116" s="42">
        <v>3.6730434782608699</v>
      </c>
      <c r="E116" s="43">
        <f>'[1]IPC99ON (real)'!O266</f>
        <v>1.4102527899969755</v>
      </c>
      <c r="F116" s="31">
        <f t="shared" si="10"/>
        <v>235.10555752786692</v>
      </c>
      <c r="G116" s="44">
        <f t="shared" si="14"/>
        <v>1.4102527899969757</v>
      </c>
      <c r="H116" s="44">
        <f t="shared" si="11"/>
        <v>533.92832716543899</v>
      </c>
      <c r="I116" s="35">
        <v>0.23499999999999999</v>
      </c>
      <c r="J116" s="45">
        <f t="shared" si="15"/>
        <v>179.8557515088182</v>
      </c>
      <c r="K116" s="63">
        <f t="shared" si="13"/>
        <v>408.45517028156081</v>
      </c>
      <c r="L116" s="47">
        <f t="shared" si="16"/>
        <v>206.90372263979032</v>
      </c>
      <c r="M116" s="47">
        <f t="shared" si="17"/>
        <v>304.63352851680048</v>
      </c>
    </row>
    <row r="117" spans="1:13" x14ac:dyDescent="0.15">
      <c r="A117" s="40">
        <v>37469</v>
      </c>
      <c r="B117" s="12" t="s">
        <v>3</v>
      </c>
      <c r="C117" s="48">
        <v>212</v>
      </c>
      <c r="D117" s="42">
        <v>3.6519047619047624</v>
      </c>
      <c r="E117" s="43">
        <f>'[1]IPC99ON (real)'!O267</f>
        <v>1.4433039130618872</v>
      </c>
      <c r="F117" s="31">
        <f t="shared" si="10"/>
        <v>236.19866983988976</v>
      </c>
      <c r="G117" s="44">
        <f t="shared" si="14"/>
        <v>1.4433039130618874</v>
      </c>
      <c r="H117" s="44">
        <f t="shared" si="11"/>
        <v>536.41080199206283</v>
      </c>
      <c r="I117" s="35">
        <v>0.23499999999999999</v>
      </c>
      <c r="J117" s="45">
        <f t="shared" si="15"/>
        <v>180.69198242751568</v>
      </c>
      <c r="K117" s="63">
        <f t="shared" si="13"/>
        <v>410.35426352392807</v>
      </c>
      <c r="L117" s="47">
        <f t="shared" si="16"/>
        <v>206.90372263979032</v>
      </c>
      <c r="M117" s="47">
        <f t="shared" si="17"/>
        <v>304.63352851680048</v>
      </c>
    </row>
    <row r="118" spans="1:13" x14ac:dyDescent="0.15">
      <c r="A118" s="40">
        <v>37500</v>
      </c>
      <c r="B118" s="12" t="s">
        <v>5</v>
      </c>
      <c r="C118" s="48">
        <v>220</v>
      </c>
      <c r="D118" s="42">
        <v>3.6776190476190478</v>
      </c>
      <c r="E118" s="43">
        <f>'[1]IPC99ON (real)'!O268</f>
        <v>1.4627268133045788</v>
      </c>
      <c r="F118" s="31">
        <f t="shared" si="10"/>
        <v>243.56009290640134</v>
      </c>
      <c r="G118" s="44">
        <f t="shared" si="14"/>
        <v>1.462726813304579</v>
      </c>
      <c r="H118" s="44">
        <f t="shared" si="11"/>
        <v>553.12870668469736</v>
      </c>
      <c r="I118" s="35">
        <v>0.23499999999999999</v>
      </c>
      <c r="J118" s="45">
        <f t="shared" si="15"/>
        <v>186.32347107339703</v>
      </c>
      <c r="K118" s="63">
        <f t="shared" si="13"/>
        <v>423.14346061379348</v>
      </c>
      <c r="L118" s="47">
        <f t="shared" si="16"/>
        <v>206.90372263979032</v>
      </c>
      <c r="M118" s="47">
        <f t="shared" si="17"/>
        <v>304.63352851680048</v>
      </c>
    </row>
    <row r="119" spans="1:13" x14ac:dyDescent="0.15">
      <c r="A119" s="40">
        <v>37530</v>
      </c>
      <c r="B119" s="12" t="s">
        <v>6</v>
      </c>
      <c r="C119" s="48">
        <v>215</v>
      </c>
      <c r="D119" s="42">
        <v>3.683913043478261</v>
      </c>
      <c r="E119" s="43">
        <f>'[1]IPC99ON (real)'!O269</f>
        <v>1.4659460785381742</v>
      </c>
      <c r="F119" s="31">
        <f t="shared" si="10"/>
        <v>237.90839486958336</v>
      </c>
      <c r="G119" s="44">
        <f t="shared" si="14"/>
        <v>1.4659460785381744</v>
      </c>
      <c r="H119" s="44">
        <f t="shared" si="11"/>
        <v>540.29361375804569</v>
      </c>
      <c r="I119" s="35">
        <v>0.23499999999999999</v>
      </c>
      <c r="J119" s="45">
        <f t="shared" si="15"/>
        <v>181.99992207523127</v>
      </c>
      <c r="K119" s="63">
        <f t="shared" si="13"/>
        <v>413.32461452490497</v>
      </c>
      <c r="L119" s="47">
        <f t="shared" si="16"/>
        <v>206.90372263979032</v>
      </c>
      <c r="M119" s="47">
        <f t="shared" si="17"/>
        <v>304.63352851680048</v>
      </c>
    </row>
    <row r="120" spans="1:13" x14ac:dyDescent="0.15">
      <c r="A120" s="40">
        <v>37561</v>
      </c>
      <c r="B120" s="12" t="s">
        <v>7</v>
      </c>
      <c r="C120" s="48">
        <v>232</v>
      </c>
      <c r="D120" s="42">
        <v>3.5647619047619039</v>
      </c>
      <c r="E120" s="43">
        <f>'[1]IPC99ON (real)'!O270</f>
        <v>1.4734576974165632</v>
      </c>
      <c r="F120" s="31">
        <f t="shared" si="10"/>
        <v>247.15009043153069</v>
      </c>
      <c r="G120" s="44">
        <f t="shared" si="14"/>
        <v>1.4734576974165634</v>
      </c>
      <c r="H120" s="44">
        <f t="shared" si="11"/>
        <v>561.28164612719945</v>
      </c>
      <c r="I120" s="35">
        <v>0.23499999999999999</v>
      </c>
      <c r="J120" s="45">
        <f t="shared" si="15"/>
        <v>189.06981918012099</v>
      </c>
      <c r="K120" s="63">
        <f t="shared" si="13"/>
        <v>429.38045928730759</v>
      </c>
      <c r="L120" s="47">
        <f t="shared" si="16"/>
        <v>206.90372263979032</v>
      </c>
      <c r="M120" s="47">
        <f t="shared" si="17"/>
        <v>304.63352851680048</v>
      </c>
    </row>
    <row r="121" spans="1:13" x14ac:dyDescent="0.15">
      <c r="A121" s="40">
        <v>37591</v>
      </c>
      <c r="B121" s="12" t="s">
        <v>21</v>
      </c>
      <c r="C121" s="48">
        <v>226</v>
      </c>
      <c r="D121" s="42">
        <v>3.5261904761904765</v>
      </c>
      <c r="E121" s="43">
        <f>'[1]IPC99ON (real)'!O271</f>
        <v>1.4762477272856789</v>
      </c>
      <c r="F121" s="31">
        <f t="shared" si="10"/>
        <v>237.70312862522331</v>
      </c>
      <c r="G121" s="44">
        <f t="shared" si="14"/>
        <v>1.4762477272856791</v>
      </c>
      <c r="H121" s="44">
        <f t="shared" si="11"/>
        <v>539.82745096875612</v>
      </c>
      <c r="I121" s="35">
        <v>0.23499999999999999</v>
      </c>
      <c r="J121" s="45">
        <f t="shared" si="15"/>
        <v>181.84289339829584</v>
      </c>
      <c r="K121" s="63">
        <f t="shared" si="13"/>
        <v>412.96799999109845</v>
      </c>
      <c r="L121" s="47">
        <f t="shared" si="16"/>
        <v>206.90372263979032</v>
      </c>
      <c r="M121" s="47">
        <f t="shared" si="17"/>
        <v>304.63352851680048</v>
      </c>
    </row>
    <row r="122" spans="1:13" x14ac:dyDescent="0.15">
      <c r="A122" s="40">
        <v>37622</v>
      </c>
      <c r="B122" s="12" t="s">
        <v>9</v>
      </c>
      <c r="C122" s="48">
        <v>227</v>
      </c>
      <c r="D122" s="42">
        <v>3.2840909090909096</v>
      </c>
      <c r="E122" s="43">
        <f>'[1]IPC99ON (real)'!O272</f>
        <v>1.4956706275283704</v>
      </c>
      <c r="F122" s="31">
        <f t="shared" si="10"/>
        <v>219.47496858385213</v>
      </c>
      <c r="G122" s="44">
        <f t="shared" si="14"/>
        <v>1.4956706275283707</v>
      </c>
      <c r="H122" s="44">
        <f t="shared" si="11"/>
        <v>498.43101993356197</v>
      </c>
      <c r="I122" s="35">
        <v>0.23499999999999999</v>
      </c>
      <c r="J122" s="45">
        <f t="shared" si="15"/>
        <v>167.89835096664689</v>
      </c>
      <c r="K122" s="63">
        <f t="shared" si="13"/>
        <v>381.2997302491749</v>
      </c>
      <c r="L122" s="47">
        <f t="shared" si="16"/>
        <v>206.90372263979032</v>
      </c>
      <c r="M122" s="47">
        <f t="shared" si="17"/>
        <v>304.63352851680048</v>
      </c>
    </row>
    <row r="123" spans="1:13" x14ac:dyDescent="0.15">
      <c r="A123" s="40">
        <v>37653</v>
      </c>
      <c r="B123" s="12" t="s">
        <v>1</v>
      </c>
      <c r="C123" s="48">
        <v>223</v>
      </c>
      <c r="D123" s="42">
        <v>3.1924999999999999</v>
      </c>
      <c r="E123" s="43">
        <f>'[1]IPC99ON (real)'!O273</f>
        <v>1.5041480259768381</v>
      </c>
      <c r="F123" s="31">
        <f t="shared" si="10"/>
        <v>208.41315282981094</v>
      </c>
      <c r="G123" s="44">
        <f t="shared" si="14"/>
        <v>1.5041480259768383</v>
      </c>
      <c r="H123" s="44">
        <f t="shared" si="11"/>
        <v>473.30946669138712</v>
      </c>
      <c r="I123" s="35">
        <v>0.23499999999999999</v>
      </c>
      <c r="J123" s="45">
        <f t="shared" si="15"/>
        <v>159.43606191480538</v>
      </c>
      <c r="K123" s="63">
        <f t="shared" si="13"/>
        <v>362.08174201891114</v>
      </c>
      <c r="L123" s="47">
        <f t="shared" si="16"/>
        <v>206.90372263979032</v>
      </c>
      <c r="M123" s="47">
        <f t="shared" si="17"/>
        <v>304.63352851680048</v>
      </c>
    </row>
    <row r="124" spans="1:13" x14ac:dyDescent="0.15">
      <c r="A124" s="40">
        <v>37681</v>
      </c>
      <c r="B124" s="12" t="s">
        <v>2</v>
      </c>
      <c r="C124" s="48">
        <v>208</v>
      </c>
      <c r="D124" s="42">
        <v>3.0976190476190473</v>
      </c>
      <c r="E124" s="43">
        <f>'[1]IPC99ON (real)'!O274</f>
        <v>1.5129473509486653</v>
      </c>
      <c r="F124" s="31">
        <f t="shared" si="10"/>
        <v>187.51994135036071</v>
      </c>
      <c r="G124" s="44">
        <f t="shared" si="14"/>
        <v>1.5129473509486655</v>
      </c>
      <c r="H124" s="44">
        <f t="shared" si="11"/>
        <v>425.86066296408956</v>
      </c>
      <c r="I124" s="35">
        <v>0.23499999999999999</v>
      </c>
      <c r="J124" s="45">
        <f t="shared" si="15"/>
        <v>143.45275513302596</v>
      </c>
      <c r="K124" s="63">
        <f t="shared" si="13"/>
        <v>325.78340716752854</v>
      </c>
      <c r="L124" s="47">
        <f t="shared" si="16"/>
        <v>206.90372263979032</v>
      </c>
      <c r="M124" s="47">
        <f t="shared" si="17"/>
        <v>304.63352851680048</v>
      </c>
    </row>
    <row r="125" spans="1:13" x14ac:dyDescent="0.15">
      <c r="A125" s="40">
        <v>37712</v>
      </c>
      <c r="B125" s="12" t="s">
        <v>3</v>
      </c>
      <c r="C125" s="48">
        <v>215</v>
      </c>
      <c r="D125" s="42">
        <v>2.9180952380952379</v>
      </c>
      <c r="E125" s="43">
        <f>'[1]IPC99ON (real)'!O275</f>
        <v>1.513805821677624</v>
      </c>
      <c r="F125" s="31">
        <f t="shared" si="10"/>
        <v>182.49361886991727</v>
      </c>
      <c r="G125" s="44">
        <f t="shared" si="14"/>
        <v>1.5138058216776242</v>
      </c>
      <c r="H125" s="44">
        <f t="shared" si="11"/>
        <v>414.44580751789675</v>
      </c>
      <c r="I125" s="35">
        <v>0.23499999999999999</v>
      </c>
      <c r="J125" s="45">
        <f t="shared" si="15"/>
        <v>139.60761843548673</v>
      </c>
      <c r="K125" s="63">
        <f t="shared" si="13"/>
        <v>317.05104275119101</v>
      </c>
      <c r="L125" s="47">
        <f t="shared" si="16"/>
        <v>206.90372263979032</v>
      </c>
      <c r="M125" s="47">
        <f t="shared" si="17"/>
        <v>304.63352851680048</v>
      </c>
    </row>
    <row r="126" spans="1:13" x14ac:dyDescent="0.15">
      <c r="A126" s="40">
        <v>37742</v>
      </c>
      <c r="B126" s="12" t="s">
        <v>2</v>
      </c>
      <c r="C126" s="48">
        <v>224</v>
      </c>
      <c r="D126" s="42">
        <v>2.8590909090909089</v>
      </c>
      <c r="E126" s="43">
        <f>'[1]IPC99ON (real)'!O276</f>
        <v>1.5079038354160328</v>
      </c>
      <c r="F126" s="31">
        <f t="shared" si="10"/>
        <v>187.01750972613621</v>
      </c>
      <c r="G126" s="44">
        <f t="shared" si="14"/>
        <v>1.507903835416033</v>
      </c>
      <c r="H126" s="44">
        <f t="shared" si="11"/>
        <v>424.7196330392423</v>
      </c>
      <c r="I126" s="35">
        <v>0.23499999999999999</v>
      </c>
      <c r="J126" s="45">
        <f t="shared" si="15"/>
        <v>143.06839494049422</v>
      </c>
      <c r="K126" s="63">
        <f t="shared" si="13"/>
        <v>324.91051927502036</v>
      </c>
      <c r="L126" s="47">
        <f t="shared" si="16"/>
        <v>206.90372263979032</v>
      </c>
      <c r="M126" s="47">
        <f t="shared" si="17"/>
        <v>304.63352851680048</v>
      </c>
    </row>
    <row r="127" spans="1:13" x14ac:dyDescent="0.15">
      <c r="A127" s="40">
        <v>37773</v>
      </c>
      <c r="B127" s="12" t="s">
        <v>4</v>
      </c>
      <c r="C127" s="48">
        <v>225</v>
      </c>
      <c r="D127" s="42">
        <v>2.8273809523809526</v>
      </c>
      <c r="E127" s="43">
        <f>'[1]IPC99ON (real)'!O277</f>
        <v>1.5066161293225946</v>
      </c>
      <c r="F127" s="31">
        <f t="shared" si="10"/>
        <v>185.92772962576748</v>
      </c>
      <c r="G127" s="44">
        <f t="shared" si="14"/>
        <v>1.5066161293225948</v>
      </c>
      <c r="H127" s="44">
        <f t="shared" si="11"/>
        <v>422.24472571639404</v>
      </c>
      <c r="I127" s="35">
        <v>0.23499999999999999</v>
      </c>
      <c r="J127" s="45">
        <f t="shared" si="15"/>
        <v>142.23471316371212</v>
      </c>
      <c r="K127" s="63">
        <f t="shared" si="13"/>
        <v>323.01721517304145</v>
      </c>
      <c r="L127" s="47">
        <f t="shared" si="16"/>
        <v>206.90372263979032</v>
      </c>
      <c r="M127" s="47">
        <f t="shared" si="17"/>
        <v>304.63352851680048</v>
      </c>
    </row>
    <row r="128" spans="1:13" x14ac:dyDescent="0.15">
      <c r="A128" s="40">
        <v>37803</v>
      </c>
      <c r="B128" s="12" t="s">
        <v>4</v>
      </c>
      <c r="C128" s="48">
        <v>217</v>
      </c>
      <c r="D128" s="42">
        <v>2.8204347826086953</v>
      </c>
      <c r="E128" s="43">
        <f>'[1]IPC99ON (real)'!O278</f>
        <v>1.5133765863131448</v>
      </c>
      <c r="F128" s="31">
        <f t="shared" si="10"/>
        <v>178.07736375340193</v>
      </c>
      <c r="G128" s="44">
        <f t="shared" si="14"/>
        <v>1.513376586313145</v>
      </c>
      <c r="H128" s="44">
        <f t="shared" si="11"/>
        <v>404.41642441232136</v>
      </c>
      <c r="I128" s="35">
        <v>0.23499999999999999</v>
      </c>
      <c r="J128" s="45">
        <f t="shared" si="15"/>
        <v>136.22918327135247</v>
      </c>
      <c r="K128" s="63">
        <f t="shared" si="13"/>
        <v>309.37856467542582</v>
      </c>
      <c r="L128" s="47">
        <f t="shared" si="16"/>
        <v>206.90372263979032</v>
      </c>
      <c r="M128" s="47">
        <f t="shared" si="17"/>
        <v>304.63352851680048</v>
      </c>
    </row>
    <row r="129" spans="1:13" x14ac:dyDescent="0.15">
      <c r="A129" s="40">
        <v>37834</v>
      </c>
      <c r="B129" s="12" t="s">
        <v>3</v>
      </c>
      <c r="C129" s="48">
        <v>218</v>
      </c>
      <c r="D129" s="42">
        <v>2.9476190476190474</v>
      </c>
      <c r="E129" s="43">
        <f>'[1]IPC99ON (real)'!O279</f>
        <v>1.5136985128365041</v>
      </c>
      <c r="F129" s="31">
        <f t="shared" si="10"/>
        <v>186.92543341507877</v>
      </c>
      <c r="G129" s="44">
        <f t="shared" si="14"/>
        <v>1.5136985128365044</v>
      </c>
      <c r="H129" s="44">
        <f t="shared" si="11"/>
        <v>424.51052632457595</v>
      </c>
      <c r="I129" s="35">
        <v>0.23499999999999999</v>
      </c>
      <c r="J129" s="45">
        <f t="shared" si="15"/>
        <v>142.99795656253525</v>
      </c>
      <c r="K129" s="63">
        <f t="shared" si="13"/>
        <v>324.75055263830063</v>
      </c>
      <c r="L129" s="47">
        <f t="shared" si="16"/>
        <v>206.90372263979032</v>
      </c>
      <c r="M129" s="47">
        <f t="shared" si="17"/>
        <v>304.63352851680048</v>
      </c>
    </row>
    <row r="130" spans="1:13" x14ac:dyDescent="0.15">
      <c r="A130" s="40">
        <v>37865</v>
      </c>
      <c r="B130" s="12" t="s">
        <v>5</v>
      </c>
      <c r="C130" s="48">
        <v>239</v>
      </c>
      <c r="D130" s="42">
        <v>2.9427272727272733</v>
      </c>
      <c r="E130" s="43">
        <f>'[1]IPC99ON (real)'!O280</f>
        <v>1.5143423658832234</v>
      </c>
      <c r="F130" s="31">
        <f t="shared" ref="F130:F193" si="18">+(C130*(D130/E130))/(AVERAGE(C$2:C$13)*AVERAGE(D$2:D$13)/AVERAGE(E$2:E$13))*100</f>
        <v>204.50492685181456</v>
      </c>
      <c r="G130" s="44">
        <f t="shared" si="14"/>
        <v>1.5143423658832236</v>
      </c>
      <c r="H130" s="44">
        <f t="shared" ref="H130:H193" si="19">+(C130*D130)/G130</f>
        <v>464.43382555147588</v>
      </c>
      <c r="I130" s="35">
        <v>0.23499999999999999</v>
      </c>
      <c r="J130" s="45">
        <f t="shared" si="15"/>
        <v>156.44626904163815</v>
      </c>
      <c r="K130" s="63">
        <f t="shared" ref="K130:K193" si="20">+H130*(1-I130)</f>
        <v>355.29187654687905</v>
      </c>
      <c r="L130" s="47">
        <f t="shared" si="16"/>
        <v>206.90372263979032</v>
      </c>
      <c r="M130" s="47">
        <f t="shared" si="17"/>
        <v>304.63352851680048</v>
      </c>
    </row>
    <row r="131" spans="1:13" x14ac:dyDescent="0.15">
      <c r="A131" s="40">
        <v>37895</v>
      </c>
      <c r="B131" s="12" t="s">
        <v>6</v>
      </c>
      <c r="C131" s="48">
        <v>279</v>
      </c>
      <c r="D131" s="42">
        <v>2.8752173913043468</v>
      </c>
      <c r="E131" s="43">
        <f>'[1]IPC99ON (real)'!O281</f>
        <v>1.52324899969617</v>
      </c>
      <c r="F131" s="31">
        <f t="shared" si="18"/>
        <v>231.89101473621213</v>
      </c>
      <c r="G131" s="44">
        <f t="shared" ref="G131:G194" si="21">+E131/AVERAGE(E$2:E$13)</f>
        <v>1.5232489996961702</v>
      </c>
      <c r="H131" s="44">
        <f t="shared" si="19"/>
        <v>526.62805118133542</v>
      </c>
      <c r="I131" s="35">
        <v>0.23499999999999999</v>
      </c>
      <c r="J131" s="45">
        <f t="shared" ref="J131:J194" si="22">+F131*(1-I131)</f>
        <v>177.39662627320229</v>
      </c>
      <c r="K131" s="63">
        <f t="shared" si="20"/>
        <v>402.87045915372158</v>
      </c>
      <c r="L131" s="47">
        <f t="shared" si="16"/>
        <v>206.90372263979032</v>
      </c>
      <c r="M131" s="47">
        <f t="shared" si="17"/>
        <v>304.63352851680048</v>
      </c>
    </row>
    <row r="132" spans="1:13" x14ac:dyDescent="0.15">
      <c r="A132" s="40">
        <v>37926</v>
      </c>
      <c r="B132" s="12" t="s">
        <v>7</v>
      </c>
      <c r="C132" s="48">
        <v>293</v>
      </c>
      <c r="D132" s="42">
        <v>2.8965000000000001</v>
      </c>
      <c r="E132" s="43">
        <f>'[1]IPC99ON (real)'!O282</f>
        <v>1.5270048091353647</v>
      </c>
      <c r="F132" s="31">
        <f t="shared" si="18"/>
        <v>244.72632075821645</v>
      </c>
      <c r="G132" s="44">
        <f t="shared" si="21"/>
        <v>1.527004809135365</v>
      </c>
      <c r="H132" s="44">
        <f t="shared" si="19"/>
        <v>555.77722802362644</v>
      </c>
      <c r="I132" s="35">
        <v>0.23499999999999999</v>
      </c>
      <c r="J132" s="45">
        <f t="shared" si="22"/>
        <v>187.21563538003559</v>
      </c>
      <c r="K132" s="63">
        <f t="shared" si="20"/>
        <v>425.16957943807421</v>
      </c>
      <c r="L132" s="47">
        <f t="shared" ref="L132:L195" si="23">+L131</f>
        <v>206.90372263979032</v>
      </c>
      <c r="M132" s="47">
        <f t="shared" ref="M132:M195" si="24">+M131</f>
        <v>304.63352851680048</v>
      </c>
    </row>
    <row r="133" spans="1:13" x14ac:dyDescent="0.15">
      <c r="A133" s="40">
        <v>37956</v>
      </c>
      <c r="B133" s="12" t="s">
        <v>22</v>
      </c>
      <c r="C133" s="48">
        <v>295</v>
      </c>
      <c r="D133" s="42">
        <v>2.9747727272727271</v>
      </c>
      <c r="E133" s="43">
        <f>'[1]IPC99ON (real)'!O283</f>
        <v>1.5302240743689599</v>
      </c>
      <c r="F133" s="31">
        <f t="shared" si="18"/>
        <v>252.52286594410288</v>
      </c>
      <c r="G133" s="44">
        <f t="shared" si="21"/>
        <v>1.5302240743689601</v>
      </c>
      <c r="H133" s="44">
        <f t="shared" si="19"/>
        <v>573.48330172321027</v>
      </c>
      <c r="I133" s="35">
        <v>0.23499999999999999</v>
      </c>
      <c r="J133" s="45">
        <f t="shared" si="22"/>
        <v>193.1799924472387</v>
      </c>
      <c r="K133" s="63">
        <f t="shared" si="20"/>
        <v>438.71472581825589</v>
      </c>
      <c r="L133" s="47">
        <f t="shared" si="23"/>
        <v>206.90372263979032</v>
      </c>
      <c r="M133" s="47">
        <f t="shared" si="24"/>
        <v>304.63352851680048</v>
      </c>
    </row>
    <row r="134" spans="1:13" x14ac:dyDescent="0.15">
      <c r="A134" s="40">
        <v>37987</v>
      </c>
      <c r="B134" s="12" t="s">
        <v>10</v>
      </c>
      <c r="C134" s="48">
        <v>310</v>
      </c>
      <c r="D134" s="42">
        <v>2.9223809523809523</v>
      </c>
      <c r="E134" s="43">
        <f>'[1]IPC99ON (real)'!O284</f>
        <v>1.5366626048361505</v>
      </c>
      <c r="F134" s="31">
        <f t="shared" si="18"/>
        <v>259.59715723072929</v>
      </c>
      <c r="G134" s="44">
        <f t="shared" si="21"/>
        <v>1.5366626048361507</v>
      </c>
      <c r="H134" s="44">
        <f t="shared" si="19"/>
        <v>589.54912573973411</v>
      </c>
      <c r="I134" s="35">
        <v>0.23499999999999999</v>
      </c>
      <c r="J134" s="45">
        <f t="shared" si="22"/>
        <v>198.59182528150791</v>
      </c>
      <c r="K134" s="63">
        <f t="shared" si="20"/>
        <v>451.00508119089659</v>
      </c>
      <c r="L134" s="47">
        <f t="shared" si="23"/>
        <v>206.90372263979032</v>
      </c>
      <c r="M134" s="47">
        <f t="shared" si="24"/>
        <v>304.63352851680048</v>
      </c>
    </row>
    <row r="135" spans="1:13" x14ac:dyDescent="0.15">
      <c r="A135" s="40">
        <v>38018</v>
      </c>
      <c r="B135" s="12" t="s">
        <v>1</v>
      </c>
      <c r="C135" s="48">
        <v>318</v>
      </c>
      <c r="D135" s="42">
        <v>2.9474999999999998</v>
      </c>
      <c r="E135" s="43">
        <f>'[1]IPC99ON (real)'!O285</f>
        <v>1.5381649286118284</v>
      </c>
      <c r="F135" s="31">
        <f t="shared" si="18"/>
        <v>268.32303743544992</v>
      </c>
      <c r="G135" s="44">
        <f t="shared" si="21"/>
        <v>1.5381649286118286</v>
      </c>
      <c r="H135" s="44">
        <f t="shared" si="19"/>
        <v>609.36573352111463</v>
      </c>
      <c r="I135" s="35">
        <v>0.23499999999999999</v>
      </c>
      <c r="J135" s="45">
        <f t="shared" si="22"/>
        <v>205.26712363811919</v>
      </c>
      <c r="K135" s="63">
        <f t="shared" si="20"/>
        <v>466.16478614365269</v>
      </c>
      <c r="L135" s="47">
        <f t="shared" si="23"/>
        <v>206.90372263979032</v>
      </c>
      <c r="M135" s="47">
        <f t="shared" si="24"/>
        <v>304.63352851680048</v>
      </c>
    </row>
    <row r="136" spans="1:13" x14ac:dyDescent="0.15">
      <c r="A136" s="40">
        <v>38047</v>
      </c>
      <c r="B136" s="12" t="s">
        <v>2</v>
      </c>
      <c r="C136" s="48">
        <v>326</v>
      </c>
      <c r="D136" s="42">
        <v>2.9184782608695654</v>
      </c>
      <c r="E136" s="43">
        <f>'[1]IPC99ON (real)'!O286</f>
        <v>1.5473934889481347</v>
      </c>
      <c r="F136" s="31">
        <f t="shared" si="18"/>
        <v>270.74050228349836</v>
      </c>
      <c r="G136" s="44">
        <f t="shared" si="21"/>
        <v>1.5473934889481349</v>
      </c>
      <c r="H136" s="44">
        <f t="shared" si="19"/>
        <v>614.85583326980634</v>
      </c>
      <c r="I136" s="35">
        <v>0.23499999999999999</v>
      </c>
      <c r="J136" s="45">
        <f t="shared" si="22"/>
        <v>207.11648424687624</v>
      </c>
      <c r="K136" s="63">
        <f t="shared" si="20"/>
        <v>470.36471245140189</v>
      </c>
      <c r="L136" s="47">
        <f t="shared" si="23"/>
        <v>206.90372263979032</v>
      </c>
      <c r="M136" s="47">
        <f t="shared" si="24"/>
        <v>304.63352851680048</v>
      </c>
    </row>
    <row r="137" spans="1:13" x14ac:dyDescent="0.15">
      <c r="A137" s="40">
        <v>38078</v>
      </c>
      <c r="B137" s="12" t="s">
        <v>3</v>
      </c>
      <c r="C137" s="48">
        <v>324</v>
      </c>
      <c r="D137" s="42">
        <v>2.8497999999999992</v>
      </c>
      <c r="E137" s="43">
        <f>'[1]IPC99ON (real)'!O287</f>
        <v>1.5605924764058756</v>
      </c>
      <c r="F137" s="31">
        <f t="shared" si="18"/>
        <v>260.5252468914569</v>
      </c>
      <c r="G137" s="44">
        <f t="shared" si="21"/>
        <v>1.5605924764058758</v>
      </c>
      <c r="H137" s="44">
        <f t="shared" si="19"/>
        <v>591.65683159416983</v>
      </c>
      <c r="I137" s="35">
        <v>0.23499999999999999</v>
      </c>
      <c r="J137" s="45">
        <f t="shared" si="22"/>
        <v>199.30181387196453</v>
      </c>
      <c r="K137" s="63">
        <f t="shared" si="20"/>
        <v>452.61747616953994</v>
      </c>
      <c r="L137" s="47">
        <f t="shared" si="23"/>
        <v>206.90372263979032</v>
      </c>
      <c r="M137" s="47">
        <f t="shared" si="24"/>
        <v>304.63352851680048</v>
      </c>
    </row>
    <row r="138" spans="1:13" x14ac:dyDescent="0.15">
      <c r="A138" s="40">
        <v>38108</v>
      </c>
      <c r="B138" s="12" t="s">
        <v>2</v>
      </c>
      <c r="C138" s="48">
        <v>299</v>
      </c>
      <c r="D138" s="42">
        <v>2.9346666666666659</v>
      </c>
      <c r="E138" s="43">
        <f>'[1]IPC99ON (real)'!O288</f>
        <v>1.5720745224056987</v>
      </c>
      <c r="F138" s="31">
        <f t="shared" si="18"/>
        <v>245.77447139788009</v>
      </c>
      <c r="G138" s="44">
        <f t="shared" si="21"/>
        <v>1.5720745224056989</v>
      </c>
      <c r="H138" s="44">
        <f t="shared" si="19"/>
        <v>558.15759420270615</v>
      </c>
      <c r="I138" s="35">
        <v>0.23499999999999999</v>
      </c>
      <c r="J138" s="45">
        <f t="shared" si="22"/>
        <v>188.01747061937829</v>
      </c>
      <c r="K138" s="63">
        <f t="shared" si="20"/>
        <v>426.99055956507021</v>
      </c>
      <c r="L138" s="47">
        <f t="shared" si="23"/>
        <v>206.90372263979032</v>
      </c>
      <c r="M138" s="47">
        <f t="shared" si="24"/>
        <v>304.63352851680048</v>
      </c>
    </row>
    <row r="139" spans="1:13" x14ac:dyDescent="0.15">
      <c r="A139" s="40">
        <v>38139</v>
      </c>
      <c r="B139" s="12" t="s">
        <v>4</v>
      </c>
      <c r="C139" s="48">
        <v>268</v>
      </c>
      <c r="D139" s="42">
        <v>2.9745227272727273</v>
      </c>
      <c r="E139" s="43">
        <f>'[1]IPC99ON (real)'!O289</f>
        <v>1.5808738473775257</v>
      </c>
      <c r="F139" s="31">
        <f t="shared" si="18"/>
        <v>222.04183272504991</v>
      </c>
      <c r="G139" s="44">
        <f t="shared" si="21"/>
        <v>1.5808738473775259</v>
      </c>
      <c r="H139" s="44">
        <f t="shared" si="19"/>
        <v>504.26040776846349</v>
      </c>
      <c r="I139" s="35">
        <v>0.23499999999999999</v>
      </c>
      <c r="J139" s="45">
        <f t="shared" si="22"/>
        <v>169.86200203466319</v>
      </c>
      <c r="K139" s="63">
        <f t="shared" si="20"/>
        <v>385.75921194287457</v>
      </c>
      <c r="L139" s="47">
        <f t="shared" si="23"/>
        <v>206.90372263979032</v>
      </c>
      <c r="M139" s="47">
        <f t="shared" si="24"/>
        <v>304.63352851680048</v>
      </c>
    </row>
    <row r="140" spans="1:13" x14ac:dyDescent="0.15">
      <c r="A140" s="40">
        <v>38169</v>
      </c>
      <c r="B140" s="12" t="s">
        <v>4</v>
      </c>
      <c r="C140" s="48">
        <v>245</v>
      </c>
      <c r="D140" s="42">
        <v>2.9705909090909088</v>
      </c>
      <c r="E140" s="43">
        <f>'[1]IPC99ON (real)'!O290</f>
        <v>1.5881708485736752</v>
      </c>
      <c r="F140" s="31">
        <f t="shared" si="18"/>
        <v>201.78628487493114</v>
      </c>
      <c r="G140" s="44">
        <f t="shared" si="21"/>
        <v>1.5881708485736754</v>
      </c>
      <c r="H140" s="44">
        <f t="shared" si="19"/>
        <v>458.25974792378275</v>
      </c>
      <c r="I140" s="35">
        <v>0.23499999999999999</v>
      </c>
      <c r="J140" s="45">
        <f t="shared" si="22"/>
        <v>154.36650792932232</v>
      </c>
      <c r="K140" s="63">
        <f t="shared" si="20"/>
        <v>350.56870716169379</v>
      </c>
      <c r="L140" s="47">
        <f t="shared" si="23"/>
        <v>206.90372263979032</v>
      </c>
      <c r="M140" s="47">
        <f t="shared" si="24"/>
        <v>304.63352851680048</v>
      </c>
    </row>
    <row r="141" spans="1:13" x14ac:dyDescent="0.15">
      <c r="A141" s="40">
        <v>38200</v>
      </c>
      <c r="B141" s="12" t="s">
        <v>3</v>
      </c>
      <c r="C141" s="48">
        <v>234</v>
      </c>
      <c r="D141" s="42">
        <v>3.0304545454545462</v>
      </c>
      <c r="E141" s="43">
        <f>'[1]IPC99ON (real)'!O291</f>
        <v>1.5936435994707872</v>
      </c>
      <c r="F141" s="31">
        <f t="shared" si="18"/>
        <v>195.93515353003514</v>
      </c>
      <c r="G141" s="44">
        <f t="shared" si="21"/>
        <v>1.5936435994707874</v>
      </c>
      <c r="H141" s="44">
        <f t="shared" si="19"/>
        <v>444.97173889560275</v>
      </c>
      <c r="I141" s="35">
        <v>0.23499999999999999</v>
      </c>
      <c r="J141" s="45">
        <f t="shared" si="22"/>
        <v>149.8903924504769</v>
      </c>
      <c r="K141" s="63">
        <f t="shared" si="20"/>
        <v>340.40338025513608</v>
      </c>
      <c r="L141" s="47">
        <f t="shared" si="23"/>
        <v>206.90372263979032</v>
      </c>
      <c r="M141" s="47">
        <f t="shared" si="24"/>
        <v>304.63352851680048</v>
      </c>
    </row>
    <row r="142" spans="1:13" x14ac:dyDescent="0.15">
      <c r="A142" s="40">
        <v>38231</v>
      </c>
      <c r="B142" s="12" t="s">
        <v>5</v>
      </c>
      <c r="C142" s="48">
        <v>228</v>
      </c>
      <c r="D142" s="42">
        <v>3.0143181818181817</v>
      </c>
      <c r="E142" s="43">
        <f>'[1]IPC99ON (real)'!O292</f>
        <v>1.6037306305360524</v>
      </c>
      <c r="F142" s="31">
        <f t="shared" si="18"/>
        <v>188.70023832876649</v>
      </c>
      <c r="G142" s="44">
        <f t="shared" si="21"/>
        <v>1.6037306305360526</v>
      </c>
      <c r="H142" s="44">
        <f t="shared" si="19"/>
        <v>428.54113550529672</v>
      </c>
      <c r="I142" s="35">
        <v>0.23499999999999999</v>
      </c>
      <c r="J142" s="45">
        <f t="shared" si="22"/>
        <v>144.35568232150638</v>
      </c>
      <c r="K142" s="63">
        <f t="shared" si="20"/>
        <v>327.83396866155198</v>
      </c>
      <c r="L142" s="47">
        <f t="shared" si="23"/>
        <v>206.90372263979032</v>
      </c>
      <c r="M142" s="47">
        <f t="shared" si="24"/>
        <v>304.63352851680048</v>
      </c>
    </row>
    <row r="143" spans="1:13" x14ac:dyDescent="0.15">
      <c r="A143" s="40">
        <v>38261</v>
      </c>
      <c r="B143" s="12" t="s">
        <v>6</v>
      </c>
      <c r="C143" s="48">
        <v>218</v>
      </c>
      <c r="D143" s="42">
        <v>2.9866666666666668</v>
      </c>
      <c r="E143" s="43">
        <f>'[1]IPC99ON (real)'!O293</f>
        <v>1.6100618521621231</v>
      </c>
      <c r="F143" s="31">
        <f t="shared" si="18"/>
        <v>178.06584336863375</v>
      </c>
      <c r="G143" s="44">
        <f t="shared" si="21"/>
        <v>1.6100618521621233</v>
      </c>
      <c r="H143" s="44">
        <f t="shared" si="19"/>
        <v>404.39026144181463</v>
      </c>
      <c r="I143" s="35">
        <v>0.23499999999999999</v>
      </c>
      <c r="J143" s="45">
        <f t="shared" si="22"/>
        <v>136.22037017700481</v>
      </c>
      <c r="K143" s="63">
        <f t="shared" si="20"/>
        <v>309.35855000298818</v>
      </c>
      <c r="L143" s="47">
        <f t="shared" si="23"/>
        <v>206.90372263979032</v>
      </c>
      <c r="M143" s="47">
        <f t="shared" si="24"/>
        <v>304.63352851680048</v>
      </c>
    </row>
    <row r="144" spans="1:13" x14ac:dyDescent="0.15">
      <c r="A144" s="40">
        <v>38292</v>
      </c>
      <c r="B144" s="12" t="s">
        <v>7</v>
      </c>
      <c r="C144" s="48">
        <v>219</v>
      </c>
      <c r="D144" s="42">
        <v>2.9686363636363637</v>
      </c>
      <c r="E144" s="43">
        <f>'[1]IPC99ON (real)'!O294</f>
        <v>1.6100618521621231</v>
      </c>
      <c r="F144" s="31">
        <f t="shared" si="18"/>
        <v>177.80275674707516</v>
      </c>
      <c r="G144" s="44">
        <f t="shared" si="21"/>
        <v>1.6100618521621233</v>
      </c>
      <c r="H144" s="44">
        <f t="shared" si="19"/>
        <v>403.79278768906539</v>
      </c>
      <c r="I144" s="35">
        <v>0.23499999999999999</v>
      </c>
      <c r="J144" s="45">
        <f t="shared" si="22"/>
        <v>136.01910891151249</v>
      </c>
      <c r="K144" s="63">
        <f t="shared" si="20"/>
        <v>308.90148258213503</v>
      </c>
      <c r="L144" s="47">
        <f t="shared" si="23"/>
        <v>206.90372263979032</v>
      </c>
      <c r="M144" s="47">
        <f t="shared" si="24"/>
        <v>304.63352851680048</v>
      </c>
    </row>
    <row r="145" spans="1:13" x14ac:dyDescent="0.15">
      <c r="A145" s="40">
        <v>38322</v>
      </c>
      <c r="B145" s="12" t="s">
        <v>23</v>
      </c>
      <c r="C145" s="48">
        <v>223</v>
      </c>
      <c r="D145" s="42">
        <v>2.9841304347826076</v>
      </c>
      <c r="E145" s="43">
        <f>'[1]IPC99ON (real)'!O295</f>
        <v>1.6235827661432234</v>
      </c>
      <c r="F145" s="31">
        <f t="shared" si="18"/>
        <v>180.47961877165613</v>
      </c>
      <c r="G145" s="44">
        <f t="shared" si="21"/>
        <v>1.6235827661432236</v>
      </c>
      <c r="H145" s="44">
        <f t="shared" si="19"/>
        <v>409.87198240426392</v>
      </c>
      <c r="I145" s="35">
        <v>0.23499999999999999</v>
      </c>
      <c r="J145" s="45">
        <f t="shared" si="22"/>
        <v>138.06690836031694</v>
      </c>
      <c r="K145" s="63">
        <f t="shared" si="20"/>
        <v>313.55206653926189</v>
      </c>
      <c r="L145" s="47">
        <f t="shared" si="23"/>
        <v>206.90372263979032</v>
      </c>
      <c r="M145" s="47">
        <f t="shared" si="24"/>
        <v>304.63352851680048</v>
      </c>
    </row>
    <row r="146" spans="1:13" x14ac:dyDescent="0.15">
      <c r="A146" s="40">
        <v>38353</v>
      </c>
      <c r="B146" s="12" t="s">
        <v>11</v>
      </c>
      <c r="C146" s="48">
        <v>215</v>
      </c>
      <c r="D146" s="42">
        <v>2.9614285714285717</v>
      </c>
      <c r="E146" s="43">
        <f>'[1]IPC99ON (real)'!O296</f>
        <v>1.647619946554068</v>
      </c>
      <c r="F146" s="31">
        <f t="shared" si="18"/>
        <v>170.16201262916758</v>
      </c>
      <c r="G146" s="44">
        <f t="shared" si="21"/>
        <v>1.6476199465540682</v>
      </c>
      <c r="H146" s="44">
        <f t="shared" si="19"/>
        <v>386.44054060451907</v>
      </c>
      <c r="I146" s="35">
        <v>0.23499999999999999</v>
      </c>
      <c r="J146" s="45">
        <f t="shared" si="22"/>
        <v>130.1739396613132</v>
      </c>
      <c r="K146" s="63">
        <f t="shared" si="20"/>
        <v>295.62701356245708</v>
      </c>
      <c r="L146" s="47">
        <f t="shared" si="23"/>
        <v>206.90372263979032</v>
      </c>
      <c r="M146" s="47">
        <f t="shared" si="24"/>
        <v>304.63352851680048</v>
      </c>
    </row>
    <row r="147" spans="1:13" x14ac:dyDescent="0.15">
      <c r="A147" s="40">
        <v>38384</v>
      </c>
      <c r="B147" s="12" t="s">
        <v>1</v>
      </c>
      <c r="C147" s="48">
        <v>204</v>
      </c>
      <c r="D147" s="42">
        <v>2.9319999999999995</v>
      </c>
      <c r="E147" s="43">
        <f>'[1]IPC99ON (real)'!O297</f>
        <v>1.6632870373575652</v>
      </c>
      <c r="F147" s="31">
        <f t="shared" si="18"/>
        <v>158.34591470654109</v>
      </c>
      <c r="G147" s="44">
        <f t="shared" si="21"/>
        <v>1.6632870373575654</v>
      </c>
      <c r="H147" s="44">
        <f t="shared" si="19"/>
        <v>359.60600098840143</v>
      </c>
      <c r="I147" s="35">
        <v>0.23499999999999999</v>
      </c>
      <c r="J147" s="45">
        <f t="shared" si="22"/>
        <v>121.13462475050395</v>
      </c>
      <c r="K147" s="63">
        <f t="shared" si="20"/>
        <v>275.09859075612712</v>
      </c>
      <c r="L147" s="47">
        <f t="shared" si="23"/>
        <v>206.90372263979032</v>
      </c>
      <c r="M147" s="47">
        <f t="shared" si="24"/>
        <v>304.63352851680048</v>
      </c>
    </row>
    <row r="148" spans="1:13" x14ac:dyDescent="0.15">
      <c r="A148" s="40">
        <v>38412</v>
      </c>
      <c r="B148" s="12" t="s">
        <v>2</v>
      </c>
      <c r="C148" s="48">
        <v>230</v>
      </c>
      <c r="D148" s="42">
        <v>2.9368695652173913</v>
      </c>
      <c r="E148" s="43">
        <f>'[1]IPC99ON (real)'!O298</f>
        <v>1.6889338503852076</v>
      </c>
      <c r="F148" s="31">
        <f t="shared" si="18"/>
        <v>176.1082847776423</v>
      </c>
      <c r="G148" s="44">
        <f t="shared" si="21"/>
        <v>1.6889338503852078</v>
      </c>
      <c r="H148" s="44">
        <f t="shared" si="19"/>
        <v>399.94461585688407</v>
      </c>
      <c r="I148" s="35">
        <v>0.23499999999999999</v>
      </c>
      <c r="J148" s="45">
        <f t="shared" si="22"/>
        <v>134.72283785489637</v>
      </c>
      <c r="K148" s="63">
        <f t="shared" si="20"/>
        <v>305.95763113051635</v>
      </c>
      <c r="L148" s="47">
        <f t="shared" si="23"/>
        <v>206.90372263979032</v>
      </c>
      <c r="M148" s="47">
        <f t="shared" si="24"/>
        <v>304.63352851680048</v>
      </c>
    </row>
    <row r="149" spans="1:13" x14ac:dyDescent="0.15">
      <c r="A149" s="40">
        <v>38443</v>
      </c>
      <c r="B149" s="12" t="s">
        <v>3</v>
      </c>
      <c r="C149" s="48">
        <v>224</v>
      </c>
      <c r="D149" s="42">
        <v>2.9180952380952387</v>
      </c>
      <c r="E149" s="43">
        <f>'[1]IPC99ON (real)'!O299</f>
        <v>1.6971966311514355</v>
      </c>
      <c r="F149" s="31">
        <f t="shared" si="18"/>
        <v>169.58805208535804</v>
      </c>
      <c r="G149" s="44">
        <f t="shared" si="21"/>
        <v>1.6971966311514357</v>
      </c>
      <c r="H149" s="44">
        <f t="shared" si="19"/>
        <v>385.13706740619256</v>
      </c>
      <c r="I149" s="35">
        <v>0.23499999999999999</v>
      </c>
      <c r="J149" s="45">
        <f t="shared" si="22"/>
        <v>129.7348598452989</v>
      </c>
      <c r="K149" s="63">
        <f t="shared" si="20"/>
        <v>294.62985656573733</v>
      </c>
      <c r="L149" s="47">
        <f t="shared" si="23"/>
        <v>206.90372263979032</v>
      </c>
      <c r="M149" s="47">
        <f t="shared" si="24"/>
        <v>304.63352851680048</v>
      </c>
    </row>
    <row r="150" spans="1:13" x14ac:dyDescent="0.15">
      <c r="A150" s="40">
        <v>38473</v>
      </c>
      <c r="B150" s="12" t="s">
        <v>2</v>
      </c>
      <c r="C150" s="48">
        <v>228</v>
      </c>
      <c r="D150" s="42">
        <v>2.9028636363636369</v>
      </c>
      <c r="E150" s="43">
        <f>'[1]IPC99ON (real)'!O300</f>
        <v>1.7073909710578208</v>
      </c>
      <c r="F150" s="31">
        <f t="shared" si="18"/>
        <v>170.6901398654808</v>
      </c>
      <c r="G150" s="44">
        <f t="shared" si="21"/>
        <v>1.707390971057821</v>
      </c>
      <c r="H150" s="44">
        <f t="shared" si="19"/>
        <v>387.6399256585359</v>
      </c>
      <c r="I150" s="35">
        <v>0.23499999999999999</v>
      </c>
      <c r="J150" s="45">
        <f t="shared" si="22"/>
        <v>130.57795699709283</v>
      </c>
      <c r="K150" s="63">
        <f t="shared" si="20"/>
        <v>296.54454312877999</v>
      </c>
      <c r="L150" s="47">
        <f t="shared" si="23"/>
        <v>206.90372263979032</v>
      </c>
      <c r="M150" s="47">
        <f t="shared" si="24"/>
        <v>304.63352851680048</v>
      </c>
    </row>
    <row r="151" spans="1:13" x14ac:dyDescent="0.15">
      <c r="A151" s="40">
        <v>38504</v>
      </c>
      <c r="B151" s="12" t="s">
        <v>4</v>
      </c>
      <c r="C151" s="48">
        <v>243</v>
      </c>
      <c r="D151" s="42">
        <v>2.894090909090909</v>
      </c>
      <c r="E151" s="43">
        <f>'[1]IPC99ON (real)'!O301</f>
        <v>1.7230580618613176</v>
      </c>
      <c r="F151" s="31">
        <f t="shared" si="18"/>
        <v>179.72084968444571</v>
      </c>
      <c r="G151" s="44">
        <f t="shared" si="21"/>
        <v>1.7230580618613178</v>
      </c>
      <c r="H151" s="44">
        <f t="shared" si="19"/>
        <v>408.14880616930355</v>
      </c>
      <c r="I151" s="35">
        <v>0.23499999999999999</v>
      </c>
      <c r="J151" s="45">
        <f t="shared" si="22"/>
        <v>137.48645000860097</v>
      </c>
      <c r="K151" s="63">
        <f t="shared" si="20"/>
        <v>312.23383671951723</v>
      </c>
      <c r="L151" s="47">
        <f t="shared" si="23"/>
        <v>206.90372263979032</v>
      </c>
      <c r="M151" s="47">
        <f t="shared" si="24"/>
        <v>304.63352851680048</v>
      </c>
    </row>
    <row r="152" spans="1:13" x14ac:dyDescent="0.15">
      <c r="A152" s="40">
        <v>38534</v>
      </c>
      <c r="B152" s="12" t="s">
        <v>4</v>
      </c>
      <c r="C152" s="48">
        <v>252</v>
      </c>
      <c r="D152" s="42">
        <v>2.885714285714287</v>
      </c>
      <c r="E152" s="43">
        <f>'[1]IPC99ON (real)'!O302</f>
        <v>1.7403347852816125</v>
      </c>
      <c r="F152" s="31">
        <f t="shared" si="18"/>
        <v>183.9928735056931</v>
      </c>
      <c r="G152" s="44">
        <f t="shared" si="21"/>
        <v>1.7403347852816127</v>
      </c>
      <c r="H152" s="44">
        <f t="shared" si="19"/>
        <v>417.85063779112375</v>
      </c>
      <c r="I152" s="35">
        <v>0.23499999999999999</v>
      </c>
      <c r="J152" s="45">
        <f t="shared" si="22"/>
        <v>140.75454823185521</v>
      </c>
      <c r="K152" s="63">
        <f t="shared" si="20"/>
        <v>319.65573791020967</v>
      </c>
      <c r="L152" s="47">
        <f t="shared" si="23"/>
        <v>206.90372263979032</v>
      </c>
      <c r="M152" s="47">
        <f t="shared" si="24"/>
        <v>304.63352851680048</v>
      </c>
    </row>
    <row r="153" spans="1:13" x14ac:dyDescent="0.15">
      <c r="A153" s="40">
        <v>38565</v>
      </c>
      <c r="B153" s="12" t="s">
        <v>3</v>
      </c>
      <c r="C153" s="48">
        <v>242</v>
      </c>
      <c r="D153" s="42">
        <v>2.8975</v>
      </c>
      <c r="E153" s="43">
        <f>'[1]IPC99ON (real)'!O303</f>
        <v>1.7479537130011211</v>
      </c>
      <c r="F153" s="31">
        <f t="shared" si="18"/>
        <v>176.63990205225633</v>
      </c>
      <c r="G153" s="44">
        <f t="shared" si="21"/>
        <v>1.7479537130011213</v>
      </c>
      <c r="H153" s="44">
        <f t="shared" si="19"/>
        <v>401.15192684141181</v>
      </c>
      <c r="I153" s="35">
        <v>0.23499999999999999</v>
      </c>
      <c r="J153" s="45">
        <f t="shared" si="22"/>
        <v>135.1295250699761</v>
      </c>
      <c r="K153" s="63">
        <f t="shared" si="20"/>
        <v>306.88122403368004</v>
      </c>
      <c r="L153" s="47">
        <f t="shared" si="23"/>
        <v>206.90372263979032</v>
      </c>
      <c r="M153" s="47">
        <f t="shared" si="24"/>
        <v>304.63352851680048</v>
      </c>
    </row>
    <row r="154" spans="1:13" x14ac:dyDescent="0.15">
      <c r="A154" s="40">
        <v>38596</v>
      </c>
      <c r="B154" s="12" t="s">
        <v>5</v>
      </c>
      <c r="C154" s="48">
        <v>235</v>
      </c>
      <c r="D154" s="42">
        <v>2.918545454545455</v>
      </c>
      <c r="E154" s="43">
        <f>'[1]IPC99ON (real)'!O304</f>
        <v>1.7683423928138913</v>
      </c>
      <c r="F154" s="31">
        <f t="shared" si="18"/>
        <v>170.78428191354817</v>
      </c>
      <c r="G154" s="44">
        <f t="shared" si="21"/>
        <v>1.7683423928138915</v>
      </c>
      <c r="H154" s="44">
        <f t="shared" si="19"/>
        <v>387.85372369363586</v>
      </c>
      <c r="I154" s="35">
        <v>0.23499999999999999</v>
      </c>
      <c r="J154" s="45">
        <f t="shared" si="22"/>
        <v>130.64997566386435</v>
      </c>
      <c r="K154" s="63">
        <f t="shared" si="20"/>
        <v>296.70809862563141</v>
      </c>
      <c r="L154" s="47">
        <f t="shared" si="23"/>
        <v>206.90372263979032</v>
      </c>
      <c r="M154" s="47">
        <f t="shared" si="24"/>
        <v>304.63352851680048</v>
      </c>
    </row>
    <row r="155" spans="1:13" x14ac:dyDescent="0.15">
      <c r="A155" s="40">
        <v>38626</v>
      </c>
      <c r="B155" s="12" t="s">
        <v>6</v>
      </c>
      <c r="C155" s="48">
        <v>231</v>
      </c>
      <c r="D155" s="42">
        <v>2.9751428571428575</v>
      </c>
      <c r="E155" s="43">
        <f>'[1]IPC99ON (real)'!O305</f>
        <v>1.7820779244772313</v>
      </c>
      <c r="F155" s="31">
        <f t="shared" si="18"/>
        <v>169.81382568614126</v>
      </c>
      <c r="G155" s="44">
        <f t="shared" si="21"/>
        <v>1.7820779244772316</v>
      </c>
      <c r="H155" s="44">
        <f t="shared" si="19"/>
        <v>385.6498027164584</v>
      </c>
      <c r="I155" s="35">
        <v>0.23499999999999999</v>
      </c>
      <c r="J155" s="45">
        <f t="shared" si="22"/>
        <v>129.90757664989806</v>
      </c>
      <c r="K155" s="63">
        <f t="shared" si="20"/>
        <v>295.02209907809066</v>
      </c>
      <c r="L155" s="47">
        <f t="shared" si="23"/>
        <v>206.90372263979032</v>
      </c>
      <c r="M155" s="47">
        <f t="shared" si="24"/>
        <v>304.63352851680048</v>
      </c>
    </row>
    <row r="156" spans="1:13" x14ac:dyDescent="0.15">
      <c r="A156" s="40">
        <v>38657</v>
      </c>
      <c r="B156" s="12" t="s">
        <v>7</v>
      </c>
      <c r="C156" s="48">
        <v>227</v>
      </c>
      <c r="D156" s="42">
        <v>2.9837272727272723</v>
      </c>
      <c r="E156" s="43">
        <f>'[1]IPC99ON (real)'!O306</f>
        <v>1.8036470015423198</v>
      </c>
      <c r="F156" s="31">
        <f t="shared" si="18"/>
        <v>165.35349151902832</v>
      </c>
      <c r="G156" s="44">
        <f t="shared" si="21"/>
        <v>1.80364700154232</v>
      </c>
      <c r="H156" s="44">
        <f t="shared" si="19"/>
        <v>375.52031541089707</v>
      </c>
      <c r="I156" s="35">
        <v>0.23499999999999999</v>
      </c>
      <c r="J156" s="45">
        <f t="shared" si="22"/>
        <v>126.49542101205667</v>
      </c>
      <c r="K156" s="63">
        <f t="shared" si="20"/>
        <v>287.27304128933628</v>
      </c>
      <c r="L156" s="47">
        <f t="shared" si="23"/>
        <v>206.90372263979032</v>
      </c>
      <c r="M156" s="47">
        <f t="shared" si="24"/>
        <v>304.63352851680048</v>
      </c>
    </row>
    <row r="157" spans="1:13" x14ac:dyDescent="0.15">
      <c r="A157" s="40">
        <v>38687</v>
      </c>
      <c r="B157" s="12" t="s">
        <v>24</v>
      </c>
      <c r="C157" s="48">
        <v>238</v>
      </c>
      <c r="D157" s="42">
        <v>3.031931818181818</v>
      </c>
      <c r="E157" s="43">
        <f>'[1]IPC99ON (real)'!O307</f>
        <v>1.8237137548317301</v>
      </c>
      <c r="F157" s="31">
        <f t="shared" si="18"/>
        <v>174.22868017433271</v>
      </c>
      <c r="G157" s="44">
        <f t="shared" si="21"/>
        <v>1.8237137548317304</v>
      </c>
      <c r="H157" s="44">
        <f t="shared" si="19"/>
        <v>395.67600497362753</v>
      </c>
      <c r="I157" s="35">
        <v>0.23499999999999999</v>
      </c>
      <c r="J157" s="45">
        <f t="shared" si="22"/>
        <v>133.28494033336452</v>
      </c>
      <c r="K157" s="63">
        <f t="shared" si="20"/>
        <v>302.69214380482504</v>
      </c>
      <c r="L157" s="47">
        <f t="shared" si="23"/>
        <v>206.90372263979032</v>
      </c>
      <c r="M157" s="47">
        <f t="shared" si="24"/>
        <v>304.63352851680048</v>
      </c>
    </row>
    <row r="158" spans="1:13" x14ac:dyDescent="0.15">
      <c r="A158" s="40">
        <v>38718</v>
      </c>
      <c r="B158" s="12" t="s">
        <v>12</v>
      </c>
      <c r="C158" s="48">
        <v>234</v>
      </c>
      <c r="D158" s="42">
        <v>3.0668181818181823</v>
      </c>
      <c r="E158" s="43">
        <f>'[1]IPC99ON (real)'!O308</f>
        <v>1.8469997733547363</v>
      </c>
      <c r="F158" s="31">
        <f t="shared" si="18"/>
        <v>171.08698668620485</v>
      </c>
      <c r="G158" s="44">
        <f t="shared" si="21"/>
        <v>1.8469997733547365</v>
      </c>
      <c r="H158" s="44">
        <f t="shared" si="19"/>
        <v>388.54117087518716</v>
      </c>
      <c r="I158" s="35">
        <v>0.23499999999999999</v>
      </c>
      <c r="J158" s="45">
        <f t="shared" si="22"/>
        <v>130.88154481494672</v>
      </c>
      <c r="K158" s="63">
        <f t="shared" si="20"/>
        <v>297.23399571951819</v>
      </c>
      <c r="L158" s="47">
        <f t="shared" si="23"/>
        <v>206.90372263979032</v>
      </c>
      <c r="M158" s="47">
        <f t="shared" si="24"/>
        <v>304.63352851680048</v>
      </c>
    </row>
    <row r="159" spans="1:13" x14ac:dyDescent="0.15">
      <c r="A159" s="40">
        <v>38749</v>
      </c>
      <c r="B159" s="12" t="s">
        <v>1</v>
      </c>
      <c r="C159" s="48">
        <v>235</v>
      </c>
      <c r="D159" s="42">
        <v>3.0855000000000006</v>
      </c>
      <c r="E159" s="43">
        <f>'[1]IPC99ON (real)'!O309</f>
        <v>1.8542967745508858</v>
      </c>
      <c r="F159" s="31">
        <f t="shared" si="18"/>
        <v>172.18451942068964</v>
      </c>
      <c r="G159" s="44">
        <f t="shared" si="21"/>
        <v>1.854296774550886</v>
      </c>
      <c r="H159" s="44">
        <f t="shared" si="19"/>
        <v>391.03368454902198</v>
      </c>
      <c r="I159" s="35">
        <v>0.23499999999999999</v>
      </c>
      <c r="J159" s="45">
        <f t="shared" si="22"/>
        <v>131.72115735682758</v>
      </c>
      <c r="K159" s="63">
        <f t="shared" si="20"/>
        <v>299.14076868000183</v>
      </c>
      <c r="L159" s="47">
        <f t="shared" si="23"/>
        <v>206.90372263979032</v>
      </c>
      <c r="M159" s="47">
        <f t="shared" si="24"/>
        <v>304.63352851680048</v>
      </c>
    </row>
    <row r="160" spans="1:13" x14ac:dyDescent="0.15">
      <c r="A160" s="40">
        <v>38777</v>
      </c>
      <c r="B160" s="12" t="s">
        <v>2</v>
      </c>
      <c r="C160" s="48">
        <v>216</v>
      </c>
      <c r="D160" s="42">
        <v>3.0910869565217411</v>
      </c>
      <c r="E160" s="43">
        <f>'[1]IPC99ON (real)'!O310</f>
        <v>1.8766170135038129</v>
      </c>
      <c r="F160" s="31">
        <f t="shared" si="18"/>
        <v>156.66401662602033</v>
      </c>
      <c r="G160" s="44">
        <f t="shared" si="21"/>
        <v>1.8766170135038132</v>
      </c>
      <c r="H160" s="44">
        <f t="shared" si="19"/>
        <v>355.78638465079621</v>
      </c>
      <c r="I160" s="35">
        <v>0.23499999999999999</v>
      </c>
      <c r="J160" s="45">
        <f t="shared" si="22"/>
        <v>119.84797271890555</v>
      </c>
      <c r="K160" s="63">
        <f t="shared" si="20"/>
        <v>272.17658425785908</v>
      </c>
      <c r="L160" s="47">
        <f t="shared" si="23"/>
        <v>206.90372263979032</v>
      </c>
      <c r="M160" s="47">
        <f t="shared" si="24"/>
        <v>304.63352851680048</v>
      </c>
    </row>
    <row r="161" spans="1:13" x14ac:dyDescent="0.15">
      <c r="A161" s="40">
        <v>38808</v>
      </c>
      <c r="B161" s="12" t="s">
        <v>3</v>
      </c>
      <c r="C161" s="48">
        <v>213</v>
      </c>
      <c r="D161" s="42">
        <v>3.0870000000000006</v>
      </c>
      <c r="E161" s="43">
        <f>'[1]IPC99ON (real)'!O311</f>
        <v>1.8948595164941864</v>
      </c>
      <c r="F161" s="31">
        <f t="shared" si="18"/>
        <v>152.79852022906303</v>
      </c>
      <c r="G161" s="44">
        <f t="shared" si="21"/>
        <v>1.8948595164941866</v>
      </c>
      <c r="H161" s="44">
        <f t="shared" si="19"/>
        <v>347.00778304480571</v>
      </c>
      <c r="I161" s="35">
        <v>0.23499999999999999</v>
      </c>
      <c r="J161" s="45">
        <f t="shared" si="22"/>
        <v>116.89086797523322</v>
      </c>
      <c r="K161" s="63">
        <f t="shared" si="20"/>
        <v>265.46095402927637</v>
      </c>
      <c r="L161" s="47">
        <f t="shared" si="23"/>
        <v>206.90372263979032</v>
      </c>
      <c r="M161" s="47">
        <f t="shared" si="24"/>
        <v>304.63352851680048</v>
      </c>
    </row>
    <row r="162" spans="1:13" x14ac:dyDescent="0.15">
      <c r="A162" s="40">
        <v>38838</v>
      </c>
      <c r="B162" s="12" t="s">
        <v>2</v>
      </c>
      <c r="C162" s="48">
        <v>226</v>
      </c>
      <c r="D162" s="42">
        <v>3.0743478260869561</v>
      </c>
      <c r="E162" s="43">
        <f>'[1]IPC99ON (real)'!O312</f>
        <v>1.9037661503071333</v>
      </c>
      <c r="F162" s="31">
        <f t="shared" si="18"/>
        <v>160.70440174705979</v>
      </c>
      <c r="G162" s="44">
        <f t="shared" si="21"/>
        <v>1.9037661503071335</v>
      </c>
      <c r="H162" s="44">
        <f t="shared" si="19"/>
        <v>364.96216123159877</v>
      </c>
      <c r="I162" s="35">
        <v>0.23499999999999999</v>
      </c>
      <c r="J162" s="45">
        <f t="shared" si="22"/>
        <v>122.93886733650075</v>
      </c>
      <c r="K162" s="63">
        <f t="shared" si="20"/>
        <v>279.19605334217306</v>
      </c>
      <c r="L162" s="47">
        <f t="shared" si="23"/>
        <v>206.90372263979032</v>
      </c>
      <c r="M162" s="47">
        <f t="shared" si="24"/>
        <v>304.63352851680048</v>
      </c>
    </row>
    <row r="163" spans="1:13" x14ac:dyDescent="0.15">
      <c r="A163" s="40">
        <v>38869</v>
      </c>
      <c r="B163" s="12" t="s">
        <v>4</v>
      </c>
      <c r="C163" s="48">
        <v>227</v>
      </c>
      <c r="D163" s="42">
        <v>3.100454545454546</v>
      </c>
      <c r="E163" s="43">
        <f>'[1]IPC99ON (real)'!O313</f>
        <v>1.9129947106434397</v>
      </c>
      <c r="F163" s="31">
        <f t="shared" si="18"/>
        <v>162.00088584406745</v>
      </c>
      <c r="G163" s="44">
        <f t="shared" si="21"/>
        <v>1.91299471064344</v>
      </c>
      <c r="H163" s="44">
        <f t="shared" si="19"/>
        <v>367.90649650121418</v>
      </c>
      <c r="I163" s="35">
        <v>0.23499999999999999</v>
      </c>
      <c r="J163" s="45">
        <f t="shared" si="22"/>
        <v>123.9306776707116</v>
      </c>
      <c r="K163" s="63">
        <f t="shared" si="20"/>
        <v>281.44846982342887</v>
      </c>
      <c r="L163" s="47">
        <f t="shared" si="23"/>
        <v>206.90372263979032</v>
      </c>
      <c r="M163" s="47">
        <f t="shared" si="24"/>
        <v>304.63352851680048</v>
      </c>
    </row>
    <row r="164" spans="1:13" x14ac:dyDescent="0.15">
      <c r="A164" s="40">
        <v>38899</v>
      </c>
      <c r="B164" s="12" t="s">
        <v>4</v>
      </c>
      <c r="C164" s="48">
        <v>231</v>
      </c>
      <c r="D164" s="42">
        <v>3.1014285714285719</v>
      </c>
      <c r="E164" s="43">
        <f>'[1]IPC99ON (real)'!O314</f>
        <v>1.9247986831666224</v>
      </c>
      <c r="F164" s="31">
        <f t="shared" si="18"/>
        <v>163.89601082264409</v>
      </c>
      <c r="G164" s="44">
        <f t="shared" si="21"/>
        <v>1.9247986831666226</v>
      </c>
      <c r="H164" s="44">
        <f t="shared" si="19"/>
        <v>372.21035439475173</v>
      </c>
      <c r="I164" s="35">
        <v>0.23499999999999999</v>
      </c>
      <c r="J164" s="45">
        <f t="shared" si="22"/>
        <v>125.38044827932274</v>
      </c>
      <c r="K164" s="63">
        <f t="shared" si="20"/>
        <v>284.74092111198507</v>
      </c>
      <c r="L164" s="47">
        <f t="shared" si="23"/>
        <v>206.90372263979032</v>
      </c>
      <c r="M164" s="47">
        <f t="shared" si="24"/>
        <v>304.63352851680048</v>
      </c>
    </row>
    <row r="165" spans="1:13" x14ac:dyDescent="0.15">
      <c r="A165" s="40">
        <v>38930</v>
      </c>
      <c r="B165" s="12" t="s">
        <v>3</v>
      </c>
      <c r="C165" s="48">
        <v>226</v>
      </c>
      <c r="D165" s="42">
        <v>3.0960869565217393</v>
      </c>
      <c r="E165" s="43">
        <f>'[1]IPC99ON (real)'!O315</f>
        <v>1.9356368761197265</v>
      </c>
      <c r="F165" s="31">
        <f t="shared" si="18"/>
        <v>159.1760173322626</v>
      </c>
      <c r="G165" s="44">
        <f t="shared" si="21"/>
        <v>1.9356368761197267</v>
      </c>
      <c r="H165" s="44">
        <f t="shared" si="19"/>
        <v>361.49117678342526</v>
      </c>
      <c r="I165" s="35">
        <v>0.23499999999999999</v>
      </c>
      <c r="J165" s="45">
        <f t="shared" si="22"/>
        <v>121.7696532591809</v>
      </c>
      <c r="K165" s="63">
        <f t="shared" si="20"/>
        <v>276.54075023932035</v>
      </c>
      <c r="L165" s="47">
        <f t="shared" si="23"/>
        <v>206.90372263979032</v>
      </c>
      <c r="M165" s="47">
        <f t="shared" si="24"/>
        <v>304.63352851680048</v>
      </c>
    </row>
    <row r="166" spans="1:13" x14ac:dyDescent="0.15">
      <c r="A166" s="40">
        <v>38961</v>
      </c>
      <c r="B166" s="12" t="s">
        <v>5</v>
      </c>
      <c r="C166" s="48">
        <v>222</v>
      </c>
      <c r="D166" s="42">
        <v>3.1157619047619041</v>
      </c>
      <c r="E166" s="43">
        <f>'[1]IPC99ON (real)'!O316</f>
        <v>1.9530209083811412</v>
      </c>
      <c r="F166" s="31">
        <f t="shared" si="18"/>
        <v>155.95175894765964</v>
      </c>
      <c r="G166" s="44">
        <f t="shared" si="21"/>
        <v>1.9530209083811414</v>
      </c>
      <c r="H166" s="44">
        <f t="shared" si="19"/>
        <v>354.16883653871986</v>
      </c>
      <c r="I166" s="35">
        <v>0.23499999999999999</v>
      </c>
      <c r="J166" s="45">
        <f t="shared" si="22"/>
        <v>119.30309559495963</v>
      </c>
      <c r="K166" s="63">
        <f t="shared" si="20"/>
        <v>270.93915995212069</v>
      </c>
      <c r="L166" s="47">
        <f t="shared" si="23"/>
        <v>206.90372263979032</v>
      </c>
      <c r="M166" s="47">
        <f t="shared" si="24"/>
        <v>304.63352851680048</v>
      </c>
    </row>
    <row r="167" spans="1:13" x14ac:dyDescent="0.15">
      <c r="A167" s="40">
        <v>38991</v>
      </c>
      <c r="B167" s="12" t="s">
        <v>6</v>
      </c>
      <c r="C167" s="48">
        <v>243</v>
      </c>
      <c r="D167" s="42">
        <v>3.1163636363636367</v>
      </c>
      <c r="E167" s="43">
        <f>'[1]IPC99ON (real)'!O317</f>
        <v>1.9693607475488095</v>
      </c>
      <c r="F167" s="31">
        <f t="shared" si="18"/>
        <v>169.32031074653068</v>
      </c>
      <c r="G167" s="44">
        <f t="shared" si="21"/>
        <v>1.9693607475488097</v>
      </c>
      <c r="H167" s="44">
        <f t="shared" si="19"/>
        <v>384.52902271913234</v>
      </c>
      <c r="I167" s="35">
        <v>0.23499999999999999</v>
      </c>
      <c r="J167" s="45">
        <f t="shared" si="22"/>
        <v>129.53003772109597</v>
      </c>
      <c r="K167" s="63">
        <f t="shared" si="20"/>
        <v>294.16470238013625</v>
      </c>
      <c r="L167" s="47">
        <f t="shared" si="23"/>
        <v>206.90372263979032</v>
      </c>
      <c r="M167" s="47">
        <f t="shared" si="24"/>
        <v>304.63352851680048</v>
      </c>
    </row>
    <row r="168" spans="1:13" x14ac:dyDescent="0.15">
      <c r="A168" s="40">
        <v>39022</v>
      </c>
      <c r="B168" s="12" t="s">
        <v>7</v>
      </c>
      <c r="C168" s="48">
        <v>266</v>
      </c>
      <c r="D168" s="42">
        <v>3.095454545454547</v>
      </c>
      <c r="E168" s="43">
        <f>'[1]IPC99ON (real)'!O318</f>
        <v>1.9836733563010711</v>
      </c>
      <c r="F168" s="31">
        <f t="shared" si="18"/>
        <v>182.77459920299782</v>
      </c>
      <c r="G168" s="44">
        <f t="shared" si="21"/>
        <v>1.9836733563010713</v>
      </c>
      <c r="H168" s="44">
        <f t="shared" si="19"/>
        <v>415.08391816396392</v>
      </c>
      <c r="I168" s="35">
        <v>0.23499999999999999</v>
      </c>
      <c r="J168" s="45">
        <f t="shared" si="22"/>
        <v>139.82256839029333</v>
      </c>
      <c r="K168" s="63">
        <f t="shared" si="20"/>
        <v>317.53919739543238</v>
      </c>
      <c r="L168" s="47">
        <f t="shared" si="23"/>
        <v>206.90372263979032</v>
      </c>
      <c r="M168" s="47">
        <f t="shared" si="24"/>
        <v>304.63352851680048</v>
      </c>
    </row>
    <row r="169" spans="1:13" x14ac:dyDescent="0.15">
      <c r="A169" s="40">
        <v>39052</v>
      </c>
      <c r="B169" s="12" t="s">
        <v>25</v>
      </c>
      <c r="C169" s="48">
        <v>267</v>
      </c>
      <c r="D169" s="42">
        <v>3.0812499999999998</v>
      </c>
      <c r="E169" s="43">
        <f>'[1]IPC99ON (real)'!O319</f>
        <v>2.0031102056057049</v>
      </c>
      <c r="F169" s="31">
        <f t="shared" si="18"/>
        <v>180.84782374918251</v>
      </c>
      <c r="G169" s="44">
        <f t="shared" si="21"/>
        <v>2.0031102056057053</v>
      </c>
      <c r="H169" s="44">
        <f t="shared" si="19"/>
        <v>410.70818155570817</v>
      </c>
      <c r="I169" s="35">
        <v>0.23499999999999999</v>
      </c>
      <c r="J169" s="45">
        <f t="shared" si="22"/>
        <v>138.34858516812463</v>
      </c>
      <c r="K169" s="63">
        <f t="shared" si="20"/>
        <v>314.19175889011677</v>
      </c>
      <c r="L169" s="47">
        <f t="shared" si="23"/>
        <v>206.90372263979032</v>
      </c>
      <c r="M169" s="47">
        <f t="shared" si="24"/>
        <v>304.63352851680048</v>
      </c>
    </row>
    <row r="170" spans="1:13" x14ac:dyDescent="0.15">
      <c r="A170" s="40">
        <v>39083</v>
      </c>
      <c r="B170" s="12" t="s">
        <v>13</v>
      </c>
      <c r="C170" s="48">
        <v>275</v>
      </c>
      <c r="D170" s="42">
        <v>3.101818181818182</v>
      </c>
      <c r="E170" s="43">
        <f>'[1]IPC99ON (real)'!O320</f>
        <v>2.0560169817915055</v>
      </c>
      <c r="F170" s="31">
        <f t="shared" si="18"/>
        <v>182.68473788392683</v>
      </c>
      <c r="G170" s="44">
        <f t="shared" si="21"/>
        <v>2.0560169817915059</v>
      </c>
      <c r="H170" s="44">
        <f t="shared" si="19"/>
        <v>414.87984173007192</v>
      </c>
      <c r="I170" s="35">
        <v>0.27500000000000002</v>
      </c>
      <c r="J170" s="45">
        <f t="shared" si="22"/>
        <v>132.44643496584695</v>
      </c>
      <c r="K170" s="63">
        <f t="shared" si="20"/>
        <v>300.78788525430213</v>
      </c>
      <c r="L170" s="47">
        <f t="shared" si="23"/>
        <v>206.90372263979032</v>
      </c>
      <c r="M170" s="47">
        <f t="shared" si="24"/>
        <v>304.63352851680048</v>
      </c>
    </row>
    <row r="171" spans="1:13" x14ac:dyDescent="0.15">
      <c r="A171" s="40">
        <v>39114</v>
      </c>
      <c r="B171" s="12" t="s">
        <v>1</v>
      </c>
      <c r="C171" s="48">
        <v>297</v>
      </c>
      <c r="D171" s="42">
        <v>3.12</v>
      </c>
      <c r="E171" s="43">
        <f>'[1]IPC99ON (real)'!O321</f>
        <v>2.0636076270593779</v>
      </c>
      <c r="F171" s="31">
        <f t="shared" si="18"/>
        <v>197.72603231337192</v>
      </c>
      <c r="G171" s="44">
        <f t="shared" si="21"/>
        <v>2.0636076270593784</v>
      </c>
      <c r="H171" s="44">
        <f t="shared" si="19"/>
        <v>449.0388520808354</v>
      </c>
      <c r="I171" s="35">
        <v>0.27500000000000002</v>
      </c>
      <c r="J171" s="45">
        <f t="shared" si="22"/>
        <v>143.35137342719463</v>
      </c>
      <c r="K171" s="63">
        <f t="shared" si="20"/>
        <v>325.55316775860564</v>
      </c>
      <c r="L171" s="47">
        <f t="shared" si="23"/>
        <v>206.90372263979032</v>
      </c>
      <c r="M171" s="47">
        <f t="shared" si="24"/>
        <v>304.63352851680048</v>
      </c>
    </row>
    <row r="172" spans="1:13" x14ac:dyDescent="0.15">
      <c r="A172" s="40">
        <v>39142</v>
      </c>
      <c r="B172" s="12" t="s">
        <v>2</v>
      </c>
      <c r="C172" s="48">
        <v>273</v>
      </c>
      <c r="D172" s="42">
        <v>3.1197727272727267</v>
      </c>
      <c r="E172" s="43">
        <f>'[1]IPC99ON (real)'!O322</f>
        <v>2.0817824498126796</v>
      </c>
      <c r="F172" s="31">
        <f t="shared" si="18"/>
        <v>180.14831068166498</v>
      </c>
      <c r="G172" s="44">
        <f t="shared" si="21"/>
        <v>2.08178244981268</v>
      </c>
      <c r="H172" s="44">
        <f t="shared" si="19"/>
        <v>409.11957665033191</v>
      </c>
      <c r="I172" s="35">
        <v>0.27500000000000002</v>
      </c>
      <c r="J172" s="45">
        <f t="shared" si="22"/>
        <v>130.6075252442071</v>
      </c>
      <c r="K172" s="63">
        <f t="shared" si="20"/>
        <v>296.61169307149061</v>
      </c>
      <c r="L172" s="47">
        <f t="shared" si="23"/>
        <v>206.90372263979032</v>
      </c>
      <c r="M172" s="47">
        <f t="shared" si="24"/>
        <v>304.63352851680048</v>
      </c>
    </row>
    <row r="173" spans="1:13" x14ac:dyDescent="0.15">
      <c r="A173" s="40">
        <v>39173</v>
      </c>
      <c r="B173" s="12" t="s">
        <v>3</v>
      </c>
      <c r="C173" s="48">
        <v>261</v>
      </c>
      <c r="D173" s="42">
        <v>3.1123809523809522</v>
      </c>
      <c r="E173" s="43">
        <f>'[1]IPC99ON (real)'!O323</f>
        <v>2.1018101805124889</v>
      </c>
      <c r="F173" s="31">
        <f t="shared" si="18"/>
        <v>170.18438026529739</v>
      </c>
      <c r="G173" s="44">
        <f t="shared" si="21"/>
        <v>2.1018101805124894</v>
      </c>
      <c r="H173" s="44">
        <f t="shared" si="19"/>
        <v>386.49133784924186</v>
      </c>
      <c r="I173" s="35">
        <v>0.27500000000000002</v>
      </c>
      <c r="J173" s="45">
        <f t="shared" si="22"/>
        <v>123.3836756923406</v>
      </c>
      <c r="K173" s="63">
        <f t="shared" si="20"/>
        <v>280.20621994070035</v>
      </c>
      <c r="L173" s="47">
        <f t="shared" si="23"/>
        <v>206.90372263979032</v>
      </c>
      <c r="M173" s="47">
        <f t="shared" si="24"/>
        <v>304.63352851680048</v>
      </c>
    </row>
    <row r="174" spans="1:13" x14ac:dyDescent="0.15">
      <c r="A174" s="40">
        <v>39203</v>
      </c>
      <c r="B174" s="12" t="s">
        <v>2</v>
      </c>
      <c r="C174" s="48">
        <v>269</v>
      </c>
      <c r="D174" s="42">
        <v>3.1021739130434787</v>
      </c>
      <c r="E174" s="43">
        <f>'[1]IPC99ON (real)'!O324</f>
        <v>2.1211122506298321</v>
      </c>
      <c r="F174" s="31">
        <f t="shared" si="18"/>
        <v>173.234625610694</v>
      </c>
      <c r="G174" s="44">
        <f t="shared" si="21"/>
        <v>2.1211122506298326</v>
      </c>
      <c r="H174" s="44">
        <f t="shared" si="19"/>
        <v>393.4184918129194</v>
      </c>
      <c r="I174" s="35">
        <v>0.27500000000000002</v>
      </c>
      <c r="J174" s="45">
        <f t="shared" si="22"/>
        <v>125.59510356775314</v>
      </c>
      <c r="K174" s="63">
        <f t="shared" si="20"/>
        <v>285.22840656436654</v>
      </c>
      <c r="L174" s="47">
        <f t="shared" si="23"/>
        <v>206.90372263979032</v>
      </c>
      <c r="M174" s="47">
        <f t="shared" si="24"/>
        <v>304.63352851680048</v>
      </c>
    </row>
    <row r="175" spans="1:13" x14ac:dyDescent="0.15">
      <c r="A175" s="40">
        <v>39234</v>
      </c>
      <c r="B175" s="12" t="s">
        <v>4</v>
      </c>
      <c r="C175" s="48">
        <v>281</v>
      </c>
      <c r="D175" s="42">
        <v>3.0959523809523817</v>
      </c>
      <c r="E175" s="43">
        <f>'[1]IPC99ON (real)'!O325</f>
        <v>2.1406162494635268</v>
      </c>
      <c r="F175" s="31">
        <f t="shared" si="18"/>
        <v>178.95412222959345</v>
      </c>
      <c r="G175" s="44">
        <f t="shared" si="21"/>
        <v>2.1406162494635272</v>
      </c>
      <c r="H175" s="44">
        <f t="shared" si="19"/>
        <v>406.40755635936421</v>
      </c>
      <c r="I175" s="35">
        <v>0.27500000000000002</v>
      </c>
      <c r="J175" s="45">
        <f t="shared" si="22"/>
        <v>129.74173861645525</v>
      </c>
      <c r="K175" s="63">
        <f t="shared" si="20"/>
        <v>294.64547836053902</v>
      </c>
      <c r="L175" s="47">
        <f t="shared" si="23"/>
        <v>206.90372263979032</v>
      </c>
      <c r="M175" s="47">
        <f t="shared" si="24"/>
        <v>304.63352851680048</v>
      </c>
    </row>
    <row r="176" spans="1:13" x14ac:dyDescent="0.15">
      <c r="A176" s="40">
        <v>39264</v>
      </c>
      <c r="B176" s="12" t="s">
        <v>4</v>
      </c>
      <c r="C176" s="48">
        <v>286</v>
      </c>
      <c r="D176" s="42">
        <v>3.1336363636363642</v>
      </c>
      <c r="E176" s="43">
        <f>'[1]IPC99ON (real)'!O326</f>
        <v>2.166428097870829</v>
      </c>
      <c r="F176" s="31">
        <f t="shared" si="18"/>
        <v>182.15885356146734</v>
      </c>
      <c r="G176" s="44">
        <f t="shared" si="21"/>
        <v>2.1664280978708295</v>
      </c>
      <c r="H176" s="44">
        <f t="shared" si="19"/>
        <v>413.68555036781845</v>
      </c>
      <c r="I176" s="35">
        <v>0.27500000000000002</v>
      </c>
      <c r="J176" s="45">
        <f t="shared" si="22"/>
        <v>132.06516883206382</v>
      </c>
      <c r="K176" s="63">
        <f t="shared" si="20"/>
        <v>299.92202401666839</v>
      </c>
      <c r="L176" s="47">
        <f t="shared" si="23"/>
        <v>206.90372263979032</v>
      </c>
      <c r="M176" s="47">
        <f t="shared" si="24"/>
        <v>304.63352851680048</v>
      </c>
    </row>
    <row r="177" spans="1:13" x14ac:dyDescent="0.15">
      <c r="A177" s="40">
        <v>39295</v>
      </c>
      <c r="B177" s="12" t="s">
        <v>3</v>
      </c>
      <c r="C177" s="48">
        <v>306</v>
      </c>
      <c r="D177" s="42">
        <v>3.1830434782608701</v>
      </c>
      <c r="E177" s="43">
        <f>'[1]IPC99ON (real)'!O327</f>
        <v>2.1975934684989458</v>
      </c>
      <c r="F177" s="31">
        <f t="shared" si="18"/>
        <v>195.16259059982943</v>
      </c>
      <c r="G177" s="44">
        <f t="shared" si="21"/>
        <v>2.1975934684989462</v>
      </c>
      <c r="H177" s="44">
        <f t="shared" si="19"/>
        <v>443.21723663163192</v>
      </c>
      <c r="I177" s="35">
        <v>0.27500000000000002</v>
      </c>
      <c r="J177" s="45">
        <f t="shared" si="22"/>
        <v>141.49287818487633</v>
      </c>
      <c r="K177" s="63">
        <f t="shared" si="20"/>
        <v>321.33249655793315</v>
      </c>
      <c r="L177" s="47">
        <f t="shared" si="23"/>
        <v>206.90372263979032</v>
      </c>
      <c r="M177" s="47">
        <f t="shared" si="24"/>
        <v>304.63352851680048</v>
      </c>
    </row>
    <row r="178" spans="1:13" x14ac:dyDescent="0.15">
      <c r="A178" s="40">
        <v>39326</v>
      </c>
      <c r="B178" s="12" t="s">
        <v>5</v>
      </c>
      <c r="C178" s="48">
        <v>350</v>
      </c>
      <c r="D178" s="42">
        <v>3.1775000000000002</v>
      </c>
      <c r="E178" s="43">
        <f>'[1]IPC99ON (real)'!O328</f>
        <v>2.2307164301432154</v>
      </c>
      <c r="F178" s="31">
        <f t="shared" si="18"/>
        <v>219.52762057814004</v>
      </c>
      <c r="G178" s="44">
        <f t="shared" si="21"/>
        <v>2.2307164301432159</v>
      </c>
      <c r="H178" s="44">
        <f t="shared" si="19"/>
        <v>498.55059342015949</v>
      </c>
      <c r="I178" s="35">
        <v>0.27500000000000002</v>
      </c>
      <c r="J178" s="45">
        <f t="shared" si="22"/>
        <v>159.15752491915154</v>
      </c>
      <c r="K178" s="63">
        <f t="shared" si="20"/>
        <v>361.44918022961559</v>
      </c>
      <c r="L178" s="47">
        <f t="shared" si="23"/>
        <v>206.90372263979032</v>
      </c>
      <c r="M178" s="47">
        <f t="shared" si="24"/>
        <v>304.63352851680048</v>
      </c>
    </row>
    <row r="179" spans="1:13" x14ac:dyDescent="0.15">
      <c r="A179" s="40">
        <v>39356</v>
      </c>
      <c r="B179" s="12" t="s">
        <v>6</v>
      </c>
      <c r="C179" s="48">
        <v>372</v>
      </c>
      <c r="D179" s="42">
        <v>3.1804347826086961</v>
      </c>
      <c r="E179" s="43">
        <f>'[1]IPC99ON (real)'!O329</f>
        <v>2.265917165216802</v>
      </c>
      <c r="F179" s="31">
        <f t="shared" si="18"/>
        <v>229.91395781678386</v>
      </c>
      <c r="G179" s="44">
        <f t="shared" si="21"/>
        <v>2.2659171652168024</v>
      </c>
      <c r="H179" s="44">
        <f t="shared" si="19"/>
        <v>522.13812459346195</v>
      </c>
      <c r="I179" s="35">
        <v>0.27500000000000002</v>
      </c>
      <c r="J179" s="45">
        <f t="shared" si="22"/>
        <v>166.68761941716829</v>
      </c>
      <c r="K179" s="63">
        <f t="shared" si="20"/>
        <v>378.55014033025992</v>
      </c>
      <c r="L179" s="47">
        <f t="shared" si="23"/>
        <v>206.90372263979032</v>
      </c>
      <c r="M179" s="47">
        <f t="shared" si="24"/>
        <v>304.63352851680048</v>
      </c>
    </row>
    <row r="180" spans="1:13" x14ac:dyDescent="0.15">
      <c r="A180" s="40">
        <v>39387</v>
      </c>
      <c r="B180" s="12" t="s">
        <v>7</v>
      </c>
      <c r="C180" s="48">
        <v>404</v>
      </c>
      <c r="D180" s="42">
        <v>3.1514772727272713</v>
      </c>
      <c r="E180" s="43">
        <f>'[1]IPC99ON (real)'!O330</f>
        <v>2.3177439173822187</v>
      </c>
      <c r="F180" s="31">
        <f t="shared" si="18"/>
        <v>241.88560705895293</v>
      </c>
      <c r="G180" s="44">
        <f t="shared" si="21"/>
        <v>2.3177439173822192</v>
      </c>
      <c r="H180" s="44">
        <f t="shared" si="19"/>
        <v>549.32592364208745</v>
      </c>
      <c r="I180" s="35">
        <v>0.35</v>
      </c>
      <c r="J180" s="45">
        <f t="shared" si="22"/>
        <v>157.2256445883194</v>
      </c>
      <c r="K180" s="63">
        <f t="shared" si="20"/>
        <v>357.06185036735684</v>
      </c>
      <c r="L180" s="47">
        <f t="shared" si="23"/>
        <v>206.90372263979032</v>
      </c>
      <c r="M180" s="47">
        <f t="shared" si="24"/>
        <v>304.63352851680048</v>
      </c>
    </row>
    <row r="181" spans="1:13" x14ac:dyDescent="0.15">
      <c r="A181" s="40">
        <v>39417</v>
      </c>
      <c r="B181" s="12" t="s">
        <v>26</v>
      </c>
      <c r="C181" s="48">
        <v>438</v>
      </c>
      <c r="D181" s="42">
        <v>3.1575000000000002</v>
      </c>
      <c r="E181" s="43">
        <f>'[1]IPC99ON (real)'!O331</f>
        <v>2.3923771130598572</v>
      </c>
      <c r="F181" s="31">
        <f t="shared" si="18"/>
        <v>254.54687128119434</v>
      </c>
      <c r="G181" s="44">
        <f t="shared" si="21"/>
        <v>2.3923771130598577</v>
      </c>
      <c r="H181" s="44">
        <f t="shared" si="19"/>
        <v>578.07984888768567</v>
      </c>
      <c r="I181" s="35">
        <v>0.35</v>
      </c>
      <c r="J181" s="45">
        <f t="shared" si="22"/>
        <v>165.45546633277633</v>
      </c>
      <c r="K181" s="63">
        <f t="shared" si="20"/>
        <v>375.75190177699568</v>
      </c>
      <c r="L181" s="47">
        <f t="shared" si="23"/>
        <v>206.90372263979032</v>
      </c>
      <c r="M181" s="47">
        <f t="shared" si="24"/>
        <v>304.63352851680048</v>
      </c>
    </row>
    <row r="182" spans="1:13" x14ac:dyDescent="0.15">
      <c r="A182" s="40">
        <v>39448</v>
      </c>
      <c r="B182" s="12" t="s">
        <v>14</v>
      </c>
      <c r="C182" s="48">
        <v>472</v>
      </c>
      <c r="D182" s="42">
        <v>3.1640476190476194</v>
      </c>
      <c r="E182" s="43">
        <f>'[1]IPC99ON (real)'!O332</f>
        <v>2.446922891556957</v>
      </c>
      <c r="F182" s="31">
        <f t="shared" si="18"/>
        <v>268.74763951474995</v>
      </c>
      <c r="G182" s="44">
        <f t="shared" si="21"/>
        <v>2.4469228915569574</v>
      </c>
      <c r="H182" s="44">
        <f t="shared" si="19"/>
        <v>610.3300113556985</v>
      </c>
      <c r="I182" s="35">
        <v>0.35</v>
      </c>
      <c r="J182" s="45">
        <f t="shared" si="22"/>
        <v>174.68596568458747</v>
      </c>
      <c r="K182" s="63">
        <f t="shared" si="20"/>
        <v>396.71450738120404</v>
      </c>
      <c r="L182" s="47">
        <f t="shared" si="23"/>
        <v>206.90372263979032</v>
      </c>
      <c r="M182" s="47">
        <f t="shared" si="24"/>
        <v>304.63352851680048</v>
      </c>
    </row>
    <row r="183" spans="1:13" x14ac:dyDescent="0.15">
      <c r="A183" s="40">
        <v>39479</v>
      </c>
      <c r="B183" s="12" t="s">
        <v>1</v>
      </c>
      <c r="C183" s="48">
        <v>515</v>
      </c>
      <c r="D183" s="42">
        <v>3.1728571428571435</v>
      </c>
      <c r="E183" s="43">
        <f>'[1]IPC99ON (real)'!O333</f>
        <v>2.4730875485779258</v>
      </c>
      <c r="F183" s="31">
        <f t="shared" si="18"/>
        <v>290.93648621897182</v>
      </c>
      <c r="G183" s="44">
        <f t="shared" si="21"/>
        <v>2.4730875485779262</v>
      </c>
      <c r="H183" s="44">
        <f t="shared" si="19"/>
        <v>660.72122255074362</v>
      </c>
      <c r="I183" s="35">
        <v>0.35</v>
      </c>
      <c r="J183" s="45">
        <f t="shared" si="22"/>
        <v>189.10871604233168</v>
      </c>
      <c r="K183" s="63">
        <f t="shared" si="20"/>
        <v>429.46879465798338</v>
      </c>
      <c r="L183" s="47">
        <f t="shared" si="23"/>
        <v>206.90372263979032</v>
      </c>
      <c r="M183" s="47">
        <f t="shared" si="24"/>
        <v>304.63352851680048</v>
      </c>
    </row>
    <row r="184" spans="1:13" x14ac:dyDescent="0.15">
      <c r="A184" s="40">
        <v>39508</v>
      </c>
      <c r="B184" s="12" t="s">
        <v>2</v>
      </c>
      <c r="C184" s="48">
        <v>514</v>
      </c>
      <c r="D184" s="42">
        <v>3.1726666666666676</v>
      </c>
      <c r="E184" s="43">
        <f>'[1]IPC99ON (real)'!O334</f>
        <v>2.5477943374637815</v>
      </c>
      <c r="F184" s="31">
        <f t="shared" si="18"/>
        <v>281.84032394238056</v>
      </c>
      <c r="G184" s="44">
        <f t="shared" si="21"/>
        <v>2.5477943374637819</v>
      </c>
      <c r="H184" s="44">
        <f t="shared" si="19"/>
        <v>640.06369850480485</v>
      </c>
      <c r="I184" s="35">
        <v>0.35</v>
      </c>
      <c r="J184" s="45">
        <f t="shared" si="22"/>
        <v>183.19621056254738</v>
      </c>
      <c r="K184" s="63">
        <f t="shared" si="20"/>
        <v>416.04140402812317</v>
      </c>
      <c r="L184" s="47">
        <f t="shared" si="23"/>
        <v>206.90372263979032</v>
      </c>
      <c r="M184" s="47">
        <f t="shared" si="24"/>
        <v>304.63352851680048</v>
      </c>
    </row>
    <row r="185" spans="1:13" x14ac:dyDescent="0.15">
      <c r="A185" s="40">
        <v>39539</v>
      </c>
      <c r="B185" s="12" t="s">
        <v>3</v>
      </c>
      <c r="C185" s="48">
        <v>464</v>
      </c>
      <c r="D185" s="42">
        <v>3.186818181818182</v>
      </c>
      <c r="E185" s="43">
        <f>'[1]IPC99ON (real)'!O335</f>
        <v>2.6050694411765645</v>
      </c>
      <c r="F185" s="31">
        <f t="shared" si="18"/>
        <v>249.94007458186624</v>
      </c>
      <c r="G185" s="44">
        <f t="shared" si="21"/>
        <v>2.6050694411765649</v>
      </c>
      <c r="H185" s="44">
        <f t="shared" si="19"/>
        <v>567.61774292503981</v>
      </c>
      <c r="I185" s="35">
        <v>0.35</v>
      </c>
      <c r="J185" s="45">
        <f t="shared" si="22"/>
        <v>162.46104847821306</v>
      </c>
      <c r="K185" s="63">
        <f t="shared" si="20"/>
        <v>368.95153290127587</v>
      </c>
      <c r="L185" s="47">
        <f t="shared" si="23"/>
        <v>206.90372263979032</v>
      </c>
      <c r="M185" s="47">
        <f t="shared" si="24"/>
        <v>304.63352851680048</v>
      </c>
    </row>
    <row r="186" spans="1:13" x14ac:dyDescent="0.15">
      <c r="A186" s="40">
        <v>39569</v>
      </c>
      <c r="B186" s="12" t="s">
        <v>2</v>
      </c>
      <c r="C186" s="48">
        <v>463</v>
      </c>
      <c r="D186" s="42">
        <v>3.1829999999999994</v>
      </c>
      <c r="E186" s="43">
        <f>'[1]IPC99ON (real)'!O336</f>
        <v>2.6614640183563356</v>
      </c>
      <c r="F186" s="31">
        <f t="shared" si="18"/>
        <v>243.8242871543595</v>
      </c>
      <c r="G186" s="44">
        <f t="shared" si="21"/>
        <v>2.6614640183563361</v>
      </c>
      <c r="H186" s="44">
        <f t="shared" si="19"/>
        <v>553.72869587398884</v>
      </c>
      <c r="I186" s="35">
        <v>0.35</v>
      </c>
      <c r="J186" s="45">
        <f t="shared" si="22"/>
        <v>158.48578665033367</v>
      </c>
      <c r="K186" s="63">
        <f t="shared" si="20"/>
        <v>359.92365231809276</v>
      </c>
      <c r="L186" s="47">
        <f t="shared" si="23"/>
        <v>206.90372263979032</v>
      </c>
      <c r="M186" s="47">
        <f t="shared" si="24"/>
        <v>304.63352851680048</v>
      </c>
    </row>
    <row r="187" spans="1:13" x14ac:dyDescent="0.15">
      <c r="A187" s="40">
        <v>39600</v>
      </c>
      <c r="B187" s="12" t="s">
        <v>4</v>
      </c>
      <c r="C187" s="48">
        <v>531</v>
      </c>
      <c r="D187" s="42">
        <v>3.0738095238095235</v>
      </c>
      <c r="E187" s="43">
        <f>'[1]IPC99ON (real)'!O337</f>
        <v>2.6904331128688721</v>
      </c>
      <c r="F187" s="31">
        <f t="shared" si="18"/>
        <v>267.13402393373644</v>
      </c>
      <c r="G187" s="44">
        <f t="shared" si="21"/>
        <v>2.6904331128688725</v>
      </c>
      <c r="H187" s="44">
        <f t="shared" si="19"/>
        <v>606.6654656217828</v>
      </c>
      <c r="I187" s="35">
        <v>0.35</v>
      </c>
      <c r="J187" s="45">
        <f t="shared" si="22"/>
        <v>173.63711555692871</v>
      </c>
      <c r="K187" s="63">
        <f t="shared" si="20"/>
        <v>394.33255265415886</v>
      </c>
      <c r="L187" s="47">
        <f t="shared" si="23"/>
        <v>206.90372263979032</v>
      </c>
      <c r="M187" s="47">
        <f t="shared" si="24"/>
        <v>304.63352851680048</v>
      </c>
    </row>
    <row r="188" spans="1:13" x14ac:dyDescent="0.15">
      <c r="A188" s="40">
        <v>39630</v>
      </c>
      <c r="B188" s="12" t="s">
        <v>4</v>
      </c>
      <c r="C188" s="48">
        <v>548</v>
      </c>
      <c r="D188" s="42">
        <v>3.046521739130434</v>
      </c>
      <c r="E188" s="43">
        <f>'[1]IPC99ON (real)'!O338</f>
        <v>2.7219237102945608</v>
      </c>
      <c r="F188" s="31">
        <f t="shared" si="18"/>
        <v>270.07776059677479</v>
      </c>
      <c r="G188" s="44">
        <f t="shared" si="21"/>
        <v>2.7219237102945613</v>
      </c>
      <c r="H188" s="44">
        <f t="shared" si="19"/>
        <v>613.35073673420789</v>
      </c>
      <c r="I188" s="35">
        <v>0.35</v>
      </c>
      <c r="J188" s="45">
        <f t="shared" si="22"/>
        <v>175.55054438790361</v>
      </c>
      <c r="K188" s="63">
        <f t="shared" si="20"/>
        <v>398.67797887723515</v>
      </c>
      <c r="L188" s="47">
        <f t="shared" si="23"/>
        <v>206.90372263979032</v>
      </c>
      <c r="M188" s="47">
        <f t="shared" si="24"/>
        <v>304.63352851680048</v>
      </c>
    </row>
    <row r="189" spans="1:13" x14ac:dyDescent="0.15">
      <c r="A189" s="40">
        <v>39661</v>
      </c>
      <c r="B189" s="12" t="s">
        <v>3</v>
      </c>
      <c r="C189" s="48">
        <v>474</v>
      </c>
      <c r="D189" s="42">
        <v>3.0538095238095231</v>
      </c>
      <c r="E189" s="43">
        <f>'[1]IPC99ON (real)'!O339</f>
        <v>2.7654872347125723</v>
      </c>
      <c r="F189" s="31">
        <f t="shared" si="18"/>
        <v>230.47751426850849</v>
      </c>
      <c r="G189" s="44">
        <f t="shared" si="21"/>
        <v>2.7654872347125727</v>
      </c>
      <c r="H189" s="44">
        <f t="shared" si="19"/>
        <v>523.4179699390869</v>
      </c>
      <c r="I189" s="35">
        <v>0.35</v>
      </c>
      <c r="J189" s="45">
        <f t="shared" si="22"/>
        <v>149.81038427453052</v>
      </c>
      <c r="K189" s="63">
        <f t="shared" si="20"/>
        <v>340.2216804604065</v>
      </c>
      <c r="L189" s="47">
        <f t="shared" si="23"/>
        <v>206.90372263979032</v>
      </c>
      <c r="M189" s="47">
        <f t="shared" si="24"/>
        <v>304.63352851680048</v>
      </c>
    </row>
    <row r="190" spans="1:13" x14ac:dyDescent="0.15">
      <c r="A190" s="40">
        <v>39692</v>
      </c>
      <c r="B190" s="12" t="s">
        <v>5</v>
      </c>
      <c r="C190" s="48">
        <v>445</v>
      </c>
      <c r="D190" s="42">
        <v>3.0990909090909096</v>
      </c>
      <c r="E190" s="43">
        <f>'[1]IPC99ON (real)'!O340</f>
        <v>2.7850998521060863</v>
      </c>
      <c r="F190" s="31">
        <f t="shared" si="18"/>
        <v>218.03865254914317</v>
      </c>
      <c r="G190" s="44">
        <f t="shared" si="21"/>
        <v>2.7850998521060868</v>
      </c>
      <c r="H190" s="44">
        <f t="shared" si="19"/>
        <v>495.16912418870209</v>
      </c>
      <c r="I190" s="35">
        <v>0.35</v>
      </c>
      <c r="J190" s="45">
        <f t="shared" si="22"/>
        <v>141.72512415694305</v>
      </c>
      <c r="K190" s="63">
        <f t="shared" si="20"/>
        <v>321.85993072265637</v>
      </c>
      <c r="L190" s="47">
        <f t="shared" si="23"/>
        <v>206.90372263979032</v>
      </c>
      <c r="M190" s="47">
        <f t="shared" si="24"/>
        <v>304.63352851680048</v>
      </c>
    </row>
    <row r="191" spans="1:13" x14ac:dyDescent="0.15">
      <c r="A191" s="40">
        <v>39722</v>
      </c>
      <c r="B191" s="12" t="s">
        <v>6</v>
      </c>
      <c r="C191" s="48">
        <v>362</v>
      </c>
      <c r="D191" s="42">
        <v>3.2601956521739135</v>
      </c>
      <c r="E191" s="43">
        <f>'[1]IPC99ON (real)'!O341</f>
        <v>2.8078337794407497</v>
      </c>
      <c r="F191" s="31">
        <f t="shared" si="18"/>
        <v>185.08054624867111</v>
      </c>
      <c r="G191" s="44">
        <f t="shared" si="21"/>
        <v>2.8078337794407502</v>
      </c>
      <c r="H191" s="44">
        <f t="shared" si="19"/>
        <v>420.32075927301543</v>
      </c>
      <c r="I191" s="35">
        <v>0.35</v>
      </c>
      <c r="J191" s="45">
        <f t="shared" si="22"/>
        <v>120.30235506163622</v>
      </c>
      <c r="K191" s="63">
        <f t="shared" si="20"/>
        <v>273.20849352746006</v>
      </c>
      <c r="L191" s="47">
        <f t="shared" si="23"/>
        <v>206.90372263979032</v>
      </c>
      <c r="M191" s="47">
        <f t="shared" si="24"/>
        <v>304.63352851680048</v>
      </c>
    </row>
    <row r="192" spans="1:13" x14ac:dyDescent="0.15">
      <c r="A192" s="40">
        <v>39753</v>
      </c>
      <c r="B192" s="12" t="s">
        <v>7</v>
      </c>
      <c r="C192" s="48">
        <v>353</v>
      </c>
      <c r="D192" s="42">
        <v>3.3424999999999998</v>
      </c>
      <c r="E192" s="43">
        <f>'[1]IPC99ON (real)'!O342</f>
        <v>2.8257058004116025</v>
      </c>
      <c r="F192" s="31">
        <f t="shared" si="18"/>
        <v>183.86501895855722</v>
      </c>
      <c r="G192" s="44">
        <f t="shared" si="21"/>
        <v>2.8257058004116029</v>
      </c>
      <c r="H192" s="44">
        <f t="shared" si="19"/>
        <v>417.56027815356111</v>
      </c>
      <c r="I192" s="35">
        <v>0.35</v>
      </c>
      <c r="J192" s="45">
        <f t="shared" si="22"/>
        <v>119.51226232306219</v>
      </c>
      <c r="K192" s="63">
        <f t="shared" si="20"/>
        <v>271.41418079981474</v>
      </c>
      <c r="L192" s="47">
        <f t="shared" si="23"/>
        <v>206.90372263979032</v>
      </c>
      <c r="M192" s="47">
        <f t="shared" si="24"/>
        <v>304.63352851680048</v>
      </c>
    </row>
    <row r="193" spans="1:13" x14ac:dyDescent="0.15">
      <c r="A193" s="40">
        <v>39783</v>
      </c>
      <c r="B193" s="12" t="s">
        <v>27</v>
      </c>
      <c r="C193" s="48">
        <v>335</v>
      </c>
      <c r="D193" s="42">
        <v>3.441363636363636</v>
      </c>
      <c r="E193" s="43">
        <f>'[1]IPC99ON (real)'!O343</f>
        <v>2.8498370439172263</v>
      </c>
      <c r="F193" s="31">
        <f t="shared" si="18"/>
        <v>178.12926571511662</v>
      </c>
      <c r="G193" s="44">
        <f t="shared" si="21"/>
        <v>2.8498370439172267</v>
      </c>
      <c r="H193" s="44">
        <f t="shared" si="19"/>
        <v>404.53429456344122</v>
      </c>
      <c r="I193" s="35">
        <v>0.35</v>
      </c>
      <c r="J193" s="45">
        <f t="shared" si="22"/>
        <v>115.78402271482581</v>
      </c>
      <c r="K193" s="63">
        <f t="shared" si="20"/>
        <v>262.94729146623678</v>
      </c>
      <c r="L193" s="47">
        <f t="shared" si="23"/>
        <v>206.90372263979032</v>
      </c>
      <c r="M193" s="47">
        <f t="shared" si="24"/>
        <v>304.63352851680048</v>
      </c>
    </row>
    <row r="194" spans="1:13" x14ac:dyDescent="0.15">
      <c r="A194" s="40">
        <v>39814</v>
      </c>
      <c r="B194" s="12" t="s">
        <v>15</v>
      </c>
      <c r="C194" s="48">
        <v>391</v>
      </c>
      <c r="D194" s="42">
        <v>3.4767476190476185</v>
      </c>
      <c r="E194" s="43">
        <f>'[1]IPC99ON (real)'!O344</f>
        <v>2.8934660063598896</v>
      </c>
      <c r="F194" s="31">
        <f t="shared" ref="F194:F257" si="25">+(C194*(D194/E194))/(AVERAGE(C$2:C$13)*AVERAGE(D$2:D$13)/AVERAGE(E$2:E$13))*100</f>
        <v>206.8766483503789</v>
      </c>
      <c r="G194" s="44">
        <f t="shared" si="21"/>
        <v>2.89346600635989</v>
      </c>
      <c r="H194" s="44">
        <f t="shared" ref="H194:H257" si="26">+(C194*D194)/G194</f>
        <v>469.8200414518833</v>
      </c>
      <c r="I194" s="35">
        <v>0.35</v>
      </c>
      <c r="J194" s="45">
        <f t="shared" si="22"/>
        <v>134.4698214277463</v>
      </c>
      <c r="K194" s="63">
        <f t="shared" ref="K194:K257" si="27">+H194*(1-I194)</f>
        <v>305.38302694372413</v>
      </c>
      <c r="L194" s="47">
        <f t="shared" si="23"/>
        <v>206.90372263979032</v>
      </c>
      <c r="M194" s="47">
        <f t="shared" si="24"/>
        <v>304.63352851680048</v>
      </c>
    </row>
    <row r="195" spans="1:13" x14ac:dyDescent="0.15">
      <c r="A195" s="40">
        <v>39845</v>
      </c>
      <c r="B195" s="12" t="s">
        <v>1</v>
      </c>
      <c r="C195" s="48">
        <v>365</v>
      </c>
      <c r="D195" s="42">
        <v>3.5269999999999997</v>
      </c>
      <c r="E195" s="43">
        <f>'[1]IPC99ON (real)'!O345</f>
        <v>2.9176817522478338</v>
      </c>
      <c r="F195" s="31">
        <f t="shared" si="25"/>
        <v>194.28547682359493</v>
      </c>
      <c r="G195" s="44">
        <f t="shared" ref="G195:G258" si="28">+E195/AVERAGE(E$2:E$13)</f>
        <v>2.9176817522478342</v>
      </c>
      <c r="H195" s="44">
        <f t="shared" si="26"/>
        <v>441.22529779274197</v>
      </c>
      <c r="I195" s="35">
        <v>0.35</v>
      </c>
      <c r="J195" s="45">
        <f t="shared" ref="J195:J258" si="29">+F195*(1-I195)</f>
        <v>126.28555993533671</v>
      </c>
      <c r="K195" s="63">
        <f t="shared" si="27"/>
        <v>286.79644356528229</v>
      </c>
      <c r="L195" s="47">
        <f t="shared" si="23"/>
        <v>206.90372263979032</v>
      </c>
      <c r="M195" s="47">
        <f t="shared" si="24"/>
        <v>304.63352851680048</v>
      </c>
    </row>
    <row r="196" spans="1:13" x14ac:dyDescent="0.15">
      <c r="A196" s="40">
        <v>39873</v>
      </c>
      <c r="B196" s="12" t="s">
        <v>2</v>
      </c>
      <c r="C196" s="48">
        <v>345</v>
      </c>
      <c r="D196" s="42">
        <v>3.6718181818181819</v>
      </c>
      <c r="E196" s="43">
        <f>'[1]IPC99ON (real)'!O346</f>
        <v>2.9546179892047939</v>
      </c>
      <c r="F196" s="31">
        <f t="shared" si="25"/>
        <v>188.78994416999029</v>
      </c>
      <c r="G196" s="44">
        <f t="shared" si="28"/>
        <v>2.9546179892047943</v>
      </c>
      <c r="H196" s="44">
        <f t="shared" si="26"/>
        <v>428.74485884661289</v>
      </c>
      <c r="I196" s="35">
        <v>0.35</v>
      </c>
      <c r="J196" s="45">
        <f t="shared" si="29"/>
        <v>122.7134637104937</v>
      </c>
      <c r="K196" s="63">
        <f t="shared" si="27"/>
        <v>278.68415825029837</v>
      </c>
      <c r="L196" s="47">
        <f t="shared" ref="L196:L259" si="30">+L195</f>
        <v>206.90372263979032</v>
      </c>
      <c r="M196" s="47">
        <f t="shared" ref="M196:M259" si="31">+M195</f>
        <v>304.63352851680048</v>
      </c>
    </row>
    <row r="197" spans="1:13" x14ac:dyDescent="0.15">
      <c r="A197" s="40">
        <v>39904</v>
      </c>
      <c r="B197" s="12" t="s">
        <v>3</v>
      </c>
      <c r="C197" s="48">
        <v>389</v>
      </c>
      <c r="D197" s="42">
        <v>3.7109523809523819</v>
      </c>
      <c r="E197" s="43">
        <f>'[1]IPC99ON (real)'!O347</f>
        <v>2.9905863274524642</v>
      </c>
      <c r="F197" s="31">
        <f t="shared" si="25"/>
        <v>212.54875822934812</v>
      </c>
      <c r="G197" s="44">
        <f t="shared" si="28"/>
        <v>2.9905863274524647</v>
      </c>
      <c r="H197" s="44">
        <f t="shared" si="26"/>
        <v>482.70148998513463</v>
      </c>
      <c r="I197" s="35">
        <v>0.35</v>
      </c>
      <c r="J197" s="45">
        <f t="shared" si="29"/>
        <v>138.15669284907628</v>
      </c>
      <c r="K197" s="63">
        <f t="shared" si="27"/>
        <v>313.75596849033752</v>
      </c>
      <c r="L197" s="47">
        <f t="shared" si="30"/>
        <v>206.90372263979032</v>
      </c>
      <c r="M197" s="47">
        <f t="shared" si="31"/>
        <v>304.63352851680048</v>
      </c>
    </row>
    <row r="198" spans="1:13" x14ac:dyDescent="0.15">
      <c r="A198" s="40">
        <v>39934</v>
      </c>
      <c r="B198" s="12" t="s">
        <v>2</v>
      </c>
      <c r="C198" s="48">
        <v>434</v>
      </c>
      <c r="D198" s="42">
        <v>3.738500000000001</v>
      </c>
      <c r="E198" s="43">
        <f>'[1]IPC99ON (real)'!O348</f>
        <v>3.016321328786232</v>
      </c>
      <c r="F198" s="31">
        <f t="shared" si="25"/>
        <v>236.85875495367105</v>
      </c>
      <c r="G198" s="44">
        <f t="shared" si="28"/>
        <v>3.0163213287862325</v>
      </c>
      <c r="H198" s="44">
        <f t="shared" si="26"/>
        <v>537.90986540976326</v>
      </c>
      <c r="I198" s="35">
        <v>0.35</v>
      </c>
      <c r="J198" s="45">
        <f t="shared" si="29"/>
        <v>153.95819071988618</v>
      </c>
      <c r="K198" s="63">
        <f t="shared" si="27"/>
        <v>349.64141251634612</v>
      </c>
      <c r="L198" s="47">
        <f t="shared" si="30"/>
        <v>206.90372263979032</v>
      </c>
      <c r="M198" s="47">
        <f t="shared" si="31"/>
        <v>304.63352851680048</v>
      </c>
    </row>
    <row r="199" spans="1:13" x14ac:dyDescent="0.15">
      <c r="A199" s="40">
        <v>39965</v>
      </c>
      <c r="B199" s="12" t="s">
        <v>4</v>
      </c>
      <c r="C199" s="48">
        <v>451</v>
      </c>
      <c r="D199" s="42">
        <v>3.7813636363636363</v>
      </c>
      <c r="E199" s="43">
        <f>'[1]IPC99ON (real)'!O349</f>
        <v>3.0373021831118563</v>
      </c>
      <c r="F199" s="31">
        <f t="shared" si="25"/>
        <v>247.23896434003714</v>
      </c>
      <c r="G199" s="44">
        <f t="shared" si="28"/>
        <v>3.0373021831118567</v>
      </c>
      <c r="H199" s="44">
        <f t="shared" si="26"/>
        <v>561.48348013655459</v>
      </c>
      <c r="I199" s="35">
        <v>0.35</v>
      </c>
      <c r="J199" s="45">
        <f t="shared" si="29"/>
        <v>160.70532682102416</v>
      </c>
      <c r="K199" s="63">
        <f t="shared" si="27"/>
        <v>364.96426208876051</v>
      </c>
      <c r="L199" s="47">
        <f t="shared" si="30"/>
        <v>206.90372263979032</v>
      </c>
      <c r="M199" s="47">
        <f t="shared" si="31"/>
        <v>304.63352851680048</v>
      </c>
    </row>
    <row r="200" spans="1:13" x14ac:dyDescent="0.15">
      <c r="A200" s="40">
        <v>39995</v>
      </c>
      <c r="B200" s="12" t="s">
        <v>4</v>
      </c>
      <c r="C200" s="48">
        <v>431</v>
      </c>
      <c r="D200" s="42">
        <v>3.8213043478260862</v>
      </c>
      <c r="E200" s="43">
        <f>'[1]IPC99ON (real)'!O350</f>
        <v>3.0741214084616399</v>
      </c>
      <c r="F200" s="31">
        <f t="shared" si="25"/>
        <v>235.91079593499734</v>
      </c>
      <c r="G200" s="44">
        <f t="shared" si="28"/>
        <v>3.0741214084616404</v>
      </c>
      <c r="H200" s="44">
        <f t="shared" si="26"/>
        <v>535.7570359386782</v>
      </c>
      <c r="I200" s="35">
        <v>0.35</v>
      </c>
      <c r="J200" s="45">
        <f t="shared" si="29"/>
        <v>153.34201735774826</v>
      </c>
      <c r="K200" s="63">
        <f t="shared" si="27"/>
        <v>348.24207336014086</v>
      </c>
      <c r="L200" s="47">
        <f t="shared" si="30"/>
        <v>206.90372263979032</v>
      </c>
      <c r="M200" s="47">
        <f t="shared" si="31"/>
        <v>304.63352851680048</v>
      </c>
    </row>
    <row r="201" spans="1:13" x14ac:dyDescent="0.15">
      <c r="A201" s="40">
        <v>40026</v>
      </c>
      <c r="B201" s="12" t="s">
        <v>3</v>
      </c>
      <c r="C201" s="48">
        <v>449</v>
      </c>
      <c r="D201" s="42">
        <v>3.8514285714285714</v>
      </c>
      <c r="E201" s="43">
        <f>'[1]IPC99ON (real)'!O351</f>
        <v>3.1148324411634105</v>
      </c>
      <c r="F201" s="31">
        <f t="shared" si="25"/>
        <v>244.46316618075872</v>
      </c>
      <c r="G201" s="44">
        <f t="shared" si="28"/>
        <v>3.114832441163411</v>
      </c>
      <c r="H201" s="44">
        <f t="shared" si="26"/>
        <v>555.17959994198804</v>
      </c>
      <c r="I201" s="35">
        <v>0.35</v>
      </c>
      <c r="J201" s="45">
        <f t="shared" si="29"/>
        <v>158.90105801749317</v>
      </c>
      <c r="K201" s="63">
        <f t="shared" si="27"/>
        <v>360.86673996229223</v>
      </c>
      <c r="L201" s="47">
        <f t="shared" si="30"/>
        <v>206.90372263979032</v>
      </c>
      <c r="M201" s="47">
        <f t="shared" si="31"/>
        <v>304.63352851680048</v>
      </c>
    </row>
    <row r="202" spans="1:13" x14ac:dyDescent="0.15">
      <c r="A202" s="40">
        <v>40057</v>
      </c>
      <c r="B202" s="12" t="s">
        <v>5</v>
      </c>
      <c r="C202" s="48">
        <v>407</v>
      </c>
      <c r="D202" s="42">
        <v>3.8545454545454536</v>
      </c>
      <c r="E202" s="43">
        <f>'[1]IPC99ON (real)'!O352</f>
        <v>3.1536928413654786</v>
      </c>
      <c r="F202" s="31">
        <f t="shared" si="25"/>
        <v>219.04236556956667</v>
      </c>
      <c r="G202" s="44">
        <f t="shared" si="28"/>
        <v>3.153692841365479</v>
      </c>
      <c r="H202" s="44">
        <f t="shared" si="26"/>
        <v>497.44857185290886</v>
      </c>
      <c r="I202" s="35">
        <v>0.35</v>
      </c>
      <c r="J202" s="45">
        <f t="shared" si="29"/>
        <v>142.37753762021833</v>
      </c>
      <c r="K202" s="63">
        <f t="shared" si="27"/>
        <v>323.34157170439079</v>
      </c>
      <c r="L202" s="47">
        <f t="shared" si="30"/>
        <v>206.90372263979032</v>
      </c>
      <c r="M202" s="47">
        <f t="shared" si="31"/>
        <v>304.63352851680048</v>
      </c>
    </row>
    <row r="203" spans="1:13" x14ac:dyDescent="0.15">
      <c r="A203" s="40">
        <v>40087</v>
      </c>
      <c r="B203" s="12" t="s">
        <v>6</v>
      </c>
      <c r="C203" s="48">
        <v>422</v>
      </c>
      <c r="D203" s="42">
        <v>3.8388636363636364</v>
      </c>
      <c r="E203" s="43">
        <f>'[1]IPC99ON (real)'!O353</f>
        <v>3.1887722501758722</v>
      </c>
      <c r="F203" s="31">
        <f t="shared" si="25"/>
        <v>223.70287573900615</v>
      </c>
      <c r="G203" s="44">
        <f t="shared" si="28"/>
        <v>3.1887722501758726</v>
      </c>
      <c r="H203" s="44">
        <f t="shared" si="26"/>
        <v>508.03266193002827</v>
      </c>
      <c r="I203" s="35">
        <v>0.35</v>
      </c>
      <c r="J203" s="45">
        <f t="shared" si="29"/>
        <v>145.406869230354</v>
      </c>
      <c r="K203" s="63">
        <f t="shared" si="27"/>
        <v>330.22123025451839</v>
      </c>
      <c r="L203" s="47">
        <f t="shared" si="30"/>
        <v>206.90372263979032</v>
      </c>
      <c r="M203" s="47">
        <f t="shared" si="31"/>
        <v>304.63352851680048</v>
      </c>
    </row>
    <row r="204" spans="1:13" x14ac:dyDescent="0.15">
      <c r="A204" s="40">
        <v>40118</v>
      </c>
      <c r="B204" s="12" t="s">
        <v>7</v>
      </c>
      <c r="C204" s="48">
        <v>439</v>
      </c>
      <c r="D204" s="42">
        <v>3.8219047619047606</v>
      </c>
      <c r="E204" s="43">
        <f>'[1]IPC99ON (real)'!O354</f>
        <v>3.2279681982824964</v>
      </c>
      <c r="F204" s="31">
        <f t="shared" si="25"/>
        <v>228.87326553948969</v>
      </c>
      <c r="G204" s="44">
        <f t="shared" si="28"/>
        <v>3.2279681982824968</v>
      </c>
      <c r="H204" s="44">
        <f t="shared" si="26"/>
        <v>519.77469646971883</v>
      </c>
      <c r="I204" s="35">
        <v>0.35</v>
      </c>
      <c r="J204" s="45">
        <f t="shared" si="29"/>
        <v>148.76762260066832</v>
      </c>
      <c r="K204" s="63">
        <f t="shared" si="27"/>
        <v>337.85355270531727</v>
      </c>
      <c r="L204" s="47">
        <f t="shared" si="30"/>
        <v>206.90372263979032</v>
      </c>
      <c r="M204" s="47">
        <f t="shared" si="31"/>
        <v>304.63352851680048</v>
      </c>
    </row>
    <row r="205" spans="1:13" x14ac:dyDescent="0.15">
      <c r="A205" s="40">
        <v>40148</v>
      </c>
      <c r="B205" s="12" t="s">
        <v>28</v>
      </c>
      <c r="C205" s="48">
        <v>448</v>
      </c>
      <c r="D205" s="42">
        <v>3.8243478260869557</v>
      </c>
      <c r="E205" s="43">
        <f>'[1]IPC99ON (real)'!O355</f>
        <v>3.2924590840370964</v>
      </c>
      <c r="F205" s="31">
        <f t="shared" si="25"/>
        <v>229.13685330389916</v>
      </c>
      <c r="G205" s="44">
        <f t="shared" si="28"/>
        <v>3.2924590840370969</v>
      </c>
      <c r="H205" s="44">
        <f t="shared" si="26"/>
        <v>520.37330832556881</v>
      </c>
      <c r="I205" s="35">
        <v>0.35</v>
      </c>
      <c r="J205" s="45">
        <f t="shared" si="29"/>
        <v>148.93895464753444</v>
      </c>
      <c r="K205" s="63">
        <f t="shared" si="27"/>
        <v>338.24265041161976</v>
      </c>
      <c r="L205" s="47">
        <f t="shared" si="30"/>
        <v>206.90372263979032</v>
      </c>
      <c r="M205" s="47">
        <f t="shared" si="31"/>
        <v>304.63352851680048</v>
      </c>
    </row>
    <row r="206" spans="1:13" x14ac:dyDescent="0.15">
      <c r="A206" s="40">
        <v>40179</v>
      </c>
      <c r="B206" s="12" t="s">
        <v>16</v>
      </c>
      <c r="C206" s="48">
        <v>385</v>
      </c>
      <c r="D206" s="42">
        <v>3.829047619047619</v>
      </c>
      <c r="E206" s="43">
        <f>'[1]IPC99ON (real)'!O356</f>
        <v>3.3745532753699323</v>
      </c>
      <c r="F206" s="31">
        <f t="shared" si="25"/>
        <v>192.36016487299074</v>
      </c>
      <c r="G206" s="44">
        <f t="shared" si="28"/>
        <v>3.3745532753699328</v>
      </c>
      <c r="H206" s="44">
        <f t="shared" si="26"/>
        <v>436.8528848227258</v>
      </c>
      <c r="I206" s="35">
        <v>0.35</v>
      </c>
      <c r="J206" s="45">
        <f t="shared" si="29"/>
        <v>125.03410716744398</v>
      </c>
      <c r="K206" s="63">
        <f t="shared" si="27"/>
        <v>283.95437513477179</v>
      </c>
      <c r="L206" s="47">
        <f t="shared" si="30"/>
        <v>206.90372263979032</v>
      </c>
      <c r="M206" s="47">
        <f t="shared" si="31"/>
        <v>304.63352851680048</v>
      </c>
    </row>
    <row r="207" spans="1:13" x14ac:dyDescent="0.15">
      <c r="A207" s="40">
        <v>40210</v>
      </c>
      <c r="B207" s="12" t="s">
        <v>1</v>
      </c>
      <c r="C207" s="48">
        <v>347</v>
      </c>
      <c r="D207" s="42">
        <v>3.8731578947368432</v>
      </c>
      <c r="E207" s="43">
        <f>'[1]IPC99ON (real)'!O357</f>
        <v>3.4527698770150042</v>
      </c>
      <c r="F207" s="31">
        <f t="shared" si="25"/>
        <v>171.39848360221498</v>
      </c>
      <c r="G207" s="44">
        <f t="shared" si="28"/>
        <v>3.4527698770150046</v>
      </c>
      <c r="H207" s="44">
        <f t="shared" si="26"/>
        <v>389.24858514914695</v>
      </c>
      <c r="I207" s="35">
        <v>0.35</v>
      </c>
      <c r="J207" s="45">
        <f t="shared" si="29"/>
        <v>111.40901434143974</v>
      </c>
      <c r="K207" s="63">
        <f t="shared" si="27"/>
        <v>253.01158034694552</v>
      </c>
      <c r="L207" s="47">
        <f t="shared" si="30"/>
        <v>206.90372263979032</v>
      </c>
      <c r="M207" s="47">
        <f t="shared" si="31"/>
        <v>304.63352851680048</v>
      </c>
    </row>
    <row r="208" spans="1:13" x14ac:dyDescent="0.15">
      <c r="A208" s="40">
        <v>40238</v>
      </c>
      <c r="B208" s="12" t="s">
        <v>2</v>
      </c>
      <c r="C208" s="48">
        <v>353</v>
      </c>
      <c r="D208" s="42">
        <v>3.8808695652173908</v>
      </c>
      <c r="E208" s="43">
        <f>'[1]IPC99ON (real)'!O358</f>
        <v>3.5439095697738785</v>
      </c>
      <c r="F208" s="31">
        <f t="shared" si="25"/>
        <v>170.21626358777564</v>
      </c>
      <c r="G208" s="44">
        <f t="shared" si="28"/>
        <v>3.5439095697738789</v>
      </c>
      <c r="H208" s="44">
        <f t="shared" si="26"/>
        <v>386.56374536361238</v>
      </c>
      <c r="I208" s="35">
        <v>0.35</v>
      </c>
      <c r="J208" s="45">
        <f t="shared" si="29"/>
        <v>110.64057133205417</v>
      </c>
      <c r="K208" s="63">
        <f t="shared" si="27"/>
        <v>251.26643448634806</v>
      </c>
      <c r="L208" s="47">
        <f t="shared" si="30"/>
        <v>206.90372263979032</v>
      </c>
      <c r="M208" s="47">
        <f t="shared" si="31"/>
        <v>304.63352851680048</v>
      </c>
    </row>
    <row r="209" spans="1:13" x14ac:dyDescent="0.15">
      <c r="A209" s="40">
        <v>40269</v>
      </c>
      <c r="B209" s="12" t="s">
        <v>3</v>
      </c>
      <c r="C209" s="48">
        <v>364</v>
      </c>
      <c r="D209" s="42">
        <v>3.8927272727272735</v>
      </c>
      <c r="E209" s="43">
        <f>'[1]IPC99ON (real)'!O359</f>
        <v>3.6045967842793014</v>
      </c>
      <c r="F209" s="31">
        <f t="shared" si="25"/>
        <v>173.09264054318538</v>
      </c>
      <c r="G209" s="44">
        <f t="shared" si="28"/>
        <v>3.6045967842793019</v>
      </c>
      <c r="H209" s="44">
        <f t="shared" si="26"/>
        <v>393.09604154685809</v>
      </c>
      <c r="I209" s="35">
        <v>0.35</v>
      </c>
      <c r="J209" s="45">
        <f t="shared" si="29"/>
        <v>112.5102163530705</v>
      </c>
      <c r="K209" s="63">
        <f t="shared" si="27"/>
        <v>255.51242700545777</v>
      </c>
      <c r="L209" s="47">
        <f t="shared" si="30"/>
        <v>206.90372263979032</v>
      </c>
      <c r="M209" s="47">
        <f t="shared" si="31"/>
        <v>304.63352851680048</v>
      </c>
    </row>
    <row r="210" spans="1:13" x14ac:dyDescent="0.15">
      <c r="A210" s="40">
        <v>40299</v>
      </c>
      <c r="B210" s="12" t="s">
        <v>2</v>
      </c>
      <c r="C210" s="48">
        <v>359</v>
      </c>
      <c r="D210" s="42">
        <v>3.9185000000000016</v>
      </c>
      <c r="E210" s="43">
        <f>'[1]IPC99ON (real)'!O360</f>
        <v>3.652207036722086</v>
      </c>
      <c r="F210" s="31">
        <f t="shared" si="25"/>
        <v>169.60507506609403</v>
      </c>
      <c r="G210" s="44">
        <f t="shared" si="28"/>
        <v>3.6522070367220865</v>
      </c>
      <c r="H210" s="44">
        <f t="shared" si="26"/>
        <v>385.17572685654022</v>
      </c>
      <c r="I210" s="35">
        <v>0.35</v>
      </c>
      <c r="J210" s="45">
        <f t="shared" si="29"/>
        <v>110.24329879296113</v>
      </c>
      <c r="K210" s="63">
        <f t="shared" si="27"/>
        <v>250.36422245675115</v>
      </c>
      <c r="L210" s="47">
        <f t="shared" si="30"/>
        <v>206.90372263979032</v>
      </c>
      <c r="M210" s="47">
        <f t="shared" si="31"/>
        <v>304.63352851680048</v>
      </c>
    </row>
    <row r="211" spans="1:13" x14ac:dyDescent="0.15">
      <c r="A211" s="40">
        <v>40330</v>
      </c>
      <c r="B211" s="12" t="s">
        <v>4</v>
      </c>
      <c r="C211" s="48">
        <v>365</v>
      </c>
      <c r="D211" s="42">
        <v>3.9459090909090917</v>
      </c>
      <c r="E211" s="43">
        <f>'[1]IPC99ON (real)'!O361</f>
        <v>3.7083609801231829</v>
      </c>
      <c r="F211" s="31">
        <f t="shared" si="25"/>
        <v>171.01644321964466</v>
      </c>
      <c r="G211" s="44">
        <f t="shared" si="28"/>
        <v>3.7083609801231834</v>
      </c>
      <c r="H211" s="44">
        <f t="shared" si="26"/>
        <v>388.38096558064217</v>
      </c>
      <c r="I211" s="35">
        <v>0.35</v>
      </c>
      <c r="J211" s="45">
        <f t="shared" si="29"/>
        <v>111.16068809276904</v>
      </c>
      <c r="K211" s="63">
        <f t="shared" si="27"/>
        <v>252.44762762741743</v>
      </c>
      <c r="L211" s="47">
        <f t="shared" si="30"/>
        <v>206.90372263979032</v>
      </c>
      <c r="M211" s="47">
        <f t="shared" si="31"/>
        <v>304.63352851680048</v>
      </c>
    </row>
    <row r="212" spans="1:13" x14ac:dyDescent="0.15">
      <c r="A212" s="40">
        <v>40360</v>
      </c>
      <c r="B212" s="12" t="s">
        <v>4</v>
      </c>
      <c r="C212" s="48">
        <v>398</v>
      </c>
      <c r="D212" s="42">
        <v>3.9540909090909078</v>
      </c>
      <c r="E212" s="43">
        <f>'[1]IPC99ON (real)'!O362</f>
        <v>3.7746286156846667</v>
      </c>
      <c r="F212" s="31">
        <f t="shared" si="25"/>
        <v>183.58425301882423</v>
      </c>
      <c r="G212" s="44">
        <f t="shared" si="28"/>
        <v>3.7746286156846671</v>
      </c>
      <c r="H212" s="44">
        <f t="shared" si="26"/>
        <v>416.92265439807466</v>
      </c>
      <c r="I212" s="35">
        <v>0.35</v>
      </c>
      <c r="J212" s="45">
        <f t="shared" si="29"/>
        <v>119.32976446223576</v>
      </c>
      <c r="K212" s="63">
        <f t="shared" si="27"/>
        <v>270.99972535874855</v>
      </c>
      <c r="L212" s="47">
        <f t="shared" si="30"/>
        <v>206.90372263979032</v>
      </c>
      <c r="M212" s="47">
        <f t="shared" si="31"/>
        <v>304.63352851680048</v>
      </c>
    </row>
    <row r="213" spans="1:13" x14ac:dyDescent="0.15">
      <c r="A213" s="40">
        <v>40391</v>
      </c>
      <c r="B213" s="12" t="s">
        <v>3</v>
      </c>
      <c r="C213" s="48">
        <v>424</v>
      </c>
      <c r="D213" s="42">
        <v>3.9588636363636365</v>
      </c>
      <c r="E213" s="43">
        <f>'[1]IPC99ON (real)'!O363</f>
        <v>3.8355438350078437</v>
      </c>
      <c r="F213" s="31">
        <f t="shared" si="25"/>
        <v>192.70340183493363</v>
      </c>
      <c r="G213" s="44">
        <f t="shared" si="28"/>
        <v>3.8355438350078441</v>
      </c>
      <c r="H213" s="44">
        <f t="shared" si="26"/>
        <v>437.63238122782371</v>
      </c>
      <c r="I213" s="35">
        <v>0.35</v>
      </c>
      <c r="J213" s="45">
        <f t="shared" si="29"/>
        <v>125.25721119270686</v>
      </c>
      <c r="K213" s="63">
        <f t="shared" si="27"/>
        <v>284.46104779808542</v>
      </c>
      <c r="L213" s="47">
        <f t="shared" si="30"/>
        <v>206.90372263979032</v>
      </c>
      <c r="M213" s="47">
        <f t="shared" si="31"/>
        <v>304.63352851680048</v>
      </c>
    </row>
    <row r="214" spans="1:13" x14ac:dyDescent="0.15">
      <c r="A214" s="40">
        <v>40422</v>
      </c>
      <c r="B214" s="12" t="s">
        <v>5</v>
      </c>
      <c r="C214" s="48">
        <v>437</v>
      </c>
      <c r="D214" s="42">
        <v>3.9720454545454533</v>
      </c>
      <c r="E214" s="43">
        <f>'[1]IPC99ON (real)'!O364</f>
        <v>3.9011879927864554</v>
      </c>
      <c r="F214" s="31">
        <f t="shared" si="25"/>
        <v>195.9199676982567</v>
      </c>
      <c r="G214" s="44">
        <f t="shared" si="28"/>
        <v>3.9011879927864559</v>
      </c>
      <c r="H214" s="44">
        <f t="shared" si="26"/>
        <v>444.93725163871557</v>
      </c>
      <c r="I214" s="35">
        <v>0.35</v>
      </c>
      <c r="J214" s="45">
        <f t="shared" si="29"/>
        <v>127.34797900386685</v>
      </c>
      <c r="K214" s="63">
        <f t="shared" si="27"/>
        <v>289.2092135651651</v>
      </c>
      <c r="L214" s="47">
        <f t="shared" si="30"/>
        <v>206.90372263979032</v>
      </c>
      <c r="M214" s="47">
        <f t="shared" si="31"/>
        <v>304.63352851680048</v>
      </c>
    </row>
    <row r="215" spans="1:13" x14ac:dyDescent="0.15">
      <c r="A215" s="40">
        <v>40452</v>
      </c>
      <c r="B215" s="12" t="s">
        <v>6</v>
      </c>
      <c r="C215" s="48">
        <v>467</v>
      </c>
      <c r="D215" s="42">
        <v>3.9762499999999998</v>
      </c>
      <c r="E215" s="43">
        <f>'[1]IPC99ON (real)'!O365</f>
        <v>3.9856148223013856</v>
      </c>
      <c r="F215" s="31">
        <f t="shared" si="25"/>
        <v>205.15172357105484</v>
      </c>
      <c r="G215" s="44">
        <f t="shared" si="28"/>
        <v>3.9856148223013861</v>
      </c>
      <c r="H215" s="44">
        <f t="shared" si="26"/>
        <v>465.90271082135774</v>
      </c>
      <c r="I215" s="35">
        <v>0.35</v>
      </c>
      <c r="J215" s="45">
        <f t="shared" si="29"/>
        <v>133.34862032118565</v>
      </c>
      <c r="K215" s="63">
        <f t="shared" si="27"/>
        <v>302.83676203388256</v>
      </c>
      <c r="L215" s="47">
        <f t="shared" si="30"/>
        <v>206.90372263979032</v>
      </c>
      <c r="M215" s="47">
        <f t="shared" si="31"/>
        <v>304.63352851680048</v>
      </c>
    </row>
    <row r="216" spans="1:13" x14ac:dyDescent="0.15">
      <c r="A216" s="40">
        <v>40483</v>
      </c>
      <c r="B216" s="12" t="s">
        <v>7</v>
      </c>
      <c r="C216" s="48">
        <v>495</v>
      </c>
      <c r="D216" s="42">
        <v>3.9885227272727275</v>
      </c>
      <c r="E216" s="43">
        <f>'[1]IPC99ON (real)'!O366</f>
        <v>4.0533007857478616</v>
      </c>
      <c r="F216" s="31">
        <f t="shared" si="25"/>
        <v>214.48077476537489</v>
      </c>
      <c r="G216" s="44">
        <f t="shared" si="28"/>
        <v>4.0533007857478625</v>
      </c>
      <c r="H216" s="44">
        <f t="shared" si="26"/>
        <v>487.08912917147956</v>
      </c>
      <c r="I216" s="35">
        <v>0.35</v>
      </c>
      <c r="J216" s="45">
        <f t="shared" si="29"/>
        <v>139.4125035974937</v>
      </c>
      <c r="K216" s="63">
        <f t="shared" si="27"/>
        <v>316.6079339614617</v>
      </c>
      <c r="L216" s="47">
        <f t="shared" si="30"/>
        <v>206.90372263979032</v>
      </c>
      <c r="M216" s="47">
        <f t="shared" si="31"/>
        <v>304.63352851680048</v>
      </c>
    </row>
    <row r="217" spans="1:13" x14ac:dyDescent="0.15">
      <c r="A217" s="40">
        <v>40513</v>
      </c>
      <c r="B217" s="12" t="s">
        <v>29</v>
      </c>
      <c r="C217" s="48">
        <v>513</v>
      </c>
      <c r="D217" s="42">
        <v>4.0023</v>
      </c>
      <c r="E217" s="43">
        <f>'[1]IPC99ON (real)'!O367</f>
        <v>4.1175779395066838</v>
      </c>
      <c r="F217" s="31">
        <f t="shared" si="25"/>
        <v>219.56600916034051</v>
      </c>
      <c r="G217" s="44">
        <f t="shared" si="28"/>
        <v>4.1175779395066847</v>
      </c>
      <c r="H217" s="44">
        <f t="shared" si="26"/>
        <v>498.63777447913606</v>
      </c>
      <c r="I217" s="35">
        <v>0.35</v>
      </c>
      <c r="J217" s="45">
        <f t="shared" si="29"/>
        <v>142.71790595422135</v>
      </c>
      <c r="K217" s="63">
        <f t="shared" si="27"/>
        <v>324.11455341143846</v>
      </c>
      <c r="L217" s="47">
        <f t="shared" si="30"/>
        <v>206.90372263979032</v>
      </c>
      <c r="M217" s="47">
        <f t="shared" si="31"/>
        <v>304.63352851680048</v>
      </c>
    </row>
    <row r="218" spans="1:13" x14ac:dyDescent="0.15">
      <c r="A218" s="40">
        <v>40544</v>
      </c>
      <c r="B218" s="12" t="s">
        <v>17</v>
      </c>
      <c r="C218" s="48">
        <v>544</v>
      </c>
      <c r="D218" s="42">
        <v>4.0171428571428578</v>
      </c>
      <c r="E218" s="43">
        <f>'[1]IPC99ON (real)'!O368</f>
        <v>4.1989893003904371</v>
      </c>
      <c r="F218" s="31">
        <f t="shared" si="25"/>
        <v>229.16661015553731</v>
      </c>
      <c r="G218" s="44">
        <f t="shared" si="28"/>
        <v>4.1989893003904379</v>
      </c>
      <c r="H218" s="44">
        <f t="shared" si="26"/>
        <v>520.44088659204601</v>
      </c>
      <c r="I218" s="35">
        <v>0.35</v>
      </c>
      <c r="J218" s="45">
        <f t="shared" si="29"/>
        <v>148.95829660109925</v>
      </c>
      <c r="K218" s="63">
        <f t="shared" si="27"/>
        <v>338.28657628482995</v>
      </c>
      <c r="L218" s="47">
        <f t="shared" si="30"/>
        <v>206.90372263979032</v>
      </c>
      <c r="M218" s="47">
        <f t="shared" si="31"/>
        <v>304.63352851680048</v>
      </c>
    </row>
    <row r="219" spans="1:13" x14ac:dyDescent="0.15">
      <c r="A219" s="40">
        <v>40575</v>
      </c>
      <c r="B219" s="12" t="s">
        <v>1</v>
      </c>
      <c r="C219" s="48">
        <v>543</v>
      </c>
      <c r="D219" s="42">
        <v>4.0461904761904766</v>
      </c>
      <c r="E219" s="43">
        <f>'[1]IPC99ON (real)'!O369</f>
        <v>4.2693255250399886</v>
      </c>
      <c r="F219" s="31">
        <f t="shared" si="25"/>
        <v>226.60360560508539</v>
      </c>
      <c r="G219" s="44">
        <f t="shared" si="28"/>
        <v>4.2693255250399895</v>
      </c>
      <c r="H219" s="44">
        <f t="shared" si="26"/>
        <v>514.62026394692623</v>
      </c>
      <c r="I219" s="35">
        <v>0.35</v>
      </c>
      <c r="J219" s="45">
        <f t="shared" si="29"/>
        <v>147.29234364330551</v>
      </c>
      <c r="K219" s="63">
        <f t="shared" si="27"/>
        <v>334.50317156550204</v>
      </c>
      <c r="L219" s="47">
        <f t="shared" si="30"/>
        <v>206.90372263979032</v>
      </c>
      <c r="M219" s="47">
        <f t="shared" si="31"/>
        <v>304.63352851680048</v>
      </c>
    </row>
    <row r="220" spans="1:13" x14ac:dyDescent="0.15">
      <c r="A220" s="40">
        <v>40603</v>
      </c>
      <c r="B220" s="12" t="s">
        <v>2</v>
      </c>
      <c r="C220" s="48">
        <v>513</v>
      </c>
      <c r="D220" s="42">
        <v>4.0627173913043473</v>
      </c>
      <c r="E220" s="43">
        <f>'[1]IPC99ON (real)'!O370</f>
        <v>4.3547120355407953</v>
      </c>
      <c r="F220" s="31">
        <f t="shared" si="25"/>
        <v>210.74363627327526</v>
      </c>
      <c r="G220" s="44">
        <f t="shared" si="28"/>
        <v>4.3547120355407962</v>
      </c>
      <c r="H220" s="44">
        <f t="shared" si="26"/>
        <v>478.60203033615841</v>
      </c>
      <c r="I220" s="35">
        <v>0.35</v>
      </c>
      <c r="J220" s="45">
        <f t="shared" si="29"/>
        <v>136.98336357762892</v>
      </c>
      <c r="K220" s="63">
        <f t="shared" si="27"/>
        <v>311.09131971850297</v>
      </c>
      <c r="L220" s="47">
        <f t="shared" si="30"/>
        <v>206.90372263979032</v>
      </c>
      <c r="M220" s="47">
        <f t="shared" si="31"/>
        <v>304.63352851680048</v>
      </c>
    </row>
    <row r="221" spans="1:13" x14ac:dyDescent="0.15">
      <c r="A221" s="40">
        <v>40634</v>
      </c>
      <c r="B221" s="12" t="s">
        <v>3</v>
      </c>
      <c r="C221" s="48">
        <v>505</v>
      </c>
      <c r="D221" s="42">
        <v>4.0891071428571424</v>
      </c>
      <c r="E221" s="43">
        <f>'[1]IPC99ON (real)'!O371</f>
        <v>4.4548704123582246</v>
      </c>
      <c r="F221" s="31">
        <f t="shared" si="25"/>
        <v>204.11020810037917</v>
      </c>
      <c r="G221" s="44">
        <f t="shared" si="28"/>
        <v>4.4548704123582255</v>
      </c>
      <c r="H221" s="44">
        <f t="shared" si="26"/>
        <v>463.5374132128191</v>
      </c>
      <c r="I221" s="35">
        <v>0.35</v>
      </c>
      <c r="J221" s="45">
        <f t="shared" si="29"/>
        <v>132.67163526524646</v>
      </c>
      <c r="K221" s="63">
        <f t="shared" si="27"/>
        <v>301.29931858833243</v>
      </c>
      <c r="L221" s="47">
        <f t="shared" si="30"/>
        <v>206.90372263979032</v>
      </c>
      <c r="M221" s="47">
        <f t="shared" si="31"/>
        <v>304.63352851680048</v>
      </c>
    </row>
    <row r="222" spans="1:13" x14ac:dyDescent="0.15">
      <c r="A222" s="40">
        <v>40664</v>
      </c>
      <c r="B222" s="12" t="s">
        <v>2</v>
      </c>
      <c r="C222" s="48">
        <v>501</v>
      </c>
      <c r="D222" s="42">
        <v>4.1158333333333355</v>
      </c>
      <c r="E222" s="43">
        <f>'[1]IPC99ON (real)'!O372</f>
        <v>4.5216934685436012</v>
      </c>
      <c r="F222" s="31">
        <f t="shared" si="25"/>
        <v>200.80490686396161</v>
      </c>
      <c r="G222" s="44">
        <f t="shared" si="28"/>
        <v>4.5216934685436021</v>
      </c>
      <c r="H222" s="44">
        <f t="shared" si="26"/>
        <v>456.03102340861767</v>
      </c>
      <c r="I222" s="35">
        <v>0.35</v>
      </c>
      <c r="J222" s="45">
        <f t="shared" si="29"/>
        <v>130.52318946157504</v>
      </c>
      <c r="K222" s="63">
        <f t="shared" si="27"/>
        <v>296.42016521560151</v>
      </c>
      <c r="L222" s="47">
        <f t="shared" si="30"/>
        <v>206.90372263979032</v>
      </c>
      <c r="M222" s="47">
        <f t="shared" si="31"/>
        <v>304.63352851680048</v>
      </c>
    </row>
    <row r="223" spans="1:13" x14ac:dyDescent="0.15">
      <c r="A223" s="40">
        <v>40695</v>
      </c>
      <c r="B223" s="12" t="s">
        <v>4</v>
      </c>
      <c r="C223" s="48">
        <v>510</v>
      </c>
      <c r="D223" s="42">
        <v>4.1289204545454554</v>
      </c>
      <c r="E223" s="43">
        <f>'[1]IPC99ON (real)'!O373</f>
        <v>4.603083950977382</v>
      </c>
      <c r="F223" s="31">
        <f t="shared" si="25"/>
        <v>201.43629700083463</v>
      </c>
      <c r="G223" s="44">
        <f t="shared" si="28"/>
        <v>4.6030839509773829</v>
      </c>
      <c r="H223" s="44">
        <f t="shared" si="26"/>
        <v>457.46492009363931</v>
      </c>
      <c r="I223" s="35">
        <v>0.35</v>
      </c>
      <c r="J223" s="45">
        <f t="shared" si="29"/>
        <v>130.93359305054253</v>
      </c>
      <c r="K223" s="63">
        <f t="shared" si="27"/>
        <v>297.35219806086553</v>
      </c>
      <c r="L223" s="47">
        <f t="shared" si="30"/>
        <v>206.90372263979032</v>
      </c>
      <c r="M223" s="47">
        <f t="shared" si="31"/>
        <v>304.63352851680048</v>
      </c>
    </row>
    <row r="224" spans="1:13" x14ac:dyDescent="0.15">
      <c r="A224" s="40">
        <v>40725</v>
      </c>
      <c r="B224" s="12" t="s">
        <v>4</v>
      </c>
      <c r="C224" s="48">
        <v>524</v>
      </c>
      <c r="D224" s="42">
        <v>4.15452380952381</v>
      </c>
      <c r="E224" s="43">
        <f>'[1]IPC99ON (real)'!O374</f>
        <v>4.6859394620949795</v>
      </c>
      <c r="F224" s="31">
        <f t="shared" si="25"/>
        <v>204.56710458449825</v>
      </c>
      <c r="G224" s="44">
        <f t="shared" si="28"/>
        <v>4.6859394620949804</v>
      </c>
      <c r="H224" s="44">
        <f t="shared" si="26"/>
        <v>464.57503213607475</v>
      </c>
      <c r="I224" s="35">
        <v>0.35</v>
      </c>
      <c r="J224" s="45">
        <f t="shared" si="29"/>
        <v>132.96861797992386</v>
      </c>
      <c r="K224" s="63">
        <f t="shared" si="27"/>
        <v>301.9737708884486</v>
      </c>
      <c r="L224" s="47">
        <f t="shared" si="30"/>
        <v>206.90372263979032</v>
      </c>
      <c r="M224" s="47">
        <f t="shared" si="31"/>
        <v>304.63352851680048</v>
      </c>
    </row>
    <row r="225" spans="1:13" x14ac:dyDescent="0.15">
      <c r="A225" s="40">
        <v>40756</v>
      </c>
      <c r="B225" s="12" t="s">
        <v>3</v>
      </c>
      <c r="C225" s="48">
        <v>527</v>
      </c>
      <c r="D225" s="42">
        <v>4.1941304347826085</v>
      </c>
      <c r="E225" s="43">
        <f>'[1]IPC99ON (real)'!O375</f>
        <v>4.7735665300361525</v>
      </c>
      <c r="F225" s="31">
        <f t="shared" si="25"/>
        <v>203.88698357391891</v>
      </c>
      <c r="G225" s="44">
        <f t="shared" si="28"/>
        <v>4.7735665300361534</v>
      </c>
      <c r="H225" s="44">
        <f t="shared" si="26"/>
        <v>463.03046688943806</v>
      </c>
      <c r="I225" s="35">
        <v>0.35</v>
      </c>
      <c r="J225" s="45">
        <f t="shared" si="29"/>
        <v>132.5265393230473</v>
      </c>
      <c r="K225" s="63">
        <f t="shared" si="27"/>
        <v>300.96980347813474</v>
      </c>
      <c r="L225" s="47">
        <f t="shared" si="30"/>
        <v>206.90372263979032</v>
      </c>
      <c r="M225" s="47">
        <f t="shared" si="31"/>
        <v>304.63352851680048</v>
      </c>
    </row>
    <row r="226" spans="1:13" x14ac:dyDescent="0.15">
      <c r="A226" s="40">
        <v>40787</v>
      </c>
      <c r="B226" s="12" t="s">
        <v>5</v>
      </c>
      <c r="C226" s="48">
        <v>512</v>
      </c>
      <c r="D226" s="42">
        <v>4.2370454545454557</v>
      </c>
      <c r="E226" s="43">
        <f>'[1]IPC99ON (real)'!O376</f>
        <v>4.8637869374538338</v>
      </c>
      <c r="F226" s="31">
        <f t="shared" si="25"/>
        <v>196.39863936176053</v>
      </c>
      <c r="G226" s="44">
        <f t="shared" si="28"/>
        <v>4.8637869374538347</v>
      </c>
      <c r="H226" s="44">
        <f t="shared" si="26"/>
        <v>446.02432232833888</v>
      </c>
      <c r="I226" s="35">
        <v>0.35</v>
      </c>
      <c r="J226" s="45">
        <f t="shared" si="29"/>
        <v>127.65911558514435</v>
      </c>
      <c r="K226" s="63">
        <f t="shared" si="27"/>
        <v>289.9158095134203</v>
      </c>
      <c r="L226" s="47">
        <f t="shared" si="30"/>
        <v>206.90372263979032</v>
      </c>
      <c r="M226" s="47">
        <f t="shared" si="31"/>
        <v>304.63352851680048</v>
      </c>
    </row>
    <row r="227" spans="1:13" x14ac:dyDescent="0.15">
      <c r="A227" s="40">
        <v>40817</v>
      </c>
      <c r="B227" s="12" t="s">
        <v>6</v>
      </c>
      <c r="C227" s="48">
        <v>477</v>
      </c>
      <c r="D227" s="42">
        <v>4.2511904761904766</v>
      </c>
      <c r="E227" s="43">
        <f>'[1]IPC99ON (real)'!O377</f>
        <v>4.9362573628219053</v>
      </c>
      <c r="F227" s="31">
        <f t="shared" si="25"/>
        <v>180.88855158949113</v>
      </c>
      <c r="G227" s="44">
        <f t="shared" si="28"/>
        <v>4.9362573628219062</v>
      </c>
      <c r="H227" s="44">
        <f t="shared" si="26"/>
        <v>410.80067510572752</v>
      </c>
      <c r="I227" s="35">
        <v>0.35</v>
      </c>
      <c r="J227" s="45">
        <f t="shared" si="29"/>
        <v>117.57755853316924</v>
      </c>
      <c r="K227" s="63">
        <f t="shared" si="27"/>
        <v>267.02043881872288</v>
      </c>
      <c r="L227" s="47">
        <f t="shared" si="30"/>
        <v>206.90372263979032</v>
      </c>
      <c r="M227" s="47">
        <f t="shared" si="31"/>
        <v>304.63352851680048</v>
      </c>
    </row>
    <row r="228" spans="1:13" x14ac:dyDescent="0.15">
      <c r="A228" s="40">
        <v>40848</v>
      </c>
      <c r="B228" s="12" t="s">
        <v>7</v>
      </c>
      <c r="C228" s="48">
        <v>458</v>
      </c>
      <c r="D228" s="42">
        <v>4.2813636363636363</v>
      </c>
      <c r="E228" s="43">
        <f>'[1]IPC99ON (real)'!O378</f>
        <v>5.0073394688465322</v>
      </c>
      <c r="F228" s="31">
        <f t="shared" si="25"/>
        <v>172.43304268861627</v>
      </c>
      <c r="G228" s="44">
        <f t="shared" si="28"/>
        <v>5.0073394688465331</v>
      </c>
      <c r="H228" s="44">
        <f t="shared" si="26"/>
        <v>391.59808470230217</v>
      </c>
      <c r="I228" s="35">
        <v>0.35</v>
      </c>
      <c r="J228" s="45">
        <f t="shared" si="29"/>
        <v>112.08147774760057</v>
      </c>
      <c r="K228" s="63">
        <f t="shared" si="27"/>
        <v>254.53875505649643</v>
      </c>
      <c r="L228" s="47">
        <f t="shared" si="30"/>
        <v>206.90372263979032</v>
      </c>
      <c r="M228" s="47">
        <f t="shared" si="31"/>
        <v>304.63352851680048</v>
      </c>
    </row>
    <row r="229" spans="1:13" x14ac:dyDescent="0.15">
      <c r="A229" s="40">
        <v>40878</v>
      </c>
      <c r="B229" s="12" t="s">
        <v>30</v>
      </c>
      <c r="C229" s="48">
        <v>446</v>
      </c>
      <c r="D229" s="42">
        <v>4.3081818181818186</v>
      </c>
      <c r="E229" s="43">
        <f>'[1]IPC99ON (real)'!O379</f>
        <v>5.1024789187546196</v>
      </c>
      <c r="F229" s="31">
        <f t="shared" si="25"/>
        <v>165.81644344348459</v>
      </c>
      <c r="G229" s="44">
        <f t="shared" si="28"/>
        <v>5.1024789187546205</v>
      </c>
      <c r="H229" s="44">
        <f t="shared" si="26"/>
        <v>376.57168633203599</v>
      </c>
      <c r="I229" s="35">
        <v>0.35</v>
      </c>
      <c r="J229" s="45">
        <f t="shared" si="29"/>
        <v>107.78068823826499</v>
      </c>
      <c r="K229" s="63">
        <f t="shared" si="27"/>
        <v>244.7715961158234</v>
      </c>
      <c r="L229" s="47">
        <f t="shared" si="30"/>
        <v>206.90372263979032</v>
      </c>
      <c r="M229" s="47">
        <f t="shared" si="31"/>
        <v>304.63352851680048</v>
      </c>
    </row>
    <row r="230" spans="1:13" x14ac:dyDescent="0.15">
      <c r="A230" s="40">
        <v>40909</v>
      </c>
      <c r="B230" s="12" t="s">
        <v>18</v>
      </c>
      <c r="C230" s="48">
        <v>465</v>
      </c>
      <c r="D230" s="42">
        <v>4.3385227272727285</v>
      </c>
      <c r="E230" s="43">
        <f>'[1]IPC99ON (real)'!O380</f>
        <v>5.2045284971297114</v>
      </c>
      <c r="F230" s="31">
        <f t="shared" si="25"/>
        <v>170.68421988966631</v>
      </c>
      <c r="G230" s="44">
        <f t="shared" si="28"/>
        <v>5.2045284971297123</v>
      </c>
      <c r="H230" s="44">
        <f t="shared" si="26"/>
        <v>387.62648130266138</v>
      </c>
      <c r="I230" s="35">
        <v>0.35</v>
      </c>
      <c r="J230" s="45">
        <f t="shared" si="29"/>
        <v>110.94474292828311</v>
      </c>
      <c r="K230" s="63">
        <f t="shared" si="27"/>
        <v>251.9572128467299</v>
      </c>
      <c r="L230" s="47">
        <f t="shared" si="30"/>
        <v>206.90372263979032</v>
      </c>
      <c r="M230" s="47">
        <f t="shared" si="31"/>
        <v>304.63352851680048</v>
      </c>
    </row>
    <row r="231" spans="1:13" x14ac:dyDescent="0.15">
      <c r="A231" s="40">
        <v>40940</v>
      </c>
      <c r="B231" s="12" t="s">
        <v>1</v>
      </c>
      <c r="C231" s="48">
        <v>481</v>
      </c>
      <c r="D231" s="42">
        <v>4.3640476190476205</v>
      </c>
      <c r="E231" s="43">
        <f>'[1]IPC99ON (real)'!O381</f>
        <v>5.2930054815809164</v>
      </c>
      <c r="F231" s="31">
        <f t="shared" si="25"/>
        <v>174.62730276482122</v>
      </c>
      <c r="G231" s="44">
        <f t="shared" si="28"/>
        <v>5.2930054815809173</v>
      </c>
      <c r="H231" s="44">
        <f t="shared" si="26"/>
        <v>396.58128299065032</v>
      </c>
      <c r="I231" s="35">
        <v>0.35</v>
      </c>
      <c r="J231" s="45">
        <f t="shared" si="29"/>
        <v>113.50774679713381</v>
      </c>
      <c r="K231" s="63">
        <f t="shared" si="27"/>
        <v>257.7778339439227</v>
      </c>
      <c r="L231" s="47">
        <f t="shared" si="30"/>
        <v>206.90372263979032</v>
      </c>
      <c r="M231" s="47">
        <f t="shared" si="31"/>
        <v>304.63352851680048</v>
      </c>
    </row>
    <row r="232" spans="1:13" x14ac:dyDescent="0.15">
      <c r="A232" s="40">
        <v>40969</v>
      </c>
      <c r="B232" s="12" t="s">
        <v>2</v>
      </c>
      <c r="C232" s="48">
        <v>515</v>
      </c>
      <c r="D232" s="42">
        <v>4.3734090909090906</v>
      </c>
      <c r="E232" s="43">
        <f>'[1]IPC99ON (real)'!O382</f>
        <v>5.4147446076572772</v>
      </c>
      <c r="F232" s="31">
        <f t="shared" si="25"/>
        <v>183.15943180511297</v>
      </c>
      <c r="G232" s="44">
        <f t="shared" si="28"/>
        <v>5.4147446076572781</v>
      </c>
      <c r="H232" s="44">
        <f t="shared" si="26"/>
        <v>415.95787890588167</v>
      </c>
      <c r="I232" s="35">
        <v>0.35</v>
      </c>
      <c r="J232" s="45">
        <f t="shared" si="29"/>
        <v>119.05363067332344</v>
      </c>
      <c r="K232" s="63">
        <f t="shared" si="27"/>
        <v>270.3726212888231</v>
      </c>
      <c r="L232" s="47">
        <f t="shared" si="30"/>
        <v>206.90372263979032</v>
      </c>
      <c r="M232" s="47">
        <f t="shared" si="31"/>
        <v>304.63352851680048</v>
      </c>
    </row>
    <row r="233" spans="1:13" x14ac:dyDescent="0.15">
      <c r="A233" s="40">
        <v>41000</v>
      </c>
      <c r="B233" s="12" t="s">
        <v>3</v>
      </c>
      <c r="C233" s="48">
        <v>548</v>
      </c>
      <c r="D233" s="42">
        <v>4.4112150000000003</v>
      </c>
      <c r="E233" s="43">
        <f>'[1]IPC99ON (real)'!O383</f>
        <v>5.5230394998104204</v>
      </c>
      <c r="F233" s="31">
        <f t="shared" si="25"/>
        <v>192.72611523567829</v>
      </c>
      <c r="G233" s="44">
        <f t="shared" si="28"/>
        <v>5.5230394998104213</v>
      </c>
      <c r="H233" s="44">
        <f t="shared" si="26"/>
        <v>437.68396370929008</v>
      </c>
      <c r="I233" s="35">
        <v>0.35</v>
      </c>
      <c r="J233" s="45">
        <f t="shared" si="29"/>
        <v>125.27197490319089</v>
      </c>
      <c r="K233" s="63">
        <f t="shared" si="27"/>
        <v>284.49457641103857</v>
      </c>
      <c r="L233" s="47">
        <f t="shared" si="30"/>
        <v>206.90372263979032</v>
      </c>
      <c r="M233" s="47">
        <f t="shared" si="31"/>
        <v>304.63352851680048</v>
      </c>
    </row>
    <row r="234" spans="1:13" x14ac:dyDescent="0.15">
      <c r="A234" s="40">
        <v>41030</v>
      </c>
      <c r="B234" s="12" t="s">
        <v>2</v>
      </c>
      <c r="C234" s="48">
        <v>539</v>
      </c>
      <c r="D234" s="42">
        <v>4.4620833333333341</v>
      </c>
      <c r="E234" s="43">
        <f>'[1]IPC99ON (real)'!O384</f>
        <v>5.622454210807005</v>
      </c>
      <c r="F234" s="31">
        <f t="shared" si="25"/>
        <v>188.35642869101875</v>
      </c>
      <c r="G234" s="44">
        <f t="shared" si="28"/>
        <v>5.6224542108070059</v>
      </c>
      <c r="H234" s="44">
        <f t="shared" si="26"/>
        <v>427.76033854466237</v>
      </c>
      <c r="I234" s="35">
        <v>0.35</v>
      </c>
      <c r="J234" s="45">
        <f t="shared" si="29"/>
        <v>122.43167864916219</v>
      </c>
      <c r="K234" s="63">
        <f t="shared" si="27"/>
        <v>278.04422005403057</v>
      </c>
      <c r="L234" s="47">
        <f t="shared" si="30"/>
        <v>206.90372263979032</v>
      </c>
      <c r="M234" s="47">
        <f t="shared" si="31"/>
        <v>304.63352851680048</v>
      </c>
    </row>
    <row r="235" spans="1:13" x14ac:dyDescent="0.15">
      <c r="A235" s="40">
        <v>41061</v>
      </c>
      <c r="B235" s="12" t="s">
        <v>4</v>
      </c>
      <c r="C235" s="48">
        <v>540</v>
      </c>
      <c r="D235" s="42">
        <v>4.512083333333333</v>
      </c>
      <c r="E235" s="43">
        <f>'[1]IPC99ON (real)'!O385</f>
        <v>5.7180359323907322</v>
      </c>
      <c r="F235" s="31">
        <f t="shared" si="25"/>
        <v>187.63071102312679</v>
      </c>
      <c r="G235" s="44">
        <f t="shared" si="28"/>
        <v>5.718035932390733</v>
      </c>
      <c r="H235" s="44">
        <f t="shared" si="26"/>
        <v>426.11222258991279</v>
      </c>
      <c r="I235" s="35">
        <v>0.35</v>
      </c>
      <c r="J235" s="45">
        <f t="shared" si="29"/>
        <v>121.95996216503242</v>
      </c>
      <c r="K235" s="63">
        <f t="shared" si="27"/>
        <v>276.9729446834433</v>
      </c>
      <c r="L235" s="47">
        <f t="shared" si="30"/>
        <v>206.90372263979032</v>
      </c>
      <c r="M235" s="47">
        <f t="shared" si="31"/>
        <v>304.63352851680048</v>
      </c>
    </row>
    <row r="236" spans="1:13" x14ac:dyDescent="0.15">
      <c r="A236" s="40">
        <v>41091</v>
      </c>
      <c r="B236" s="12" t="s">
        <v>4</v>
      </c>
      <c r="C236" s="48">
        <v>632</v>
      </c>
      <c r="D236" s="42">
        <v>4.5718181818181813</v>
      </c>
      <c r="E236" s="43">
        <f>'[1]IPC99ON (real)'!O386</f>
        <v>5.8209605791737591</v>
      </c>
      <c r="F236" s="31">
        <f t="shared" si="25"/>
        <v>218.5703779470538</v>
      </c>
      <c r="G236" s="44">
        <f t="shared" si="28"/>
        <v>5.82096057917376</v>
      </c>
      <c r="H236" s="44">
        <f t="shared" si="26"/>
        <v>496.37668072289483</v>
      </c>
      <c r="I236" s="35">
        <v>0.35</v>
      </c>
      <c r="J236" s="45">
        <f t="shared" si="29"/>
        <v>142.07074566558498</v>
      </c>
      <c r="K236" s="63">
        <f t="shared" si="27"/>
        <v>322.64484246988167</v>
      </c>
      <c r="L236" s="47">
        <f t="shared" si="30"/>
        <v>206.90372263979032</v>
      </c>
      <c r="M236" s="47">
        <f t="shared" si="31"/>
        <v>304.63352851680048</v>
      </c>
    </row>
    <row r="237" spans="1:13" x14ac:dyDescent="0.15">
      <c r="A237" s="40">
        <v>41122</v>
      </c>
      <c r="B237" s="12" t="s">
        <v>3</v>
      </c>
      <c r="C237" s="48">
        <v>648</v>
      </c>
      <c r="D237" s="42">
        <v>4.624305555555555</v>
      </c>
      <c r="E237" s="43">
        <f>'[1]IPC99ON (real)'!O387</f>
        <v>5.9373797907572339</v>
      </c>
      <c r="F237" s="31">
        <f t="shared" si="25"/>
        <v>222.23201874923672</v>
      </c>
      <c r="G237" s="44">
        <f t="shared" si="28"/>
        <v>5.9373797907572348</v>
      </c>
      <c r="H237" s="44">
        <f t="shared" si="26"/>
        <v>504.6923231464412</v>
      </c>
      <c r="I237" s="35">
        <v>0.35</v>
      </c>
      <c r="J237" s="45">
        <f t="shared" si="29"/>
        <v>144.45081218700386</v>
      </c>
      <c r="K237" s="63">
        <f t="shared" si="27"/>
        <v>328.05001004518681</v>
      </c>
      <c r="L237" s="47">
        <f t="shared" si="30"/>
        <v>206.90372263979032</v>
      </c>
      <c r="M237" s="47">
        <f t="shared" si="31"/>
        <v>304.63352851680048</v>
      </c>
    </row>
    <row r="238" spans="1:13" x14ac:dyDescent="0.15">
      <c r="A238" s="40">
        <v>41153</v>
      </c>
      <c r="B238" s="12" t="s">
        <v>5</v>
      </c>
      <c r="C238" s="48">
        <v>653</v>
      </c>
      <c r="D238" s="42">
        <v>4.6888749999999995</v>
      </c>
      <c r="E238" s="43">
        <f>'[1]IPC99ON (real)'!O388</f>
        <v>6.0561273865723866</v>
      </c>
      <c r="F238" s="31">
        <f t="shared" si="25"/>
        <v>222.62132709611978</v>
      </c>
      <c r="G238" s="44">
        <f t="shared" si="28"/>
        <v>6.0561273865723875</v>
      </c>
      <c r="H238" s="44">
        <f t="shared" si="26"/>
        <v>505.5764483733754</v>
      </c>
      <c r="I238" s="35">
        <v>0.35</v>
      </c>
      <c r="J238" s="45">
        <f t="shared" si="29"/>
        <v>144.70386261247788</v>
      </c>
      <c r="K238" s="63">
        <f t="shared" si="27"/>
        <v>328.62469144269403</v>
      </c>
      <c r="L238" s="47">
        <f t="shared" si="30"/>
        <v>206.90372263979032</v>
      </c>
      <c r="M238" s="47">
        <f t="shared" si="31"/>
        <v>304.63352851680048</v>
      </c>
    </row>
    <row r="239" spans="1:13" x14ac:dyDescent="0.15">
      <c r="A239" s="40">
        <v>41183</v>
      </c>
      <c r="B239" s="12" t="s">
        <v>6</v>
      </c>
      <c r="C239" s="48">
        <v>598</v>
      </c>
      <c r="D239" s="42">
        <v>4.7443478260869565</v>
      </c>
      <c r="E239" s="43">
        <f>'[1]IPC99ON (real)'!O389</f>
        <v>6.1590815521441096</v>
      </c>
      <c r="F239" s="31">
        <f t="shared" si="25"/>
        <v>202.83443344497763</v>
      </c>
      <c r="G239" s="44">
        <f t="shared" si="28"/>
        <v>6.1590815521441105</v>
      </c>
      <c r="H239" s="44">
        <f t="shared" si="26"/>
        <v>460.6401094027301</v>
      </c>
      <c r="I239" s="35">
        <v>0.35</v>
      </c>
      <c r="J239" s="45">
        <f t="shared" si="29"/>
        <v>131.84238173923546</v>
      </c>
      <c r="K239" s="63">
        <f t="shared" si="27"/>
        <v>299.41607111177456</v>
      </c>
      <c r="L239" s="47">
        <f t="shared" si="30"/>
        <v>206.90372263979032</v>
      </c>
      <c r="M239" s="47">
        <f t="shared" si="31"/>
        <v>304.63352851680048</v>
      </c>
    </row>
    <row r="240" spans="1:13" x14ac:dyDescent="0.15">
      <c r="A240" s="40">
        <v>41214</v>
      </c>
      <c r="B240" s="12" t="s">
        <v>7</v>
      </c>
      <c r="C240" s="48">
        <v>558</v>
      </c>
      <c r="D240" s="42">
        <v>4.8156499999999998</v>
      </c>
      <c r="E240" s="43">
        <f>'[1]IPC99ON (real)'!O390</f>
        <v>6.2761041016348518</v>
      </c>
      <c r="F240" s="31">
        <f t="shared" si="25"/>
        <v>188.52932299366566</v>
      </c>
      <c r="G240" s="44">
        <f t="shared" si="28"/>
        <v>6.2761041016348527</v>
      </c>
      <c r="H240" s="44">
        <f t="shared" si="26"/>
        <v>428.15298415780461</v>
      </c>
      <c r="I240" s="35">
        <v>0.35</v>
      </c>
      <c r="J240" s="45">
        <f t="shared" si="29"/>
        <v>122.54405994588268</v>
      </c>
      <c r="K240" s="63">
        <f t="shared" si="27"/>
        <v>278.29943970257301</v>
      </c>
      <c r="L240" s="47">
        <f t="shared" si="30"/>
        <v>206.90372263979032</v>
      </c>
      <c r="M240" s="47">
        <f t="shared" si="31"/>
        <v>304.63352851680048</v>
      </c>
    </row>
    <row r="241" spans="1:13" x14ac:dyDescent="0.15">
      <c r="A241" s="40">
        <v>41244</v>
      </c>
      <c r="B241" s="12" t="s">
        <v>31</v>
      </c>
      <c r="C241" s="48">
        <v>557</v>
      </c>
      <c r="D241" s="42">
        <v>4.8899999999999997</v>
      </c>
      <c r="E241" s="43">
        <f>'[1]IPC99ON (real)'!O391</f>
        <v>6.4016261836675454</v>
      </c>
      <c r="F241" s="31">
        <f t="shared" si="25"/>
        <v>187.34999100493104</v>
      </c>
      <c r="G241" s="44">
        <f t="shared" si="28"/>
        <v>6.4016261836675463</v>
      </c>
      <c r="H241" s="44">
        <f t="shared" si="26"/>
        <v>425.47470312294178</v>
      </c>
      <c r="I241" s="35">
        <v>0.35</v>
      </c>
      <c r="J241" s="45">
        <f t="shared" si="29"/>
        <v>121.77749415320518</v>
      </c>
      <c r="K241" s="63">
        <f t="shared" si="27"/>
        <v>276.55855702991215</v>
      </c>
      <c r="L241" s="47">
        <f t="shared" si="30"/>
        <v>206.90372263979032</v>
      </c>
      <c r="M241" s="47">
        <f t="shared" si="31"/>
        <v>304.63352851680048</v>
      </c>
    </row>
    <row r="242" spans="1:13" x14ac:dyDescent="0.15">
      <c r="A242" s="40">
        <v>41275</v>
      </c>
      <c r="B242" s="12" t="s">
        <v>19</v>
      </c>
      <c r="C242" s="48">
        <v>528</v>
      </c>
      <c r="D242" s="42">
        <v>4.9594886363636368</v>
      </c>
      <c r="E242" s="43">
        <f>'[1]IPC99ON (real)'!O392</f>
        <v>6.5808717168102415</v>
      </c>
      <c r="F242" s="31">
        <f t="shared" si="25"/>
        <v>175.21340504712654</v>
      </c>
      <c r="G242" s="44">
        <f t="shared" si="28"/>
        <v>6.5808717168102424</v>
      </c>
      <c r="H242" s="44">
        <f t="shared" si="26"/>
        <v>397.9123302633293</v>
      </c>
      <c r="I242" s="35">
        <v>0.35</v>
      </c>
      <c r="J242" s="45">
        <f t="shared" si="29"/>
        <v>113.88871328063226</v>
      </c>
      <c r="K242" s="63">
        <f t="shared" si="27"/>
        <v>258.64301467116405</v>
      </c>
      <c r="L242" s="47">
        <f t="shared" si="30"/>
        <v>206.90372263979032</v>
      </c>
      <c r="M242" s="47">
        <f t="shared" si="31"/>
        <v>304.63352851680048</v>
      </c>
    </row>
    <row r="243" spans="1:13" x14ac:dyDescent="0.15">
      <c r="A243" s="40">
        <v>41306</v>
      </c>
      <c r="B243" s="12" t="s">
        <v>1</v>
      </c>
      <c r="C243" s="48">
        <v>541</v>
      </c>
      <c r="D243" s="42">
        <v>5.0190789473684205</v>
      </c>
      <c r="E243" s="43">
        <f>'[1]IPC99ON (real)'!O393</f>
        <v>6.6795847925623946</v>
      </c>
      <c r="F243" s="31">
        <f t="shared" si="25"/>
        <v>178.99947509086439</v>
      </c>
      <c r="G243" s="44">
        <f t="shared" si="28"/>
        <v>6.6795847925623955</v>
      </c>
      <c r="H243" s="44">
        <f t="shared" si="26"/>
        <v>406.51055340292714</v>
      </c>
      <c r="I243" s="35">
        <v>0.35</v>
      </c>
      <c r="J243" s="45">
        <f t="shared" si="29"/>
        <v>116.34965880906186</v>
      </c>
      <c r="K243" s="63">
        <f t="shared" si="27"/>
        <v>264.23185971190264</v>
      </c>
      <c r="L243" s="47">
        <f t="shared" si="30"/>
        <v>206.90372263979032</v>
      </c>
      <c r="M243" s="47">
        <f t="shared" si="31"/>
        <v>304.63352851680048</v>
      </c>
    </row>
    <row r="244" spans="1:13" x14ac:dyDescent="0.15">
      <c r="A244" s="40">
        <v>41334</v>
      </c>
      <c r="B244" s="12" t="s">
        <v>2</v>
      </c>
      <c r="C244" s="48">
        <v>539</v>
      </c>
      <c r="D244" s="42">
        <v>5.0958571428571426</v>
      </c>
      <c r="E244" s="43">
        <f>'[1]IPC99ON (real)'!O394</f>
        <v>6.7864581492433924</v>
      </c>
      <c r="F244" s="31">
        <f t="shared" si="25"/>
        <v>178.21438946261213</v>
      </c>
      <c r="G244" s="44">
        <f t="shared" si="28"/>
        <v>6.7864581492433933</v>
      </c>
      <c r="H244" s="44">
        <f t="shared" si="26"/>
        <v>404.72761189962097</v>
      </c>
      <c r="I244" s="35">
        <v>0.35</v>
      </c>
      <c r="J244" s="45">
        <f t="shared" si="29"/>
        <v>115.83935315069789</v>
      </c>
      <c r="K244" s="63">
        <f t="shared" si="27"/>
        <v>263.07294773475365</v>
      </c>
      <c r="L244" s="47">
        <f t="shared" si="30"/>
        <v>206.90372263979032</v>
      </c>
      <c r="M244" s="47">
        <f t="shared" si="31"/>
        <v>304.63352851680048</v>
      </c>
    </row>
    <row r="245" spans="1:13" x14ac:dyDescent="0.15">
      <c r="A245" s="40">
        <v>41365</v>
      </c>
      <c r="B245" s="12" t="s">
        <v>3</v>
      </c>
      <c r="C245" s="48">
        <v>520</v>
      </c>
      <c r="D245" s="42">
        <v>5.1615909090909096</v>
      </c>
      <c r="E245" s="43">
        <f>'[1]IPC99ON (real)'!O395</f>
        <v>6.8896123131118925</v>
      </c>
      <c r="F245" s="31">
        <f t="shared" si="25"/>
        <v>171.5426334019256</v>
      </c>
      <c r="G245" s="44">
        <f t="shared" si="28"/>
        <v>6.8896123131118934</v>
      </c>
      <c r="H245" s="44">
        <f t="shared" si="26"/>
        <v>389.57595155524132</v>
      </c>
      <c r="I245" s="35">
        <v>0.35</v>
      </c>
      <c r="J245" s="45">
        <f t="shared" si="29"/>
        <v>111.50271171125165</v>
      </c>
      <c r="K245" s="63">
        <f t="shared" si="27"/>
        <v>253.22436851090686</v>
      </c>
      <c r="L245" s="47">
        <f t="shared" si="30"/>
        <v>206.90372263979032</v>
      </c>
      <c r="M245" s="47">
        <f t="shared" si="31"/>
        <v>304.63352851680048</v>
      </c>
    </row>
    <row r="246" spans="1:13" x14ac:dyDescent="0.15">
      <c r="A246" s="40">
        <v>41395</v>
      </c>
      <c r="B246" s="12" t="s">
        <v>2</v>
      </c>
      <c r="C246" s="48">
        <v>540</v>
      </c>
      <c r="D246" s="42">
        <v>5.2468478260869569</v>
      </c>
      <c r="E246" s="43">
        <f>'[1]IPC99ON (real)'!O396</f>
        <v>7.0067357224347946</v>
      </c>
      <c r="F246" s="31">
        <f t="shared" si="25"/>
        <v>178.05592251951285</v>
      </c>
      <c r="G246" s="44">
        <f t="shared" si="28"/>
        <v>7.0067357224347955</v>
      </c>
      <c r="H246" s="44">
        <f t="shared" si="26"/>
        <v>404.36773104129639</v>
      </c>
      <c r="I246" s="35">
        <v>0.35</v>
      </c>
      <c r="J246" s="45">
        <f t="shared" si="29"/>
        <v>115.73634963768336</v>
      </c>
      <c r="K246" s="63">
        <f t="shared" si="27"/>
        <v>262.83902517684265</v>
      </c>
      <c r="L246" s="47">
        <f t="shared" si="30"/>
        <v>206.90372263979032</v>
      </c>
      <c r="M246" s="47">
        <f t="shared" si="31"/>
        <v>304.63352851680048</v>
      </c>
    </row>
    <row r="247" spans="1:13" x14ac:dyDescent="0.15">
      <c r="A247" s="40">
        <v>41426</v>
      </c>
      <c r="B247" s="12" t="s">
        <v>4</v>
      </c>
      <c r="C247" s="48">
        <v>547</v>
      </c>
      <c r="D247" s="49">
        <v>5.3396625000000011</v>
      </c>
      <c r="E247" s="43">
        <f>'[1]IPC99ON (real)'!O397</f>
        <v>7.1398637011610555</v>
      </c>
      <c r="F247" s="31">
        <f t="shared" si="25"/>
        <v>180.13211385948489</v>
      </c>
      <c r="G247" s="44">
        <f t="shared" si="28"/>
        <v>7.1398637011610564</v>
      </c>
      <c r="H247" s="44">
        <f t="shared" si="26"/>
        <v>409.08279341873606</v>
      </c>
      <c r="I247" s="35">
        <v>0.35</v>
      </c>
      <c r="J247" s="45">
        <f t="shared" si="29"/>
        <v>117.08587400866519</v>
      </c>
      <c r="K247" s="63">
        <f t="shared" si="27"/>
        <v>265.90381572217842</v>
      </c>
      <c r="L247" s="47">
        <f t="shared" si="30"/>
        <v>206.90372263979032</v>
      </c>
      <c r="M247" s="47">
        <f t="shared" si="31"/>
        <v>304.63352851680048</v>
      </c>
    </row>
    <row r="248" spans="1:13" x14ac:dyDescent="0.15">
      <c r="A248" s="40">
        <v>41456</v>
      </c>
      <c r="B248" s="12" t="s">
        <v>4</v>
      </c>
      <c r="C248" s="48">
        <v>534</v>
      </c>
      <c r="D248" s="49">
        <v>5.447869565217391</v>
      </c>
      <c r="E248" s="43">
        <f>'[1]IPC99ON (real)'!O398</f>
        <v>7.3469197484947255</v>
      </c>
      <c r="F248" s="31">
        <f t="shared" si="25"/>
        <v>174.35828743237943</v>
      </c>
      <c r="G248" s="44">
        <f t="shared" si="28"/>
        <v>7.3469197484947264</v>
      </c>
      <c r="H248" s="44">
        <f t="shared" si="26"/>
        <v>395.97034504455155</v>
      </c>
      <c r="I248" s="35">
        <v>0.35</v>
      </c>
      <c r="J248" s="45">
        <f t="shared" si="29"/>
        <v>113.33288683104664</v>
      </c>
      <c r="K248" s="63">
        <f t="shared" si="27"/>
        <v>257.3807242789585</v>
      </c>
      <c r="L248" s="47">
        <f t="shared" si="30"/>
        <v>206.90372263979032</v>
      </c>
      <c r="M248" s="47">
        <f t="shared" si="31"/>
        <v>304.63352851680048</v>
      </c>
    </row>
    <row r="249" spans="1:13" x14ac:dyDescent="0.15">
      <c r="A249" s="40">
        <v>41487</v>
      </c>
      <c r="B249" s="12" t="s">
        <v>3</v>
      </c>
      <c r="C249" s="48">
        <v>521</v>
      </c>
      <c r="D249" s="42">
        <v>5.5756454545454543</v>
      </c>
      <c r="E249" s="43">
        <f>'[1]IPC99ON (real)'!O399</f>
        <v>7.4938581434646201</v>
      </c>
      <c r="F249" s="31">
        <f t="shared" si="25"/>
        <v>170.68970905558533</v>
      </c>
      <c r="G249" s="44">
        <f t="shared" si="28"/>
        <v>7.493858143464621</v>
      </c>
      <c r="H249" s="44">
        <f t="shared" si="26"/>
        <v>387.63894728265558</v>
      </c>
      <c r="I249" s="35">
        <v>0.35</v>
      </c>
      <c r="J249" s="45">
        <f t="shared" si="29"/>
        <v>110.94831088613047</v>
      </c>
      <c r="K249" s="63">
        <f t="shared" si="27"/>
        <v>251.96531573372613</v>
      </c>
      <c r="L249" s="47">
        <f t="shared" si="30"/>
        <v>206.90372263979032</v>
      </c>
      <c r="M249" s="47">
        <f t="shared" si="31"/>
        <v>304.63352851680048</v>
      </c>
    </row>
    <row r="250" spans="1:13" x14ac:dyDescent="0.15">
      <c r="A250" s="40">
        <v>41518</v>
      </c>
      <c r="B250" s="12" t="s">
        <v>5</v>
      </c>
      <c r="C250" s="48">
        <v>544</v>
      </c>
      <c r="D250" s="42">
        <v>5.7471428571428573</v>
      </c>
      <c r="E250" s="43">
        <f>'[1]IPC99ON (real)'!O400</f>
        <v>7.6512291644773764</v>
      </c>
      <c r="F250" s="31">
        <f t="shared" si="25"/>
        <v>179.92835733165705</v>
      </c>
      <c r="G250" s="44">
        <f t="shared" si="28"/>
        <v>7.6512291644773773</v>
      </c>
      <c r="H250" s="44">
        <f t="shared" si="26"/>
        <v>408.6200592188469</v>
      </c>
      <c r="I250" s="35">
        <v>0.35</v>
      </c>
      <c r="J250" s="45">
        <f t="shared" si="29"/>
        <v>116.95343226557709</v>
      </c>
      <c r="K250" s="63">
        <f t="shared" si="27"/>
        <v>265.6030384922505</v>
      </c>
      <c r="L250" s="47">
        <f t="shared" si="30"/>
        <v>206.90372263979032</v>
      </c>
      <c r="M250" s="47">
        <f t="shared" si="31"/>
        <v>304.63352851680048</v>
      </c>
    </row>
    <row r="251" spans="1:13" x14ac:dyDescent="0.15">
      <c r="A251" s="40">
        <v>41548</v>
      </c>
      <c r="B251" s="12" t="s">
        <v>6</v>
      </c>
      <c r="C251" s="48">
        <v>531</v>
      </c>
      <c r="D251" s="42">
        <v>5.8590869565217396</v>
      </c>
      <c r="E251" s="43">
        <f>'[1]IPC99ON (real)'!O401</f>
        <v>7.8195562060958785</v>
      </c>
      <c r="F251" s="31">
        <f t="shared" si="25"/>
        <v>175.19523567861808</v>
      </c>
      <c r="G251" s="44">
        <f t="shared" si="28"/>
        <v>7.8195562060958794</v>
      </c>
      <c r="H251" s="44">
        <f t="shared" si="26"/>
        <v>397.87106734876716</v>
      </c>
      <c r="I251" s="35">
        <v>0.35</v>
      </c>
      <c r="J251" s="45">
        <f t="shared" si="29"/>
        <v>113.87690319110175</v>
      </c>
      <c r="K251" s="63">
        <f t="shared" si="27"/>
        <v>258.61619377669865</v>
      </c>
      <c r="L251" s="47">
        <f t="shared" si="30"/>
        <v>206.90372263979032</v>
      </c>
      <c r="M251" s="47">
        <f t="shared" si="31"/>
        <v>304.63352851680048</v>
      </c>
    </row>
    <row r="252" spans="1:13" x14ac:dyDescent="0.15">
      <c r="A252" s="40">
        <v>41579</v>
      </c>
      <c r="B252" s="12" t="s">
        <v>7</v>
      </c>
      <c r="C252" s="48">
        <v>539</v>
      </c>
      <c r="D252" s="42">
        <v>6.0250000000000012</v>
      </c>
      <c r="E252" s="43">
        <f>'[1]IPC99ON (real)'!O402</f>
        <v>8.0072255550421794</v>
      </c>
      <c r="F252" s="31">
        <f t="shared" si="25"/>
        <v>178.58446899767563</v>
      </c>
      <c r="G252" s="44">
        <f t="shared" si="28"/>
        <v>8.0072255550421811</v>
      </c>
      <c r="H252" s="44">
        <f t="shared" si="26"/>
        <v>405.56806819998383</v>
      </c>
      <c r="I252" s="35">
        <v>0.35</v>
      </c>
      <c r="J252" s="45">
        <f t="shared" si="29"/>
        <v>116.07990484848916</v>
      </c>
      <c r="K252" s="63">
        <f t="shared" si="27"/>
        <v>263.6192443299895</v>
      </c>
      <c r="L252" s="47">
        <f t="shared" si="30"/>
        <v>206.90372263979032</v>
      </c>
      <c r="M252" s="47">
        <f t="shared" si="31"/>
        <v>304.63352851680048</v>
      </c>
    </row>
    <row r="253" spans="1:13" x14ac:dyDescent="0.15">
      <c r="A253" s="40">
        <v>41609</v>
      </c>
      <c r="B253" s="12" t="s">
        <v>48</v>
      </c>
      <c r="C253" s="48">
        <v>551</v>
      </c>
      <c r="D253" s="42">
        <v>6.3483333333333345</v>
      </c>
      <c r="E253" s="43">
        <f>'[1]IPC99ON (real)'!O403</f>
        <v>8.2634567728035293</v>
      </c>
      <c r="F253" s="31">
        <f t="shared" si="25"/>
        <v>186.39295529061346</v>
      </c>
      <c r="G253" s="44">
        <f t="shared" si="28"/>
        <v>8.2634567728035311</v>
      </c>
      <c r="H253" s="44">
        <f t="shared" si="26"/>
        <v>423.30126033683229</v>
      </c>
      <c r="I253" s="35">
        <v>0.35</v>
      </c>
      <c r="J253" s="45">
        <f t="shared" si="29"/>
        <v>121.15542093889876</v>
      </c>
      <c r="K253" s="63">
        <f t="shared" si="27"/>
        <v>275.14581921894097</v>
      </c>
      <c r="L253" s="47">
        <f t="shared" si="30"/>
        <v>206.90372263979032</v>
      </c>
      <c r="M253" s="47">
        <f t="shared" si="31"/>
        <v>304.63352851680048</v>
      </c>
    </row>
    <row r="254" spans="1:13" x14ac:dyDescent="0.15">
      <c r="A254" s="40">
        <v>41640</v>
      </c>
      <c r="B254" s="12" t="s">
        <v>49</v>
      </c>
      <c r="C254" s="11">
        <v>521</v>
      </c>
      <c r="D254" s="42">
        <v>7.1343181818181822</v>
      </c>
      <c r="E254" s="43">
        <f>'[1]IPC99ON (real)'!O404</f>
        <v>8.6518392411252965</v>
      </c>
      <c r="F254" s="31">
        <f t="shared" si="25"/>
        <v>189.17410550753993</v>
      </c>
      <c r="G254" s="44">
        <f t="shared" si="28"/>
        <v>8.6518392411252982</v>
      </c>
      <c r="H254" s="44">
        <f t="shared" si="26"/>
        <v>429.61729513640677</v>
      </c>
      <c r="I254" s="35">
        <v>0.35</v>
      </c>
      <c r="J254" s="45">
        <f t="shared" si="29"/>
        <v>122.96316857990097</v>
      </c>
      <c r="K254" s="63">
        <f t="shared" si="27"/>
        <v>279.25124183866438</v>
      </c>
      <c r="L254" s="47">
        <f t="shared" si="30"/>
        <v>206.90372263979032</v>
      </c>
      <c r="M254" s="47">
        <f t="shared" si="31"/>
        <v>304.63352851680048</v>
      </c>
    </row>
    <row r="255" spans="1:13" x14ac:dyDescent="0.15">
      <c r="A255" s="40">
        <v>41671</v>
      </c>
      <c r="B255" s="12" t="s">
        <v>1</v>
      </c>
      <c r="C255" s="11">
        <v>544</v>
      </c>
      <c r="D255" s="42">
        <v>7.8588649999999998</v>
      </c>
      <c r="E255" s="43">
        <f>'[1]IPC99ON (real)'!O405</f>
        <v>8.9979128107703072</v>
      </c>
      <c r="F255" s="31">
        <f t="shared" si="25"/>
        <v>209.21695660210702</v>
      </c>
      <c r="G255" s="44">
        <f t="shared" si="28"/>
        <v>8.997912810770309</v>
      </c>
      <c r="H255" s="44">
        <f t="shared" si="26"/>
        <v>475.13491738691334</v>
      </c>
      <c r="I255" s="35">
        <v>0.35</v>
      </c>
      <c r="J255" s="45">
        <f t="shared" si="29"/>
        <v>135.99102179136958</v>
      </c>
      <c r="K255" s="63">
        <f t="shared" si="27"/>
        <v>308.83769630149368</v>
      </c>
      <c r="L255" s="47">
        <f t="shared" si="30"/>
        <v>206.90372263979032</v>
      </c>
      <c r="M255" s="47">
        <f t="shared" si="31"/>
        <v>304.63352851680048</v>
      </c>
    </row>
    <row r="256" spans="1:13" x14ac:dyDescent="0.15">
      <c r="A256" s="40">
        <v>41699</v>
      </c>
      <c r="B256" s="12" t="s">
        <v>2</v>
      </c>
      <c r="C256" s="11">
        <v>539</v>
      </c>
      <c r="D256" s="42">
        <v>7.9392857142857123</v>
      </c>
      <c r="E256" s="43">
        <f>'[1]IPC99ON (real)'!O406</f>
        <v>9.2678501950934162</v>
      </c>
      <c r="F256" s="31">
        <f t="shared" si="25"/>
        <v>203.3157973089688</v>
      </c>
      <c r="G256" s="44">
        <f t="shared" si="28"/>
        <v>9.267850195093418</v>
      </c>
      <c r="H256" s="44">
        <f t="shared" si="26"/>
        <v>461.73329412095279</v>
      </c>
      <c r="I256" s="35">
        <v>0.35</v>
      </c>
      <c r="J256" s="45">
        <f t="shared" si="29"/>
        <v>132.15526825082972</v>
      </c>
      <c r="K256" s="63">
        <f t="shared" si="27"/>
        <v>300.12664117861931</v>
      </c>
      <c r="L256" s="47">
        <f t="shared" si="30"/>
        <v>206.90372263979032</v>
      </c>
      <c r="M256" s="47">
        <f t="shared" si="31"/>
        <v>304.63352851680048</v>
      </c>
    </row>
    <row r="257" spans="1:13" x14ac:dyDescent="0.15">
      <c r="A257" s="40">
        <v>41730</v>
      </c>
      <c r="B257" s="12" t="s">
        <v>3</v>
      </c>
      <c r="C257" s="11">
        <v>526</v>
      </c>
      <c r="D257" s="42">
        <v>8.01</v>
      </c>
      <c r="E257" s="43">
        <f>'[1]IPC99ON (real)'!O407</f>
        <v>9.4717428993854718</v>
      </c>
      <c r="F257" s="31">
        <f t="shared" si="25"/>
        <v>195.87016619639638</v>
      </c>
      <c r="G257" s="44">
        <f t="shared" si="28"/>
        <v>9.4717428993854735</v>
      </c>
      <c r="H257" s="44">
        <f t="shared" si="26"/>
        <v>444.8241516641416</v>
      </c>
      <c r="I257" s="35">
        <v>0.35</v>
      </c>
      <c r="J257" s="45">
        <f t="shared" si="29"/>
        <v>127.31560802765766</v>
      </c>
      <c r="K257" s="63">
        <f t="shared" si="27"/>
        <v>289.13569858169205</v>
      </c>
      <c r="L257" s="47">
        <f t="shared" si="30"/>
        <v>206.90372263979032</v>
      </c>
      <c r="M257" s="47">
        <f t="shared" si="31"/>
        <v>304.63352851680048</v>
      </c>
    </row>
    <row r="258" spans="1:13" x14ac:dyDescent="0.15">
      <c r="A258" s="40">
        <v>41760</v>
      </c>
      <c r="B258" s="12" t="s">
        <v>2</v>
      </c>
      <c r="C258" s="11">
        <v>531</v>
      </c>
      <c r="D258" s="42">
        <v>8.0527272727272745</v>
      </c>
      <c r="E258" s="43">
        <f>'[1]IPC99ON (real)'!O408</f>
        <v>9.6801212431719517</v>
      </c>
      <c r="F258" s="31">
        <f t="shared" ref="F258:F321" si="32">+(C258*(D258/E258))/(AVERAGE(C$2:C$13)*AVERAGE(D$2:D$13)/AVERAGE(E$2:E$13))*100</f>
        <v>194.50763245627294</v>
      </c>
      <c r="G258" s="44">
        <f t="shared" si="28"/>
        <v>9.6801212431719534</v>
      </c>
      <c r="H258" s="44">
        <f t="shared" ref="H258:H277" si="33">+(C258*D258)/G258</f>
        <v>441.72981664194907</v>
      </c>
      <c r="I258" s="35">
        <v>0.35</v>
      </c>
      <c r="J258" s="45">
        <f t="shared" si="29"/>
        <v>126.42996109657741</v>
      </c>
      <c r="K258" s="63">
        <f t="shared" ref="K258:K277" si="34">+H258*(1-I258)</f>
        <v>287.12438081726691</v>
      </c>
      <c r="L258" s="47">
        <f t="shared" si="30"/>
        <v>206.90372263979032</v>
      </c>
      <c r="M258" s="47">
        <f t="shared" si="31"/>
        <v>304.63352851680048</v>
      </c>
    </row>
    <row r="259" spans="1:13" x14ac:dyDescent="0.15">
      <c r="A259" s="40">
        <v>41791</v>
      </c>
      <c r="B259" s="12" t="s">
        <v>4</v>
      </c>
      <c r="C259" s="11">
        <v>513</v>
      </c>
      <c r="D259" s="42">
        <v>8.1405452380952408</v>
      </c>
      <c r="E259" s="43">
        <f>'[1]IPC99ON (real)'!O409</f>
        <v>9.883403789278562</v>
      </c>
      <c r="F259" s="31">
        <f t="shared" si="32"/>
        <v>186.05624548781955</v>
      </c>
      <c r="G259" s="44">
        <f t="shared" ref="G259:G277" si="35">+E259/AVERAGE(E$2:E$13)</f>
        <v>9.8834037892785638</v>
      </c>
      <c r="H259" s="44">
        <f t="shared" si="33"/>
        <v>422.53658721027438</v>
      </c>
      <c r="I259" s="35">
        <v>0.35</v>
      </c>
      <c r="J259" s="45">
        <f t="shared" ref="J259:J322" si="36">+F259*(1-I259)</f>
        <v>120.93655956708271</v>
      </c>
      <c r="K259" s="63">
        <f t="shared" si="34"/>
        <v>274.64878168667838</v>
      </c>
      <c r="L259" s="47">
        <f t="shared" si="30"/>
        <v>206.90372263979032</v>
      </c>
      <c r="M259" s="47">
        <f t="shared" si="31"/>
        <v>304.63352851680048</v>
      </c>
    </row>
    <row r="260" spans="1:13" x14ac:dyDescent="0.15">
      <c r="A260" s="40">
        <v>41821</v>
      </c>
      <c r="B260" s="12" t="s">
        <v>4</v>
      </c>
      <c r="C260" s="11">
        <v>482</v>
      </c>
      <c r="D260" s="42">
        <v>8.1747826086956525</v>
      </c>
      <c r="E260" s="43">
        <f>'[1]IPC99ON (real)'!O410</f>
        <v>10.130488884010525</v>
      </c>
      <c r="F260" s="31">
        <f t="shared" si="32"/>
        <v>171.26664050768306</v>
      </c>
      <c r="G260" s="44">
        <f t="shared" si="35"/>
        <v>10.130488884010527</v>
      </c>
      <c r="H260" s="44">
        <f t="shared" si="33"/>
        <v>388.94916745927202</v>
      </c>
      <c r="I260" s="35">
        <v>0.35</v>
      </c>
      <c r="J260" s="45">
        <f t="shared" si="36"/>
        <v>111.323316329994</v>
      </c>
      <c r="K260" s="63">
        <f t="shared" si="34"/>
        <v>252.81695884852681</v>
      </c>
      <c r="L260" s="47">
        <f t="shared" ref="L260:L280" si="37">+L259</f>
        <v>206.90372263979032</v>
      </c>
      <c r="M260" s="47">
        <f t="shared" ref="M260:M300" si="38">+M259</f>
        <v>304.63352851680048</v>
      </c>
    </row>
    <row r="261" spans="1:13" x14ac:dyDescent="0.15">
      <c r="A261" s="40">
        <v>41852</v>
      </c>
      <c r="B261" s="12" t="s">
        <v>3</v>
      </c>
      <c r="C261" s="11">
        <v>472</v>
      </c>
      <c r="D261" s="42">
        <v>8.3311904761904714</v>
      </c>
      <c r="E261" s="43">
        <f>'[1]IPC99ON (real)'!O411</f>
        <v>10.363490128342766</v>
      </c>
      <c r="F261" s="31">
        <f t="shared" si="32"/>
        <v>167.07941927447501</v>
      </c>
      <c r="G261" s="44">
        <f t="shared" si="35"/>
        <v>10.363490128342768</v>
      </c>
      <c r="H261" s="44">
        <f t="shared" si="33"/>
        <v>379.4399238155807</v>
      </c>
      <c r="I261" s="35">
        <v>0.35</v>
      </c>
      <c r="J261" s="45">
        <f t="shared" si="36"/>
        <v>108.60162252840877</v>
      </c>
      <c r="K261" s="63">
        <f t="shared" si="34"/>
        <v>246.63595048012746</v>
      </c>
      <c r="L261" s="47">
        <f t="shared" si="37"/>
        <v>206.90372263979032</v>
      </c>
      <c r="M261" s="47">
        <f t="shared" si="38"/>
        <v>304.63352851680048</v>
      </c>
    </row>
    <row r="262" spans="1:13" x14ac:dyDescent="0.15">
      <c r="A262" s="40">
        <v>41883</v>
      </c>
      <c r="B262" s="12" t="s">
        <v>5</v>
      </c>
      <c r="C262" s="11">
        <v>440</v>
      </c>
      <c r="D262" s="42">
        <v>8.4328011363636364</v>
      </c>
      <c r="E262" s="43">
        <f>'[1]IPC99ON (real)'!O412</f>
        <v>10.632940871679677</v>
      </c>
      <c r="F262" s="31">
        <f t="shared" si="32"/>
        <v>153.65654690926627</v>
      </c>
      <c r="G262" s="44">
        <f t="shared" si="35"/>
        <v>10.632940871679679</v>
      </c>
      <c r="H262" s="44">
        <f t="shared" si="33"/>
        <v>348.95637479585315</v>
      </c>
      <c r="I262" s="35">
        <v>0.35</v>
      </c>
      <c r="J262" s="45">
        <f t="shared" si="36"/>
        <v>99.876755491023076</v>
      </c>
      <c r="K262" s="63">
        <f t="shared" si="34"/>
        <v>226.82164361730455</v>
      </c>
      <c r="L262" s="47">
        <f t="shared" si="37"/>
        <v>206.90372263979032</v>
      </c>
      <c r="M262" s="47">
        <f t="shared" si="38"/>
        <v>304.63352851680048</v>
      </c>
    </row>
    <row r="263" spans="1:13" x14ac:dyDescent="0.15">
      <c r="A263" s="40">
        <v>41913</v>
      </c>
      <c r="B263" s="12" t="s">
        <v>6</v>
      </c>
      <c r="C263" s="11">
        <v>429</v>
      </c>
      <c r="D263" s="42">
        <v>8.4918478260869534</v>
      </c>
      <c r="E263" s="43">
        <f>'[1]IPC99ON (real)'!O413</f>
        <v>10.877498511728311</v>
      </c>
      <c r="F263" s="31">
        <f t="shared" si="32"/>
        <v>147.47228019532676</v>
      </c>
      <c r="G263" s="44">
        <f t="shared" si="35"/>
        <v>10.877498511728312</v>
      </c>
      <c r="H263" s="44">
        <f t="shared" si="33"/>
        <v>334.91181023498672</v>
      </c>
      <c r="I263" s="35">
        <v>0.35</v>
      </c>
      <c r="J263" s="45">
        <f t="shared" si="36"/>
        <v>95.856982126962393</v>
      </c>
      <c r="K263" s="63">
        <f t="shared" si="34"/>
        <v>217.69267665274137</v>
      </c>
      <c r="L263" s="47">
        <f t="shared" si="37"/>
        <v>206.90372263979032</v>
      </c>
      <c r="M263" s="47">
        <f t="shared" si="38"/>
        <v>304.63352851680048</v>
      </c>
    </row>
    <row r="264" spans="1:13" x14ac:dyDescent="0.15">
      <c r="A264" s="40">
        <v>41944</v>
      </c>
      <c r="B264" s="12" t="s">
        <v>7</v>
      </c>
      <c r="C264" s="11">
        <v>457</v>
      </c>
      <c r="D264" s="42">
        <v>8.5269841097830259</v>
      </c>
      <c r="E264" s="43">
        <f>'[1]IPC99ON (real)'!O414</f>
        <v>11.084170983451147</v>
      </c>
      <c r="F264" s="31">
        <f t="shared" si="32"/>
        <v>154.80620699270023</v>
      </c>
      <c r="G264" s="44">
        <f t="shared" si="35"/>
        <v>11.084170983451148</v>
      </c>
      <c r="H264" s="44">
        <f t="shared" si="33"/>
        <v>351.56727047867429</v>
      </c>
      <c r="I264" s="35">
        <v>0.35</v>
      </c>
      <c r="J264" s="45">
        <f t="shared" si="36"/>
        <v>100.62403454525516</v>
      </c>
      <c r="K264" s="63">
        <f t="shared" si="34"/>
        <v>228.5187258111383</v>
      </c>
      <c r="L264" s="47">
        <f t="shared" si="37"/>
        <v>206.90372263979032</v>
      </c>
      <c r="M264" s="47">
        <f t="shared" si="38"/>
        <v>304.63352851680048</v>
      </c>
    </row>
    <row r="265" spans="1:13" x14ac:dyDescent="0.15">
      <c r="A265" s="40">
        <v>41974</v>
      </c>
      <c r="B265" s="12" t="s">
        <v>50</v>
      </c>
      <c r="C265" s="11">
        <v>455</v>
      </c>
      <c r="D265" s="42">
        <v>8.5620347826086949</v>
      </c>
      <c r="E265" s="43">
        <f>'[1]IPC99ON (real)'!O415</f>
        <v>11.35816649166286</v>
      </c>
      <c r="F265" s="31">
        <f t="shared" si="32"/>
        <v>151.02890952861691</v>
      </c>
      <c r="G265" s="44">
        <f t="shared" si="35"/>
        <v>11.358166491662862</v>
      </c>
      <c r="H265" s="44">
        <f t="shared" si="33"/>
        <v>342.98897000202476</v>
      </c>
      <c r="I265" s="35">
        <v>0.35</v>
      </c>
      <c r="J265" s="45">
        <f t="shared" si="36"/>
        <v>98.168791193600995</v>
      </c>
      <c r="K265" s="63">
        <f t="shared" si="34"/>
        <v>222.94283050131611</v>
      </c>
      <c r="L265" s="47">
        <f t="shared" si="37"/>
        <v>206.90372263979032</v>
      </c>
      <c r="M265" s="47">
        <f t="shared" si="38"/>
        <v>304.63352851680048</v>
      </c>
    </row>
    <row r="266" spans="1:13" x14ac:dyDescent="0.15">
      <c r="A266" s="40">
        <v>42005</v>
      </c>
      <c r="B266" s="12" t="s">
        <v>51</v>
      </c>
      <c r="C266" s="11">
        <v>445</v>
      </c>
      <c r="D266" s="42">
        <v>8.6109966565766225</v>
      </c>
      <c r="E266" s="43">
        <f>'[1]IPC99ON (real)'!O416</f>
        <v>11.580511462696627</v>
      </c>
      <c r="F266" s="31">
        <f t="shared" si="32"/>
        <v>145.70203698393286</v>
      </c>
      <c r="G266" s="44">
        <f t="shared" si="35"/>
        <v>11.580511462696629</v>
      </c>
      <c r="H266" s="44">
        <f t="shared" si="33"/>
        <v>330.89156075014199</v>
      </c>
      <c r="I266" s="35">
        <v>0.35</v>
      </c>
      <c r="J266" s="45">
        <f t="shared" si="36"/>
        <v>94.706324039556364</v>
      </c>
      <c r="K266" s="63">
        <f t="shared" si="34"/>
        <v>215.07951448759229</v>
      </c>
      <c r="L266" s="47">
        <f t="shared" si="37"/>
        <v>206.90372263979032</v>
      </c>
      <c r="M266" s="47">
        <f t="shared" si="38"/>
        <v>304.63352851680048</v>
      </c>
    </row>
    <row r="267" spans="1:13" x14ac:dyDescent="0.15">
      <c r="A267" s="40">
        <v>42036</v>
      </c>
      <c r="B267" s="12" t="s">
        <v>1</v>
      </c>
      <c r="C267" s="11">
        <v>438</v>
      </c>
      <c r="D267" s="42">
        <v>8.6939970523682319</v>
      </c>
      <c r="E267" s="43">
        <f>'[1]IPC99ON (real)'!O417</f>
        <v>11.748729495674439</v>
      </c>
      <c r="F267" s="31">
        <f t="shared" si="32"/>
        <v>142.71927376463586</v>
      </c>
      <c r="G267" s="44">
        <f t="shared" si="35"/>
        <v>11.748729495674441</v>
      </c>
      <c r="H267" s="44">
        <f t="shared" si="33"/>
        <v>324.11765972986916</v>
      </c>
      <c r="I267" s="35">
        <v>0.35</v>
      </c>
      <c r="J267" s="45">
        <f t="shared" si="36"/>
        <v>92.767527947013306</v>
      </c>
      <c r="K267" s="63">
        <f t="shared" si="34"/>
        <v>210.67647882441497</v>
      </c>
      <c r="L267" s="47">
        <f t="shared" si="37"/>
        <v>206.90372263979032</v>
      </c>
      <c r="M267" s="47">
        <f t="shared" si="38"/>
        <v>304.63352851680048</v>
      </c>
    </row>
    <row r="268" spans="1:13" x14ac:dyDescent="0.15">
      <c r="A268" s="40">
        <v>42064</v>
      </c>
      <c r="B268" s="12" t="s">
        <v>2</v>
      </c>
      <c r="C268" s="11">
        <v>405</v>
      </c>
      <c r="D268" s="42">
        <v>8.7922075377180153</v>
      </c>
      <c r="E268" s="43">
        <f>'[1]IPC99ON (real)'!O418</f>
        <v>11.944010997680232</v>
      </c>
      <c r="F268" s="31">
        <f t="shared" si="32"/>
        <v>131.27520108602238</v>
      </c>
      <c r="G268" s="44">
        <f t="shared" si="35"/>
        <v>11.944010997680234</v>
      </c>
      <c r="H268" s="44">
        <f t="shared" si="33"/>
        <v>298.12799514898165</v>
      </c>
      <c r="I268" s="35">
        <v>0.35</v>
      </c>
      <c r="J268" s="45">
        <f t="shared" si="36"/>
        <v>85.328880705914543</v>
      </c>
      <c r="K268" s="63">
        <f t="shared" si="34"/>
        <v>193.78319684683808</v>
      </c>
      <c r="L268" s="47">
        <f t="shared" si="37"/>
        <v>206.90372263979032</v>
      </c>
      <c r="M268" s="47">
        <f t="shared" si="38"/>
        <v>304.63352851680048</v>
      </c>
    </row>
    <row r="269" spans="1:13" x14ac:dyDescent="0.15">
      <c r="A269" s="40">
        <v>42095</v>
      </c>
      <c r="B269" s="12" t="s">
        <v>3</v>
      </c>
      <c r="C269" s="11">
        <v>368</v>
      </c>
      <c r="D269" s="42">
        <v>8.8757954545454538</v>
      </c>
      <c r="E269" s="43">
        <f>'[1]IPC99ON (real)'!O419</f>
        <v>12.226850781835356</v>
      </c>
      <c r="F269" s="31">
        <f t="shared" si="32"/>
        <v>117.63063040732817</v>
      </c>
      <c r="G269" s="44">
        <f t="shared" si="35"/>
        <v>12.226850781835358</v>
      </c>
      <c r="H269" s="44">
        <f t="shared" si="33"/>
        <v>267.14096585894765</v>
      </c>
      <c r="I269" s="35">
        <v>0.35</v>
      </c>
      <c r="J269" s="45">
        <f t="shared" si="36"/>
        <v>76.45990976476331</v>
      </c>
      <c r="K269" s="63">
        <f t="shared" si="34"/>
        <v>173.64162780831597</v>
      </c>
      <c r="L269" s="47">
        <f t="shared" si="37"/>
        <v>206.90372263979032</v>
      </c>
      <c r="M269" s="47">
        <f t="shared" si="38"/>
        <v>304.63352851680048</v>
      </c>
    </row>
    <row r="270" spans="1:13" x14ac:dyDescent="0.15">
      <c r="A270" s="40">
        <v>42125</v>
      </c>
      <c r="B270" s="12" t="s">
        <v>2</v>
      </c>
      <c r="C270" s="11">
        <v>361</v>
      </c>
      <c r="D270" s="42">
        <v>8.961666666666666</v>
      </c>
      <c r="E270" s="43">
        <f>'[1]IPC99ON (real)'!O420</f>
        <v>12.49748547211512</v>
      </c>
      <c r="F270" s="31">
        <f t="shared" si="32"/>
        <v>113.98646362198308</v>
      </c>
      <c r="G270" s="44">
        <f t="shared" si="35"/>
        <v>12.497485472115121</v>
      </c>
      <c r="H270" s="44">
        <f t="shared" si="33"/>
        <v>258.86500719565436</v>
      </c>
      <c r="I270" s="35">
        <v>0.35</v>
      </c>
      <c r="J270" s="45">
        <f t="shared" si="36"/>
        <v>74.091201354288998</v>
      </c>
      <c r="K270" s="63">
        <f t="shared" si="34"/>
        <v>168.26225467717535</v>
      </c>
      <c r="L270" s="47">
        <f t="shared" si="37"/>
        <v>206.90372263979032</v>
      </c>
      <c r="M270" s="47">
        <f t="shared" si="38"/>
        <v>304.63352851680048</v>
      </c>
    </row>
    <row r="271" spans="1:13" x14ac:dyDescent="0.15">
      <c r="A271" s="40">
        <v>42156</v>
      </c>
      <c r="B271" s="12" t="s">
        <v>4</v>
      </c>
      <c r="C271" s="11">
        <v>365</v>
      </c>
      <c r="D271" s="42">
        <v>9.0500000000000007</v>
      </c>
      <c r="E271" s="43">
        <f>'[1]IPC99ON (real)'!O421</f>
        <v>12.666234161348385</v>
      </c>
      <c r="F271" s="31">
        <f t="shared" si="32"/>
        <v>114.83489132122216</v>
      </c>
      <c r="G271" s="44">
        <f t="shared" si="35"/>
        <v>12.666234161348386</v>
      </c>
      <c r="H271" s="44">
        <f t="shared" si="33"/>
        <v>260.79179951370429</v>
      </c>
      <c r="I271" s="35">
        <v>0.35</v>
      </c>
      <c r="J271" s="45">
        <f t="shared" si="36"/>
        <v>74.64267935879441</v>
      </c>
      <c r="K271" s="63">
        <f t="shared" si="34"/>
        <v>169.51466968390778</v>
      </c>
      <c r="L271" s="47">
        <f t="shared" si="37"/>
        <v>206.90372263979032</v>
      </c>
      <c r="M271" s="47">
        <f t="shared" si="38"/>
        <v>304.63352851680048</v>
      </c>
    </row>
    <row r="272" spans="1:13" x14ac:dyDescent="0.15">
      <c r="A272" s="40">
        <v>42186</v>
      </c>
      <c r="B272" s="12" t="s">
        <v>4</v>
      </c>
      <c r="C272" s="11">
        <v>376</v>
      </c>
      <c r="D272" s="42">
        <v>9.1413869565217389</v>
      </c>
      <c r="E272" s="43">
        <f>'[1]IPC99ON (real)'!O422</f>
        <v>12.924663757752787</v>
      </c>
      <c r="F272" s="31">
        <f t="shared" si="32"/>
        <v>117.10100360395303</v>
      </c>
      <c r="G272" s="44">
        <f t="shared" si="35"/>
        <v>12.924663757752789</v>
      </c>
      <c r="H272" s="44">
        <f t="shared" si="33"/>
        <v>265.938175265133</v>
      </c>
      <c r="I272" s="35">
        <v>0.35</v>
      </c>
      <c r="J272" s="45">
        <f t="shared" si="36"/>
        <v>76.115652342569476</v>
      </c>
      <c r="K272" s="63">
        <f t="shared" si="34"/>
        <v>172.85981392233646</v>
      </c>
      <c r="L272" s="47">
        <f t="shared" si="37"/>
        <v>206.90372263979032</v>
      </c>
      <c r="M272" s="47">
        <f t="shared" si="38"/>
        <v>304.63352851680048</v>
      </c>
    </row>
    <row r="273" spans="1:13" x14ac:dyDescent="0.15">
      <c r="A273" s="40">
        <v>42217</v>
      </c>
      <c r="B273" s="12" t="s">
        <v>3</v>
      </c>
      <c r="C273" s="11">
        <v>362</v>
      </c>
      <c r="D273" s="42">
        <v>9.2501161904761915</v>
      </c>
      <c r="E273" s="43">
        <f>'[1]IPC99ON (real)'!O423</f>
        <v>13.16133644768372</v>
      </c>
      <c r="F273" s="31">
        <f t="shared" si="32"/>
        <v>112.03035182162</v>
      </c>
      <c r="G273" s="44">
        <f t="shared" si="35"/>
        <v>13.161336447683722</v>
      </c>
      <c r="H273" s="44">
        <f t="shared" si="33"/>
        <v>254.42264729443147</v>
      </c>
      <c r="I273" s="35">
        <v>0.35</v>
      </c>
      <c r="J273" s="45">
        <f t="shared" si="36"/>
        <v>72.819728684053004</v>
      </c>
      <c r="K273" s="63">
        <f t="shared" si="34"/>
        <v>165.37472074138046</v>
      </c>
      <c r="L273" s="47">
        <f t="shared" si="37"/>
        <v>206.90372263979032</v>
      </c>
      <c r="M273" s="47">
        <f t="shared" si="38"/>
        <v>304.63352851680048</v>
      </c>
    </row>
    <row r="274" spans="1:13" x14ac:dyDescent="0.15">
      <c r="A274" s="40">
        <v>42248</v>
      </c>
      <c r="B274" s="12" t="s">
        <v>5</v>
      </c>
      <c r="C274" s="11">
        <v>352</v>
      </c>
      <c r="D274" s="42">
        <v>9.3753409090909088</v>
      </c>
      <c r="E274" s="43">
        <f>'[1]IPC99ON (real)'!O424</f>
        <v>13.379436168673882</v>
      </c>
      <c r="F274" s="31">
        <f t="shared" si="32"/>
        <v>108.6105099563317</v>
      </c>
      <c r="G274" s="44">
        <f t="shared" si="35"/>
        <v>13.379436168673884</v>
      </c>
      <c r="H274" s="44">
        <f t="shared" si="33"/>
        <v>246.65613396525472</v>
      </c>
      <c r="I274" s="35">
        <v>0.35</v>
      </c>
      <c r="J274" s="45">
        <f t="shared" si="36"/>
        <v>70.596831471615602</v>
      </c>
      <c r="K274" s="63">
        <f t="shared" si="34"/>
        <v>160.32648707741558</v>
      </c>
      <c r="L274" s="47">
        <f t="shared" si="37"/>
        <v>206.90372263979032</v>
      </c>
      <c r="M274" s="47">
        <f t="shared" si="38"/>
        <v>304.63352851680048</v>
      </c>
    </row>
    <row r="275" spans="1:13" x14ac:dyDescent="0.15">
      <c r="A275" s="40">
        <v>42278</v>
      </c>
      <c r="B275" s="12" t="s">
        <v>6</v>
      </c>
      <c r="C275" s="11">
        <v>357</v>
      </c>
      <c r="D275" s="42">
        <v>9.4996797405650941</v>
      </c>
      <c r="E275" s="43">
        <f>'[1]IPC99ON (real)'!O425</f>
        <v>13.607087702262156</v>
      </c>
      <c r="F275" s="31">
        <f t="shared" si="32"/>
        <v>109.74681596584459</v>
      </c>
      <c r="G275" s="44">
        <f t="shared" si="35"/>
        <v>13.607087702262158</v>
      </c>
      <c r="H275" s="44">
        <f t="shared" si="33"/>
        <v>249.23670234137799</v>
      </c>
      <c r="I275" s="35">
        <v>0.35</v>
      </c>
      <c r="J275" s="45">
        <f t="shared" si="36"/>
        <v>71.335430377798986</v>
      </c>
      <c r="K275" s="63">
        <f t="shared" si="34"/>
        <v>162.0038565218957</v>
      </c>
      <c r="L275" s="47">
        <f t="shared" si="37"/>
        <v>206.90372263979032</v>
      </c>
      <c r="M275" s="47">
        <f t="shared" si="38"/>
        <v>304.63352851680048</v>
      </c>
    </row>
    <row r="276" spans="1:13" x14ac:dyDescent="0.15">
      <c r="A276" s="40">
        <v>42309</v>
      </c>
      <c r="B276" s="12" t="s">
        <v>7</v>
      </c>
      <c r="C276" s="11">
        <v>349</v>
      </c>
      <c r="D276" s="42">
        <v>9.6595714285714269</v>
      </c>
      <c r="E276" s="43">
        <f>'[1]IPC99ON (real)'!O426</f>
        <v>13.872946486242865</v>
      </c>
      <c r="F276" s="31">
        <f t="shared" si="32"/>
        <v>107.00264344862649</v>
      </c>
      <c r="G276" s="44">
        <f t="shared" si="35"/>
        <v>13.872946486242867</v>
      </c>
      <c r="H276" s="44">
        <f t="shared" si="33"/>
        <v>243.00464446500067</v>
      </c>
      <c r="I276" s="35">
        <v>0.35</v>
      </c>
      <c r="J276" s="45">
        <f t="shared" si="36"/>
        <v>69.551718241607219</v>
      </c>
      <c r="K276" s="63">
        <f t="shared" si="34"/>
        <v>157.95301890225045</v>
      </c>
      <c r="L276" s="47">
        <f t="shared" si="37"/>
        <v>206.90372263979032</v>
      </c>
      <c r="M276" s="47">
        <f t="shared" si="38"/>
        <v>304.63352851680048</v>
      </c>
    </row>
    <row r="277" spans="1:13" x14ac:dyDescent="0.15">
      <c r="A277" s="40">
        <v>42339</v>
      </c>
      <c r="B277" s="12" t="s">
        <v>52</v>
      </c>
      <c r="C277" s="11">
        <v>350</v>
      </c>
      <c r="D277" s="42">
        <v>11.468809157142855</v>
      </c>
      <c r="E277" s="43">
        <f>'[1]IPC99ON (real)'!O427</f>
        <v>14.416338491824195</v>
      </c>
      <c r="F277" s="31">
        <f t="shared" si="32"/>
        <v>122.60588942402622</v>
      </c>
      <c r="G277" s="44">
        <f t="shared" si="35"/>
        <v>14.416338491824197</v>
      </c>
      <c r="H277" s="44">
        <f t="shared" si="33"/>
        <v>278.43985539576977</v>
      </c>
      <c r="I277" s="35">
        <v>0.3</v>
      </c>
      <c r="J277" s="45">
        <f t="shared" si="36"/>
        <v>85.824122596818341</v>
      </c>
      <c r="K277" s="63">
        <f t="shared" si="34"/>
        <v>194.90789877703884</v>
      </c>
      <c r="L277" s="47">
        <f t="shared" si="37"/>
        <v>206.90372263979032</v>
      </c>
      <c r="M277" s="47">
        <f t="shared" si="38"/>
        <v>304.63352851680048</v>
      </c>
    </row>
    <row r="278" spans="1:13" x14ac:dyDescent="0.15">
      <c r="A278" s="40">
        <v>42370</v>
      </c>
      <c r="B278" s="12" t="s">
        <v>53</v>
      </c>
      <c r="C278" s="11">
        <v>340.69</v>
      </c>
      <c r="D278" s="50">
        <v>13.6548</v>
      </c>
      <c r="E278" s="43">
        <f>'[1]IPC99ON (real)'!O428</f>
        <v>15.012796122950578</v>
      </c>
      <c r="F278" s="31">
        <f t="shared" si="32"/>
        <v>136.44671223764797</v>
      </c>
      <c r="G278" s="44">
        <f t="shared" ref="G278:G285" si="39">+E278/AVERAGE(E$2:E$13)</f>
        <v>15.012796122950579</v>
      </c>
      <c r="H278" s="44">
        <f t="shared" ref="H278:H285" si="40">+(C278*D278)/G278</f>
        <v>309.87257629431502</v>
      </c>
      <c r="I278" s="35">
        <v>0.3</v>
      </c>
      <c r="J278" s="45">
        <f t="shared" si="36"/>
        <v>95.512698566353578</v>
      </c>
      <c r="K278" s="63">
        <f t="shared" ref="K278:K285" si="41">+H278*(1-I278)</f>
        <v>216.91080340602051</v>
      </c>
      <c r="L278" s="47">
        <f t="shared" si="37"/>
        <v>206.90372263979032</v>
      </c>
      <c r="M278" s="47">
        <f t="shared" si="38"/>
        <v>304.63352851680048</v>
      </c>
    </row>
    <row r="279" spans="1:13" x14ac:dyDescent="0.15">
      <c r="A279" s="40">
        <v>42401</v>
      </c>
      <c r="B279" s="12" t="s">
        <v>1</v>
      </c>
      <c r="C279" s="11">
        <v>326.83999999999997</v>
      </c>
      <c r="D279" s="50">
        <v>14.8146</v>
      </c>
      <c r="E279" s="43">
        <f>'[1]IPC99ON (real)'!O429</f>
        <v>15.608723097821507</v>
      </c>
      <c r="F279" s="31">
        <f t="shared" si="32"/>
        <v>136.5959076026198</v>
      </c>
      <c r="G279" s="44">
        <f t="shared" si="39"/>
        <v>15.608723097821509</v>
      </c>
      <c r="H279" s="44">
        <f t="shared" si="40"/>
        <v>310.21140125650589</v>
      </c>
      <c r="I279" s="35">
        <v>0.3</v>
      </c>
      <c r="J279" s="45">
        <f t="shared" si="36"/>
        <v>95.617135321833857</v>
      </c>
      <c r="K279" s="63">
        <f t="shared" si="41"/>
        <v>217.14798087955413</v>
      </c>
      <c r="L279" s="47">
        <f t="shared" si="37"/>
        <v>206.90372263979032</v>
      </c>
      <c r="M279" s="47">
        <f t="shared" si="38"/>
        <v>304.63352851680048</v>
      </c>
    </row>
    <row r="280" spans="1:13" x14ac:dyDescent="0.15">
      <c r="A280" s="40">
        <v>42430</v>
      </c>
      <c r="B280" s="12" t="s">
        <v>2</v>
      </c>
      <c r="C280" s="11">
        <v>332.48</v>
      </c>
      <c r="D280" s="50">
        <v>14.961499999999999</v>
      </c>
      <c r="E280" s="43">
        <f>'[1]IPC99ON (real)'!O430</f>
        <v>16.126643603141211</v>
      </c>
      <c r="F280" s="31">
        <f t="shared" si="32"/>
        <v>135.82402846218113</v>
      </c>
      <c r="G280" s="44">
        <f t="shared" si="39"/>
        <v>16.126643603141215</v>
      </c>
      <c r="H280" s="44">
        <f t="shared" si="40"/>
        <v>308.4584518895839</v>
      </c>
      <c r="I280" s="35">
        <v>0.3</v>
      </c>
      <c r="J280" s="45">
        <f t="shared" si="36"/>
        <v>95.076819923526784</v>
      </c>
      <c r="K280" s="63">
        <f t="shared" si="41"/>
        <v>215.92091632270871</v>
      </c>
      <c r="L280" s="47">
        <f t="shared" si="37"/>
        <v>206.90372263979032</v>
      </c>
      <c r="M280" s="47">
        <f t="shared" si="38"/>
        <v>304.63352851680048</v>
      </c>
    </row>
    <row r="281" spans="1:13" x14ac:dyDescent="0.15">
      <c r="A281" s="40">
        <v>42461</v>
      </c>
      <c r="B281" s="12" t="s">
        <v>3</v>
      </c>
      <c r="C281" s="11">
        <v>359.95</v>
      </c>
      <c r="D281" s="50">
        <v>14.4095</v>
      </c>
      <c r="E281" s="43">
        <f>'[1]IPC99ON (real)'!O431</f>
        <v>17.182118895232289</v>
      </c>
      <c r="F281" s="31">
        <f t="shared" si="32"/>
        <v>132.92121487660975</v>
      </c>
      <c r="G281" s="44">
        <f t="shared" si="39"/>
        <v>17.182118895232293</v>
      </c>
      <c r="H281" s="44">
        <f t="shared" si="40"/>
        <v>301.86611771375937</v>
      </c>
      <c r="I281" s="35">
        <v>0.3</v>
      </c>
      <c r="J281" s="45">
        <f t="shared" si="36"/>
        <v>93.044850413626818</v>
      </c>
      <c r="K281" s="63">
        <f t="shared" si="41"/>
        <v>211.30628239963156</v>
      </c>
      <c r="L281" s="47">
        <f t="shared" ref="L281:L286" si="42">+L280</f>
        <v>206.90372263979032</v>
      </c>
      <c r="M281" s="47">
        <f t="shared" si="38"/>
        <v>304.63352851680048</v>
      </c>
    </row>
    <row r="282" spans="1:13" x14ac:dyDescent="0.15">
      <c r="A282" s="40">
        <v>42491</v>
      </c>
      <c r="B282" s="12" t="s">
        <v>2</v>
      </c>
      <c r="C282" s="11">
        <v>400.57</v>
      </c>
      <c r="D282" s="50">
        <v>14.137723809523809</v>
      </c>
      <c r="E282" s="43">
        <f>'[1]IPC99ON (real)'!O432</f>
        <v>17.90263386898496</v>
      </c>
      <c r="F282" s="31">
        <f t="shared" si="32"/>
        <v>139.29031366039973</v>
      </c>
      <c r="G282" s="44">
        <f t="shared" si="39"/>
        <v>17.902633868984964</v>
      </c>
      <c r="H282" s="44">
        <f t="shared" si="40"/>
        <v>316.33043874018739</v>
      </c>
      <c r="I282" s="35">
        <v>0.3</v>
      </c>
      <c r="J282" s="45">
        <f t="shared" si="36"/>
        <v>97.50321956227981</v>
      </c>
      <c r="K282" s="63">
        <f t="shared" si="41"/>
        <v>221.43130711813117</v>
      </c>
      <c r="L282" s="47">
        <f t="shared" si="42"/>
        <v>206.90372263979032</v>
      </c>
      <c r="M282" s="47">
        <f t="shared" si="38"/>
        <v>304.63352851680048</v>
      </c>
    </row>
    <row r="283" spans="1:13" x14ac:dyDescent="0.15">
      <c r="A283" s="40">
        <v>42522</v>
      </c>
      <c r="B283" s="12" t="s">
        <v>4</v>
      </c>
      <c r="C283" s="11">
        <v>441.53</v>
      </c>
      <c r="D283" s="50">
        <v>14.1408</v>
      </c>
      <c r="E283" s="43">
        <f>'[1]IPC99ON (real)'!O433</f>
        <v>18.453286415339367</v>
      </c>
      <c r="F283" s="31">
        <f t="shared" si="32"/>
        <v>148.98426656468132</v>
      </c>
      <c r="G283" s="44">
        <f t="shared" si="39"/>
        <v>18.45328641533937</v>
      </c>
      <c r="H283" s="44">
        <f t="shared" si="40"/>
        <v>338.3455544704488</v>
      </c>
      <c r="I283" s="35">
        <f t="shared" ref="I283:I288" si="43">+I282</f>
        <v>0.3</v>
      </c>
      <c r="J283" s="45">
        <f t="shared" si="36"/>
        <v>104.28898659527692</v>
      </c>
      <c r="K283" s="63">
        <f t="shared" si="41"/>
        <v>236.84188812931416</v>
      </c>
      <c r="L283" s="47">
        <f t="shared" si="42"/>
        <v>206.90372263979032</v>
      </c>
      <c r="M283" s="47">
        <f t="shared" si="38"/>
        <v>304.63352851680048</v>
      </c>
    </row>
    <row r="284" spans="1:13" x14ac:dyDescent="0.15">
      <c r="A284" s="40">
        <v>42552</v>
      </c>
      <c r="B284" s="12" t="s">
        <v>4</v>
      </c>
      <c r="C284" s="11">
        <v>427.1</v>
      </c>
      <c r="D284" s="50">
        <v>14.909384999999997</v>
      </c>
      <c r="E284" s="43">
        <f>'[1]IPC99ON (real)'!O434</f>
        <v>18.830983752894365</v>
      </c>
      <c r="F284" s="31">
        <f t="shared" si="32"/>
        <v>148.90052360507994</v>
      </c>
      <c r="G284" s="44">
        <f t="shared" si="39"/>
        <v>18.830983752894369</v>
      </c>
      <c r="H284" s="44">
        <f t="shared" si="40"/>
        <v>338.15537292475506</v>
      </c>
      <c r="I284" s="35">
        <f t="shared" si="43"/>
        <v>0.3</v>
      </c>
      <c r="J284" s="45">
        <f t="shared" si="36"/>
        <v>104.23036652355596</v>
      </c>
      <c r="K284" s="63">
        <f t="shared" si="41"/>
        <v>236.70876104732852</v>
      </c>
      <c r="L284" s="47">
        <f t="shared" si="42"/>
        <v>206.90372263979032</v>
      </c>
      <c r="M284" s="47">
        <f t="shared" si="38"/>
        <v>304.63352851680048</v>
      </c>
    </row>
    <row r="285" spans="1:13" x14ac:dyDescent="0.15">
      <c r="A285" s="40">
        <v>42583</v>
      </c>
      <c r="B285" s="12" t="s">
        <v>3</v>
      </c>
      <c r="C285" s="11">
        <v>408.13636363636363</v>
      </c>
      <c r="D285" s="50">
        <v>14.849809090909089</v>
      </c>
      <c r="E285" s="43">
        <f>'[1]IPC99ON (real)'!O435</f>
        <v>18.86902496412841</v>
      </c>
      <c r="F285" s="31">
        <f t="shared" si="32"/>
        <v>141.43491530665128</v>
      </c>
      <c r="G285" s="44">
        <f t="shared" si="39"/>
        <v>18.869024964128414</v>
      </c>
      <c r="H285" s="44">
        <f t="shared" si="40"/>
        <v>321.20086197245672</v>
      </c>
      <c r="I285" s="35">
        <f t="shared" si="43"/>
        <v>0.3</v>
      </c>
      <c r="J285" s="45">
        <f t="shared" si="36"/>
        <v>99.004440714655885</v>
      </c>
      <c r="K285" s="63">
        <f t="shared" si="41"/>
        <v>224.8406033807197</v>
      </c>
      <c r="L285" s="47">
        <f t="shared" si="42"/>
        <v>206.90372263979032</v>
      </c>
      <c r="M285" s="47">
        <f t="shared" si="38"/>
        <v>304.63352851680048</v>
      </c>
    </row>
    <row r="286" spans="1:13" s="51" customFormat="1" x14ac:dyDescent="0.15">
      <c r="A286" s="40">
        <v>42614</v>
      </c>
      <c r="B286" s="51" t="s">
        <v>5</v>
      </c>
      <c r="C286" s="52">
        <v>396</v>
      </c>
      <c r="D286" s="50">
        <v>15.100736363636367</v>
      </c>
      <c r="E286" s="43">
        <f>'[1]IPC99ON (real)'!O436</f>
        <v>19.085846122467348</v>
      </c>
      <c r="F286" s="31">
        <f t="shared" si="32"/>
        <v>137.96274475326535</v>
      </c>
      <c r="G286" s="31">
        <f t="shared" ref="G286:G291" si="44">+E286/AVERAGE(E$2:E$13)</f>
        <v>19.085846122467352</v>
      </c>
      <c r="H286" s="31">
        <f t="shared" ref="H286:H291" si="45">+(C286*D286)/G286</f>
        <v>313.31550938999925</v>
      </c>
      <c r="I286" s="29">
        <f t="shared" si="43"/>
        <v>0.3</v>
      </c>
      <c r="J286" s="45">
        <f t="shared" si="36"/>
        <v>96.573921327285746</v>
      </c>
      <c r="K286" s="64">
        <f t="shared" ref="K286:K291" si="46">+H286*(1-I286)</f>
        <v>219.32085657299947</v>
      </c>
      <c r="L286" s="53">
        <f t="shared" si="42"/>
        <v>206.90372263979032</v>
      </c>
      <c r="M286" s="53">
        <f t="shared" si="38"/>
        <v>304.63352851680048</v>
      </c>
    </row>
    <row r="287" spans="1:13" s="51" customFormat="1" x14ac:dyDescent="0.15">
      <c r="A287" s="40">
        <v>42644</v>
      </c>
      <c r="B287" s="51" t="s">
        <v>6</v>
      </c>
      <c r="C287" s="52">
        <v>386</v>
      </c>
      <c r="D287" s="50">
        <v>15.180999999999999</v>
      </c>
      <c r="E287" s="43">
        <f>'[1]IPC99ON (real)'!O437</f>
        <v>19.536155094473596</v>
      </c>
      <c r="F287" s="31">
        <f t="shared" si="32"/>
        <v>132.07740368430129</v>
      </c>
      <c r="G287" s="31">
        <f t="shared" si="44"/>
        <v>19.5361550944736</v>
      </c>
      <c r="H287" s="31">
        <f t="shared" si="45"/>
        <v>299.94980955375621</v>
      </c>
      <c r="I287" s="29">
        <f t="shared" si="43"/>
        <v>0.3</v>
      </c>
      <c r="J287" s="45">
        <f t="shared" si="36"/>
        <v>92.45418257901089</v>
      </c>
      <c r="K287" s="64">
        <f t="shared" si="46"/>
        <v>209.96486668762932</v>
      </c>
      <c r="L287" s="53">
        <f t="shared" ref="L287:L300" si="47">+L286</f>
        <v>206.90372263979032</v>
      </c>
      <c r="M287" s="53">
        <f t="shared" si="38"/>
        <v>304.63352851680048</v>
      </c>
    </row>
    <row r="288" spans="1:13" x14ac:dyDescent="0.15">
      <c r="A288" s="40">
        <v>42675</v>
      </c>
      <c r="B288" s="12" t="s">
        <v>7</v>
      </c>
      <c r="C288" s="52">
        <v>384</v>
      </c>
      <c r="D288" s="50">
        <v>15.3399</v>
      </c>
      <c r="E288" s="43">
        <f>'[1]IPC99ON (real)'!O438</f>
        <v>19.852340446383657</v>
      </c>
      <c r="F288" s="31">
        <f t="shared" si="32"/>
        <v>130.65377766009789</v>
      </c>
      <c r="G288" s="31">
        <f t="shared" si="44"/>
        <v>19.852340446383661</v>
      </c>
      <c r="H288" s="31">
        <f t="shared" si="45"/>
        <v>296.71673301739236</v>
      </c>
      <c r="I288" s="29">
        <f t="shared" si="43"/>
        <v>0.3</v>
      </c>
      <c r="J288" s="45">
        <f t="shared" si="36"/>
        <v>91.457644362068521</v>
      </c>
      <c r="K288" s="64">
        <f t="shared" si="46"/>
        <v>207.70171311217464</v>
      </c>
      <c r="L288" s="53">
        <f t="shared" si="47"/>
        <v>206.90372263979032</v>
      </c>
      <c r="M288" s="53">
        <f t="shared" si="38"/>
        <v>304.63352851680048</v>
      </c>
    </row>
    <row r="289" spans="1:13" s="51" customFormat="1" x14ac:dyDescent="0.15">
      <c r="A289" s="40">
        <v>42705</v>
      </c>
      <c r="B289" s="51" t="s">
        <v>55</v>
      </c>
      <c r="C289" s="52">
        <v>386</v>
      </c>
      <c r="D289" s="50">
        <v>15.829599999999999</v>
      </c>
      <c r="E289" s="43">
        <f>'[1]IPC99ON (real)'!O439</f>
        <v>20.090072243418092</v>
      </c>
      <c r="F289" s="31">
        <f t="shared" si="32"/>
        <v>133.92315735012795</v>
      </c>
      <c r="G289" s="31">
        <f t="shared" si="44"/>
        <v>20.090072243418096</v>
      </c>
      <c r="H289" s="31">
        <f t="shared" si="45"/>
        <v>304.14154443878766</v>
      </c>
      <c r="I289" s="29">
        <v>0.3</v>
      </c>
      <c r="J289" s="45">
        <f t="shared" si="36"/>
        <v>93.746210145089563</v>
      </c>
      <c r="K289" s="64">
        <f t="shared" si="46"/>
        <v>212.89908110715135</v>
      </c>
      <c r="L289" s="53">
        <f t="shared" si="47"/>
        <v>206.90372263979032</v>
      </c>
      <c r="M289" s="53">
        <f t="shared" si="38"/>
        <v>304.63352851680048</v>
      </c>
    </row>
    <row r="290" spans="1:13" s="51" customFormat="1" x14ac:dyDescent="0.15">
      <c r="A290" s="40">
        <v>42736</v>
      </c>
      <c r="B290" s="12" t="s">
        <v>56</v>
      </c>
      <c r="C290" s="52">
        <v>391</v>
      </c>
      <c r="D290" s="50">
        <f>[2]Cuadro!C466</f>
        <v>14.4095</v>
      </c>
      <c r="E290" s="43">
        <f>'[1]IPC99ON (real)'!O440</f>
        <v>20.411513399312785</v>
      </c>
      <c r="F290" s="31">
        <f t="shared" si="32"/>
        <v>121.54312406750375</v>
      </c>
      <c r="G290" s="31">
        <f t="shared" si="44"/>
        <v>20.411513399312788</v>
      </c>
      <c r="H290" s="31">
        <f t="shared" si="45"/>
        <v>276.02629897054516</v>
      </c>
      <c r="I290" s="29">
        <f t="shared" ref="I290:I295" si="48">+I289</f>
        <v>0.3</v>
      </c>
      <c r="J290" s="45">
        <f t="shared" si="36"/>
        <v>85.080186847252619</v>
      </c>
      <c r="K290" s="64">
        <f t="shared" si="46"/>
        <v>193.2184092793816</v>
      </c>
      <c r="L290" s="53">
        <f t="shared" si="47"/>
        <v>206.90372263979032</v>
      </c>
      <c r="M290" s="53">
        <f t="shared" si="38"/>
        <v>304.63352851680048</v>
      </c>
    </row>
    <row r="291" spans="1:13" s="51" customFormat="1" x14ac:dyDescent="0.15">
      <c r="A291" s="40">
        <v>42767</v>
      </c>
      <c r="B291" s="12" t="s">
        <v>1</v>
      </c>
      <c r="C291" s="52">
        <v>387</v>
      </c>
      <c r="D291" s="50">
        <f>[2]Cuadro!C467</f>
        <v>14.137723809523809</v>
      </c>
      <c r="E291" s="43">
        <f>'[1]IPC99ON (real)'!O441</f>
        <v>20.84015518069835</v>
      </c>
      <c r="F291" s="31">
        <f t="shared" si="32"/>
        <v>115.6030899107086</v>
      </c>
      <c r="G291" s="31">
        <f t="shared" si="44"/>
        <v>20.840155180698353</v>
      </c>
      <c r="H291" s="31">
        <f t="shared" si="45"/>
        <v>262.53639029296187</v>
      </c>
      <c r="I291" s="29">
        <f t="shared" si="48"/>
        <v>0.3</v>
      </c>
      <c r="J291" s="45">
        <f t="shared" si="36"/>
        <v>80.922162937496012</v>
      </c>
      <c r="K291" s="64">
        <f t="shared" si="46"/>
        <v>183.7754732050733</v>
      </c>
      <c r="L291" s="53">
        <f t="shared" si="47"/>
        <v>206.90372263979032</v>
      </c>
      <c r="M291" s="53">
        <f t="shared" si="38"/>
        <v>304.63352851680048</v>
      </c>
    </row>
    <row r="292" spans="1:13" s="51" customFormat="1" x14ac:dyDescent="0.15">
      <c r="A292" s="40">
        <v>42795</v>
      </c>
      <c r="B292" s="12" t="s">
        <v>2</v>
      </c>
      <c r="C292" s="52">
        <v>375.54545454545456</v>
      </c>
      <c r="D292" s="50">
        <f>[2]Cuadro!C468</f>
        <v>14.1408</v>
      </c>
      <c r="E292" s="43">
        <f>'[1]IPC99ON (real)'!O442</f>
        <v>21.340318905035112</v>
      </c>
      <c r="F292" s="31">
        <f t="shared" si="32"/>
        <v>109.57601878748508</v>
      </c>
      <c r="G292" s="31">
        <f t="shared" ref="G292:G297" si="49">+E292/AVERAGE(E$2:E$13)</f>
        <v>21.340318905035115</v>
      </c>
      <c r="H292" s="31">
        <f t="shared" ref="H292:H297" si="50">+(C292*D292)/G292</f>
        <v>248.8488193296578</v>
      </c>
      <c r="I292" s="29">
        <f t="shared" si="48"/>
        <v>0.3</v>
      </c>
      <c r="J292" s="45">
        <f t="shared" si="36"/>
        <v>76.703213151239552</v>
      </c>
      <c r="K292" s="64">
        <f t="shared" ref="K292:K297" si="51">+H292*(1-I292)</f>
        <v>174.19417353076045</v>
      </c>
      <c r="L292" s="53">
        <f t="shared" si="47"/>
        <v>206.90372263979032</v>
      </c>
      <c r="M292" s="53">
        <f t="shared" si="38"/>
        <v>304.63352851680048</v>
      </c>
    </row>
    <row r="293" spans="1:13" s="51" customFormat="1" x14ac:dyDescent="0.15">
      <c r="A293" s="40">
        <v>42826</v>
      </c>
      <c r="B293" s="12" t="s">
        <v>3</v>
      </c>
      <c r="C293" s="52">
        <v>352</v>
      </c>
      <c r="D293" s="50">
        <f>[2]Cuadro!C469</f>
        <v>14.909384999999997</v>
      </c>
      <c r="E293" s="43">
        <f>'[1]IPC99ON (real)'!O443</f>
        <v>21.916507515471057</v>
      </c>
      <c r="F293" s="31">
        <f t="shared" si="32"/>
        <v>105.44135466750646</v>
      </c>
      <c r="G293" s="31">
        <f t="shared" si="49"/>
        <v>21.916507515471061</v>
      </c>
      <c r="H293" s="31">
        <f t="shared" si="50"/>
        <v>239.45893369622488</v>
      </c>
      <c r="I293" s="29">
        <f t="shared" si="48"/>
        <v>0.3</v>
      </c>
      <c r="J293" s="45">
        <f t="shared" si="36"/>
        <v>73.808948267254522</v>
      </c>
      <c r="K293" s="64">
        <f t="shared" si="51"/>
        <v>167.62125358735742</v>
      </c>
      <c r="L293" s="53">
        <f t="shared" si="47"/>
        <v>206.90372263979032</v>
      </c>
      <c r="M293" s="53">
        <f t="shared" si="38"/>
        <v>304.63352851680048</v>
      </c>
    </row>
    <row r="294" spans="1:13" s="51" customFormat="1" x14ac:dyDescent="0.15">
      <c r="A294" s="40">
        <v>42856</v>
      </c>
      <c r="B294" s="12" t="s">
        <v>2</v>
      </c>
      <c r="C294" s="52">
        <v>361</v>
      </c>
      <c r="D294" s="50">
        <f>[2]Cuadro!C470</f>
        <v>14.849809090909089</v>
      </c>
      <c r="E294" s="43">
        <f>'[1]IPC99ON (real)'!O444</f>
        <v>22.223338620687652</v>
      </c>
      <c r="F294" s="31">
        <f t="shared" si="32"/>
        <v>106.21814221721704</v>
      </c>
      <c r="G294" s="31">
        <f t="shared" si="49"/>
        <v>22.223338620687656</v>
      </c>
      <c r="H294" s="31">
        <f t="shared" si="50"/>
        <v>241.22303013588794</v>
      </c>
      <c r="I294" s="29">
        <f t="shared" si="48"/>
        <v>0.3</v>
      </c>
      <c r="J294" s="45">
        <f t="shared" si="36"/>
        <v>74.352699552051916</v>
      </c>
      <c r="K294" s="64">
        <f t="shared" si="51"/>
        <v>168.85612109512155</v>
      </c>
      <c r="L294" s="53">
        <f t="shared" si="47"/>
        <v>206.90372263979032</v>
      </c>
      <c r="M294" s="53">
        <f t="shared" si="38"/>
        <v>304.63352851680048</v>
      </c>
    </row>
    <row r="295" spans="1:13" s="51" customFormat="1" x14ac:dyDescent="0.15">
      <c r="A295" s="40">
        <v>42887</v>
      </c>
      <c r="B295" s="12" t="s">
        <v>4</v>
      </c>
      <c r="C295" s="52">
        <v>355</v>
      </c>
      <c r="D295" s="50">
        <f>[2]Cuadro!C471</f>
        <v>15.100736363636367</v>
      </c>
      <c r="E295" s="43">
        <f>'[1]IPC99ON (real)'!O445</f>
        <v>22.490018684135904</v>
      </c>
      <c r="F295" s="31">
        <f t="shared" si="32"/>
        <v>104.95825338258091</v>
      </c>
      <c r="G295" s="31">
        <f t="shared" si="49"/>
        <v>22.490018684135908</v>
      </c>
      <c r="H295" s="31">
        <f t="shared" si="50"/>
        <v>238.36180326841185</v>
      </c>
      <c r="I295" s="29">
        <f t="shared" si="48"/>
        <v>0.3</v>
      </c>
      <c r="J295" s="45">
        <f t="shared" si="36"/>
        <v>73.470777367806633</v>
      </c>
      <c r="K295" s="64">
        <f t="shared" si="51"/>
        <v>166.85326228788827</v>
      </c>
      <c r="L295" s="53">
        <f t="shared" si="47"/>
        <v>206.90372263979032</v>
      </c>
      <c r="M295" s="53">
        <f t="shared" si="38"/>
        <v>304.63352851680048</v>
      </c>
    </row>
    <row r="296" spans="1:13" s="51" customFormat="1" x14ac:dyDescent="0.15">
      <c r="A296" s="40">
        <v>42917</v>
      </c>
      <c r="B296" s="12" t="s">
        <v>4</v>
      </c>
      <c r="C296" s="52">
        <v>378</v>
      </c>
      <c r="D296" s="50">
        <f>[2]Cuadro!C472</f>
        <v>15.180999999999999</v>
      </c>
      <c r="E296" s="43">
        <f>'[1]IPC99ON (real)'!O446</f>
        <v>22.872349001766214</v>
      </c>
      <c r="F296" s="31">
        <f t="shared" si="32"/>
        <v>110.47432166815901</v>
      </c>
      <c r="G296" s="31">
        <f t="shared" si="49"/>
        <v>22.872349001766217</v>
      </c>
      <c r="H296" s="31">
        <f t="shared" si="50"/>
        <v>250.88887894972552</v>
      </c>
      <c r="I296" s="29">
        <v>0.3</v>
      </c>
      <c r="J296" s="45">
        <f t="shared" si="36"/>
        <v>77.332025167711294</v>
      </c>
      <c r="K296" s="64">
        <f t="shared" si="51"/>
        <v>175.62221526480786</v>
      </c>
      <c r="L296" s="53">
        <f t="shared" si="47"/>
        <v>206.90372263979032</v>
      </c>
      <c r="M296" s="53">
        <f t="shared" si="38"/>
        <v>304.63352851680048</v>
      </c>
    </row>
    <row r="297" spans="1:13" s="51" customFormat="1" x14ac:dyDescent="0.15">
      <c r="A297" s="40">
        <v>42948</v>
      </c>
      <c r="B297" s="12" t="s">
        <v>3</v>
      </c>
      <c r="C297" s="54">
        <v>368.72727272727275</v>
      </c>
      <c r="D297" s="50">
        <f>[2]Cuadro!C473</f>
        <v>15.3399</v>
      </c>
      <c r="E297" s="43">
        <f>'[1]IPC99ON (real)'!O447</f>
        <v>23.192561887790941</v>
      </c>
      <c r="F297" s="31">
        <f t="shared" si="32"/>
        <v>107.38880215021518</v>
      </c>
      <c r="G297" s="31">
        <f t="shared" si="49"/>
        <v>23.192561887790944</v>
      </c>
      <c r="H297" s="31">
        <f t="shared" si="50"/>
        <v>243.88161679916246</v>
      </c>
      <c r="I297" s="29">
        <v>0.3</v>
      </c>
      <c r="J297" s="45">
        <f t="shared" si="36"/>
        <v>75.172161505150626</v>
      </c>
      <c r="K297" s="64">
        <f t="shared" si="51"/>
        <v>170.71713175941372</v>
      </c>
      <c r="L297" s="53">
        <f t="shared" si="47"/>
        <v>206.90372263979032</v>
      </c>
      <c r="M297" s="53">
        <f t="shared" si="38"/>
        <v>304.63352851680048</v>
      </c>
    </row>
    <row r="298" spans="1:13" s="55" customFormat="1" x14ac:dyDescent="0.15">
      <c r="A298" s="40">
        <v>42979</v>
      </c>
      <c r="B298" s="12" t="s">
        <v>5</v>
      </c>
      <c r="C298" s="54">
        <v>378</v>
      </c>
      <c r="D298" s="50">
        <f>[2]Cuadro!C474</f>
        <v>15.829599999999999</v>
      </c>
      <c r="E298" s="43">
        <f>'[1]IPC99ON (real)'!O448</f>
        <v>23.63322056365897</v>
      </c>
      <c r="F298" s="31">
        <f t="shared" si="32"/>
        <v>111.48559732626684</v>
      </c>
      <c r="G298" s="31">
        <f t="shared" ref="G298:G304" si="52">+E298/AVERAGE(E$2:E$13)</f>
        <v>23.633220563658973</v>
      </c>
      <c r="H298" s="31">
        <f t="shared" ref="H298:H304" si="53">+(C298*D298)/G298</f>
        <v>253.18550148010806</v>
      </c>
      <c r="I298" s="29">
        <v>0.3</v>
      </c>
      <c r="J298" s="45">
        <f t="shared" si="36"/>
        <v>78.039918128386788</v>
      </c>
      <c r="K298" s="64">
        <f t="shared" ref="K298:K304" si="54">+H298*(1-I298)</f>
        <v>177.22985103607564</v>
      </c>
      <c r="L298" s="53">
        <f t="shared" si="47"/>
        <v>206.90372263979032</v>
      </c>
      <c r="M298" s="53">
        <f t="shared" si="38"/>
        <v>304.63352851680048</v>
      </c>
    </row>
    <row r="299" spans="1:13" x14ac:dyDescent="0.15">
      <c r="A299" s="40">
        <v>43009</v>
      </c>
      <c r="B299" s="12" t="s">
        <v>6</v>
      </c>
      <c r="C299" s="54">
        <v>377</v>
      </c>
      <c r="D299" s="50">
        <f>[2]Cuadro!C475</f>
        <v>15.906499999999996</v>
      </c>
      <c r="E299" s="43">
        <f>'[1]IPC99ON (real)'!O449</f>
        <v>23.987718872113852</v>
      </c>
      <c r="F299" s="31">
        <f t="shared" si="32"/>
        <v>110.07963028243147</v>
      </c>
      <c r="G299" s="31">
        <f t="shared" si="52"/>
        <v>23.987718872113856</v>
      </c>
      <c r="H299" s="31">
        <f t="shared" si="53"/>
        <v>249.99252875901118</v>
      </c>
      <c r="I299" s="29">
        <v>0.3</v>
      </c>
      <c r="J299" s="45">
        <f t="shared" si="36"/>
        <v>77.055741197702019</v>
      </c>
      <c r="K299" s="64">
        <f t="shared" si="54"/>
        <v>174.9947701313078</v>
      </c>
      <c r="L299" s="53">
        <f t="shared" si="47"/>
        <v>206.90372263979032</v>
      </c>
      <c r="M299" s="53">
        <f t="shared" si="38"/>
        <v>304.63352851680048</v>
      </c>
    </row>
    <row r="300" spans="1:13" x14ac:dyDescent="0.15">
      <c r="A300" s="40">
        <v>43040</v>
      </c>
      <c r="B300" s="12" t="s">
        <v>7</v>
      </c>
      <c r="C300" s="52">
        <v>370</v>
      </c>
      <c r="D300" s="50">
        <f>[2]Cuadro!C476</f>
        <v>15.5983</v>
      </c>
      <c r="E300" s="43">
        <f>'[1]IPC99ON (real)'!O450</f>
        <v>24.323546936323446</v>
      </c>
      <c r="F300" s="31">
        <f t="shared" si="32"/>
        <v>104.47972482983286</v>
      </c>
      <c r="G300" s="31">
        <f t="shared" si="52"/>
        <v>24.323546936323449</v>
      </c>
      <c r="H300" s="31">
        <f t="shared" si="53"/>
        <v>237.27505758550993</v>
      </c>
      <c r="I300" s="29">
        <v>0.3</v>
      </c>
      <c r="J300" s="45">
        <f t="shared" si="36"/>
        <v>73.135807380882994</v>
      </c>
      <c r="K300" s="64">
        <f t="shared" si="54"/>
        <v>166.09254030985693</v>
      </c>
      <c r="L300" s="53">
        <f t="shared" si="47"/>
        <v>206.90372263979032</v>
      </c>
      <c r="M300" s="53">
        <f t="shared" si="38"/>
        <v>304.63352851680048</v>
      </c>
    </row>
    <row r="301" spans="1:13" x14ac:dyDescent="0.15">
      <c r="A301" s="40">
        <v>43070</v>
      </c>
      <c r="B301" s="12" t="s">
        <v>57</v>
      </c>
      <c r="C301" s="52">
        <v>367</v>
      </c>
      <c r="D301" s="50">
        <f>[2]Cuadro!C477</f>
        <v>15.5237</v>
      </c>
      <c r="E301" s="43">
        <f>'[1]IPC99ON (real)'!O451</f>
        <v>25.077576891349473</v>
      </c>
      <c r="F301" s="31">
        <f t="shared" si="32"/>
        <v>100.03585018983814</v>
      </c>
      <c r="G301" s="31">
        <f t="shared" si="52"/>
        <v>25.077576891349477</v>
      </c>
      <c r="H301" s="31">
        <f t="shared" si="53"/>
        <v>227.18295011848818</v>
      </c>
      <c r="I301" s="29">
        <v>0.3</v>
      </c>
      <c r="J301" s="45">
        <f t="shared" si="36"/>
        <v>70.02509513288669</v>
      </c>
      <c r="K301" s="64">
        <f t="shared" si="54"/>
        <v>159.02806508294171</v>
      </c>
      <c r="L301" s="53">
        <f t="shared" ref="L301:M304" si="55">+L300</f>
        <v>206.90372263979032</v>
      </c>
      <c r="M301" s="53">
        <f t="shared" si="55"/>
        <v>304.63352851680048</v>
      </c>
    </row>
    <row r="302" spans="1:13" x14ac:dyDescent="0.15">
      <c r="A302" s="40">
        <v>43101</v>
      </c>
      <c r="B302" s="12" t="s">
        <v>62</v>
      </c>
      <c r="C302" s="52">
        <v>378</v>
      </c>
      <c r="D302" s="50">
        <v>19.029036363636365</v>
      </c>
      <c r="E302" s="43">
        <f>'[1]IPC99ON (real)'!O452</f>
        <v>25.528973275393767</v>
      </c>
      <c r="F302" s="31">
        <f t="shared" si="32"/>
        <v>124.06668545159094</v>
      </c>
      <c r="G302" s="31">
        <f t="shared" si="52"/>
        <v>25.528973275393771</v>
      </c>
      <c r="H302" s="31">
        <f t="shared" si="53"/>
        <v>281.75734557987619</v>
      </c>
      <c r="I302" s="29">
        <v>0.29499999999999998</v>
      </c>
      <c r="J302" s="45">
        <f t="shared" si="36"/>
        <v>87.467013243371625</v>
      </c>
      <c r="K302" s="64">
        <f t="shared" si="54"/>
        <v>198.63892863381272</v>
      </c>
      <c r="L302" s="53">
        <f t="shared" si="55"/>
        <v>206.90372263979032</v>
      </c>
      <c r="M302" s="53">
        <f t="shared" si="55"/>
        <v>304.63352851680048</v>
      </c>
    </row>
    <row r="303" spans="1:13" x14ac:dyDescent="0.15">
      <c r="A303" s="40">
        <v>43132</v>
      </c>
      <c r="B303" s="12" t="s">
        <v>1</v>
      </c>
      <c r="C303" s="52">
        <v>388</v>
      </c>
      <c r="D303" s="50">
        <v>19.8409277777778</v>
      </c>
      <c r="E303" s="43">
        <f>'[1]IPC99ON (real)'!O453</f>
        <v>26.141668634003221</v>
      </c>
      <c r="F303" s="31">
        <f t="shared" si="32"/>
        <v>129.67024433155231</v>
      </c>
      <c r="G303" s="31">
        <f t="shared" si="52"/>
        <v>26.141668634003224</v>
      </c>
      <c r="H303" s="31">
        <f t="shared" si="53"/>
        <v>294.48311374295406</v>
      </c>
      <c r="I303" s="29">
        <v>0.28999999999999998</v>
      </c>
      <c r="J303" s="45">
        <f t="shared" si="36"/>
        <v>92.065873475402142</v>
      </c>
      <c r="K303" s="64">
        <f t="shared" si="54"/>
        <v>209.08301075749736</v>
      </c>
      <c r="L303" s="53">
        <f t="shared" si="55"/>
        <v>206.90372263979032</v>
      </c>
      <c r="M303" s="53">
        <f t="shared" si="55"/>
        <v>304.63352851680048</v>
      </c>
    </row>
    <row r="304" spans="1:13" x14ac:dyDescent="0.15">
      <c r="A304" s="40">
        <v>43160</v>
      </c>
      <c r="B304" s="12" t="s">
        <v>2</v>
      </c>
      <c r="C304" s="52">
        <v>402</v>
      </c>
      <c r="D304" s="50">
        <v>20.237800000000004</v>
      </c>
      <c r="E304" s="43">
        <f>'[1]IPC99ON (real)'!O454</f>
        <v>26.742927012585291</v>
      </c>
      <c r="F304" s="31">
        <f t="shared" si="32"/>
        <v>133.95543726868456</v>
      </c>
      <c r="G304" s="31">
        <f t="shared" si="52"/>
        <v>26.742927012585294</v>
      </c>
      <c r="H304" s="31">
        <f t="shared" si="53"/>
        <v>304.21485262893503</v>
      </c>
      <c r="I304" s="29">
        <v>0.28499999999999998</v>
      </c>
      <c r="J304" s="45">
        <f t="shared" si="36"/>
        <v>95.778137647109475</v>
      </c>
      <c r="K304" s="64">
        <f t="shared" si="54"/>
        <v>217.51361962968858</v>
      </c>
      <c r="L304" s="53">
        <f t="shared" si="55"/>
        <v>206.90372263979032</v>
      </c>
      <c r="M304" s="53">
        <f t="shared" si="55"/>
        <v>304.63352851680048</v>
      </c>
    </row>
    <row r="305" spans="1:13" x14ac:dyDescent="0.15">
      <c r="A305" s="40">
        <v>43191</v>
      </c>
      <c r="B305" s="51" t="s">
        <v>3</v>
      </c>
      <c r="C305" s="52">
        <v>422</v>
      </c>
      <c r="D305" s="50">
        <v>20.2349</v>
      </c>
      <c r="E305" s="43">
        <f>'[1]IPC99ON (real)'!O455</f>
        <v>27.464986041925087</v>
      </c>
      <c r="F305" s="31">
        <f t="shared" si="32"/>
        <v>136.9033462390166</v>
      </c>
      <c r="G305" s="31">
        <f>+E305/AVERAGE(E$2:E$13)</f>
        <v>27.464986041925091</v>
      </c>
      <c r="H305" s="31">
        <f>+(C305*D305)/G305</f>
        <v>310.90959911521844</v>
      </c>
      <c r="I305" s="29">
        <v>0.28000000000000003</v>
      </c>
      <c r="J305" s="45">
        <f t="shared" si="36"/>
        <v>98.570409292091952</v>
      </c>
      <c r="K305" s="64">
        <f>+H305*(1-I305)</f>
        <v>223.85491136295727</v>
      </c>
      <c r="L305" s="53">
        <f>+L304</f>
        <v>206.90372263979032</v>
      </c>
      <c r="M305" s="53">
        <f>+M304</f>
        <v>304.63352851680048</v>
      </c>
    </row>
    <row r="306" spans="1:13" x14ac:dyDescent="0.15">
      <c r="A306" s="40">
        <v>43221</v>
      </c>
      <c r="B306" s="51" t="s">
        <v>2</v>
      </c>
      <c r="C306" s="52">
        <v>401</v>
      </c>
      <c r="D306" s="50">
        <v>23.668700000000001</v>
      </c>
      <c r="E306" s="43">
        <f>'[1]IPC99ON (real)'!O456</f>
        <v>28.041750748805516</v>
      </c>
      <c r="F306" s="31">
        <f t="shared" si="32"/>
        <v>149.03682347377122</v>
      </c>
      <c r="G306" s="31">
        <f>+E306/AVERAGE(E$2:E$13)</f>
        <v>28.041750748805519</v>
      </c>
      <c r="H306" s="31">
        <f>+(C306*D306)/G306</f>
        <v>338.46491201710325</v>
      </c>
      <c r="I306" s="29">
        <v>0.27500000000000002</v>
      </c>
      <c r="J306" s="45">
        <f t="shared" si="36"/>
        <v>108.05169701848413</v>
      </c>
      <c r="K306" s="64">
        <f>+H306*(1-I306)</f>
        <v>245.38706121239986</v>
      </c>
      <c r="L306" s="53">
        <f>+L305</f>
        <v>206.90372263979032</v>
      </c>
      <c r="M306" s="53">
        <f>+M305</f>
        <v>304.63352851680048</v>
      </c>
    </row>
    <row r="307" spans="1:13" x14ac:dyDescent="0.15">
      <c r="A307" s="40">
        <v>43252</v>
      </c>
      <c r="B307" s="51" t="s">
        <v>4</v>
      </c>
      <c r="C307" s="52">
        <v>386</v>
      </c>
      <c r="D307" s="50">
        <v>26.534199999999998</v>
      </c>
      <c r="E307" s="43">
        <f>'[1]IPC99ON (real)'!O457</f>
        <v>29.079295526511316</v>
      </c>
      <c r="F307" s="31">
        <f t="shared" si="32"/>
        <v>155.09198500172633</v>
      </c>
      <c r="G307" s="31">
        <f t="shared" ref="G307:G312" si="56">+E307/AVERAGE(E$2:E$13)</f>
        <v>29.07929552651132</v>
      </c>
      <c r="H307" s="31">
        <f t="shared" ref="H307:H313" si="57">+(C307*D307)/G307</f>
        <v>352.21627672039995</v>
      </c>
      <c r="I307" s="29">
        <v>0.27</v>
      </c>
      <c r="J307" s="45">
        <f t="shared" si="36"/>
        <v>113.21714905126022</v>
      </c>
      <c r="K307" s="64">
        <f t="shared" ref="K307:K313" si="58">+H307*(1-I307)</f>
        <v>257.11788200589194</v>
      </c>
      <c r="L307" s="53">
        <f t="shared" ref="L307:L370" si="59">+L306</f>
        <v>206.90372263979032</v>
      </c>
      <c r="M307" s="53">
        <f t="shared" ref="M307:M370" si="60">+M306</f>
        <v>304.63352851680048</v>
      </c>
    </row>
    <row r="308" spans="1:13" x14ac:dyDescent="0.15">
      <c r="A308" s="40">
        <v>43282</v>
      </c>
      <c r="B308" s="51" t="s">
        <v>4</v>
      </c>
      <c r="C308" s="52">
        <v>379</v>
      </c>
      <c r="D308" s="50">
        <v>27.624700000000001</v>
      </c>
      <c r="E308" s="43">
        <f>'[1]IPC99ON (real)'!O458</f>
        <v>29.980753687833165</v>
      </c>
      <c r="F308" s="31">
        <f t="shared" si="32"/>
        <v>153.77090365677842</v>
      </c>
      <c r="G308" s="31">
        <f t="shared" si="56"/>
        <v>29.980753687833168</v>
      </c>
      <c r="H308" s="31">
        <f t="shared" si="57"/>
        <v>349.2160807234427</v>
      </c>
      <c r="I308" s="29">
        <v>0.26500000000000001</v>
      </c>
      <c r="J308" s="45">
        <f t="shared" si="36"/>
        <v>113.02161418773213</v>
      </c>
      <c r="K308" s="64">
        <f t="shared" si="58"/>
        <v>256.67381933173039</v>
      </c>
      <c r="L308" s="53">
        <f t="shared" si="59"/>
        <v>206.90372263979032</v>
      </c>
      <c r="M308" s="53">
        <f t="shared" si="60"/>
        <v>304.63352851680048</v>
      </c>
    </row>
    <row r="309" spans="1:13" x14ac:dyDescent="0.15">
      <c r="A309" s="40">
        <v>43313</v>
      </c>
      <c r="B309" s="51" t="s">
        <v>3</v>
      </c>
      <c r="C309" s="52">
        <v>383</v>
      </c>
      <c r="D309" s="50">
        <v>30.124500000000001</v>
      </c>
      <c r="E309" s="43">
        <f>'[1]IPC99ON (real)'!O459</f>
        <v>31.150003081658657</v>
      </c>
      <c r="F309" s="31">
        <f t="shared" si="32"/>
        <v>163.09492973280445</v>
      </c>
      <c r="G309" s="31">
        <f t="shared" si="56"/>
        <v>31.15000308165866</v>
      </c>
      <c r="H309" s="31">
        <f t="shared" si="57"/>
        <v>370.39108695284432</v>
      </c>
      <c r="I309" s="29">
        <v>0.26</v>
      </c>
      <c r="J309" s="45">
        <f t="shared" si="36"/>
        <v>120.69024800227528</v>
      </c>
      <c r="K309" s="64">
        <f t="shared" si="58"/>
        <v>274.08940434510481</v>
      </c>
      <c r="L309" s="53">
        <f t="shared" si="59"/>
        <v>206.90372263979032</v>
      </c>
      <c r="M309" s="53">
        <f t="shared" si="60"/>
        <v>304.63352851680048</v>
      </c>
    </row>
    <row r="310" spans="1:13" x14ac:dyDescent="0.15">
      <c r="A310" s="40">
        <v>43344</v>
      </c>
      <c r="B310" s="51" t="s">
        <v>5</v>
      </c>
      <c r="C310" s="52">
        <v>380</v>
      </c>
      <c r="D310" s="50">
        <v>38.590000000000003</v>
      </c>
      <c r="E310" s="43">
        <f>'[1]IPC99ON (real)'!O460</f>
        <v>33.174753281966467</v>
      </c>
      <c r="F310" s="31">
        <f t="shared" si="32"/>
        <v>194.63933230257956</v>
      </c>
      <c r="G310" s="31">
        <f t="shared" si="56"/>
        <v>33.174753281966474</v>
      </c>
      <c r="H310" s="31">
        <f t="shared" si="57"/>
        <v>442.02890901290715</v>
      </c>
      <c r="I310" s="29">
        <f>+(18%+4/D310)</f>
        <v>0.2836537963202902</v>
      </c>
      <c r="J310" s="45">
        <f t="shared" si="36"/>
        <v>139.42914678170638</v>
      </c>
      <c r="K310" s="64">
        <f t="shared" si="58"/>
        <v>316.64573088807992</v>
      </c>
      <c r="L310" s="53">
        <f t="shared" si="59"/>
        <v>206.90372263979032</v>
      </c>
      <c r="M310" s="53">
        <f t="shared" si="60"/>
        <v>304.63352851680048</v>
      </c>
    </row>
    <row r="311" spans="1:13" x14ac:dyDescent="0.15">
      <c r="A311" s="40">
        <v>43374</v>
      </c>
      <c r="B311" s="51" t="s">
        <v>6</v>
      </c>
      <c r="C311" s="52">
        <v>393</v>
      </c>
      <c r="D311" s="50">
        <v>37.120199999999997</v>
      </c>
      <c r="E311" s="43">
        <f>'[1]IPC99ON (real)'!O461</f>
        <v>34.966189959192661</v>
      </c>
      <c r="F311" s="31">
        <f t="shared" si="32"/>
        <v>183.71071096656476</v>
      </c>
      <c r="G311" s="31">
        <f t="shared" si="56"/>
        <v>34.966189959192668</v>
      </c>
      <c r="H311" s="31">
        <f t="shared" si="57"/>
        <v>417.20984233698948</v>
      </c>
      <c r="I311" s="29">
        <f t="shared" ref="I311:I324" si="61">+(18%+4/D311)</f>
        <v>0.28775804009676675</v>
      </c>
      <c r="J311" s="45">
        <f t="shared" si="36"/>
        <v>130.84647683404248</v>
      </c>
      <c r="K311" s="64">
        <f t="shared" si="58"/>
        <v>297.15435579701631</v>
      </c>
      <c r="L311" s="53">
        <f t="shared" si="59"/>
        <v>206.90372263979032</v>
      </c>
      <c r="M311" s="53">
        <f t="shared" si="60"/>
        <v>304.63352851680048</v>
      </c>
    </row>
    <row r="312" spans="1:13" x14ac:dyDescent="0.15">
      <c r="A312" s="40">
        <v>43405</v>
      </c>
      <c r="B312" s="51" t="s">
        <v>7</v>
      </c>
      <c r="C312" s="52">
        <v>369</v>
      </c>
      <c r="D312" s="50">
        <v>36.459000000000003</v>
      </c>
      <c r="E312" s="43">
        <f>'[1]IPC99ON (real)'!O462</f>
        <v>36.085108037886826</v>
      </c>
      <c r="F312" s="31">
        <f t="shared" si="32"/>
        <v>164.1659338696272</v>
      </c>
      <c r="G312" s="31">
        <f t="shared" si="56"/>
        <v>36.085108037886833</v>
      </c>
      <c r="H312" s="31">
        <f t="shared" si="57"/>
        <v>372.82335377449624</v>
      </c>
      <c r="I312" s="29">
        <f t="shared" si="61"/>
        <v>0.28971227954688827</v>
      </c>
      <c r="J312" s="45">
        <f t="shared" si="36"/>
        <v>116.60504694431378</v>
      </c>
      <c r="K312" s="64">
        <f t="shared" si="58"/>
        <v>264.81185008417094</v>
      </c>
      <c r="L312" s="53">
        <f t="shared" si="59"/>
        <v>206.90372263979032</v>
      </c>
      <c r="M312" s="53">
        <f t="shared" si="60"/>
        <v>304.63352851680048</v>
      </c>
    </row>
    <row r="313" spans="1:13" x14ac:dyDescent="0.15">
      <c r="A313" s="40">
        <v>43435</v>
      </c>
      <c r="B313" s="51" t="s">
        <v>63</v>
      </c>
      <c r="C313" s="52">
        <v>358</v>
      </c>
      <c r="D313" s="50">
        <v>37.885199999999998</v>
      </c>
      <c r="E313" s="43">
        <f>'[1]IPC99ON (real)'!O463</f>
        <v>37.023320846871883</v>
      </c>
      <c r="F313" s="31">
        <f t="shared" si="32"/>
        <v>161.30847034719073</v>
      </c>
      <c r="G313" s="31">
        <f>+E313/AVERAGE(E$2:E$13)</f>
        <v>37.02332084687189</v>
      </c>
      <c r="H313" s="31">
        <f t="shared" si="57"/>
        <v>366.33401028762478</v>
      </c>
      <c r="I313" s="29">
        <f t="shared" si="61"/>
        <v>0.28558212705753172</v>
      </c>
      <c r="J313" s="45">
        <f t="shared" si="36"/>
        <v>115.24165427304322</v>
      </c>
      <c r="K313" s="64">
        <f t="shared" si="58"/>
        <v>261.71556441616917</v>
      </c>
      <c r="L313" s="53">
        <f t="shared" si="59"/>
        <v>206.90372263979032</v>
      </c>
      <c r="M313" s="53">
        <f t="shared" si="60"/>
        <v>304.63352851680048</v>
      </c>
    </row>
    <row r="314" spans="1:13" x14ac:dyDescent="0.15">
      <c r="A314" s="40">
        <v>43466</v>
      </c>
      <c r="B314" s="12" t="s">
        <v>65</v>
      </c>
      <c r="C314" s="52">
        <v>347</v>
      </c>
      <c r="D314" s="50">
        <v>37.4069</v>
      </c>
      <c r="E314" s="43">
        <f>'[1]IPC99ON (real)'!O464</f>
        <v>38.096997151431168</v>
      </c>
      <c r="F314" s="31">
        <f t="shared" si="32"/>
        <v>150.02733012415069</v>
      </c>
      <c r="G314" s="31">
        <f t="shared" ref="G314:G325" si="62">+E314/AVERAGE(E$2:E$13)</f>
        <v>38.096997151431175</v>
      </c>
      <c r="H314" s="31">
        <f t="shared" ref="H314:H325" si="63">+(C314*D314)/G314</f>
        <v>340.71436781238225</v>
      </c>
      <c r="I314" s="29">
        <f t="shared" si="61"/>
        <v>0.28693214353501628</v>
      </c>
      <c r="J314" s="45">
        <f t="shared" si="36"/>
        <v>106.97966670279261</v>
      </c>
      <c r="K314" s="64">
        <f t="shared" ref="K314:K324" si="64">+H314*(1-I314)</f>
        <v>242.95246392279745</v>
      </c>
      <c r="L314" s="53">
        <f t="shared" si="59"/>
        <v>206.90372263979032</v>
      </c>
      <c r="M314" s="53">
        <f t="shared" si="60"/>
        <v>304.63352851680048</v>
      </c>
    </row>
    <row r="315" spans="1:13" x14ac:dyDescent="0.15">
      <c r="A315" s="40">
        <v>43497</v>
      </c>
      <c r="B315" s="12" t="s">
        <v>1</v>
      </c>
      <c r="C315" s="52">
        <f>+C314</f>
        <v>347</v>
      </c>
      <c r="D315" s="50">
        <v>38.4086</v>
      </c>
      <c r="E315" s="43">
        <f>'[1]IPC99ON (real)'!O465</f>
        <v>39.54468304318555</v>
      </c>
      <c r="F315" s="31">
        <f t="shared" si="32"/>
        <v>148.40542802514739</v>
      </c>
      <c r="G315" s="31">
        <f t="shared" si="62"/>
        <v>39.544683043185557</v>
      </c>
      <c r="H315" s="31">
        <f t="shared" si="63"/>
        <v>337.03100326901415</v>
      </c>
      <c r="I315" s="29">
        <f t="shared" si="61"/>
        <v>0.28414334289716364</v>
      </c>
      <c r="J315" s="45">
        <f t="shared" si="36"/>
        <v>106.2370136019976</v>
      </c>
      <c r="K315" s="64">
        <f t="shared" si="64"/>
        <v>241.26588734017159</v>
      </c>
      <c r="L315" s="53">
        <f t="shared" si="59"/>
        <v>206.90372263979032</v>
      </c>
      <c r="M315" s="53">
        <f t="shared" si="60"/>
        <v>304.63352851680048</v>
      </c>
    </row>
    <row r="316" spans="1:13" x14ac:dyDescent="0.15">
      <c r="A316" s="40">
        <v>43525</v>
      </c>
      <c r="B316" s="12" t="s">
        <v>2</v>
      </c>
      <c r="C316" s="52">
        <v>335</v>
      </c>
      <c r="D316" s="50">
        <v>41.362400000000001</v>
      </c>
      <c r="E316" s="43">
        <f>'[1]IPC99ON (real)'!O466</f>
        <v>41.403283146215266</v>
      </c>
      <c r="F316" s="31">
        <f t="shared" si="32"/>
        <v>147.36545496733154</v>
      </c>
      <c r="G316" s="31">
        <f t="shared" si="62"/>
        <v>41.403283146215273</v>
      </c>
      <c r="H316" s="31">
        <f t="shared" si="63"/>
        <v>334.66920850373754</v>
      </c>
      <c r="I316" s="29">
        <f t="shared" si="61"/>
        <v>0.27670618726186103</v>
      </c>
      <c r="J316" s="45">
        <f t="shared" si="36"/>
        <v>106.58852178921175</v>
      </c>
      <c r="K316" s="64">
        <f t="shared" si="64"/>
        <v>242.06416782472351</v>
      </c>
      <c r="L316" s="53">
        <f t="shared" si="59"/>
        <v>206.90372263979032</v>
      </c>
      <c r="M316" s="53">
        <f t="shared" si="60"/>
        <v>304.63352851680048</v>
      </c>
    </row>
    <row r="317" spans="1:13" x14ac:dyDescent="0.15">
      <c r="A317" s="40">
        <v>43556</v>
      </c>
      <c r="B317" s="51" t="s">
        <v>3</v>
      </c>
      <c r="C317" s="52">
        <v>318</v>
      </c>
      <c r="D317" s="50">
        <v>43.233800000000002</v>
      </c>
      <c r="E317" s="43">
        <f>'[1]IPC99ON (real)'!O467</f>
        <v>42.810994773186593</v>
      </c>
      <c r="F317" s="31">
        <f t="shared" si="32"/>
        <v>141.40837852820579</v>
      </c>
      <c r="G317" s="31">
        <f t="shared" si="62"/>
        <v>42.8109947731866</v>
      </c>
      <c r="H317" s="31">
        <f t="shared" si="63"/>
        <v>321.14059654158916</v>
      </c>
      <c r="I317" s="29">
        <f t="shared" si="61"/>
        <v>0.27252020409957023</v>
      </c>
      <c r="J317" s="45">
        <f t="shared" si="36"/>
        <v>102.87173835030987</v>
      </c>
      <c r="K317" s="64">
        <f t="shared" si="64"/>
        <v>233.62329562741755</v>
      </c>
      <c r="L317" s="53">
        <f t="shared" si="59"/>
        <v>206.90372263979032</v>
      </c>
      <c r="M317" s="53">
        <f t="shared" si="60"/>
        <v>304.63352851680048</v>
      </c>
    </row>
    <row r="318" spans="1:13" x14ac:dyDescent="0.15">
      <c r="A318" s="40">
        <v>43586</v>
      </c>
      <c r="B318" s="51" t="s">
        <v>2</v>
      </c>
      <c r="C318" s="52">
        <v>320</v>
      </c>
      <c r="D318" s="50">
        <v>44.933199999999999</v>
      </c>
      <c r="E318" s="43">
        <f>'[1]IPC99ON (real)'!O468</f>
        <v>44.138135611155377</v>
      </c>
      <c r="F318" s="31">
        <f t="shared" si="32"/>
        <v>143.44429325046562</v>
      </c>
      <c r="G318" s="31">
        <f t="shared" si="62"/>
        <v>44.138135611155384</v>
      </c>
      <c r="H318" s="31">
        <f t="shared" si="63"/>
        <v>325.76419010244683</v>
      </c>
      <c r="I318" s="29">
        <f t="shared" si="61"/>
        <v>0.26902103567072899</v>
      </c>
      <c r="J318" s="45">
        <f t="shared" si="36"/>
        <v>104.85476091916959</v>
      </c>
      <c r="K318" s="64">
        <f t="shared" si="64"/>
        <v>238.12677029665034</v>
      </c>
      <c r="L318" s="53">
        <f t="shared" si="59"/>
        <v>206.90372263979032</v>
      </c>
      <c r="M318" s="53">
        <f t="shared" si="60"/>
        <v>304.63352851680048</v>
      </c>
    </row>
    <row r="319" spans="1:13" x14ac:dyDescent="0.15">
      <c r="A319" s="40">
        <v>43617</v>
      </c>
      <c r="B319" s="51" t="s">
        <v>4</v>
      </c>
      <c r="C319" s="52">
        <v>346</v>
      </c>
      <c r="D319" s="50">
        <v>43.789400000000001</v>
      </c>
      <c r="E319" s="43">
        <f>'[1]IPC99ON (real)'!O469</f>
        <v>45.329865272656569</v>
      </c>
      <c r="F319" s="31">
        <f t="shared" si="32"/>
        <v>147.17722079961749</v>
      </c>
      <c r="G319" s="31">
        <f t="shared" si="62"/>
        <v>45.329865272656576</v>
      </c>
      <c r="H319" s="31">
        <f t="shared" si="63"/>
        <v>334.2417258217468</v>
      </c>
      <c r="I319" s="29">
        <f t="shared" si="61"/>
        <v>0.27134630755388289</v>
      </c>
      <c r="J319" s="45">
        <f t="shared" si="36"/>
        <v>107.24122537959875</v>
      </c>
      <c r="K319" s="64">
        <f t="shared" si="64"/>
        <v>243.54646768957849</v>
      </c>
      <c r="L319" s="53">
        <f t="shared" si="59"/>
        <v>206.90372263979032</v>
      </c>
      <c r="M319" s="53">
        <f t="shared" si="60"/>
        <v>304.63352851680048</v>
      </c>
    </row>
    <row r="320" spans="1:13" s="58" customFormat="1" x14ac:dyDescent="0.15">
      <c r="A320" s="56">
        <v>43647</v>
      </c>
      <c r="B320" s="57" t="s">
        <v>4</v>
      </c>
      <c r="C320" s="52">
        <v>341</v>
      </c>
      <c r="D320" s="50">
        <v>42.543399999999998</v>
      </c>
      <c r="E320" s="43">
        <f>'[1]IPC99ON (real)'!O470</f>
        <v>46.327122308655014</v>
      </c>
      <c r="F320" s="31">
        <f t="shared" si="32"/>
        <v>137.88949550301467</v>
      </c>
      <c r="G320" s="31">
        <f t="shared" si="62"/>
        <v>46.327122308655021</v>
      </c>
      <c r="H320" s="31">
        <f t="shared" si="63"/>
        <v>313.14915921919214</v>
      </c>
      <c r="I320" s="29">
        <f>+(18%+4/D320)</f>
        <v>0.27402163437807037</v>
      </c>
      <c r="J320" s="45">
        <f t="shared" si="36"/>
        <v>100.104790581711</v>
      </c>
      <c r="K320" s="64">
        <f t="shared" si="64"/>
        <v>227.33951480583053</v>
      </c>
      <c r="L320" s="53">
        <f t="shared" si="59"/>
        <v>206.90372263979032</v>
      </c>
      <c r="M320" s="53">
        <f t="shared" si="60"/>
        <v>304.63352851680048</v>
      </c>
    </row>
    <row r="321" spans="1:13" x14ac:dyDescent="0.15">
      <c r="A321" s="40">
        <v>43678</v>
      </c>
      <c r="B321" s="51" t="s">
        <v>3</v>
      </c>
      <c r="C321" s="52">
        <v>347</v>
      </c>
      <c r="D321" s="50">
        <v>52.7271</v>
      </c>
      <c r="E321" s="43">
        <f>'[1]IPC99ON (real)'!O471</f>
        <v>48.180207201001217</v>
      </c>
      <c r="F321" s="31">
        <f t="shared" si="32"/>
        <v>167.21476767829856</v>
      </c>
      <c r="G321" s="31">
        <f t="shared" si="62"/>
        <v>48.180207201001224</v>
      </c>
      <c r="H321" s="31">
        <f t="shared" si="63"/>
        <v>379.7473021166208</v>
      </c>
      <c r="I321" s="29">
        <f t="shared" si="61"/>
        <v>0.25586231748000554</v>
      </c>
      <c r="J321" s="45">
        <f t="shared" si="36"/>
        <v>124.43080970324836</v>
      </c>
      <c r="K321" s="64">
        <f t="shared" si="64"/>
        <v>282.58427734028237</v>
      </c>
      <c r="L321" s="53">
        <f t="shared" si="59"/>
        <v>206.90372263979032</v>
      </c>
      <c r="M321" s="53">
        <f t="shared" si="60"/>
        <v>304.63352851680048</v>
      </c>
    </row>
    <row r="322" spans="1:13" x14ac:dyDescent="0.15">
      <c r="A322" s="40">
        <v>43709</v>
      </c>
      <c r="B322" s="51" t="s">
        <v>5</v>
      </c>
      <c r="C322" s="52">
        <v>349</v>
      </c>
      <c r="D322" s="50">
        <v>56.501399999999997</v>
      </c>
      <c r="E322" s="43">
        <f>'[1]IPC99ON (real)'!O472</f>
        <v>51.022839425860283</v>
      </c>
      <c r="F322" s="31">
        <f t="shared" ref="F322:F377" si="65">+(C322*(D322/E322))/(AVERAGE(C$2:C$13)*AVERAGE(D$2:D$13)/AVERAGE(E$2:E$13))*100</f>
        <v>170.17664019185807</v>
      </c>
      <c r="G322" s="31">
        <f t="shared" si="62"/>
        <v>51.02283942586029</v>
      </c>
      <c r="H322" s="31">
        <f t="shared" si="63"/>
        <v>386.47376002374489</v>
      </c>
      <c r="I322" s="29">
        <f t="shared" si="61"/>
        <v>0.25079470597188741</v>
      </c>
      <c r="J322" s="45">
        <f t="shared" si="36"/>
        <v>127.49723975165736</v>
      </c>
      <c r="K322" s="64">
        <f t="shared" si="64"/>
        <v>289.54818701274002</v>
      </c>
      <c r="L322" s="53">
        <f t="shared" si="59"/>
        <v>206.90372263979032</v>
      </c>
      <c r="M322" s="53">
        <f t="shared" si="60"/>
        <v>304.63352851680048</v>
      </c>
    </row>
    <row r="323" spans="1:13" x14ac:dyDescent="0.15">
      <c r="A323" s="40">
        <v>43739</v>
      </c>
      <c r="B323" s="51" t="s">
        <v>6</v>
      </c>
      <c r="C323" s="52">
        <v>354</v>
      </c>
      <c r="D323" s="50">
        <v>58.530799999999999</v>
      </c>
      <c r="E323" s="43">
        <f>'[1]IPC99ON (real)'!O473</f>
        <v>52.706593126913674</v>
      </c>
      <c r="F323" s="31">
        <f t="shared" si="65"/>
        <v>173.10224875194598</v>
      </c>
      <c r="G323" s="31">
        <f t="shared" si="62"/>
        <v>52.706593126913681</v>
      </c>
      <c r="H323" s="31">
        <f t="shared" si="63"/>
        <v>393.11786193632292</v>
      </c>
      <c r="I323" s="29">
        <f t="shared" si="61"/>
        <v>0.24834008761199233</v>
      </c>
      <c r="J323" s="45">
        <f t="shared" ref="J323:J386" si="66">+F323*(1-I323)</f>
        <v>130.11402113105481</v>
      </c>
      <c r="K323" s="64">
        <f t="shared" si="64"/>
        <v>295.4909376612174</v>
      </c>
      <c r="L323" s="53">
        <f t="shared" si="59"/>
        <v>206.90372263979032</v>
      </c>
      <c r="M323" s="53">
        <f t="shared" si="60"/>
        <v>304.63352851680048</v>
      </c>
    </row>
    <row r="324" spans="1:13" x14ac:dyDescent="0.15">
      <c r="A324" s="40">
        <v>43770</v>
      </c>
      <c r="B324" s="51" t="s">
        <v>7</v>
      </c>
      <c r="C324" s="52">
        <v>353</v>
      </c>
      <c r="D324" s="50">
        <v>59.738100000000003</v>
      </c>
      <c r="E324" s="43">
        <f>'[1]IPC99ON (real)'!O474</f>
        <v>54.972976631370955</v>
      </c>
      <c r="F324" s="31">
        <f t="shared" si="65"/>
        <v>168.91055548261588</v>
      </c>
      <c r="G324" s="31">
        <f t="shared" si="62"/>
        <v>54.972976631370962</v>
      </c>
      <c r="H324" s="31">
        <f t="shared" si="63"/>
        <v>383.59846223000682</v>
      </c>
      <c r="I324" s="29">
        <f t="shared" si="61"/>
        <v>0.24695894245046293</v>
      </c>
      <c r="J324" s="45">
        <f t="shared" si="66"/>
        <v>127.19658333190883</v>
      </c>
      <c r="K324" s="64">
        <f t="shared" si="64"/>
        <v>288.86539167206047</v>
      </c>
      <c r="L324" s="53">
        <f t="shared" si="59"/>
        <v>206.90372263979032</v>
      </c>
      <c r="M324" s="53">
        <f t="shared" si="60"/>
        <v>304.63352851680048</v>
      </c>
    </row>
    <row r="325" spans="1:13" x14ac:dyDescent="0.15">
      <c r="A325" s="40">
        <v>43800</v>
      </c>
      <c r="B325" s="51" t="s">
        <v>63</v>
      </c>
      <c r="C325" s="52">
        <v>363</v>
      </c>
      <c r="D325" s="50">
        <v>59.883199999999988</v>
      </c>
      <c r="E325" s="43">
        <f>'[1]IPC99ON (real)'!O475</f>
        <v>57.006976766731668</v>
      </c>
      <c r="F325" s="31">
        <f t="shared" si="65"/>
        <v>167.90496854671849</v>
      </c>
      <c r="G325" s="31">
        <f t="shared" si="62"/>
        <v>57.006976766731675</v>
      </c>
      <c r="H325" s="31">
        <f t="shared" si="63"/>
        <v>381.31475887501716</v>
      </c>
      <c r="I325" s="29">
        <v>0.3</v>
      </c>
      <c r="J325" s="45">
        <f t="shared" si="66"/>
        <v>117.53347798270293</v>
      </c>
      <c r="K325" s="64">
        <f t="shared" ref="K325:K333" si="67">+H325*(1-I325)</f>
        <v>266.920331212512</v>
      </c>
      <c r="L325" s="53">
        <f t="shared" si="59"/>
        <v>206.90372263979032</v>
      </c>
      <c r="M325" s="53">
        <f t="shared" si="60"/>
        <v>304.63352851680048</v>
      </c>
    </row>
    <row r="326" spans="1:13" x14ac:dyDescent="0.15">
      <c r="A326" s="40">
        <v>43831</v>
      </c>
      <c r="B326" s="12" t="s">
        <v>67</v>
      </c>
      <c r="C326" s="52">
        <v>361</v>
      </c>
      <c r="D326" s="50">
        <v>60.011000000000003</v>
      </c>
      <c r="E326" s="43">
        <f>'[1]IPC99ON (real)'!O476</f>
        <v>58.318137232366489</v>
      </c>
      <c r="F326" s="31">
        <f t="shared" si="65"/>
        <v>163.57403044482868</v>
      </c>
      <c r="G326" s="31">
        <f t="shared" ref="G326:G345" si="68">+E326/AVERAGE(E$2:E$13)</f>
        <v>58.318137232366496</v>
      </c>
      <c r="H326" s="31">
        <f t="shared" ref="H326:H345" si="69">+(C326*D326)/G326</f>
        <v>371.47913201823815</v>
      </c>
      <c r="I326" s="29">
        <v>0.3</v>
      </c>
      <c r="J326" s="45">
        <f t="shared" si="66"/>
        <v>114.50182131138007</v>
      </c>
      <c r="K326" s="64">
        <f t="shared" si="67"/>
        <v>260.03539241276667</v>
      </c>
      <c r="L326" s="53">
        <f t="shared" si="59"/>
        <v>206.90372263979032</v>
      </c>
      <c r="M326" s="53">
        <f t="shared" si="60"/>
        <v>304.63352851680048</v>
      </c>
    </row>
    <row r="327" spans="1:13" x14ac:dyDescent="0.15">
      <c r="A327" s="40">
        <v>43862</v>
      </c>
      <c r="B327" s="12" t="s">
        <v>1</v>
      </c>
      <c r="C327" s="52">
        <v>347</v>
      </c>
      <c r="D327" s="50">
        <v>61.348399999999998</v>
      </c>
      <c r="E327" s="43">
        <f>'[1]IPC99ON (real)'!O477</f>
        <v>59.484499977013819</v>
      </c>
      <c r="F327" s="31">
        <f t="shared" si="65"/>
        <v>157.58280717902593</v>
      </c>
      <c r="G327" s="31">
        <f t="shared" si="68"/>
        <v>59.484499977013826</v>
      </c>
      <c r="H327" s="31">
        <f t="shared" si="69"/>
        <v>357.87297208896649</v>
      </c>
      <c r="I327" s="29">
        <v>0.3</v>
      </c>
      <c r="J327" s="45">
        <f t="shared" si="66"/>
        <v>110.30796502531815</v>
      </c>
      <c r="K327" s="64">
        <f t="shared" si="67"/>
        <v>250.51108046227654</v>
      </c>
      <c r="L327" s="53">
        <f t="shared" si="59"/>
        <v>206.90372263979032</v>
      </c>
      <c r="M327" s="53">
        <f t="shared" si="60"/>
        <v>304.63352851680048</v>
      </c>
    </row>
    <row r="328" spans="1:13" x14ac:dyDescent="0.15">
      <c r="A328" s="40">
        <v>43891</v>
      </c>
      <c r="B328" s="12" t="s">
        <v>2</v>
      </c>
      <c r="C328" s="52">
        <v>324</v>
      </c>
      <c r="D328" s="50">
        <v>63.122700000000002</v>
      </c>
      <c r="E328" s="43">
        <f>'[1]IPC99ON (real)'!O478</f>
        <v>61.447488476255266</v>
      </c>
      <c r="F328" s="31">
        <f t="shared" si="65"/>
        <v>146.55693474318315</v>
      </c>
      <c r="G328" s="31">
        <f t="shared" si="68"/>
        <v>61.447488476255273</v>
      </c>
      <c r="H328" s="31">
        <f t="shared" si="69"/>
        <v>332.83304667371442</v>
      </c>
      <c r="I328" s="29">
        <v>0.33</v>
      </c>
      <c r="J328" s="45">
        <f t="shared" si="66"/>
        <v>98.193146277932698</v>
      </c>
      <c r="K328" s="64">
        <f t="shared" si="67"/>
        <v>222.99814127138865</v>
      </c>
      <c r="L328" s="53">
        <f t="shared" si="59"/>
        <v>206.90372263979032</v>
      </c>
      <c r="M328" s="53">
        <f t="shared" si="60"/>
        <v>304.63352851680048</v>
      </c>
    </row>
    <row r="329" spans="1:13" x14ac:dyDescent="0.15">
      <c r="A329" s="40">
        <v>43922</v>
      </c>
      <c r="B329" s="51" t="s">
        <v>3</v>
      </c>
      <c r="C329" s="52">
        <v>325</v>
      </c>
      <c r="D329" s="50">
        <v>65.762</v>
      </c>
      <c r="E329" s="43">
        <f>'[1]IPC99ON (real)'!O479</f>
        <v>62.369200803399096</v>
      </c>
      <c r="F329" s="31">
        <f t="shared" si="65"/>
        <v>150.8926644631062</v>
      </c>
      <c r="G329" s="31">
        <f t="shared" si="68"/>
        <v>62.369200803399103</v>
      </c>
      <c r="H329" s="31">
        <f t="shared" si="69"/>
        <v>342.67955536854015</v>
      </c>
      <c r="I329" s="29">
        <v>0.33</v>
      </c>
      <c r="J329" s="45">
        <f t="shared" si="66"/>
        <v>101.09808519028114</v>
      </c>
      <c r="K329" s="64">
        <f t="shared" si="67"/>
        <v>229.59530209692187</v>
      </c>
      <c r="L329" s="53">
        <f t="shared" si="59"/>
        <v>206.90372263979032</v>
      </c>
      <c r="M329" s="53">
        <f t="shared" si="60"/>
        <v>304.63352851680048</v>
      </c>
    </row>
    <row r="330" spans="1:13" x14ac:dyDescent="0.15">
      <c r="A330" s="40">
        <v>43952</v>
      </c>
      <c r="B330" s="51" t="s">
        <v>2</v>
      </c>
      <c r="C330" s="52">
        <v>329</v>
      </c>
      <c r="D330" s="50">
        <v>67.725499999999997</v>
      </c>
      <c r="E330" s="43">
        <f>'[1]IPC99ON (real)'!O480</f>
        <v>63.304738815450079</v>
      </c>
      <c r="F330" s="31">
        <f t="shared" si="65"/>
        <v>154.98577142653929</v>
      </c>
      <c r="G330" s="31">
        <f t="shared" si="68"/>
        <v>63.304738815450087</v>
      </c>
      <c r="H330" s="31">
        <f t="shared" si="69"/>
        <v>351.97506406205969</v>
      </c>
      <c r="I330" s="29">
        <v>0.33</v>
      </c>
      <c r="J330" s="45">
        <f t="shared" si="66"/>
        <v>103.84046685578132</v>
      </c>
      <c r="K330" s="64">
        <f t="shared" si="67"/>
        <v>235.82329292157996</v>
      </c>
      <c r="L330" s="53">
        <f t="shared" si="59"/>
        <v>206.90372263979032</v>
      </c>
      <c r="M330" s="53">
        <f t="shared" si="60"/>
        <v>304.63352851680048</v>
      </c>
    </row>
    <row r="331" spans="1:13" x14ac:dyDescent="0.15">
      <c r="A331" s="40">
        <v>43983</v>
      </c>
      <c r="B331" s="51" t="s">
        <v>4</v>
      </c>
      <c r="C331" s="52">
        <v>346</v>
      </c>
      <c r="D331" s="50">
        <v>69.540700000000001</v>
      </c>
      <c r="E331" s="43">
        <f>'[1]IPC99ON (real)'!O481</f>
        <v>64.69744306938999</v>
      </c>
      <c r="F331" s="31">
        <f t="shared" si="65"/>
        <v>163.76005380357589</v>
      </c>
      <c r="G331" s="31">
        <f t="shared" si="68"/>
        <v>64.697443069390005</v>
      </c>
      <c r="H331" s="31">
        <f t="shared" si="69"/>
        <v>371.90159391915608</v>
      </c>
      <c r="I331" s="29">
        <v>0.33</v>
      </c>
      <c r="J331" s="45">
        <f t="shared" si="66"/>
        <v>109.71923604839583</v>
      </c>
      <c r="K331" s="64">
        <f t="shared" si="67"/>
        <v>249.17406792583455</v>
      </c>
      <c r="L331" s="53">
        <f t="shared" si="59"/>
        <v>206.90372263979032</v>
      </c>
      <c r="M331" s="53">
        <f t="shared" si="60"/>
        <v>304.63352851680048</v>
      </c>
    </row>
    <row r="332" spans="1:13" x14ac:dyDescent="0.15">
      <c r="A332" s="56">
        <v>44013</v>
      </c>
      <c r="B332" s="57" t="s">
        <v>4</v>
      </c>
      <c r="C332" s="52">
        <v>360</v>
      </c>
      <c r="D332" s="50">
        <v>71.474900000000005</v>
      </c>
      <c r="E332" s="43">
        <f>'[1]IPC99ON (real)'!O482</f>
        <v>65.926694487708389</v>
      </c>
      <c r="F332" s="31">
        <f t="shared" si="65"/>
        <v>171.85995301518616</v>
      </c>
      <c r="G332" s="31">
        <f t="shared" si="68"/>
        <v>65.926694487708403</v>
      </c>
      <c r="H332" s="31">
        <f t="shared" si="69"/>
        <v>390.29658926396456</v>
      </c>
      <c r="I332" s="29">
        <v>0.33</v>
      </c>
      <c r="J332" s="45">
        <f t="shared" si="66"/>
        <v>115.14616852017471</v>
      </c>
      <c r="K332" s="64">
        <f t="shared" si="67"/>
        <v>261.49871480685624</v>
      </c>
      <c r="L332" s="53">
        <f t="shared" si="59"/>
        <v>206.90372263979032</v>
      </c>
      <c r="M332" s="53">
        <f t="shared" si="60"/>
        <v>304.63352851680048</v>
      </c>
    </row>
    <row r="333" spans="1:13" x14ac:dyDescent="0.15">
      <c r="A333" s="40">
        <v>44044</v>
      </c>
      <c r="B333" s="51" t="s">
        <v>3</v>
      </c>
      <c r="C333" s="52">
        <v>369</v>
      </c>
      <c r="D333" s="50">
        <v>73.293000000000006</v>
      </c>
      <c r="E333" s="43">
        <f>'[1]IPC99ON (real)'!O483</f>
        <v>67.706715238876498</v>
      </c>
      <c r="F333" s="31">
        <f t="shared" si="65"/>
        <v>175.88834097054533</v>
      </c>
      <c r="G333" s="31">
        <f t="shared" si="68"/>
        <v>67.706715238876512</v>
      </c>
      <c r="H333" s="31">
        <f t="shared" si="69"/>
        <v>399.44512009749616</v>
      </c>
      <c r="I333" s="29">
        <v>0.33</v>
      </c>
      <c r="J333" s="45">
        <f t="shared" si="66"/>
        <v>117.84518845026535</v>
      </c>
      <c r="K333" s="64">
        <f t="shared" si="67"/>
        <v>267.62823046532242</v>
      </c>
      <c r="L333" s="53">
        <f t="shared" si="59"/>
        <v>206.90372263979032</v>
      </c>
      <c r="M333" s="53">
        <f t="shared" si="60"/>
        <v>304.63352851680048</v>
      </c>
    </row>
    <row r="334" spans="1:13" x14ac:dyDescent="0.15">
      <c r="A334" s="40">
        <v>44075</v>
      </c>
      <c r="B334" s="51" t="s">
        <v>5</v>
      </c>
      <c r="C334" s="52">
        <v>410</v>
      </c>
      <c r="D334" s="50">
        <v>75.198599999999999</v>
      </c>
      <c r="E334" s="43">
        <f>'[1]IPC99ON (real)'!O484</f>
        <v>69.602503265565048</v>
      </c>
      <c r="F334" s="31">
        <f t="shared" si="65"/>
        <v>195.05122637205866</v>
      </c>
      <c r="G334" s="31">
        <f t="shared" si="68"/>
        <v>69.602503265565062</v>
      </c>
      <c r="H334" s="31">
        <f t="shared" si="69"/>
        <v>442.96432676227391</v>
      </c>
      <c r="I334" s="29">
        <v>0.33</v>
      </c>
      <c r="J334" s="45">
        <f t="shared" si="66"/>
        <v>130.68432166927929</v>
      </c>
      <c r="K334" s="64">
        <f t="shared" ref="K334:K343" si="70">+H334*(1-I334)</f>
        <v>296.78609893072348</v>
      </c>
      <c r="L334" s="53">
        <f t="shared" si="59"/>
        <v>206.90372263979032</v>
      </c>
      <c r="M334" s="53">
        <f t="shared" si="60"/>
        <v>304.63352851680048</v>
      </c>
    </row>
    <row r="335" spans="1:13" x14ac:dyDescent="0.15">
      <c r="A335" s="40">
        <v>44105</v>
      </c>
      <c r="B335" s="51" t="s">
        <v>6</v>
      </c>
      <c r="C335" s="52">
        <v>447</v>
      </c>
      <c r="D335" s="50">
        <v>77.569299999999998</v>
      </c>
      <c r="E335" s="43">
        <f>'[1]IPC99ON (real)'!O485</f>
        <v>72.247398389656524</v>
      </c>
      <c r="F335" s="31">
        <f t="shared" si="65"/>
        <v>211.32706198380663</v>
      </c>
      <c r="G335" s="31">
        <f t="shared" si="68"/>
        <v>72.247398389656539</v>
      </c>
      <c r="H335" s="31">
        <f t="shared" si="69"/>
        <v>479.92699907328569</v>
      </c>
      <c r="I335" s="29">
        <v>0.33</v>
      </c>
      <c r="J335" s="45">
        <f t="shared" si="66"/>
        <v>141.58913152915042</v>
      </c>
      <c r="K335" s="64">
        <f t="shared" si="70"/>
        <v>321.55108937910137</v>
      </c>
      <c r="L335" s="53">
        <f t="shared" si="59"/>
        <v>206.90372263979032</v>
      </c>
      <c r="M335" s="53">
        <f t="shared" si="60"/>
        <v>304.63352851680048</v>
      </c>
    </row>
    <row r="336" spans="1:13" x14ac:dyDescent="0.15">
      <c r="A336" s="40">
        <v>44136</v>
      </c>
      <c r="B336" s="51" t="s">
        <v>7</v>
      </c>
      <c r="C336" s="52">
        <v>482</v>
      </c>
      <c r="D336" s="50">
        <v>79.933199999999999</v>
      </c>
      <c r="E336" s="43">
        <f>'[1]IPC99ON (real)'!O486</f>
        <v>74.559315138125527</v>
      </c>
      <c r="F336" s="31">
        <f t="shared" si="65"/>
        <v>227.53712185377447</v>
      </c>
      <c r="G336" s="31">
        <f t="shared" si="68"/>
        <v>74.559315138125541</v>
      </c>
      <c r="H336" s="31">
        <f t="shared" si="69"/>
        <v>516.74029366585478</v>
      </c>
      <c r="I336" s="29">
        <v>0.33</v>
      </c>
      <c r="J336" s="45">
        <f t="shared" si="66"/>
        <v>152.44987164202888</v>
      </c>
      <c r="K336" s="64">
        <f t="shared" si="70"/>
        <v>346.21599675612265</v>
      </c>
      <c r="L336" s="53">
        <f t="shared" si="59"/>
        <v>206.90372263979032</v>
      </c>
      <c r="M336" s="53">
        <f t="shared" si="60"/>
        <v>304.63352851680048</v>
      </c>
    </row>
    <row r="337" spans="1:13" x14ac:dyDescent="0.15">
      <c r="A337" s="40">
        <v>44166</v>
      </c>
      <c r="B337" s="51" t="s">
        <v>63</v>
      </c>
      <c r="C337" s="52">
        <v>501</v>
      </c>
      <c r="D337" s="50">
        <v>82.637900000000002</v>
      </c>
      <c r="E337" s="43">
        <f>'[1]IPC99ON (real)'!O487</f>
        <v>77.541687743650556</v>
      </c>
      <c r="F337" s="31">
        <f t="shared" si="65"/>
        <v>235.1049003806298</v>
      </c>
      <c r="G337" s="31">
        <f t="shared" si="68"/>
        <v>77.54168774365057</v>
      </c>
      <c r="H337" s="31">
        <f t="shared" si="69"/>
        <v>533.9268347739843</v>
      </c>
      <c r="I337" s="29">
        <v>0.33</v>
      </c>
      <c r="J337" s="45">
        <f t="shared" si="66"/>
        <v>157.52028325502195</v>
      </c>
      <c r="K337" s="64">
        <f t="shared" si="70"/>
        <v>357.73097929856942</v>
      </c>
      <c r="L337" s="53">
        <f t="shared" si="59"/>
        <v>206.90372263979032</v>
      </c>
      <c r="M337" s="53">
        <f t="shared" si="60"/>
        <v>304.63352851680048</v>
      </c>
    </row>
    <row r="338" spans="1:13" x14ac:dyDescent="0.15">
      <c r="A338" s="40">
        <v>44197</v>
      </c>
      <c r="B338" s="12" t="s">
        <v>68</v>
      </c>
      <c r="C338" s="52">
        <v>557</v>
      </c>
      <c r="D338" s="50">
        <v>85.970799999999997</v>
      </c>
      <c r="E338" s="43">
        <f>'[1]IPC99ON (real)'!O488</f>
        <v>80.643355253396578</v>
      </c>
      <c r="F338" s="31">
        <f t="shared" si="65"/>
        <v>261.46737519705272</v>
      </c>
      <c r="G338" s="31">
        <f t="shared" si="68"/>
        <v>80.643355253396592</v>
      </c>
      <c r="H338" s="31">
        <f t="shared" si="69"/>
        <v>593.79641942642399</v>
      </c>
      <c r="I338" s="29">
        <v>0.33</v>
      </c>
      <c r="J338" s="45">
        <f t="shared" si="66"/>
        <v>175.1831413820253</v>
      </c>
      <c r="K338" s="64">
        <f t="shared" si="70"/>
        <v>397.84360101570405</v>
      </c>
      <c r="L338" s="53">
        <f t="shared" si="59"/>
        <v>206.90372263979032</v>
      </c>
      <c r="M338" s="53">
        <f t="shared" si="60"/>
        <v>304.63352851680048</v>
      </c>
    </row>
    <row r="339" spans="1:13" x14ac:dyDescent="0.15">
      <c r="A339" s="40">
        <v>44228</v>
      </c>
      <c r="B339" s="12" t="s">
        <v>1</v>
      </c>
      <c r="C339" s="52">
        <v>554</v>
      </c>
      <c r="D339" s="50">
        <v>88.674599999999998</v>
      </c>
      <c r="E339" s="43">
        <f>'[1]IPC99ON (real)'!O489</f>
        <v>83.54651604251886</v>
      </c>
      <c r="F339" s="31">
        <f t="shared" si="65"/>
        <v>258.91701489408001</v>
      </c>
      <c r="G339" s="31">
        <f t="shared" si="68"/>
        <v>83.546516042518874</v>
      </c>
      <c r="H339" s="31">
        <f t="shared" si="69"/>
        <v>588.00451206126547</v>
      </c>
      <c r="I339" s="29">
        <v>0.33</v>
      </c>
      <c r="J339" s="45">
        <f t="shared" si="66"/>
        <v>173.47439997903359</v>
      </c>
      <c r="K339" s="64">
        <f t="shared" si="70"/>
        <v>393.96302308104782</v>
      </c>
      <c r="L339" s="53">
        <f t="shared" si="59"/>
        <v>206.90372263979032</v>
      </c>
      <c r="M339" s="53">
        <f t="shared" si="60"/>
        <v>304.63352851680048</v>
      </c>
    </row>
    <row r="340" spans="1:13" x14ac:dyDescent="0.15">
      <c r="A340" s="40">
        <v>44256</v>
      </c>
      <c r="B340" s="12" t="s">
        <v>2</v>
      </c>
      <c r="C340" s="52">
        <v>520</v>
      </c>
      <c r="D340" s="50">
        <v>91.066400000000002</v>
      </c>
      <c r="E340" s="43">
        <f>'[1]IPC99ON (real)'!O490</f>
        <v>87.556748812559761</v>
      </c>
      <c r="F340" s="31">
        <f t="shared" si="65"/>
        <v>238.15067567966625</v>
      </c>
      <c r="G340" s="31">
        <f t="shared" si="68"/>
        <v>87.556748812559775</v>
      </c>
      <c r="H340" s="31">
        <f t="shared" si="69"/>
        <v>540.84383719381685</v>
      </c>
      <c r="I340" s="29">
        <v>0.33</v>
      </c>
      <c r="J340" s="45">
        <f t="shared" si="66"/>
        <v>159.56095270537637</v>
      </c>
      <c r="K340" s="64">
        <f t="shared" si="70"/>
        <v>362.36537091985724</v>
      </c>
      <c r="L340" s="53">
        <f t="shared" si="59"/>
        <v>206.90372263979032</v>
      </c>
      <c r="M340" s="53">
        <f t="shared" si="60"/>
        <v>304.63352851680048</v>
      </c>
    </row>
    <row r="341" spans="1:13" x14ac:dyDescent="0.15">
      <c r="A341" s="40">
        <v>44287</v>
      </c>
      <c r="B341" s="51" t="s">
        <v>3</v>
      </c>
      <c r="C341" s="52">
        <v>531</v>
      </c>
      <c r="D341" s="50">
        <v>92.863799999999998</v>
      </c>
      <c r="E341" s="43">
        <f>'[1]IPC99ON (real)'!O491</f>
        <v>91.146575513874723</v>
      </c>
      <c r="F341" s="31">
        <f t="shared" si="65"/>
        <v>238.22127706070418</v>
      </c>
      <c r="G341" s="31">
        <f t="shared" si="68"/>
        <v>91.146575513874737</v>
      </c>
      <c r="H341" s="31">
        <f t="shared" si="69"/>
        <v>541.00417401302923</v>
      </c>
      <c r="I341" s="29">
        <v>0.33</v>
      </c>
      <c r="J341" s="45">
        <f t="shared" si="66"/>
        <v>159.60825563067178</v>
      </c>
      <c r="K341" s="64">
        <f t="shared" si="70"/>
        <v>362.47279658872952</v>
      </c>
      <c r="L341" s="53">
        <f t="shared" si="59"/>
        <v>206.90372263979032</v>
      </c>
      <c r="M341" s="53">
        <f t="shared" si="60"/>
        <v>304.63352851680048</v>
      </c>
    </row>
    <row r="342" spans="1:13" x14ac:dyDescent="0.15">
      <c r="A342" s="40">
        <v>44317</v>
      </c>
      <c r="B342" s="51" t="s">
        <v>2</v>
      </c>
      <c r="C342" s="52">
        <v>557</v>
      </c>
      <c r="D342" s="50">
        <v>94.104799999999997</v>
      </c>
      <c r="E342" s="43">
        <f>'[1]IPC99ON (real)'!O492</f>
        <v>94.154412505832582</v>
      </c>
      <c r="F342" s="31">
        <f t="shared" si="65"/>
        <v>245.13550937086171</v>
      </c>
      <c r="G342" s="31">
        <f t="shared" si="68"/>
        <v>94.154412505832596</v>
      </c>
      <c r="H342" s="31">
        <f t="shared" si="69"/>
        <v>556.70650163902781</v>
      </c>
      <c r="I342" s="29">
        <v>0.33</v>
      </c>
      <c r="J342" s="45">
        <f t="shared" si="66"/>
        <v>164.24079127847733</v>
      </c>
      <c r="K342" s="64">
        <f t="shared" si="70"/>
        <v>372.99335609814858</v>
      </c>
      <c r="L342" s="53">
        <f t="shared" si="59"/>
        <v>206.90372263979032</v>
      </c>
      <c r="M342" s="53">
        <f t="shared" si="60"/>
        <v>304.63352851680048</v>
      </c>
    </row>
    <row r="343" spans="1:13" x14ac:dyDescent="0.15">
      <c r="A343" s="40">
        <v>44348</v>
      </c>
      <c r="B343" s="51" t="s">
        <v>4</v>
      </c>
      <c r="C343" s="52">
        <v>527</v>
      </c>
      <c r="D343" s="50">
        <v>95.254300000000001</v>
      </c>
      <c r="E343" s="43">
        <f>'[1]IPC99ON (real)'!O493</f>
        <v>97.167353706019227</v>
      </c>
      <c r="F343" s="31">
        <f t="shared" si="65"/>
        <v>227.48604620773722</v>
      </c>
      <c r="G343" s="31">
        <f t="shared" si="68"/>
        <v>97.167353706019242</v>
      </c>
      <c r="H343" s="31">
        <f t="shared" si="69"/>
        <v>516.62430009031232</v>
      </c>
      <c r="I343" s="29">
        <v>0.33</v>
      </c>
      <c r="J343" s="45">
        <f t="shared" si="66"/>
        <v>152.41565095918392</v>
      </c>
      <c r="K343" s="64">
        <f t="shared" si="70"/>
        <v>346.1382810605092</v>
      </c>
      <c r="L343" s="53">
        <f t="shared" si="59"/>
        <v>206.90372263979032</v>
      </c>
      <c r="M343" s="53">
        <f t="shared" si="60"/>
        <v>304.63352851680048</v>
      </c>
    </row>
    <row r="344" spans="1:13" x14ac:dyDescent="0.15">
      <c r="A344" s="56">
        <v>44378</v>
      </c>
      <c r="B344" s="57" t="s">
        <v>4</v>
      </c>
      <c r="C344" s="52">
        <v>532</v>
      </c>
      <c r="D344" s="50">
        <v>96.237799999999993</v>
      </c>
      <c r="E344" s="43">
        <f>'[1]IPC99ON (real)'!O494</f>
        <v>100.08237431719981</v>
      </c>
      <c r="F344" s="31">
        <f t="shared" si="65"/>
        <v>225.25770317987585</v>
      </c>
      <c r="G344" s="31">
        <f t="shared" si="68"/>
        <v>100.08237431719982</v>
      </c>
      <c r="H344" s="31">
        <f t="shared" si="69"/>
        <v>511.56369889599227</v>
      </c>
      <c r="I344" s="29">
        <v>0.33</v>
      </c>
      <c r="J344" s="45">
        <f t="shared" si="66"/>
        <v>150.92266113051681</v>
      </c>
      <c r="K344" s="64">
        <f>+H344*(1-I344)</f>
        <v>342.74767826031479</v>
      </c>
      <c r="L344" s="53">
        <f t="shared" si="59"/>
        <v>206.90372263979032</v>
      </c>
      <c r="M344" s="53">
        <f t="shared" si="60"/>
        <v>304.63352851680048</v>
      </c>
    </row>
    <row r="345" spans="1:13" x14ac:dyDescent="0.15">
      <c r="A345" s="40">
        <v>44409</v>
      </c>
      <c r="B345" s="51" t="s">
        <v>3</v>
      </c>
      <c r="C345" s="59">
        <v>534</v>
      </c>
      <c r="D345" s="50">
        <v>97.213800000000006</v>
      </c>
      <c r="E345" s="43">
        <f>'[1]IPC99ON (real)'!O495</f>
        <v>102.58443367512979</v>
      </c>
      <c r="F345" s="31">
        <f t="shared" si="65"/>
        <v>222.82691320196872</v>
      </c>
      <c r="G345" s="31">
        <f t="shared" si="68"/>
        <v>102.5844336751298</v>
      </c>
      <c r="H345" s="31">
        <f t="shared" si="69"/>
        <v>506.04333757301231</v>
      </c>
      <c r="I345" s="29">
        <v>0.33</v>
      </c>
      <c r="J345" s="45">
        <f t="shared" si="66"/>
        <v>149.29403184531904</v>
      </c>
      <c r="K345" s="64">
        <f>+H345*(1-I345)</f>
        <v>339.04903617391824</v>
      </c>
      <c r="L345" s="53">
        <f t="shared" si="59"/>
        <v>206.90372263979032</v>
      </c>
      <c r="M345" s="53">
        <f t="shared" si="60"/>
        <v>304.63352851680048</v>
      </c>
    </row>
    <row r="346" spans="1:13" x14ac:dyDescent="0.15">
      <c r="A346" s="40">
        <v>44440</v>
      </c>
      <c r="B346" s="51" t="s">
        <v>5</v>
      </c>
      <c r="C346" s="52">
        <v>544</v>
      </c>
      <c r="D346" s="50">
        <v>98.284999999999997</v>
      </c>
      <c r="E346" s="43">
        <f>'[1]IPC99ON (real)'!O496</f>
        <v>106.17488885375933</v>
      </c>
      <c r="F346" s="31">
        <f t="shared" si="65"/>
        <v>221.74011034792031</v>
      </c>
      <c r="G346" s="31">
        <f>+E346/AVERAGE(E$2:E$13)</f>
        <v>106.17488885375934</v>
      </c>
      <c r="H346" s="31">
        <f>+(C346*D346)/G346</f>
        <v>503.57519162222218</v>
      </c>
      <c r="I346" s="29">
        <v>0.33</v>
      </c>
      <c r="J346" s="45">
        <f t="shared" si="66"/>
        <v>148.56587393310659</v>
      </c>
      <c r="K346" s="64">
        <f>+H346*(1-I346)</f>
        <v>337.39537838688881</v>
      </c>
      <c r="L346" s="53">
        <f t="shared" si="59"/>
        <v>206.90372263979032</v>
      </c>
      <c r="M346" s="53">
        <f t="shared" si="60"/>
        <v>304.63352851680048</v>
      </c>
    </row>
    <row r="347" spans="1:13" x14ac:dyDescent="0.15">
      <c r="A347" s="40">
        <v>44470</v>
      </c>
      <c r="B347" s="51" t="s">
        <v>6</v>
      </c>
      <c r="C347" s="52">
        <v>540</v>
      </c>
      <c r="D347" s="50">
        <v>99.249099999999999</v>
      </c>
      <c r="E347" s="43">
        <f>'[1]IPC99ON (real)'!O497</f>
        <v>109.89100996364088</v>
      </c>
      <c r="F347" s="31">
        <f t="shared" si="65"/>
        <v>214.7524389761239</v>
      </c>
      <c r="G347" s="31">
        <f>+E347/AVERAGE(E$2:E$13)</f>
        <v>109.8910099636409</v>
      </c>
      <c r="H347" s="31">
        <f>+(C347*D347)/G347</f>
        <v>487.70608276084232</v>
      </c>
      <c r="I347" s="29">
        <v>0.33</v>
      </c>
      <c r="J347" s="45">
        <f t="shared" si="66"/>
        <v>143.88413411400299</v>
      </c>
      <c r="K347" s="64">
        <f>+H347*(1-I347)</f>
        <v>326.7630754497643</v>
      </c>
      <c r="L347" s="53">
        <f t="shared" si="59"/>
        <v>206.90372263979032</v>
      </c>
      <c r="M347" s="53">
        <f t="shared" si="60"/>
        <v>304.63352851680048</v>
      </c>
    </row>
    <row r="348" spans="1:13" x14ac:dyDescent="0.15">
      <c r="A348" s="40">
        <v>44501</v>
      </c>
      <c r="B348" s="51" t="s">
        <v>7</v>
      </c>
      <c r="C348" s="52">
        <v>542</v>
      </c>
      <c r="D348" s="50">
        <v>100.31010000000001</v>
      </c>
      <c r="E348" s="43">
        <f>'[1]IPC99ON (real)'!O498</f>
        <v>112.63828521273189</v>
      </c>
      <c r="F348" s="31">
        <f t="shared" si="65"/>
        <v>212.53861800900501</v>
      </c>
      <c r="G348" s="31">
        <f t="shared" ref="G348:G359" si="71">+E348/AVERAGE(E$2:E$13)</f>
        <v>112.6382852127319</v>
      </c>
      <c r="H348" s="31">
        <f t="shared" ref="H348:H359" si="72">+(C348*D348)/G348</f>
        <v>482.67846138920612</v>
      </c>
      <c r="I348" s="29">
        <v>0.33</v>
      </c>
      <c r="J348" s="45">
        <f t="shared" si="66"/>
        <v>142.40087406603334</v>
      </c>
      <c r="K348" s="64">
        <f t="shared" ref="K348:K359" si="73">+H348*(1-I348)</f>
        <v>323.39456913076805</v>
      </c>
      <c r="L348" s="53">
        <f t="shared" si="59"/>
        <v>206.90372263979032</v>
      </c>
      <c r="M348" s="53">
        <f t="shared" si="60"/>
        <v>304.63352851680048</v>
      </c>
    </row>
    <row r="349" spans="1:13" x14ac:dyDescent="0.15">
      <c r="A349" s="40">
        <v>44531</v>
      </c>
      <c r="B349" s="51" t="s">
        <v>63</v>
      </c>
      <c r="C349" s="52">
        <v>560</v>
      </c>
      <c r="D349" s="50">
        <v>101.88849999999999</v>
      </c>
      <c r="E349" s="43">
        <f>'[1]IPC99ON (real)'!O499</f>
        <v>116.91854005081572</v>
      </c>
      <c r="F349" s="31">
        <f t="shared" si="65"/>
        <v>214.88680293899282</v>
      </c>
      <c r="G349" s="31">
        <f t="shared" si="71"/>
        <v>116.91854005081574</v>
      </c>
      <c r="H349" s="31">
        <f t="shared" si="72"/>
        <v>488.01122538137537</v>
      </c>
      <c r="I349" s="29">
        <v>0.33</v>
      </c>
      <c r="J349" s="45">
        <f t="shared" si="66"/>
        <v>143.97415796912517</v>
      </c>
      <c r="K349" s="64">
        <f t="shared" si="73"/>
        <v>326.96752100552146</v>
      </c>
      <c r="L349" s="53">
        <f t="shared" si="59"/>
        <v>206.90372263979032</v>
      </c>
      <c r="M349" s="53">
        <f t="shared" si="60"/>
        <v>304.63352851680048</v>
      </c>
    </row>
    <row r="350" spans="1:13" x14ac:dyDescent="0.15">
      <c r="A350" s="40">
        <v>44562</v>
      </c>
      <c r="B350" s="12" t="s">
        <v>70</v>
      </c>
      <c r="C350" s="52">
        <v>602</v>
      </c>
      <c r="D350" s="50">
        <v>103.9846</v>
      </c>
      <c r="E350" s="43">
        <f>'[1]IPC99ON (real)'!O500</f>
        <v>121.47836311279751</v>
      </c>
      <c r="F350" s="31">
        <f t="shared" si="65"/>
        <v>226.90628120813082</v>
      </c>
      <c r="G350" s="31">
        <f t="shared" si="71"/>
        <v>121.47836311279752</v>
      </c>
      <c r="H350" s="31">
        <f t="shared" si="72"/>
        <v>515.30764488384307</v>
      </c>
      <c r="I350" s="29">
        <v>0.33</v>
      </c>
      <c r="J350" s="45">
        <f t="shared" si="66"/>
        <v>152.02720840944764</v>
      </c>
      <c r="K350" s="64">
        <f t="shared" si="73"/>
        <v>345.25612207217483</v>
      </c>
      <c r="L350" s="53">
        <f t="shared" si="59"/>
        <v>206.90372263979032</v>
      </c>
      <c r="M350" s="53">
        <f t="shared" si="60"/>
        <v>304.63352851680048</v>
      </c>
    </row>
    <row r="351" spans="1:13" x14ac:dyDescent="0.15">
      <c r="A351" s="40">
        <v>44593</v>
      </c>
      <c r="B351" s="12" t="s">
        <v>1</v>
      </c>
      <c r="C351" s="52">
        <v>646</v>
      </c>
      <c r="D351" s="50">
        <v>106.30710000000001</v>
      </c>
      <c r="E351" s="43">
        <f>'[1]IPC99ON (real)'!O501</f>
        <v>127.18784617909898</v>
      </c>
      <c r="F351" s="31">
        <f t="shared" si="65"/>
        <v>237.7546987565907</v>
      </c>
      <c r="G351" s="31">
        <f t="shared" si="71"/>
        <v>127.187846179099</v>
      </c>
      <c r="H351" s="31">
        <f t="shared" si="72"/>
        <v>539.94456752806764</v>
      </c>
      <c r="I351" s="29">
        <v>0.33</v>
      </c>
      <c r="J351" s="45">
        <f t="shared" si="66"/>
        <v>159.29564816691575</v>
      </c>
      <c r="K351" s="64">
        <f t="shared" si="73"/>
        <v>361.76286024380528</v>
      </c>
      <c r="L351" s="53">
        <f t="shared" si="59"/>
        <v>206.90372263979032</v>
      </c>
      <c r="M351" s="53">
        <f t="shared" si="60"/>
        <v>304.63352851680048</v>
      </c>
    </row>
    <row r="352" spans="1:13" x14ac:dyDescent="0.15">
      <c r="A352" s="40">
        <v>44621</v>
      </c>
      <c r="B352" s="12" t="s">
        <v>2</v>
      </c>
      <c r="C352" s="52">
        <v>688</v>
      </c>
      <c r="D352" s="50">
        <v>109.4585</v>
      </c>
      <c r="E352" s="43">
        <f>'[1]IPC99ON (real)'!O502</f>
        <v>135.70943187309862</v>
      </c>
      <c r="F352" s="31">
        <f t="shared" si="65"/>
        <v>244.34746110683707</v>
      </c>
      <c r="G352" s="31">
        <f t="shared" si="71"/>
        <v>135.70943187309865</v>
      </c>
      <c r="H352" s="31">
        <f t="shared" si="72"/>
        <v>554.91683194444215</v>
      </c>
      <c r="I352" s="29">
        <v>0.33</v>
      </c>
      <c r="J352" s="45">
        <f t="shared" si="66"/>
        <v>163.71279894158081</v>
      </c>
      <c r="K352" s="64">
        <f t="shared" si="73"/>
        <v>371.79427740277617</v>
      </c>
      <c r="L352" s="53">
        <f t="shared" si="59"/>
        <v>206.90372263979032</v>
      </c>
      <c r="M352" s="53">
        <f t="shared" si="60"/>
        <v>304.63352851680048</v>
      </c>
    </row>
    <row r="353" spans="1:13" x14ac:dyDescent="0.15">
      <c r="A353" s="40">
        <v>44652</v>
      </c>
      <c r="B353" s="51" t="s">
        <v>3</v>
      </c>
      <c r="C353" s="52">
        <v>652</v>
      </c>
      <c r="D353" s="50">
        <v>113.33450000000001</v>
      </c>
      <c r="E353" s="43">
        <f>'[1]IPC99ON (real)'!O503</f>
        <v>143.85199778548454</v>
      </c>
      <c r="F353" s="31">
        <f t="shared" si="65"/>
        <v>226.19018912137204</v>
      </c>
      <c r="G353" s="31">
        <f t="shared" si="71"/>
        <v>143.85199778548457</v>
      </c>
      <c r="H353" s="31">
        <f t="shared" si="72"/>
        <v>513.68138877148294</v>
      </c>
      <c r="I353" s="29">
        <v>0.33</v>
      </c>
      <c r="J353" s="45">
        <f t="shared" si="66"/>
        <v>151.54742671131925</v>
      </c>
      <c r="K353" s="64">
        <f t="shared" si="73"/>
        <v>344.16653047689351</v>
      </c>
      <c r="L353" s="53">
        <f t="shared" si="59"/>
        <v>206.90372263979032</v>
      </c>
      <c r="M353" s="53">
        <f t="shared" si="60"/>
        <v>304.63352851680048</v>
      </c>
    </row>
    <row r="354" spans="1:13" x14ac:dyDescent="0.15">
      <c r="A354" s="40">
        <v>44682</v>
      </c>
      <c r="B354" s="51" t="s">
        <v>2</v>
      </c>
      <c r="C354" s="52">
        <v>648</v>
      </c>
      <c r="D354" s="50">
        <v>117.77370000000001</v>
      </c>
      <c r="E354" s="43">
        <f>'[1]IPC99ON (real)'!O504</f>
        <v>151.18844967254424</v>
      </c>
      <c r="F354" s="31">
        <f t="shared" si="65"/>
        <v>222.27194200663894</v>
      </c>
      <c r="G354" s="31">
        <f t="shared" si="71"/>
        <v>151.18844967254427</v>
      </c>
      <c r="H354" s="31">
        <f t="shared" si="72"/>
        <v>504.78298947633954</v>
      </c>
      <c r="I354" s="29">
        <v>0.33</v>
      </c>
      <c r="J354" s="45">
        <f t="shared" si="66"/>
        <v>148.92220114444808</v>
      </c>
      <c r="K354" s="64">
        <f t="shared" si="73"/>
        <v>338.20460294914744</v>
      </c>
      <c r="L354" s="53">
        <f t="shared" si="59"/>
        <v>206.90372263979032</v>
      </c>
      <c r="M354" s="53">
        <f t="shared" si="60"/>
        <v>304.63352851680048</v>
      </c>
    </row>
    <row r="355" spans="1:13" x14ac:dyDescent="0.15">
      <c r="A355" s="40">
        <v>44713</v>
      </c>
      <c r="B355" s="51" t="s">
        <v>4</v>
      </c>
      <c r="C355" s="52">
        <v>647</v>
      </c>
      <c r="D355" s="50">
        <v>122.73569999999999</v>
      </c>
      <c r="E355" s="43">
        <f>'[1]IPC99ON (real)'!O505</f>
        <v>159.20143750518906</v>
      </c>
      <c r="F355" s="31">
        <f t="shared" si="65"/>
        <v>219.63832969034738</v>
      </c>
      <c r="G355" s="31">
        <f t="shared" si="71"/>
        <v>159.20143750518909</v>
      </c>
      <c r="H355" s="31">
        <f t="shared" si="72"/>
        <v>498.80201551202498</v>
      </c>
      <c r="I355" s="29">
        <v>0.33</v>
      </c>
      <c r="J355" s="45">
        <f t="shared" si="66"/>
        <v>147.15768089253274</v>
      </c>
      <c r="K355" s="64">
        <f t="shared" si="73"/>
        <v>334.19735039305669</v>
      </c>
      <c r="L355" s="53">
        <f t="shared" si="59"/>
        <v>206.90372263979032</v>
      </c>
      <c r="M355" s="53">
        <f t="shared" si="60"/>
        <v>304.63352851680048</v>
      </c>
    </row>
    <row r="356" spans="1:13" x14ac:dyDescent="0.15">
      <c r="A356" s="56">
        <v>44743</v>
      </c>
      <c r="B356" s="57" t="s">
        <v>4</v>
      </c>
      <c r="C356" s="52">
        <v>591</v>
      </c>
      <c r="D356" s="50">
        <v>128.44540000000001</v>
      </c>
      <c r="E356" s="43">
        <f>'[1]IPC99ON (real)'!O506</f>
        <v>170.98234388057307</v>
      </c>
      <c r="F356" s="31">
        <f t="shared" si="65"/>
        <v>195.49457170224338</v>
      </c>
      <c r="G356" s="31">
        <f t="shared" si="71"/>
        <v>170.9823438805731</v>
      </c>
      <c r="H356" s="31">
        <f t="shared" si="72"/>
        <v>443.9711708070987</v>
      </c>
      <c r="I356" s="29">
        <v>0.33</v>
      </c>
      <c r="J356" s="45">
        <f t="shared" si="66"/>
        <v>130.98136304050306</v>
      </c>
      <c r="K356" s="64">
        <f t="shared" si="73"/>
        <v>297.4606844407561</v>
      </c>
      <c r="L356" s="53">
        <f t="shared" si="59"/>
        <v>206.90372263979032</v>
      </c>
      <c r="M356" s="53">
        <f t="shared" si="60"/>
        <v>304.63352851680048</v>
      </c>
    </row>
    <row r="357" spans="1:13" x14ac:dyDescent="0.15">
      <c r="A357" s="40">
        <v>44774</v>
      </c>
      <c r="B357" s="51" t="s">
        <v>3</v>
      </c>
      <c r="C357" s="52">
        <v>606</v>
      </c>
      <c r="D357" s="50">
        <v>135.2903</v>
      </c>
      <c r="E357" s="43">
        <f>'[1]IPC99ON (real)'!O507</f>
        <v>182.95110795221316</v>
      </c>
      <c r="F357" s="31">
        <f t="shared" si="65"/>
        <v>197.3259365387847</v>
      </c>
      <c r="G357" s="31">
        <f t="shared" si="71"/>
        <v>182.95110795221319</v>
      </c>
      <c r="H357" s="31">
        <f t="shared" si="72"/>
        <v>448.13022844012897</v>
      </c>
      <c r="I357" s="29">
        <v>0.33</v>
      </c>
      <c r="J357" s="45">
        <f t="shared" si="66"/>
        <v>132.20837748098575</v>
      </c>
      <c r="K357" s="64">
        <f t="shared" si="73"/>
        <v>300.24725305488636</v>
      </c>
      <c r="L357" s="53">
        <f t="shared" si="59"/>
        <v>206.90372263979032</v>
      </c>
      <c r="M357" s="53">
        <f t="shared" si="60"/>
        <v>304.63352851680048</v>
      </c>
    </row>
    <row r="358" spans="1:13" x14ac:dyDescent="0.15">
      <c r="A358" s="40">
        <v>44805</v>
      </c>
      <c r="B358" s="51" t="s">
        <v>5</v>
      </c>
      <c r="C358" s="52">
        <v>580</v>
      </c>
      <c r="D358" s="50">
        <v>200</v>
      </c>
      <c r="E358" s="43">
        <f>'[1]IPC99ON (real)'!O508</f>
        <v>194.29407664525039</v>
      </c>
      <c r="F358" s="31">
        <f t="shared" si="65"/>
        <v>262.89259977128074</v>
      </c>
      <c r="G358" s="31">
        <f t="shared" si="71"/>
        <v>194.29407664525041</v>
      </c>
      <c r="H358" s="31">
        <f t="shared" si="72"/>
        <v>597.03312629441223</v>
      </c>
      <c r="I358" s="29">
        <v>0.33</v>
      </c>
      <c r="J358" s="45">
        <f t="shared" si="66"/>
        <v>176.13804184675809</v>
      </c>
      <c r="K358" s="64">
        <f>+H358*(1-I358)</f>
        <v>400.01219461725617</v>
      </c>
      <c r="L358" s="53">
        <f t="shared" si="59"/>
        <v>206.90372263979032</v>
      </c>
      <c r="M358" s="53">
        <f t="shared" si="60"/>
        <v>304.63352851680048</v>
      </c>
    </row>
    <row r="359" spans="1:13" x14ac:dyDescent="0.15">
      <c r="A359" s="40">
        <v>44835</v>
      </c>
      <c r="B359" s="51" t="s">
        <v>6</v>
      </c>
      <c r="C359" s="52">
        <v>587</v>
      </c>
      <c r="D359" s="50">
        <v>152.59289999999999</v>
      </c>
      <c r="E359" s="43">
        <f>'[1]IPC99ON (real)'!O509</f>
        <v>206.53460347390114</v>
      </c>
      <c r="F359" s="31">
        <f t="shared" si="65"/>
        <v>190.9675320185562</v>
      </c>
      <c r="G359" s="31">
        <f t="shared" si="71"/>
        <v>206.53460347390117</v>
      </c>
      <c r="H359" s="31">
        <f t="shared" si="72"/>
        <v>433.69019425027631</v>
      </c>
      <c r="I359" s="29">
        <v>0.33</v>
      </c>
      <c r="J359" s="45">
        <f t="shared" si="66"/>
        <v>127.94824645243264</v>
      </c>
      <c r="K359" s="64">
        <f t="shared" si="73"/>
        <v>290.57243014768511</v>
      </c>
      <c r="L359" s="53">
        <f t="shared" si="59"/>
        <v>206.90372263979032</v>
      </c>
      <c r="M359" s="53">
        <f t="shared" si="60"/>
        <v>304.63352851680048</v>
      </c>
    </row>
    <row r="360" spans="1:13" x14ac:dyDescent="0.15">
      <c r="A360" s="40">
        <v>44866</v>
      </c>
      <c r="B360" s="51" t="s">
        <v>7</v>
      </c>
      <c r="C360" s="52">
        <v>600</v>
      </c>
      <c r="D360" s="50">
        <v>162.1183</v>
      </c>
      <c r="E360" s="43">
        <f>'[1]IPC99ON (real)'!O510</f>
        <v>216.65479904412229</v>
      </c>
      <c r="F360" s="31">
        <f t="shared" si="65"/>
        <v>197.69464728714888</v>
      </c>
      <c r="G360" s="31">
        <f t="shared" ref="G360:G373" si="74">+E360/AVERAGE(E$2:E$13)</f>
        <v>216.65479904412231</v>
      </c>
      <c r="H360" s="31">
        <f t="shared" ref="H360:H373" si="75">+(C360*D360)/G360</f>
        <v>448.96757620490331</v>
      </c>
      <c r="I360" s="29">
        <v>0.33</v>
      </c>
      <c r="J360" s="45">
        <f t="shared" si="66"/>
        <v>132.45541368238975</v>
      </c>
      <c r="K360" s="64">
        <f t="shared" ref="K360:K373" si="76">+H360*(1-I360)</f>
        <v>300.80827605728518</v>
      </c>
      <c r="L360" s="53">
        <f t="shared" si="59"/>
        <v>206.90372263979032</v>
      </c>
      <c r="M360" s="53">
        <f t="shared" si="60"/>
        <v>304.63352851680048</v>
      </c>
    </row>
    <row r="361" spans="1:13" x14ac:dyDescent="0.15">
      <c r="A361" s="40">
        <v>44896</v>
      </c>
      <c r="B361" s="51" t="s">
        <v>63</v>
      </c>
      <c r="C361" s="52">
        <v>615</v>
      </c>
      <c r="D361" s="50">
        <v>230</v>
      </c>
      <c r="E361" s="43">
        <f>'[1]IPC99ON (real)'!O511</f>
        <v>227.7041937953725</v>
      </c>
      <c r="F361" s="31">
        <f t="shared" si="65"/>
        <v>273.53433925880103</v>
      </c>
      <c r="G361" s="31">
        <f t="shared" si="74"/>
        <v>227.70419379537253</v>
      </c>
      <c r="H361" s="31">
        <f t="shared" si="75"/>
        <v>621.20067989224094</v>
      </c>
      <c r="I361" s="29">
        <v>0.33</v>
      </c>
      <c r="J361" s="45">
        <f t="shared" si="66"/>
        <v>183.26800730339667</v>
      </c>
      <c r="K361" s="64">
        <f t="shared" si="76"/>
        <v>416.20445552780137</v>
      </c>
      <c r="L361" s="53">
        <f t="shared" si="59"/>
        <v>206.90372263979032</v>
      </c>
      <c r="M361" s="53">
        <f t="shared" si="60"/>
        <v>304.63352851680048</v>
      </c>
    </row>
    <row r="362" spans="1:13" x14ac:dyDescent="0.15">
      <c r="A362" s="40">
        <v>44927</v>
      </c>
      <c r="B362" s="12" t="s">
        <v>71</v>
      </c>
      <c r="C362" s="52">
        <v>616</v>
      </c>
      <c r="D362" s="50">
        <v>182.2441</v>
      </c>
      <c r="E362" s="43">
        <f>'[1]IPC99ON (real)'!O512</f>
        <v>241.36644542309489</v>
      </c>
      <c r="F362" s="31">
        <f t="shared" si="65"/>
        <v>204.80343076109264</v>
      </c>
      <c r="G362" s="31">
        <f t="shared" si="74"/>
        <v>241.36644542309492</v>
      </c>
      <c r="H362" s="31">
        <f t="shared" si="75"/>
        <v>465.11173250786203</v>
      </c>
      <c r="I362" s="29">
        <v>0.33</v>
      </c>
      <c r="J362" s="45">
        <f t="shared" si="66"/>
        <v>137.21829860993205</v>
      </c>
      <c r="K362" s="64">
        <f t="shared" si="76"/>
        <v>311.62486078026751</v>
      </c>
      <c r="L362" s="53">
        <f t="shared" si="59"/>
        <v>206.90372263979032</v>
      </c>
      <c r="M362" s="53">
        <f t="shared" si="60"/>
        <v>304.63352851680048</v>
      </c>
    </row>
    <row r="363" spans="1:13" x14ac:dyDescent="0.15">
      <c r="A363" s="40">
        <v>44958</v>
      </c>
      <c r="B363" s="12" t="s">
        <v>1</v>
      </c>
      <c r="C363" s="52">
        <v>621</v>
      </c>
      <c r="D363" s="50">
        <v>191.89240000000001</v>
      </c>
      <c r="E363" s="43">
        <f>'[1]IPC99ON (real)'!O513</f>
        <v>257.29663082101916</v>
      </c>
      <c r="F363" s="31">
        <f t="shared" si="65"/>
        <v>203.93661575115974</v>
      </c>
      <c r="G363" s="31">
        <f t="shared" si="74"/>
        <v>257.29663082101922</v>
      </c>
      <c r="H363" s="31">
        <f t="shared" si="75"/>
        <v>463.14318232520401</v>
      </c>
      <c r="I363" s="29">
        <v>0.33</v>
      </c>
      <c r="J363" s="45">
        <f t="shared" si="66"/>
        <v>136.637532553277</v>
      </c>
      <c r="K363" s="64">
        <f t="shared" si="76"/>
        <v>310.30593215788667</v>
      </c>
      <c r="L363" s="53">
        <f t="shared" si="59"/>
        <v>206.90372263979032</v>
      </c>
      <c r="M363" s="53">
        <f t="shared" si="60"/>
        <v>304.63352851680048</v>
      </c>
    </row>
    <row r="364" spans="1:13" x14ac:dyDescent="0.15">
      <c r="A364" s="40">
        <v>44986</v>
      </c>
      <c r="B364" s="12" t="s">
        <v>2</v>
      </c>
      <c r="C364" s="52">
        <v>606</v>
      </c>
      <c r="D364" s="50">
        <v>203.10550000000001</v>
      </c>
      <c r="E364" s="43">
        <f>'[1]IPC99ON (real)'!O514</f>
        <v>277.10847139423765</v>
      </c>
      <c r="F364" s="31">
        <f t="shared" si="65"/>
        <v>195.57999838583268</v>
      </c>
      <c r="G364" s="31">
        <f t="shared" si="74"/>
        <v>277.10847139423771</v>
      </c>
      <c r="H364" s="31">
        <f t="shared" si="75"/>
        <v>444.16517611579383</v>
      </c>
      <c r="I364" s="29">
        <v>0.33</v>
      </c>
      <c r="J364" s="45">
        <f t="shared" si="66"/>
        <v>131.03859891850789</v>
      </c>
      <c r="K364" s="64">
        <f t="shared" si="76"/>
        <v>297.59066799758182</v>
      </c>
      <c r="L364" s="53">
        <f t="shared" si="59"/>
        <v>206.90372263979032</v>
      </c>
      <c r="M364" s="53">
        <f t="shared" si="60"/>
        <v>304.63352851680048</v>
      </c>
    </row>
    <row r="365" spans="1:13" x14ac:dyDescent="0.15">
      <c r="A365" s="40">
        <v>45017</v>
      </c>
      <c r="B365" s="51" t="s">
        <v>3</v>
      </c>
      <c r="C365" s="52">
        <v>565</v>
      </c>
      <c r="D365" s="50">
        <v>300</v>
      </c>
      <c r="E365" s="43">
        <f>'[1]IPC99ON (real)'!O515</f>
        <v>300.3855829913536</v>
      </c>
      <c r="F365" s="31">
        <f t="shared" si="65"/>
        <v>248.46804926179266</v>
      </c>
      <c r="G365" s="31">
        <f t="shared" si="74"/>
        <v>300.38558299135366</v>
      </c>
      <c r="H365" s="31">
        <f t="shared" si="75"/>
        <v>564.27475084541231</v>
      </c>
      <c r="I365" s="29">
        <v>0.33</v>
      </c>
      <c r="J365" s="45">
        <f t="shared" si="66"/>
        <v>166.47359300540106</v>
      </c>
      <c r="K365" s="64">
        <f t="shared" si="76"/>
        <v>378.06408306642624</v>
      </c>
      <c r="L365" s="53">
        <f t="shared" si="59"/>
        <v>206.90372263979032</v>
      </c>
      <c r="M365" s="53">
        <f t="shared" si="60"/>
        <v>304.63352851680048</v>
      </c>
    </row>
    <row r="366" spans="1:13" x14ac:dyDescent="0.15">
      <c r="A366" s="40">
        <v>45047</v>
      </c>
      <c r="B366" s="51" t="s">
        <v>2</v>
      </c>
      <c r="C366" s="52">
        <v>526</v>
      </c>
      <c r="D366" s="50">
        <v>300</v>
      </c>
      <c r="E366" s="43">
        <f>'[1]IPC99ON (real)'!O516</f>
        <v>323.81565846467925</v>
      </c>
      <c r="F366" s="31">
        <f t="shared" si="65"/>
        <v>214.57992334494054</v>
      </c>
      <c r="G366" s="31">
        <f t="shared" si="74"/>
        <v>323.8156584646793</v>
      </c>
      <c r="H366" s="31">
        <f t="shared" si="75"/>
        <v>487.31429711640175</v>
      </c>
      <c r="I366" s="29">
        <v>0.33</v>
      </c>
      <c r="J366" s="45">
        <f t="shared" si="66"/>
        <v>143.76854864111016</v>
      </c>
      <c r="K366" s="64">
        <f t="shared" si="76"/>
        <v>326.50057906798912</v>
      </c>
      <c r="L366" s="53">
        <f t="shared" si="59"/>
        <v>206.90372263979032</v>
      </c>
      <c r="M366" s="53">
        <f t="shared" si="60"/>
        <v>304.63352851680048</v>
      </c>
    </row>
    <row r="367" spans="1:13" x14ac:dyDescent="0.15">
      <c r="A367" s="40">
        <v>45078</v>
      </c>
      <c r="B367" s="51" t="s">
        <v>4</v>
      </c>
      <c r="C367" s="52">
        <v>540</v>
      </c>
      <c r="D367" s="50">
        <v>266.46469999999999</v>
      </c>
      <c r="E367" s="43">
        <f>'[1]IPC99ON (real)'!O517</f>
        <v>343.24459797255997</v>
      </c>
      <c r="F367" s="31">
        <f t="shared" si="65"/>
        <v>184.59063566295762</v>
      </c>
      <c r="G367" s="31">
        <f t="shared" si="74"/>
        <v>343.24459797256003</v>
      </c>
      <c r="H367" s="31">
        <f t="shared" si="75"/>
        <v>419.20816481867269</v>
      </c>
      <c r="I367" s="29">
        <v>0.33</v>
      </c>
      <c r="J367" s="45">
        <f t="shared" si="66"/>
        <v>123.6757258941816</v>
      </c>
      <c r="K367" s="64">
        <f t="shared" si="76"/>
        <v>280.86947042851068</v>
      </c>
      <c r="L367" s="53">
        <f t="shared" si="59"/>
        <v>206.90372263979032</v>
      </c>
      <c r="M367" s="53">
        <f t="shared" si="60"/>
        <v>304.63352851680048</v>
      </c>
    </row>
    <row r="368" spans="1:13" x14ac:dyDescent="0.15">
      <c r="A368" s="40">
        <v>45108</v>
      </c>
      <c r="B368" s="57" t="s">
        <v>4</v>
      </c>
      <c r="C368" s="52">
        <v>556</v>
      </c>
      <c r="D368" s="50">
        <v>340</v>
      </c>
      <c r="E368" s="43">
        <f>'[1]IPC99ON (real)'!O518</f>
        <v>364.8690076448313</v>
      </c>
      <c r="F368" s="31">
        <f t="shared" si="65"/>
        <v>228.1374935214605</v>
      </c>
      <c r="G368" s="31">
        <f t="shared" si="74"/>
        <v>364.86900764483136</v>
      </c>
      <c r="H368" s="31">
        <f t="shared" si="75"/>
        <v>518.10374693159531</v>
      </c>
      <c r="I368" s="29">
        <v>0.33</v>
      </c>
      <c r="J368" s="45">
        <f t="shared" si="66"/>
        <v>152.85212065937853</v>
      </c>
      <c r="K368" s="64">
        <f t="shared" si="76"/>
        <v>347.12951044416883</v>
      </c>
      <c r="L368" s="53">
        <f t="shared" si="59"/>
        <v>206.90372263979032</v>
      </c>
      <c r="M368" s="53">
        <f t="shared" si="60"/>
        <v>304.63352851680048</v>
      </c>
    </row>
    <row r="369" spans="1:13" x14ac:dyDescent="0.15">
      <c r="A369" s="40">
        <v>45139</v>
      </c>
      <c r="B369" s="51" t="s">
        <v>3</v>
      </c>
      <c r="C369" s="52">
        <v>528</v>
      </c>
      <c r="D369" s="50">
        <v>340</v>
      </c>
      <c r="E369" s="43">
        <f>'[1]IPC99ON (real)'!O519</f>
        <v>410.11276459279043</v>
      </c>
      <c r="F369" s="31">
        <f t="shared" si="65"/>
        <v>192.7478247320258</v>
      </c>
      <c r="G369" s="31">
        <f t="shared" si="74"/>
        <v>410.11276459279048</v>
      </c>
      <c r="H369" s="31">
        <f t="shared" si="75"/>
        <v>437.73326630847288</v>
      </c>
      <c r="I369" s="29">
        <v>0.33</v>
      </c>
      <c r="J369" s="45">
        <f t="shared" si="66"/>
        <v>129.14104257045727</v>
      </c>
      <c r="K369" s="64">
        <f t="shared" si="76"/>
        <v>293.28128842667678</v>
      </c>
      <c r="L369" s="53">
        <f t="shared" si="59"/>
        <v>206.90372263979032</v>
      </c>
      <c r="M369" s="53">
        <f t="shared" si="60"/>
        <v>304.63352851680048</v>
      </c>
    </row>
    <row r="370" spans="1:13" x14ac:dyDescent="0.15">
      <c r="A370" s="40">
        <v>45170</v>
      </c>
      <c r="B370" s="51" t="s">
        <v>5</v>
      </c>
      <c r="C370" s="52">
        <v>545</v>
      </c>
      <c r="D370" s="50">
        <v>451.97881124999992</v>
      </c>
      <c r="E370" s="43">
        <f>'[1]IPC99ON (real)'!O520</f>
        <v>462.19708569607479</v>
      </c>
      <c r="F370" s="31">
        <f t="shared" si="65"/>
        <v>234.6752600146055</v>
      </c>
      <c r="G370" s="31">
        <f t="shared" si="74"/>
        <v>462.19708569607485</v>
      </c>
      <c r="H370" s="31">
        <f t="shared" si="75"/>
        <v>532.95111491297291</v>
      </c>
      <c r="I370" s="29">
        <v>0.33</v>
      </c>
      <c r="J370" s="45">
        <f t="shared" si="66"/>
        <v>157.23242420978568</v>
      </c>
      <c r="K370" s="64">
        <f t="shared" si="76"/>
        <v>357.07724699169182</v>
      </c>
      <c r="L370" s="53">
        <f t="shared" si="59"/>
        <v>206.90372263979032</v>
      </c>
      <c r="M370" s="53">
        <f t="shared" si="60"/>
        <v>304.63352851680048</v>
      </c>
    </row>
    <row r="371" spans="1:13" x14ac:dyDescent="0.15">
      <c r="A371" s="40">
        <v>45200</v>
      </c>
      <c r="B371" s="51" t="s">
        <v>6</v>
      </c>
      <c r="C371" s="52">
        <v>512</v>
      </c>
      <c r="D371" s="50">
        <v>496.54014022727279</v>
      </c>
      <c r="E371" s="43">
        <f>'[1]IPC99ON (real)'!O521</f>
        <v>500.55944380884898</v>
      </c>
      <c r="F371" s="31">
        <f t="shared" si="65"/>
        <v>223.63954333372155</v>
      </c>
      <c r="G371" s="31">
        <f t="shared" si="74"/>
        <v>500.55944380884904</v>
      </c>
      <c r="H371" s="31">
        <f t="shared" si="75"/>
        <v>507.8888330662424</v>
      </c>
      <c r="I371" s="29">
        <v>0.33</v>
      </c>
      <c r="J371" s="45">
        <f t="shared" si="66"/>
        <v>149.83849403359343</v>
      </c>
      <c r="K371" s="64">
        <f t="shared" si="76"/>
        <v>340.28551815438237</v>
      </c>
      <c r="L371" s="53">
        <f t="shared" ref="L371:M373" si="77">+L370</f>
        <v>206.90372263979032</v>
      </c>
      <c r="M371" s="53">
        <f t="shared" si="77"/>
        <v>304.63352851680048</v>
      </c>
    </row>
    <row r="372" spans="1:13" x14ac:dyDescent="0.15">
      <c r="A372" s="40">
        <v>45231</v>
      </c>
      <c r="B372" s="51" t="s">
        <v>7</v>
      </c>
      <c r="C372" s="52">
        <v>528</v>
      </c>
      <c r="D372" s="50">
        <v>551.27921761904781</v>
      </c>
      <c r="E372" s="43">
        <f>'[1]IPC99ON (real)'!O522</f>
        <v>564.63105261638168</v>
      </c>
      <c r="F372" s="31">
        <f t="shared" si="65"/>
        <v>226.99731313921694</v>
      </c>
      <c r="G372" s="31">
        <f t="shared" si="74"/>
        <v>564.63105261638179</v>
      </c>
      <c r="H372" s="31">
        <f t="shared" si="75"/>
        <v>515.51437979557591</v>
      </c>
      <c r="I372" s="29">
        <v>0.33</v>
      </c>
      <c r="J372" s="45">
        <f t="shared" si="66"/>
        <v>152.08819980327533</v>
      </c>
      <c r="K372" s="64">
        <f t="shared" si="76"/>
        <v>345.3946344630358</v>
      </c>
      <c r="L372" s="53">
        <f t="shared" si="77"/>
        <v>206.90372263979032</v>
      </c>
      <c r="M372" s="53">
        <f t="shared" si="77"/>
        <v>304.63352851680048</v>
      </c>
    </row>
    <row r="373" spans="1:13" x14ac:dyDescent="0.15">
      <c r="A373" s="40">
        <v>45261</v>
      </c>
      <c r="B373" s="51" t="s">
        <v>63</v>
      </c>
      <c r="C373" s="52">
        <v>508</v>
      </c>
      <c r="D373" s="50">
        <v>769.27910157894735</v>
      </c>
      <c r="E373" s="43">
        <f>'[1]IPC99ON (real)'!O523</f>
        <v>708.61197103355903</v>
      </c>
      <c r="F373" s="31">
        <f t="shared" si="65"/>
        <v>242.83936832538848</v>
      </c>
      <c r="G373" s="31">
        <f t="shared" si="74"/>
        <v>708.61197103355914</v>
      </c>
      <c r="H373" s="31">
        <f t="shared" si="75"/>
        <v>551.49193010683371</v>
      </c>
      <c r="I373" s="29">
        <v>0.33</v>
      </c>
      <c r="J373" s="45">
        <f t="shared" si="66"/>
        <v>162.70237677801026</v>
      </c>
      <c r="K373" s="64">
        <f t="shared" si="76"/>
        <v>369.49959317157857</v>
      </c>
      <c r="L373" s="53">
        <f t="shared" si="77"/>
        <v>206.90372263979032</v>
      </c>
      <c r="M373" s="53">
        <f t="shared" si="77"/>
        <v>304.63352851680048</v>
      </c>
    </row>
    <row r="374" spans="1:13" x14ac:dyDescent="0.15">
      <c r="A374" s="40">
        <v>45292</v>
      </c>
      <c r="B374" s="12" t="s">
        <v>72</v>
      </c>
      <c r="C374" s="52">
        <v>464</v>
      </c>
      <c r="D374" s="50">
        <v>896.13454545454545</v>
      </c>
      <c r="E374" s="43">
        <f>'[1]IPC99ON (real)'!O524</f>
        <v>854.58603706647216</v>
      </c>
      <c r="F374" s="31">
        <f t="shared" si="65"/>
        <v>214.24729133427712</v>
      </c>
      <c r="G374" s="31">
        <f t="shared" ref="G374:G379" si="78">+E374/AVERAGE(E$2:E$13)</f>
        <v>854.58603706647227</v>
      </c>
      <c r="H374" s="31">
        <f t="shared" ref="H374:H379" si="79">+(C374*D374)/G374</f>
        <v>486.55888471831702</v>
      </c>
      <c r="I374" s="29">
        <v>0.33</v>
      </c>
      <c r="J374" s="45">
        <f t="shared" si="66"/>
        <v>143.54568519396565</v>
      </c>
      <c r="K374" s="64">
        <f t="shared" ref="K374:K379" si="80">+H374*(1-I374)</f>
        <v>325.99445276127238</v>
      </c>
      <c r="L374" s="53">
        <f t="shared" ref="L374:M387" si="81">+L373</f>
        <v>206.90372263979032</v>
      </c>
      <c r="M374" s="53">
        <f t="shared" si="81"/>
        <v>304.63352851680048</v>
      </c>
    </row>
    <row r="375" spans="1:13" x14ac:dyDescent="0.15">
      <c r="A375" s="40">
        <v>45323</v>
      </c>
      <c r="B375" s="12" t="s">
        <v>1</v>
      </c>
      <c r="C375" s="52">
        <v>415</v>
      </c>
      <c r="D375" s="50">
        <v>901.89291368421038</v>
      </c>
      <c r="E375" s="43">
        <f>'[1]IPC99ON (real)'!O525</f>
        <v>967.39139395924656</v>
      </c>
      <c r="F375" s="31">
        <f t="shared" si="65"/>
        <v>170.36515960513103</v>
      </c>
      <c r="G375" s="31">
        <f t="shared" si="78"/>
        <v>967.39139395924667</v>
      </c>
      <c r="H375" s="31">
        <f t="shared" si="79"/>
        <v>386.90189050277496</v>
      </c>
      <c r="I375" s="29">
        <v>0.33</v>
      </c>
      <c r="J375" s="45">
        <f t="shared" si="66"/>
        <v>114.14465693543778</v>
      </c>
      <c r="K375" s="64">
        <f t="shared" si="80"/>
        <v>259.22426663685917</v>
      </c>
      <c r="L375" s="53">
        <f t="shared" si="81"/>
        <v>206.90372263979032</v>
      </c>
      <c r="M375" s="53">
        <f t="shared" si="81"/>
        <v>304.63352851680048</v>
      </c>
    </row>
    <row r="376" spans="1:13" x14ac:dyDescent="0.15">
      <c r="A376" s="40">
        <v>45352</v>
      </c>
      <c r="B376" s="12" t="s">
        <v>2</v>
      </c>
      <c r="C376" s="52">
        <v>422</v>
      </c>
      <c r="D376" s="50">
        <v>898.08868848484838</v>
      </c>
      <c r="E376" s="43">
        <f>'[1]IPC99ON (real)'!O526</f>
        <v>1073.8044472947638</v>
      </c>
      <c r="F376" s="31">
        <f t="shared" si="65"/>
        <v>155.41266643056628</v>
      </c>
      <c r="G376" s="31">
        <f t="shared" si="78"/>
        <v>1073.804447294764</v>
      </c>
      <c r="H376" s="31">
        <f t="shared" si="79"/>
        <v>352.94454916386712</v>
      </c>
      <c r="I376" s="29">
        <v>0.33</v>
      </c>
      <c r="J376" s="45">
        <f t="shared" si="66"/>
        <v>104.12648650847939</v>
      </c>
      <c r="K376" s="64">
        <f t="shared" si="80"/>
        <v>236.47284793979094</v>
      </c>
      <c r="L376" s="53">
        <f t="shared" si="81"/>
        <v>206.90372263979032</v>
      </c>
      <c r="M376" s="53">
        <f t="shared" si="81"/>
        <v>304.63352851680048</v>
      </c>
    </row>
    <row r="377" spans="1:13" x14ac:dyDescent="0.15">
      <c r="A377" s="40">
        <v>45383</v>
      </c>
      <c r="B377" s="12" t="s">
        <v>3</v>
      </c>
      <c r="C377" s="52">
        <v>425</v>
      </c>
      <c r="D377" s="50">
        <v>906.32509440000013</v>
      </c>
      <c r="E377" s="43">
        <f>'[1]IPC99ON (real)'!O527</f>
        <v>1168.299238656703</v>
      </c>
      <c r="F377" s="31">
        <f t="shared" si="65"/>
        <v>145.17731965875549</v>
      </c>
      <c r="G377" s="31">
        <f t="shared" si="78"/>
        <v>1168.2992386567032</v>
      </c>
      <c r="H377" s="31">
        <f t="shared" si="79"/>
        <v>329.69991965661546</v>
      </c>
      <c r="I377" s="29">
        <v>0.33</v>
      </c>
      <c r="J377" s="45">
        <f t="shared" si="66"/>
        <v>97.26880417136617</v>
      </c>
      <c r="K377" s="64">
        <f t="shared" si="80"/>
        <v>220.89894616993234</v>
      </c>
      <c r="L377" s="53">
        <f t="shared" si="81"/>
        <v>206.90372263979032</v>
      </c>
      <c r="M377" s="53">
        <f t="shared" si="81"/>
        <v>304.63352851680048</v>
      </c>
    </row>
    <row r="378" spans="1:13" x14ac:dyDescent="0.15">
      <c r="A378" s="40">
        <v>45413</v>
      </c>
      <c r="B378" s="12" t="s">
        <v>2</v>
      </c>
      <c r="C378" s="52">
        <v>455</v>
      </c>
      <c r="D378" s="50">
        <v>939.59747826086971</v>
      </c>
      <c r="E378" s="43">
        <f>'[1]IPC99ON (real)'!O528</f>
        <v>1217.3678066802847</v>
      </c>
      <c r="F378" s="31">
        <f t="shared" ref="F378:F383" si="82">+(C378*(D378/E378))/(AVERAGE(C$2:C$13)*AVERAGE(D$2:D$13)/AVERAGE(E$2:E$13))*100</f>
        <v>154.63626776284053</v>
      </c>
      <c r="G378" s="31">
        <f t="shared" si="78"/>
        <v>1217.367806680285</v>
      </c>
      <c r="H378" s="31">
        <f t="shared" si="79"/>
        <v>351.18133588115631</v>
      </c>
      <c r="I378" s="29">
        <v>0.33</v>
      </c>
      <c r="J378" s="45">
        <f t="shared" si="66"/>
        <v>103.60629940110314</v>
      </c>
      <c r="K378" s="64">
        <f t="shared" si="80"/>
        <v>235.29149504037471</v>
      </c>
      <c r="L378" s="53">
        <f t="shared" si="81"/>
        <v>206.90372263979032</v>
      </c>
      <c r="M378" s="53">
        <f t="shared" si="81"/>
        <v>304.63352851680048</v>
      </c>
    </row>
    <row r="379" spans="1:13" x14ac:dyDescent="0.15">
      <c r="A379" s="40">
        <v>45444</v>
      </c>
      <c r="B379" s="12" t="s">
        <v>4</v>
      </c>
      <c r="C379" s="52">
        <v>444</v>
      </c>
      <c r="D379" s="50">
        <v>983.64050400000031</v>
      </c>
      <c r="E379" s="43">
        <f>'[1]IPC99ON (real)'!O529</f>
        <v>1273.3667257875779</v>
      </c>
      <c r="F379" s="31">
        <f t="shared" si="82"/>
        <v>151.02394453755767</v>
      </c>
      <c r="G379" s="31">
        <f t="shared" si="78"/>
        <v>1273.3667257875782</v>
      </c>
      <c r="H379" s="31">
        <f t="shared" si="79"/>
        <v>342.97769443117681</v>
      </c>
      <c r="I379" s="29">
        <v>0.33</v>
      </c>
      <c r="J379" s="45">
        <f t="shared" si="66"/>
        <v>101.18604284016362</v>
      </c>
      <c r="K379" s="64">
        <f t="shared" si="80"/>
        <v>229.79505526888843</v>
      </c>
      <c r="L379" s="53">
        <f t="shared" si="81"/>
        <v>206.90372263979032</v>
      </c>
      <c r="M379" s="53">
        <f t="shared" si="81"/>
        <v>304.63352851680048</v>
      </c>
    </row>
    <row r="380" spans="1:13" x14ac:dyDescent="0.15">
      <c r="A380" s="40">
        <v>45474</v>
      </c>
      <c r="B380" s="51" t="s">
        <v>4</v>
      </c>
      <c r="C380" s="52">
        <v>426</v>
      </c>
      <c r="D380" s="50">
        <v>1009.0267600000002</v>
      </c>
      <c r="E380" s="43">
        <f>'[1]IPC99ON (real)'!O530</f>
        <v>1324.301394819081</v>
      </c>
      <c r="F380" s="31">
        <f t="shared" si="82"/>
        <v>142.92407146910648</v>
      </c>
      <c r="G380" s="31">
        <f t="shared" ref="G380" si="83">+E380/AVERAGE(E$2:E$13)</f>
        <v>1324.3013948190812</v>
      </c>
      <c r="H380" s="31">
        <f t="shared" ref="H380" si="84">+(C380*D380)/G380</f>
        <v>324.58275845788353</v>
      </c>
      <c r="I380" s="29">
        <v>0.33</v>
      </c>
      <c r="J380" s="45">
        <f t="shared" si="66"/>
        <v>95.759127884301336</v>
      </c>
      <c r="K380" s="64">
        <f t="shared" ref="K380" si="85">+H380*(1-I380)</f>
        <v>217.47044816678195</v>
      </c>
      <c r="L380" s="53">
        <f t="shared" si="81"/>
        <v>206.90372263979032</v>
      </c>
      <c r="M380" s="53">
        <f t="shared" si="81"/>
        <v>304.63352851680048</v>
      </c>
    </row>
    <row r="381" spans="1:13" x14ac:dyDescent="0.15">
      <c r="A381" s="40">
        <v>45505</v>
      </c>
      <c r="B381" s="51" t="s">
        <v>3</v>
      </c>
      <c r="C381" s="52">
        <v>401</v>
      </c>
      <c r="D381" s="50">
        <v>1013.6240836363636</v>
      </c>
      <c r="E381" s="43">
        <f>'[1]IPC99ON (real)'!O531</f>
        <v>1379.9220534014826</v>
      </c>
      <c r="F381" s="31">
        <f t="shared" si="82"/>
        <v>129.70199931371832</v>
      </c>
      <c r="G381" s="31">
        <f t="shared" ref="G381:G386" si="86">+E381/AVERAGE(E$2:E$13)</f>
        <v>1379.9220534014828</v>
      </c>
      <c r="H381" s="31">
        <f t="shared" ref="H381:H386" si="87">+(C381*D381)/G381</f>
        <v>294.55522979450706</v>
      </c>
      <c r="I381" s="29">
        <v>0.33</v>
      </c>
      <c r="J381" s="45">
        <f t="shared" si="66"/>
        <v>86.900339540191268</v>
      </c>
      <c r="K381" s="64">
        <f t="shared" ref="K381:K386" si="88">+H381*(1-I381)</f>
        <v>197.35200396231971</v>
      </c>
      <c r="L381" s="53">
        <f t="shared" si="81"/>
        <v>206.90372263979032</v>
      </c>
      <c r="M381" s="53">
        <f t="shared" si="81"/>
        <v>304.63352851680048</v>
      </c>
    </row>
    <row r="382" spans="1:13" x14ac:dyDescent="0.15">
      <c r="A382" s="40">
        <v>45536</v>
      </c>
      <c r="B382" s="51" t="s">
        <v>5</v>
      </c>
      <c r="C382" s="52">
        <v>421</v>
      </c>
      <c r="D382" s="50">
        <v>1019.0886095238096</v>
      </c>
      <c r="E382" s="43">
        <f>'[1]IPC99ON (real)'!O532</f>
        <v>1428.2193252705342</v>
      </c>
      <c r="F382" s="31">
        <f t="shared" si="82"/>
        <v>132.27539610328466</v>
      </c>
      <c r="G382" s="31">
        <f t="shared" si="86"/>
        <v>1428.2193252705345</v>
      </c>
      <c r="H382" s="31">
        <f t="shared" si="87"/>
        <v>300.39945337405055</v>
      </c>
      <c r="I382" s="29">
        <v>0.33</v>
      </c>
      <c r="J382" s="45">
        <f t="shared" si="66"/>
        <v>88.62451538920071</v>
      </c>
      <c r="K382" s="64">
        <f t="shared" si="88"/>
        <v>201.26763376061385</v>
      </c>
      <c r="L382" s="53">
        <f t="shared" si="81"/>
        <v>206.90372263979032</v>
      </c>
      <c r="M382" s="53">
        <f t="shared" si="81"/>
        <v>304.63352851680048</v>
      </c>
    </row>
    <row r="383" spans="1:13" x14ac:dyDescent="0.15">
      <c r="A383" s="40">
        <v>45566</v>
      </c>
      <c r="B383" s="51" t="s">
        <v>6</v>
      </c>
      <c r="C383" s="52">
        <v>416</v>
      </c>
      <c r="D383" s="50">
        <v>1023.4686330434783</v>
      </c>
      <c r="E383" s="43">
        <f>'[1]IPC99ON (real)'!O533</f>
        <v>1466.7812470528386</v>
      </c>
      <c r="F383" s="31">
        <f t="shared" si="82"/>
        <v>127.81518457922776</v>
      </c>
      <c r="G383" s="31">
        <f t="shared" si="86"/>
        <v>1466.7812470528388</v>
      </c>
      <c r="H383" s="31">
        <f t="shared" si="87"/>
        <v>290.27024459275043</v>
      </c>
      <c r="I383" s="29">
        <v>0.33</v>
      </c>
      <c r="J383" s="45">
        <f t="shared" si="66"/>
        <v>85.636173668082591</v>
      </c>
      <c r="K383" s="64">
        <f t="shared" si="88"/>
        <v>194.48106387714276</v>
      </c>
      <c r="L383" s="53">
        <f t="shared" si="81"/>
        <v>206.90372263979032</v>
      </c>
      <c r="M383" s="53">
        <f t="shared" si="81"/>
        <v>304.63352851680048</v>
      </c>
    </row>
    <row r="384" spans="1:13" x14ac:dyDescent="0.15">
      <c r="A384" s="40">
        <v>45597</v>
      </c>
      <c r="B384" s="51" t="s">
        <v>7</v>
      </c>
      <c r="C384" s="52">
        <v>418</v>
      </c>
      <c r="D384" s="50">
        <v>1028.9941640000002</v>
      </c>
      <c r="E384" s="43">
        <f>'[1]IPC99ON (real)'!O534</f>
        <v>1501.9839969821066</v>
      </c>
      <c r="F384" s="31">
        <f t="shared" ref="F384:F385" si="89">+(C384*(D384/E384))/(AVERAGE(C$2:C$13)*AVERAGE(D$2:D$13)/AVERAGE(E$2:E$13))*100</f>
        <v>126.09672890160917</v>
      </c>
      <c r="G384" s="31">
        <f t="shared" si="86"/>
        <v>1501.9839969821069</v>
      </c>
      <c r="H384" s="31">
        <f t="shared" si="87"/>
        <v>286.36760539142023</v>
      </c>
      <c r="I384" s="29">
        <v>0.33</v>
      </c>
      <c r="J384" s="45">
        <f t="shared" si="66"/>
        <v>84.484808364078134</v>
      </c>
      <c r="K384" s="64">
        <f t="shared" si="88"/>
        <v>191.86629561225152</v>
      </c>
      <c r="L384" s="53">
        <f t="shared" si="81"/>
        <v>206.90372263979032</v>
      </c>
      <c r="M384" s="53">
        <f t="shared" si="81"/>
        <v>304.63352851680048</v>
      </c>
    </row>
    <row r="385" spans="1:13" x14ac:dyDescent="0.15">
      <c r="A385" s="40">
        <v>45627</v>
      </c>
      <c r="B385" s="51" t="s">
        <v>63</v>
      </c>
      <c r="C385" s="52">
        <v>410</v>
      </c>
      <c r="D385" s="50">
        <v>1042.001268</v>
      </c>
      <c r="E385" s="43">
        <f>'[1]IPC99ON (real)'!O535</f>
        <v>1542.5375649006232</v>
      </c>
      <c r="F385" s="31">
        <f t="shared" si="89"/>
        <v>121.95406692958039</v>
      </c>
      <c r="G385" s="31">
        <f t="shared" si="86"/>
        <v>1542.5375649006235</v>
      </c>
      <c r="H385" s="31">
        <f t="shared" si="87"/>
        <v>276.95955651331138</v>
      </c>
      <c r="I385" s="29">
        <v>0.33</v>
      </c>
      <c r="J385" s="45">
        <f t="shared" si="66"/>
        <v>81.709224842818855</v>
      </c>
      <c r="K385" s="64">
        <f t="shared" si="88"/>
        <v>185.56290286391859</v>
      </c>
      <c r="L385" s="53">
        <f t="shared" si="81"/>
        <v>206.90372263979032</v>
      </c>
      <c r="M385" s="53">
        <f t="shared" si="81"/>
        <v>304.63352851680048</v>
      </c>
    </row>
    <row r="386" spans="1:13" x14ac:dyDescent="0.15">
      <c r="A386" s="40">
        <v>45658</v>
      </c>
      <c r="B386" s="12" t="s">
        <v>77</v>
      </c>
      <c r="C386" s="52">
        <v>416</v>
      </c>
      <c r="D386" s="42">
        <v>1043.5644</v>
      </c>
      <c r="E386" s="43">
        <f>'[1]IPC99ON (real)'!O536</f>
        <v>1576.4733913284369</v>
      </c>
      <c r="F386" s="31">
        <f t="shared" ref="F386:F406" si="90">+(C386*(D386/E386))/(AVERAGE(C$2:C$13)*AVERAGE(D$2:D$13)/AVERAGE(E$2:E$13))*100</f>
        <v>121.25673599034104</v>
      </c>
      <c r="G386" s="31">
        <f t="shared" si="86"/>
        <v>1576.4733913284372</v>
      </c>
      <c r="H386" s="31">
        <f t="shared" si="87"/>
        <v>275.37590725472404</v>
      </c>
      <c r="I386" s="29">
        <v>0.33</v>
      </c>
      <c r="J386" s="45">
        <f t="shared" si="66"/>
        <v>81.242013113528486</v>
      </c>
      <c r="K386" s="64">
        <f t="shared" si="88"/>
        <v>184.5018578606651</v>
      </c>
      <c r="L386" s="53">
        <f t="shared" si="81"/>
        <v>206.90372263979032</v>
      </c>
      <c r="M386" s="53">
        <f t="shared" si="81"/>
        <v>304.63352851680048</v>
      </c>
    </row>
    <row r="387" spans="1:13" x14ac:dyDescent="0.15">
      <c r="A387" s="40">
        <v>45689</v>
      </c>
      <c r="B387" s="12" t="s">
        <v>1</v>
      </c>
      <c r="C387" s="52">
        <v>405</v>
      </c>
      <c r="D387" s="42">
        <v>1058.4625000000001</v>
      </c>
      <c r="E387" s="43">
        <f>'[1]IPC99ON (real)'!O537</f>
        <v>1614.3087527203195</v>
      </c>
      <c r="F387" s="31">
        <f t="shared" si="90"/>
        <v>116.92942942643047</v>
      </c>
      <c r="G387" s="31">
        <f t="shared" ref="G387:G406" si="91">+E387/AVERAGE(E$2:E$13)</f>
        <v>1614.3087527203197</v>
      </c>
      <c r="H387" s="31">
        <f t="shared" ref="H387:H391" si="92">+(C387*D387)/G387</f>
        <v>265.54852767639596</v>
      </c>
      <c r="I387" s="60">
        <v>0.26</v>
      </c>
      <c r="J387" s="45">
        <f t="shared" ref="J387:J406" si="93">+F387*(1-I387)</f>
        <v>86.527777775558548</v>
      </c>
      <c r="K387" s="64">
        <f t="shared" ref="K387" si="94">+H387*(1-I387)</f>
        <v>196.505910480533</v>
      </c>
      <c r="L387" s="53">
        <f t="shared" si="81"/>
        <v>206.90372263979032</v>
      </c>
      <c r="M387" s="53">
        <f t="shared" si="81"/>
        <v>304.63352851680048</v>
      </c>
    </row>
    <row r="388" spans="1:13" x14ac:dyDescent="0.15">
      <c r="A388" s="40">
        <v>45717</v>
      </c>
      <c r="B388" s="12" t="s">
        <v>2</v>
      </c>
      <c r="C388" s="52">
        <v>404</v>
      </c>
      <c r="D388" s="61">
        <v>1069.0346999999999</v>
      </c>
      <c r="E388" s="43">
        <f>'[1]IPC99ON (real)'!O538</f>
        <v>1674.038176570971</v>
      </c>
      <c r="F388" s="31">
        <f t="shared" si="90"/>
        <v>113.60246163980578</v>
      </c>
      <c r="G388" s="31">
        <f t="shared" si="91"/>
        <v>1674.0381765709712</v>
      </c>
      <c r="H388" s="31">
        <f t="shared" si="92"/>
        <v>257.99293280435523</v>
      </c>
      <c r="I388" s="60">
        <v>0.26</v>
      </c>
      <c r="J388" s="45">
        <f t="shared" si="93"/>
        <v>84.065821613456279</v>
      </c>
      <c r="K388" s="64">
        <f t="shared" ref="K388:K394" si="95">+H388*(1-I388)</f>
        <v>190.91477027522288</v>
      </c>
      <c r="L388" s="53">
        <f t="shared" ref="L388:M388" si="96">+L387</f>
        <v>206.90372263979032</v>
      </c>
      <c r="M388" s="53">
        <f t="shared" si="96"/>
        <v>304.63352851680048</v>
      </c>
    </row>
    <row r="389" spans="1:13" x14ac:dyDescent="0.15">
      <c r="A389" s="40">
        <v>45748</v>
      </c>
      <c r="B389" s="12" t="s">
        <v>3</v>
      </c>
      <c r="C389" s="52">
        <v>401</v>
      </c>
      <c r="D389" s="61">
        <v>1121.568</v>
      </c>
      <c r="E389" s="43">
        <f>'[1]IPC99ON (real)'!O539</f>
        <v>1720.9112455149584</v>
      </c>
      <c r="F389" s="31">
        <f t="shared" si="90"/>
        <v>115.07777132559708</v>
      </c>
      <c r="G389" s="31">
        <f t="shared" si="91"/>
        <v>1720.9112455149586</v>
      </c>
      <c r="H389" s="31">
        <f t="shared" si="92"/>
        <v>261.34338372890284</v>
      </c>
      <c r="I389" s="60">
        <v>0.26</v>
      </c>
      <c r="J389" s="45">
        <f t="shared" si="93"/>
        <v>85.157550780941847</v>
      </c>
      <c r="K389" s="64">
        <f t="shared" si="95"/>
        <v>193.3941039593881</v>
      </c>
      <c r="L389" s="53">
        <f t="shared" ref="L389:M389" si="97">+L388</f>
        <v>206.90372263979032</v>
      </c>
      <c r="M389" s="53">
        <f t="shared" si="97"/>
        <v>304.63352851680048</v>
      </c>
    </row>
    <row r="390" spans="1:13" x14ac:dyDescent="0.15">
      <c r="A390" s="40">
        <v>45778</v>
      </c>
      <c r="B390" s="12" t="s">
        <v>2</v>
      </c>
      <c r="C390" s="52">
        <v>389</v>
      </c>
      <c r="D390" s="61">
        <v>1147.5291999999999</v>
      </c>
      <c r="E390" s="43">
        <f>'[1]IPC99ON (real)'!O540</f>
        <v>1746.7249141976827</v>
      </c>
      <c r="F390" s="31">
        <f t="shared" si="90"/>
        <v>112.53011548712495</v>
      </c>
      <c r="G390" s="31">
        <f t="shared" si="91"/>
        <v>1746.7249141976829</v>
      </c>
      <c r="H390" s="31">
        <f t="shared" si="92"/>
        <v>255.55761824410584</v>
      </c>
      <c r="I390" s="60">
        <v>0.26</v>
      </c>
      <c r="J390" s="45">
        <f t="shared" si="93"/>
        <v>83.27228546047246</v>
      </c>
      <c r="K390" s="64">
        <f t="shared" si="95"/>
        <v>189.11263750063833</v>
      </c>
      <c r="L390" s="53">
        <f t="shared" ref="L390:M390" si="98">+L389</f>
        <v>206.90372263979032</v>
      </c>
      <c r="M390" s="53">
        <f t="shared" si="98"/>
        <v>304.63352851680048</v>
      </c>
    </row>
    <row r="391" spans="1:13" x14ac:dyDescent="0.15">
      <c r="A391" s="40">
        <v>45809</v>
      </c>
      <c r="B391" s="12" t="s">
        <v>4</v>
      </c>
      <c r="C391" s="52">
        <v>395</v>
      </c>
      <c r="D391" s="61">
        <v>1181.3552999999999</v>
      </c>
      <c r="E391" s="43">
        <f>'[1]IPC99ON (real)'!O541</f>
        <v>1774.6725128248456</v>
      </c>
      <c r="F391" s="31">
        <f t="shared" si="90"/>
        <v>115.7815447439998</v>
      </c>
      <c r="G391" s="31">
        <f t="shared" si="91"/>
        <v>1774.6725128248459</v>
      </c>
      <c r="H391" s="31">
        <f t="shared" si="92"/>
        <v>262.94166395648415</v>
      </c>
      <c r="I391" s="60">
        <v>0.26</v>
      </c>
      <c r="J391" s="45">
        <f t="shared" si="93"/>
        <v>85.678343110559851</v>
      </c>
      <c r="K391" s="64">
        <f t="shared" si="95"/>
        <v>194.57683132779826</v>
      </c>
      <c r="L391" s="53">
        <f t="shared" ref="L391:M391" si="99">+L390</f>
        <v>206.90372263979032</v>
      </c>
      <c r="M391" s="53">
        <f t="shared" si="99"/>
        <v>304.63352851680048</v>
      </c>
    </row>
    <row r="392" spans="1:13" x14ac:dyDescent="0.15">
      <c r="A392" s="40">
        <v>45839</v>
      </c>
      <c r="B392" s="51" t="s">
        <v>4</v>
      </c>
      <c r="C392" s="52">
        <v>401</v>
      </c>
      <c r="D392" s="61">
        <v>1267.0227</v>
      </c>
      <c r="E392" s="43">
        <f>'[1]IPC99ON (real)'!O542</f>
        <v>1808.3912905685177</v>
      </c>
      <c r="F392" s="31">
        <f t="shared" si="90"/>
        <v>123.71327226195257</v>
      </c>
      <c r="G392" s="31">
        <f t="shared" si="91"/>
        <v>1808.3912905685179</v>
      </c>
      <c r="H392" s="31">
        <f>+(C392*D392)/G392</f>
        <v>280.95473880560007</v>
      </c>
      <c r="I392" s="60">
        <v>0.33</v>
      </c>
      <c r="J392" s="45">
        <f t="shared" si="93"/>
        <v>82.887892415508219</v>
      </c>
      <c r="K392" s="64">
        <f t="shared" si="95"/>
        <v>188.23967499975203</v>
      </c>
      <c r="L392" s="53">
        <f t="shared" ref="L392:M392" si="100">+L391</f>
        <v>206.90372263979032</v>
      </c>
      <c r="M392" s="53">
        <f t="shared" si="100"/>
        <v>304.63352851680048</v>
      </c>
    </row>
    <row r="393" spans="1:13" x14ac:dyDescent="0.15">
      <c r="A393" s="40">
        <v>45870</v>
      </c>
      <c r="B393" s="51" t="s">
        <v>3</v>
      </c>
      <c r="C393" s="52">
        <v>416</v>
      </c>
      <c r="D393" s="61">
        <v>1329.5374999999999</v>
      </c>
      <c r="E393" s="43">
        <f>'[1]IPC99ON (real)'!O543</f>
        <v>1842.7507250893193</v>
      </c>
      <c r="F393" s="31">
        <f t="shared" si="90"/>
        <v>132.16220133032212</v>
      </c>
      <c r="G393" s="31">
        <f t="shared" si="91"/>
        <v>1842.7507250893195</v>
      </c>
      <c r="H393" s="31">
        <f t="shared" ref="H393:H406" si="101">+(C393*D393)/G393</f>
        <v>300.1423863084853</v>
      </c>
      <c r="I393" s="60">
        <v>0.26</v>
      </c>
      <c r="J393" s="45">
        <f t="shared" si="93"/>
        <v>97.80002898443837</v>
      </c>
      <c r="K393" s="64">
        <f t="shared" si="95"/>
        <v>222.10536586827911</v>
      </c>
      <c r="L393" s="53">
        <f t="shared" ref="L393:M393" si="102">+L392</f>
        <v>206.90372263979032</v>
      </c>
      <c r="M393" s="53">
        <f t="shared" si="102"/>
        <v>304.63352851680048</v>
      </c>
    </row>
    <row r="394" spans="1:13" x14ac:dyDescent="0.15">
      <c r="A394" s="40">
        <v>45901</v>
      </c>
      <c r="B394" s="51" t="s">
        <v>5</v>
      </c>
      <c r="C394" s="52">
        <v>411</v>
      </c>
      <c r="D394" s="61">
        <v>1399.8977</v>
      </c>
      <c r="E394" s="43">
        <f>'[1]IPC99ON (real)'!O544</f>
        <v>1881.4484903161949</v>
      </c>
      <c r="F394" s="31">
        <f t="shared" si="90"/>
        <v>134.65600378834236</v>
      </c>
      <c r="G394" s="31">
        <f t="shared" si="91"/>
        <v>1881.4484903161951</v>
      </c>
      <c r="H394" s="31">
        <f t="shared" si="101"/>
        <v>305.80584994027964</v>
      </c>
      <c r="I394" s="60">
        <v>0</v>
      </c>
      <c r="J394" s="45">
        <f t="shared" si="93"/>
        <v>134.65600378834236</v>
      </c>
      <c r="K394" s="64">
        <f t="shared" si="95"/>
        <v>305.80584994027964</v>
      </c>
      <c r="L394" s="53">
        <f t="shared" ref="L394:M394" si="103">+L393</f>
        <v>206.90372263979032</v>
      </c>
      <c r="M394" s="53">
        <f t="shared" si="103"/>
        <v>304.63352851680048</v>
      </c>
    </row>
    <row r="395" spans="1:13" x14ac:dyDescent="0.15">
      <c r="A395" s="40">
        <v>45931</v>
      </c>
      <c r="B395" s="51" t="s">
        <v>6</v>
      </c>
      <c r="C395" s="52">
        <v>410</v>
      </c>
      <c r="D395" s="61">
        <v>1432.0227</v>
      </c>
      <c r="E395" s="43">
        <f>'[1]IPC99ON (real)'!O545</f>
        <v>1922.8403571031513</v>
      </c>
      <c r="F395" s="31">
        <f t="shared" si="90"/>
        <v>134.45298951818623</v>
      </c>
      <c r="G395" s="31">
        <f t="shared" si="91"/>
        <v>1922.8403571031515</v>
      </c>
      <c r="H395" s="31">
        <f t="shared" si="101"/>
        <v>305.34480141894755</v>
      </c>
      <c r="I395" s="60">
        <v>0.26</v>
      </c>
      <c r="J395" s="45">
        <f t="shared" si="93"/>
        <v>99.495212243457814</v>
      </c>
      <c r="K395" s="64">
        <f t="shared" ref="K395:K401" si="104">+H395*(1-I395)</f>
        <v>225.95515305002118</v>
      </c>
      <c r="L395" s="53">
        <f t="shared" ref="L395:M395" si="105">+L394</f>
        <v>206.90372263979032</v>
      </c>
      <c r="M395" s="53">
        <f t="shared" si="105"/>
        <v>304.63352851680048</v>
      </c>
    </row>
    <row r="396" spans="1:13" x14ac:dyDescent="0.15">
      <c r="A396" s="40">
        <v>45962</v>
      </c>
      <c r="B396" s="51" t="s">
        <v>7</v>
      </c>
      <c r="C396" s="52">
        <v>437</v>
      </c>
      <c r="D396" s="61">
        <v>1427.6176</v>
      </c>
      <c r="E396" s="43">
        <f>'[1]IPC99ON (real)'!O546</f>
        <v>1970.9113660307298</v>
      </c>
      <c r="F396" s="31">
        <f t="shared" si="90"/>
        <v>139.38183216271298</v>
      </c>
      <c r="G396" s="31">
        <f t="shared" si="91"/>
        <v>1970.9113660307301</v>
      </c>
      <c r="H396" s="31">
        <f t="shared" si="101"/>
        <v>316.53827866264021</v>
      </c>
      <c r="I396" s="60">
        <v>0.26</v>
      </c>
      <c r="J396" s="45">
        <f t="shared" si="93"/>
        <v>103.14255580040761</v>
      </c>
      <c r="K396" s="64">
        <f t="shared" si="104"/>
        <v>234.23832621035376</v>
      </c>
      <c r="L396" s="53">
        <f t="shared" ref="L396:M396" si="106">+L395</f>
        <v>206.90372263979032</v>
      </c>
      <c r="M396" s="53">
        <f t="shared" si="106"/>
        <v>304.63352851680048</v>
      </c>
    </row>
    <row r="397" spans="1:13" x14ac:dyDescent="0.15">
      <c r="A397" s="40">
        <v>45992</v>
      </c>
      <c r="B397" s="51" t="s">
        <v>63</v>
      </c>
      <c r="C397" s="52">
        <v>418</v>
      </c>
      <c r="D397" s="61">
        <v>1447.8377</v>
      </c>
      <c r="E397" s="43">
        <f>'[1]IPC99ON (real)'!O547</f>
        <v>2026.0968842795903</v>
      </c>
      <c r="F397" s="31">
        <f t="shared" si="90"/>
        <v>131.52729446031719</v>
      </c>
      <c r="G397" s="31">
        <f t="shared" si="91"/>
        <v>2026.0968842795905</v>
      </c>
      <c r="H397" s="31">
        <f t="shared" si="101"/>
        <v>298.70050306858184</v>
      </c>
      <c r="I397" s="60">
        <v>0.24</v>
      </c>
      <c r="J397" s="45">
        <f t="shared" si="93"/>
        <v>99.960743789841075</v>
      </c>
      <c r="K397" s="64">
        <f t="shared" si="104"/>
        <v>227.0123823321222</v>
      </c>
      <c r="L397" s="53">
        <f t="shared" ref="L397:M397" si="107">+L396</f>
        <v>206.90372263979032</v>
      </c>
      <c r="M397" s="53">
        <f t="shared" si="107"/>
        <v>304.63352851680048</v>
      </c>
    </row>
    <row r="398" spans="1:13" x14ac:dyDescent="0.15">
      <c r="A398" s="40">
        <v>46023</v>
      </c>
      <c r="B398" s="12" t="s">
        <v>78</v>
      </c>
      <c r="C398" s="52">
        <v>407</v>
      </c>
      <c r="D398" s="61">
        <v>1449.3347000000001</v>
      </c>
      <c r="E398" s="43">
        <f>'[1]IPC99ON (real)'!O548</f>
        <v>2084.8536939236983</v>
      </c>
      <c r="F398" s="31">
        <f t="shared" si="90"/>
        <v>124.58548541081417</v>
      </c>
      <c r="G398" s="31">
        <f t="shared" si="91"/>
        <v>2084.8536939236988</v>
      </c>
      <c r="H398" s="31">
        <f t="shared" si="101"/>
        <v>282.93554824456106</v>
      </c>
      <c r="I398" s="60">
        <v>0.24</v>
      </c>
      <c r="J398" s="45">
        <f t="shared" si="93"/>
        <v>94.684968912218778</v>
      </c>
      <c r="K398" s="64">
        <f t="shared" si="104"/>
        <v>215.03101666586642</v>
      </c>
      <c r="L398" s="53">
        <f t="shared" ref="L398:M398" si="108">+L397</f>
        <v>206.90372263979032</v>
      </c>
      <c r="M398" s="53">
        <f t="shared" si="108"/>
        <v>304.63352851680048</v>
      </c>
    </row>
    <row r="399" spans="1:13" x14ac:dyDescent="0.15">
      <c r="A399" s="40">
        <v>46054</v>
      </c>
      <c r="B399" s="12" t="s">
        <v>1</v>
      </c>
      <c r="C399" s="52">
        <v>433</v>
      </c>
      <c r="D399" s="61">
        <v>1409.6570999999999</v>
      </c>
      <c r="E399" s="43">
        <f>'[1]IPC99ON (real)'!O549</f>
        <v>2145.3144510474854</v>
      </c>
      <c r="F399" s="31">
        <f t="shared" si="90"/>
        <v>125.28248349086833</v>
      </c>
      <c r="G399" s="31">
        <f t="shared" si="91"/>
        <v>2145.3144510474858</v>
      </c>
      <c r="H399" s="31">
        <f t="shared" si="101"/>
        <v>284.51844157483345</v>
      </c>
      <c r="I399" s="60">
        <v>0.24</v>
      </c>
      <c r="J399" s="45">
        <f t="shared" si="93"/>
        <v>95.214687453059938</v>
      </c>
      <c r="K399" s="64">
        <f t="shared" si="104"/>
        <v>216.23401559687343</v>
      </c>
      <c r="L399" s="53">
        <f t="shared" ref="L399:M399" si="109">+L398</f>
        <v>206.90372263979032</v>
      </c>
      <c r="M399" s="53">
        <f t="shared" si="109"/>
        <v>304.63352851680048</v>
      </c>
    </row>
    <row r="400" spans="1:13" x14ac:dyDescent="0.15">
      <c r="A400" s="40">
        <v>46082</v>
      </c>
      <c r="B400" s="12" t="s">
        <v>2</v>
      </c>
      <c r="C400" s="52">
        <v>434</v>
      </c>
      <c r="D400" s="61">
        <v>1396.3387</v>
      </c>
      <c r="E400" s="43">
        <f>'[1]IPC99ON (real)'!O550</f>
        <v>2218.2551423831001</v>
      </c>
      <c r="F400" s="31">
        <f t="shared" si="90"/>
        <v>120.2953776771804</v>
      </c>
      <c r="G400" s="31">
        <f t="shared" si="91"/>
        <v>2218.2551423831005</v>
      </c>
      <c r="H400" s="31">
        <f t="shared" si="101"/>
        <v>273.19264778034255</v>
      </c>
      <c r="I400" s="60">
        <v>0.24</v>
      </c>
      <c r="J400" s="45">
        <f t="shared" si="93"/>
        <v>91.424487034657105</v>
      </c>
      <c r="K400" s="64">
        <f t="shared" si="104"/>
        <v>207.62641231306034</v>
      </c>
      <c r="L400" s="53">
        <f t="shared" ref="L400:M400" si="110">+L399</f>
        <v>206.90372263979032</v>
      </c>
      <c r="M400" s="53">
        <f t="shared" si="110"/>
        <v>304.63352851680048</v>
      </c>
    </row>
    <row r="401" spans="1:13" x14ac:dyDescent="0.15">
      <c r="A401" s="40">
        <v>46113</v>
      </c>
      <c r="B401" s="12" t="s">
        <v>3</v>
      </c>
      <c r="C401" s="52">
        <v>423</v>
      </c>
      <c r="D401" s="61">
        <v>1381.4522999999999</v>
      </c>
      <c r="E401" s="43">
        <f>'[1]IPC99ON (real)'!O551</f>
        <v>2275.9297760850604</v>
      </c>
      <c r="F401" s="31">
        <f t="shared" si="90"/>
        <v>113.05696848407945</v>
      </c>
      <c r="G401" s="31">
        <f t="shared" si="91"/>
        <v>2275.9297760850609</v>
      </c>
      <c r="H401" s="31">
        <f t="shared" si="101"/>
        <v>256.75410948099488</v>
      </c>
      <c r="I401" s="60">
        <v>0.24</v>
      </c>
      <c r="J401" s="45">
        <f t="shared" si="93"/>
        <v>85.923296047900379</v>
      </c>
      <c r="K401" s="64">
        <f t="shared" si="104"/>
        <v>195.1331232055561</v>
      </c>
      <c r="L401" s="53">
        <f t="shared" ref="L401:M403" si="111">+L400</f>
        <v>206.90372263979032</v>
      </c>
      <c r="M401" s="53">
        <f t="shared" si="111"/>
        <v>304.63352851680048</v>
      </c>
    </row>
    <row r="402" spans="1:13" x14ac:dyDescent="0.15">
      <c r="A402" s="40">
        <v>46143</v>
      </c>
      <c r="B402" s="12" t="s">
        <v>2</v>
      </c>
      <c r="C402" s="11">
        <v>434</v>
      </c>
      <c r="D402" s="61">
        <v>1397.2372</v>
      </c>
      <c r="E402" s="43">
        <f>'[1]IPC99ON (real)'!O552</f>
        <v>2323.7243013828465</v>
      </c>
      <c r="F402" s="31">
        <f t="shared" si="90"/>
        <v>114.90930609834874</v>
      </c>
      <c r="G402" s="31">
        <f t="shared" si="91"/>
        <v>2323.724301382847</v>
      </c>
      <c r="H402" s="31">
        <f t="shared" si="101"/>
        <v>260.96079661392326</v>
      </c>
      <c r="I402" s="60">
        <v>0.24</v>
      </c>
      <c r="J402" s="45">
        <f t="shared" si="93"/>
        <v>87.331072634745041</v>
      </c>
      <c r="K402" s="64">
        <f t="shared" ref="K402" si="112">+H402*(1-I402)</f>
        <v>198.33020542658167</v>
      </c>
      <c r="L402" s="53">
        <f t="shared" si="111"/>
        <v>206.90372263979032</v>
      </c>
      <c r="M402" s="53">
        <f t="shared" si="111"/>
        <v>304.63352851680048</v>
      </c>
    </row>
    <row r="403" spans="1:13" x14ac:dyDescent="0.15">
      <c r="A403" s="35"/>
      <c r="B403" s="12" t="s">
        <v>4</v>
      </c>
      <c r="C403" s="52">
        <v>416</v>
      </c>
      <c r="D403" s="61">
        <v>1450.2728</v>
      </c>
      <c r="E403" s="43">
        <f>'[1]IPC99ON (real)'!O553</f>
        <v>2367.8750631091202</v>
      </c>
      <c r="F403" s="31">
        <f t="shared" si="90"/>
        <v>112.19259188316479</v>
      </c>
      <c r="G403" s="31">
        <f t="shared" si="91"/>
        <v>2367.8750631091207</v>
      </c>
      <c r="H403" s="31">
        <f t="shared" si="101"/>
        <v>254.7910969626175</v>
      </c>
      <c r="I403" s="60">
        <v>0.24</v>
      </c>
      <c r="J403" s="45">
        <f t="shared" si="93"/>
        <v>85.266369831205239</v>
      </c>
      <c r="K403" s="64">
        <f t="shared" ref="K403" si="113">+H403*(1-I403)</f>
        <v>193.64123369158929</v>
      </c>
      <c r="L403" s="53">
        <f t="shared" si="111"/>
        <v>206.90372263979032</v>
      </c>
      <c r="M403" s="53">
        <f t="shared" si="111"/>
        <v>304.63352851680048</v>
      </c>
    </row>
    <row r="404" spans="1:13" x14ac:dyDescent="0.15">
      <c r="A404" s="35"/>
      <c r="B404" s="51" t="s">
        <v>4</v>
      </c>
      <c r="C404" s="52">
        <v>452</v>
      </c>
      <c r="D404" s="61">
        <v>1487.0038</v>
      </c>
      <c r="E404" s="43">
        <f>'[1]IPC99ON (real)'!O554</f>
        <v>2417.6004394344118</v>
      </c>
      <c r="F404" s="31">
        <f t="shared" si="90"/>
        <v>122.41818038288432</v>
      </c>
      <c r="G404" s="31">
        <f t="shared" si="91"/>
        <v>2417.6004394344122</v>
      </c>
      <c r="H404" s="31">
        <f t="shared" si="101"/>
        <v>278.01356528427874</v>
      </c>
      <c r="I404" s="60">
        <v>0.24</v>
      </c>
      <c r="J404" s="45">
        <f t="shared" si="93"/>
        <v>93.037817090992078</v>
      </c>
      <c r="K404" s="64">
        <f t="shared" ref="K404:K406" si="114">+H404*(1-I404)</f>
        <v>211.29030961605184</v>
      </c>
      <c r="L404" s="53">
        <f t="shared" ref="L404:M404" si="115">+L403</f>
        <v>206.90372263979032</v>
      </c>
      <c r="M404" s="53">
        <f t="shared" si="115"/>
        <v>304.63352851680048</v>
      </c>
    </row>
    <row r="405" spans="1:13" x14ac:dyDescent="0.15">
      <c r="A405" s="35"/>
      <c r="B405" s="51" t="s">
        <v>3</v>
      </c>
      <c r="C405" s="52">
        <v>468</v>
      </c>
      <c r="D405" s="61">
        <v>1499.9629</v>
      </c>
      <c r="E405" s="43">
        <f>'[1]IPC99ON (real)'!O555</f>
        <v>2461.1172473442311</v>
      </c>
      <c r="F405" s="31">
        <f t="shared" si="90"/>
        <v>125.59547685173898</v>
      </c>
      <c r="G405" s="31">
        <f t="shared" si="91"/>
        <v>2461.1172473442316</v>
      </c>
      <c r="H405" s="31">
        <f t="shared" si="101"/>
        <v>285.2292542980237</v>
      </c>
      <c r="I405" s="60">
        <v>0.24</v>
      </c>
      <c r="J405" s="45">
        <f t="shared" si="93"/>
        <v>95.452562407321622</v>
      </c>
      <c r="K405" s="64">
        <f t="shared" si="114"/>
        <v>216.77423326649802</v>
      </c>
      <c r="L405" s="53">
        <f t="shared" ref="L405:M405" si="116">+L404</f>
        <v>206.90372263979032</v>
      </c>
      <c r="M405" s="53">
        <f t="shared" si="116"/>
        <v>304.63352851680048</v>
      </c>
    </row>
    <row r="406" spans="1:13" x14ac:dyDescent="0.15">
      <c r="A406" s="35"/>
      <c r="B406" s="51" t="s">
        <v>5</v>
      </c>
      <c r="C406" s="52">
        <v>507</v>
      </c>
      <c r="D406" s="61">
        <v>1515</v>
      </c>
      <c r="E406" s="43">
        <f>'[1]IPC99ON (real)'!O556</f>
        <v>2502.9562405490828</v>
      </c>
      <c r="F406" s="31">
        <f t="shared" si="90"/>
        <v>135.12859710224535</v>
      </c>
      <c r="G406" s="31">
        <f t="shared" si="91"/>
        <v>2502.9562405490833</v>
      </c>
      <c r="H406" s="31">
        <f t="shared" si="101"/>
        <v>306.87911660473048</v>
      </c>
      <c r="I406" s="60">
        <v>0.24</v>
      </c>
      <c r="J406" s="45">
        <f t="shared" si="93"/>
        <v>102.69773379770646</v>
      </c>
      <c r="K406" s="64">
        <f t="shared" si="114"/>
        <v>233.22812861959517</v>
      </c>
      <c r="L406" s="53">
        <f t="shared" ref="L406:M406" si="117">+L405</f>
        <v>206.90372263979032</v>
      </c>
      <c r="M406" s="53">
        <f t="shared" si="117"/>
        <v>304.63352851680048</v>
      </c>
    </row>
    <row r="407" spans="1:13" x14ac:dyDescent="0.15">
      <c r="A407" s="35"/>
      <c r="B407" s="51" t="s">
        <v>6</v>
      </c>
      <c r="C407" s="52"/>
      <c r="D407" s="61"/>
      <c r="E407" s="43"/>
      <c r="F407" s="31"/>
      <c r="G407" s="31"/>
      <c r="H407" s="31"/>
      <c r="I407" s="60"/>
      <c r="J407" s="54"/>
      <c r="K407" s="64"/>
      <c r="L407" s="53"/>
      <c r="M407" s="53"/>
    </row>
    <row r="408" spans="1:13" x14ac:dyDescent="0.15">
      <c r="A408" s="35"/>
      <c r="B408" s="51" t="s">
        <v>7</v>
      </c>
      <c r="C408" s="52"/>
      <c r="D408" s="61"/>
      <c r="E408" s="43"/>
      <c r="F408" s="31"/>
      <c r="G408" s="31"/>
      <c r="H408" s="31"/>
      <c r="I408" s="60"/>
      <c r="J408" s="54"/>
      <c r="K408" s="64"/>
      <c r="L408" s="53"/>
      <c r="M408" s="53"/>
    </row>
    <row r="409" spans="1:13" x14ac:dyDescent="0.15">
      <c r="A409" s="35"/>
      <c r="B409" s="51" t="s">
        <v>63</v>
      </c>
      <c r="C409" s="52"/>
      <c r="D409" s="61"/>
      <c r="E409" s="43"/>
      <c r="F409" s="31"/>
      <c r="G409" s="31"/>
      <c r="H409" s="31"/>
      <c r="I409" s="60"/>
      <c r="J409" s="54"/>
      <c r="K409" s="64"/>
      <c r="L409" s="53"/>
      <c r="M409" s="53"/>
    </row>
    <row r="410" spans="1:13" x14ac:dyDescent="0.15">
      <c r="A410" s="35"/>
      <c r="B410" s="51"/>
      <c r="C410" s="52"/>
      <c r="D410" s="61"/>
      <c r="E410" s="43"/>
      <c r="F410" s="31"/>
      <c r="G410" s="31"/>
      <c r="H410" s="31"/>
      <c r="I410" s="60"/>
      <c r="J410" s="54"/>
      <c r="K410" s="30"/>
      <c r="L410" s="53"/>
      <c r="M410" s="53"/>
    </row>
    <row r="411" spans="1:13" x14ac:dyDescent="0.15">
      <c r="A411" s="35"/>
      <c r="B411" s="51"/>
      <c r="C411" s="52"/>
      <c r="D411" s="61"/>
      <c r="E411" s="43"/>
      <c r="F411" s="31"/>
      <c r="G411" s="31"/>
      <c r="H411" s="31"/>
      <c r="I411" s="60"/>
      <c r="J411" s="54"/>
      <c r="K411" s="30"/>
      <c r="L411" s="53"/>
      <c r="M411" s="53"/>
    </row>
    <row r="412" spans="1:13" x14ac:dyDescent="0.15">
      <c r="A412" s="35"/>
      <c r="B412" s="51"/>
      <c r="C412" s="52"/>
      <c r="D412" s="61"/>
      <c r="E412" s="43"/>
      <c r="F412" s="31"/>
      <c r="G412" s="31"/>
      <c r="H412" s="31"/>
      <c r="I412" s="60"/>
      <c r="J412" s="54"/>
      <c r="K412" s="30"/>
      <c r="L412" s="53"/>
      <c r="M412" s="53"/>
    </row>
    <row r="413" spans="1:13" x14ac:dyDescent="0.15">
      <c r="A413" s="35"/>
      <c r="B413" s="51"/>
      <c r="C413" s="52"/>
      <c r="D413" s="61"/>
      <c r="E413" s="43"/>
      <c r="F413" s="31"/>
      <c r="G413" s="31"/>
      <c r="H413" s="31"/>
      <c r="I413" s="60"/>
      <c r="J413" s="54"/>
      <c r="K413" s="30"/>
      <c r="L413" s="53"/>
      <c r="M413" s="53"/>
    </row>
    <row r="414" spans="1:13" x14ac:dyDescent="0.15">
      <c r="A414" s="35"/>
      <c r="B414" s="51"/>
      <c r="C414" s="52"/>
      <c r="D414" s="61"/>
      <c r="E414" s="43"/>
      <c r="F414" s="31"/>
      <c r="G414" s="31"/>
      <c r="H414" s="31"/>
      <c r="I414" s="60"/>
      <c r="J414" s="54"/>
      <c r="K414" s="30"/>
      <c r="L414" s="53"/>
      <c r="M414" s="53"/>
    </row>
    <row r="415" spans="1:13" x14ac:dyDescent="0.15">
      <c r="A415" s="35"/>
      <c r="B415" s="51"/>
      <c r="C415" s="52"/>
      <c r="D415" s="61"/>
      <c r="E415" s="43"/>
      <c r="F415" s="31"/>
      <c r="G415" s="31"/>
      <c r="H415" s="31"/>
      <c r="I415" s="60"/>
      <c r="J415" s="54"/>
      <c r="K415" s="30"/>
      <c r="L415" s="53"/>
      <c r="M415" s="53"/>
    </row>
    <row r="416" spans="1:13" x14ac:dyDescent="0.15">
      <c r="A416" s="35"/>
      <c r="B416" s="51"/>
      <c r="C416" s="52"/>
      <c r="D416" s="61"/>
      <c r="E416" s="43"/>
      <c r="F416" s="31"/>
      <c r="G416" s="31"/>
      <c r="H416" s="31"/>
      <c r="I416" s="60"/>
      <c r="J416" s="54"/>
      <c r="K416" s="30"/>
      <c r="L416" s="53"/>
      <c r="M416" s="53"/>
    </row>
    <row r="417" spans="1:13" x14ac:dyDescent="0.15">
      <c r="A417" s="35"/>
      <c r="B417" s="51"/>
      <c r="C417" s="52"/>
      <c r="D417" s="61"/>
      <c r="E417" s="43"/>
      <c r="F417" s="31"/>
      <c r="G417" s="31"/>
      <c r="H417" s="31"/>
      <c r="I417" s="60"/>
      <c r="J417" s="54"/>
      <c r="K417" s="30"/>
      <c r="L417" s="53"/>
      <c r="M417" s="53"/>
    </row>
    <row r="418" spans="1:13" x14ac:dyDescent="0.15">
      <c r="A418" s="35"/>
      <c r="B418" s="51"/>
      <c r="C418" s="52"/>
      <c r="D418" s="61"/>
      <c r="E418" s="43"/>
      <c r="F418" s="31"/>
      <c r="G418" s="31"/>
      <c r="H418" s="31"/>
      <c r="I418" s="60"/>
      <c r="J418" s="54"/>
      <c r="K418" s="30"/>
      <c r="L418" s="53"/>
      <c r="M418" s="53"/>
    </row>
    <row r="419" spans="1:13" x14ac:dyDescent="0.15">
      <c r="A419" s="35"/>
      <c r="B419" s="51"/>
      <c r="C419" s="52"/>
      <c r="D419" s="61"/>
      <c r="E419" s="43"/>
      <c r="F419" s="31"/>
      <c r="G419" s="31"/>
      <c r="H419" s="31"/>
      <c r="I419" s="60"/>
      <c r="J419" s="54"/>
      <c r="K419" s="30"/>
      <c r="L419" s="53"/>
      <c r="M419" s="53"/>
    </row>
    <row r="420" spans="1:13" x14ac:dyDescent="0.15">
      <c r="A420" s="35"/>
      <c r="B420" s="51"/>
      <c r="C420" s="52"/>
      <c r="D420" s="61"/>
      <c r="E420" s="43"/>
      <c r="F420" s="31"/>
      <c r="G420" s="31"/>
      <c r="H420" s="31"/>
      <c r="I420" s="60"/>
      <c r="J420" s="54"/>
      <c r="K420" s="30"/>
      <c r="L420" s="53"/>
      <c r="M420" s="53"/>
    </row>
    <row r="421" spans="1:13" x14ac:dyDescent="0.15">
      <c r="A421" s="35"/>
      <c r="B421" s="51"/>
      <c r="C421" s="52"/>
      <c r="D421" s="61"/>
      <c r="E421" s="43"/>
      <c r="F421" s="31"/>
      <c r="G421" s="31"/>
      <c r="H421" s="31"/>
      <c r="I421" s="60"/>
      <c r="J421" s="54"/>
      <c r="K421" s="30"/>
      <c r="L421" s="53"/>
      <c r="M421" s="53"/>
    </row>
    <row r="422" spans="1:13" x14ac:dyDescent="0.15">
      <c r="C422" s="12"/>
      <c r="I422" s="12"/>
    </row>
  </sheetData>
  <phoneticPr fontId="2" type="noConversion"/>
  <hyperlinks>
    <hyperlink ref="C279" r:id="rId1" display="https://twitter.com/EcoLedesma/status/703290377281867776" xr:uid="{00000000-0004-0000-0300-000000000000}"/>
  </hyperlinks>
  <pageMargins left="0.75" right="0.75" top="1" bottom="1" header="0" footer="0"/>
  <pageSetup paperSize="9" orientation="portrait" horizontalDpi="300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1"/>
  <dimension ref="A1:M677"/>
  <sheetViews>
    <sheetView workbookViewId="0">
      <selection activeCell="A24" sqref="A24"/>
    </sheetView>
  </sheetViews>
  <sheetFormatPr baseColWidth="10" defaultColWidth="11.5" defaultRowHeight="13" x14ac:dyDescent="0.15"/>
  <cols>
    <col min="1" max="1" width="11.5" style="12"/>
    <col min="2" max="2" width="8.5" style="12" customWidth="1"/>
    <col min="3" max="3" width="13.83203125" style="65" customWidth="1"/>
    <col min="4" max="4" width="12.83203125" style="12" bestFit="1" customWidth="1"/>
    <col min="5" max="8" width="11.5" style="12"/>
    <col min="9" max="9" width="13.83203125" style="35" customWidth="1"/>
    <col min="10" max="16384" width="11.5" style="12"/>
  </cols>
  <sheetData>
    <row r="1" spans="1:13" ht="56" x14ac:dyDescent="0.15">
      <c r="A1" s="67"/>
      <c r="B1" s="67"/>
      <c r="C1" s="37" t="s">
        <v>88</v>
      </c>
      <c r="D1" s="37" t="s">
        <v>86</v>
      </c>
      <c r="E1" s="37" t="s">
        <v>82</v>
      </c>
      <c r="F1" s="37" t="s">
        <v>81</v>
      </c>
      <c r="G1" s="37" t="s">
        <v>83</v>
      </c>
      <c r="H1" s="37" t="s">
        <v>84</v>
      </c>
      <c r="I1" s="38" t="s">
        <v>54</v>
      </c>
      <c r="J1" s="37" t="s">
        <v>87</v>
      </c>
      <c r="K1" s="62" t="s">
        <v>85</v>
      </c>
    </row>
    <row r="2" spans="1:13" x14ac:dyDescent="0.15">
      <c r="A2" s="40">
        <v>33970</v>
      </c>
      <c r="B2" s="41" t="s">
        <v>36</v>
      </c>
      <c r="C2" s="46">
        <v>126</v>
      </c>
      <c r="D2" s="42">
        <f>SOJA!D2</f>
        <v>0.99873999999999996</v>
      </c>
      <c r="E2" s="46">
        <f>SOJA!E2</f>
        <v>0.96122510905381364</v>
      </c>
      <c r="F2" s="44">
        <f t="shared" ref="F2:F65" si="0">+(C2*(D2/E2))/(AVERAGE(C$109)*AVERAGE(D$109)/AVERAGE(E$109))*100</f>
        <v>119.28035532392191</v>
      </c>
      <c r="G2" s="44">
        <f>+E2/AVERAGE(E$2:E$13)</f>
        <v>0.96122510905381375</v>
      </c>
      <c r="H2" s="44">
        <f t="shared" ref="H2:H65" si="1">+(C2*D2)/G2</f>
        <v>130.91755387442217</v>
      </c>
      <c r="I2" s="35">
        <v>0</v>
      </c>
      <c r="J2" s="45">
        <f t="shared" ref="J2:J65" si="2">+F2*(1-I2)/(F$109*(1-I$109))*100</f>
        <v>119.28035532392191</v>
      </c>
      <c r="K2" s="63">
        <f t="shared" ref="K2:K65" si="3">+H2*(1-I2)</f>
        <v>130.91755387442217</v>
      </c>
      <c r="L2" s="47">
        <f>+AVERAGE(K2:K109)</f>
        <v>134.93062583816888</v>
      </c>
      <c r="M2" s="47">
        <f>+AVERAGE(K110:K277)</f>
        <v>207.19614896976259</v>
      </c>
    </row>
    <row r="3" spans="1:13" x14ac:dyDescent="0.15">
      <c r="A3" s="40">
        <v>34001</v>
      </c>
      <c r="B3" s="12" t="s">
        <v>1</v>
      </c>
      <c r="C3" s="46">
        <v>128</v>
      </c>
      <c r="D3" s="42">
        <f>SOJA!D3</f>
        <v>0.99915500000000002</v>
      </c>
      <c r="E3" s="46">
        <f>SOJA!E3</f>
        <v>0.96824627318915923</v>
      </c>
      <c r="F3" s="44">
        <f t="shared" si="0"/>
        <v>120.34499789013364</v>
      </c>
      <c r="G3" s="44">
        <f t="shared" ref="G3:G66" si="4">+E3/AVERAGE(E$2:E$13)</f>
        <v>0.96824627318915935</v>
      </c>
      <c r="H3" s="44">
        <f t="shared" si="1"/>
        <v>132.08606481774157</v>
      </c>
      <c r="I3" s="35">
        <f>+I2</f>
        <v>0</v>
      </c>
      <c r="J3" s="45">
        <f t="shared" si="2"/>
        <v>120.34499789013364</v>
      </c>
      <c r="K3" s="63">
        <f t="shared" si="3"/>
        <v>132.08606481774157</v>
      </c>
      <c r="L3" s="47">
        <f>+L2</f>
        <v>134.93062583816888</v>
      </c>
      <c r="M3" s="47">
        <f>+M2</f>
        <v>207.19614896976259</v>
      </c>
    </row>
    <row r="4" spans="1:13" x14ac:dyDescent="0.15">
      <c r="A4" s="40">
        <v>34029</v>
      </c>
      <c r="B4" s="12" t="s">
        <v>2</v>
      </c>
      <c r="C4" s="46">
        <v>123</v>
      </c>
      <c r="D4" s="42">
        <f>SOJA!D4</f>
        <v>0.99968699999999999</v>
      </c>
      <c r="E4" s="46">
        <f>SOJA!E4</f>
        <v>0.97552606594901525</v>
      </c>
      <c r="F4" s="44">
        <f t="shared" si="0"/>
        <v>114.84215141217918</v>
      </c>
      <c r="G4" s="44">
        <f t="shared" si="4"/>
        <v>0.97552606594901536</v>
      </c>
      <c r="H4" s="44">
        <f t="shared" si="1"/>
        <v>126.04635108379198</v>
      </c>
      <c r="I4" s="35">
        <f t="shared" ref="I4:I67" si="5">+I3</f>
        <v>0</v>
      </c>
      <c r="J4" s="45">
        <f t="shared" si="2"/>
        <v>114.84215141217918</v>
      </c>
      <c r="K4" s="63">
        <f t="shared" si="3"/>
        <v>126.04635108379198</v>
      </c>
      <c r="L4" s="47">
        <f t="shared" ref="L4:M19" si="6">+L3</f>
        <v>134.93062583816888</v>
      </c>
      <c r="M4" s="47">
        <f t="shared" si="6"/>
        <v>207.19614896976259</v>
      </c>
    </row>
    <row r="5" spans="1:13" x14ac:dyDescent="0.15">
      <c r="A5" s="40">
        <v>34060</v>
      </c>
      <c r="B5" s="12" t="s">
        <v>3</v>
      </c>
      <c r="C5" s="46">
        <v>127</v>
      </c>
      <c r="D5" s="42">
        <f>SOJA!D5</f>
        <v>0.99916000000000005</v>
      </c>
      <c r="E5" s="46">
        <f>SOJA!E5</f>
        <v>0.98572347100273094</v>
      </c>
      <c r="F5" s="44">
        <f t="shared" si="0"/>
        <v>117.2883035342428</v>
      </c>
      <c r="G5" s="44">
        <f t="shared" si="4"/>
        <v>0.98572347100273106</v>
      </c>
      <c r="H5" s="44">
        <f t="shared" si="1"/>
        <v>128.73115405369953</v>
      </c>
      <c r="I5" s="35">
        <f t="shared" si="5"/>
        <v>0</v>
      </c>
      <c r="J5" s="45">
        <f t="shared" si="2"/>
        <v>117.2883035342428</v>
      </c>
      <c r="K5" s="63">
        <f t="shared" si="3"/>
        <v>128.73115405369953</v>
      </c>
      <c r="L5" s="47">
        <f t="shared" si="6"/>
        <v>134.93062583816888</v>
      </c>
      <c r="M5" s="47">
        <f t="shared" si="6"/>
        <v>207.19614896976259</v>
      </c>
    </row>
    <row r="6" spans="1:13" x14ac:dyDescent="0.15">
      <c r="A6" s="40">
        <v>34090</v>
      </c>
      <c r="B6" s="12" t="s">
        <v>2</v>
      </c>
      <c r="C6" s="46">
        <v>133</v>
      </c>
      <c r="D6" s="42">
        <f>SOJA!D6</f>
        <v>0.99939500000000003</v>
      </c>
      <c r="E6" s="46">
        <f>SOJA!E6</f>
        <v>0.99840531890536988</v>
      </c>
      <c r="F6" s="44">
        <f t="shared" si="0"/>
        <v>121.29781263641601</v>
      </c>
      <c r="G6" s="44">
        <f t="shared" si="4"/>
        <v>0.99840531890536999</v>
      </c>
      <c r="H6" s="44">
        <f t="shared" si="1"/>
        <v>133.13183782487266</v>
      </c>
      <c r="I6" s="35">
        <f t="shared" si="5"/>
        <v>0</v>
      </c>
      <c r="J6" s="45">
        <f t="shared" si="2"/>
        <v>121.29781263641601</v>
      </c>
      <c r="K6" s="63">
        <f t="shared" si="3"/>
        <v>133.13183782487266</v>
      </c>
      <c r="L6" s="47">
        <f t="shared" si="6"/>
        <v>134.93062583816888</v>
      </c>
      <c r="M6" s="47">
        <f t="shared" si="6"/>
        <v>207.19614896976259</v>
      </c>
    </row>
    <row r="7" spans="1:13" x14ac:dyDescent="0.15">
      <c r="A7" s="40">
        <v>34121</v>
      </c>
      <c r="B7" s="12" t="s">
        <v>4</v>
      </c>
      <c r="C7" s="46">
        <v>137</v>
      </c>
      <c r="D7" s="42">
        <f>SOJA!D7</f>
        <v>0.99928570000000005</v>
      </c>
      <c r="E7" s="46">
        <f>SOJA!E7</f>
        <v>1.0055869533919335</v>
      </c>
      <c r="F7" s="44">
        <f t="shared" si="0"/>
        <v>124.03996975042983</v>
      </c>
      <c r="G7" s="44">
        <f t="shared" si="4"/>
        <v>1.0055869533919337</v>
      </c>
      <c r="H7" s="44">
        <f t="shared" si="1"/>
        <v>136.1415245476455</v>
      </c>
      <c r="I7" s="35">
        <f t="shared" si="5"/>
        <v>0</v>
      </c>
      <c r="J7" s="45">
        <f t="shared" si="2"/>
        <v>124.03996975042983</v>
      </c>
      <c r="K7" s="63">
        <f t="shared" si="3"/>
        <v>136.1415245476455</v>
      </c>
      <c r="L7" s="47">
        <f t="shared" si="6"/>
        <v>134.93062583816888</v>
      </c>
      <c r="M7" s="47">
        <f t="shared" si="6"/>
        <v>207.19614896976259</v>
      </c>
    </row>
    <row r="8" spans="1:13" x14ac:dyDescent="0.15">
      <c r="A8" s="40">
        <v>34151</v>
      </c>
      <c r="B8" s="12" t="s">
        <v>4</v>
      </c>
      <c r="C8" s="46">
        <v>137</v>
      </c>
      <c r="D8" s="42">
        <f>SOJA!D8</f>
        <v>0.99892380000000003</v>
      </c>
      <c r="E8" s="46">
        <f>SOJA!E8</f>
        <v>1.0088218212653428</v>
      </c>
      <c r="F8" s="44">
        <f t="shared" si="0"/>
        <v>123.59744755803148</v>
      </c>
      <c r="G8" s="44">
        <f t="shared" si="4"/>
        <v>1.008821821265343</v>
      </c>
      <c r="H8" s="44">
        <f t="shared" si="1"/>
        <v>135.65582912188481</v>
      </c>
      <c r="I8" s="35">
        <f t="shared" si="5"/>
        <v>0</v>
      </c>
      <c r="J8" s="45">
        <f t="shared" si="2"/>
        <v>123.59744755803148</v>
      </c>
      <c r="K8" s="63">
        <f t="shared" si="3"/>
        <v>135.65582912188481</v>
      </c>
      <c r="L8" s="47">
        <f t="shared" si="6"/>
        <v>134.93062583816888</v>
      </c>
      <c r="M8" s="47">
        <f t="shared" si="6"/>
        <v>207.19614896976259</v>
      </c>
    </row>
    <row r="9" spans="1:13" x14ac:dyDescent="0.15">
      <c r="A9" s="40">
        <v>34182</v>
      </c>
      <c r="B9" s="12" t="s">
        <v>3</v>
      </c>
      <c r="C9" s="46">
        <v>136</v>
      </c>
      <c r="D9" s="42">
        <f>SOJA!D9</f>
        <v>1.000175</v>
      </c>
      <c r="E9" s="46">
        <f>SOJA!E9</f>
        <v>1.0089836316612475</v>
      </c>
      <c r="F9" s="44">
        <f t="shared" si="0"/>
        <v>122.82925688030363</v>
      </c>
      <c r="G9" s="44">
        <f t="shared" si="4"/>
        <v>1.0089836316612477</v>
      </c>
      <c r="H9" s="44">
        <f t="shared" si="1"/>
        <v>134.81269242796606</v>
      </c>
      <c r="I9" s="35">
        <f t="shared" si="5"/>
        <v>0</v>
      </c>
      <c r="J9" s="45">
        <f t="shared" si="2"/>
        <v>122.82925688030363</v>
      </c>
      <c r="K9" s="63">
        <f>+H9*(1-I9)</f>
        <v>134.81269242796606</v>
      </c>
      <c r="L9" s="47">
        <f t="shared" si="6"/>
        <v>134.93062583816888</v>
      </c>
      <c r="M9" s="47">
        <f t="shared" si="6"/>
        <v>207.19614896976259</v>
      </c>
    </row>
    <row r="10" spans="1:13" x14ac:dyDescent="0.15">
      <c r="A10" s="40">
        <v>34213</v>
      </c>
      <c r="B10" s="12" t="s">
        <v>5</v>
      </c>
      <c r="C10" s="46">
        <v>139</v>
      </c>
      <c r="D10" s="42">
        <f>SOJA!D10</f>
        <v>1.0010095000000001</v>
      </c>
      <c r="E10" s="46">
        <f>SOJA!E10</f>
        <v>1.0172986089414868</v>
      </c>
      <c r="F10" s="44">
        <f t="shared" si="0"/>
        <v>124.61651186301206</v>
      </c>
      <c r="G10" s="44">
        <f t="shared" si="4"/>
        <v>1.017298608941487</v>
      </c>
      <c r="H10" s="44">
        <f t="shared" si="1"/>
        <v>136.77431510967796</v>
      </c>
      <c r="I10" s="35">
        <f t="shared" si="5"/>
        <v>0</v>
      </c>
      <c r="J10" s="45">
        <f t="shared" si="2"/>
        <v>124.61651186301206</v>
      </c>
      <c r="K10" s="63">
        <f t="shared" si="3"/>
        <v>136.77431510967796</v>
      </c>
      <c r="L10" s="47">
        <f t="shared" si="6"/>
        <v>134.93062583816888</v>
      </c>
      <c r="M10" s="47">
        <f t="shared" si="6"/>
        <v>207.19614896976259</v>
      </c>
    </row>
    <row r="11" spans="1:13" x14ac:dyDescent="0.15">
      <c r="A11" s="40">
        <v>34243</v>
      </c>
      <c r="B11" s="12" t="s">
        <v>6</v>
      </c>
      <c r="C11" s="46">
        <v>135</v>
      </c>
      <c r="D11" s="42">
        <f>SOJA!D11</f>
        <v>0.99951500000000004</v>
      </c>
      <c r="E11" s="46">
        <f>SOJA!E11</f>
        <v>1.023049075702781</v>
      </c>
      <c r="F11" s="44">
        <f t="shared" si="0"/>
        <v>120.17044219409556</v>
      </c>
      <c r="G11" s="44">
        <f t="shared" si="4"/>
        <v>1.0230490757027813</v>
      </c>
      <c r="H11" s="44">
        <f t="shared" si="1"/>
        <v>131.89447916494822</v>
      </c>
      <c r="I11" s="35">
        <f t="shared" si="5"/>
        <v>0</v>
      </c>
      <c r="J11" s="45">
        <f t="shared" si="2"/>
        <v>120.17044219409556</v>
      </c>
      <c r="K11" s="63">
        <f t="shared" si="3"/>
        <v>131.89447916494822</v>
      </c>
      <c r="L11" s="47">
        <f t="shared" si="6"/>
        <v>134.93062583816888</v>
      </c>
      <c r="M11" s="47">
        <f t="shared" si="6"/>
        <v>207.19614896976259</v>
      </c>
    </row>
    <row r="12" spans="1:13" x14ac:dyDescent="0.15">
      <c r="A12" s="40">
        <v>34274</v>
      </c>
      <c r="B12" s="12" t="s">
        <v>7</v>
      </c>
      <c r="C12" s="46">
        <v>128</v>
      </c>
      <c r="D12" s="42">
        <f>SOJA!D12</f>
        <v>0.99851900000000005</v>
      </c>
      <c r="E12" s="46">
        <f>SOJA!E12</f>
        <v>1.023634005208474</v>
      </c>
      <c r="F12" s="44">
        <f t="shared" si="0"/>
        <v>113.76080066666398</v>
      </c>
      <c r="G12" s="44">
        <f t="shared" si="4"/>
        <v>1.0236340052084743</v>
      </c>
      <c r="H12" s="44">
        <f t="shared" si="1"/>
        <v>124.85950188218885</v>
      </c>
      <c r="I12" s="35">
        <f t="shared" si="5"/>
        <v>0</v>
      </c>
      <c r="J12" s="45">
        <f t="shared" si="2"/>
        <v>113.76080066666398</v>
      </c>
      <c r="K12" s="63">
        <f t="shared" si="3"/>
        <v>124.85950188218885</v>
      </c>
      <c r="L12" s="47">
        <f t="shared" si="6"/>
        <v>134.93062583816888</v>
      </c>
      <c r="M12" s="47">
        <f t="shared" si="6"/>
        <v>207.19614896976259</v>
      </c>
    </row>
    <row r="13" spans="1:13" x14ac:dyDescent="0.15">
      <c r="A13" s="40">
        <v>34304</v>
      </c>
      <c r="B13" s="41" t="s">
        <v>37</v>
      </c>
      <c r="C13" s="46">
        <v>123</v>
      </c>
      <c r="D13" s="42">
        <f>SOJA!D13</f>
        <v>0.99859520000000002</v>
      </c>
      <c r="E13" s="46">
        <f>SOJA!E13</f>
        <v>1.0234996657286446</v>
      </c>
      <c r="F13" s="44">
        <f t="shared" si="0"/>
        <v>109.33971120614716</v>
      </c>
      <c r="G13" s="44">
        <f t="shared" si="4"/>
        <v>1.0234996657286448</v>
      </c>
      <c r="H13" s="44">
        <f t="shared" si="1"/>
        <v>120.00708325835892</v>
      </c>
      <c r="I13" s="35">
        <f t="shared" si="5"/>
        <v>0</v>
      </c>
      <c r="J13" s="45">
        <f t="shared" si="2"/>
        <v>109.33971120614716</v>
      </c>
      <c r="K13" s="63">
        <f t="shared" si="3"/>
        <v>120.00708325835892</v>
      </c>
      <c r="L13" s="47">
        <f t="shared" si="6"/>
        <v>134.93062583816888</v>
      </c>
      <c r="M13" s="47">
        <f t="shared" si="6"/>
        <v>207.19614896976259</v>
      </c>
    </row>
    <row r="14" spans="1:13" x14ac:dyDescent="0.15">
      <c r="A14" s="40">
        <v>34335</v>
      </c>
      <c r="B14" s="41" t="s">
        <v>38</v>
      </c>
      <c r="C14" s="46">
        <v>120</v>
      </c>
      <c r="D14" s="42">
        <f>SOJA!D14</f>
        <v>0.9985714</v>
      </c>
      <c r="E14" s="46">
        <f>SOJA!E14</f>
        <v>1.0245301600926262</v>
      </c>
      <c r="F14" s="44">
        <f t="shared" si="0"/>
        <v>106.56305527753595</v>
      </c>
      <c r="G14" s="44">
        <f t="shared" si="4"/>
        <v>1.0245301600926264</v>
      </c>
      <c r="H14" s="44">
        <f t="shared" si="1"/>
        <v>116.95953195674245</v>
      </c>
      <c r="I14" s="35">
        <f t="shared" si="5"/>
        <v>0</v>
      </c>
      <c r="J14" s="45">
        <f t="shared" si="2"/>
        <v>106.56305527753595</v>
      </c>
      <c r="K14" s="63">
        <f t="shared" si="3"/>
        <v>116.95953195674245</v>
      </c>
      <c r="L14" s="47">
        <f t="shared" si="6"/>
        <v>134.93062583816888</v>
      </c>
      <c r="M14" s="47">
        <f t="shared" si="6"/>
        <v>207.19614896976259</v>
      </c>
    </row>
    <row r="15" spans="1:13" x14ac:dyDescent="0.15">
      <c r="A15" s="40">
        <v>34366</v>
      </c>
      <c r="B15" s="12" t="s">
        <v>1</v>
      </c>
      <c r="C15" s="46">
        <v>116</v>
      </c>
      <c r="D15" s="42">
        <f>SOJA!D15</f>
        <v>0.99899499999999997</v>
      </c>
      <c r="E15" s="46">
        <f>SOJA!E15</f>
        <v>1.0244939788860881</v>
      </c>
      <c r="F15" s="44">
        <f t="shared" si="0"/>
        <v>103.05829079748676</v>
      </c>
      <c r="G15" s="44">
        <f t="shared" si="4"/>
        <v>1.0244939788860883</v>
      </c>
      <c r="H15" s="44">
        <f t="shared" si="1"/>
        <v>113.1128365693254</v>
      </c>
      <c r="I15" s="35">
        <f t="shared" si="5"/>
        <v>0</v>
      </c>
      <c r="J15" s="45">
        <f t="shared" si="2"/>
        <v>103.05829079748676</v>
      </c>
      <c r="K15" s="63">
        <f t="shared" si="3"/>
        <v>113.1128365693254</v>
      </c>
      <c r="L15" s="47">
        <f t="shared" si="6"/>
        <v>134.93062583816888</v>
      </c>
      <c r="M15" s="47">
        <f t="shared" si="6"/>
        <v>207.19614896976259</v>
      </c>
    </row>
    <row r="16" spans="1:13" x14ac:dyDescent="0.15">
      <c r="A16" s="40">
        <v>34394</v>
      </c>
      <c r="B16" s="12" t="s">
        <v>2</v>
      </c>
      <c r="C16" s="46">
        <v>117</v>
      </c>
      <c r="D16" s="42">
        <f>SOJA!D16</f>
        <v>1.0005272999999999</v>
      </c>
      <c r="E16" s="46">
        <f>SOJA!E16</f>
        <v>1.0259221315108125</v>
      </c>
      <c r="F16" s="44">
        <f t="shared" si="0"/>
        <v>103.96123935822507</v>
      </c>
      <c r="G16" s="44">
        <f t="shared" si="4"/>
        <v>1.0259221315108127</v>
      </c>
      <c r="H16" s="44">
        <f t="shared" si="1"/>
        <v>114.10387835927703</v>
      </c>
      <c r="I16" s="35">
        <f t="shared" si="5"/>
        <v>0</v>
      </c>
      <c r="J16" s="45">
        <f t="shared" si="2"/>
        <v>103.96123935822507</v>
      </c>
      <c r="K16" s="63">
        <f t="shared" si="3"/>
        <v>114.10387835927703</v>
      </c>
      <c r="L16" s="47">
        <f t="shared" si="6"/>
        <v>134.93062583816888</v>
      </c>
      <c r="M16" s="47">
        <f t="shared" si="6"/>
        <v>207.19614896976259</v>
      </c>
    </row>
    <row r="17" spans="1:13" x14ac:dyDescent="0.15">
      <c r="A17" s="40">
        <v>34425</v>
      </c>
      <c r="B17" s="12" t="s">
        <v>3</v>
      </c>
      <c r="C17" s="46">
        <v>122</v>
      </c>
      <c r="D17" s="42">
        <f>SOJA!D17</f>
        <v>1.0004249999999999</v>
      </c>
      <c r="E17" s="46">
        <f>SOJA!E17</f>
        <v>1.0284193047842578</v>
      </c>
      <c r="F17" s="44">
        <f t="shared" si="0"/>
        <v>108.12974736653527</v>
      </c>
      <c r="G17" s="44">
        <f t="shared" si="4"/>
        <v>1.028419304784258</v>
      </c>
      <c r="H17" s="44">
        <f t="shared" si="1"/>
        <v>118.67907324591116</v>
      </c>
      <c r="I17" s="35">
        <f t="shared" si="5"/>
        <v>0</v>
      </c>
      <c r="J17" s="45">
        <f t="shared" si="2"/>
        <v>108.12974736653527</v>
      </c>
      <c r="K17" s="63">
        <f t="shared" si="3"/>
        <v>118.67907324591116</v>
      </c>
      <c r="L17" s="47">
        <f t="shared" si="6"/>
        <v>134.93062583816888</v>
      </c>
      <c r="M17" s="47">
        <f t="shared" si="6"/>
        <v>207.19614896976259</v>
      </c>
    </row>
    <row r="18" spans="1:13" x14ac:dyDescent="0.15">
      <c r="A18" s="40">
        <v>34455</v>
      </c>
      <c r="B18" s="12" t="s">
        <v>2</v>
      </c>
      <c r="C18" s="46">
        <v>129</v>
      </c>
      <c r="D18" s="42">
        <f>SOJA!D18</f>
        <v>0.998919</v>
      </c>
      <c r="E18" s="46">
        <f>SOJA!E18</f>
        <v>1.0319838236505658</v>
      </c>
      <c r="F18" s="44">
        <f t="shared" si="0"/>
        <v>113.7674794482289</v>
      </c>
      <c r="G18" s="44">
        <f t="shared" si="4"/>
        <v>1.0319838236505661</v>
      </c>
      <c r="H18" s="44">
        <f t="shared" si="1"/>
        <v>124.86683225727838</v>
      </c>
      <c r="I18" s="35">
        <f t="shared" si="5"/>
        <v>0</v>
      </c>
      <c r="J18" s="45">
        <f t="shared" si="2"/>
        <v>113.7674794482289</v>
      </c>
      <c r="K18" s="63">
        <f t="shared" si="3"/>
        <v>124.86683225727838</v>
      </c>
      <c r="L18" s="47">
        <f t="shared" si="6"/>
        <v>134.93062583816888</v>
      </c>
      <c r="M18" s="47">
        <f t="shared" si="6"/>
        <v>207.19614896976259</v>
      </c>
    </row>
    <row r="19" spans="1:13" x14ac:dyDescent="0.15">
      <c r="A19" s="40">
        <v>34486</v>
      </c>
      <c r="B19" s="12" t="s">
        <v>4</v>
      </c>
      <c r="C19" s="46">
        <v>131</v>
      </c>
      <c r="D19" s="42">
        <f>SOJA!D19</f>
        <v>0.99789499999999998</v>
      </c>
      <c r="E19" s="46">
        <f>SOJA!E19</f>
        <v>1.0359774918277516</v>
      </c>
      <c r="F19" s="44">
        <f t="shared" si="0"/>
        <v>114.96797036822284</v>
      </c>
      <c r="G19" s="44">
        <f t="shared" si="4"/>
        <v>1.0359774918277518</v>
      </c>
      <c r="H19" s="44">
        <f t="shared" si="1"/>
        <v>126.18444515562413</v>
      </c>
      <c r="I19" s="35">
        <f t="shared" si="5"/>
        <v>0</v>
      </c>
      <c r="J19" s="45">
        <f t="shared" si="2"/>
        <v>114.96797036822284</v>
      </c>
      <c r="K19" s="63">
        <f t="shared" si="3"/>
        <v>126.18444515562413</v>
      </c>
      <c r="L19" s="47">
        <f t="shared" si="6"/>
        <v>134.93062583816888</v>
      </c>
      <c r="M19" s="47">
        <f t="shared" si="6"/>
        <v>207.19614896976259</v>
      </c>
    </row>
    <row r="20" spans="1:13" x14ac:dyDescent="0.15">
      <c r="A20" s="40">
        <v>34516</v>
      </c>
      <c r="B20" s="12" t="s">
        <v>4</v>
      </c>
      <c r="C20" s="46">
        <v>131</v>
      </c>
      <c r="D20" s="42">
        <f>SOJA!D20</f>
        <v>0.99826199999999998</v>
      </c>
      <c r="E20" s="46">
        <f>SOJA!E20</f>
        <v>1.0455420607782286</v>
      </c>
      <c r="F20" s="44">
        <f t="shared" si="0"/>
        <v>113.95814430693521</v>
      </c>
      <c r="G20" s="44">
        <f t="shared" si="4"/>
        <v>1.0455420607782289</v>
      </c>
      <c r="H20" s="44">
        <f t="shared" si="1"/>
        <v>125.07609871061732</v>
      </c>
      <c r="I20" s="35">
        <f t="shared" si="5"/>
        <v>0</v>
      </c>
      <c r="J20" s="45">
        <f t="shared" si="2"/>
        <v>113.95814430693521</v>
      </c>
      <c r="K20" s="63">
        <f t="shared" si="3"/>
        <v>125.07609871061732</v>
      </c>
      <c r="L20" s="47">
        <f t="shared" ref="L20:M35" si="7">+L19</f>
        <v>134.93062583816888</v>
      </c>
      <c r="M20" s="47">
        <f t="shared" si="7"/>
        <v>207.19614896976259</v>
      </c>
    </row>
    <row r="21" spans="1:13" x14ac:dyDescent="0.15">
      <c r="A21" s="40">
        <v>34547</v>
      </c>
      <c r="B21" s="12" t="s">
        <v>3</v>
      </c>
      <c r="C21" s="46">
        <v>129</v>
      </c>
      <c r="D21" s="42">
        <f>SOJA!D21</f>
        <v>0.99566189999999999</v>
      </c>
      <c r="E21" s="46">
        <f>SOJA!E21</f>
        <v>1.0476991977124539</v>
      </c>
      <c r="F21" s="44">
        <f t="shared" si="0"/>
        <v>111.69559082305049</v>
      </c>
      <c r="G21" s="44">
        <f t="shared" si="4"/>
        <v>1.0476991977124541</v>
      </c>
      <c r="H21" s="44">
        <f t="shared" si="1"/>
        <v>122.59280658077877</v>
      </c>
      <c r="I21" s="35">
        <f t="shared" si="5"/>
        <v>0</v>
      </c>
      <c r="J21" s="45">
        <f t="shared" si="2"/>
        <v>111.69559082305049</v>
      </c>
      <c r="K21" s="63">
        <f t="shared" si="3"/>
        <v>122.59280658077877</v>
      </c>
      <c r="L21" s="47">
        <f t="shared" si="7"/>
        <v>134.93062583816888</v>
      </c>
      <c r="M21" s="47">
        <f t="shared" si="7"/>
        <v>207.19614896976259</v>
      </c>
    </row>
    <row r="22" spans="1:13" x14ac:dyDescent="0.15">
      <c r="A22" s="40">
        <v>34578</v>
      </c>
      <c r="B22" s="12" t="s">
        <v>5</v>
      </c>
      <c r="C22" s="46">
        <v>140</v>
      </c>
      <c r="D22" s="42">
        <f>SOJA!D22</f>
        <v>0.99885239999999997</v>
      </c>
      <c r="E22" s="46">
        <f>SOJA!E22</f>
        <v>1.054869776830353</v>
      </c>
      <c r="F22" s="44">
        <f t="shared" si="0"/>
        <v>120.78181337207923</v>
      </c>
      <c r="G22" s="44">
        <f t="shared" si="4"/>
        <v>1.0548697768303532</v>
      </c>
      <c r="H22" s="44">
        <f t="shared" si="1"/>
        <v>132.56549677647018</v>
      </c>
      <c r="I22" s="35">
        <f t="shared" si="5"/>
        <v>0</v>
      </c>
      <c r="J22" s="45">
        <f t="shared" si="2"/>
        <v>120.78181337207923</v>
      </c>
      <c r="K22" s="63">
        <f t="shared" si="3"/>
        <v>132.56549677647018</v>
      </c>
      <c r="L22" s="47">
        <f t="shared" si="7"/>
        <v>134.93062583816888</v>
      </c>
      <c r="M22" s="47">
        <f t="shared" si="7"/>
        <v>207.19614896976259</v>
      </c>
    </row>
    <row r="23" spans="1:13" x14ac:dyDescent="0.15">
      <c r="A23" s="40">
        <v>34608</v>
      </c>
      <c r="B23" s="12" t="s">
        <v>6</v>
      </c>
      <c r="C23" s="46">
        <v>153</v>
      </c>
      <c r="D23" s="42">
        <f>SOJA!D23</f>
        <v>0.99868999999999997</v>
      </c>
      <c r="E23" s="46">
        <f>SOJA!E23</f>
        <v>1.0582500395522563</v>
      </c>
      <c r="F23" s="44">
        <f t="shared" si="0"/>
        <v>131.55424930940683</v>
      </c>
      <c r="G23" s="44">
        <f t="shared" si="4"/>
        <v>1.0582500395522565</v>
      </c>
      <c r="H23" s="44">
        <f t="shared" si="1"/>
        <v>144.38891026609286</v>
      </c>
      <c r="I23" s="35">
        <f t="shared" si="5"/>
        <v>0</v>
      </c>
      <c r="J23" s="45">
        <f t="shared" si="2"/>
        <v>131.55424930940683</v>
      </c>
      <c r="K23" s="63">
        <f t="shared" si="3"/>
        <v>144.38891026609286</v>
      </c>
      <c r="L23" s="47">
        <f t="shared" si="7"/>
        <v>134.93062583816888</v>
      </c>
      <c r="M23" s="47">
        <f t="shared" si="7"/>
        <v>207.19614896976259</v>
      </c>
    </row>
    <row r="24" spans="1:13" x14ac:dyDescent="0.15">
      <c r="A24" s="40">
        <v>34639</v>
      </c>
      <c r="B24" s="12" t="s">
        <v>7</v>
      </c>
      <c r="C24" s="46">
        <v>153</v>
      </c>
      <c r="D24" s="42">
        <f>SOJA!D24</f>
        <v>1.0008330000000001</v>
      </c>
      <c r="E24" s="46">
        <f>SOJA!E24</f>
        <v>1.0606426893401475</v>
      </c>
      <c r="F24" s="44">
        <f t="shared" si="0"/>
        <v>131.53913653498884</v>
      </c>
      <c r="G24" s="44">
        <f t="shared" si="4"/>
        <v>1.0606426893401477</v>
      </c>
      <c r="H24" s="44">
        <f t="shared" si="1"/>
        <v>144.37232306316506</v>
      </c>
      <c r="I24" s="35">
        <f t="shared" si="5"/>
        <v>0</v>
      </c>
      <c r="J24" s="45">
        <f t="shared" si="2"/>
        <v>131.53913653498884</v>
      </c>
      <c r="K24" s="63">
        <f t="shared" si="3"/>
        <v>144.37232306316506</v>
      </c>
      <c r="L24" s="47">
        <f t="shared" si="7"/>
        <v>134.93062583816888</v>
      </c>
      <c r="M24" s="47">
        <f t="shared" si="7"/>
        <v>207.19614896976259</v>
      </c>
    </row>
    <row r="25" spans="1:13" x14ac:dyDescent="0.15">
      <c r="A25" s="40">
        <v>34669</v>
      </c>
      <c r="B25" s="41" t="s">
        <v>39</v>
      </c>
      <c r="C25" s="46">
        <v>136</v>
      </c>
      <c r="D25" s="42">
        <f>SOJA!D25</f>
        <v>1.0018499999999999</v>
      </c>
      <c r="E25" s="46">
        <f>SOJA!E25</f>
        <v>1.0629492412569266</v>
      </c>
      <c r="F25" s="44">
        <f t="shared" si="0"/>
        <v>116.78851240520518</v>
      </c>
      <c r="G25" s="44">
        <f t="shared" si="4"/>
        <v>1.0629492412569268</v>
      </c>
      <c r="H25" s="44">
        <f t="shared" si="1"/>
        <v>128.18260243441526</v>
      </c>
      <c r="I25" s="35">
        <f t="shared" si="5"/>
        <v>0</v>
      </c>
      <c r="J25" s="45">
        <f t="shared" si="2"/>
        <v>116.78851240520518</v>
      </c>
      <c r="K25" s="63">
        <f t="shared" si="3"/>
        <v>128.18260243441526</v>
      </c>
      <c r="L25" s="47">
        <f t="shared" si="7"/>
        <v>134.93062583816888</v>
      </c>
      <c r="M25" s="47">
        <f t="shared" si="7"/>
        <v>207.19614896976259</v>
      </c>
    </row>
    <row r="26" spans="1:13" x14ac:dyDescent="0.15">
      <c r="A26" s="40">
        <v>34700</v>
      </c>
      <c r="B26" s="41" t="s">
        <v>40</v>
      </c>
      <c r="C26" s="46">
        <v>131</v>
      </c>
      <c r="D26" s="42">
        <f>SOJA!D26</f>
        <v>1.0019181818181999</v>
      </c>
      <c r="E26" s="46">
        <f>SOJA!E26</f>
        <v>1.0761932379055892</v>
      </c>
      <c r="F26" s="44">
        <f t="shared" si="0"/>
        <v>111.11797968886157</v>
      </c>
      <c r="G26" s="44">
        <f t="shared" si="4"/>
        <v>1.0761932379055894</v>
      </c>
      <c r="H26" s="44">
        <f t="shared" si="1"/>
        <v>121.95884270153573</v>
      </c>
      <c r="I26" s="35">
        <f t="shared" si="5"/>
        <v>0</v>
      </c>
      <c r="J26" s="45">
        <f t="shared" si="2"/>
        <v>111.11797968886157</v>
      </c>
      <c r="K26" s="63">
        <f t="shared" si="3"/>
        <v>121.95884270153573</v>
      </c>
      <c r="L26" s="47">
        <f t="shared" si="7"/>
        <v>134.93062583816888</v>
      </c>
      <c r="M26" s="47">
        <f t="shared" si="7"/>
        <v>207.19614896976259</v>
      </c>
    </row>
    <row r="27" spans="1:13" x14ac:dyDescent="0.15">
      <c r="A27" s="40">
        <v>34731</v>
      </c>
      <c r="B27" s="12" t="s">
        <v>1</v>
      </c>
      <c r="C27" s="46">
        <v>131</v>
      </c>
      <c r="D27" s="42">
        <f>SOJA!D27</f>
        <v>1.001935</v>
      </c>
      <c r="E27" s="46">
        <f>SOJA!E27</f>
        <v>1.0761637569224829</v>
      </c>
      <c r="F27" s="44">
        <f t="shared" si="0"/>
        <v>111.12288898755267</v>
      </c>
      <c r="G27" s="44">
        <f t="shared" si="4"/>
        <v>1.0761637569224831</v>
      </c>
      <c r="H27" s="44">
        <f t="shared" si="1"/>
        <v>121.96423095993029</v>
      </c>
      <c r="I27" s="35">
        <f t="shared" si="5"/>
        <v>0</v>
      </c>
      <c r="J27" s="45">
        <f t="shared" si="2"/>
        <v>111.12288898755267</v>
      </c>
      <c r="K27" s="63">
        <f t="shared" si="3"/>
        <v>121.96423095993029</v>
      </c>
      <c r="L27" s="47">
        <f t="shared" si="7"/>
        <v>134.93062583816888</v>
      </c>
      <c r="M27" s="47">
        <f t="shared" si="7"/>
        <v>207.19614896976259</v>
      </c>
    </row>
    <row r="28" spans="1:13" x14ac:dyDescent="0.15">
      <c r="A28" s="40">
        <v>34759</v>
      </c>
      <c r="B28" s="12" t="s">
        <v>2</v>
      </c>
      <c r="C28" s="46">
        <v>125</v>
      </c>
      <c r="D28" s="42">
        <f>SOJA!D28</f>
        <v>1.0037499999999999</v>
      </c>
      <c r="E28" s="46">
        <f>SOJA!E28</f>
        <v>1.0713288756932946</v>
      </c>
      <c r="F28" s="44">
        <f t="shared" si="0"/>
        <v>106.70476228657455</v>
      </c>
      <c r="G28" s="44">
        <f t="shared" si="4"/>
        <v>1.0713288756932948</v>
      </c>
      <c r="H28" s="44">
        <f t="shared" si="1"/>
        <v>117.11506414760333</v>
      </c>
      <c r="I28" s="35">
        <f t="shared" si="5"/>
        <v>0</v>
      </c>
      <c r="J28" s="45">
        <f t="shared" si="2"/>
        <v>106.70476228657455</v>
      </c>
      <c r="K28" s="63">
        <f t="shared" si="3"/>
        <v>117.11506414760333</v>
      </c>
      <c r="L28" s="47">
        <f t="shared" si="7"/>
        <v>134.93062583816888</v>
      </c>
      <c r="M28" s="47">
        <f t="shared" si="7"/>
        <v>207.19614896976259</v>
      </c>
    </row>
    <row r="29" spans="1:13" x14ac:dyDescent="0.15">
      <c r="A29" s="40">
        <v>34790</v>
      </c>
      <c r="B29" s="12" t="s">
        <v>3</v>
      </c>
      <c r="C29" s="46">
        <v>122</v>
      </c>
      <c r="D29" s="42">
        <f>SOJA!D29</f>
        <v>1.0014944444444445</v>
      </c>
      <c r="E29" s="46">
        <f>SOJA!E29</f>
        <v>1.0762284140786083</v>
      </c>
      <c r="F29" s="44">
        <f t="shared" si="0"/>
        <v>103.43677305480179</v>
      </c>
      <c r="G29" s="44">
        <f t="shared" si="4"/>
        <v>1.0762284140786085</v>
      </c>
      <c r="H29" s="44">
        <f t="shared" si="1"/>
        <v>113.52824421275496</v>
      </c>
      <c r="I29" s="35">
        <f t="shared" si="5"/>
        <v>0</v>
      </c>
      <c r="J29" s="45">
        <f t="shared" si="2"/>
        <v>103.43677305480179</v>
      </c>
      <c r="K29" s="63">
        <f t="shared" si="3"/>
        <v>113.52824421275496</v>
      </c>
      <c r="L29" s="47">
        <f t="shared" si="7"/>
        <v>134.93062583816888</v>
      </c>
      <c r="M29" s="47">
        <f t="shared" si="7"/>
        <v>207.19614896976259</v>
      </c>
    </row>
    <row r="30" spans="1:13" x14ac:dyDescent="0.15">
      <c r="A30" s="40">
        <v>34820</v>
      </c>
      <c r="B30" s="12" t="s">
        <v>2</v>
      </c>
      <c r="C30" s="46">
        <v>140</v>
      </c>
      <c r="D30" s="42">
        <f>SOJA!D30</f>
        <v>1.0003952380952383</v>
      </c>
      <c r="E30" s="46">
        <f>SOJA!E30</f>
        <v>1.0764545466194664</v>
      </c>
      <c r="F30" s="44">
        <f t="shared" si="0"/>
        <v>118.54274976283561</v>
      </c>
      <c r="G30" s="44">
        <f t="shared" si="4"/>
        <v>1.0764545466194666</v>
      </c>
      <c r="H30" s="44">
        <f t="shared" si="1"/>
        <v>130.10798623422397</v>
      </c>
      <c r="I30" s="35">
        <f t="shared" si="5"/>
        <v>0</v>
      </c>
      <c r="J30" s="45">
        <f t="shared" si="2"/>
        <v>118.54274976283561</v>
      </c>
      <c r="K30" s="63">
        <f t="shared" si="3"/>
        <v>130.10798623422397</v>
      </c>
      <c r="L30" s="47">
        <f t="shared" si="7"/>
        <v>134.93062583816888</v>
      </c>
      <c r="M30" s="47">
        <f t="shared" si="7"/>
        <v>207.19614896976259</v>
      </c>
    </row>
    <row r="31" spans="1:13" x14ac:dyDescent="0.15">
      <c r="A31" s="40">
        <v>34851</v>
      </c>
      <c r="B31" s="12" t="s">
        <v>4</v>
      </c>
      <c r="C31" s="46">
        <v>170</v>
      </c>
      <c r="D31" s="42">
        <f>SOJA!D31</f>
        <v>0.99933809523809547</v>
      </c>
      <c r="E31" s="46">
        <f>SOJA!E31</f>
        <v>1.074236772663173</v>
      </c>
      <c r="F31" s="44">
        <f t="shared" si="0"/>
        <v>144.08951907230258</v>
      </c>
      <c r="G31" s="44">
        <f t="shared" si="4"/>
        <v>1.0742367726631732</v>
      </c>
      <c r="H31" s="44">
        <f t="shared" si="1"/>
        <v>158.14714270979852</v>
      </c>
      <c r="I31" s="35">
        <f t="shared" si="5"/>
        <v>0</v>
      </c>
      <c r="J31" s="45">
        <f t="shared" si="2"/>
        <v>144.08951907230258</v>
      </c>
      <c r="K31" s="63">
        <f t="shared" si="3"/>
        <v>158.14714270979852</v>
      </c>
      <c r="L31" s="47">
        <f t="shared" si="7"/>
        <v>134.93062583816888</v>
      </c>
      <c r="M31" s="47">
        <f t="shared" si="7"/>
        <v>207.19614896976259</v>
      </c>
    </row>
    <row r="32" spans="1:13" x14ac:dyDescent="0.15">
      <c r="A32" s="40">
        <v>34881</v>
      </c>
      <c r="B32" s="12" t="s">
        <v>4</v>
      </c>
      <c r="C32" s="46">
        <v>214</v>
      </c>
      <c r="D32" s="42">
        <f>SOJA!D32</f>
        <v>0.99941000000000013</v>
      </c>
      <c r="E32" s="46">
        <f>SOJA!E32</f>
        <v>1.0785959380286243</v>
      </c>
      <c r="F32" s="44">
        <f t="shared" si="0"/>
        <v>180.66321130672409</v>
      </c>
      <c r="G32" s="44">
        <f t="shared" si="4"/>
        <v>1.0785959380286245</v>
      </c>
      <c r="H32" s="44">
        <f t="shared" si="1"/>
        <v>198.28902785495572</v>
      </c>
      <c r="I32" s="35">
        <f t="shared" si="5"/>
        <v>0</v>
      </c>
      <c r="J32" s="45">
        <f t="shared" si="2"/>
        <v>180.66321130672409</v>
      </c>
      <c r="K32" s="63">
        <f t="shared" si="3"/>
        <v>198.28902785495572</v>
      </c>
      <c r="L32" s="47">
        <f t="shared" si="7"/>
        <v>134.93062583816888</v>
      </c>
      <c r="M32" s="47">
        <f t="shared" si="7"/>
        <v>207.19614896976259</v>
      </c>
    </row>
    <row r="33" spans="1:13" x14ac:dyDescent="0.15">
      <c r="A33" s="40">
        <v>34912</v>
      </c>
      <c r="B33" s="12" t="s">
        <v>3</v>
      </c>
      <c r="C33" s="46">
        <v>220</v>
      </c>
      <c r="D33" s="42">
        <f>SOJA!D33</f>
        <v>0.99987000000000004</v>
      </c>
      <c r="E33" s="46">
        <f>SOJA!E33</f>
        <v>1.0759821808674521</v>
      </c>
      <c r="F33" s="44">
        <f t="shared" si="0"/>
        <v>186.26539673108823</v>
      </c>
      <c r="G33" s="44">
        <f t="shared" si="4"/>
        <v>1.0759821808674523</v>
      </c>
      <c r="H33" s="44">
        <f t="shared" si="1"/>
        <v>204.43777221539113</v>
      </c>
      <c r="I33" s="35">
        <f t="shared" si="5"/>
        <v>0</v>
      </c>
      <c r="J33" s="45">
        <f t="shared" si="2"/>
        <v>186.26539673108823</v>
      </c>
      <c r="K33" s="63">
        <f t="shared" si="3"/>
        <v>204.43777221539113</v>
      </c>
      <c r="L33" s="47">
        <f t="shared" si="7"/>
        <v>134.93062583816888</v>
      </c>
      <c r="M33" s="47">
        <f t="shared" si="7"/>
        <v>207.19614896976259</v>
      </c>
    </row>
    <row r="34" spans="1:13" x14ac:dyDescent="0.15">
      <c r="A34" s="40">
        <v>34943</v>
      </c>
      <c r="B34" s="12" t="s">
        <v>5</v>
      </c>
      <c r="C34" s="46">
        <v>220</v>
      </c>
      <c r="D34" s="42">
        <f>SOJA!D34</f>
        <v>0.99904285714285712</v>
      </c>
      <c r="E34" s="46">
        <f>SOJA!E34</f>
        <v>1.0777513748649139</v>
      </c>
      <c r="F34" s="44">
        <f t="shared" si="0"/>
        <v>185.80579564963475</v>
      </c>
      <c r="G34" s="44">
        <f t="shared" si="4"/>
        <v>1.0777513748649141</v>
      </c>
      <c r="H34" s="44">
        <f t="shared" si="1"/>
        <v>203.93333165450807</v>
      </c>
      <c r="I34" s="35">
        <f t="shared" si="5"/>
        <v>0</v>
      </c>
      <c r="J34" s="45">
        <f t="shared" si="2"/>
        <v>185.80579564963475</v>
      </c>
      <c r="K34" s="63">
        <f t="shared" si="3"/>
        <v>203.93333165450807</v>
      </c>
      <c r="L34" s="47">
        <f t="shared" si="7"/>
        <v>134.93062583816888</v>
      </c>
      <c r="M34" s="47">
        <f t="shared" si="7"/>
        <v>207.19614896976259</v>
      </c>
    </row>
    <row r="35" spans="1:13" x14ac:dyDescent="0.15">
      <c r="A35" s="40">
        <v>34973</v>
      </c>
      <c r="B35" s="12" t="s">
        <v>6</v>
      </c>
      <c r="C35" s="46">
        <v>221</v>
      </c>
      <c r="D35" s="42">
        <f>SOJA!D35</f>
        <v>0.99944</v>
      </c>
      <c r="E35" s="46">
        <f>SOJA!E35</f>
        <v>1.0814153920491933</v>
      </c>
      <c r="F35" s="44">
        <f t="shared" si="0"/>
        <v>186.0919111018529</v>
      </c>
      <c r="G35" s="44">
        <f t="shared" si="4"/>
        <v>1.0814153920491936</v>
      </c>
      <c r="H35" s="44">
        <f t="shared" si="1"/>
        <v>204.2473610269756</v>
      </c>
      <c r="I35" s="35">
        <f t="shared" si="5"/>
        <v>0</v>
      </c>
      <c r="J35" s="45">
        <f t="shared" si="2"/>
        <v>186.0919111018529</v>
      </c>
      <c r="K35" s="63">
        <f t="shared" si="3"/>
        <v>204.2473610269756</v>
      </c>
      <c r="L35" s="47">
        <f t="shared" si="7"/>
        <v>134.93062583816888</v>
      </c>
      <c r="M35" s="47">
        <f t="shared" si="7"/>
        <v>207.19614896976259</v>
      </c>
    </row>
    <row r="36" spans="1:13" x14ac:dyDescent="0.15">
      <c r="A36" s="40">
        <v>35004</v>
      </c>
      <c r="B36" s="12" t="s">
        <v>7</v>
      </c>
      <c r="C36" s="46">
        <v>214</v>
      </c>
      <c r="D36" s="42">
        <f>SOJA!D36</f>
        <v>0.99969523809523808</v>
      </c>
      <c r="E36" s="46">
        <f>SOJA!E36</f>
        <v>1.0789453546806578</v>
      </c>
      <c r="F36" s="44">
        <f t="shared" si="0"/>
        <v>180.65624924604421</v>
      </c>
      <c r="G36" s="44">
        <f t="shared" si="4"/>
        <v>1.078945354680658</v>
      </c>
      <c r="H36" s="44">
        <f t="shared" si="1"/>
        <v>198.28138656354892</v>
      </c>
      <c r="I36" s="35">
        <f t="shared" si="5"/>
        <v>0</v>
      </c>
      <c r="J36" s="45">
        <f t="shared" si="2"/>
        <v>180.65624924604421</v>
      </c>
      <c r="K36" s="63">
        <f t="shared" si="3"/>
        <v>198.28138656354892</v>
      </c>
      <c r="L36" s="47">
        <f t="shared" ref="L36:M51" si="8">+L35</f>
        <v>134.93062583816888</v>
      </c>
      <c r="M36" s="47">
        <f t="shared" si="8"/>
        <v>207.19614896976259</v>
      </c>
    </row>
    <row r="37" spans="1:13" x14ac:dyDescent="0.15">
      <c r="A37" s="40">
        <v>35034</v>
      </c>
      <c r="B37" s="41" t="s">
        <v>41</v>
      </c>
      <c r="C37" s="46">
        <v>216</v>
      </c>
      <c r="D37" s="42">
        <f>SOJA!D37</f>
        <v>1.0001166666666699</v>
      </c>
      <c r="E37" s="46">
        <f>SOJA!E37</f>
        <v>1.0800388311449101</v>
      </c>
      <c r="F37" s="44">
        <f t="shared" si="0"/>
        <v>182.23680292203207</v>
      </c>
      <c r="G37" s="44">
        <f t="shared" si="4"/>
        <v>1.0800388311449103</v>
      </c>
      <c r="H37" s="44">
        <f t="shared" si="1"/>
        <v>200.0161418001982</v>
      </c>
      <c r="I37" s="35">
        <f t="shared" si="5"/>
        <v>0</v>
      </c>
      <c r="J37" s="45">
        <f t="shared" si="2"/>
        <v>182.23680292203207</v>
      </c>
      <c r="K37" s="63">
        <f t="shared" si="3"/>
        <v>200.0161418001982</v>
      </c>
      <c r="L37" s="47">
        <f t="shared" si="8"/>
        <v>134.93062583816888</v>
      </c>
      <c r="M37" s="47">
        <f t="shared" si="8"/>
        <v>207.19614896976259</v>
      </c>
    </row>
    <row r="38" spans="1:13" x14ac:dyDescent="0.15">
      <c r="A38" s="40">
        <v>35065</v>
      </c>
      <c r="B38" s="41" t="s">
        <v>42</v>
      </c>
      <c r="C38" s="46">
        <v>223</v>
      </c>
      <c r="D38" s="42">
        <f>SOJA!D38</f>
        <v>0.99921818181818201</v>
      </c>
      <c r="E38" s="46">
        <f>SOJA!E38</f>
        <v>1.0832767141188584</v>
      </c>
      <c r="F38" s="44">
        <f t="shared" si="0"/>
        <v>187.41175396570381</v>
      </c>
      <c r="G38" s="44">
        <f t="shared" si="4"/>
        <v>1.0832767141188586</v>
      </c>
      <c r="H38" s="44">
        <f t="shared" si="1"/>
        <v>205.69597005203036</v>
      </c>
      <c r="I38" s="35">
        <f t="shared" si="5"/>
        <v>0</v>
      </c>
      <c r="J38" s="45">
        <f t="shared" si="2"/>
        <v>187.41175396570381</v>
      </c>
      <c r="K38" s="63">
        <f t="shared" si="3"/>
        <v>205.69597005203036</v>
      </c>
      <c r="L38" s="47">
        <f t="shared" si="8"/>
        <v>134.93062583816888</v>
      </c>
      <c r="M38" s="47">
        <f t="shared" si="8"/>
        <v>207.19614896976259</v>
      </c>
    </row>
    <row r="39" spans="1:13" x14ac:dyDescent="0.15">
      <c r="A39" s="40">
        <v>35096</v>
      </c>
      <c r="B39" s="12" t="s">
        <v>1</v>
      </c>
      <c r="C39" s="46">
        <v>243</v>
      </c>
      <c r="D39" s="42">
        <f>SOJA!D39</f>
        <v>0.99939523809523845</v>
      </c>
      <c r="E39" s="46">
        <f>SOJA!E39</f>
        <v>1.0797564167272042</v>
      </c>
      <c r="F39" s="44">
        <f t="shared" si="0"/>
        <v>204.92209999322046</v>
      </c>
      <c r="G39" s="44">
        <f t="shared" si="4"/>
        <v>1.0797564167272045</v>
      </c>
      <c r="H39" s="44">
        <f t="shared" si="1"/>
        <v>224.91465583806635</v>
      </c>
      <c r="I39" s="35">
        <f t="shared" si="5"/>
        <v>0</v>
      </c>
      <c r="J39" s="45">
        <f t="shared" si="2"/>
        <v>204.92209999322046</v>
      </c>
      <c r="K39" s="63">
        <f t="shared" si="3"/>
        <v>224.91465583806635</v>
      </c>
      <c r="L39" s="47">
        <f t="shared" si="8"/>
        <v>134.93062583816888</v>
      </c>
      <c r="M39" s="47">
        <f t="shared" si="8"/>
        <v>207.19614896976259</v>
      </c>
    </row>
    <row r="40" spans="1:13" x14ac:dyDescent="0.15">
      <c r="A40" s="40">
        <v>35125</v>
      </c>
      <c r="B40" s="12" t="s">
        <v>2</v>
      </c>
      <c r="C40" s="46">
        <v>246</v>
      </c>
      <c r="D40" s="42">
        <f>SOJA!D40</f>
        <v>0.9999714285714284</v>
      </c>
      <c r="E40" s="46">
        <f>SOJA!E40</f>
        <v>1.073931242474631</v>
      </c>
      <c r="F40" s="44">
        <f t="shared" si="0"/>
        <v>208.69750814556417</v>
      </c>
      <c r="G40" s="44">
        <f t="shared" si="4"/>
        <v>1.0739312424746312</v>
      </c>
      <c r="H40" s="44">
        <f t="shared" si="1"/>
        <v>229.05839936431715</v>
      </c>
      <c r="I40" s="35">
        <f t="shared" si="5"/>
        <v>0</v>
      </c>
      <c r="J40" s="45">
        <f t="shared" si="2"/>
        <v>208.69750814556417</v>
      </c>
      <c r="K40" s="63">
        <f t="shared" si="3"/>
        <v>229.05839936431715</v>
      </c>
      <c r="L40" s="47">
        <f t="shared" si="8"/>
        <v>134.93062583816888</v>
      </c>
      <c r="M40" s="47">
        <f t="shared" si="8"/>
        <v>207.19614896976259</v>
      </c>
    </row>
    <row r="41" spans="1:13" x14ac:dyDescent="0.15">
      <c r="A41" s="40">
        <v>35156</v>
      </c>
      <c r="B41" s="12" t="s">
        <v>3</v>
      </c>
      <c r="C41" s="46">
        <v>264</v>
      </c>
      <c r="D41" s="42">
        <f>SOJA!D41</f>
        <v>0.99930000000000019</v>
      </c>
      <c r="E41" s="46">
        <f>SOJA!E41</f>
        <v>1.0739476580220451</v>
      </c>
      <c r="F41" s="44">
        <f t="shared" si="0"/>
        <v>223.81425356569449</v>
      </c>
      <c r="G41" s="44">
        <f t="shared" si="4"/>
        <v>1.0739476580220453</v>
      </c>
      <c r="H41" s="44">
        <f t="shared" si="1"/>
        <v>245.64996071213056</v>
      </c>
      <c r="I41" s="35">
        <f t="shared" si="5"/>
        <v>0</v>
      </c>
      <c r="J41" s="45">
        <f t="shared" si="2"/>
        <v>223.81425356569449</v>
      </c>
      <c r="K41" s="63">
        <f t="shared" si="3"/>
        <v>245.64996071213056</v>
      </c>
      <c r="L41" s="47">
        <f t="shared" si="8"/>
        <v>134.93062583816888</v>
      </c>
      <c r="M41" s="47">
        <f t="shared" si="8"/>
        <v>207.19614896976259</v>
      </c>
    </row>
    <row r="42" spans="1:13" x14ac:dyDescent="0.15">
      <c r="A42" s="40">
        <v>35186</v>
      </c>
      <c r="B42" s="12" t="s">
        <v>2</v>
      </c>
      <c r="C42" s="46">
        <v>284</v>
      </c>
      <c r="D42" s="42">
        <f>SOJA!D42</f>
        <v>1.0001</v>
      </c>
      <c r="E42" s="46">
        <f>SOJA!E42</f>
        <v>1.0729898610823128</v>
      </c>
      <c r="F42" s="44">
        <f t="shared" si="0"/>
        <v>241.17772328059357</v>
      </c>
      <c r="G42" s="44">
        <f t="shared" si="4"/>
        <v>1.072989861082313</v>
      </c>
      <c r="H42" s="44">
        <f t="shared" si="1"/>
        <v>264.70744067749501</v>
      </c>
      <c r="I42" s="35">
        <f t="shared" si="5"/>
        <v>0</v>
      </c>
      <c r="J42" s="45">
        <f t="shared" si="2"/>
        <v>241.17772328059357</v>
      </c>
      <c r="K42" s="63">
        <f t="shared" si="3"/>
        <v>264.70744067749501</v>
      </c>
      <c r="L42" s="47">
        <f t="shared" si="8"/>
        <v>134.93062583816888</v>
      </c>
      <c r="M42" s="47">
        <f t="shared" si="8"/>
        <v>207.19614896976259</v>
      </c>
    </row>
    <row r="43" spans="1:13" x14ac:dyDescent="0.15">
      <c r="A43" s="40">
        <v>35217</v>
      </c>
      <c r="B43" s="12" t="s">
        <v>4</v>
      </c>
      <c r="C43" s="46">
        <v>263</v>
      </c>
      <c r="D43" s="42">
        <f>SOJA!D43</f>
        <v>1.0006999999999999</v>
      </c>
      <c r="E43" s="46">
        <f>SOJA!E43</f>
        <v>1.073017667009559</v>
      </c>
      <c r="F43" s="44">
        <f t="shared" si="0"/>
        <v>223.47236117119382</v>
      </c>
      <c r="G43" s="44">
        <f t="shared" si="4"/>
        <v>1.0730176670095593</v>
      </c>
      <c r="H43" s="44">
        <f t="shared" si="1"/>
        <v>245.27471270205598</v>
      </c>
      <c r="I43" s="35">
        <f t="shared" si="5"/>
        <v>0</v>
      </c>
      <c r="J43" s="45">
        <f t="shared" si="2"/>
        <v>223.47236117119382</v>
      </c>
      <c r="K43" s="63">
        <f t="shared" si="3"/>
        <v>245.27471270205598</v>
      </c>
      <c r="L43" s="47">
        <f t="shared" si="8"/>
        <v>134.93062583816888</v>
      </c>
      <c r="M43" s="47">
        <f t="shared" si="8"/>
        <v>207.19614896976259</v>
      </c>
    </row>
    <row r="44" spans="1:13" x14ac:dyDescent="0.15">
      <c r="A44" s="40">
        <v>35247</v>
      </c>
      <c r="B44" s="12" t="s">
        <v>4</v>
      </c>
      <c r="C44" s="46">
        <v>233</v>
      </c>
      <c r="D44" s="42">
        <f>SOJA!D44</f>
        <v>1.0014357142857147</v>
      </c>
      <c r="E44" s="46">
        <f>SOJA!E44</f>
        <v>1.0788354710163586</v>
      </c>
      <c r="F44" s="44">
        <f t="shared" si="0"/>
        <v>197.05834066699788</v>
      </c>
      <c r="G44" s="44">
        <f t="shared" si="4"/>
        <v>1.0788354710163588</v>
      </c>
      <c r="H44" s="44">
        <f t="shared" si="1"/>
        <v>216.28369449954189</v>
      </c>
      <c r="I44" s="35">
        <f t="shared" si="5"/>
        <v>0</v>
      </c>
      <c r="J44" s="45">
        <f t="shared" si="2"/>
        <v>197.05834066699788</v>
      </c>
      <c r="K44" s="63">
        <f t="shared" si="3"/>
        <v>216.28369449954189</v>
      </c>
      <c r="L44" s="47">
        <f t="shared" si="8"/>
        <v>134.93062583816888</v>
      </c>
      <c r="M44" s="47">
        <f t="shared" si="8"/>
        <v>207.19614896976259</v>
      </c>
    </row>
    <row r="45" spans="1:13" x14ac:dyDescent="0.15">
      <c r="A45" s="40">
        <v>35278</v>
      </c>
      <c r="B45" s="12" t="s">
        <v>3</v>
      </c>
      <c r="C45" s="46">
        <v>208</v>
      </c>
      <c r="D45" s="42">
        <f>SOJA!D45</f>
        <v>1.001195238095238</v>
      </c>
      <c r="E45" s="46">
        <f>SOJA!E45</f>
        <v>1.0779999531542721</v>
      </c>
      <c r="F45" s="44">
        <f t="shared" si="0"/>
        <v>176.00881148871736</v>
      </c>
      <c r="G45" s="44">
        <f t="shared" si="4"/>
        <v>1.0779999531542723</v>
      </c>
      <c r="H45" s="44">
        <f t="shared" si="1"/>
        <v>193.18053671010421</v>
      </c>
      <c r="I45" s="35">
        <f t="shared" si="5"/>
        <v>0</v>
      </c>
      <c r="J45" s="45">
        <f t="shared" si="2"/>
        <v>176.00881148871736</v>
      </c>
      <c r="K45" s="63">
        <f t="shared" si="3"/>
        <v>193.18053671010421</v>
      </c>
      <c r="L45" s="47">
        <f t="shared" si="8"/>
        <v>134.93062583816888</v>
      </c>
      <c r="M45" s="47">
        <f t="shared" si="8"/>
        <v>207.19614896976259</v>
      </c>
    </row>
    <row r="46" spans="1:13" x14ac:dyDescent="0.15">
      <c r="A46" s="40">
        <v>35309</v>
      </c>
      <c r="B46" s="12" t="s">
        <v>5</v>
      </c>
      <c r="C46" s="46">
        <v>179</v>
      </c>
      <c r="D46" s="42">
        <f>SOJA!D46</f>
        <v>1.0002714285714285</v>
      </c>
      <c r="E46" s="46">
        <f>SOJA!E46</f>
        <v>1.0799574234301974</v>
      </c>
      <c r="F46" s="44">
        <f t="shared" si="0"/>
        <v>151.05506874368211</v>
      </c>
      <c r="G46" s="44">
        <f t="shared" si="4"/>
        <v>1.0799574234301976</v>
      </c>
      <c r="H46" s="44">
        <f t="shared" si="1"/>
        <v>165.79226350015307</v>
      </c>
      <c r="I46" s="35">
        <f t="shared" si="5"/>
        <v>0</v>
      </c>
      <c r="J46" s="45">
        <f t="shared" si="2"/>
        <v>151.05506874368211</v>
      </c>
      <c r="K46" s="63">
        <f t="shared" si="3"/>
        <v>165.79226350015307</v>
      </c>
      <c r="L46" s="47">
        <f t="shared" si="8"/>
        <v>134.93062583816888</v>
      </c>
      <c r="M46" s="47">
        <f t="shared" si="8"/>
        <v>207.19614896976259</v>
      </c>
    </row>
    <row r="47" spans="1:13" x14ac:dyDescent="0.15">
      <c r="A47" s="40">
        <v>35339</v>
      </c>
      <c r="B47" s="12" t="s">
        <v>6</v>
      </c>
      <c r="C47" s="46">
        <v>170</v>
      </c>
      <c r="D47" s="42">
        <f>SOJA!D47</f>
        <v>0.99967391304347852</v>
      </c>
      <c r="E47" s="46">
        <f>SOJA!E47</f>
        <v>1.085401354969429</v>
      </c>
      <c r="F47" s="44">
        <f t="shared" si="0"/>
        <v>142.65531698906321</v>
      </c>
      <c r="G47" s="44">
        <f t="shared" si="4"/>
        <v>1.0854013549694292</v>
      </c>
      <c r="H47" s="44">
        <f t="shared" si="1"/>
        <v>156.57301738137033</v>
      </c>
      <c r="I47" s="35">
        <f t="shared" si="5"/>
        <v>0</v>
      </c>
      <c r="J47" s="45">
        <f t="shared" si="2"/>
        <v>142.65531698906321</v>
      </c>
      <c r="K47" s="63">
        <f t="shared" si="3"/>
        <v>156.57301738137033</v>
      </c>
      <c r="L47" s="47">
        <f t="shared" si="8"/>
        <v>134.93062583816888</v>
      </c>
      <c r="M47" s="47">
        <f t="shared" si="8"/>
        <v>207.19614896976259</v>
      </c>
    </row>
    <row r="48" spans="1:13" x14ac:dyDescent="0.15">
      <c r="A48" s="40">
        <v>35370</v>
      </c>
      <c r="B48" s="12" t="s">
        <v>7</v>
      </c>
      <c r="C48" s="46">
        <v>159</v>
      </c>
      <c r="D48" s="42">
        <f>SOJA!D48</f>
        <v>0.99930952380952409</v>
      </c>
      <c r="E48" s="46">
        <f>SOJA!E48</f>
        <v>1.0837155787537085</v>
      </c>
      <c r="F48" s="44">
        <f t="shared" si="0"/>
        <v>133.58351786253749</v>
      </c>
      <c r="G48" s="44">
        <f t="shared" si="4"/>
        <v>1.0837155787537087</v>
      </c>
      <c r="H48" s="44">
        <f t="shared" si="1"/>
        <v>146.61615778232215</v>
      </c>
      <c r="I48" s="35">
        <f t="shared" si="5"/>
        <v>0</v>
      </c>
      <c r="J48" s="45">
        <f t="shared" si="2"/>
        <v>133.58351786253749</v>
      </c>
      <c r="K48" s="63">
        <f t="shared" si="3"/>
        <v>146.61615778232215</v>
      </c>
      <c r="L48" s="47">
        <f t="shared" si="8"/>
        <v>134.93062583816888</v>
      </c>
      <c r="M48" s="47">
        <f t="shared" si="8"/>
        <v>207.19614896976259</v>
      </c>
    </row>
    <row r="49" spans="1:13" x14ac:dyDescent="0.15">
      <c r="A49" s="40">
        <v>35400</v>
      </c>
      <c r="B49" s="41" t="s">
        <v>43</v>
      </c>
      <c r="C49" s="46">
        <v>139</v>
      </c>
      <c r="D49" s="42">
        <f>SOJA!D49</f>
        <v>1.0002000000000002</v>
      </c>
      <c r="E49" s="46">
        <f>SOJA!E49</f>
        <v>1.0806254357064542</v>
      </c>
      <c r="F49" s="44">
        <f t="shared" si="0"/>
        <v>117.21886361098942</v>
      </c>
      <c r="G49" s="44">
        <f t="shared" si="4"/>
        <v>1.0806254357064544</v>
      </c>
      <c r="H49" s="44">
        <f t="shared" si="1"/>
        <v>128.65493945097748</v>
      </c>
      <c r="I49" s="35">
        <f t="shared" si="5"/>
        <v>0</v>
      </c>
      <c r="J49" s="45">
        <f t="shared" si="2"/>
        <v>117.21886361098942</v>
      </c>
      <c r="K49" s="63">
        <f t="shared" si="3"/>
        <v>128.65493945097748</v>
      </c>
      <c r="L49" s="47">
        <f t="shared" si="8"/>
        <v>134.93062583816888</v>
      </c>
      <c r="M49" s="47">
        <f t="shared" si="8"/>
        <v>207.19614896976259</v>
      </c>
    </row>
    <row r="50" spans="1:13" x14ac:dyDescent="0.15">
      <c r="A50" s="40">
        <v>35431</v>
      </c>
      <c r="B50" s="41" t="s">
        <v>44</v>
      </c>
      <c r="C50" s="46">
        <v>144</v>
      </c>
      <c r="D50" s="42">
        <f>SOJA!D50</f>
        <v>0.999</v>
      </c>
      <c r="E50" s="46">
        <f>SOJA!E50</f>
        <v>1.0856727140184714</v>
      </c>
      <c r="F50" s="44">
        <f t="shared" si="0"/>
        <v>120.72580206611883</v>
      </c>
      <c r="G50" s="44">
        <f t="shared" si="4"/>
        <v>1.0856727140184717</v>
      </c>
      <c r="H50" s="44">
        <f t="shared" si="1"/>
        <v>132.50402091025788</v>
      </c>
      <c r="I50" s="35">
        <f t="shared" si="5"/>
        <v>0</v>
      </c>
      <c r="J50" s="45">
        <f t="shared" si="2"/>
        <v>120.72580206611883</v>
      </c>
      <c r="K50" s="63">
        <f t="shared" si="3"/>
        <v>132.50402091025788</v>
      </c>
      <c r="L50" s="47">
        <f t="shared" si="8"/>
        <v>134.93062583816888</v>
      </c>
      <c r="M50" s="47">
        <f t="shared" si="8"/>
        <v>207.19614896976259</v>
      </c>
    </row>
    <row r="51" spans="1:13" x14ac:dyDescent="0.15">
      <c r="A51" s="40">
        <v>35462</v>
      </c>
      <c r="B51" s="12" t="s">
        <v>1</v>
      </c>
      <c r="C51" s="46">
        <v>149</v>
      </c>
      <c r="D51" s="42">
        <f>SOJA!D51</f>
        <v>0.99919999999999998</v>
      </c>
      <c r="E51" s="46">
        <f>SOJA!E51</f>
        <v>1.0898472882283434</v>
      </c>
      <c r="F51" s="44">
        <f t="shared" si="0"/>
        <v>124.46409564458729</v>
      </c>
      <c r="G51" s="44">
        <f t="shared" si="4"/>
        <v>1.0898472882283436</v>
      </c>
      <c r="H51" s="44">
        <f t="shared" si="1"/>
        <v>136.60702890037072</v>
      </c>
      <c r="I51" s="35">
        <f t="shared" si="5"/>
        <v>0</v>
      </c>
      <c r="J51" s="45">
        <f t="shared" si="2"/>
        <v>124.46409564458729</v>
      </c>
      <c r="K51" s="63">
        <f t="shared" si="3"/>
        <v>136.60702890037072</v>
      </c>
      <c r="L51" s="47">
        <f t="shared" si="8"/>
        <v>134.93062583816888</v>
      </c>
      <c r="M51" s="47">
        <f t="shared" si="8"/>
        <v>207.19614896976259</v>
      </c>
    </row>
    <row r="52" spans="1:13" x14ac:dyDescent="0.15">
      <c r="A52" s="40">
        <v>35490</v>
      </c>
      <c r="B52" s="12" t="s">
        <v>2</v>
      </c>
      <c r="C52" s="46">
        <v>168</v>
      </c>
      <c r="D52" s="42">
        <f>SOJA!D52</f>
        <v>0.99929999999999997</v>
      </c>
      <c r="E52" s="46">
        <f>SOJA!E52</f>
        <v>1.0844747140686595</v>
      </c>
      <c r="F52" s="44">
        <f t="shared" si="0"/>
        <v>141.04470305170028</v>
      </c>
      <c r="G52" s="44">
        <f t="shared" si="4"/>
        <v>1.0844747140686597</v>
      </c>
      <c r="H52" s="44">
        <f t="shared" si="1"/>
        <v>154.80526915205797</v>
      </c>
      <c r="I52" s="35">
        <f t="shared" si="5"/>
        <v>0</v>
      </c>
      <c r="J52" s="45">
        <f t="shared" si="2"/>
        <v>141.04470305170028</v>
      </c>
      <c r="K52" s="63">
        <f t="shared" si="3"/>
        <v>154.80526915205797</v>
      </c>
      <c r="L52" s="47">
        <f t="shared" ref="L52:M67" si="9">+L51</f>
        <v>134.93062583816888</v>
      </c>
      <c r="M52" s="47">
        <f t="shared" si="9"/>
        <v>207.19614896976259</v>
      </c>
    </row>
    <row r="53" spans="1:13" x14ac:dyDescent="0.15">
      <c r="A53" s="40">
        <v>35521</v>
      </c>
      <c r="B53" s="12" t="s">
        <v>3</v>
      </c>
      <c r="C53" s="46">
        <v>182</v>
      </c>
      <c r="D53" s="42">
        <f>SOJA!D53</f>
        <v>0.99919999999999998</v>
      </c>
      <c r="E53" s="46">
        <f>SOJA!E53</f>
        <v>1.0808904295432264</v>
      </c>
      <c r="F53" s="44">
        <f t="shared" si="0"/>
        <v>153.2897739751343</v>
      </c>
      <c r="G53" s="44">
        <f t="shared" si="4"/>
        <v>1.0808904295432267</v>
      </c>
      <c r="H53" s="44">
        <f t="shared" si="1"/>
        <v>168.24499045370382</v>
      </c>
      <c r="I53" s="35">
        <f t="shared" si="5"/>
        <v>0</v>
      </c>
      <c r="J53" s="45">
        <f t="shared" si="2"/>
        <v>153.2897739751343</v>
      </c>
      <c r="K53" s="63">
        <f t="shared" si="3"/>
        <v>168.24499045370382</v>
      </c>
      <c r="L53" s="47">
        <f t="shared" si="9"/>
        <v>134.93062583816888</v>
      </c>
      <c r="M53" s="47">
        <f t="shared" si="9"/>
        <v>207.19614896976259</v>
      </c>
    </row>
    <row r="54" spans="1:13" x14ac:dyDescent="0.15">
      <c r="A54" s="40">
        <v>35551</v>
      </c>
      <c r="B54" s="12" t="s">
        <v>2</v>
      </c>
      <c r="C54" s="46">
        <v>184</v>
      </c>
      <c r="D54" s="42">
        <f>SOJA!D54</f>
        <v>0.99929999999999997</v>
      </c>
      <c r="E54" s="46">
        <f>SOJA!E54</f>
        <v>1.0799936046367364</v>
      </c>
      <c r="F54" s="44">
        <f t="shared" si="0"/>
        <v>155.11849008454411</v>
      </c>
      <c r="G54" s="44">
        <f t="shared" si="4"/>
        <v>1.0799936046367367</v>
      </c>
      <c r="H54" s="44">
        <f t="shared" si="1"/>
        <v>170.25211928161957</v>
      </c>
      <c r="I54" s="35">
        <f t="shared" si="5"/>
        <v>0</v>
      </c>
      <c r="J54" s="45">
        <f t="shared" si="2"/>
        <v>155.11849008454411</v>
      </c>
      <c r="K54" s="63">
        <f t="shared" si="3"/>
        <v>170.25211928161957</v>
      </c>
      <c r="L54" s="47">
        <f t="shared" si="9"/>
        <v>134.93062583816888</v>
      </c>
      <c r="M54" s="47">
        <f t="shared" si="9"/>
        <v>207.19614896976259</v>
      </c>
    </row>
    <row r="55" spans="1:13" x14ac:dyDescent="0.15">
      <c r="A55" s="40">
        <v>35582</v>
      </c>
      <c r="B55" s="12" t="s">
        <v>4</v>
      </c>
      <c r="C55" s="46">
        <v>167</v>
      </c>
      <c r="D55" s="42">
        <f>SOJA!D55</f>
        <v>0.99939999999999996</v>
      </c>
      <c r="E55" s="46">
        <f>SOJA!E55</f>
        <v>1.0824525866366088</v>
      </c>
      <c r="F55" s="44">
        <f t="shared" si="0"/>
        <v>140.48112474647917</v>
      </c>
      <c r="G55" s="44">
        <f t="shared" si="4"/>
        <v>1.082452586636609</v>
      </c>
      <c r="H55" s="44">
        <f t="shared" si="1"/>
        <v>154.18670716893953</v>
      </c>
      <c r="I55" s="35">
        <f t="shared" si="5"/>
        <v>0</v>
      </c>
      <c r="J55" s="45">
        <f t="shared" si="2"/>
        <v>140.48112474647917</v>
      </c>
      <c r="K55" s="63">
        <f t="shared" si="3"/>
        <v>154.18670716893953</v>
      </c>
      <c r="L55" s="47">
        <f t="shared" si="9"/>
        <v>134.93062583816888</v>
      </c>
      <c r="M55" s="47">
        <f t="shared" si="9"/>
        <v>207.19614896976259</v>
      </c>
    </row>
    <row r="56" spans="1:13" x14ac:dyDescent="0.15">
      <c r="A56" s="40">
        <v>35612</v>
      </c>
      <c r="B56" s="12" t="s">
        <v>4</v>
      </c>
      <c r="C56" s="46">
        <v>165</v>
      </c>
      <c r="D56" s="42">
        <f>SOJA!D56</f>
        <v>0.99980000000000002</v>
      </c>
      <c r="E56" s="46">
        <f>SOJA!E56</f>
        <v>1.0848579668490297</v>
      </c>
      <c r="F56" s="44">
        <f t="shared" si="0"/>
        <v>138.54639695983161</v>
      </c>
      <c r="G56" s="44">
        <f t="shared" si="4"/>
        <v>1.0848579668490299</v>
      </c>
      <c r="H56" s="44">
        <f t="shared" si="1"/>
        <v>152.06322398050565</v>
      </c>
      <c r="I56" s="35">
        <f t="shared" si="5"/>
        <v>0</v>
      </c>
      <c r="J56" s="45">
        <f t="shared" si="2"/>
        <v>138.54639695983161</v>
      </c>
      <c r="K56" s="63">
        <f t="shared" si="3"/>
        <v>152.06322398050565</v>
      </c>
      <c r="L56" s="47">
        <f t="shared" si="9"/>
        <v>134.93062583816888</v>
      </c>
      <c r="M56" s="47">
        <f t="shared" si="9"/>
        <v>207.19614896976259</v>
      </c>
    </row>
    <row r="57" spans="1:13" x14ac:dyDescent="0.15">
      <c r="A57" s="40">
        <v>35643</v>
      </c>
      <c r="B57" s="12" t="s">
        <v>3</v>
      </c>
      <c r="C57" s="46">
        <v>163</v>
      </c>
      <c r="D57" s="42">
        <f>SOJA!D57</f>
        <v>0.99970000000000003</v>
      </c>
      <c r="E57" s="46">
        <f>SOJA!E57</f>
        <v>1.0866432413827216</v>
      </c>
      <c r="F57" s="44">
        <f t="shared" si="0"/>
        <v>136.62851729972252</v>
      </c>
      <c r="G57" s="44">
        <f t="shared" si="4"/>
        <v>1.0866432413827218</v>
      </c>
      <c r="H57" s="44">
        <f t="shared" si="1"/>
        <v>149.95823265108564</v>
      </c>
      <c r="I57" s="35">
        <f t="shared" si="5"/>
        <v>0</v>
      </c>
      <c r="J57" s="45">
        <f t="shared" si="2"/>
        <v>136.62851729972252</v>
      </c>
      <c r="K57" s="63">
        <f t="shared" si="3"/>
        <v>149.95823265108564</v>
      </c>
      <c r="L57" s="47">
        <f t="shared" si="9"/>
        <v>134.93062583816888</v>
      </c>
      <c r="M57" s="47">
        <f t="shared" si="9"/>
        <v>207.19614896976259</v>
      </c>
    </row>
    <row r="58" spans="1:13" x14ac:dyDescent="0.15">
      <c r="A58" s="40">
        <v>35674</v>
      </c>
      <c r="B58" s="12" t="s">
        <v>5</v>
      </c>
      <c r="C58" s="46">
        <v>155</v>
      </c>
      <c r="D58" s="42">
        <f>SOJA!D58</f>
        <v>0.99970000000000003</v>
      </c>
      <c r="E58" s="46">
        <f>SOJA!E58</f>
        <v>1.0861229690331584</v>
      </c>
      <c r="F58" s="44">
        <f t="shared" si="0"/>
        <v>129.98505855774675</v>
      </c>
      <c r="G58" s="44">
        <f t="shared" si="4"/>
        <v>1.0861229690331586</v>
      </c>
      <c r="H58" s="44">
        <f t="shared" si="1"/>
        <v>142.66662654039624</v>
      </c>
      <c r="I58" s="35">
        <f t="shared" si="5"/>
        <v>0</v>
      </c>
      <c r="J58" s="45">
        <f t="shared" si="2"/>
        <v>129.98505855774675</v>
      </c>
      <c r="K58" s="63">
        <f t="shared" si="3"/>
        <v>142.66662654039624</v>
      </c>
      <c r="L58" s="47">
        <f t="shared" si="9"/>
        <v>134.93062583816888</v>
      </c>
      <c r="M58" s="47">
        <f t="shared" si="9"/>
        <v>207.19614896976259</v>
      </c>
    </row>
    <row r="59" spans="1:13" x14ac:dyDescent="0.15">
      <c r="A59" s="40">
        <v>35704</v>
      </c>
      <c r="B59" s="12" t="s">
        <v>6</v>
      </c>
      <c r="C59" s="46">
        <v>149</v>
      </c>
      <c r="D59" s="42">
        <f>SOJA!D59</f>
        <v>1.0004</v>
      </c>
      <c r="E59" s="46">
        <f>SOJA!E59</f>
        <v>1.0844214472923708</v>
      </c>
      <c r="F59" s="44">
        <f t="shared" si="0"/>
        <v>125.23706904997984</v>
      </c>
      <c r="G59" s="44">
        <f t="shared" si="4"/>
        <v>1.084421447292371</v>
      </c>
      <c r="H59" s="44">
        <f t="shared" si="1"/>
        <v>137.45541493316853</v>
      </c>
      <c r="I59" s="35">
        <f t="shared" si="5"/>
        <v>0</v>
      </c>
      <c r="J59" s="45">
        <f t="shared" si="2"/>
        <v>125.23706904997984</v>
      </c>
      <c r="K59" s="63">
        <f t="shared" si="3"/>
        <v>137.45541493316853</v>
      </c>
      <c r="L59" s="47">
        <f t="shared" si="9"/>
        <v>134.93062583816888</v>
      </c>
      <c r="M59" s="47">
        <f t="shared" si="9"/>
        <v>207.19614896976259</v>
      </c>
    </row>
    <row r="60" spans="1:13" x14ac:dyDescent="0.15">
      <c r="A60" s="40">
        <v>35735</v>
      </c>
      <c r="B60" s="12" t="s">
        <v>7</v>
      </c>
      <c r="C60" s="46">
        <v>139</v>
      </c>
      <c r="D60" s="42">
        <f>SOJA!D60</f>
        <v>1.0011000000000001</v>
      </c>
      <c r="E60" s="46">
        <f>SOJA!E60</f>
        <v>1.0823256174025597</v>
      </c>
      <c r="F60" s="44">
        <f t="shared" si="0"/>
        <v>117.14003941616691</v>
      </c>
      <c r="G60" s="44">
        <f t="shared" si="4"/>
        <v>1.0823256174025599</v>
      </c>
      <c r="H60" s="44">
        <f t="shared" si="1"/>
        <v>128.56842503085974</v>
      </c>
      <c r="I60" s="35">
        <f t="shared" si="5"/>
        <v>0</v>
      </c>
      <c r="J60" s="45">
        <f t="shared" si="2"/>
        <v>117.14003941616691</v>
      </c>
      <c r="K60" s="63">
        <f t="shared" si="3"/>
        <v>128.56842503085974</v>
      </c>
      <c r="L60" s="47">
        <f t="shared" si="9"/>
        <v>134.93062583816888</v>
      </c>
      <c r="M60" s="47">
        <f t="shared" si="9"/>
        <v>207.19614896976259</v>
      </c>
    </row>
    <row r="61" spans="1:13" x14ac:dyDescent="0.15">
      <c r="A61" s="40">
        <v>35765</v>
      </c>
      <c r="B61" s="41" t="s">
        <v>45</v>
      </c>
      <c r="C61" s="46">
        <v>134</v>
      </c>
      <c r="D61" s="42">
        <f>SOJA!D61</f>
        <v>1.0006999999999999</v>
      </c>
      <c r="E61" s="46">
        <f>SOJA!E61</f>
        <v>1.084169853902464</v>
      </c>
      <c r="F61" s="44">
        <f t="shared" si="0"/>
        <v>112.68923039648612</v>
      </c>
      <c r="G61" s="44">
        <f t="shared" si="4"/>
        <v>1.0841698539024642</v>
      </c>
      <c r="H61" s="44">
        <f t="shared" si="1"/>
        <v>123.68338735607709</v>
      </c>
      <c r="I61" s="35">
        <f t="shared" si="5"/>
        <v>0</v>
      </c>
      <c r="J61" s="45">
        <f t="shared" si="2"/>
        <v>112.68923039648612</v>
      </c>
      <c r="K61" s="63">
        <f t="shared" si="3"/>
        <v>123.68338735607709</v>
      </c>
      <c r="L61" s="47">
        <f t="shared" si="9"/>
        <v>134.93062583816888</v>
      </c>
      <c r="M61" s="47">
        <f t="shared" si="9"/>
        <v>207.19614896976259</v>
      </c>
    </row>
    <row r="62" spans="1:13" x14ac:dyDescent="0.15">
      <c r="A62" s="40">
        <v>35796</v>
      </c>
      <c r="B62" s="41" t="s">
        <v>46</v>
      </c>
      <c r="C62" s="46">
        <v>127</v>
      </c>
      <c r="D62" s="42">
        <f>SOJA!D62</f>
        <v>0.99939999999999996</v>
      </c>
      <c r="E62" s="46">
        <f>SOJA!E62</f>
        <v>1.0909846511560766</v>
      </c>
      <c r="F62" s="44">
        <f t="shared" si="0"/>
        <v>105.9974621940635</v>
      </c>
      <c r="G62" s="44">
        <f t="shared" si="4"/>
        <v>1.0909846511560768</v>
      </c>
      <c r="H62" s="44">
        <f t="shared" si="1"/>
        <v>116.33875863010856</v>
      </c>
      <c r="I62" s="35">
        <f t="shared" si="5"/>
        <v>0</v>
      </c>
      <c r="J62" s="45">
        <f t="shared" si="2"/>
        <v>105.9974621940635</v>
      </c>
      <c r="K62" s="63">
        <f t="shared" si="3"/>
        <v>116.33875863010856</v>
      </c>
      <c r="L62" s="47">
        <f t="shared" si="9"/>
        <v>134.93062583816888</v>
      </c>
      <c r="M62" s="47">
        <f t="shared" si="9"/>
        <v>207.19614896976259</v>
      </c>
    </row>
    <row r="63" spans="1:13" x14ac:dyDescent="0.15">
      <c r="A63" s="40">
        <v>35827</v>
      </c>
      <c r="B63" s="12" t="s">
        <v>1</v>
      </c>
      <c r="C63" s="46">
        <v>124</v>
      </c>
      <c r="D63" s="42">
        <f>SOJA!D63</f>
        <v>0.99909999999999999</v>
      </c>
      <c r="E63" s="46">
        <f>SOJA!E63</f>
        <v>1.0896342211231778</v>
      </c>
      <c r="F63" s="44">
        <f t="shared" si="0"/>
        <v>103.59074391817802</v>
      </c>
      <c r="G63" s="44">
        <f t="shared" si="4"/>
        <v>1.089634221123178</v>
      </c>
      <c r="H63" s="44">
        <f t="shared" si="1"/>
        <v>113.69723674087417</v>
      </c>
      <c r="I63" s="35">
        <f t="shared" si="5"/>
        <v>0</v>
      </c>
      <c r="J63" s="45">
        <f t="shared" si="2"/>
        <v>103.59074391817802</v>
      </c>
      <c r="K63" s="63">
        <f t="shared" si="3"/>
        <v>113.69723674087417</v>
      </c>
      <c r="L63" s="47">
        <f t="shared" si="9"/>
        <v>134.93062583816888</v>
      </c>
      <c r="M63" s="47">
        <f t="shared" si="9"/>
        <v>207.19614896976259</v>
      </c>
    </row>
    <row r="64" spans="1:13" x14ac:dyDescent="0.15">
      <c r="A64" s="40">
        <v>35855</v>
      </c>
      <c r="B64" s="12" t="s">
        <v>2</v>
      </c>
      <c r="C64" s="46">
        <v>124</v>
      </c>
      <c r="D64" s="42">
        <f>SOJA!D64</f>
        <v>0.99990000000000001</v>
      </c>
      <c r="E64" s="46">
        <f>SOJA!E64</f>
        <v>1.093413482150507</v>
      </c>
      <c r="F64" s="44">
        <f t="shared" si="0"/>
        <v>103.31535468381968</v>
      </c>
      <c r="G64" s="44">
        <f t="shared" si="4"/>
        <v>1.0934134821505073</v>
      </c>
      <c r="H64" s="44">
        <f t="shared" si="1"/>
        <v>113.39498005470288</v>
      </c>
      <c r="I64" s="35">
        <f t="shared" si="5"/>
        <v>0</v>
      </c>
      <c r="J64" s="45">
        <f t="shared" si="2"/>
        <v>103.31535468381968</v>
      </c>
      <c r="K64" s="63">
        <f t="shared" si="3"/>
        <v>113.39498005470288</v>
      </c>
      <c r="L64" s="47">
        <f t="shared" si="9"/>
        <v>134.93062583816888</v>
      </c>
      <c r="M64" s="47">
        <f t="shared" si="9"/>
        <v>207.19614896976259</v>
      </c>
    </row>
    <row r="65" spans="1:13" x14ac:dyDescent="0.15">
      <c r="A65" s="40">
        <v>35886</v>
      </c>
      <c r="B65" s="12" t="s">
        <v>3</v>
      </c>
      <c r="C65" s="46">
        <v>124</v>
      </c>
      <c r="D65" s="42">
        <f>SOJA!D65</f>
        <v>1.0006999999999999</v>
      </c>
      <c r="E65" s="46">
        <f>SOJA!E65</f>
        <v>1.0935367662616717</v>
      </c>
      <c r="F65" s="44">
        <f t="shared" si="0"/>
        <v>103.38635825710519</v>
      </c>
      <c r="G65" s="44">
        <f t="shared" si="4"/>
        <v>1.093536766261672</v>
      </c>
      <c r="H65" s="44">
        <f t="shared" si="1"/>
        <v>113.4729108598689</v>
      </c>
      <c r="I65" s="35">
        <f t="shared" si="5"/>
        <v>0</v>
      </c>
      <c r="J65" s="45">
        <f t="shared" si="2"/>
        <v>103.38635825710519</v>
      </c>
      <c r="K65" s="63">
        <f t="shared" si="3"/>
        <v>113.4729108598689</v>
      </c>
      <c r="L65" s="47">
        <f t="shared" si="9"/>
        <v>134.93062583816888</v>
      </c>
      <c r="M65" s="47">
        <f t="shared" si="9"/>
        <v>207.19614896976259</v>
      </c>
    </row>
    <row r="66" spans="1:13" x14ac:dyDescent="0.15">
      <c r="A66" s="40">
        <v>35916</v>
      </c>
      <c r="B66" s="12" t="s">
        <v>2</v>
      </c>
      <c r="C66" s="46">
        <v>125</v>
      </c>
      <c r="D66" s="42">
        <f>SOJA!D66</f>
        <v>0.99990000000000001</v>
      </c>
      <c r="E66" s="46">
        <f>SOJA!E66</f>
        <v>1.0927471449301058</v>
      </c>
      <c r="F66" s="44">
        <f t="shared" ref="F66:F108" si="10">+(C66*(D66/E66))/(AVERAGE(C$109)*AVERAGE(D$109)/AVERAGE(E$109))*100</f>
        <v>104.21205090449297</v>
      </c>
      <c r="G66" s="44">
        <f t="shared" si="4"/>
        <v>1.0927471449301061</v>
      </c>
      <c r="H66" s="44">
        <f t="shared" ref="H66:H129" si="11">+(C66*D66)/G66</f>
        <v>114.37915951543795</v>
      </c>
      <c r="I66" s="35">
        <f t="shared" si="5"/>
        <v>0</v>
      </c>
      <c r="J66" s="45">
        <f t="shared" ref="J66:J108" si="12">+F66*(1-I66)/(F$109*(1-I$109))*100</f>
        <v>104.21205090449297</v>
      </c>
      <c r="K66" s="63">
        <f t="shared" ref="K66:K129" si="13">+H66*(1-I66)</f>
        <v>114.37915951543795</v>
      </c>
      <c r="L66" s="47">
        <f t="shared" si="9"/>
        <v>134.93062583816888</v>
      </c>
      <c r="M66" s="47">
        <f t="shared" si="9"/>
        <v>207.19614896976259</v>
      </c>
    </row>
    <row r="67" spans="1:13" x14ac:dyDescent="0.15">
      <c r="A67" s="40">
        <v>35947</v>
      </c>
      <c r="B67" s="12" t="s">
        <v>4</v>
      </c>
      <c r="C67" s="46">
        <v>120</v>
      </c>
      <c r="D67" s="42">
        <f>SOJA!D67</f>
        <v>0.99990000000000001</v>
      </c>
      <c r="E67" s="46">
        <f>SOJA!E67</f>
        <v>1.0948332594959354</v>
      </c>
      <c r="F67" s="44">
        <f t="shared" si="10"/>
        <v>99.852944091048215</v>
      </c>
      <c r="G67" s="44">
        <f t="shared" ref="G67:G130" si="14">+E67/AVERAGE(E$2:E$13)</f>
        <v>1.0948332594959356</v>
      </c>
      <c r="H67" s="44">
        <f t="shared" si="11"/>
        <v>109.59477067333781</v>
      </c>
      <c r="I67" s="35">
        <f t="shared" si="5"/>
        <v>0</v>
      </c>
      <c r="J67" s="45">
        <f t="shared" si="12"/>
        <v>99.852944091048215</v>
      </c>
      <c r="K67" s="63">
        <f t="shared" si="13"/>
        <v>109.59477067333781</v>
      </c>
      <c r="L67" s="47">
        <f t="shared" si="9"/>
        <v>134.93062583816888</v>
      </c>
      <c r="M67" s="47">
        <f t="shared" si="9"/>
        <v>207.19614896976259</v>
      </c>
    </row>
    <row r="68" spans="1:13" x14ac:dyDescent="0.15">
      <c r="A68" s="40">
        <v>35977</v>
      </c>
      <c r="B68" s="12" t="s">
        <v>4</v>
      </c>
      <c r="C68" s="46">
        <v>116</v>
      </c>
      <c r="D68" s="42">
        <f>SOJA!D68</f>
        <v>0.99990000000000001</v>
      </c>
      <c r="E68" s="46">
        <f>SOJA!E68</f>
        <v>1.098255063603127</v>
      </c>
      <c r="F68" s="44">
        <f t="shared" si="10"/>
        <v>96.223773763244935</v>
      </c>
      <c r="G68" s="44">
        <f t="shared" si="14"/>
        <v>1.0982550636031272</v>
      </c>
      <c r="H68" s="44">
        <f t="shared" si="11"/>
        <v>105.61153218767616</v>
      </c>
      <c r="I68" s="35">
        <f t="shared" ref="I68:I111" si="15">+I67</f>
        <v>0</v>
      </c>
      <c r="J68" s="45">
        <f t="shared" si="12"/>
        <v>96.223773763244935</v>
      </c>
      <c r="K68" s="63">
        <f t="shared" si="13"/>
        <v>105.61153218767616</v>
      </c>
      <c r="L68" s="47">
        <f t="shared" ref="L68:M83" si="16">+L67</f>
        <v>134.93062583816888</v>
      </c>
      <c r="M68" s="47">
        <f t="shared" si="16"/>
        <v>207.19614896976259</v>
      </c>
    </row>
    <row r="69" spans="1:13" x14ac:dyDescent="0.15">
      <c r="A69" s="40">
        <v>36008</v>
      </c>
      <c r="B69" s="12" t="s">
        <v>3</v>
      </c>
      <c r="C69" s="46">
        <v>108</v>
      </c>
      <c r="D69" s="42">
        <f>SOJA!D69</f>
        <v>0.99990000000000001</v>
      </c>
      <c r="E69" s="46">
        <f>SOJA!E69</f>
        <v>1.0984768409987542</v>
      </c>
      <c r="F69" s="44">
        <f t="shared" si="10"/>
        <v>89.569564102109766</v>
      </c>
      <c r="G69" s="44">
        <f t="shared" si="14"/>
        <v>1.0984768409987544</v>
      </c>
      <c r="H69" s="44">
        <f t="shared" si="11"/>
        <v>98.308126279489258</v>
      </c>
      <c r="I69" s="35">
        <f t="shared" si="15"/>
        <v>0</v>
      </c>
      <c r="J69" s="45">
        <f t="shared" si="12"/>
        <v>89.569564102109766</v>
      </c>
      <c r="K69" s="63">
        <f t="shared" si="13"/>
        <v>98.308126279489258</v>
      </c>
      <c r="L69" s="47">
        <f t="shared" si="16"/>
        <v>134.93062583816888</v>
      </c>
      <c r="M69" s="47">
        <f t="shared" si="16"/>
        <v>207.19614896976259</v>
      </c>
    </row>
    <row r="70" spans="1:13" x14ac:dyDescent="0.15">
      <c r="A70" s="40">
        <v>36039</v>
      </c>
      <c r="B70" s="12" t="s">
        <v>5</v>
      </c>
      <c r="C70" s="46">
        <v>110</v>
      </c>
      <c r="D70" s="42">
        <f>SOJA!D70</f>
        <v>0.99990000000000001</v>
      </c>
      <c r="E70" s="46">
        <f>SOJA!E70</f>
        <v>1.098137139670702</v>
      </c>
      <c r="F70" s="44">
        <f t="shared" si="10"/>
        <v>91.256480581344007</v>
      </c>
      <c r="G70" s="44">
        <f t="shared" si="14"/>
        <v>1.0981371396707023</v>
      </c>
      <c r="H70" s="44">
        <f t="shared" si="11"/>
        <v>100.15962125912829</v>
      </c>
      <c r="I70" s="35">
        <f t="shared" si="15"/>
        <v>0</v>
      </c>
      <c r="J70" s="45">
        <f t="shared" si="12"/>
        <v>91.256480581344007</v>
      </c>
      <c r="K70" s="63">
        <f t="shared" si="13"/>
        <v>100.15962125912829</v>
      </c>
      <c r="L70" s="47">
        <f t="shared" si="16"/>
        <v>134.93062583816888</v>
      </c>
      <c r="M70" s="47">
        <f t="shared" si="16"/>
        <v>207.19614896976259</v>
      </c>
    </row>
    <row r="71" spans="1:13" x14ac:dyDescent="0.15">
      <c r="A71" s="40">
        <v>36069</v>
      </c>
      <c r="B71" s="12" t="s">
        <v>6</v>
      </c>
      <c r="C71" s="46">
        <v>131</v>
      </c>
      <c r="D71" s="42">
        <f>SOJA!D71</f>
        <v>0.99990000000000001</v>
      </c>
      <c r="E71" s="46">
        <f>SOJA!E71</f>
        <v>1.0941196857003317</v>
      </c>
      <c r="F71" s="44">
        <f t="shared" si="10"/>
        <v>109.07722332888903</v>
      </c>
      <c r="G71" s="44">
        <f t="shared" si="14"/>
        <v>1.0941196857003319</v>
      </c>
      <c r="H71" s="44">
        <f t="shared" si="11"/>
        <v>119.7189866080848</v>
      </c>
      <c r="I71" s="35">
        <f t="shared" si="15"/>
        <v>0</v>
      </c>
      <c r="J71" s="45">
        <f t="shared" si="12"/>
        <v>109.07722332888903</v>
      </c>
      <c r="K71" s="63">
        <f t="shared" si="13"/>
        <v>119.7189866080848</v>
      </c>
      <c r="L71" s="47">
        <f t="shared" si="16"/>
        <v>134.93062583816888</v>
      </c>
      <c r="M71" s="47">
        <f t="shared" si="16"/>
        <v>207.19614896976259</v>
      </c>
    </row>
    <row r="72" spans="1:13" x14ac:dyDescent="0.15">
      <c r="A72" s="40">
        <v>36100</v>
      </c>
      <c r="B72" s="12" t="s">
        <v>7</v>
      </c>
      <c r="C72" s="46">
        <v>125</v>
      </c>
      <c r="D72" s="42">
        <f>SOJA!D72</f>
        <v>1.0002</v>
      </c>
      <c r="E72" s="46">
        <f>SOJA!E72</f>
        <v>1.0915216740642271</v>
      </c>
      <c r="F72" s="44">
        <f t="shared" si="10"/>
        <v>104.36035347978354</v>
      </c>
      <c r="G72" s="44">
        <f t="shared" si="14"/>
        <v>1.0915216740642273</v>
      </c>
      <c r="H72" s="44">
        <f t="shared" si="11"/>
        <v>114.54193074744504</v>
      </c>
      <c r="I72" s="35">
        <f t="shared" si="15"/>
        <v>0</v>
      </c>
      <c r="J72" s="45">
        <f t="shared" si="12"/>
        <v>104.36035347978354</v>
      </c>
      <c r="K72" s="63">
        <f t="shared" si="13"/>
        <v>114.54193074744504</v>
      </c>
      <c r="L72" s="47">
        <f t="shared" si="16"/>
        <v>134.93062583816888</v>
      </c>
      <c r="M72" s="47">
        <f t="shared" si="16"/>
        <v>207.19614896976259</v>
      </c>
    </row>
    <row r="73" spans="1:13" x14ac:dyDescent="0.15">
      <c r="A73" s="40">
        <v>36130</v>
      </c>
      <c r="B73" s="41" t="s">
        <v>47</v>
      </c>
      <c r="C73" s="46">
        <v>116</v>
      </c>
      <c r="D73" s="42">
        <f>SOJA!D73</f>
        <v>0.99980000000000002</v>
      </c>
      <c r="E73" s="46">
        <f>SOJA!E73</f>
        <v>1.0913739341375333</v>
      </c>
      <c r="F73" s="44">
        <f t="shared" si="10"/>
        <v>96.820782123978958</v>
      </c>
      <c r="G73" s="44">
        <f t="shared" si="14"/>
        <v>1.0913739341375335</v>
      </c>
      <c r="H73" s="44">
        <f t="shared" si="11"/>
        <v>106.26678572056198</v>
      </c>
      <c r="I73" s="35">
        <f t="shared" si="15"/>
        <v>0</v>
      </c>
      <c r="J73" s="45">
        <f t="shared" si="12"/>
        <v>96.820782123978958</v>
      </c>
      <c r="K73" s="63">
        <f t="shared" si="13"/>
        <v>106.26678572056198</v>
      </c>
      <c r="L73" s="47">
        <f t="shared" si="16"/>
        <v>134.93062583816888</v>
      </c>
      <c r="M73" s="47">
        <f t="shared" si="16"/>
        <v>207.19614896976259</v>
      </c>
    </row>
    <row r="74" spans="1:13" x14ac:dyDescent="0.15">
      <c r="A74" s="40">
        <v>36161</v>
      </c>
      <c r="B74" s="41" t="s">
        <v>34</v>
      </c>
      <c r="C74" s="46">
        <v>111</v>
      </c>
      <c r="D74" s="42">
        <f>SOJA!D74</f>
        <v>0.99994499999999997</v>
      </c>
      <c r="E74" s="46">
        <f>SOJA!E74</f>
        <v>1.0965187007004931</v>
      </c>
      <c r="F74" s="44">
        <f t="shared" si="10"/>
        <v>92.2261525161408</v>
      </c>
      <c r="G74" s="44">
        <f t="shared" si="14"/>
        <v>1.0965187007004933</v>
      </c>
      <c r="H74" s="44">
        <f t="shared" si="11"/>
        <v>101.22389607135139</v>
      </c>
      <c r="I74" s="35">
        <f t="shared" si="15"/>
        <v>0</v>
      </c>
      <c r="J74" s="45">
        <f t="shared" si="12"/>
        <v>92.2261525161408</v>
      </c>
      <c r="K74" s="63">
        <f t="shared" si="13"/>
        <v>101.22389607135139</v>
      </c>
      <c r="L74" s="47">
        <f t="shared" si="16"/>
        <v>134.93062583816888</v>
      </c>
      <c r="M74" s="47">
        <f t="shared" si="16"/>
        <v>207.19614896976259</v>
      </c>
    </row>
    <row r="75" spans="1:13" x14ac:dyDescent="0.15">
      <c r="A75" s="40">
        <v>36192</v>
      </c>
      <c r="B75" s="12" t="s">
        <v>1</v>
      </c>
      <c r="C75" s="46">
        <v>104</v>
      </c>
      <c r="D75" s="42">
        <f>SOJA!D75</f>
        <v>1.00024</v>
      </c>
      <c r="E75" s="46">
        <f>SOJA!E75</f>
        <v>1.0947572119599731</v>
      </c>
      <c r="F75" s="44">
        <f t="shared" si="10"/>
        <v>86.574657997840632</v>
      </c>
      <c r="G75" s="44">
        <f t="shared" si="14"/>
        <v>1.0947572119599733</v>
      </c>
      <c r="H75" s="44">
        <f t="shared" si="11"/>
        <v>95.021031936169038</v>
      </c>
      <c r="I75" s="35">
        <f t="shared" si="15"/>
        <v>0</v>
      </c>
      <c r="J75" s="45">
        <f t="shared" si="12"/>
        <v>86.574657997840632</v>
      </c>
      <c r="K75" s="63">
        <f t="shared" si="13"/>
        <v>95.021031936169038</v>
      </c>
      <c r="L75" s="47">
        <f t="shared" si="16"/>
        <v>134.93062583816888</v>
      </c>
      <c r="M75" s="47">
        <f t="shared" si="16"/>
        <v>207.19614896976259</v>
      </c>
    </row>
    <row r="76" spans="1:13" x14ac:dyDescent="0.15">
      <c r="A76" s="40">
        <v>36220</v>
      </c>
      <c r="B76" s="12" t="s">
        <v>2</v>
      </c>
      <c r="C76" s="46">
        <v>111</v>
      </c>
      <c r="D76" s="42">
        <f>SOJA!D76</f>
        <v>0.99968695652173911</v>
      </c>
      <c r="E76" s="46">
        <f>SOJA!E76</f>
        <v>1.0865377128636531</v>
      </c>
      <c r="F76" s="44">
        <f t="shared" si="10"/>
        <v>93.049328110410897</v>
      </c>
      <c r="G76" s="44">
        <f t="shared" si="14"/>
        <v>1.0865377128636533</v>
      </c>
      <c r="H76" s="44">
        <f t="shared" si="11"/>
        <v>102.12738210573072</v>
      </c>
      <c r="I76" s="35">
        <f t="shared" si="15"/>
        <v>0</v>
      </c>
      <c r="J76" s="45">
        <f t="shared" si="12"/>
        <v>93.049328110410897</v>
      </c>
      <c r="K76" s="63">
        <f t="shared" si="13"/>
        <v>102.12738210573072</v>
      </c>
      <c r="L76" s="47">
        <f t="shared" si="16"/>
        <v>134.93062583816888</v>
      </c>
      <c r="M76" s="47">
        <f t="shared" si="16"/>
        <v>207.19614896976259</v>
      </c>
    </row>
    <row r="77" spans="1:13" x14ac:dyDescent="0.15">
      <c r="A77" s="40">
        <v>36251</v>
      </c>
      <c r="B77" s="12" t="s">
        <v>3</v>
      </c>
      <c r="C77" s="46">
        <v>120</v>
      </c>
      <c r="D77" s="42">
        <f>SOJA!D77</f>
        <v>0.99941499999999994</v>
      </c>
      <c r="E77" s="46">
        <f>SOJA!E77</f>
        <v>1.0854737173825069</v>
      </c>
      <c r="F77" s="44">
        <f t="shared" si="10"/>
        <v>100.66507909839943</v>
      </c>
      <c r="G77" s="44">
        <f t="shared" si="14"/>
        <v>1.0854737173825071</v>
      </c>
      <c r="H77" s="44">
        <f t="shared" si="11"/>
        <v>110.48613898197064</v>
      </c>
      <c r="I77" s="35">
        <f t="shared" si="15"/>
        <v>0</v>
      </c>
      <c r="J77" s="45">
        <f t="shared" si="12"/>
        <v>100.66507909839943</v>
      </c>
      <c r="K77" s="63">
        <f t="shared" si="13"/>
        <v>110.48613898197064</v>
      </c>
      <c r="L77" s="47">
        <f t="shared" si="16"/>
        <v>134.93062583816888</v>
      </c>
      <c r="M77" s="47">
        <f t="shared" si="16"/>
        <v>207.19614896976259</v>
      </c>
    </row>
    <row r="78" spans="1:13" x14ac:dyDescent="0.15">
      <c r="A78" s="40">
        <v>36281</v>
      </c>
      <c r="B78" s="12" t="s">
        <v>2</v>
      </c>
      <c r="C78" s="46">
        <v>123</v>
      </c>
      <c r="D78" s="42">
        <f>SOJA!D78</f>
        <v>1.00017</v>
      </c>
      <c r="E78" s="46">
        <f>SOJA!E78</f>
        <v>1.0801292841612469</v>
      </c>
      <c r="F78" s="44">
        <f t="shared" si="10"/>
        <v>103.7705781875697</v>
      </c>
      <c r="G78" s="44">
        <f t="shared" si="14"/>
        <v>1.0801292841612471</v>
      </c>
      <c r="H78" s="44">
        <f t="shared" si="11"/>
        <v>113.89461595380172</v>
      </c>
      <c r="I78" s="35">
        <f t="shared" si="15"/>
        <v>0</v>
      </c>
      <c r="J78" s="45">
        <f t="shared" si="12"/>
        <v>103.7705781875697</v>
      </c>
      <c r="K78" s="63">
        <f t="shared" si="13"/>
        <v>113.89461595380172</v>
      </c>
      <c r="L78" s="47">
        <f t="shared" si="16"/>
        <v>134.93062583816888</v>
      </c>
      <c r="M78" s="47">
        <f t="shared" si="16"/>
        <v>207.19614896976259</v>
      </c>
    </row>
    <row r="79" spans="1:13" x14ac:dyDescent="0.15">
      <c r="A79" s="40">
        <v>36312</v>
      </c>
      <c r="B79" s="12" t="s">
        <v>4</v>
      </c>
      <c r="C79" s="46">
        <v>128</v>
      </c>
      <c r="D79" s="42">
        <f>SOJA!D79</f>
        <v>1.0001150000000001</v>
      </c>
      <c r="E79" s="46">
        <f>SOJA!E79</f>
        <v>1.0800636219716016</v>
      </c>
      <c r="F79" s="44">
        <f t="shared" si="10"/>
        <v>107.98952079038071</v>
      </c>
      <c r="G79" s="44">
        <f t="shared" si="14"/>
        <v>1.0800636219716018</v>
      </c>
      <c r="H79" s="44">
        <f t="shared" si="11"/>
        <v>118.52516592153671</v>
      </c>
      <c r="I79" s="35">
        <f t="shared" si="15"/>
        <v>0</v>
      </c>
      <c r="J79" s="45">
        <f t="shared" si="12"/>
        <v>107.98952079038071</v>
      </c>
      <c r="K79" s="63">
        <f t="shared" si="13"/>
        <v>118.52516592153671</v>
      </c>
      <c r="L79" s="47">
        <f t="shared" si="16"/>
        <v>134.93062583816888</v>
      </c>
      <c r="M79" s="47">
        <f t="shared" si="16"/>
        <v>207.19614896976259</v>
      </c>
    </row>
    <row r="80" spans="1:13" x14ac:dyDescent="0.15">
      <c r="A80" s="40">
        <v>36342</v>
      </c>
      <c r="B80" s="12" t="s">
        <v>4</v>
      </c>
      <c r="C80" s="46">
        <v>126</v>
      </c>
      <c r="D80" s="42">
        <f>SOJA!D80</f>
        <v>1.0003142857142857</v>
      </c>
      <c r="E80" s="46">
        <f>SOJA!E80</f>
        <v>1.0820710089121046</v>
      </c>
      <c r="F80" s="44">
        <f t="shared" si="10"/>
        <v>106.12612248473458</v>
      </c>
      <c r="G80" s="44">
        <f t="shared" si="14"/>
        <v>1.0820710089121048</v>
      </c>
      <c r="H80" s="44">
        <f t="shared" si="11"/>
        <v>116.4799712421073</v>
      </c>
      <c r="I80" s="35">
        <f t="shared" si="15"/>
        <v>0</v>
      </c>
      <c r="J80" s="45">
        <f t="shared" si="12"/>
        <v>106.12612248473458</v>
      </c>
      <c r="K80" s="63">
        <f t="shared" si="13"/>
        <v>116.4799712421073</v>
      </c>
      <c r="L80" s="47">
        <f t="shared" si="16"/>
        <v>134.93062583816888</v>
      </c>
      <c r="M80" s="47">
        <f t="shared" si="16"/>
        <v>207.19614896976259</v>
      </c>
    </row>
    <row r="81" spans="1:13" x14ac:dyDescent="0.15">
      <c r="A81" s="40">
        <v>36373</v>
      </c>
      <c r="B81" s="12" t="s">
        <v>3</v>
      </c>
      <c r="C81" s="46">
        <v>128</v>
      </c>
      <c r="D81" s="42">
        <f>SOJA!D81</f>
        <v>1.0001666666666666</v>
      </c>
      <c r="E81" s="46">
        <f>SOJA!E81</f>
        <v>1.0779979430872435</v>
      </c>
      <c r="F81" s="44">
        <f t="shared" si="10"/>
        <v>108.20204174332324</v>
      </c>
      <c r="G81" s="44">
        <f t="shared" si="14"/>
        <v>1.0779979430872437</v>
      </c>
      <c r="H81" s="44">
        <f t="shared" si="11"/>
        <v>118.75842078761036</v>
      </c>
      <c r="I81" s="35">
        <f t="shared" si="15"/>
        <v>0</v>
      </c>
      <c r="J81" s="45">
        <f t="shared" si="12"/>
        <v>108.20204174332324</v>
      </c>
      <c r="K81" s="63">
        <f t="shared" si="13"/>
        <v>118.75842078761036</v>
      </c>
      <c r="L81" s="47">
        <f t="shared" si="16"/>
        <v>134.93062583816888</v>
      </c>
      <c r="M81" s="47">
        <f t="shared" si="16"/>
        <v>207.19614896976259</v>
      </c>
    </row>
    <row r="82" spans="1:13" x14ac:dyDescent="0.15">
      <c r="A82" s="40">
        <v>36404</v>
      </c>
      <c r="B82" s="12" t="s">
        <v>5</v>
      </c>
      <c r="C82" s="46">
        <v>130</v>
      </c>
      <c r="D82" s="42">
        <f>SOJA!D82</f>
        <v>1.0004045454545454</v>
      </c>
      <c r="E82" s="46">
        <f>SOJA!E82</f>
        <v>1.0758501864658259</v>
      </c>
      <c r="F82" s="44">
        <f t="shared" si="10"/>
        <v>110.13827017200516</v>
      </c>
      <c r="G82" s="44">
        <f t="shared" si="14"/>
        <v>1.0758501864658261</v>
      </c>
      <c r="H82" s="44">
        <f t="shared" si="11"/>
        <v>120.88355102332081</v>
      </c>
      <c r="I82" s="35">
        <f t="shared" si="15"/>
        <v>0</v>
      </c>
      <c r="J82" s="45">
        <f t="shared" si="12"/>
        <v>110.13827017200516</v>
      </c>
      <c r="K82" s="63">
        <f t="shared" si="13"/>
        <v>120.88355102332081</v>
      </c>
      <c r="L82" s="47">
        <f t="shared" si="16"/>
        <v>134.93062583816888</v>
      </c>
      <c r="M82" s="47">
        <f t="shared" si="16"/>
        <v>207.19614896976259</v>
      </c>
    </row>
    <row r="83" spans="1:13" x14ac:dyDescent="0.15">
      <c r="A83" s="40">
        <v>36434</v>
      </c>
      <c r="B83" s="12" t="s">
        <v>6</v>
      </c>
      <c r="C83" s="46">
        <v>112</v>
      </c>
      <c r="D83" s="42">
        <f>SOJA!D83</f>
        <v>1.0013399999999999</v>
      </c>
      <c r="E83" s="46">
        <f>SOJA!E83</f>
        <v>1.0756820108576608</v>
      </c>
      <c r="F83" s="44">
        <f t="shared" si="10"/>
        <v>94.991932714588629</v>
      </c>
      <c r="G83" s="44">
        <f t="shared" si="14"/>
        <v>1.075682010857661</v>
      </c>
      <c r="H83" s="44">
        <f t="shared" si="11"/>
        <v>104.25951058768815</v>
      </c>
      <c r="I83" s="35">
        <f t="shared" si="15"/>
        <v>0</v>
      </c>
      <c r="J83" s="45">
        <f t="shared" si="12"/>
        <v>94.991932714588629</v>
      </c>
      <c r="K83" s="63">
        <f t="shared" si="13"/>
        <v>104.25951058768815</v>
      </c>
      <c r="L83" s="47">
        <f t="shared" si="16"/>
        <v>134.93062583816888</v>
      </c>
      <c r="M83" s="47">
        <f t="shared" si="16"/>
        <v>207.19614896976259</v>
      </c>
    </row>
    <row r="84" spans="1:13" x14ac:dyDescent="0.15">
      <c r="A84" s="40">
        <v>36465</v>
      </c>
      <c r="B84" s="12" t="s">
        <v>7</v>
      </c>
      <c r="C84" s="46">
        <v>101</v>
      </c>
      <c r="D84" s="42">
        <f>SOJA!D84</f>
        <v>1.0006636363636363</v>
      </c>
      <c r="E84" s="46">
        <f>SOJA!E84</f>
        <v>1.0722819824766263</v>
      </c>
      <c r="F84" s="44">
        <f t="shared" si="10"/>
        <v>85.875944214859501</v>
      </c>
      <c r="G84" s="44">
        <f t="shared" si="14"/>
        <v>1.0722819824766265</v>
      </c>
      <c r="H84" s="44">
        <f t="shared" si="11"/>
        <v>94.254150423468786</v>
      </c>
      <c r="I84" s="35">
        <f t="shared" si="15"/>
        <v>0</v>
      </c>
      <c r="J84" s="45">
        <f t="shared" si="12"/>
        <v>85.875944214859501</v>
      </c>
      <c r="K84" s="63">
        <f t="shared" si="13"/>
        <v>94.254150423468786</v>
      </c>
      <c r="L84" s="47">
        <f t="shared" ref="L84:M99" si="17">+L83</f>
        <v>134.93062583816888</v>
      </c>
      <c r="M84" s="47">
        <f t="shared" si="17"/>
        <v>207.19614896976259</v>
      </c>
    </row>
    <row r="85" spans="1:13" x14ac:dyDescent="0.15">
      <c r="A85" s="40">
        <v>36495</v>
      </c>
      <c r="B85" s="41" t="s">
        <v>35</v>
      </c>
      <c r="C85" s="46">
        <v>88</v>
      </c>
      <c r="D85" s="42">
        <f>SOJA!D85</f>
        <v>1.0015428571428571</v>
      </c>
      <c r="E85" s="46">
        <f>SOJA!E85</f>
        <v>1.0716149752338795</v>
      </c>
      <c r="F85" s="44">
        <f t="shared" si="10"/>
        <v>74.934959709511389</v>
      </c>
      <c r="G85" s="44">
        <f t="shared" si="14"/>
        <v>1.0716149752338797</v>
      </c>
      <c r="H85" s="44">
        <f t="shared" si="11"/>
        <v>82.245744474908818</v>
      </c>
      <c r="I85" s="35">
        <f t="shared" si="15"/>
        <v>0</v>
      </c>
      <c r="J85" s="45">
        <f t="shared" si="12"/>
        <v>74.934959709511389</v>
      </c>
      <c r="K85" s="63">
        <f t="shared" si="13"/>
        <v>82.245744474908818</v>
      </c>
      <c r="L85" s="47">
        <f t="shared" si="17"/>
        <v>134.93062583816888</v>
      </c>
      <c r="M85" s="47">
        <f t="shared" si="17"/>
        <v>207.19614896976259</v>
      </c>
    </row>
    <row r="86" spans="1:13" x14ac:dyDescent="0.15">
      <c r="A86" s="40">
        <v>36526</v>
      </c>
      <c r="B86" s="12" t="s">
        <v>32</v>
      </c>
      <c r="C86" s="46">
        <v>100</v>
      </c>
      <c r="D86" s="42">
        <f>SOJA!D86</f>
        <v>0.99966666666666681</v>
      </c>
      <c r="E86" s="46">
        <f>SOJA!E86</f>
        <v>1.0806726722816566</v>
      </c>
      <c r="F86" s="44">
        <f t="shared" si="10"/>
        <v>84.281466503383086</v>
      </c>
      <c r="G86" s="44">
        <f t="shared" si="14"/>
        <v>1.0806726722816569</v>
      </c>
      <c r="H86" s="44">
        <f t="shared" si="11"/>
        <v>92.504112698254914</v>
      </c>
      <c r="I86" s="35">
        <f t="shared" si="15"/>
        <v>0</v>
      </c>
      <c r="J86" s="45">
        <f t="shared" si="12"/>
        <v>84.281466503383086</v>
      </c>
      <c r="K86" s="63">
        <f t="shared" si="13"/>
        <v>92.504112698254914</v>
      </c>
      <c r="L86" s="47">
        <f t="shared" si="17"/>
        <v>134.93062583816888</v>
      </c>
      <c r="M86" s="47">
        <f t="shared" si="17"/>
        <v>207.19614896976259</v>
      </c>
    </row>
    <row r="87" spans="1:13" x14ac:dyDescent="0.15">
      <c r="A87" s="40">
        <v>36557</v>
      </c>
      <c r="B87" s="12" t="s">
        <v>1</v>
      </c>
      <c r="C87" s="46">
        <v>102</v>
      </c>
      <c r="D87" s="42">
        <f>SOJA!D87</f>
        <v>0.99908095238095229</v>
      </c>
      <c r="E87" s="46">
        <f>SOJA!E87</f>
        <v>1.0807168937563107</v>
      </c>
      <c r="F87" s="44">
        <f t="shared" si="10"/>
        <v>85.913211291327258</v>
      </c>
      <c r="G87" s="44">
        <f t="shared" si="14"/>
        <v>1.080716893756311</v>
      </c>
      <c r="H87" s="44">
        <f t="shared" si="11"/>
        <v>94.295053340616874</v>
      </c>
      <c r="I87" s="35">
        <f t="shared" si="15"/>
        <v>0</v>
      </c>
      <c r="J87" s="45">
        <f t="shared" si="12"/>
        <v>85.913211291327258</v>
      </c>
      <c r="K87" s="63">
        <f t="shared" si="13"/>
        <v>94.295053340616874</v>
      </c>
      <c r="L87" s="47">
        <f t="shared" si="17"/>
        <v>134.93062583816888</v>
      </c>
      <c r="M87" s="47">
        <f t="shared" si="17"/>
        <v>207.19614896976259</v>
      </c>
    </row>
    <row r="88" spans="1:13" x14ac:dyDescent="0.15">
      <c r="A88" s="40">
        <v>36586</v>
      </c>
      <c r="B88" s="12" t="s">
        <v>2</v>
      </c>
      <c r="C88" s="46">
        <v>107</v>
      </c>
      <c r="D88" s="42">
        <f>SOJA!D88</f>
        <v>0.99908260869565213</v>
      </c>
      <c r="E88" s="46">
        <f>SOJA!E88</f>
        <v>1.0750069633467871</v>
      </c>
      <c r="F88" s="44">
        <f t="shared" si="10"/>
        <v>90.603493058046851</v>
      </c>
      <c r="G88" s="44">
        <f t="shared" si="14"/>
        <v>1.0750069633467874</v>
      </c>
      <c r="H88" s="44">
        <f t="shared" si="11"/>
        <v>99.442927139393078</v>
      </c>
      <c r="I88" s="35">
        <f t="shared" si="15"/>
        <v>0</v>
      </c>
      <c r="J88" s="45">
        <f t="shared" si="12"/>
        <v>90.603493058046851</v>
      </c>
      <c r="K88" s="63">
        <f t="shared" si="13"/>
        <v>99.442927139393078</v>
      </c>
      <c r="L88" s="47">
        <f t="shared" si="17"/>
        <v>134.93062583816888</v>
      </c>
      <c r="M88" s="47">
        <f t="shared" si="17"/>
        <v>207.19614896976259</v>
      </c>
    </row>
    <row r="89" spans="1:13" x14ac:dyDescent="0.15">
      <c r="A89" s="40">
        <v>36617</v>
      </c>
      <c r="B89" s="12" t="s">
        <v>3</v>
      </c>
      <c r="C89" s="46">
        <v>114</v>
      </c>
      <c r="D89" s="42">
        <f>SOJA!D89</f>
        <v>0.99903888888888892</v>
      </c>
      <c r="E89" s="46">
        <f>SOJA!E89</f>
        <v>1.0737982430394957</v>
      </c>
      <c r="F89" s="44">
        <f t="shared" si="10"/>
        <v>96.635255301317585</v>
      </c>
      <c r="G89" s="44">
        <f t="shared" si="14"/>
        <v>1.0737982430394959</v>
      </c>
      <c r="H89" s="44">
        <f t="shared" si="11"/>
        <v>106.06315857898481</v>
      </c>
      <c r="I89" s="35">
        <f t="shared" si="15"/>
        <v>0</v>
      </c>
      <c r="J89" s="45">
        <f t="shared" si="12"/>
        <v>96.635255301317585</v>
      </c>
      <c r="K89" s="63">
        <f t="shared" si="13"/>
        <v>106.06315857898481</v>
      </c>
      <c r="L89" s="47">
        <f t="shared" si="17"/>
        <v>134.93062583816888</v>
      </c>
      <c r="M89" s="47">
        <f t="shared" si="17"/>
        <v>207.19614896976259</v>
      </c>
    </row>
    <row r="90" spans="1:13" x14ac:dyDescent="0.15">
      <c r="A90" s="40">
        <v>36647</v>
      </c>
      <c r="B90" s="12" t="s">
        <v>2</v>
      </c>
      <c r="C90" s="46">
        <v>127</v>
      </c>
      <c r="D90" s="42">
        <f>SOJA!D90</f>
        <v>0.99982857142857151</v>
      </c>
      <c r="E90" s="46">
        <f>SOJA!E90</f>
        <v>1.0696243388519626</v>
      </c>
      <c r="F90" s="44">
        <f t="shared" si="10"/>
        <v>108.16058550165468</v>
      </c>
      <c r="G90" s="44">
        <f t="shared" si="14"/>
        <v>1.0696243388519628</v>
      </c>
      <c r="H90" s="44">
        <f t="shared" si="11"/>
        <v>118.71292000303156</v>
      </c>
      <c r="I90" s="35">
        <f t="shared" si="15"/>
        <v>0</v>
      </c>
      <c r="J90" s="45">
        <f t="shared" si="12"/>
        <v>108.16058550165468</v>
      </c>
      <c r="K90" s="63">
        <f t="shared" si="13"/>
        <v>118.71292000303156</v>
      </c>
      <c r="L90" s="47">
        <f t="shared" si="17"/>
        <v>134.93062583816888</v>
      </c>
      <c r="M90" s="47">
        <f t="shared" si="17"/>
        <v>207.19614896976259</v>
      </c>
    </row>
    <row r="91" spans="1:13" x14ac:dyDescent="0.15">
      <c r="A91" s="40">
        <v>36678</v>
      </c>
      <c r="B91" s="12" t="s">
        <v>4</v>
      </c>
      <c r="C91" s="46">
        <v>129</v>
      </c>
      <c r="D91" s="42">
        <f>SOJA!D91</f>
        <v>0.99959999999999993</v>
      </c>
      <c r="E91" s="46">
        <f>SOJA!E91</f>
        <v>1.0676467679057393</v>
      </c>
      <c r="F91" s="44">
        <f t="shared" si="10"/>
        <v>110.04223693110309</v>
      </c>
      <c r="G91" s="44">
        <f t="shared" si="14"/>
        <v>1.0676467679057395</v>
      </c>
      <c r="H91" s="44">
        <f t="shared" si="11"/>
        <v>120.77814861271101</v>
      </c>
      <c r="I91" s="35">
        <f t="shared" si="15"/>
        <v>0</v>
      </c>
      <c r="J91" s="45">
        <f t="shared" si="12"/>
        <v>110.04223693110309</v>
      </c>
      <c r="K91" s="63">
        <f t="shared" si="13"/>
        <v>120.77814861271101</v>
      </c>
      <c r="L91" s="47">
        <f t="shared" si="17"/>
        <v>134.93062583816888</v>
      </c>
      <c r="M91" s="47">
        <f t="shared" si="17"/>
        <v>207.19614896976259</v>
      </c>
    </row>
    <row r="92" spans="1:13" x14ac:dyDescent="0.15">
      <c r="A92" s="40">
        <v>36708</v>
      </c>
      <c r="B92" s="12" t="s">
        <v>4</v>
      </c>
      <c r="C92" s="46">
        <v>130</v>
      </c>
      <c r="D92" s="42">
        <f>SOJA!D92</f>
        <v>0.9984571428571426</v>
      </c>
      <c r="E92" s="46">
        <f>SOJA!E92</f>
        <v>1.0722836575324839</v>
      </c>
      <c r="F92" s="44">
        <f t="shared" si="10"/>
        <v>110.2894917887522</v>
      </c>
      <c r="G92" s="44">
        <f t="shared" si="14"/>
        <v>1.0722836575324841</v>
      </c>
      <c r="H92" s="44">
        <f t="shared" si="11"/>
        <v>121.04952608353666</v>
      </c>
      <c r="I92" s="35">
        <f t="shared" si="15"/>
        <v>0</v>
      </c>
      <c r="J92" s="45">
        <f t="shared" si="12"/>
        <v>110.2894917887522</v>
      </c>
      <c r="K92" s="63">
        <f t="shared" si="13"/>
        <v>121.04952608353666</v>
      </c>
      <c r="L92" s="47">
        <f t="shared" si="17"/>
        <v>134.93062583816888</v>
      </c>
      <c r="M92" s="47">
        <f t="shared" si="17"/>
        <v>207.19614896976259</v>
      </c>
    </row>
    <row r="93" spans="1:13" x14ac:dyDescent="0.15">
      <c r="A93" s="40">
        <v>36739</v>
      </c>
      <c r="B93" s="12" t="s">
        <v>3</v>
      </c>
      <c r="C93" s="46">
        <v>128</v>
      </c>
      <c r="D93" s="42">
        <f>SOJA!D93</f>
        <v>0.99904090909090904</v>
      </c>
      <c r="E93" s="46">
        <f>SOJA!E93</f>
        <v>1.0699767706045338</v>
      </c>
      <c r="F93" s="44">
        <f t="shared" si="10"/>
        <v>108.89048564308284</v>
      </c>
      <c r="G93" s="44">
        <f t="shared" si="14"/>
        <v>1.069976770604534</v>
      </c>
      <c r="H93" s="44">
        <f t="shared" si="11"/>
        <v>119.51403046945221</v>
      </c>
      <c r="I93" s="35">
        <f t="shared" si="15"/>
        <v>0</v>
      </c>
      <c r="J93" s="45">
        <f t="shared" si="12"/>
        <v>108.89048564308284</v>
      </c>
      <c r="K93" s="63">
        <f t="shared" si="13"/>
        <v>119.51403046945221</v>
      </c>
      <c r="L93" s="47">
        <f t="shared" si="17"/>
        <v>134.93062583816888</v>
      </c>
      <c r="M93" s="47">
        <f t="shared" si="17"/>
        <v>207.19614896976259</v>
      </c>
    </row>
    <row r="94" spans="1:13" x14ac:dyDescent="0.15">
      <c r="A94" s="40">
        <v>36770</v>
      </c>
      <c r="B94" s="12" t="s">
        <v>5</v>
      </c>
      <c r="C94" s="46">
        <v>121</v>
      </c>
      <c r="D94" s="42">
        <f>SOJA!D94</f>
        <v>0.99883333333333335</v>
      </c>
      <c r="E94" s="46">
        <f>SOJA!E94</f>
        <v>1.0683335408076131</v>
      </c>
      <c r="F94" s="44">
        <f t="shared" si="10"/>
        <v>103.07244453111394</v>
      </c>
      <c r="G94" s="44">
        <f t="shared" si="14"/>
        <v>1.0683335408076133</v>
      </c>
      <c r="H94" s="44">
        <f t="shared" si="11"/>
        <v>113.12837116577784</v>
      </c>
      <c r="I94" s="35">
        <f t="shared" si="15"/>
        <v>0</v>
      </c>
      <c r="J94" s="45">
        <f t="shared" si="12"/>
        <v>103.07244453111394</v>
      </c>
      <c r="K94" s="63">
        <f t="shared" si="13"/>
        <v>113.12837116577784</v>
      </c>
      <c r="L94" s="47">
        <f t="shared" si="17"/>
        <v>134.93062583816888</v>
      </c>
      <c r="M94" s="47">
        <f t="shared" si="17"/>
        <v>207.19614896976259</v>
      </c>
    </row>
    <row r="95" spans="1:13" x14ac:dyDescent="0.15">
      <c r="A95" s="40">
        <v>36800</v>
      </c>
      <c r="B95" s="12" t="s">
        <v>6</v>
      </c>
      <c r="C95" s="46">
        <v>132</v>
      </c>
      <c r="D95" s="42">
        <f>SOJA!D95</f>
        <v>0.99912857142857125</v>
      </c>
      <c r="E95" s="46">
        <f>SOJA!E95</f>
        <v>1.0702983813293132</v>
      </c>
      <c r="F95" s="44">
        <f t="shared" si="10"/>
        <v>112.26942102500639</v>
      </c>
      <c r="G95" s="44">
        <f t="shared" si="14"/>
        <v>1.0702983813293134</v>
      </c>
      <c r="H95" s="44">
        <f t="shared" si="11"/>
        <v>123.22262065347603</v>
      </c>
      <c r="I95" s="35">
        <f t="shared" si="15"/>
        <v>0</v>
      </c>
      <c r="J95" s="45">
        <f t="shared" si="12"/>
        <v>112.26942102500639</v>
      </c>
      <c r="K95" s="63">
        <f t="shared" si="13"/>
        <v>123.22262065347603</v>
      </c>
      <c r="L95" s="47">
        <f t="shared" si="17"/>
        <v>134.93062583816888</v>
      </c>
      <c r="M95" s="47">
        <f t="shared" si="17"/>
        <v>207.19614896976259</v>
      </c>
    </row>
    <row r="96" spans="1:13" x14ac:dyDescent="0.15">
      <c r="A96" s="40">
        <v>36831</v>
      </c>
      <c r="B96" s="12" t="s">
        <v>7</v>
      </c>
      <c r="C96" s="46">
        <v>129</v>
      </c>
      <c r="D96" s="42">
        <f>SOJA!D96</f>
        <v>0.99982272727272725</v>
      </c>
      <c r="E96" s="46">
        <f>SOJA!E96</f>
        <v>1.065040248114441</v>
      </c>
      <c r="F96" s="44">
        <f t="shared" si="10"/>
        <v>110.33612735415778</v>
      </c>
      <c r="G96" s="44">
        <f t="shared" si="14"/>
        <v>1.0650402481144412</v>
      </c>
      <c r="H96" s="44">
        <f t="shared" si="11"/>
        <v>121.10071149566819</v>
      </c>
      <c r="I96" s="35">
        <f t="shared" si="15"/>
        <v>0</v>
      </c>
      <c r="J96" s="45">
        <f t="shared" si="12"/>
        <v>110.33612735415778</v>
      </c>
      <c r="K96" s="63">
        <f t="shared" si="13"/>
        <v>121.10071149566819</v>
      </c>
      <c r="L96" s="47">
        <f t="shared" si="17"/>
        <v>134.93062583816888</v>
      </c>
      <c r="M96" s="47">
        <f t="shared" si="17"/>
        <v>207.19614896976259</v>
      </c>
    </row>
    <row r="97" spans="1:13" x14ac:dyDescent="0.15">
      <c r="A97" s="40">
        <v>36861</v>
      </c>
      <c r="B97" s="12" t="s">
        <v>33</v>
      </c>
      <c r="C97" s="46">
        <v>116</v>
      </c>
      <c r="D97" s="42">
        <f>SOJA!D97</f>
        <v>1.0004277777777777</v>
      </c>
      <c r="E97" s="46">
        <f>SOJA!E97</f>
        <v>1.0637525420210028</v>
      </c>
      <c r="F97" s="44">
        <f t="shared" si="10"/>
        <v>99.397202644391669</v>
      </c>
      <c r="G97" s="44">
        <f t="shared" si="14"/>
        <v>1.063752542021003</v>
      </c>
      <c r="H97" s="44">
        <f t="shared" si="11"/>
        <v>109.09456629992326</v>
      </c>
      <c r="I97" s="35">
        <f t="shared" si="15"/>
        <v>0</v>
      </c>
      <c r="J97" s="45">
        <f t="shared" si="12"/>
        <v>99.397202644391669</v>
      </c>
      <c r="K97" s="63">
        <f t="shared" si="13"/>
        <v>109.09456629992326</v>
      </c>
      <c r="L97" s="47">
        <f t="shared" si="17"/>
        <v>134.93062583816888</v>
      </c>
      <c r="M97" s="47">
        <f t="shared" si="17"/>
        <v>207.19614896976259</v>
      </c>
    </row>
    <row r="98" spans="1:13" x14ac:dyDescent="0.15">
      <c r="A98" s="40">
        <v>36892</v>
      </c>
      <c r="B98" s="12" t="s">
        <v>0</v>
      </c>
      <c r="C98" s="65">
        <v>123</v>
      </c>
      <c r="D98" s="42">
        <f>SOJA!D98</f>
        <v>0.99966818181818196</v>
      </c>
      <c r="E98" s="46">
        <f>SOJA!E98</f>
        <v>1.0646110127499615</v>
      </c>
      <c r="F98" s="44">
        <f t="shared" si="10"/>
        <v>105.23036295991064</v>
      </c>
      <c r="G98" s="44">
        <f t="shared" si="14"/>
        <v>1.0646110127499617</v>
      </c>
      <c r="H98" s="44">
        <f t="shared" si="11"/>
        <v>115.49681986289484</v>
      </c>
      <c r="I98" s="35">
        <f t="shared" si="15"/>
        <v>0</v>
      </c>
      <c r="J98" s="45">
        <f t="shared" si="12"/>
        <v>105.23036295991064</v>
      </c>
      <c r="K98" s="63">
        <f t="shared" si="13"/>
        <v>115.49681986289484</v>
      </c>
      <c r="L98" s="47">
        <f t="shared" si="17"/>
        <v>134.93062583816888</v>
      </c>
      <c r="M98" s="47">
        <f t="shared" si="17"/>
        <v>207.19614896976259</v>
      </c>
    </row>
    <row r="99" spans="1:13" x14ac:dyDescent="0.15">
      <c r="A99" s="40">
        <v>36923</v>
      </c>
      <c r="B99" s="12" t="s">
        <v>1</v>
      </c>
      <c r="C99" s="65">
        <v>125</v>
      </c>
      <c r="D99" s="42">
        <f>SOJA!D99</f>
        <v>0.99899000000000027</v>
      </c>
      <c r="E99" s="46">
        <f>SOJA!E99</f>
        <v>1.0622502182453251</v>
      </c>
      <c r="F99" s="44">
        <f t="shared" si="10"/>
        <v>107.10638635034215</v>
      </c>
      <c r="G99" s="44">
        <f t="shared" si="14"/>
        <v>1.0622502182453253</v>
      </c>
      <c r="H99" s="44">
        <f t="shared" si="11"/>
        <v>117.55587135229997</v>
      </c>
      <c r="I99" s="35">
        <f t="shared" si="15"/>
        <v>0</v>
      </c>
      <c r="J99" s="45">
        <f t="shared" si="12"/>
        <v>107.10638635034215</v>
      </c>
      <c r="K99" s="63">
        <f t="shared" si="13"/>
        <v>117.55587135229997</v>
      </c>
      <c r="L99" s="47">
        <f t="shared" si="17"/>
        <v>134.93062583816888</v>
      </c>
      <c r="M99" s="47">
        <f t="shared" si="17"/>
        <v>207.19614896976259</v>
      </c>
    </row>
    <row r="100" spans="1:13" x14ac:dyDescent="0.15">
      <c r="A100" s="40">
        <v>36951</v>
      </c>
      <c r="B100" s="12" t="s">
        <v>2</v>
      </c>
      <c r="C100" s="65">
        <v>122</v>
      </c>
      <c r="D100" s="42">
        <f>SOJA!D100</f>
        <v>1.0034999999999998</v>
      </c>
      <c r="E100" s="46">
        <f>SOJA!E100</f>
        <v>1.0642890862266021</v>
      </c>
      <c r="F100" s="44">
        <f t="shared" si="10"/>
        <v>104.80660203437881</v>
      </c>
      <c r="G100" s="44">
        <f t="shared" si="14"/>
        <v>1.0642890862266023</v>
      </c>
      <c r="H100" s="44">
        <f t="shared" si="11"/>
        <v>115.031716085768</v>
      </c>
      <c r="I100" s="35">
        <f t="shared" si="15"/>
        <v>0</v>
      </c>
      <c r="J100" s="45">
        <f t="shared" si="12"/>
        <v>104.80660203437881</v>
      </c>
      <c r="K100" s="63">
        <f t="shared" si="13"/>
        <v>115.031716085768</v>
      </c>
      <c r="L100" s="47">
        <f t="shared" ref="L100:M115" si="18">+L99</f>
        <v>134.93062583816888</v>
      </c>
      <c r="M100" s="47">
        <f t="shared" si="18"/>
        <v>207.19614896976259</v>
      </c>
    </row>
    <row r="101" spans="1:13" x14ac:dyDescent="0.15">
      <c r="A101" s="40">
        <v>36982</v>
      </c>
      <c r="B101" s="12" t="s">
        <v>3</v>
      </c>
      <c r="C101" s="65">
        <v>125</v>
      </c>
      <c r="D101" s="42">
        <f>SOJA!D101</f>
        <v>1.0000222222222221</v>
      </c>
      <c r="E101" s="46">
        <f>SOJA!E101</f>
        <v>1.0713714697405117</v>
      </c>
      <c r="F101" s="44">
        <f t="shared" si="10"/>
        <v>106.30425025618942</v>
      </c>
      <c r="G101" s="44">
        <f t="shared" si="14"/>
        <v>1.0713714697405119</v>
      </c>
      <c r="H101" s="44">
        <f t="shared" si="11"/>
        <v>116.67547746819659</v>
      </c>
      <c r="I101" s="35">
        <f t="shared" si="15"/>
        <v>0</v>
      </c>
      <c r="J101" s="45">
        <f t="shared" si="12"/>
        <v>106.30425025618942</v>
      </c>
      <c r="K101" s="63">
        <f t="shared" si="13"/>
        <v>116.67547746819659</v>
      </c>
      <c r="L101" s="47">
        <f t="shared" si="18"/>
        <v>134.93062583816888</v>
      </c>
      <c r="M101" s="47">
        <f t="shared" si="18"/>
        <v>207.19614896976259</v>
      </c>
    </row>
    <row r="102" spans="1:13" x14ac:dyDescent="0.15">
      <c r="A102" s="40">
        <v>37012</v>
      </c>
      <c r="B102" s="12" t="s">
        <v>2</v>
      </c>
      <c r="C102" s="65">
        <v>132</v>
      </c>
      <c r="D102" s="42">
        <f>SOJA!D102</f>
        <v>0.99949523809523821</v>
      </c>
      <c r="E102" s="46">
        <f>SOJA!E102</f>
        <v>1.0720153227872309</v>
      </c>
      <c r="F102" s="44">
        <f t="shared" si="10"/>
        <v>112.13074551073696</v>
      </c>
      <c r="G102" s="44">
        <f t="shared" si="14"/>
        <v>1.0720153227872311</v>
      </c>
      <c r="H102" s="44">
        <f t="shared" si="11"/>
        <v>123.07041571527704</v>
      </c>
      <c r="I102" s="35">
        <f t="shared" si="15"/>
        <v>0</v>
      </c>
      <c r="J102" s="45">
        <f t="shared" si="12"/>
        <v>112.13074551073696</v>
      </c>
      <c r="K102" s="63">
        <f t="shared" si="13"/>
        <v>123.07041571527704</v>
      </c>
      <c r="L102" s="47">
        <f t="shared" si="18"/>
        <v>134.93062583816888</v>
      </c>
      <c r="M102" s="47">
        <f t="shared" si="18"/>
        <v>207.19614896976259</v>
      </c>
    </row>
    <row r="103" spans="1:13" x14ac:dyDescent="0.15">
      <c r="A103" s="40">
        <v>37043</v>
      </c>
      <c r="B103" s="12" t="s">
        <v>4</v>
      </c>
      <c r="C103" s="65">
        <v>130</v>
      </c>
      <c r="D103" s="42">
        <f>SOJA!D103</f>
        <v>0.99988999999999995</v>
      </c>
      <c r="E103" s="46">
        <f>SOJA!E103</f>
        <v>1.0642890862266021</v>
      </c>
      <c r="F103" s="44">
        <f t="shared" si="10"/>
        <v>111.27741045733501</v>
      </c>
      <c r="G103" s="44">
        <f t="shared" si="14"/>
        <v>1.0642890862266023</v>
      </c>
      <c r="H103" s="44">
        <f t="shared" si="11"/>
        <v>122.13382781257251</v>
      </c>
      <c r="I103" s="35">
        <f t="shared" si="15"/>
        <v>0</v>
      </c>
      <c r="J103" s="45">
        <f t="shared" si="12"/>
        <v>111.27741045733501</v>
      </c>
      <c r="K103" s="63">
        <f t="shared" si="13"/>
        <v>122.13382781257251</v>
      </c>
      <c r="L103" s="47">
        <f t="shared" si="18"/>
        <v>134.93062583816888</v>
      </c>
      <c r="M103" s="47">
        <f t="shared" si="18"/>
        <v>207.19614896976259</v>
      </c>
    </row>
    <row r="104" spans="1:13" x14ac:dyDescent="0.15">
      <c r="A104" s="40">
        <v>37073</v>
      </c>
      <c r="B104" s="12" t="s">
        <v>4</v>
      </c>
      <c r="C104" s="65">
        <v>125</v>
      </c>
      <c r="D104" s="42">
        <f>SOJA!D104</f>
        <v>1.0063952380952383</v>
      </c>
      <c r="E104" s="46">
        <f>SOJA!E104</f>
        <v>1.060855203310767</v>
      </c>
      <c r="F104" s="44">
        <f t="shared" si="10"/>
        <v>108.04222449270991</v>
      </c>
      <c r="G104" s="44">
        <f t="shared" si="14"/>
        <v>1.0608552033107672</v>
      </c>
      <c r="H104" s="44">
        <f t="shared" si="11"/>
        <v>118.58301148856512</v>
      </c>
      <c r="I104" s="35">
        <f t="shared" si="15"/>
        <v>0</v>
      </c>
      <c r="J104" s="45">
        <f t="shared" si="12"/>
        <v>108.04222449270991</v>
      </c>
      <c r="K104" s="63">
        <f t="shared" si="13"/>
        <v>118.58301148856512</v>
      </c>
      <c r="L104" s="47">
        <f t="shared" si="18"/>
        <v>134.93062583816888</v>
      </c>
      <c r="M104" s="47">
        <f t="shared" si="18"/>
        <v>207.19614896976259</v>
      </c>
    </row>
    <row r="105" spans="1:13" x14ac:dyDescent="0.15">
      <c r="A105" s="40">
        <v>37104</v>
      </c>
      <c r="B105" s="12" t="s">
        <v>3</v>
      </c>
      <c r="C105" s="65">
        <v>123</v>
      </c>
      <c r="D105" s="42">
        <f>SOJA!D105</f>
        <v>1.0005391304347824</v>
      </c>
      <c r="E105" s="46">
        <f>SOJA!E105</f>
        <v>1.0570993938715727</v>
      </c>
      <c r="F105" s="44">
        <f t="shared" si="10"/>
        <v>106.07044916827211</v>
      </c>
      <c r="G105" s="44">
        <f t="shared" si="14"/>
        <v>1.0570993938715729</v>
      </c>
      <c r="H105" s="44">
        <f t="shared" si="11"/>
        <v>116.41886634023514</v>
      </c>
      <c r="I105" s="35">
        <f t="shared" si="15"/>
        <v>0</v>
      </c>
      <c r="J105" s="45">
        <f t="shared" si="12"/>
        <v>106.07044916827211</v>
      </c>
      <c r="K105" s="63">
        <f t="shared" si="13"/>
        <v>116.41886634023514</v>
      </c>
      <c r="L105" s="47">
        <f t="shared" si="18"/>
        <v>134.93062583816888</v>
      </c>
      <c r="M105" s="47">
        <f t="shared" si="18"/>
        <v>207.19614896976259</v>
      </c>
    </row>
    <row r="106" spans="1:13" x14ac:dyDescent="0.15">
      <c r="A106" s="40">
        <v>37135</v>
      </c>
      <c r="B106" s="12" t="s">
        <v>5</v>
      </c>
      <c r="C106" s="65">
        <v>120</v>
      </c>
      <c r="D106" s="42">
        <f>SOJA!D106</f>
        <v>0.99980499999999972</v>
      </c>
      <c r="E106" s="46">
        <f>SOJA!E106</f>
        <v>1.056240923142614</v>
      </c>
      <c r="F106" s="44">
        <f t="shared" si="10"/>
        <v>103.49148115258049</v>
      </c>
      <c r="G106" s="44">
        <f t="shared" si="14"/>
        <v>1.0562409231426142</v>
      </c>
      <c r="H106" s="44">
        <f t="shared" si="11"/>
        <v>113.5882897275328</v>
      </c>
      <c r="I106" s="35">
        <f t="shared" si="15"/>
        <v>0</v>
      </c>
      <c r="J106" s="45">
        <f t="shared" si="12"/>
        <v>103.49148115258049</v>
      </c>
      <c r="K106" s="63">
        <f t="shared" si="13"/>
        <v>113.5882897275328</v>
      </c>
      <c r="L106" s="47">
        <f t="shared" si="18"/>
        <v>134.93062583816888</v>
      </c>
      <c r="M106" s="47">
        <f t="shared" si="18"/>
        <v>207.19614896976259</v>
      </c>
    </row>
    <row r="107" spans="1:13" x14ac:dyDescent="0.15">
      <c r="A107" s="40">
        <v>37165</v>
      </c>
      <c r="B107" s="12" t="s">
        <v>6</v>
      </c>
      <c r="C107" s="65">
        <v>126</v>
      </c>
      <c r="D107" s="42">
        <f>SOJA!D107</f>
        <v>1.002413043478261</v>
      </c>
      <c r="E107" s="46">
        <f>SOJA!E107</f>
        <v>1.0516266429744605</v>
      </c>
      <c r="F107" s="44">
        <f t="shared" si="10"/>
        <v>109.42756007764783</v>
      </c>
      <c r="G107" s="44">
        <f t="shared" si="14"/>
        <v>1.0516266429744607</v>
      </c>
      <c r="H107" s="44">
        <f t="shared" si="11"/>
        <v>120.10350281827942</v>
      </c>
      <c r="I107" s="35">
        <f t="shared" si="15"/>
        <v>0</v>
      </c>
      <c r="J107" s="45">
        <f t="shared" si="12"/>
        <v>109.42756007764783</v>
      </c>
      <c r="K107" s="63">
        <f t="shared" si="13"/>
        <v>120.10350281827942</v>
      </c>
      <c r="L107" s="47">
        <f t="shared" si="18"/>
        <v>134.93062583816888</v>
      </c>
      <c r="M107" s="47">
        <f t="shared" si="18"/>
        <v>207.19614896976259</v>
      </c>
    </row>
    <row r="108" spans="1:13" x14ac:dyDescent="0.15">
      <c r="A108" s="40">
        <v>37196</v>
      </c>
      <c r="B108" s="12" t="s">
        <v>7</v>
      </c>
      <c r="C108" s="65">
        <v>119</v>
      </c>
      <c r="D108" s="42">
        <f>SOJA!D108</f>
        <v>1.0039409090909091</v>
      </c>
      <c r="E108" s="46">
        <f>SOJA!E108</f>
        <v>1.0481927600586256</v>
      </c>
      <c r="F108" s="44">
        <f t="shared" si="10"/>
        <v>103.84485856827325</v>
      </c>
      <c r="G108" s="44">
        <f t="shared" si="14"/>
        <v>1.0481927600586258</v>
      </c>
      <c r="H108" s="44">
        <f t="shared" si="11"/>
        <v>113.97614325740643</v>
      </c>
      <c r="I108" s="35">
        <f t="shared" si="15"/>
        <v>0</v>
      </c>
      <c r="J108" s="45">
        <f t="shared" si="12"/>
        <v>103.84485856827325</v>
      </c>
      <c r="K108" s="63">
        <f t="shared" si="13"/>
        <v>113.97614325740643</v>
      </c>
      <c r="L108" s="47">
        <f t="shared" si="18"/>
        <v>134.93062583816888</v>
      </c>
      <c r="M108" s="47">
        <f t="shared" si="18"/>
        <v>207.19614896976259</v>
      </c>
    </row>
    <row r="109" spans="1:13" x14ac:dyDescent="0.15">
      <c r="A109" s="40">
        <v>37226</v>
      </c>
      <c r="B109" s="12" t="s">
        <v>20</v>
      </c>
      <c r="C109" s="65">
        <v>109</v>
      </c>
      <c r="D109" s="42">
        <f>SOJA!D109</f>
        <v>1.0546000375187596</v>
      </c>
      <c r="E109" s="46">
        <f>SOJA!E109</f>
        <v>1.0473342893296669</v>
      </c>
      <c r="F109" s="44">
        <f>+(C109*(D109/E109))/(AVERAGE(C$109)*AVERAGE(D$109)/AVERAGE(E$109))*100</f>
        <v>100</v>
      </c>
      <c r="G109" s="44">
        <f t="shared" si="14"/>
        <v>1.0473342893296671</v>
      </c>
      <c r="H109" s="44">
        <f t="shared" si="11"/>
        <v>109.75617361207372</v>
      </c>
      <c r="I109" s="35">
        <f t="shared" si="15"/>
        <v>0</v>
      </c>
      <c r="J109" s="45">
        <f>+F109*(1-I109)/(F$109*(1-I$109))*100</f>
        <v>100</v>
      </c>
      <c r="K109" s="63">
        <f t="shared" si="13"/>
        <v>109.75617361207372</v>
      </c>
      <c r="L109" s="47">
        <f t="shared" si="18"/>
        <v>134.93062583816888</v>
      </c>
      <c r="M109" s="47">
        <f t="shared" si="18"/>
        <v>207.19614896976259</v>
      </c>
    </row>
    <row r="110" spans="1:13" x14ac:dyDescent="0.15">
      <c r="A110" s="40">
        <v>37257</v>
      </c>
      <c r="B110" s="12" t="s">
        <v>8</v>
      </c>
      <c r="C110" s="65">
        <v>113</v>
      </c>
      <c r="D110" s="42">
        <f>SOJA!D110</f>
        <v>1.6072727272727272</v>
      </c>
      <c r="E110" s="46">
        <f>SOJA!E110</f>
        <v>1.0713714697405117</v>
      </c>
      <c r="F110" s="44">
        <f t="shared" ref="F110:F173" si="19">+(C110*(D110/E110))/(AVERAGE(C$109)*AVERAGE(D$109)/AVERAGE(E$109))*100</f>
        <v>154.45393738615337</v>
      </c>
      <c r="G110" s="44">
        <f t="shared" si="14"/>
        <v>1.0713714697405119</v>
      </c>
      <c r="H110" s="44">
        <f t="shared" si="11"/>
        <v>169.52273166823016</v>
      </c>
      <c r="I110" s="35">
        <f t="shared" si="15"/>
        <v>0</v>
      </c>
      <c r="J110" s="45">
        <f t="shared" ref="J110:J173" si="20">+F110*(1-I110)/(F$109*(1-I$109))*100</f>
        <v>154.45393738615337</v>
      </c>
      <c r="K110" s="63">
        <f t="shared" si="13"/>
        <v>169.52273166823016</v>
      </c>
      <c r="L110" s="47">
        <f t="shared" si="18"/>
        <v>134.93062583816888</v>
      </c>
      <c r="M110" s="47">
        <f t="shared" si="18"/>
        <v>207.19614896976259</v>
      </c>
    </row>
    <row r="111" spans="1:13" x14ac:dyDescent="0.15">
      <c r="A111" s="40">
        <v>37288</v>
      </c>
      <c r="B111" s="12" t="s">
        <v>1</v>
      </c>
      <c r="C111" s="65">
        <v>116</v>
      </c>
      <c r="D111" s="42">
        <f>SOJA!D111</f>
        <v>2.1280000000000006</v>
      </c>
      <c r="E111" s="46">
        <f>SOJA!E111</f>
        <v>1.1049591370110226</v>
      </c>
      <c r="F111" s="44">
        <f t="shared" si="19"/>
        <v>203.54218738301921</v>
      </c>
      <c r="G111" s="44">
        <f t="shared" si="14"/>
        <v>1.1049591370110228</v>
      </c>
      <c r="H111" s="44">
        <f t="shared" si="11"/>
        <v>223.40011655791901</v>
      </c>
      <c r="I111" s="35">
        <f t="shared" si="15"/>
        <v>0</v>
      </c>
      <c r="J111" s="45">
        <f t="shared" si="20"/>
        <v>203.54218738301921</v>
      </c>
      <c r="K111" s="63">
        <f t="shared" si="13"/>
        <v>223.40011655791901</v>
      </c>
      <c r="L111" s="47">
        <f t="shared" si="18"/>
        <v>134.93062583816888</v>
      </c>
      <c r="M111" s="47">
        <f t="shared" si="18"/>
        <v>207.19614896976259</v>
      </c>
    </row>
    <row r="112" spans="1:13" x14ac:dyDescent="0.15">
      <c r="A112" s="40">
        <v>37316</v>
      </c>
      <c r="B112" s="12" t="s">
        <v>2</v>
      </c>
      <c r="C112" s="65">
        <v>115</v>
      </c>
      <c r="D112" s="42">
        <f>SOJA!D112</f>
        <v>2.5452631578947367</v>
      </c>
      <c r="E112" s="46">
        <f>SOJA!E112</f>
        <v>1.1487411441879183</v>
      </c>
      <c r="F112" s="44">
        <f t="shared" si="19"/>
        <v>232.15572464100634</v>
      </c>
      <c r="G112" s="44">
        <f t="shared" si="14"/>
        <v>1.1487411441879185</v>
      </c>
      <c r="H112" s="44">
        <f t="shared" si="11"/>
        <v>254.80524018735076</v>
      </c>
      <c r="I112" s="35">
        <v>0</v>
      </c>
      <c r="J112" s="45">
        <f t="shared" si="20"/>
        <v>232.15572464100634</v>
      </c>
      <c r="K112" s="63">
        <f t="shared" si="13"/>
        <v>254.80524018735076</v>
      </c>
      <c r="L112" s="47">
        <f t="shared" si="18"/>
        <v>134.93062583816888</v>
      </c>
      <c r="M112" s="47">
        <f t="shared" si="18"/>
        <v>207.19614896976259</v>
      </c>
    </row>
    <row r="113" spans="1:13" x14ac:dyDescent="0.15">
      <c r="A113" s="40">
        <v>37347</v>
      </c>
      <c r="B113" s="12" t="s">
        <v>3</v>
      </c>
      <c r="C113" s="65">
        <v>124</v>
      </c>
      <c r="D113" s="42">
        <f>SOJA!D113</f>
        <v>3.0331818181818182</v>
      </c>
      <c r="E113" s="46">
        <f>SOJA!E113</f>
        <v>1.2680685755131837</v>
      </c>
      <c r="F113" s="44">
        <f t="shared" si="19"/>
        <v>270.23925250078776</v>
      </c>
      <c r="G113" s="44">
        <f t="shared" si="14"/>
        <v>1.268068575513184</v>
      </c>
      <c r="H113" s="44">
        <f t="shared" si="11"/>
        <v>296.60426314273491</v>
      </c>
      <c r="I113" s="35">
        <v>0.2</v>
      </c>
      <c r="J113" s="45">
        <f t="shared" si="20"/>
        <v>216.19140200063018</v>
      </c>
      <c r="K113" s="63">
        <f t="shared" si="13"/>
        <v>237.28341051418795</v>
      </c>
      <c r="L113" s="47">
        <f t="shared" si="18"/>
        <v>134.93062583816888</v>
      </c>
      <c r="M113" s="47">
        <f t="shared" si="18"/>
        <v>207.19614896976259</v>
      </c>
    </row>
    <row r="114" spans="1:13" x14ac:dyDescent="0.15">
      <c r="A114" s="40">
        <v>37377</v>
      </c>
      <c r="B114" s="12" t="s">
        <v>2</v>
      </c>
      <c r="C114" s="65">
        <v>136</v>
      </c>
      <c r="D114" s="42">
        <f>SOJA!D114</f>
        <v>3.4422727272727283</v>
      </c>
      <c r="E114" s="46">
        <f>SOJA!E114</f>
        <v>1.3189329662039893</v>
      </c>
      <c r="F114" s="44">
        <f t="shared" si="19"/>
        <v>323.39440575263041</v>
      </c>
      <c r="G114" s="44">
        <f t="shared" si="14"/>
        <v>1.3189329662039895</v>
      </c>
      <c r="H114" s="44">
        <f t="shared" si="11"/>
        <v>354.94532542959121</v>
      </c>
      <c r="I114" s="35">
        <f>+I113</f>
        <v>0.2</v>
      </c>
      <c r="J114" s="45">
        <f t="shared" si="20"/>
        <v>258.71552460210432</v>
      </c>
      <c r="K114" s="63">
        <f t="shared" si="13"/>
        <v>283.95626034367297</v>
      </c>
      <c r="L114" s="47">
        <f t="shared" si="18"/>
        <v>134.93062583816888</v>
      </c>
      <c r="M114" s="47">
        <f t="shared" si="18"/>
        <v>207.19614896976259</v>
      </c>
    </row>
    <row r="115" spans="1:13" x14ac:dyDescent="0.15">
      <c r="A115" s="40">
        <v>37408</v>
      </c>
      <c r="B115" s="12" t="s">
        <v>4</v>
      </c>
      <c r="C115" s="65">
        <v>152</v>
      </c>
      <c r="D115" s="42">
        <f>SOJA!D115</f>
        <v>3.7165000000000008</v>
      </c>
      <c r="E115" s="46">
        <f>SOJA!E115</f>
        <v>1.3666854005023195</v>
      </c>
      <c r="F115" s="44">
        <f t="shared" si="19"/>
        <v>376.59991006711408</v>
      </c>
      <c r="G115" s="44">
        <f t="shared" si="14"/>
        <v>1.3666854005023197</v>
      </c>
      <c r="H115" s="44">
        <f t="shared" si="11"/>
        <v>413.34165111617529</v>
      </c>
      <c r="I115" s="35">
        <f t="shared" ref="I115:I178" si="21">+I114</f>
        <v>0.2</v>
      </c>
      <c r="J115" s="45">
        <f t="shared" si="20"/>
        <v>301.27992805369126</v>
      </c>
      <c r="K115" s="63">
        <f t="shared" si="13"/>
        <v>330.67332089294024</v>
      </c>
      <c r="L115" s="47">
        <f t="shared" si="18"/>
        <v>134.93062583816888</v>
      </c>
      <c r="M115" s="47">
        <f t="shared" si="18"/>
        <v>207.19614896976259</v>
      </c>
    </row>
    <row r="116" spans="1:13" x14ac:dyDescent="0.15">
      <c r="A116" s="40">
        <v>37438</v>
      </c>
      <c r="B116" s="12" t="s">
        <v>4</v>
      </c>
      <c r="C116" s="65">
        <v>169</v>
      </c>
      <c r="D116" s="42">
        <f>SOJA!D116</f>
        <v>3.6730434782608699</v>
      </c>
      <c r="E116" s="46">
        <f>SOJA!E116</f>
        <v>1.4102527899969755</v>
      </c>
      <c r="F116" s="44">
        <f t="shared" si="19"/>
        <v>401.03922118684096</v>
      </c>
      <c r="G116" s="44">
        <f t="shared" si="14"/>
        <v>1.4102527899969757</v>
      </c>
      <c r="H116" s="44">
        <f t="shared" si="11"/>
        <v>440.1653038583375</v>
      </c>
      <c r="I116" s="35">
        <f t="shared" si="21"/>
        <v>0.2</v>
      </c>
      <c r="J116" s="45">
        <f t="shared" si="20"/>
        <v>320.83137694947277</v>
      </c>
      <c r="K116" s="63">
        <f t="shared" si="13"/>
        <v>352.13224308667003</v>
      </c>
      <c r="L116" s="47">
        <f t="shared" ref="L116:M131" si="22">+L115</f>
        <v>134.93062583816888</v>
      </c>
      <c r="M116" s="47">
        <f t="shared" si="22"/>
        <v>207.19614896976259</v>
      </c>
    </row>
    <row r="117" spans="1:13" x14ac:dyDescent="0.15">
      <c r="A117" s="40">
        <v>37469</v>
      </c>
      <c r="B117" s="12" t="s">
        <v>3</v>
      </c>
      <c r="C117" s="65">
        <v>180</v>
      </c>
      <c r="D117" s="42">
        <f>SOJA!D117</f>
        <v>3.6519047619047624</v>
      </c>
      <c r="E117" s="46">
        <f>SOJA!E117</f>
        <v>1.4433039130618872</v>
      </c>
      <c r="F117" s="44">
        <f t="shared" si="19"/>
        <v>414.95901212498609</v>
      </c>
      <c r="G117" s="44">
        <f t="shared" si="14"/>
        <v>1.4433039130618874</v>
      </c>
      <c r="H117" s="44">
        <f t="shared" si="11"/>
        <v>455.44313376684585</v>
      </c>
      <c r="I117" s="35">
        <f t="shared" si="21"/>
        <v>0.2</v>
      </c>
      <c r="J117" s="45">
        <f t="shared" si="20"/>
        <v>331.96720969998887</v>
      </c>
      <c r="K117" s="63">
        <f t="shared" si="13"/>
        <v>364.35450701347668</v>
      </c>
      <c r="L117" s="47">
        <f t="shared" si="22"/>
        <v>134.93062583816888</v>
      </c>
      <c r="M117" s="47">
        <f t="shared" si="22"/>
        <v>207.19614896976259</v>
      </c>
    </row>
    <row r="118" spans="1:13" x14ac:dyDescent="0.15">
      <c r="A118" s="40">
        <v>37500</v>
      </c>
      <c r="B118" s="12" t="s">
        <v>5</v>
      </c>
      <c r="C118" s="65">
        <v>196</v>
      </c>
      <c r="D118" s="42">
        <f>SOJA!D118</f>
        <v>3.6776190476190478</v>
      </c>
      <c r="E118" s="46">
        <f>SOJA!E118</f>
        <v>1.4627268133045788</v>
      </c>
      <c r="F118" s="44">
        <f t="shared" si="19"/>
        <v>448.98375828034131</v>
      </c>
      <c r="G118" s="44">
        <f t="shared" si="14"/>
        <v>1.462726813304579</v>
      </c>
      <c r="H118" s="44">
        <f t="shared" si="11"/>
        <v>492.7873932281849</v>
      </c>
      <c r="I118" s="35">
        <f t="shared" si="21"/>
        <v>0.2</v>
      </c>
      <c r="J118" s="45">
        <f t="shared" si="20"/>
        <v>359.18700662427307</v>
      </c>
      <c r="K118" s="63">
        <f t="shared" si="13"/>
        <v>394.22991458254796</v>
      </c>
      <c r="L118" s="47">
        <f t="shared" si="22"/>
        <v>134.93062583816888</v>
      </c>
      <c r="M118" s="47">
        <f t="shared" si="22"/>
        <v>207.19614896976259</v>
      </c>
    </row>
    <row r="119" spans="1:13" x14ac:dyDescent="0.15">
      <c r="A119" s="40">
        <v>37530</v>
      </c>
      <c r="B119" s="12" t="s">
        <v>6</v>
      </c>
      <c r="C119" s="65">
        <v>184</v>
      </c>
      <c r="D119" s="42">
        <f>SOJA!D119</f>
        <v>3.683913043478261</v>
      </c>
      <c r="E119" s="46">
        <f>SOJA!E119</f>
        <v>1.4659460785381742</v>
      </c>
      <c r="F119" s="44">
        <f t="shared" si="19"/>
        <v>421.28911606292297</v>
      </c>
      <c r="G119" s="44">
        <f t="shared" si="14"/>
        <v>1.4659460785381744</v>
      </c>
      <c r="H119" s="44">
        <f t="shared" si="11"/>
        <v>462.39081363479261</v>
      </c>
      <c r="I119" s="35">
        <f t="shared" si="21"/>
        <v>0.2</v>
      </c>
      <c r="J119" s="45">
        <f t="shared" si="20"/>
        <v>337.03129285033839</v>
      </c>
      <c r="K119" s="63">
        <f t="shared" si="13"/>
        <v>369.91265090783412</v>
      </c>
      <c r="L119" s="47">
        <f t="shared" si="22"/>
        <v>134.93062583816888</v>
      </c>
      <c r="M119" s="47">
        <f t="shared" si="22"/>
        <v>207.19614896976259</v>
      </c>
    </row>
    <row r="120" spans="1:13" x14ac:dyDescent="0.15">
      <c r="A120" s="40">
        <v>37561</v>
      </c>
      <c r="B120" s="12" t="s">
        <v>7</v>
      </c>
      <c r="C120" s="65">
        <v>141</v>
      </c>
      <c r="D120" s="42">
        <f>SOJA!D120</f>
        <v>3.5647619047619039</v>
      </c>
      <c r="E120" s="46">
        <f>SOJA!E120</f>
        <v>1.4734576974165632</v>
      </c>
      <c r="F120" s="44">
        <f t="shared" si="19"/>
        <v>310.80143179404769</v>
      </c>
      <c r="G120" s="44">
        <f t="shared" si="14"/>
        <v>1.4734576974165634</v>
      </c>
      <c r="H120" s="44">
        <f t="shared" si="11"/>
        <v>341.1237590686859</v>
      </c>
      <c r="I120" s="35">
        <f t="shared" si="21"/>
        <v>0.2</v>
      </c>
      <c r="J120" s="45">
        <f t="shared" si="20"/>
        <v>248.64114543523817</v>
      </c>
      <c r="K120" s="63">
        <f t="shared" si="13"/>
        <v>272.89900725494874</v>
      </c>
      <c r="L120" s="47">
        <f t="shared" si="22"/>
        <v>134.93062583816888</v>
      </c>
      <c r="M120" s="47">
        <f t="shared" si="22"/>
        <v>207.19614896976259</v>
      </c>
    </row>
    <row r="121" spans="1:13" x14ac:dyDescent="0.15">
      <c r="A121" s="40">
        <v>37591</v>
      </c>
      <c r="B121" s="12" t="s">
        <v>21</v>
      </c>
      <c r="C121" s="65">
        <v>130</v>
      </c>
      <c r="D121" s="42">
        <f>SOJA!D121</f>
        <v>3.5261904761904765</v>
      </c>
      <c r="E121" s="46">
        <f>SOJA!E121</f>
        <v>1.4762477272856789</v>
      </c>
      <c r="F121" s="44">
        <f t="shared" si="19"/>
        <v>282.91822221912832</v>
      </c>
      <c r="G121" s="44">
        <f t="shared" si="14"/>
        <v>1.4762477272856791</v>
      </c>
      <c r="H121" s="44">
        <f t="shared" si="11"/>
        <v>310.52021515901902</v>
      </c>
      <c r="I121" s="35">
        <f t="shared" si="21"/>
        <v>0.2</v>
      </c>
      <c r="J121" s="45">
        <f t="shared" si="20"/>
        <v>226.33457777530265</v>
      </c>
      <c r="K121" s="63">
        <f t="shared" si="13"/>
        <v>248.41617212721522</v>
      </c>
      <c r="L121" s="47">
        <f t="shared" si="22"/>
        <v>134.93062583816888</v>
      </c>
      <c r="M121" s="47">
        <f t="shared" si="22"/>
        <v>207.19614896976259</v>
      </c>
    </row>
    <row r="122" spans="1:13" x14ac:dyDescent="0.15">
      <c r="A122" s="40">
        <v>37622</v>
      </c>
      <c r="B122" s="12" t="s">
        <v>9</v>
      </c>
      <c r="C122" s="65">
        <v>142</v>
      </c>
      <c r="D122" s="42">
        <f>SOJA!D122</f>
        <v>3.2840909090909096</v>
      </c>
      <c r="E122" s="46">
        <f>SOJA!E122</f>
        <v>1.4956706275283704</v>
      </c>
      <c r="F122" s="44">
        <f t="shared" si="19"/>
        <v>284.07864780450541</v>
      </c>
      <c r="G122" s="44">
        <f t="shared" si="14"/>
        <v>1.4956706275283707</v>
      </c>
      <c r="H122" s="44">
        <f t="shared" si="11"/>
        <v>311.79385387914454</v>
      </c>
      <c r="I122" s="35">
        <f t="shared" si="21"/>
        <v>0.2</v>
      </c>
      <c r="J122" s="45">
        <f t="shared" si="20"/>
        <v>227.26291824360433</v>
      </c>
      <c r="K122" s="63">
        <f t="shared" si="13"/>
        <v>249.43508310331563</v>
      </c>
      <c r="L122" s="47">
        <f t="shared" si="22"/>
        <v>134.93062583816888</v>
      </c>
      <c r="M122" s="47">
        <f t="shared" si="22"/>
        <v>207.19614896976259</v>
      </c>
    </row>
    <row r="123" spans="1:13" x14ac:dyDescent="0.15">
      <c r="A123" s="40">
        <v>37653</v>
      </c>
      <c r="B123" s="12" t="s">
        <v>1</v>
      </c>
      <c r="C123" s="65">
        <v>147</v>
      </c>
      <c r="D123" s="42">
        <f>SOJA!D123</f>
        <v>3.1924999999999999</v>
      </c>
      <c r="E123" s="46">
        <f>SOJA!E123</f>
        <v>1.5041480259768381</v>
      </c>
      <c r="F123" s="44">
        <f t="shared" si="19"/>
        <v>284.26847823918547</v>
      </c>
      <c r="G123" s="44">
        <f t="shared" si="14"/>
        <v>1.5041480259768383</v>
      </c>
      <c r="H123" s="44">
        <f t="shared" si="11"/>
        <v>312.00220450060044</v>
      </c>
      <c r="I123" s="35">
        <f t="shared" si="21"/>
        <v>0.2</v>
      </c>
      <c r="J123" s="45">
        <f t="shared" si="20"/>
        <v>227.4147825913484</v>
      </c>
      <c r="K123" s="63">
        <f t="shared" si="13"/>
        <v>249.60176360048035</v>
      </c>
      <c r="L123" s="47">
        <f t="shared" si="22"/>
        <v>134.93062583816888</v>
      </c>
      <c r="M123" s="47">
        <f t="shared" si="22"/>
        <v>207.19614896976259</v>
      </c>
    </row>
    <row r="124" spans="1:13" x14ac:dyDescent="0.15">
      <c r="A124" s="40">
        <v>37681</v>
      </c>
      <c r="B124" s="12" t="s">
        <v>2</v>
      </c>
      <c r="C124" s="65">
        <v>151</v>
      </c>
      <c r="D124" s="42">
        <f>SOJA!D124</f>
        <v>3.0976190476190473</v>
      </c>
      <c r="E124" s="46">
        <f>SOJA!E124</f>
        <v>1.5129473509486653</v>
      </c>
      <c r="F124" s="44">
        <f t="shared" si="19"/>
        <v>281.67751469576763</v>
      </c>
      <c r="G124" s="44">
        <f t="shared" si="14"/>
        <v>1.5129473509486655</v>
      </c>
      <c r="H124" s="44">
        <f t="shared" si="11"/>
        <v>309.15846205566123</v>
      </c>
      <c r="I124" s="35">
        <f t="shared" si="21"/>
        <v>0.2</v>
      </c>
      <c r="J124" s="45">
        <f t="shared" si="20"/>
        <v>225.34201175661411</v>
      </c>
      <c r="K124" s="63">
        <f t="shared" si="13"/>
        <v>247.32676964452901</v>
      </c>
      <c r="L124" s="47">
        <f t="shared" si="22"/>
        <v>134.93062583816888</v>
      </c>
      <c r="M124" s="47">
        <f t="shared" si="22"/>
        <v>207.19614896976259</v>
      </c>
    </row>
    <row r="125" spans="1:13" x14ac:dyDescent="0.15">
      <c r="A125" s="40">
        <v>37712</v>
      </c>
      <c r="B125" s="12" t="s">
        <v>3</v>
      </c>
      <c r="C125" s="65">
        <v>150</v>
      </c>
      <c r="D125" s="42">
        <f>SOJA!D125</f>
        <v>2.9180952380952379</v>
      </c>
      <c r="E125" s="46">
        <f>SOJA!E125</f>
        <v>1.513805821677624</v>
      </c>
      <c r="F125" s="44">
        <f t="shared" si="19"/>
        <v>263.44598967631646</v>
      </c>
      <c r="G125" s="44">
        <f t="shared" si="14"/>
        <v>1.5138058216776242</v>
      </c>
      <c r="H125" s="44">
        <f t="shared" si="11"/>
        <v>289.14823780318375</v>
      </c>
      <c r="I125" s="35">
        <f t="shared" si="21"/>
        <v>0.2</v>
      </c>
      <c r="J125" s="45">
        <f t="shared" si="20"/>
        <v>210.75679174105321</v>
      </c>
      <c r="K125" s="63">
        <f t="shared" si="13"/>
        <v>231.318590242547</v>
      </c>
      <c r="L125" s="47">
        <f t="shared" si="22"/>
        <v>134.93062583816888</v>
      </c>
      <c r="M125" s="47">
        <f t="shared" si="22"/>
        <v>207.19614896976259</v>
      </c>
    </row>
    <row r="126" spans="1:13" x14ac:dyDescent="0.15">
      <c r="A126" s="40">
        <v>37742</v>
      </c>
      <c r="B126" s="12" t="s">
        <v>2</v>
      </c>
      <c r="C126" s="65">
        <v>163</v>
      </c>
      <c r="D126" s="42">
        <f>SOJA!D126</f>
        <v>2.8590909090909089</v>
      </c>
      <c r="E126" s="46">
        <f>SOJA!E126</f>
        <v>1.5079038354160328</v>
      </c>
      <c r="F126" s="44">
        <f t="shared" si="19"/>
        <v>281.58723619503519</v>
      </c>
      <c r="G126" s="44">
        <f t="shared" si="14"/>
        <v>1.507903835416033</v>
      </c>
      <c r="H126" s="44">
        <f t="shared" si="11"/>
        <v>309.05937582766296</v>
      </c>
      <c r="I126" s="35">
        <f t="shared" si="21"/>
        <v>0.2</v>
      </c>
      <c r="J126" s="45">
        <f t="shared" si="20"/>
        <v>225.26978895602815</v>
      </c>
      <c r="K126" s="63">
        <f t="shared" si="13"/>
        <v>247.24750066213039</v>
      </c>
      <c r="L126" s="47">
        <f t="shared" si="22"/>
        <v>134.93062583816888</v>
      </c>
      <c r="M126" s="47">
        <f t="shared" si="22"/>
        <v>207.19614896976259</v>
      </c>
    </row>
    <row r="127" spans="1:13" x14ac:dyDescent="0.15">
      <c r="A127" s="40">
        <v>37773</v>
      </c>
      <c r="B127" s="12" t="s">
        <v>4</v>
      </c>
      <c r="C127" s="65">
        <v>160</v>
      </c>
      <c r="D127" s="42">
        <f>SOJA!D127</f>
        <v>2.8273809523809526</v>
      </c>
      <c r="E127" s="46">
        <f>SOJA!E127</f>
        <v>1.5066161293225946</v>
      </c>
      <c r="F127" s="44">
        <f t="shared" si="19"/>
        <v>273.57268952018285</v>
      </c>
      <c r="G127" s="44">
        <f t="shared" si="14"/>
        <v>1.5066161293225948</v>
      </c>
      <c r="H127" s="44">
        <f t="shared" si="11"/>
        <v>300.26291606499132</v>
      </c>
      <c r="I127" s="35">
        <f t="shared" si="21"/>
        <v>0.2</v>
      </c>
      <c r="J127" s="45">
        <f t="shared" si="20"/>
        <v>218.8581516161463</v>
      </c>
      <c r="K127" s="63">
        <f t="shared" si="13"/>
        <v>240.21033285199306</v>
      </c>
      <c r="L127" s="47">
        <f t="shared" si="22"/>
        <v>134.93062583816888</v>
      </c>
      <c r="M127" s="47">
        <f t="shared" si="22"/>
        <v>207.19614896976259</v>
      </c>
    </row>
    <row r="128" spans="1:13" x14ac:dyDescent="0.15">
      <c r="A128" s="40">
        <v>37803</v>
      </c>
      <c r="B128" s="12" t="s">
        <v>4</v>
      </c>
      <c r="C128" s="65">
        <v>160</v>
      </c>
      <c r="D128" s="42">
        <f>SOJA!D128</f>
        <v>2.8204347826086953</v>
      </c>
      <c r="E128" s="46">
        <f>SOJA!E128</f>
        <v>1.5133765863131448</v>
      </c>
      <c r="F128" s="44">
        <f t="shared" si="19"/>
        <v>271.68150597802736</v>
      </c>
      <c r="G128" s="44">
        <f t="shared" si="14"/>
        <v>1.513376586313145</v>
      </c>
      <c r="H128" s="44">
        <f t="shared" si="11"/>
        <v>298.18722537314017</v>
      </c>
      <c r="I128" s="35">
        <f t="shared" si="21"/>
        <v>0.2</v>
      </c>
      <c r="J128" s="45">
        <f t="shared" si="20"/>
        <v>217.34520478242189</v>
      </c>
      <c r="K128" s="63">
        <f t="shared" si="13"/>
        <v>238.54978029851213</v>
      </c>
      <c r="L128" s="47">
        <f t="shared" si="22"/>
        <v>134.93062583816888</v>
      </c>
      <c r="M128" s="47">
        <f t="shared" si="22"/>
        <v>207.19614896976259</v>
      </c>
    </row>
    <row r="129" spans="1:13" x14ac:dyDescent="0.15">
      <c r="A129" s="40">
        <v>37834</v>
      </c>
      <c r="B129" s="12" t="s">
        <v>3</v>
      </c>
      <c r="C129" s="65">
        <v>164</v>
      </c>
      <c r="D129" s="42">
        <f>SOJA!D129</f>
        <v>2.9476190476190474</v>
      </c>
      <c r="E129" s="46">
        <f>SOJA!E129</f>
        <v>1.5136985128365041</v>
      </c>
      <c r="F129" s="44">
        <f t="shared" si="19"/>
        <v>290.96909288067451</v>
      </c>
      <c r="G129" s="44">
        <f t="shared" si="14"/>
        <v>1.5136985128365044</v>
      </c>
      <c r="H129" s="44">
        <f t="shared" si="11"/>
        <v>319.3565427395892</v>
      </c>
      <c r="I129" s="35">
        <f t="shared" si="21"/>
        <v>0.2</v>
      </c>
      <c r="J129" s="45">
        <f t="shared" si="20"/>
        <v>232.77527430453961</v>
      </c>
      <c r="K129" s="63">
        <f t="shared" si="13"/>
        <v>255.48523419167137</v>
      </c>
      <c r="L129" s="47">
        <f t="shared" si="22"/>
        <v>134.93062583816888</v>
      </c>
      <c r="M129" s="47">
        <f t="shared" si="22"/>
        <v>207.19614896976259</v>
      </c>
    </row>
    <row r="130" spans="1:13" x14ac:dyDescent="0.15">
      <c r="A130" s="40">
        <v>37865</v>
      </c>
      <c r="B130" s="12" t="s">
        <v>5</v>
      </c>
      <c r="C130" s="65">
        <v>161</v>
      </c>
      <c r="D130" s="42">
        <f>SOJA!D130</f>
        <v>2.9427272727272733</v>
      </c>
      <c r="E130" s="46">
        <f>SOJA!E130</f>
        <v>1.5143423658832234</v>
      </c>
      <c r="F130" s="44">
        <f t="shared" si="19"/>
        <v>285.05119090593951</v>
      </c>
      <c r="G130" s="44">
        <f t="shared" si="14"/>
        <v>1.5143423658832236</v>
      </c>
      <c r="H130" s="44">
        <f t="shared" ref="H130:H193" si="23">+(C130*D130)/G130</f>
        <v>312.86127997400678</v>
      </c>
      <c r="I130" s="35">
        <f t="shared" si="21"/>
        <v>0.2</v>
      </c>
      <c r="J130" s="45">
        <f t="shared" si="20"/>
        <v>228.04095272475161</v>
      </c>
      <c r="K130" s="63">
        <f t="shared" ref="K130:K193" si="24">+H130*(1-I130)</f>
        <v>250.28902397920544</v>
      </c>
      <c r="L130" s="47">
        <f t="shared" si="22"/>
        <v>134.93062583816888</v>
      </c>
      <c r="M130" s="47">
        <f t="shared" si="22"/>
        <v>207.19614896976259</v>
      </c>
    </row>
    <row r="131" spans="1:13" x14ac:dyDescent="0.15">
      <c r="A131" s="40">
        <v>37895</v>
      </c>
      <c r="B131" s="12" t="s">
        <v>6</v>
      </c>
      <c r="C131" s="65">
        <v>165</v>
      </c>
      <c r="D131" s="42">
        <f>SOJA!D131</f>
        <v>2.8752173913043468</v>
      </c>
      <c r="E131" s="46">
        <f>SOJA!E131</f>
        <v>1.52324899969617</v>
      </c>
      <c r="F131" s="44">
        <f t="shared" si="19"/>
        <v>283.76234947474302</v>
      </c>
      <c r="G131" s="44">
        <f t="shared" ref="G131:G194" si="25">+E131/AVERAGE(E$2:E$13)</f>
        <v>1.5232489996961702</v>
      </c>
      <c r="H131" s="44">
        <f t="shared" si="23"/>
        <v>311.44669693519842</v>
      </c>
      <c r="I131" s="35">
        <f t="shared" si="21"/>
        <v>0.2</v>
      </c>
      <c r="J131" s="45">
        <f t="shared" si="20"/>
        <v>227.00987957979439</v>
      </c>
      <c r="K131" s="63">
        <f t="shared" si="24"/>
        <v>249.15735754815876</v>
      </c>
      <c r="L131" s="47">
        <f t="shared" si="22"/>
        <v>134.93062583816888</v>
      </c>
      <c r="M131" s="47">
        <f t="shared" si="22"/>
        <v>207.19614896976259</v>
      </c>
    </row>
    <row r="132" spans="1:13" x14ac:dyDescent="0.15">
      <c r="A132" s="40">
        <v>37926</v>
      </c>
      <c r="B132" s="12" t="s">
        <v>7</v>
      </c>
      <c r="C132" s="65">
        <v>170</v>
      </c>
      <c r="D132" s="42">
        <f>SOJA!D132</f>
        <v>2.8965000000000001</v>
      </c>
      <c r="E132" s="46">
        <f>SOJA!E132</f>
        <v>1.5270048091353647</v>
      </c>
      <c r="F132" s="44">
        <f t="shared" si="19"/>
        <v>293.80087942013131</v>
      </c>
      <c r="G132" s="44">
        <f t="shared" si="25"/>
        <v>1.527004809135365</v>
      </c>
      <c r="H132" s="44">
        <f t="shared" si="23"/>
        <v>322.46460329015872</v>
      </c>
      <c r="I132" s="35">
        <f t="shared" si="21"/>
        <v>0.2</v>
      </c>
      <c r="J132" s="45">
        <f t="shared" si="20"/>
        <v>235.04070353610507</v>
      </c>
      <c r="K132" s="63">
        <f t="shared" si="24"/>
        <v>257.971682632127</v>
      </c>
      <c r="L132" s="47">
        <f t="shared" ref="L132:M147" si="26">+L131</f>
        <v>134.93062583816888</v>
      </c>
      <c r="M132" s="47">
        <f t="shared" si="26"/>
        <v>207.19614896976259</v>
      </c>
    </row>
    <row r="133" spans="1:13" x14ac:dyDescent="0.15">
      <c r="A133" s="40">
        <v>37956</v>
      </c>
      <c r="B133" s="12" t="s">
        <v>22</v>
      </c>
      <c r="C133" s="65">
        <v>163</v>
      </c>
      <c r="D133" s="42">
        <f>SOJA!D133</f>
        <v>2.9747727272727271</v>
      </c>
      <c r="E133" s="46">
        <f>SOJA!E133</f>
        <v>1.5302240743689599</v>
      </c>
      <c r="F133" s="44">
        <f t="shared" si="19"/>
        <v>288.70706213023396</v>
      </c>
      <c r="G133" s="44">
        <f t="shared" si="25"/>
        <v>1.5302240743689601</v>
      </c>
      <c r="H133" s="44">
        <f t="shared" si="23"/>
        <v>316.87382434197718</v>
      </c>
      <c r="I133" s="35">
        <f t="shared" si="21"/>
        <v>0.2</v>
      </c>
      <c r="J133" s="45">
        <f t="shared" si="20"/>
        <v>230.96564970418717</v>
      </c>
      <c r="K133" s="63">
        <f t="shared" si="24"/>
        <v>253.49905947358175</v>
      </c>
      <c r="L133" s="47">
        <f t="shared" si="26"/>
        <v>134.93062583816888</v>
      </c>
      <c r="M133" s="47">
        <f t="shared" si="26"/>
        <v>207.19614896976259</v>
      </c>
    </row>
    <row r="134" spans="1:13" x14ac:dyDescent="0.15">
      <c r="A134" s="40">
        <v>37987</v>
      </c>
      <c r="B134" s="12" t="s">
        <v>10</v>
      </c>
      <c r="C134" s="65">
        <v>162</v>
      </c>
      <c r="D134" s="42">
        <f>SOJA!D134</f>
        <v>2.9223809523809523</v>
      </c>
      <c r="E134" s="46">
        <f>SOJA!E134</f>
        <v>1.5366626048361505</v>
      </c>
      <c r="F134" s="44">
        <f t="shared" si="19"/>
        <v>280.70126020633597</v>
      </c>
      <c r="G134" s="44">
        <f t="shared" si="25"/>
        <v>1.5366626048361507</v>
      </c>
      <c r="H134" s="44">
        <f t="shared" si="23"/>
        <v>308.08696248334496</v>
      </c>
      <c r="I134" s="35">
        <f t="shared" si="21"/>
        <v>0.2</v>
      </c>
      <c r="J134" s="45">
        <f t="shared" si="20"/>
        <v>224.56100816506876</v>
      </c>
      <c r="K134" s="63">
        <f t="shared" si="24"/>
        <v>246.46956998667599</v>
      </c>
      <c r="L134" s="47">
        <f t="shared" si="26"/>
        <v>134.93062583816888</v>
      </c>
      <c r="M134" s="47">
        <f t="shared" si="26"/>
        <v>207.19614896976259</v>
      </c>
    </row>
    <row r="135" spans="1:13" x14ac:dyDescent="0.15">
      <c r="A135" s="40">
        <v>38018</v>
      </c>
      <c r="B135" s="12" t="s">
        <v>1</v>
      </c>
      <c r="C135" s="65">
        <v>151</v>
      </c>
      <c r="D135" s="42">
        <f>SOJA!D135</f>
        <v>2.9474999999999998</v>
      </c>
      <c r="E135" s="46">
        <f>SOJA!E135</f>
        <v>1.5381649286118284</v>
      </c>
      <c r="F135" s="44">
        <f t="shared" si="19"/>
        <v>263.63246975334374</v>
      </c>
      <c r="G135" s="44">
        <f t="shared" si="25"/>
        <v>1.5381649286118286</v>
      </c>
      <c r="H135" s="44">
        <f t="shared" si="23"/>
        <v>289.35291120027773</v>
      </c>
      <c r="I135" s="35">
        <f t="shared" si="21"/>
        <v>0.2</v>
      </c>
      <c r="J135" s="45">
        <f t="shared" si="20"/>
        <v>210.90597580267502</v>
      </c>
      <c r="K135" s="63">
        <f t="shared" si="24"/>
        <v>231.48232896022219</v>
      </c>
      <c r="L135" s="47">
        <f t="shared" si="26"/>
        <v>134.93062583816888</v>
      </c>
      <c r="M135" s="47">
        <f t="shared" si="26"/>
        <v>207.19614896976259</v>
      </c>
    </row>
    <row r="136" spans="1:13" x14ac:dyDescent="0.15">
      <c r="A136" s="40">
        <v>38047</v>
      </c>
      <c r="B136" s="12" t="s">
        <v>2</v>
      </c>
      <c r="C136" s="65">
        <v>155</v>
      </c>
      <c r="D136" s="42">
        <f>SOJA!D136</f>
        <v>2.9184782608695654</v>
      </c>
      <c r="E136" s="46">
        <f>SOJA!E136</f>
        <v>1.5473934889481347</v>
      </c>
      <c r="F136" s="44">
        <f t="shared" si="19"/>
        <v>266.35351826508725</v>
      </c>
      <c r="G136" s="44">
        <f t="shared" si="25"/>
        <v>1.5473934889481349</v>
      </c>
      <c r="H136" s="44">
        <f t="shared" si="23"/>
        <v>292.33942992889564</v>
      </c>
      <c r="I136" s="35">
        <f t="shared" si="21"/>
        <v>0.2</v>
      </c>
      <c r="J136" s="45">
        <f t="shared" si="20"/>
        <v>213.0828146120698</v>
      </c>
      <c r="K136" s="63">
        <f t="shared" si="24"/>
        <v>233.87154394311654</v>
      </c>
      <c r="L136" s="47">
        <f t="shared" si="26"/>
        <v>134.93062583816888</v>
      </c>
      <c r="M136" s="47">
        <f t="shared" si="26"/>
        <v>207.19614896976259</v>
      </c>
    </row>
    <row r="137" spans="1:13" x14ac:dyDescent="0.15">
      <c r="A137" s="40">
        <v>38078</v>
      </c>
      <c r="B137" s="12" t="s">
        <v>3</v>
      </c>
      <c r="C137" s="65">
        <v>163</v>
      </c>
      <c r="D137" s="42">
        <f>SOJA!D137</f>
        <v>2.8497999999999992</v>
      </c>
      <c r="E137" s="46">
        <f>SOJA!E137</f>
        <v>1.5605924764058756</v>
      </c>
      <c r="F137" s="44">
        <f t="shared" si="19"/>
        <v>271.19614991426977</v>
      </c>
      <c r="G137" s="44">
        <f t="shared" si="25"/>
        <v>1.5605924764058758</v>
      </c>
      <c r="H137" s="44">
        <f t="shared" si="23"/>
        <v>297.6545171291657</v>
      </c>
      <c r="I137" s="35">
        <f t="shared" si="21"/>
        <v>0.2</v>
      </c>
      <c r="J137" s="45">
        <f t="shared" si="20"/>
        <v>216.95691993141583</v>
      </c>
      <c r="K137" s="63">
        <f t="shared" si="24"/>
        <v>238.12361370333258</v>
      </c>
      <c r="L137" s="47">
        <f t="shared" si="26"/>
        <v>134.93062583816888</v>
      </c>
      <c r="M137" s="47">
        <f t="shared" si="26"/>
        <v>207.19614896976259</v>
      </c>
    </row>
    <row r="138" spans="1:13" x14ac:dyDescent="0.15">
      <c r="A138" s="40">
        <v>38108</v>
      </c>
      <c r="B138" s="12" t="s">
        <v>2</v>
      </c>
      <c r="C138" s="65">
        <v>161</v>
      </c>
      <c r="D138" s="42">
        <f>SOJA!D138</f>
        <v>2.9346666666666659</v>
      </c>
      <c r="E138" s="46">
        <f>SOJA!E138</f>
        <v>1.5720745224056987</v>
      </c>
      <c r="F138" s="44">
        <f t="shared" si="19"/>
        <v>273.83097186008183</v>
      </c>
      <c r="G138" s="44">
        <f t="shared" si="25"/>
        <v>1.5720745224056989</v>
      </c>
      <c r="H138" s="44">
        <f t="shared" si="23"/>
        <v>300.54639687838022</v>
      </c>
      <c r="I138" s="35">
        <f t="shared" si="21"/>
        <v>0.2</v>
      </c>
      <c r="J138" s="45">
        <f t="shared" si="20"/>
        <v>219.06477748806549</v>
      </c>
      <c r="K138" s="63">
        <f t="shared" si="24"/>
        <v>240.43711750270418</v>
      </c>
      <c r="L138" s="47">
        <f t="shared" si="26"/>
        <v>134.93062583816888</v>
      </c>
      <c r="M138" s="47">
        <f t="shared" si="26"/>
        <v>207.19614896976259</v>
      </c>
    </row>
    <row r="139" spans="1:13" x14ac:dyDescent="0.15">
      <c r="A139" s="40">
        <v>38139</v>
      </c>
      <c r="B139" s="12" t="s">
        <v>4</v>
      </c>
      <c r="C139" s="65">
        <v>147</v>
      </c>
      <c r="D139" s="42">
        <f>SOJA!D139</f>
        <v>2.9745227272727273</v>
      </c>
      <c r="E139" s="46">
        <f>SOJA!E139</f>
        <v>1.5808738473775257</v>
      </c>
      <c r="F139" s="44">
        <f t="shared" si="19"/>
        <v>252.00459135534885</v>
      </c>
      <c r="G139" s="44">
        <f t="shared" si="25"/>
        <v>1.5808738473775259</v>
      </c>
      <c r="H139" s="44">
        <f t="shared" si="23"/>
        <v>276.59059679837361</v>
      </c>
      <c r="I139" s="35">
        <f t="shared" si="21"/>
        <v>0.2</v>
      </c>
      <c r="J139" s="45">
        <f t="shared" si="20"/>
        <v>201.60367308427908</v>
      </c>
      <c r="K139" s="63">
        <f t="shared" si="24"/>
        <v>221.2724774386989</v>
      </c>
      <c r="L139" s="47">
        <f t="shared" si="26"/>
        <v>134.93062583816888</v>
      </c>
      <c r="M139" s="47">
        <f t="shared" si="26"/>
        <v>207.19614896976259</v>
      </c>
    </row>
    <row r="140" spans="1:13" x14ac:dyDescent="0.15">
      <c r="A140" s="40">
        <v>38169</v>
      </c>
      <c r="B140" s="12" t="s">
        <v>4</v>
      </c>
      <c r="C140" s="65">
        <v>139</v>
      </c>
      <c r="D140" s="42">
        <f>SOJA!D140</f>
        <v>2.9705909090909088</v>
      </c>
      <c r="E140" s="46">
        <f>SOJA!E140</f>
        <v>1.5881708485736752</v>
      </c>
      <c r="F140" s="44">
        <f t="shared" si="19"/>
        <v>236.88167744214675</v>
      </c>
      <c r="G140" s="44">
        <f t="shared" si="25"/>
        <v>1.5881708485736754</v>
      </c>
      <c r="H140" s="44">
        <f t="shared" si="23"/>
        <v>259.9922651485951</v>
      </c>
      <c r="I140" s="35">
        <f t="shared" si="21"/>
        <v>0.2</v>
      </c>
      <c r="J140" s="45">
        <f t="shared" si="20"/>
        <v>189.50534195371742</v>
      </c>
      <c r="K140" s="63">
        <f t="shared" si="24"/>
        <v>207.99381211887609</v>
      </c>
      <c r="L140" s="47">
        <f t="shared" si="26"/>
        <v>134.93062583816888</v>
      </c>
      <c r="M140" s="47">
        <f t="shared" si="26"/>
        <v>207.19614896976259</v>
      </c>
    </row>
    <row r="141" spans="1:13" x14ac:dyDescent="0.15">
      <c r="A141" s="40">
        <v>38200</v>
      </c>
      <c r="B141" s="12" t="s">
        <v>3</v>
      </c>
      <c r="C141" s="65">
        <v>125</v>
      </c>
      <c r="D141" s="42">
        <f>SOJA!D141</f>
        <v>3.0304545454545462</v>
      </c>
      <c r="E141" s="46">
        <f>SOJA!E141</f>
        <v>1.5936435994707872</v>
      </c>
      <c r="F141" s="44">
        <f t="shared" si="19"/>
        <v>216.56966587592962</v>
      </c>
      <c r="G141" s="44">
        <f t="shared" si="25"/>
        <v>1.5936435994707874</v>
      </c>
      <c r="H141" s="44">
        <f t="shared" si="23"/>
        <v>237.69857846987327</v>
      </c>
      <c r="I141" s="35">
        <f t="shared" si="21"/>
        <v>0.2</v>
      </c>
      <c r="J141" s="45">
        <f t="shared" si="20"/>
        <v>173.25573270074369</v>
      </c>
      <c r="K141" s="63">
        <f t="shared" si="24"/>
        <v>190.15886277589863</v>
      </c>
      <c r="L141" s="47">
        <f t="shared" si="26"/>
        <v>134.93062583816888</v>
      </c>
      <c r="M141" s="47">
        <f t="shared" si="26"/>
        <v>207.19614896976259</v>
      </c>
    </row>
    <row r="142" spans="1:13" x14ac:dyDescent="0.15">
      <c r="A142" s="40">
        <v>38231</v>
      </c>
      <c r="B142" s="12" t="s">
        <v>5</v>
      </c>
      <c r="C142" s="65">
        <v>128</v>
      </c>
      <c r="D142" s="42">
        <f>SOJA!D142</f>
        <v>3.0143181818181817</v>
      </c>
      <c r="E142" s="46">
        <f>SOJA!E142</f>
        <v>1.6037306305360524</v>
      </c>
      <c r="F142" s="44">
        <f t="shared" si="19"/>
        <v>219.19905660715844</v>
      </c>
      <c r="G142" s="44">
        <f t="shared" si="25"/>
        <v>1.6037306305360526</v>
      </c>
      <c r="H142" s="44">
        <f t="shared" si="23"/>
        <v>240.58449712578062</v>
      </c>
      <c r="I142" s="35">
        <f t="shared" si="21"/>
        <v>0.2</v>
      </c>
      <c r="J142" s="45">
        <f t="shared" si="20"/>
        <v>175.35924528572676</v>
      </c>
      <c r="K142" s="63">
        <f t="shared" si="24"/>
        <v>192.46759770062451</v>
      </c>
      <c r="L142" s="47">
        <f t="shared" si="26"/>
        <v>134.93062583816888</v>
      </c>
      <c r="M142" s="47">
        <f t="shared" si="26"/>
        <v>207.19614896976259</v>
      </c>
    </row>
    <row r="143" spans="1:13" x14ac:dyDescent="0.15">
      <c r="A143" s="40">
        <v>38261</v>
      </c>
      <c r="B143" s="12" t="s">
        <v>6</v>
      </c>
      <c r="C143" s="65">
        <v>124</v>
      </c>
      <c r="D143" s="42">
        <f>SOJA!D143</f>
        <v>2.9866666666666668</v>
      </c>
      <c r="E143" s="46">
        <f>SOJA!E143</f>
        <v>1.6100618521621231</v>
      </c>
      <c r="F143" s="44">
        <f t="shared" si="19"/>
        <v>209.5737680533714</v>
      </c>
      <c r="G143" s="44">
        <f t="shared" si="25"/>
        <v>1.6100618521621233</v>
      </c>
      <c r="H143" s="44">
        <f t="shared" si="23"/>
        <v>230.02014871002302</v>
      </c>
      <c r="I143" s="35">
        <f t="shared" si="21"/>
        <v>0.2</v>
      </c>
      <c r="J143" s="45">
        <f t="shared" si="20"/>
        <v>167.65901444269713</v>
      </c>
      <c r="K143" s="63">
        <f t="shared" si="24"/>
        <v>184.01611896801842</v>
      </c>
      <c r="L143" s="47">
        <f t="shared" si="26"/>
        <v>134.93062583816888</v>
      </c>
      <c r="M143" s="47">
        <f t="shared" si="26"/>
        <v>207.19614896976259</v>
      </c>
    </row>
    <row r="144" spans="1:13" x14ac:dyDescent="0.15">
      <c r="A144" s="40">
        <v>38292</v>
      </c>
      <c r="B144" s="12" t="s">
        <v>7</v>
      </c>
      <c r="C144" s="65">
        <v>117</v>
      </c>
      <c r="D144" s="42">
        <f>SOJA!D144</f>
        <v>2.9686363636363637</v>
      </c>
      <c r="E144" s="46">
        <f>SOJA!E144</f>
        <v>1.6100618521621231</v>
      </c>
      <c r="F144" s="44">
        <f t="shared" si="19"/>
        <v>196.54922987142086</v>
      </c>
      <c r="G144" s="44">
        <f t="shared" si="25"/>
        <v>1.6100618521621233</v>
      </c>
      <c r="H144" s="44">
        <f t="shared" si="23"/>
        <v>215.72491397087057</v>
      </c>
      <c r="I144" s="35">
        <f t="shared" si="21"/>
        <v>0.2</v>
      </c>
      <c r="J144" s="45">
        <f t="shared" si="20"/>
        <v>157.23938389713669</v>
      </c>
      <c r="K144" s="63">
        <f t="shared" si="24"/>
        <v>172.57993117669648</v>
      </c>
      <c r="L144" s="47">
        <f t="shared" si="26"/>
        <v>134.93062583816888</v>
      </c>
      <c r="M144" s="47">
        <f t="shared" si="26"/>
        <v>207.19614896976259</v>
      </c>
    </row>
    <row r="145" spans="1:13" x14ac:dyDescent="0.15">
      <c r="A145" s="40">
        <v>38322</v>
      </c>
      <c r="B145" s="12" t="s">
        <v>23</v>
      </c>
      <c r="C145" s="65">
        <v>112</v>
      </c>
      <c r="D145" s="42">
        <f>SOJA!D145</f>
        <v>2.9841304347826076</v>
      </c>
      <c r="E145" s="46">
        <f>SOJA!E145</f>
        <v>1.6235827661432234</v>
      </c>
      <c r="F145" s="44">
        <f t="shared" si="19"/>
        <v>187.55663568042755</v>
      </c>
      <c r="G145" s="44">
        <f t="shared" si="25"/>
        <v>1.6235827661432236</v>
      </c>
      <c r="H145" s="44">
        <f t="shared" si="23"/>
        <v>205.85498667837473</v>
      </c>
      <c r="I145" s="35">
        <f t="shared" si="21"/>
        <v>0.2</v>
      </c>
      <c r="J145" s="45">
        <f t="shared" si="20"/>
        <v>150.04530854434205</v>
      </c>
      <c r="K145" s="63">
        <f t="shared" si="24"/>
        <v>164.68398934269979</v>
      </c>
      <c r="L145" s="47">
        <f t="shared" si="26"/>
        <v>134.93062583816888</v>
      </c>
      <c r="M145" s="47">
        <f t="shared" si="26"/>
        <v>207.19614896976259</v>
      </c>
    </row>
    <row r="146" spans="1:13" x14ac:dyDescent="0.15">
      <c r="A146" s="40">
        <v>38353</v>
      </c>
      <c r="B146" s="12" t="s">
        <v>11</v>
      </c>
      <c r="C146" s="65">
        <v>107</v>
      </c>
      <c r="D146" s="42">
        <f>SOJA!D146</f>
        <v>2.9614285714285717</v>
      </c>
      <c r="E146" s="46">
        <f>SOJA!E146</f>
        <v>1.647619946554068</v>
      </c>
      <c r="F146" s="44">
        <f t="shared" si="19"/>
        <v>175.22619916613488</v>
      </c>
      <c r="G146" s="44">
        <f t="shared" si="25"/>
        <v>1.6476199465540682</v>
      </c>
      <c r="H146" s="44">
        <f t="shared" si="23"/>
        <v>192.32157137062111</v>
      </c>
      <c r="I146" s="35">
        <f t="shared" si="21"/>
        <v>0.2</v>
      </c>
      <c r="J146" s="45">
        <f t="shared" si="20"/>
        <v>140.18095933290792</v>
      </c>
      <c r="K146" s="63">
        <f t="shared" si="24"/>
        <v>153.85725709649691</v>
      </c>
      <c r="L146" s="47">
        <f t="shared" si="26"/>
        <v>134.93062583816888</v>
      </c>
      <c r="M146" s="47">
        <f t="shared" si="26"/>
        <v>207.19614896976259</v>
      </c>
    </row>
    <row r="147" spans="1:13" x14ac:dyDescent="0.15">
      <c r="A147" s="40">
        <v>38384</v>
      </c>
      <c r="B147" s="12" t="s">
        <v>1</v>
      </c>
      <c r="C147" s="65">
        <v>117</v>
      </c>
      <c r="D147" s="42">
        <f>SOJA!D147</f>
        <v>2.9319999999999995</v>
      </c>
      <c r="E147" s="46">
        <f>SOJA!E147</f>
        <v>1.6632870373575652</v>
      </c>
      <c r="F147" s="44">
        <f t="shared" si="19"/>
        <v>187.91163305573559</v>
      </c>
      <c r="G147" s="44">
        <f t="shared" si="25"/>
        <v>1.6632870373575654</v>
      </c>
      <c r="H147" s="44">
        <f t="shared" si="23"/>
        <v>206.24461821393609</v>
      </c>
      <c r="I147" s="35">
        <f t="shared" si="21"/>
        <v>0.2</v>
      </c>
      <c r="J147" s="45">
        <f t="shared" si="20"/>
        <v>150.32930644458847</v>
      </c>
      <c r="K147" s="63">
        <f t="shared" si="24"/>
        <v>164.99569457114887</v>
      </c>
      <c r="L147" s="47">
        <f t="shared" si="26"/>
        <v>134.93062583816888</v>
      </c>
      <c r="M147" s="47">
        <f t="shared" si="26"/>
        <v>207.19614896976259</v>
      </c>
    </row>
    <row r="148" spans="1:13" x14ac:dyDescent="0.15">
      <c r="A148" s="40">
        <v>38412</v>
      </c>
      <c r="B148" s="12" t="s">
        <v>2</v>
      </c>
      <c r="C148" s="65">
        <v>133</v>
      </c>
      <c r="D148" s="42">
        <f>SOJA!D148</f>
        <v>2.9368695652173913</v>
      </c>
      <c r="E148" s="46">
        <f>SOJA!E148</f>
        <v>1.6889338503852076</v>
      </c>
      <c r="F148" s="44">
        <f t="shared" si="19"/>
        <v>210.71463566208678</v>
      </c>
      <c r="G148" s="44">
        <f t="shared" si="25"/>
        <v>1.6889338503852078</v>
      </c>
      <c r="H148" s="44">
        <f t="shared" si="23"/>
        <v>231.27232134332857</v>
      </c>
      <c r="I148" s="35">
        <f t="shared" si="21"/>
        <v>0.2</v>
      </c>
      <c r="J148" s="45">
        <f t="shared" si="20"/>
        <v>168.57170852966942</v>
      </c>
      <c r="K148" s="63">
        <f t="shared" si="24"/>
        <v>185.01785707466286</v>
      </c>
      <c r="L148" s="47">
        <f t="shared" ref="L148:M163" si="27">+L147</f>
        <v>134.93062583816888</v>
      </c>
      <c r="M148" s="47">
        <f t="shared" si="27"/>
        <v>207.19614896976259</v>
      </c>
    </row>
    <row r="149" spans="1:13" x14ac:dyDescent="0.15">
      <c r="A149" s="40">
        <v>38443</v>
      </c>
      <c r="B149" s="12" t="s">
        <v>3</v>
      </c>
      <c r="C149" s="65">
        <v>137</v>
      </c>
      <c r="D149" s="42">
        <f>SOJA!D149</f>
        <v>2.9180952380952387</v>
      </c>
      <c r="E149" s="46">
        <f>SOJA!E149</f>
        <v>1.6971966311514355</v>
      </c>
      <c r="F149" s="44">
        <f t="shared" si="19"/>
        <v>214.61442546022607</v>
      </c>
      <c r="G149" s="44">
        <f t="shared" si="25"/>
        <v>1.6971966311514357</v>
      </c>
      <c r="H149" s="44">
        <f t="shared" si="23"/>
        <v>235.5525814046803</v>
      </c>
      <c r="I149" s="35">
        <f t="shared" si="21"/>
        <v>0.2</v>
      </c>
      <c r="J149" s="45">
        <f t="shared" si="20"/>
        <v>171.69154036818088</v>
      </c>
      <c r="K149" s="63">
        <f t="shared" si="24"/>
        <v>188.44206512374424</v>
      </c>
      <c r="L149" s="47">
        <f t="shared" si="27"/>
        <v>134.93062583816888</v>
      </c>
      <c r="M149" s="47">
        <f t="shared" si="27"/>
        <v>207.19614896976259</v>
      </c>
    </row>
    <row r="150" spans="1:13" x14ac:dyDescent="0.15">
      <c r="A150" s="40">
        <v>38473</v>
      </c>
      <c r="B150" s="12" t="s">
        <v>2</v>
      </c>
      <c r="C150" s="65">
        <v>138</v>
      </c>
      <c r="D150" s="42">
        <f>SOJA!D150</f>
        <v>2.9028636363636369</v>
      </c>
      <c r="E150" s="46">
        <f>SOJA!E150</f>
        <v>1.7073909710578208</v>
      </c>
      <c r="F150" s="44">
        <f t="shared" si="19"/>
        <v>213.76853602734985</v>
      </c>
      <c r="G150" s="44">
        <f t="shared" si="25"/>
        <v>1.707390971057821</v>
      </c>
      <c r="H150" s="44">
        <f t="shared" si="23"/>
        <v>234.62416553016649</v>
      </c>
      <c r="I150" s="35">
        <f t="shared" si="21"/>
        <v>0.2</v>
      </c>
      <c r="J150" s="45">
        <f t="shared" si="20"/>
        <v>171.01482882187989</v>
      </c>
      <c r="K150" s="63">
        <f t="shared" si="24"/>
        <v>187.69933242413322</v>
      </c>
      <c r="L150" s="47">
        <f t="shared" si="27"/>
        <v>134.93062583816888</v>
      </c>
      <c r="M150" s="47">
        <f t="shared" si="27"/>
        <v>207.19614896976259</v>
      </c>
    </row>
    <row r="151" spans="1:13" x14ac:dyDescent="0.15">
      <c r="A151" s="40">
        <v>38504</v>
      </c>
      <c r="B151" s="12" t="s">
        <v>4</v>
      </c>
      <c r="C151" s="65">
        <v>136</v>
      </c>
      <c r="D151" s="42">
        <f>SOJA!D151</f>
        <v>2.894090909090909</v>
      </c>
      <c r="E151" s="46">
        <f>SOJA!E151</f>
        <v>1.7230580618613176</v>
      </c>
      <c r="F151" s="44">
        <f t="shared" si="19"/>
        <v>208.12402069047891</v>
      </c>
      <c r="G151" s="44">
        <f t="shared" si="25"/>
        <v>1.7230580618613178</v>
      </c>
      <c r="H151" s="44">
        <f t="shared" si="23"/>
        <v>228.4289614774703</v>
      </c>
      <c r="I151" s="35">
        <f t="shared" si="21"/>
        <v>0.2</v>
      </c>
      <c r="J151" s="45">
        <f t="shared" si="20"/>
        <v>166.49921655238313</v>
      </c>
      <c r="K151" s="63">
        <f t="shared" si="24"/>
        <v>182.74316918197624</v>
      </c>
      <c r="L151" s="47">
        <f t="shared" si="27"/>
        <v>134.93062583816888</v>
      </c>
      <c r="M151" s="47">
        <f t="shared" si="27"/>
        <v>207.19614896976259</v>
      </c>
    </row>
    <row r="152" spans="1:13" x14ac:dyDescent="0.15">
      <c r="A152" s="40">
        <v>38534</v>
      </c>
      <c r="B152" s="12" t="s">
        <v>4</v>
      </c>
      <c r="C152" s="65">
        <v>145</v>
      </c>
      <c r="D152" s="42">
        <f>SOJA!D152</f>
        <v>2.885714285714287</v>
      </c>
      <c r="E152" s="46">
        <f>SOJA!E152</f>
        <v>1.7403347852816125</v>
      </c>
      <c r="F152" s="44">
        <f t="shared" si="19"/>
        <v>219.05822931185247</v>
      </c>
      <c r="G152" s="44">
        <f t="shared" si="25"/>
        <v>1.7403347852816127</v>
      </c>
      <c r="H152" s="44">
        <f t="shared" si="23"/>
        <v>240.42993047505138</v>
      </c>
      <c r="I152" s="35">
        <f t="shared" si="21"/>
        <v>0.2</v>
      </c>
      <c r="J152" s="45">
        <f t="shared" si="20"/>
        <v>175.24658344948199</v>
      </c>
      <c r="K152" s="63">
        <f t="shared" si="24"/>
        <v>192.34394438004111</v>
      </c>
      <c r="L152" s="47">
        <f t="shared" si="27"/>
        <v>134.93062583816888</v>
      </c>
      <c r="M152" s="47">
        <f t="shared" si="27"/>
        <v>207.19614896976259</v>
      </c>
    </row>
    <row r="153" spans="1:13" x14ac:dyDescent="0.15">
      <c r="A153" s="40">
        <v>38565</v>
      </c>
      <c r="B153" s="12" t="s">
        <v>3</v>
      </c>
      <c r="C153" s="65">
        <v>142</v>
      </c>
      <c r="D153" s="42">
        <f>SOJA!D153</f>
        <v>2.8975</v>
      </c>
      <c r="E153" s="46">
        <f>SOJA!E153</f>
        <v>1.7479537130011211</v>
      </c>
      <c r="F153" s="44">
        <f t="shared" si="19"/>
        <v>214.4632598508712</v>
      </c>
      <c r="G153" s="44">
        <f t="shared" si="25"/>
        <v>1.7479537130011213</v>
      </c>
      <c r="H153" s="44">
        <f t="shared" si="23"/>
        <v>235.38666781603504</v>
      </c>
      <c r="I153" s="35">
        <f t="shared" si="21"/>
        <v>0.2</v>
      </c>
      <c r="J153" s="45">
        <f t="shared" si="20"/>
        <v>171.57060788069697</v>
      </c>
      <c r="K153" s="63">
        <f t="shared" si="24"/>
        <v>188.30933425282805</v>
      </c>
      <c r="L153" s="47">
        <f t="shared" si="27"/>
        <v>134.93062583816888</v>
      </c>
      <c r="M153" s="47">
        <f t="shared" si="27"/>
        <v>207.19614896976259</v>
      </c>
    </row>
    <row r="154" spans="1:13" x14ac:dyDescent="0.15">
      <c r="A154" s="40">
        <v>38596</v>
      </c>
      <c r="B154" s="12" t="s">
        <v>5</v>
      </c>
      <c r="C154" s="65">
        <v>134</v>
      </c>
      <c r="D154" s="42">
        <f>SOJA!D154</f>
        <v>2.918545454545455</v>
      </c>
      <c r="E154" s="46">
        <f>SOJA!E154</f>
        <v>1.7683423928138913</v>
      </c>
      <c r="F154" s="44">
        <f t="shared" si="19"/>
        <v>201.50041432376869</v>
      </c>
      <c r="G154" s="44">
        <f t="shared" si="25"/>
        <v>1.7683423928138915</v>
      </c>
      <c r="H154" s="44">
        <f t="shared" si="23"/>
        <v>221.15914457424341</v>
      </c>
      <c r="I154" s="35">
        <f t="shared" si="21"/>
        <v>0.2</v>
      </c>
      <c r="J154" s="45">
        <f t="shared" si="20"/>
        <v>161.20033145901496</v>
      </c>
      <c r="K154" s="63">
        <f t="shared" si="24"/>
        <v>176.92731565939474</v>
      </c>
      <c r="L154" s="47">
        <f t="shared" si="27"/>
        <v>134.93062583816888</v>
      </c>
      <c r="M154" s="47">
        <f t="shared" si="27"/>
        <v>207.19614896976259</v>
      </c>
    </row>
    <row r="155" spans="1:13" x14ac:dyDescent="0.15">
      <c r="A155" s="40">
        <v>38626</v>
      </c>
      <c r="B155" s="12" t="s">
        <v>6</v>
      </c>
      <c r="C155" s="65">
        <v>135</v>
      </c>
      <c r="D155" s="42">
        <f>SOJA!D155</f>
        <v>2.9751428571428575</v>
      </c>
      <c r="E155" s="46">
        <f>SOJA!E155</f>
        <v>1.7820779244772313</v>
      </c>
      <c r="F155" s="44">
        <f t="shared" si="19"/>
        <v>205.34585656282482</v>
      </c>
      <c r="G155" s="44">
        <f t="shared" si="25"/>
        <v>1.7820779244772316</v>
      </c>
      <c r="H155" s="44">
        <f t="shared" si="23"/>
        <v>225.37975483429392</v>
      </c>
      <c r="I155" s="35">
        <f t="shared" si="21"/>
        <v>0.2</v>
      </c>
      <c r="J155" s="45">
        <f t="shared" si="20"/>
        <v>164.27668525025987</v>
      </c>
      <c r="K155" s="63">
        <f t="shared" si="24"/>
        <v>180.30380386743514</v>
      </c>
      <c r="L155" s="47">
        <f t="shared" si="27"/>
        <v>134.93062583816888</v>
      </c>
      <c r="M155" s="47">
        <f t="shared" si="27"/>
        <v>207.19614896976259</v>
      </c>
    </row>
    <row r="156" spans="1:13" x14ac:dyDescent="0.15">
      <c r="A156" s="40">
        <v>38657</v>
      </c>
      <c r="B156" s="12" t="s">
        <v>7</v>
      </c>
      <c r="C156" s="65">
        <v>137</v>
      </c>
      <c r="D156" s="42">
        <f>SOJA!D156</f>
        <v>2.9837272727272723</v>
      </c>
      <c r="E156" s="46">
        <f>SOJA!E156</f>
        <v>1.8036470015423198</v>
      </c>
      <c r="F156" s="44">
        <f t="shared" si="19"/>
        <v>206.49007832702915</v>
      </c>
      <c r="G156" s="44">
        <f t="shared" si="25"/>
        <v>1.80364700154232</v>
      </c>
      <c r="H156" s="44">
        <f t="shared" si="23"/>
        <v>226.63560886032116</v>
      </c>
      <c r="I156" s="35">
        <f t="shared" si="21"/>
        <v>0.2</v>
      </c>
      <c r="J156" s="45">
        <f t="shared" si="20"/>
        <v>165.19206266162334</v>
      </c>
      <c r="K156" s="63">
        <f t="shared" si="24"/>
        <v>181.30848708825692</v>
      </c>
      <c r="L156" s="47">
        <f t="shared" si="27"/>
        <v>134.93062583816888</v>
      </c>
      <c r="M156" s="47">
        <f t="shared" si="27"/>
        <v>207.19614896976259</v>
      </c>
    </row>
    <row r="157" spans="1:13" x14ac:dyDescent="0.15">
      <c r="A157" s="40">
        <v>38687</v>
      </c>
      <c r="B157" s="12" t="s">
        <v>24</v>
      </c>
      <c r="C157" s="65">
        <v>131</v>
      </c>
      <c r="D157" s="42">
        <f>SOJA!D157</f>
        <v>3.031931818181818</v>
      </c>
      <c r="E157" s="46">
        <f>SOJA!E157</f>
        <v>1.8237137548317301</v>
      </c>
      <c r="F157" s="44">
        <f t="shared" si="19"/>
        <v>198.42897760586214</v>
      </c>
      <c r="G157" s="44">
        <f t="shared" si="25"/>
        <v>1.8237137548317304</v>
      </c>
      <c r="H157" s="44">
        <f t="shared" si="23"/>
        <v>217.78805315775296</v>
      </c>
      <c r="I157" s="35">
        <f t="shared" si="21"/>
        <v>0.2</v>
      </c>
      <c r="J157" s="45">
        <f t="shared" si="20"/>
        <v>158.74318208468972</v>
      </c>
      <c r="K157" s="63">
        <f t="shared" si="24"/>
        <v>174.23044252620238</v>
      </c>
      <c r="L157" s="47">
        <f t="shared" si="27"/>
        <v>134.93062583816888</v>
      </c>
      <c r="M157" s="47">
        <f t="shared" si="27"/>
        <v>207.19614896976259</v>
      </c>
    </row>
    <row r="158" spans="1:13" x14ac:dyDescent="0.15">
      <c r="A158" s="40">
        <v>38718</v>
      </c>
      <c r="B158" s="12" t="s">
        <v>12</v>
      </c>
      <c r="C158" s="65">
        <v>137</v>
      </c>
      <c r="D158" s="42">
        <f>SOJA!D158</f>
        <v>3.0668181818181823</v>
      </c>
      <c r="E158" s="46">
        <f>SOJA!E158</f>
        <v>1.8469997733547363</v>
      </c>
      <c r="F158" s="44">
        <f t="shared" si="19"/>
        <v>207.25871268522346</v>
      </c>
      <c r="G158" s="44">
        <f t="shared" si="25"/>
        <v>1.8469997733547365</v>
      </c>
      <c r="H158" s="44">
        <f t="shared" si="23"/>
        <v>227.47923252094293</v>
      </c>
      <c r="I158" s="35">
        <f t="shared" si="21"/>
        <v>0.2</v>
      </c>
      <c r="J158" s="45">
        <f t="shared" si="20"/>
        <v>165.80697014817878</v>
      </c>
      <c r="K158" s="63">
        <f t="shared" si="24"/>
        <v>181.98338601675437</v>
      </c>
      <c r="L158" s="47">
        <f t="shared" si="27"/>
        <v>134.93062583816888</v>
      </c>
      <c r="M158" s="47">
        <f t="shared" si="27"/>
        <v>207.19614896976259</v>
      </c>
    </row>
    <row r="159" spans="1:13" x14ac:dyDescent="0.15">
      <c r="A159" s="40">
        <v>38749</v>
      </c>
      <c r="B159" s="12" t="s">
        <v>1</v>
      </c>
      <c r="C159" s="65">
        <v>142</v>
      </c>
      <c r="D159" s="42">
        <f>SOJA!D159</f>
        <v>3.0855000000000006</v>
      </c>
      <c r="E159" s="46">
        <f>SOJA!E159</f>
        <v>1.8542967745508858</v>
      </c>
      <c r="F159" s="44">
        <f t="shared" si="19"/>
        <v>215.28099611989501</v>
      </c>
      <c r="G159" s="44">
        <f t="shared" si="25"/>
        <v>1.854296774550886</v>
      </c>
      <c r="H159" s="44">
        <f t="shared" si="23"/>
        <v>236.28418385515371</v>
      </c>
      <c r="I159" s="35">
        <f t="shared" si="21"/>
        <v>0.2</v>
      </c>
      <c r="J159" s="45">
        <f t="shared" si="20"/>
        <v>172.22479689591603</v>
      </c>
      <c r="K159" s="63">
        <f t="shared" si="24"/>
        <v>189.02734708412299</v>
      </c>
      <c r="L159" s="47">
        <f t="shared" si="27"/>
        <v>134.93062583816888</v>
      </c>
      <c r="M159" s="47">
        <f t="shared" si="27"/>
        <v>207.19614896976259</v>
      </c>
    </row>
    <row r="160" spans="1:13" x14ac:dyDescent="0.15">
      <c r="A160" s="40">
        <v>38777</v>
      </c>
      <c r="B160" s="12" t="s">
        <v>2</v>
      </c>
      <c r="C160" s="65">
        <v>139</v>
      </c>
      <c r="D160" s="42">
        <f>SOJA!D160</f>
        <v>3.0910869565217411</v>
      </c>
      <c r="E160" s="46">
        <f>SOJA!E160</f>
        <v>1.8766170135038129</v>
      </c>
      <c r="F160" s="44">
        <f t="shared" si="19"/>
        <v>208.60341575752045</v>
      </c>
      <c r="G160" s="44">
        <f t="shared" si="25"/>
        <v>1.8766170135038132</v>
      </c>
      <c r="H160" s="44">
        <f t="shared" si="23"/>
        <v>228.95512715954015</v>
      </c>
      <c r="I160" s="35">
        <f t="shared" si="21"/>
        <v>0.2</v>
      </c>
      <c r="J160" s="45">
        <f t="shared" si="20"/>
        <v>166.88273260601636</v>
      </c>
      <c r="K160" s="63">
        <f t="shared" si="24"/>
        <v>183.16410172763213</v>
      </c>
      <c r="L160" s="47">
        <f t="shared" si="27"/>
        <v>134.93062583816888</v>
      </c>
      <c r="M160" s="47">
        <f t="shared" si="27"/>
        <v>207.19614896976259</v>
      </c>
    </row>
    <row r="161" spans="1:13" x14ac:dyDescent="0.15">
      <c r="A161" s="40">
        <v>38808</v>
      </c>
      <c r="B161" s="12" t="s">
        <v>3</v>
      </c>
      <c r="C161" s="65">
        <v>142</v>
      </c>
      <c r="D161" s="42">
        <f>SOJA!D161</f>
        <v>3.0870000000000006</v>
      </c>
      <c r="E161" s="46">
        <f>SOJA!E161</f>
        <v>1.8948595164941864</v>
      </c>
      <c r="F161" s="44">
        <f t="shared" si="19"/>
        <v>210.77495180136458</v>
      </c>
      <c r="G161" s="44">
        <f t="shared" si="25"/>
        <v>1.8948595164941866</v>
      </c>
      <c r="H161" s="44">
        <f t="shared" si="23"/>
        <v>231.33852202987046</v>
      </c>
      <c r="I161" s="35">
        <f t="shared" si="21"/>
        <v>0.2</v>
      </c>
      <c r="J161" s="45">
        <f t="shared" si="20"/>
        <v>168.61996144109168</v>
      </c>
      <c r="K161" s="63">
        <f t="shared" si="24"/>
        <v>185.07081762389637</v>
      </c>
      <c r="L161" s="47">
        <f t="shared" si="27"/>
        <v>134.93062583816888</v>
      </c>
      <c r="M161" s="47">
        <f t="shared" si="27"/>
        <v>207.19614896976259</v>
      </c>
    </row>
    <row r="162" spans="1:13" x14ac:dyDescent="0.15">
      <c r="A162" s="40">
        <v>38838</v>
      </c>
      <c r="B162" s="12" t="s">
        <v>2</v>
      </c>
      <c r="C162" s="65">
        <v>163</v>
      </c>
      <c r="D162" s="42">
        <f>SOJA!D162</f>
        <v>3.0743478260869561</v>
      </c>
      <c r="E162" s="46">
        <f>SOJA!E162</f>
        <v>1.9037661503071333</v>
      </c>
      <c r="F162" s="44">
        <f t="shared" si="19"/>
        <v>239.82698460916961</v>
      </c>
      <c r="G162" s="44">
        <f t="shared" si="25"/>
        <v>1.9037661503071335</v>
      </c>
      <c r="H162" s="44">
        <f t="shared" si="23"/>
        <v>263.22492159624159</v>
      </c>
      <c r="I162" s="35">
        <f t="shared" si="21"/>
        <v>0.2</v>
      </c>
      <c r="J162" s="45">
        <f t="shared" si="20"/>
        <v>191.86158768733571</v>
      </c>
      <c r="K162" s="63">
        <f t="shared" si="24"/>
        <v>210.57993727699329</v>
      </c>
      <c r="L162" s="47">
        <f t="shared" si="27"/>
        <v>134.93062583816888</v>
      </c>
      <c r="M162" s="47">
        <f t="shared" si="27"/>
        <v>207.19614896976259</v>
      </c>
    </row>
    <row r="163" spans="1:13" x14ac:dyDescent="0.15">
      <c r="A163" s="40">
        <v>38869</v>
      </c>
      <c r="B163" s="12" t="s">
        <v>4</v>
      </c>
      <c r="C163" s="65">
        <v>184</v>
      </c>
      <c r="D163" s="42">
        <f>SOJA!D163</f>
        <v>3.100454545454546</v>
      </c>
      <c r="E163" s="46">
        <f>SOJA!E163</f>
        <v>1.9129947106434397</v>
      </c>
      <c r="F163" s="44">
        <f t="shared" si="19"/>
        <v>271.70677302438094</v>
      </c>
      <c r="G163" s="44">
        <f t="shared" si="25"/>
        <v>1.91299471064344</v>
      </c>
      <c r="H163" s="44">
        <f t="shared" si="23"/>
        <v>298.21495751640271</v>
      </c>
      <c r="I163" s="35">
        <f t="shared" si="21"/>
        <v>0.2</v>
      </c>
      <c r="J163" s="45">
        <f t="shared" si="20"/>
        <v>217.36541841950475</v>
      </c>
      <c r="K163" s="63">
        <f t="shared" si="24"/>
        <v>238.57196601312216</v>
      </c>
      <c r="L163" s="47">
        <f t="shared" si="27"/>
        <v>134.93062583816888</v>
      </c>
      <c r="M163" s="47">
        <f t="shared" si="27"/>
        <v>207.19614896976259</v>
      </c>
    </row>
    <row r="164" spans="1:13" x14ac:dyDescent="0.15">
      <c r="A164" s="40">
        <v>38899</v>
      </c>
      <c r="B164" s="12" t="s">
        <v>4</v>
      </c>
      <c r="C164" s="65">
        <v>182</v>
      </c>
      <c r="D164" s="42">
        <f>SOJA!D164</f>
        <v>3.1014285714285719</v>
      </c>
      <c r="E164" s="46">
        <f>SOJA!E164</f>
        <v>1.9247986831666224</v>
      </c>
      <c r="F164" s="44">
        <f t="shared" si="19"/>
        <v>267.18920057560325</v>
      </c>
      <c r="G164" s="44">
        <f t="shared" si="25"/>
        <v>1.9247986831666226</v>
      </c>
      <c r="H164" s="44">
        <f t="shared" si="23"/>
        <v>293.25664285647105</v>
      </c>
      <c r="I164" s="35">
        <f t="shared" si="21"/>
        <v>0.2</v>
      </c>
      <c r="J164" s="45">
        <f t="shared" si="20"/>
        <v>213.7513604604826</v>
      </c>
      <c r="K164" s="63">
        <f t="shared" si="24"/>
        <v>234.60531428517686</v>
      </c>
      <c r="L164" s="47">
        <f t="shared" ref="L164:M179" si="28">+L163</f>
        <v>134.93062583816888</v>
      </c>
      <c r="M164" s="47">
        <f t="shared" si="28"/>
        <v>207.19614896976259</v>
      </c>
    </row>
    <row r="165" spans="1:13" x14ac:dyDescent="0.15">
      <c r="A165" s="40">
        <v>38930</v>
      </c>
      <c r="B165" s="12" t="s">
        <v>3</v>
      </c>
      <c r="C165" s="65">
        <v>178</v>
      </c>
      <c r="D165" s="42">
        <f>SOJA!D165</f>
        <v>3.0960869565217393</v>
      </c>
      <c r="E165" s="46">
        <f>SOJA!E165</f>
        <v>1.9356368761197265</v>
      </c>
      <c r="F165" s="44">
        <f t="shared" si="19"/>
        <v>259.40617307349436</v>
      </c>
      <c r="G165" s="44">
        <f t="shared" si="25"/>
        <v>1.9356368761197267</v>
      </c>
      <c r="H165" s="44">
        <f t="shared" si="23"/>
        <v>284.71428967898095</v>
      </c>
      <c r="I165" s="35">
        <f t="shared" si="21"/>
        <v>0.2</v>
      </c>
      <c r="J165" s="45">
        <f t="shared" si="20"/>
        <v>207.5249384587955</v>
      </c>
      <c r="K165" s="63">
        <f t="shared" si="24"/>
        <v>227.77143174318476</v>
      </c>
      <c r="L165" s="47">
        <f t="shared" si="28"/>
        <v>134.93062583816888</v>
      </c>
      <c r="M165" s="47">
        <f t="shared" si="28"/>
        <v>207.19614896976259</v>
      </c>
    </row>
    <row r="166" spans="1:13" x14ac:dyDescent="0.15">
      <c r="A166" s="40">
        <v>38961</v>
      </c>
      <c r="B166" s="12" t="s">
        <v>5</v>
      </c>
      <c r="C166" s="65">
        <v>182</v>
      </c>
      <c r="D166" s="42">
        <f>SOJA!D166</f>
        <v>3.1157619047619041</v>
      </c>
      <c r="E166" s="46">
        <f>SOJA!E166</f>
        <v>1.9530209083811412</v>
      </c>
      <c r="F166" s="44">
        <f t="shared" si="19"/>
        <v>264.54514785036929</v>
      </c>
      <c r="G166" s="44">
        <f t="shared" si="25"/>
        <v>1.9530209083811414</v>
      </c>
      <c r="H166" s="44">
        <f t="shared" si="23"/>
        <v>290.35463175696856</v>
      </c>
      <c r="I166" s="35">
        <f t="shared" si="21"/>
        <v>0.2</v>
      </c>
      <c r="J166" s="45">
        <f t="shared" si="20"/>
        <v>211.63611828029545</v>
      </c>
      <c r="K166" s="63">
        <f t="shared" si="24"/>
        <v>232.28370540557486</v>
      </c>
      <c r="L166" s="47">
        <f t="shared" si="28"/>
        <v>134.93062583816888</v>
      </c>
      <c r="M166" s="47">
        <f t="shared" si="28"/>
        <v>207.19614896976259</v>
      </c>
    </row>
    <row r="167" spans="1:13" x14ac:dyDescent="0.15">
      <c r="A167" s="40">
        <v>38991</v>
      </c>
      <c r="B167" s="12" t="s">
        <v>6</v>
      </c>
      <c r="C167" s="65">
        <v>200</v>
      </c>
      <c r="D167" s="42">
        <f>SOJA!D167</f>
        <v>3.1163636363636367</v>
      </c>
      <c r="E167" s="46">
        <f>SOJA!E167</f>
        <v>1.9693607475488095</v>
      </c>
      <c r="F167" s="44">
        <f t="shared" si="19"/>
        <v>288.35261101577873</v>
      </c>
      <c r="G167" s="44">
        <f t="shared" si="25"/>
        <v>1.9693607475488097</v>
      </c>
      <c r="H167" s="44">
        <f t="shared" si="23"/>
        <v>316.48479236142583</v>
      </c>
      <c r="I167" s="35">
        <f t="shared" si="21"/>
        <v>0.2</v>
      </c>
      <c r="J167" s="45">
        <f t="shared" si="20"/>
        <v>230.68208881262299</v>
      </c>
      <c r="K167" s="63">
        <f t="shared" si="24"/>
        <v>253.18783388914068</v>
      </c>
      <c r="L167" s="47">
        <f t="shared" si="28"/>
        <v>134.93062583816888</v>
      </c>
      <c r="M167" s="47">
        <f t="shared" si="28"/>
        <v>207.19614896976259</v>
      </c>
    </row>
    <row r="168" spans="1:13" x14ac:dyDescent="0.15">
      <c r="A168" s="40">
        <v>39022</v>
      </c>
      <c r="B168" s="12" t="s">
        <v>7</v>
      </c>
      <c r="C168" s="65">
        <v>205</v>
      </c>
      <c r="D168" s="42">
        <f>SOJA!D168</f>
        <v>3.095454545454547</v>
      </c>
      <c r="E168" s="46">
        <f>SOJA!E168</f>
        <v>1.9836733563010711</v>
      </c>
      <c r="F168" s="44">
        <f t="shared" si="19"/>
        <v>291.46014325471958</v>
      </c>
      <c r="G168" s="44">
        <f t="shared" si="25"/>
        <v>1.9836733563010713</v>
      </c>
      <c r="H168" s="44">
        <f t="shared" si="23"/>
        <v>319.89550084064888</v>
      </c>
      <c r="I168" s="35">
        <f t="shared" si="21"/>
        <v>0.2</v>
      </c>
      <c r="J168" s="45">
        <f t="shared" si="20"/>
        <v>233.16811460377568</v>
      </c>
      <c r="K168" s="63">
        <f t="shared" si="24"/>
        <v>255.9164006725191</v>
      </c>
      <c r="L168" s="47">
        <f t="shared" si="28"/>
        <v>134.93062583816888</v>
      </c>
      <c r="M168" s="47">
        <f t="shared" si="28"/>
        <v>207.19614896976259</v>
      </c>
    </row>
    <row r="169" spans="1:13" x14ac:dyDescent="0.15">
      <c r="A169" s="40">
        <v>39052</v>
      </c>
      <c r="B169" s="12" t="s">
        <v>25</v>
      </c>
      <c r="C169" s="65">
        <v>194</v>
      </c>
      <c r="D169" s="42">
        <f>SOJA!D169</f>
        <v>3.0812499999999998</v>
      </c>
      <c r="E169" s="46">
        <f>SOJA!E169</f>
        <v>2.0031102056057049</v>
      </c>
      <c r="F169" s="44">
        <f t="shared" si="19"/>
        <v>271.89102060058769</v>
      </c>
      <c r="G169" s="44">
        <f t="shared" si="25"/>
        <v>2.0031102056057053</v>
      </c>
      <c r="H169" s="44">
        <f t="shared" si="23"/>
        <v>298.41718060602017</v>
      </c>
      <c r="I169" s="35">
        <f t="shared" si="21"/>
        <v>0.2</v>
      </c>
      <c r="J169" s="45">
        <f t="shared" si="20"/>
        <v>217.51281648047018</v>
      </c>
      <c r="K169" s="63">
        <f t="shared" si="24"/>
        <v>238.73374448481616</v>
      </c>
      <c r="L169" s="47">
        <f t="shared" si="28"/>
        <v>134.93062583816888</v>
      </c>
      <c r="M169" s="47">
        <f t="shared" si="28"/>
        <v>207.19614896976259</v>
      </c>
    </row>
    <row r="170" spans="1:13" x14ac:dyDescent="0.15">
      <c r="A170" s="40">
        <v>39083</v>
      </c>
      <c r="B170" s="12" t="s">
        <v>13</v>
      </c>
      <c r="C170" s="65">
        <v>192</v>
      </c>
      <c r="D170" s="42">
        <f>SOJA!D170</f>
        <v>3.101818181818182</v>
      </c>
      <c r="E170" s="46">
        <f>SOJA!E170</f>
        <v>2.0560169817915055</v>
      </c>
      <c r="F170" s="44">
        <f t="shared" si="19"/>
        <v>263.91368493755721</v>
      </c>
      <c r="G170" s="44">
        <f t="shared" si="25"/>
        <v>2.0560169817915059</v>
      </c>
      <c r="H170" s="44">
        <f t="shared" si="23"/>
        <v>289.66156222608657</v>
      </c>
      <c r="I170" s="35">
        <f t="shared" si="21"/>
        <v>0.2</v>
      </c>
      <c r="J170" s="45">
        <f t="shared" si="20"/>
        <v>211.13094795004574</v>
      </c>
      <c r="K170" s="63">
        <f t="shared" si="24"/>
        <v>231.72924978086928</v>
      </c>
      <c r="L170" s="47">
        <f t="shared" si="28"/>
        <v>134.93062583816888</v>
      </c>
      <c r="M170" s="47">
        <f t="shared" si="28"/>
        <v>207.19614896976259</v>
      </c>
    </row>
    <row r="171" spans="1:13" x14ac:dyDescent="0.15">
      <c r="A171" s="40">
        <v>39114</v>
      </c>
      <c r="B171" s="12" t="s">
        <v>1</v>
      </c>
      <c r="C171" s="65">
        <v>180</v>
      </c>
      <c r="D171" s="42">
        <f>SOJA!D171</f>
        <v>3.12</v>
      </c>
      <c r="E171" s="46">
        <f>SOJA!E171</f>
        <v>2.0636076270593779</v>
      </c>
      <c r="F171" s="44">
        <f t="shared" si="19"/>
        <v>247.95394179715893</v>
      </c>
      <c r="G171" s="44">
        <f t="shared" si="25"/>
        <v>2.0636076270593784</v>
      </c>
      <c r="H171" s="44">
        <f t="shared" si="23"/>
        <v>272.14475883686998</v>
      </c>
      <c r="I171" s="35">
        <f t="shared" si="21"/>
        <v>0.2</v>
      </c>
      <c r="J171" s="45">
        <f t="shared" si="20"/>
        <v>198.36315343772716</v>
      </c>
      <c r="K171" s="63">
        <f t="shared" si="24"/>
        <v>217.71580706949601</v>
      </c>
      <c r="L171" s="47">
        <f t="shared" si="28"/>
        <v>134.93062583816888</v>
      </c>
      <c r="M171" s="47">
        <f t="shared" si="28"/>
        <v>207.19614896976259</v>
      </c>
    </row>
    <row r="172" spans="1:13" x14ac:dyDescent="0.15">
      <c r="A172" s="40">
        <v>39142</v>
      </c>
      <c r="B172" s="12" t="s">
        <v>2</v>
      </c>
      <c r="C172" s="65">
        <v>188</v>
      </c>
      <c r="D172" s="42">
        <f>SOJA!D172</f>
        <v>3.1197727272727267</v>
      </c>
      <c r="E172" s="46">
        <f>SOJA!E172</f>
        <v>2.0817824498126796</v>
      </c>
      <c r="F172" s="44">
        <f t="shared" si="19"/>
        <v>256.6944657496897</v>
      </c>
      <c r="G172" s="44">
        <f t="shared" si="25"/>
        <v>2.08178244981268</v>
      </c>
      <c r="H172" s="44">
        <f t="shared" si="23"/>
        <v>281.7380234808146</v>
      </c>
      <c r="I172" s="35">
        <f t="shared" si="21"/>
        <v>0.2</v>
      </c>
      <c r="J172" s="45">
        <f t="shared" si="20"/>
        <v>205.35557259975178</v>
      </c>
      <c r="K172" s="63">
        <f t="shared" si="24"/>
        <v>225.3904187846517</v>
      </c>
      <c r="L172" s="47">
        <f t="shared" si="28"/>
        <v>134.93062583816888</v>
      </c>
      <c r="M172" s="47">
        <f t="shared" si="28"/>
        <v>207.19614896976259</v>
      </c>
    </row>
    <row r="173" spans="1:13" x14ac:dyDescent="0.15">
      <c r="A173" s="40">
        <v>39173</v>
      </c>
      <c r="B173" s="12" t="s">
        <v>3</v>
      </c>
      <c r="C173" s="65">
        <v>205</v>
      </c>
      <c r="D173" s="42">
        <f>SOJA!D173</f>
        <v>3.1123809523809522</v>
      </c>
      <c r="E173" s="46">
        <f>SOJA!E173</f>
        <v>2.1018101805124889</v>
      </c>
      <c r="F173" s="44">
        <f t="shared" si="19"/>
        <v>276.58215783177639</v>
      </c>
      <c r="G173" s="44">
        <f t="shared" si="25"/>
        <v>2.1018101805124894</v>
      </c>
      <c r="H173" s="44">
        <f t="shared" si="23"/>
        <v>303.56599332986434</v>
      </c>
      <c r="I173" s="35">
        <f t="shared" si="21"/>
        <v>0.2</v>
      </c>
      <c r="J173" s="45">
        <f t="shared" si="20"/>
        <v>221.26572626542108</v>
      </c>
      <c r="K173" s="63">
        <f t="shared" si="24"/>
        <v>242.85279466389147</v>
      </c>
      <c r="L173" s="47">
        <f t="shared" si="28"/>
        <v>134.93062583816888</v>
      </c>
      <c r="M173" s="47">
        <f t="shared" si="28"/>
        <v>207.19614896976259</v>
      </c>
    </row>
    <row r="174" spans="1:13" x14ac:dyDescent="0.15">
      <c r="A174" s="40">
        <v>39203</v>
      </c>
      <c r="B174" s="12" t="s">
        <v>2</v>
      </c>
      <c r="C174" s="65">
        <v>210</v>
      </c>
      <c r="D174" s="42">
        <f>SOJA!D174</f>
        <v>3.1021739130434787</v>
      </c>
      <c r="E174" s="46">
        <f>SOJA!E174</f>
        <v>2.1211122506298321</v>
      </c>
      <c r="F174" s="44">
        <f t="shared" ref="F174:F233" si="29">+(C174*(D174/E174))/(AVERAGE(C$109)*AVERAGE(D$109)/AVERAGE(E$109))*100</f>
        <v>279.82906793835502</v>
      </c>
      <c r="G174" s="44">
        <f t="shared" si="25"/>
        <v>2.1211122506298326</v>
      </c>
      <c r="H174" s="44">
        <f t="shared" si="23"/>
        <v>307.12967762346864</v>
      </c>
      <c r="I174" s="35">
        <f t="shared" si="21"/>
        <v>0.2</v>
      </c>
      <c r="J174" s="45">
        <f t="shared" ref="J174:J237" si="30">+F174*(1-I174)/(F$109*(1-I$109))*100</f>
        <v>223.86325435068403</v>
      </c>
      <c r="K174" s="63">
        <f t="shared" si="24"/>
        <v>245.70374209877491</v>
      </c>
      <c r="L174" s="47">
        <f t="shared" si="28"/>
        <v>134.93062583816888</v>
      </c>
      <c r="M174" s="47">
        <f t="shared" si="28"/>
        <v>207.19614896976259</v>
      </c>
    </row>
    <row r="175" spans="1:13" x14ac:dyDescent="0.15">
      <c r="A175" s="40">
        <v>39234</v>
      </c>
      <c r="B175" s="12" t="s">
        <v>4</v>
      </c>
      <c r="C175" s="65">
        <v>226</v>
      </c>
      <c r="D175" s="42">
        <f>SOJA!D175</f>
        <v>3.0959523809523817</v>
      </c>
      <c r="E175" s="46">
        <f>SOJA!E175</f>
        <v>2.1406162494635268</v>
      </c>
      <c r="F175" s="44">
        <f t="shared" si="29"/>
        <v>297.80702316222158</v>
      </c>
      <c r="G175" s="44">
        <f t="shared" si="25"/>
        <v>2.1406162494635272</v>
      </c>
      <c r="H175" s="44">
        <f t="shared" si="23"/>
        <v>326.86159337087651</v>
      </c>
      <c r="I175" s="35">
        <f t="shared" si="21"/>
        <v>0.2</v>
      </c>
      <c r="J175" s="45">
        <f t="shared" si="30"/>
        <v>238.24561852977729</v>
      </c>
      <c r="K175" s="63">
        <f t="shared" si="24"/>
        <v>261.48927469670122</v>
      </c>
      <c r="L175" s="47">
        <f t="shared" si="28"/>
        <v>134.93062583816888</v>
      </c>
      <c r="M175" s="47">
        <f t="shared" si="28"/>
        <v>207.19614896976259</v>
      </c>
    </row>
    <row r="176" spans="1:13" x14ac:dyDescent="0.15">
      <c r="A176" s="40">
        <v>39264</v>
      </c>
      <c r="B176" s="12" t="s">
        <v>4</v>
      </c>
      <c r="C176" s="65">
        <v>238</v>
      </c>
      <c r="D176" s="42">
        <f>SOJA!D176</f>
        <v>3.1336363636363642</v>
      </c>
      <c r="E176" s="46">
        <f>SOJA!E176</f>
        <v>2.166428097870829</v>
      </c>
      <c r="F176" s="44">
        <f t="shared" si="29"/>
        <v>313.65507407856109</v>
      </c>
      <c r="G176" s="44">
        <f t="shared" si="25"/>
        <v>2.1664280978708295</v>
      </c>
      <c r="H176" s="44">
        <f t="shared" si="23"/>
        <v>344.25580764874405</v>
      </c>
      <c r="I176" s="35">
        <f t="shared" si="21"/>
        <v>0.2</v>
      </c>
      <c r="J176" s="45">
        <f t="shared" si="30"/>
        <v>250.92405926284886</v>
      </c>
      <c r="K176" s="63">
        <f t="shared" si="24"/>
        <v>275.40464611899523</v>
      </c>
      <c r="L176" s="47">
        <f t="shared" si="28"/>
        <v>134.93062583816888</v>
      </c>
      <c r="M176" s="47">
        <f t="shared" si="28"/>
        <v>207.19614896976259</v>
      </c>
    </row>
    <row r="177" spans="1:13" x14ac:dyDescent="0.15">
      <c r="A177" s="40">
        <v>39295</v>
      </c>
      <c r="B177" s="12" t="s">
        <v>3</v>
      </c>
      <c r="C177" s="65">
        <v>249</v>
      </c>
      <c r="D177" s="42">
        <f>SOJA!D177</f>
        <v>3.1830434782608701</v>
      </c>
      <c r="E177" s="46">
        <f>SOJA!E177</f>
        <v>2.1975934684989458</v>
      </c>
      <c r="F177" s="44">
        <f t="shared" si="29"/>
        <v>328.59852095076315</v>
      </c>
      <c r="G177" s="44">
        <f t="shared" si="25"/>
        <v>2.1975934684989462</v>
      </c>
      <c r="H177" s="44">
        <f t="shared" si="23"/>
        <v>360.657163141426</v>
      </c>
      <c r="I177" s="35">
        <f t="shared" si="21"/>
        <v>0.2</v>
      </c>
      <c r="J177" s="45">
        <f t="shared" si="30"/>
        <v>262.8788167606105</v>
      </c>
      <c r="K177" s="63">
        <f t="shared" si="24"/>
        <v>288.52573051314079</v>
      </c>
      <c r="L177" s="47">
        <f t="shared" si="28"/>
        <v>134.93062583816888</v>
      </c>
      <c r="M177" s="47">
        <f t="shared" si="28"/>
        <v>207.19614896976259</v>
      </c>
    </row>
    <row r="178" spans="1:13" x14ac:dyDescent="0.15">
      <c r="A178" s="40">
        <v>39326</v>
      </c>
      <c r="B178" s="12" t="s">
        <v>5</v>
      </c>
      <c r="C178" s="65">
        <v>266</v>
      </c>
      <c r="D178" s="42">
        <f>SOJA!D178</f>
        <v>3.1775000000000002</v>
      </c>
      <c r="E178" s="46">
        <f>SOJA!E178</f>
        <v>2.2307164301432154</v>
      </c>
      <c r="F178" s="44">
        <f t="shared" si="29"/>
        <v>345.21834948302217</v>
      </c>
      <c r="G178" s="44">
        <f t="shared" si="25"/>
        <v>2.2307164301432159</v>
      </c>
      <c r="H178" s="44">
        <f t="shared" si="23"/>
        <v>378.8984509993212</v>
      </c>
      <c r="I178" s="35">
        <f t="shared" si="21"/>
        <v>0.2</v>
      </c>
      <c r="J178" s="45">
        <f t="shared" si="30"/>
        <v>276.17467958641777</v>
      </c>
      <c r="K178" s="63">
        <f t="shared" si="24"/>
        <v>303.11876079945699</v>
      </c>
      <c r="L178" s="47">
        <f t="shared" si="28"/>
        <v>134.93062583816888</v>
      </c>
      <c r="M178" s="47">
        <f t="shared" si="28"/>
        <v>207.19614896976259</v>
      </c>
    </row>
    <row r="179" spans="1:13" x14ac:dyDescent="0.15">
      <c r="A179" s="40">
        <v>39356</v>
      </c>
      <c r="B179" s="12" t="s">
        <v>6</v>
      </c>
      <c r="C179" s="65">
        <v>274</v>
      </c>
      <c r="D179" s="42">
        <f>SOJA!D179</f>
        <v>3.1804347826086961</v>
      </c>
      <c r="E179" s="46">
        <f>SOJA!E179</f>
        <v>2.265917165216802</v>
      </c>
      <c r="F179" s="44">
        <f t="shared" si="29"/>
        <v>350.39997773499192</v>
      </c>
      <c r="G179" s="44">
        <f t="shared" si="25"/>
        <v>2.2659171652168024</v>
      </c>
      <c r="H179" s="44">
        <f t="shared" si="23"/>
        <v>384.58560789948541</v>
      </c>
      <c r="I179" s="35">
        <f>+I178</f>
        <v>0.2</v>
      </c>
      <c r="J179" s="45">
        <f t="shared" si="30"/>
        <v>280.31998218799356</v>
      </c>
      <c r="K179" s="63">
        <f t="shared" si="24"/>
        <v>307.66848631958834</v>
      </c>
      <c r="L179" s="47">
        <f t="shared" si="28"/>
        <v>134.93062583816888</v>
      </c>
      <c r="M179" s="47">
        <f t="shared" si="28"/>
        <v>207.19614896976259</v>
      </c>
    </row>
    <row r="180" spans="1:13" x14ac:dyDescent="0.15">
      <c r="A180" s="40">
        <v>39387</v>
      </c>
      <c r="B180" s="12" t="s">
        <v>7</v>
      </c>
      <c r="C180" s="65">
        <v>293</v>
      </c>
      <c r="D180" s="42">
        <f>SOJA!D180</f>
        <v>3.1514772727272713</v>
      </c>
      <c r="E180" s="46">
        <f>SOJA!E180</f>
        <v>2.3177439173822187</v>
      </c>
      <c r="F180" s="44">
        <f t="shared" si="29"/>
        <v>362.98392454159455</v>
      </c>
      <c r="G180" s="44">
        <f t="shared" si="25"/>
        <v>2.3177439173822192</v>
      </c>
      <c r="H180" s="44">
        <f t="shared" si="23"/>
        <v>398.39726640379115</v>
      </c>
      <c r="I180" s="35">
        <v>0.28000000000000003</v>
      </c>
      <c r="J180" s="45">
        <f t="shared" si="30"/>
        <v>261.34842566994809</v>
      </c>
      <c r="K180" s="63">
        <f t="shared" si="24"/>
        <v>286.84603181072964</v>
      </c>
      <c r="L180" s="47">
        <f t="shared" ref="L180:M195" si="31">+L179</f>
        <v>134.93062583816888</v>
      </c>
      <c r="M180" s="47">
        <f t="shared" si="31"/>
        <v>207.19614896976259</v>
      </c>
    </row>
    <row r="181" spans="1:13" x14ac:dyDescent="0.15">
      <c r="A181" s="40">
        <v>39417</v>
      </c>
      <c r="B181" s="12" t="s">
        <v>26</v>
      </c>
      <c r="C181" s="65">
        <v>296</v>
      </c>
      <c r="D181" s="42">
        <f>SOJA!D181</f>
        <v>3.1575000000000002</v>
      </c>
      <c r="E181" s="46">
        <f>SOJA!E181</f>
        <v>2.3923771130598572</v>
      </c>
      <c r="F181" s="44">
        <f t="shared" si="29"/>
        <v>355.93973541049183</v>
      </c>
      <c r="G181" s="44">
        <f t="shared" si="25"/>
        <v>2.3923771130598577</v>
      </c>
      <c r="H181" s="44">
        <f t="shared" si="23"/>
        <v>390.6658339514953</v>
      </c>
      <c r="I181" s="35">
        <f>+I180</f>
        <v>0.28000000000000003</v>
      </c>
      <c r="J181" s="45">
        <f t="shared" si="30"/>
        <v>256.27660949555411</v>
      </c>
      <c r="K181" s="63">
        <f t="shared" si="24"/>
        <v>281.27940044507659</v>
      </c>
      <c r="L181" s="47">
        <f t="shared" si="31"/>
        <v>134.93062583816888</v>
      </c>
      <c r="M181" s="47">
        <f t="shared" si="31"/>
        <v>207.19614896976259</v>
      </c>
    </row>
    <row r="182" spans="1:13" x14ac:dyDescent="0.15">
      <c r="A182" s="40">
        <v>39448</v>
      </c>
      <c r="B182" s="12" t="s">
        <v>14</v>
      </c>
      <c r="C182" s="65">
        <v>314</v>
      </c>
      <c r="D182" s="42">
        <f>SOJA!D182</f>
        <v>3.1640476190476194</v>
      </c>
      <c r="E182" s="46">
        <f>SOJA!E182</f>
        <v>2.446922891556957</v>
      </c>
      <c r="F182" s="44">
        <f t="shared" si="29"/>
        <v>369.93329198370446</v>
      </c>
      <c r="G182" s="44">
        <f t="shared" si="25"/>
        <v>2.4469228915569574</v>
      </c>
      <c r="H182" s="44">
        <f t="shared" si="23"/>
        <v>406.02462619849433</v>
      </c>
      <c r="I182" s="35">
        <f t="shared" ref="I182:I245" si="32">+I181</f>
        <v>0.28000000000000003</v>
      </c>
      <c r="J182" s="45">
        <f t="shared" si="30"/>
        <v>266.35197022826719</v>
      </c>
      <c r="K182" s="63">
        <f t="shared" si="24"/>
        <v>292.33773086291592</v>
      </c>
      <c r="L182" s="47">
        <f t="shared" si="31"/>
        <v>134.93062583816888</v>
      </c>
      <c r="M182" s="47">
        <f t="shared" si="31"/>
        <v>207.19614896976259</v>
      </c>
    </row>
    <row r="183" spans="1:13" x14ac:dyDescent="0.15">
      <c r="A183" s="40">
        <v>39479</v>
      </c>
      <c r="B183" s="12" t="s">
        <v>1</v>
      </c>
      <c r="C183" s="65">
        <v>345</v>
      </c>
      <c r="D183" s="42">
        <f>SOJA!D183</f>
        <v>3.1728571428571435</v>
      </c>
      <c r="E183" s="46">
        <f>SOJA!E183</f>
        <v>2.4730875485779258</v>
      </c>
      <c r="F183" s="44">
        <f t="shared" si="29"/>
        <v>403.27487452496075</v>
      </c>
      <c r="G183" s="44">
        <f t="shared" si="25"/>
        <v>2.4730875485779262</v>
      </c>
      <c r="H183" s="44">
        <f t="shared" si="23"/>
        <v>442.61907141748844</v>
      </c>
      <c r="I183" s="35">
        <f t="shared" si="32"/>
        <v>0.28000000000000003</v>
      </c>
      <c r="J183" s="45">
        <f t="shared" si="30"/>
        <v>290.35790965797173</v>
      </c>
      <c r="K183" s="63">
        <f t="shared" si="24"/>
        <v>318.68573142059165</v>
      </c>
      <c r="L183" s="47">
        <f t="shared" si="31"/>
        <v>134.93062583816888</v>
      </c>
      <c r="M183" s="47">
        <f t="shared" si="31"/>
        <v>207.19614896976259</v>
      </c>
    </row>
    <row r="184" spans="1:13" x14ac:dyDescent="0.15">
      <c r="A184" s="40">
        <v>39508</v>
      </c>
      <c r="B184" s="12" t="s">
        <v>2</v>
      </c>
      <c r="C184" s="65">
        <v>347</v>
      </c>
      <c r="D184" s="42">
        <f>SOJA!D184</f>
        <v>3.1726666666666676</v>
      </c>
      <c r="E184" s="46">
        <f>SOJA!E184</f>
        <v>2.5477943374637815</v>
      </c>
      <c r="F184" s="44">
        <f t="shared" si="29"/>
        <v>393.69563030111016</v>
      </c>
      <c r="G184" s="44">
        <f t="shared" si="25"/>
        <v>2.5477943374637819</v>
      </c>
      <c r="H184" s="44">
        <f t="shared" si="23"/>
        <v>432.10525949643437</v>
      </c>
      <c r="I184" s="35">
        <f t="shared" si="32"/>
        <v>0.28000000000000003</v>
      </c>
      <c r="J184" s="45">
        <f t="shared" si="30"/>
        <v>283.46085381679933</v>
      </c>
      <c r="K184" s="63">
        <f t="shared" si="24"/>
        <v>311.11578683743272</v>
      </c>
      <c r="L184" s="47">
        <f t="shared" si="31"/>
        <v>134.93062583816888</v>
      </c>
      <c r="M184" s="47">
        <f t="shared" si="31"/>
        <v>207.19614896976259</v>
      </c>
    </row>
    <row r="185" spans="1:13" x14ac:dyDescent="0.15">
      <c r="A185" s="40">
        <v>39539</v>
      </c>
      <c r="B185" s="12" t="s">
        <v>3</v>
      </c>
      <c r="C185" s="65">
        <v>372</v>
      </c>
      <c r="D185" s="42">
        <f>SOJA!D185</f>
        <v>3.186818181818182</v>
      </c>
      <c r="E185" s="46">
        <f>SOJA!E185</f>
        <v>2.6050694411765645</v>
      </c>
      <c r="F185" s="44">
        <f t="shared" si="29"/>
        <v>414.62163871470528</v>
      </c>
      <c r="G185" s="44">
        <f t="shared" si="25"/>
        <v>2.6050694411765649</v>
      </c>
      <c r="H185" s="44">
        <f t="shared" si="23"/>
        <v>455.07284562093702</v>
      </c>
      <c r="I185" s="35">
        <f t="shared" si="32"/>
        <v>0.28000000000000003</v>
      </c>
      <c r="J185" s="45">
        <f t="shared" si="30"/>
        <v>298.52757987458779</v>
      </c>
      <c r="K185" s="63">
        <f t="shared" si="24"/>
        <v>327.65244884707465</v>
      </c>
      <c r="L185" s="47">
        <f t="shared" si="31"/>
        <v>134.93062583816888</v>
      </c>
      <c r="M185" s="47">
        <f t="shared" si="31"/>
        <v>207.19614896976259</v>
      </c>
    </row>
    <row r="186" spans="1:13" x14ac:dyDescent="0.15">
      <c r="A186" s="40">
        <v>39569</v>
      </c>
      <c r="B186" s="12" t="s">
        <v>2</v>
      </c>
      <c r="C186" s="65">
        <v>353</v>
      </c>
      <c r="D186" s="42">
        <f>SOJA!D186</f>
        <v>3.1829999999999994</v>
      </c>
      <c r="E186" s="46">
        <f>SOJA!E186</f>
        <v>2.6614640183563356</v>
      </c>
      <c r="F186" s="44">
        <f t="shared" si="29"/>
        <v>384.64650167157833</v>
      </c>
      <c r="G186" s="44">
        <f t="shared" si="25"/>
        <v>2.6614640183563361</v>
      </c>
      <c r="H186" s="44">
        <f t="shared" si="23"/>
        <v>422.17328216742555</v>
      </c>
      <c r="I186" s="35">
        <f t="shared" si="32"/>
        <v>0.28000000000000003</v>
      </c>
      <c r="J186" s="45">
        <f t="shared" si="30"/>
        <v>276.94548120353642</v>
      </c>
      <c r="K186" s="63">
        <f t="shared" si="24"/>
        <v>303.9647631605464</v>
      </c>
      <c r="L186" s="47">
        <f t="shared" si="31"/>
        <v>134.93062583816888</v>
      </c>
      <c r="M186" s="47">
        <f t="shared" si="31"/>
        <v>207.19614896976259</v>
      </c>
    </row>
    <row r="187" spans="1:13" x14ac:dyDescent="0.15">
      <c r="A187" s="40">
        <v>39600</v>
      </c>
      <c r="B187" s="12" t="s">
        <v>4</v>
      </c>
      <c r="C187" s="65">
        <v>356</v>
      </c>
      <c r="D187" s="42">
        <f>SOJA!D187</f>
        <v>3.0738095238095235</v>
      </c>
      <c r="E187" s="46">
        <f>SOJA!E187</f>
        <v>2.6904331128688721</v>
      </c>
      <c r="F187" s="44">
        <f t="shared" si="29"/>
        <v>370.57472276955497</v>
      </c>
      <c r="G187" s="44">
        <f t="shared" si="25"/>
        <v>2.6904331128688725</v>
      </c>
      <c r="H187" s="44">
        <f t="shared" si="23"/>
        <v>406.72863608541365</v>
      </c>
      <c r="I187" s="35">
        <f t="shared" si="32"/>
        <v>0.28000000000000003</v>
      </c>
      <c r="J187" s="45">
        <f t="shared" si="30"/>
        <v>266.81380039407958</v>
      </c>
      <c r="K187" s="63">
        <f t="shared" si="24"/>
        <v>292.84461798149783</v>
      </c>
      <c r="L187" s="47">
        <f t="shared" si="31"/>
        <v>134.93062583816888</v>
      </c>
      <c r="M187" s="47">
        <f t="shared" si="31"/>
        <v>207.19614896976259</v>
      </c>
    </row>
    <row r="188" spans="1:13" x14ac:dyDescent="0.15">
      <c r="A188" s="40">
        <v>39630</v>
      </c>
      <c r="B188" s="12" t="s">
        <v>4</v>
      </c>
      <c r="C188" s="65">
        <v>331</v>
      </c>
      <c r="D188" s="42">
        <f>SOJA!D188</f>
        <v>3.046521739130434</v>
      </c>
      <c r="E188" s="46">
        <f>SOJA!E188</f>
        <v>2.7219237102945608</v>
      </c>
      <c r="F188" s="44">
        <f t="shared" si="29"/>
        <v>337.54164965902334</v>
      </c>
      <c r="G188" s="44">
        <f t="shared" si="25"/>
        <v>2.7219237102945613</v>
      </c>
      <c r="H188" s="44">
        <f t="shared" si="23"/>
        <v>370.47279901281536</v>
      </c>
      <c r="I188" s="35">
        <f t="shared" si="32"/>
        <v>0.28000000000000003</v>
      </c>
      <c r="J188" s="45">
        <f t="shared" si="30"/>
        <v>243.0299877544968</v>
      </c>
      <c r="K188" s="63">
        <f t="shared" si="24"/>
        <v>266.74041528922703</v>
      </c>
      <c r="L188" s="47">
        <f t="shared" si="31"/>
        <v>134.93062583816888</v>
      </c>
      <c r="M188" s="47">
        <f t="shared" si="31"/>
        <v>207.19614896976259</v>
      </c>
    </row>
    <row r="189" spans="1:13" x14ac:dyDescent="0.15">
      <c r="A189" s="40">
        <v>39661</v>
      </c>
      <c r="B189" s="12" t="s">
        <v>3</v>
      </c>
      <c r="C189" s="65">
        <v>304</v>
      </c>
      <c r="D189" s="42">
        <f>SOJA!D189</f>
        <v>3.0538095238095231</v>
      </c>
      <c r="E189" s="46">
        <f>SOJA!E189</f>
        <v>2.7654872347125723</v>
      </c>
      <c r="F189" s="44">
        <f t="shared" si="29"/>
        <v>305.85452681017784</v>
      </c>
      <c r="G189" s="44">
        <f t="shared" si="25"/>
        <v>2.7654872347125727</v>
      </c>
      <c r="H189" s="44">
        <f t="shared" si="23"/>
        <v>335.69422544616543</v>
      </c>
      <c r="I189" s="35">
        <f t="shared" si="32"/>
        <v>0.28000000000000003</v>
      </c>
      <c r="J189" s="45">
        <f t="shared" si="30"/>
        <v>220.21525930332805</v>
      </c>
      <c r="K189" s="63">
        <f t="shared" si="24"/>
        <v>241.69984232123909</v>
      </c>
      <c r="L189" s="47">
        <f t="shared" si="31"/>
        <v>134.93062583816888</v>
      </c>
      <c r="M189" s="47">
        <f t="shared" si="31"/>
        <v>207.19614896976259</v>
      </c>
    </row>
    <row r="190" spans="1:13" x14ac:dyDescent="0.15">
      <c r="A190" s="40">
        <v>39692</v>
      </c>
      <c r="B190" s="12" t="s">
        <v>5</v>
      </c>
      <c r="C190" s="65">
        <v>282</v>
      </c>
      <c r="D190" s="42">
        <f>SOJA!D190</f>
        <v>3.0990909090909096</v>
      </c>
      <c r="E190" s="46">
        <f>SOJA!E190</f>
        <v>2.7850998521060863</v>
      </c>
      <c r="F190" s="44">
        <f t="shared" si="29"/>
        <v>285.89969772094804</v>
      </c>
      <c r="G190" s="44">
        <f t="shared" si="25"/>
        <v>2.7850998521060868</v>
      </c>
      <c r="H190" s="44">
        <f t="shared" si="23"/>
        <v>313.79256858699773</v>
      </c>
      <c r="I190" s="35">
        <f t="shared" si="32"/>
        <v>0.28000000000000003</v>
      </c>
      <c r="J190" s="45">
        <f t="shared" si="30"/>
        <v>205.84778235908257</v>
      </c>
      <c r="K190" s="63">
        <f t="shared" si="24"/>
        <v>225.93064938263836</v>
      </c>
      <c r="L190" s="47">
        <f t="shared" si="31"/>
        <v>134.93062583816888</v>
      </c>
      <c r="M190" s="47">
        <f t="shared" si="31"/>
        <v>207.19614896976259</v>
      </c>
    </row>
    <row r="191" spans="1:13" x14ac:dyDescent="0.15">
      <c r="A191" s="40">
        <v>39722</v>
      </c>
      <c r="B191" s="12" t="s">
        <v>6</v>
      </c>
      <c r="C191" s="65">
        <v>233</v>
      </c>
      <c r="D191" s="42">
        <f>SOJA!D191</f>
        <v>3.2601956521739135</v>
      </c>
      <c r="E191" s="46">
        <f>SOJA!E191</f>
        <v>2.8078337794407497</v>
      </c>
      <c r="F191" s="44">
        <f t="shared" si="29"/>
        <v>246.48995893669263</v>
      </c>
      <c r="G191" s="44">
        <f t="shared" si="25"/>
        <v>2.8078337794407502</v>
      </c>
      <c r="H191" s="44">
        <f t="shared" si="23"/>
        <v>270.53794726688562</v>
      </c>
      <c r="I191" s="35">
        <f t="shared" si="32"/>
        <v>0.28000000000000003</v>
      </c>
      <c r="J191" s="45">
        <f t="shared" si="30"/>
        <v>177.47277043441869</v>
      </c>
      <c r="K191" s="63">
        <f t="shared" si="24"/>
        <v>194.78732203215765</v>
      </c>
      <c r="L191" s="47">
        <f t="shared" si="31"/>
        <v>134.93062583816888</v>
      </c>
      <c r="M191" s="47">
        <f t="shared" si="31"/>
        <v>207.19614896976259</v>
      </c>
    </row>
    <row r="192" spans="1:13" x14ac:dyDescent="0.15">
      <c r="A192" s="40">
        <v>39753</v>
      </c>
      <c r="B192" s="12" t="s">
        <v>7</v>
      </c>
      <c r="C192" s="65">
        <v>188</v>
      </c>
      <c r="D192" s="42">
        <f>SOJA!D192</f>
        <v>3.3424999999999998</v>
      </c>
      <c r="E192" s="46">
        <f>SOJA!E192</f>
        <v>2.8257058004116025</v>
      </c>
      <c r="F192" s="44">
        <f t="shared" si="29"/>
        <v>202.61582586342416</v>
      </c>
      <c r="G192" s="44">
        <f t="shared" si="25"/>
        <v>2.8257058004116029</v>
      </c>
      <c r="H192" s="44">
        <f t="shared" si="23"/>
        <v>222.38337760019687</v>
      </c>
      <c r="I192" s="35">
        <f t="shared" si="32"/>
        <v>0.28000000000000003</v>
      </c>
      <c r="J192" s="45">
        <f t="shared" si="30"/>
        <v>145.88339462166539</v>
      </c>
      <c r="K192" s="63">
        <f t="shared" si="24"/>
        <v>160.11603187214175</v>
      </c>
      <c r="L192" s="47">
        <f t="shared" si="31"/>
        <v>134.93062583816888</v>
      </c>
      <c r="M192" s="47">
        <f t="shared" si="31"/>
        <v>207.19614896976259</v>
      </c>
    </row>
    <row r="193" spans="1:13" x14ac:dyDescent="0.15">
      <c r="A193" s="40">
        <v>39783</v>
      </c>
      <c r="B193" s="12" t="s">
        <v>27</v>
      </c>
      <c r="C193" s="65">
        <v>175</v>
      </c>
      <c r="D193" s="42">
        <f>SOJA!D193</f>
        <v>3.441363636363636</v>
      </c>
      <c r="E193" s="46">
        <f>SOJA!E193</f>
        <v>2.8498370439172263</v>
      </c>
      <c r="F193" s="44">
        <f t="shared" si="29"/>
        <v>192.53940645436407</v>
      </c>
      <c r="G193" s="44">
        <f t="shared" si="25"/>
        <v>2.8498370439172267</v>
      </c>
      <c r="H193" s="44">
        <f t="shared" si="23"/>
        <v>211.3238852197081</v>
      </c>
      <c r="I193" s="35">
        <f t="shared" si="32"/>
        <v>0.28000000000000003</v>
      </c>
      <c r="J193" s="45">
        <f t="shared" si="30"/>
        <v>138.62837264714213</v>
      </c>
      <c r="K193" s="63">
        <f t="shared" si="24"/>
        <v>152.15319735818983</v>
      </c>
      <c r="L193" s="47">
        <f t="shared" si="31"/>
        <v>134.93062583816888</v>
      </c>
      <c r="M193" s="47">
        <f t="shared" si="31"/>
        <v>207.19614896976259</v>
      </c>
    </row>
    <row r="194" spans="1:13" x14ac:dyDescent="0.15">
      <c r="A194" s="40">
        <v>39814</v>
      </c>
      <c r="B194" s="12" t="s">
        <v>15</v>
      </c>
      <c r="C194" s="65">
        <v>211</v>
      </c>
      <c r="D194" s="42">
        <f>SOJA!D194</f>
        <v>3.4767476190476185</v>
      </c>
      <c r="E194" s="46">
        <f>SOJA!E194</f>
        <v>2.8934660063598896</v>
      </c>
      <c r="F194" s="44">
        <f t="shared" si="29"/>
        <v>230.99803139128375</v>
      </c>
      <c r="G194" s="44">
        <f t="shared" si="25"/>
        <v>2.89346600635989</v>
      </c>
      <c r="H194" s="44">
        <f t="shared" ref="H194:H257" si="33">+(C194*D194)/G194</f>
        <v>253.53460037428997</v>
      </c>
      <c r="I194" s="35">
        <f t="shared" si="32"/>
        <v>0.28000000000000003</v>
      </c>
      <c r="J194" s="45">
        <f t="shared" si="30"/>
        <v>166.3185826017243</v>
      </c>
      <c r="K194" s="63">
        <f t="shared" ref="K194:K257" si="34">+H194*(1-I194)</f>
        <v>182.54491226948878</v>
      </c>
      <c r="L194" s="47">
        <f t="shared" si="31"/>
        <v>134.93062583816888</v>
      </c>
      <c r="M194" s="47">
        <f t="shared" si="31"/>
        <v>207.19614896976259</v>
      </c>
    </row>
    <row r="195" spans="1:13" x14ac:dyDescent="0.15">
      <c r="A195" s="40">
        <v>39845</v>
      </c>
      <c r="B195" s="12" t="s">
        <v>1</v>
      </c>
      <c r="C195" s="65">
        <v>217</v>
      </c>
      <c r="D195" s="42">
        <f>SOJA!D195</f>
        <v>3.5269999999999997</v>
      </c>
      <c r="E195" s="46">
        <f>SOJA!E195</f>
        <v>2.9176817522478338</v>
      </c>
      <c r="F195" s="44">
        <f t="shared" si="29"/>
        <v>239.00022857773092</v>
      </c>
      <c r="G195" s="44">
        <f t="shared" ref="G195:G258" si="35">+E195/AVERAGE(E$2:E$13)</f>
        <v>2.9176817522478342</v>
      </c>
      <c r="H195" s="44">
        <f t="shared" si="33"/>
        <v>262.31750581102744</v>
      </c>
      <c r="I195" s="35">
        <f t="shared" si="32"/>
        <v>0.28000000000000003</v>
      </c>
      <c r="J195" s="45">
        <f t="shared" si="30"/>
        <v>172.08016457596625</v>
      </c>
      <c r="K195" s="63">
        <f t="shared" si="34"/>
        <v>188.86860418393977</v>
      </c>
      <c r="L195" s="47">
        <f t="shared" si="31"/>
        <v>134.93062583816888</v>
      </c>
      <c r="M195" s="47">
        <f t="shared" si="31"/>
        <v>207.19614896976259</v>
      </c>
    </row>
    <row r="196" spans="1:13" x14ac:dyDescent="0.15">
      <c r="A196" s="40">
        <v>39873</v>
      </c>
      <c r="B196" s="12" t="s">
        <v>2</v>
      </c>
      <c r="C196" s="65">
        <v>212</v>
      </c>
      <c r="D196" s="42">
        <f>SOJA!D196</f>
        <v>3.6718181818181819</v>
      </c>
      <c r="E196" s="46">
        <f>SOJA!E196</f>
        <v>2.9546179892047939</v>
      </c>
      <c r="F196" s="44">
        <f t="shared" si="29"/>
        <v>240.041721794735</v>
      </c>
      <c r="G196" s="44">
        <f t="shared" si="35"/>
        <v>2.9546179892047943</v>
      </c>
      <c r="H196" s="44">
        <f t="shared" si="33"/>
        <v>263.4606089144404</v>
      </c>
      <c r="I196" s="35">
        <f t="shared" si="32"/>
        <v>0.28000000000000003</v>
      </c>
      <c r="J196" s="45">
        <f t="shared" si="30"/>
        <v>172.8300396922092</v>
      </c>
      <c r="K196" s="63">
        <f t="shared" si="34"/>
        <v>189.69163841839708</v>
      </c>
      <c r="L196" s="47">
        <f t="shared" ref="L196:M211" si="36">+L195</f>
        <v>134.93062583816888</v>
      </c>
      <c r="M196" s="47">
        <f t="shared" si="36"/>
        <v>207.19614896976259</v>
      </c>
    </row>
    <row r="197" spans="1:13" x14ac:dyDescent="0.15">
      <c r="A197" s="40">
        <v>39904</v>
      </c>
      <c r="B197" s="12" t="s">
        <v>3</v>
      </c>
      <c r="C197" s="65">
        <v>209</v>
      </c>
      <c r="D197" s="42">
        <f>SOJA!D197</f>
        <v>3.7109523809523819</v>
      </c>
      <c r="E197" s="46">
        <f>SOJA!E197</f>
        <v>2.9905863274524642</v>
      </c>
      <c r="F197" s="44">
        <f t="shared" si="29"/>
        <v>236.29055707640015</v>
      </c>
      <c r="G197" s="44">
        <f t="shared" si="35"/>
        <v>2.9905863274524647</v>
      </c>
      <c r="H197" s="44">
        <f t="shared" si="33"/>
        <v>259.34347405370988</v>
      </c>
      <c r="I197" s="35">
        <f t="shared" si="32"/>
        <v>0.28000000000000003</v>
      </c>
      <c r="J197" s="45">
        <f t="shared" si="30"/>
        <v>170.12920109500811</v>
      </c>
      <c r="K197" s="63">
        <f t="shared" si="34"/>
        <v>186.7273013186711</v>
      </c>
      <c r="L197" s="47">
        <f t="shared" si="36"/>
        <v>134.93062583816888</v>
      </c>
      <c r="M197" s="47">
        <f t="shared" si="36"/>
        <v>207.19614896976259</v>
      </c>
    </row>
    <row r="198" spans="1:13" x14ac:dyDescent="0.15">
      <c r="A198" s="40">
        <v>39934</v>
      </c>
      <c r="B198" s="12" t="s">
        <v>2</v>
      </c>
      <c r="C198" s="65">
        <v>209</v>
      </c>
      <c r="D198" s="42">
        <f>SOJA!D198</f>
        <v>3.738500000000001</v>
      </c>
      <c r="E198" s="46">
        <f>SOJA!E198</f>
        <v>3.016321328786232</v>
      </c>
      <c r="F198" s="44">
        <f t="shared" si="29"/>
        <v>236.01364274623623</v>
      </c>
      <c r="G198" s="44">
        <f t="shared" si="35"/>
        <v>3.0163213287862325</v>
      </c>
      <c r="H198" s="44">
        <f t="shared" si="33"/>
        <v>259.03954348073853</v>
      </c>
      <c r="I198" s="35">
        <f t="shared" si="32"/>
        <v>0.28000000000000003</v>
      </c>
      <c r="J198" s="45">
        <f t="shared" si="30"/>
        <v>169.92982277729007</v>
      </c>
      <c r="K198" s="63">
        <f t="shared" si="34"/>
        <v>186.50847130613172</v>
      </c>
      <c r="L198" s="47">
        <f t="shared" si="36"/>
        <v>134.93062583816888</v>
      </c>
      <c r="M198" s="47">
        <f t="shared" si="36"/>
        <v>207.19614896976259</v>
      </c>
    </row>
    <row r="199" spans="1:13" x14ac:dyDescent="0.15">
      <c r="A199" s="40">
        <v>39965</v>
      </c>
      <c r="B199" s="12" t="s">
        <v>4</v>
      </c>
      <c r="C199" s="65">
        <v>233</v>
      </c>
      <c r="D199" s="42">
        <f>SOJA!D199</f>
        <v>3.7813636363636363</v>
      </c>
      <c r="E199" s="46">
        <f>SOJA!E199</f>
        <v>3.0373021831118563</v>
      </c>
      <c r="F199" s="44">
        <f t="shared" si="29"/>
        <v>264.29406105349011</v>
      </c>
      <c r="G199" s="44">
        <f t="shared" si="35"/>
        <v>3.0373021831118567</v>
      </c>
      <c r="H199" s="44">
        <f t="shared" si="33"/>
        <v>290.07904849626874</v>
      </c>
      <c r="I199" s="35">
        <f t="shared" si="32"/>
        <v>0.28000000000000003</v>
      </c>
      <c r="J199" s="45">
        <f t="shared" si="30"/>
        <v>190.29172395851288</v>
      </c>
      <c r="K199" s="63">
        <f t="shared" si="34"/>
        <v>208.85691491731347</v>
      </c>
      <c r="L199" s="47">
        <f t="shared" si="36"/>
        <v>134.93062583816888</v>
      </c>
      <c r="M199" s="47">
        <f t="shared" si="36"/>
        <v>207.19614896976259</v>
      </c>
    </row>
    <row r="200" spans="1:13" x14ac:dyDescent="0.15">
      <c r="A200" s="40">
        <v>39995</v>
      </c>
      <c r="B200" s="12" t="s">
        <v>4</v>
      </c>
      <c r="C200" s="65">
        <v>240</v>
      </c>
      <c r="D200" s="42">
        <f>SOJA!D200</f>
        <v>3.8213043478260862</v>
      </c>
      <c r="E200" s="46">
        <f>SOJA!E200</f>
        <v>3.0741214084616399</v>
      </c>
      <c r="F200" s="44">
        <f t="shared" si="29"/>
        <v>271.81467289105672</v>
      </c>
      <c r="G200" s="44">
        <f t="shared" si="35"/>
        <v>3.0741214084616404</v>
      </c>
      <c r="H200" s="44">
        <f t="shared" si="33"/>
        <v>298.33338428139854</v>
      </c>
      <c r="I200" s="35">
        <f t="shared" si="32"/>
        <v>0.28000000000000003</v>
      </c>
      <c r="J200" s="45">
        <f t="shared" si="30"/>
        <v>195.70656448156083</v>
      </c>
      <c r="K200" s="63">
        <f t="shared" si="34"/>
        <v>214.80003668260693</v>
      </c>
      <c r="L200" s="47">
        <f t="shared" si="36"/>
        <v>134.93062583816888</v>
      </c>
      <c r="M200" s="47">
        <f t="shared" si="36"/>
        <v>207.19614896976259</v>
      </c>
    </row>
    <row r="201" spans="1:13" x14ac:dyDescent="0.15">
      <c r="A201" s="40">
        <v>40026</v>
      </c>
      <c r="B201" s="12" t="s">
        <v>3</v>
      </c>
      <c r="C201" s="65">
        <v>235</v>
      </c>
      <c r="D201" s="42">
        <f>SOJA!D201</f>
        <v>3.8514285714285714</v>
      </c>
      <c r="E201" s="46">
        <f>SOJA!E201</f>
        <v>3.1148324411634105</v>
      </c>
      <c r="F201" s="44">
        <f t="shared" si="29"/>
        <v>264.74396134423637</v>
      </c>
      <c r="G201" s="44">
        <f t="shared" si="35"/>
        <v>3.114832441163411</v>
      </c>
      <c r="H201" s="44">
        <f t="shared" si="33"/>
        <v>290.57284184046148</v>
      </c>
      <c r="I201" s="35">
        <f t="shared" si="32"/>
        <v>0.28000000000000003</v>
      </c>
      <c r="J201" s="45">
        <f t="shared" si="30"/>
        <v>190.61565216785019</v>
      </c>
      <c r="K201" s="63">
        <f t="shared" si="34"/>
        <v>209.21244612513226</v>
      </c>
      <c r="L201" s="47">
        <f t="shared" si="36"/>
        <v>134.93062583816888</v>
      </c>
      <c r="M201" s="47">
        <f t="shared" si="36"/>
        <v>207.19614896976259</v>
      </c>
    </row>
    <row r="202" spans="1:13" x14ac:dyDescent="0.15">
      <c r="A202" s="40">
        <v>40057</v>
      </c>
      <c r="B202" s="12" t="s">
        <v>5</v>
      </c>
      <c r="C202" s="65">
        <v>219</v>
      </c>
      <c r="D202" s="42">
        <f>SOJA!D202</f>
        <v>3.8545454545454536</v>
      </c>
      <c r="E202" s="46">
        <f>SOJA!E202</f>
        <v>3.1536928413654786</v>
      </c>
      <c r="F202" s="44">
        <f t="shared" si="29"/>
        <v>243.87592856805944</v>
      </c>
      <c r="G202" s="44">
        <f t="shared" si="35"/>
        <v>3.153692841365479</v>
      </c>
      <c r="H202" s="44">
        <f t="shared" si="33"/>
        <v>267.66888755721629</v>
      </c>
      <c r="I202" s="35">
        <f t="shared" si="32"/>
        <v>0.28000000000000003</v>
      </c>
      <c r="J202" s="45">
        <f t="shared" si="30"/>
        <v>175.59066856900279</v>
      </c>
      <c r="K202" s="63">
        <f t="shared" si="34"/>
        <v>192.72159904119573</v>
      </c>
      <c r="L202" s="47">
        <f t="shared" si="36"/>
        <v>134.93062583816888</v>
      </c>
      <c r="M202" s="47">
        <f t="shared" si="36"/>
        <v>207.19614896976259</v>
      </c>
    </row>
    <row r="203" spans="1:13" x14ac:dyDescent="0.15">
      <c r="A203" s="40">
        <v>40087</v>
      </c>
      <c r="B203" s="12" t="s">
        <v>6</v>
      </c>
      <c r="C203" s="65">
        <v>217</v>
      </c>
      <c r="D203" s="42">
        <f>SOJA!D203</f>
        <v>3.8388636363636364</v>
      </c>
      <c r="E203" s="46">
        <f>SOJA!E203</f>
        <v>3.1887722501758722</v>
      </c>
      <c r="F203" s="44">
        <f t="shared" si="29"/>
        <v>238.01808642778067</v>
      </c>
      <c r="G203" s="44">
        <f t="shared" si="35"/>
        <v>3.1887722501758726</v>
      </c>
      <c r="H203" s="44">
        <f t="shared" si="33"/>
        <v>261.23954416781072</v>
      </c>
      <c r="I203" s="35">
        <f t="shared" si="32"/>
        <v>0.28000000000000003</v>
      </c>
      <c r="J203" s="45">
        <f t="shared" si="30"/>
        <v>171.37302222800207</v>
      </c>
      <c r="K203" s="63">
        <f t="shared" si="34"/>
        <v>188.09247180082372</v>
      </c>
      <c r="L203" s="47">
        <f t="shared" si="36"/>
        <v>134.93062583816888</v>
      </c>
      <c r="M203" s="47">
        <f t="shared" si="36"/>
        <v>207.19614896976259</v>
      </c>
    </row>
    <row r="204" spans="1:13" x14ac:dyDescent="0.15">
      <c r="A204" s="40">
        <v>40118</v>
      </c>
      <c r="B204" s="12" t="s">
        <v>7</v>
      </c>
      <c r="C204" s="65">
        <v>217</v>
      </c>
      <c r="D204" s="42">
        <f>SOJA!D204</f>
        <v>3.8219047619047606</v>
      </c>
      <c r="E204" s="46">
        <f>SOJA!E204</f>
        <v>3.2279681982824964</v>
      </c>
      <c r="F204" s="44">
        <f t="shared" si="29"/>
        <v>234.08920628578591</v>
      </c>
      <c r="G204" s="44">
        <f t="shared" si="35"/>
        <v>3.2279681982824968</v>
      </c>
      <c r="H204" s="44">
        <f t="shared" si="33"/>
        <v>256.92735565815258</v>
      </c>
      <c r="I204" s="35">
        <f t="shared" si="32"/>
        <v>0.28000000000000003</v>
      </c>
      <c r="J204" s="45">
        <f t="shared" si="30"/>
        <v>168.54422852576585</v>
      </c>
      <c r="K204" s="63">
        <f t="shared" si="34"/>
        <v>184.98769607386984</v>
      </c>
      <c r="L204" s="47">
        <f t="shared" si="36"/>
        <v>134.93062583816888</v>
      </c>
      <c r="M204" s="47">
        <f t="shared" si="36"/>
        <v>207.19614896976259</v>
      </c>
    </row>
    <row r="205" spans="1:13" x14ac:dyDescent="0.15">
      <c r="A205" s="40">
        <v>40148</v>
      </c>
      <c r="B205" s="12" t="s">
        <v>28</v>
      </c>
      <c r="C205" s="65">
        <v>230</v>
      </c>
      <c r="D205" s="42">
        <f>SOJA!D205</f>
        <v>3.8243478260869557</v>
      </c>
      <c r="E205" s="46">
        <f>SOJA!E205</f>
        <v>3.2924590840370964</v>
      </c>
      <c r="F205" s="44">
        <f t="shared" si="29"/>
        <v>243.40857625593847</v>
      </c>
      <c r="G205" s="44">
        <f t="shared" si="35"/>
        <v>3.2924590840370969</v>
      </c>
      <c r="H205" s="44">
        <f t="shared" si="33"/>
        <v>267.15593954214472</v>
      </c>
      <c r="I205" s="35">
        <f t="shared" si="32"/>
        <v>0.28000000000000003</v>
      </c>
      <c r="J205" s="45">
        <f t="shared" si="30"/>
        <v>175.25417490427569</v>
      </c>
      <c r="K205" s="63">
        <f t="shared" si="34"/>
        <v>192.35227647034418</v>
      </c>
      <c r="L205" s="47">
        <f t="shared" si="36"/>
        <v>134.93062583816888</v>
      </c>
      <c r="M205" s="47">
        <f t="shared" si="36"/>
        <v>207.19614896976259</v>
      </c>
    </row>
    <row r="206" spans="1:13" x14ac:dyDescent="0.15">
      <c r="A206" s="40">
        <v>40179</v>
      </c>
      <c r="B206" s="12" t="s">
        <v>16</v>
      </c>
      <c r="C206" s="65">
        <v>232</v>
      </c>
      <c r="D206" s="42">
        <f>SOJA!D206</f>
        <v>3.829047619047619</v>
      </c>
      <c r="E206" s="46">
        <f>SOJA!E206</f>
        <v>3.3745532753699323</v>
      </c>
      <c r="F206" s="44">
        <f t="shared" si="29"/>
        <v>239.84656630048411</v>
      </c>
      <c r="G206" s="44">
        <f t="shared" si="35"/>
        <v>3.3745532753699328</v>
      </c>
      <c r="H206" s="44">
        <f t="shared" si="33"/>
        <v>263.24641371135687</v>
      </c>
      <c r="I206" s="35">
        <f t="shared" si="32"/>
        <v>0.28000000000000003</v>
      </c>
      <c r="J206" s="45">
        <f t="shared" si="30"/>
        <v>172.68952773634857</v>
      </c>
      <c r="K206" s="63">
        <f t="shared" si="34"/>
        <v>189.53741787217695</v>
      </c>
      <c r="L206" s="47">
        <f t="shared" si="36"/>
        <v>134.93062583816888</v>
      </c>
      <c r="M206" s="47">
        <f t="shared" si="36"/>
        <v>207.19614896976259</v>
      </c>
    </row>
    <row r="207" spans="1:13" x14ac:dyDescent="0.15">
      <c r="A207" s="40">
        <v>40210</v>
      </c>
      <c r="B207" s="12" t="s">
        <v>1</v>
      </c>
      <c r="C207" s="65">
        <v>225</v>
      </c>
      <c r="D207" s="42">
        <f>SOJA!D207</f>
        <v>3.8731578947368432</v>
      </c>
      <c r="E207" s="46">
        <f>SOJA!E207</f>
        <v>3.4527698770150042</v>
      </c>
      <c r="F207" s="44">
        <f t="shared" si="29"/>
        <v>229.95937943571877</v>
      </c>
      <c r="G207" s="44">
        <f t="shared" si="35"/>
        <v>3.4527698770150046</v>
      </c>
      <c r="H207" s="44">
        <f t="shared" si="33"/>
        <v>252.39461573071486</v>
      </c>
      <c r="I207" s="35">
        <f t="shared" si="32"/>
        <v>0.28000000000000003</v>
      </c>
      <c r="J207" s="45">
        <f t="shared" si="30"/>
        <v>165.57075319371751</v>
      </c>
      <c r="K207" s="63">
        <f t="shared" si="34"/>
        <v>181.72412332611469</v>
      </c>
      <c r="L207" s="47">
        <f t="shared" si="36"/>
        <v>134.93062583816888</v>
      </c>
      <c r="M207" s="47">
        <f t="shared" si="36"/>
        <v>207.19614896976259</v>
      </c>
    </row>
    <row r="208" spans="1:13" x14ac:dyDescent="0.15">
      <c r="A208" s="40">
        <v>40238</v>
      </c>
      <c r="B208" s="12" t="s">
        <v>2</v>
      </c>
      <c r="C208" s="65">
        <v>215</v>
      </c>
      <c r="D208" s="42">
        <f>SOJA!D208</f>
        <v>3.8808695652173908</v>
      </c>
      <c r="E208" s="46">
        <f>SOJA!E208</f>
        <v>3.5439095697738785</v>
      </c>
      <c r="F208" s="44">
        <f t="shared" si="29"/>
        <v>214.51413624487677</v>
      </c>
      <c r="G208" s="44">
        <f t="shared" si="35"/>
        <v>3.5439095697738789</v>
      </c>
      <c r="H208" s="44">
        <f t="shared" si="33"/>
        <v>235.44250779936732</v>
      </c>
      <c r="I208" s="35">
        <f t="shared" si="32"/>
        <v>0.28000000000000003</v>
      </c>
      <c r="J208" s="45">
        <f t="shared" si="30"/>
        <v>154.45017809631128</v>
      </c>
      <c r="K208" s="63">
        <f t="shared" si="34"/>
        <v>169.51860561554446</v>
      </c>
      <c r="L208" s="47">
        <f t="shared" si="36"/>
        <v>134.93062583816888</v>
      </c>
      <c r="M208" s="47">
        <f t="shared" si="36"/>
        <v>207.19614896976259</v>
      </c>
    </row>
    <row r="209" spans="1:13" x14ac:dyDescent="0.15">
      <c r="A209" s="40">
        <v>40269</v>
      </c>
      <c r="B209" s="12" t="s">
        <v>3</v>
      </c>
      <c r="C209" s="65">
        <v>220</v>
      </c>
      <c r="D209" s="42">
        <f>SOJA!D209</f>
        <v>3.8927272727272735</v>
      </c>
      <c r="E209" s="46">
        <f>SOJA!E209</f>
        <v>3.6045967842793014</v>
      </c>
      <c r="F209" s="44">
        <f t="shared" si="29"/>
        <v>216.46665676954439</v>
      </c>
      <c r="G209" s="44">
        <f t="shared" si="35"/>
        <v>3.6045967842793019</v>
      </c>
      <c r="H209" s="44">
        <f t="shared" si="33"/>
        <v>237.58551961623292</v>
      </c>
      <c r="I209" s="35">
        <f t="shared" si="32"/>
        <v>0.28000000000000003</v>
      </c>
      <c r="J209" s="45">
        <f t="shared" si="30"/>
        <v>155.85599287407194</v>
      </c>
      <c r="K209" s="63">
        <f t="shared" si="34"/>
        <v>171.06157412368771</v>
      </c>
      <c r="L209" s="47">
        <f t="shared" si="36"/>
        <v>134.93062583816888</v>
      </c>
      <c r="M209" s="47">
        <f t="shared" si="36"/>
        <v>207.19614896976259</v>
      </c>
    </row>
    <row r="210" spans="1:13" x14ac:dyDescent="0.15">
      <c r="A210" s="40">
        <v>40299</v>
      </c>
      <c r="B210" s="12" t="s">
        <v>2</v>
      </c>
      <c r="C210" s="65">
        <v>227</v>
      </c>
      <c r="D210" s="42">
        <f>SOJA!D210</f>
        <v>3.9185000000000016</v>
      </c>
      <c r="E210" s="46">
        <f>SOJA!E210</f>
        <v>3.652207036722086</v>
      </c>
      <c r="F210" s="44">
        <f t="shared" si="29"/>
        <v>221.90207402603704</v>
      </c>
      <c r="G210" s="44">
        <f t="shared" si="35"/>
        <v>3.6522070367220865</v>
      </c>
      <c r="H210" s="44">
        <f t="shared" si="33"/>
        <v>243.55122561680955</v>
      </c>
      <c r="I210" s="35">
        <f t="shared" si="32"/>
        <v>0.28000000000000003</v>
      </c>
      <c r="J210" s="45">
        <f t="shared" si="30"/>
        <v>159.76949329874665</v>
      </c>
      <c r="K210" s="63">
        <f t="shared" si="34"/>
        <v>175.35688244410287</v>
      </c>
      <c r="L210" s="47">
        <f t="shared" si="36"/>
        <v>134.93062583816888</v>
      </c>
      <c r="M210" s="47">
        <f t="shared" si="36"/>
        <v>207.19614896976259</v>
      </c>
    </row>
    <row r="211" spans="1:13" x14ac:dyDescent="0.15">
      <c r="A211" s="40">
        <v>40330</v>
      </c>
      <c r="B211" s="12" t="s">
        <v>4</v>
      </c>
      <c r="C211" s="65">
        <v>227</v>
      </c>
      <c r="D211" s="42">
        <f>SOJA!D211</f>
        <v>3.9459090909090917</v>
      </c>
      <c r="E211" s="46">
        <f>SOJA!E211</f>
        <v>3.7083609801231829</v>
      </c>
      <c r="F211" s="44">
        <f t="shared" si="29"/>
        <v>220.07057181281894</v>
      </c>
      <c r="G211" s="44">
        <f t="shared" si="35"/>
        <v>3.7083609801231834</v>
      </c>
      <c r="H211" s="44">
        <f t="shared" si="33"/>
        <v>241.54103886796099</v>
      </c>
      <c r="I211" s="35">
        <f t="shared" si="32"/>
        <v>0.28000000000000003</v>
      </c>
      <c r="J211" s="45">
        <f t="shared" si="30"/>
        <v>158.45081170522963</v>
      </c>
      <c r="K211" s="63">
        <f t="shared" si="34"/>
        <v>173.90954798493192</v>
      </c>
      <c r="L211" s="47">
        <f t="shared" si="36"/>
        <v>134.93062583816888</v>
      </c>
      <c r="M211" s="47">
        <f t="shared" si="36"/>
        <v>207.19614896976259</v>
      </c>
    </row>
    <row r="212" spans="1:13" x14ac:dyDescent="0.15">
      <c r="A212" s="40">
        <v>40360</v>
      </c>
      <c r="B212" s="12" t="s">
        <v>4</v>
      </c>
      <c r="C212" s="65">
        <v>229</v>
      </c>
      <c r="D212" s="42">
        <f>SOJA!D212</f>
        <v>3.9540909090909078</v>
      </c>
      <c r="E212" s="46">
        <f>SOJA!E212</f>
        <v>3.7746286156846667</v>
      </c>
      <c r="F212" s="44">
        <f t="shared" si="29"/>
        <v>218.56415911548476</v>
      </c>
      <c r="G212" s="44">
        <f t="shared" si="35"/>
        <v>3.7746286156846671</v>
      </c>
      <c r="H212" s="44">
        <f t="shared" si="33"/>
        <v>239.88765793256053</v>
      </c>
      <c r="I212" s="35">
        <f t="shared" si="32"/>
        <v>0.28000000000000003</v>
      </c>
      <c r="J212" s="45">
        <f t="shared" si="30"/>
        <v>157.36619456314901</v>
      </c>
      <c r="K212" s="63">
        <f t="shared" si="34"/>
        <v>172.71911371144358</v>
      </c>
      <c r="L212" s="47">
        <f t="shared" ref="L212:M227" si="37">+L211</f>
        <v>134.93062583816888</v>
      </c>
      <c r="M212" s="47">
        <f t="shared" si="37"/>
        <v>207.19614896976259</v>
      </c>
    </row>
    <row r="213" spans="1:13" x14ac:dyDescent="0.15">
      <c r="A213" s="40">
        <v>40391</v>
      </c>
      <c r="B213" s="12" t="s">
        <v>3</v>
      </c>
      <c r="C213" s="65">
        <v>269</v>
      </c>
      <c r="D213" s="42">
        <f>SOJA!D213</f>
        <v>3.9588636363636365</v>
      </c>
      <c r="E213" s="46">
        <f>SOJA!E213</f>
        <v>3.8355438350078437</v>
      </c>
      <c r="F213" s="44">
        <f t="shared" si="29"/>
        <v>252.96877296287312</v>
      </c>
      <c r="G213" s="44">
        <f t="shared" si="35"/>
        <v>3.8355438350078441</v>
      </c>
      <c r="H213" s="44">
        <f t="shared" si="33"/>
        <v>277.64884563746364</v>
      </c>
      <c r="I213" s="35">
        <f t="shared" si="32"/>
        <v>0.28000000000000003</v>
      </c>
      <c r="J213" s="45">
        <f t="shared" si="30"/>
        <v>182.13751653326864</v>
      </c>
      <c r="K213" s="63">
        <f t="shared" si="34"/>
        <v>199.90716885897382</v>
      </c>
      <c r="L213" s="47">
        <f t="shared" si="37"/>
        <v>134.93062583816888</v>
      </c>
      <c r="M213" s="47">
        <f t="shared" si="37"/>
        <v>207.19614896976259</v>
      </c>
    </row>
    <row r="214" spans="1:13" x14ac:dyDescent="0.15">
      <c r="A214" s="40">
        <v>40422</v>
      </c>
      <c r="B214" s="12" t="s">
        <v>5</v>
      </c>
      <c r="C214" s="65">
        <v>292</v>
      </c>
      <c r="D214" s="42">
        <f>SOJA!D214</f>
        <v>3.9720454545454533</v>
      </c>
      <c r="E214" s="46">
        <f>SOJA!E214</f>
        <v>3.9011879927864554</v>
      </c>
      <c r="F214" s="44">
        <f t="shared" si="29"/>
        <v>270.87643456069264</v>
      </c>
      <c r="G214" s="44">
        <f t="shared" si="35"/>
        <v>3.9011879927864559</v>
      </c>
      <c r="H214" s="44">
        <f t="shared" si="33"/>
        <v>297.3036097906292</v>
      </c>
      <c r="I214" s="35">
        <f t="shared" si="32"/>
        <v>0.28000000000000003</v>
      </c>
      <c r="J214" s="45">
        <f t="shared" si="30"/>
        <v>195.03103288369869</v>
      </c>
      <c r="K214" s="63">
        <f t="shared" si="34"/>
        <v>214.05859904925302</v>
      </c>
      <c r="L214" s="47">
        <f t="shared" si="37"/>
        <v>134.93062583816888</v>
      </c>
      <c r="M214" s="47">
        <f t="shared" si="37"/>
        <v>207.19614896976259</v>
      </c>
    </row>
    <row r="215" spans="1:13" x14ac:dyDescent="0.15">
      <c r="A215" s="40">
        <v>40452</v>
      </c>
      <c r="B215" s="12" t="s">
        <v>6</v>
      </c>
      <c r="C215" s="65">
        <v>297</v>
      </c>
      <c r="D215" s="42">
        <f>SOJA!D215</f>
        <v>3.9762499999999998</v>
      </c>
      <c r="E215" s="46">
        <f>SOJA!E215</f>
        <v>3.9856148223013856</v>
      </c>
      <c r="F215" s="44">
        <f t="shared" si="29"/>
        <v>269.96399612609702</v>
      </c>
      <c r="G215" s="44">
        <f t="shared" si="35"/>
        <v>3.9856148223013861</v>
      </c>
      <c r="H215" s="44">
        <f t="shared" si="33"/>
        <v>296.30215227825107</v>
      </c>
      <c r="I215" s="35">
        <f t="shared" si="32"/>
        <v>0.28000000000000003</v>
      </c>
      <c r="J215" s="45">
        <f t="shared" si="30"/>
        <v>194.37407721078984</v>
      </c>
      <c r="K215" s="63">
        <f t="shared" si="34"/>
        <v>213.33754964034077</v>
      </c>
      <c r="L215" s="47">
        <f t="shared" si="37"/>
        <v>134.93062583816888</v>
      </c>
      <c r="M215" s="47">
        <f t="shared" si="37"/>
        <v>207.19614896976259</v>
      </c>
    </row>
    <row r="216" spans="1:13" x14ac:dyDescent="0.15">
      <c r="A216" s="40">
        <v>40483</v>
      </c>
      <c r="B216" s="12" t="s">
        <v>7</v>
      </c>
      <c r="C216" s="65">
        <v>298</v>
      </c>
      <c r="D216" s="42">
        <f>SOJA!D216</f>
        <v>3.9885227272727275</v>
      </c>
      <c r="E216" s="46">
        <f>SOJA!E216</f>
        <v>4.0533007857478616</v>
      </c>
      <c r="F216" s="44">
        <f t="shared" si="29"/>
        <v>267.1717556245062</v>
      </c>
      <c r="G216" s="44">
        <f t="shared" si="35"/>
        <v>4.0533007857478625</v>
      </c>
      <c r="H216" s="44">
        <f t="shared" si="33"/>
        <v>293.2374959456584</v>
      </c>
      <c r="I216" s="35">
        <f t="shared" si="32"/>
        <v>0.28000000000000003</v>
      </c>
      <c r="J216" s="45">
        <f t="shared" si="30"/>
        <v>192.36366404964446</v>
      </c>
      <c r="K216" s="63">
        <f t="shared" si="34"/>
        <v>211.13099708087404</v>
      </c>
      <c r="L216" s="47">
        <f t="shared" si="37"/>
        <v>134.93062583816888</v>
      </c>
      <c r="M216" s="47">
        <f t="shared" si="37"/>
        <v>207.19614896976259</v>
      </c>
    </row>
    <row r="217" spans="1:13" x14ac:dyDescent="0.15">
      <c r="A217" s="40">
        <v>40513</v>
      </c>
      <c r="B217" s="12" t="s">
        <v>29</v>
      </c>
      <c r="C217" s="65">
        <v>299</v>
      </c>
      <c r="D217" s="42">
        <f>SOJA!D217</f>
        <v>4.0023</v>
      </c>
      <c r="E217" s="46">
        <f>SOJA!E217</f>
        <v>4.1175779395066838</v>
      </c>
      <c r="F217" s="44">
        <f t="shared" si="29"/>
        <v>264.79515883569655</v>
      </c>
      <c r="G217" s="44">
        <f t="shared" si="35"/>
        <v>4.1175779395066847</v>
      </c>
      <c r="H217" s="44">
        <f t="shared" si="33"/>
        <v>290.62903424807342</v>
      </c>
      <c r="I217" s="35">
        <f t="shared" si="32"/>
        <v>0.28000000000000003</v>
      </c>
      <c r="J217" s="45">
        <f t="shared" si="30"/>
        <v>190.65251436170152</v>
      </c>
      <c r="K217" s="63">
        <f t="shared" si="34"/>
        <v>209.25290465861286</v>
      </c>
      <c r="L217" s="47">
        <f t="shared" si="37"/>
        <v>134.93062583816888</v>
      </c>
      <c r="M217" s="47">
        <f t="shared" si="37"/>
        <v>207.19614896976259</v>
      </c>
    </row>
    <row r="218" spans="1:13" x14ac:dyDescent="0.15">
      <c r="A218" s="40">
        <v>40544</v>
      </c>
      <c r="B218" s="12" t="s">
        <v>17</v>
      </c>
      <c r="C218" s="65">
        <v>319</v>
      </c>
      <c r="D218" s="42">
        <f>SOJA!D218</f>
        <v>4.0171428571428578</v>
      </c>
      <c r="E218" s="46">
        <f>SOJA!E218</f>
        <v>4.1989893003904371</v>
      </c>
      <c r="F218" s="44">
        <f t="shared" si="29"/>
        <v>278.05725650362325</v>
      </c>
      <c r="G218" s="44">
        <f t="shared" si="35"/>
        <v>4.1989893003904379</v>
      </c>
      <c r="H218" s="44">
        <f t="shared" si="33"/>
        <v>305.18500518908581</v>
      </c>
      <c r="I218" s="35">
        <f t="shared" si="32"/>
        <v>0.28000000000000003</v>
      </c>
      <c r="J218" s="45">
        <f t="shared" si="30"/>
        <v>200.20122468260871</v>
      </c>
      <c r="K218" s="63">
        <f t="shared" si="34"/>
        <v>219.73320373614177</v>
      </c>
      <c r="L218" s="47">
        <f t="shared" si="37"/>
        <v>134.93062583816888</v>
      </c>
      <c r="M218" s="47">
        <f t="shared" si="37"/>
        <v>207.19614896976259</v>
      </c>
    </row>
    <row r="219" spans="1:13" x14ac:dyDescent="0.15">
      <c r="A219" s="40">
        <v>40575</v>
      </c>
      <c r="B219" s="12" t="s">
        <v>1</v>
      </c>
      <c r="C219" s="65">
        <v>350</v>
      </c>
      <c r="D219" s="42">
        <f>SOJA!D219</f>
        <v>4.0461904761904766</v>
      </c>
      <c r="E219" s="46">
        <f>SOJA!E219</f>
        <v>4.2693255250399886</v>
      </c>
      <c r="F219" s="44">
        <f t="shared" si="29"/>
        <v>302.22204504356807</v>
      </c>
      <c r="G219" s="44">
        <f t="shared" si="35"/>
        <v>4.2693255250399895</v>
      </c>
      <c r="H219" s="44">
        <f t="shared" si="33"/>
        <v>331.70735245197824</v>
      </c>
      <c r="I219" s="35">
        <f t="shared" si="32"/>
        <v>0.28000000000000003</v>
      </c>
      <c r="J219" s="45">
        <f t="shared" si="30"/>
        <v>217.59987243136896</v>
      </c>
      <c r="K219" s="63">
        <f t="shared" si="34"/>
        <v>238.82929376542432</v>
      </c>
      <c r="L219" s="47">
        <f t="shared" si="37"/>
        <v>134.93062583816888</v>
      </c>
      <c r="M219" s="47">
        <f t="shared" si="37"/>
        <v>207.19614896976259</v>
      </c>
    </row>
    <row r="220" spans="1:13" x14ac:dyDescent="0.15">
      <c r="A220" s="40">
        <v>40603</v>
      </c>
      <c r="B220" s="12" t="s">
        <v>2</v>
      </c>
      <c r="C220" s="65">
        <v>347</v>
      </c>
      <c r="D220" s="42">
        <f>SOJA!D220</f>
        <v>4.0627173913043473</v>
      </c>
      <c r="E220" s="46">
        <f>SOJA!E220</f>
        <v>4.3547120355407953</v>
      </c>
      <c r="F220" s="44">
        <f t="shared" si="29"/>
        <v>294.95630788487392</v>
      </c>
      <c r="G220" s="44">
        <f t="shared" si="35"/>
        <v>4.3547120355407962</v>
      </c>
      <c r="H220" s="44">
        <f t="shared" si="33"/>
        <v>323.73275736188492</v>
      </c>
      <c r="I220" s="35">
        <f t="shared" si="32"/>
        <v>0.28000000000000003</v>
      </c>
      <c r="J220" s="45">
        <f t="shared" si="30"/>
        <v>212.36854167710925</v>
      </c>
      <c r="K220" s="63">
        <f t="shared" si="34"/>
        <v>233.08758530055712</v>
      </c>
      <c r="L220" s="47">
        <f t="shared" si="37"/>
        <v>134.93062583816888</v>
      </c>
      <c r="M220" s="47">
        <f t="shared" si="37"/>
        <v>207.19614896976259</v>
      </c>
    </row>
    <row r="221" spans="1:13" x14ac:dyDescent="0.15">
      <c r="A221" s="40">
        <v>40634</v>
      </c>
      <c r="B221" s="12" t="s">
        <v>3</v>
      </c>
      <c r="C221" s="65">
        <v>350</v>
      </c>
      <c r="D221" s="42">
        <f>SOJA!D221</f>
        <v>4.0891071428571424</v>
      </c>
      <c r="E221" s="46">
        <f>SOJA!E221</f>
        <v>4.4548704123582246</v>
      </c>
      <c r="F221" s="44">
        <f t="shared" si="29"/>
        <v>292.70659056258711</v>
      </c>
      <c r="G221" s="44">
        <f t="shared" si="35"/>
        <v>4.4548704123582255</v>
      </c>
      <c r="H221" s="44">
        <f t="shared" si="33"/>
        <v>321.26355371185485</v>
      </c>
      <c r="I221" s="35">
        <f t="shared" si="32"/>
        <v>0.28000000000000003</v>
      </c>
      <c r="J221" s="45">
        <f t="shared" si="30"/>
        <v>210.7487452050627</v>
      </c>
      <c r="K221" s="63">
        <f t="shared" si="34"/>
        <v>231.30975867253548</v>
      </c>
      <c r="L221" s="47">
        <f t="shared" si="37"/>
        <v>134.93062583816888</v>
      </c>
      <c r="M221" s="47">
        <f t="shared" si="37"/>
        <v>207.19614896976259</v>
      </c>
    </row>
    <row r="222" spans="1:13" x14ac:dyDescent="0.15">
      <c r="A222" s="40">
        <v>40664</v>
      </c>
      <c r="B222" s="12" t="s">
        <v>2</v>
      </c>
      <c r="C222" s="65">
        <v>351</v>
      </c>
      <c r="D222" s="42">
        <f>SOJA!D222</f>
        <v>4.1158333333333355</v>
      </c>
      <c r="E222" s="46">
        <f>SOJA!E222</f>
        <v>4.5216934685436012</v>
      </c>
      <c r="F222" s="44">
        <f t="shared" si="29"/>
        <v>291.09505036534301</v>
      </c>
      <c r="G222" s="44">
        <f t="shared" si="35"/>
        <v>4.5216934685436021</v>
      </c>
      <c r="H222" s="44">
        <f t="shared" si="33"/>
        <v>319.49478885513935</v>
      </c>
      <c r="I222" s="35">
        <f t="shared" si="32"/>
        <v>0.28000000000000003</v>
      </c>
      <c r="J222" s="45">
        <f t="shared" si="30"/>
        <v>209.58843626304696</v>
      </c>
      <c r="K222" s="63">
        <f t="shared" si="34"/>
        <v>230.03624797570032</v>
      </c>
      <c r="L222" s="47">
        <f t="shared" si="37"/>
        <v>134.93062583816888</v>
      </c>
      <c r="M222" s="47">
        <f t="shared" si="37"/>
        <v>207.19614896976259</v>
      </c>
    </row>
    <row r="223" spans="1:13" x14ac:dyDescent="0.15">
      <c r="A223" s="40">
        <v>40695</v>
      </c>
      <c r="B223" s="12" t="s">
        <v>4</v>
      </c>
      <c r="C223" s="65">
        <v>344</v>
      </c>
      <c r="D223" s="42">
        <f>SOJA!D223</f>
        <v>4.1289204545454554</v>
      </c>
      <c r="E223" s="46">
        <f>SOJA!E223</f>
        <v>4.603083950977382</v>
      </c>
      <c r="F223" s="44">
        <f t="shared" si="29"/>
        <v>281.13641665748912</v>
      </c>
      <c r="G223" s="44">
        <f t="shared" si="35"/>
        <v>4.6030839509773829</v>
      </c>
      <c r="H223" s="44">
        <f t="shared" si="33"/>
        <v>308.56457355335675</v>
      </c>
      <c r="I223" s="35">
        <f t="shared" si="32"/>
        <v>0.28000000000000003</v>
      </c>
      <c r="J223" s="45">
        <f t="shared" si="30"/>
        <v>202.41821999339214</v>
      </c>
      <c r="K223" s="63">
        <f t="shared" si="34"/>
        <v>222.16649295841685</v>
      </c>
      <c r="L223" s="47">
        <f t="shared" si="37"/>
        <v>134.93062583816888</v>
      </c>
      <c r="M223" s="47">
        <f t="shared" si="37"/>
        <v>207.19614896976259</v>
      </c>
    </row>
    <row r="224" spans="1:13" x14ac:dyDescent="0.15">
      <c r="A224" s="40">
        <v>40725</v>
      </c>
      <c r="B224" s="12" t="s">
        <v>4</v>
      </c>
      <c r="C224" s="65">
        <v>314</v>
      </c>
      <c r="D224" s="42">
        <f>SOJA!D224</f>
        <v>4.15452380952381</v>
      </c>
      <c r="E224" s="46">
        <f>SOJA!E224</f>
        <v>4.6859394620949795</v>
      </c>
      <c r="F224" s="44">
        <f t="shared" si="29"/>
        <v>253.6443943795696</v>
      </c>
      <c r="G224" s="44">
        <f t="shared" si="35"/>
        <v>4.6859394620949804</v>
      </c>
      <c r="H224" s="44">
        <f t="shared" si="33"/>
        <v>278.39038185253332</v>
      </c>
      <c r="I224" s="35">
        <f t="shared" si="32"/>
        <v>0.28000000000000003</v>
      </c>
      <c r="J224" s="45">
        <f t="shared" si="30"/>
        <v>182.62396395329012</v>
      </c>
      <c r="K224" s="63">
        <f t="shared" si="34"/>
        <v>200.44107493382398</v>
      </c>
      <c r="L224" s="47">
        <f t="shared" si="37"/>
        <v>134.93062583816888</v>
      </c>
      <c r="M224" s="47">
        <f t="shared" si="37"/>
        <v>207.19614896976259</v>
      </c>
    </row>
    <row r="225" spans="1:13" x14ac:dyDescent="0.15">
      <c r="A225" s="40">
        <v>40756</v>
      </c>
      <c r="B225" s="12" t="s">
        <v>3</v>
      </c>
      <c r="C225" s="65">
        <v>295</v>
      </c>
      <c r="D225" s="42">
        <f>SOJA!D225</f>
        <v>4.1941304347826085</v>
      </c>
      <c r="E225" s="46">
        <f>SOJA!E225</f>
        <v>4.7735665300361525</v>
      </c>
      <c r="F225" s="44">
        <f t="shared" si="29"/>
        <v>236.15220815894878</v>
      </c>
      <c r="G225" s="44">
        <f t="shared" si="35"/>
        <v>4.7735665300361534</v>
      </c>
      <c r="H225" s="44">
        <f t="shared" si="33"/>
        <v>259.19162757568159</v>
      </c>
      <c r="I225" s="35">
        <f t="shared" si="32"/>
        <v>0.28000000000000003</v>
      </c>
      <c r="J225" s="45">
        <f t="shared" si="30"/>
        <v>170.0295898744431</v>
      </c>
      <c r="K225" s="63">
        <f t="shared" si="34"/>
        <v>186.61797185449075</v>
      </c>
      <c r="L225" s="47">
        <f t="shared" si="37"/>
        <v>134.93062583816888</v>
      </c>
      <c r="M225" s="47">
        <f t="shared" si="37"/>
        <v>207.19614896976259</v>
      </c>
    </row>
    <row r="226" spans="1:13" x14ac:dyDescent="0.15">
      <c r="A226" s="40">
        <v>40787</v>
      </c>
      <c r="B226" s="12" t="s">
        <v>5</v>
      </c>
      <c r="C226" s="65">
        <v>298</v>
      </c>
      <c r="D226" s="42">
        <f>SOJA!D226</f>
        <v>4.2370454545454557</v>
      </c>
      <c r="E226" s="46">
        <f>SOJA!E226</f>
        <v>4.8637869374538338</v>
      </c>
      <c r="F226" s="44">
        <f t="shared" si="29"/>
        <v>236.52436606682934</v>
      </c>
      <c r="G226" s="44">
        <f t="shared" si="35"/>
        <v>4.8637869374538347</v>
      </c>
      <c r="H226" s="44">
        <f t="shared" si="33"/>
        <v>259.60009385516599</v>
      </c>
      <c r="I226" s="35">
        <f t="shared" si="32"/>
        <v>0.28000000000000003</v>
      </c>
      <c r="J226" s="45">
        <f t="shared" si="30"/>
        <v>170.29754356811713</v>
      </c>
      <c r="K226" s="63">
        <f t="shared" si="34"/>
        <v>186.9120675757195</v>
      </c>
      <c r="L226" s="47">
        <f t="shared" si="37"/>
        <v>134.93062583816888</v>
      </c>
      <c r="M226" s="47">
        <f t="shared" si="37"/>
        <v>207.19614896976259</v>
      </c>
    </row>
    <row r="227" spans="1:13" x14ac:dyDescent="0.15">
      <c r="A227" s="40">
        <v>40817</v>
      </c>
      <c r="B227" s="12" t="s">
        <v>6</v>
      </c>
      <c r="C227" s="65">
        <v>261</v>
      </c>
      <c r="D227" s="42">
        <f>SOJA!D227</f>
        <v>4.2511904761904766</v>
      </c>
      <c r="E227" s="46">
        <f>SOJA!E227</f>
        <v>4.9362573628219053</v>
      </c>
      <c r="F227" s="44">
        <f t="shared" si="29"/>
        <v>204.7973435029744</v>
      </c>
      <c r="G227" s="44">
        <f t="shared" si="35"/>
        <v>4.9362573628219062</v>
      </c>
      <c r="H227" s="44">
        <f t="shared" si="33"/>
        <v>224.77772788803958</v>
      </c>
      <c r="I227" s="35">
        <f t="shared" si="32"/>
        <v>0.28000000000000003</v>
      </c>
      <c r="J227" s="45">
        <f t="shared" si="30"/>
        <v>147.45408732214156</v>
      </c>
      <c r="K227" s="63">
        <f t="shared" si="34"/>
        <v>161.83996407938849</v>
      </c>
      <c r="L227" s="47">
        <f t="shared" si="37"/>
        <v>134.93062583816888</v>
      </c>
      <c r="M227" s="47">
        <f t="shared" si="37"/>
        <v>207.19614896976259</v>
      </c>
    </row>
    <row r="228" spans="1:13" x14ac:dyDescent="0.15">
      <c r="A228" s="40">
        <v>40848</v>
      </c>
      <c r="B228" s="12" t="s">
        <v>7</v>
      </c>
      <c r="C228" s="65">
        <v>239</v>
      </c>
      <c r="D228" s="42">
        <f>SOJA!D228</f>
        <v>4.2813636363636363</v>
      </c>
      <c r="E228" s="46">
        <f>SOJA!E228</f>
        <v>5.0073394688465322</v>
      </c>
      <c r="F228" s="44">
        <f t="shared" si="29"/>
        <v>186.18471485284721</v>
      </c>
      <c r="G228" s="44">
        <f t="shared" si="35"/>
        <v>5.0073394688465331</v>
      </c>
      <c r="H228" s="44">
        <f t="shared" si="33"/>
        <v>204.34921887303543</v>
      </c>
      <c r="I228" s="35">
        <f t="shared" si="32"/>
        <v>0.28000000000000003</v>
      </c>
      <c r="J228" s="45">
        <f t="shared" si="30"/>
        <v>134.05299469404997</v>
      </c>
      <c r="K228" s="63">
        <f t="shared" si="34"/>
        <v>147.1314375885855</v>
      </c>
      <c r="L228" s="47">
        <f t="shared" ref="L228:M243" si="38">+L227</f>
        <v>134.93062583816888</v>
      </c>
      <c r="M228" s="47">
        <f t="shared" si="38"/>
        <v>207.19614896976259</v>
      </c>
    </row>
    <row r="229" spans="1:13" x14ac:dyDescent="0.15">
      <c r="A229" s="40">
        <v>40878</v>
      </c>
      <c r="B229" s="12" t="s">
        <v>30</v>
      </c>
      <c r="C229" s="65">
        <v>224</v>
      </c>
      <c r="D229" s="42">
        <f>SOJA!D229</f>
        <v>4.3081818181818186</v>
      </c>
      <c r="E229" s="46">
        <f>SOJA!E229</f>
        <v>5.1024789187546196</v>
      </c>
      <c r="F229" s="44">
        <f t="shared" si="29"/>
        <v>172.3184838510864</v>
      </c>
      <c r="G229" s="44">
        <f t="shared" si="35"/>
        <v>5.1024789187546205</v>
      </c>
      <c r="H229" s="44">
        <f t="shared" si="33"/>
        <v>189.13017430129162</v>
      </c>
      <c r="I229" s="35">
        <f t="shared" si="32"/>
        <v>0.28000000000000003</v>
      </c>
      <c r="J229" s="45">
        <f t="shared" si="30"/>
        <v>124.0693083727822</v>
      </c>
      <c r="K229" s="63">
        <f t="shared" si="34"/>
        <v>136.17372549692996</v>
      </c>
      <c r="L229" s="47">
        <f t="shared" si="38"/>
        <v>134.93062583816888</v>
      </c>
      <c r="M229" s="47">
        <f t="shared" si="38"/>
        <v>207.19614896976259</v>
      </c>
    </row>
    <row r="230" spans="1:13" x14ac:dyDescent="0.15">
      <c r="A230" s="40">
        <v>40909</v>
      </c>
      <c r="B230" s="12" t="s">
        <v>18</v>
      </c>
      <c r="C230" s="65">
        <v>249</v>
      </c>
      <c r="D230" s="42">
        <f>SOJA!D230</f>
        <v>4.3385227272727285</v>
      </c>
      <c r="E230" s="46">
        <f>SOJA!E230</f>
        <v>5.2045284971297114</v>
      </c>
      <c r="F230" s="44">
        <f t="shared" si="29"/>
        <v>189.11713288328468</v>
      </c>
      <c r="G230" s="44">
        <f t="shared" si="35"/>
        <v>5.2045284971297123</v>
      </c>
      <c r="H230" s="44">
        <f t="shared" si="33"/>
        <v>207.56772869755414</v>
      </c>
      <c r="I230" s="35">
        <f t="shared" si="32"/>
        <v>0.28000000000000003</v>
      </c>
      <c r="J230" s="45">
        <f t="shared" si="30"/>
        <v>136.16433567596496</v>
      </c>
      <c r="K230" s="63">
        <f t="shared" si="34"/>
        <v>149.44876466223897</v>
      </c>
      <c r="L230" s="47">
        <f t="shared" si="38"/>
        <v>134.93062583816888</v>
      </c>
      <c r="M230" s="47">
        <f t="shared" si="38"/>
        <v>207.19614896976259</v>
      </c>
    </row>
    <row r="231" spans="1:13" x14ac:dyDescent="0.15">
      <c r="A231" s="40">
        <v>40940</v>
      </c>
      <c r="B231" s="12" t="s">
        <v>1</v>
      </c>
      <c r="C231" s="65">
        <v>261</v>
      </c>
      <c r="D231" s="42">
        <f>SOJA!D231</f>
        <v>4.3640476190476205</v>
      </c>
      <c r="E231" s="46">
        <f>SOJA!E231</f>
        <v>5.2930054815809164</v>
      </c>
      <c r="F231" s="44">
        <f t="shared" si="29"/>
        <v>196.06437369841564</v>
      </c>
      <c r="G231" s="44">
        <f t="shared" si="35"/>
        <v>5.2930054815809173</v>
      </c>
      <c r="H231" s="44">
        <f t="shared" si="33"/>
        <v>215.19275438785812</v>
      </c>
      <c r="I231" s="35">
        <f t="shared" si="32"/>
        <v>0.28000000000000003</v>
      </c>
      <c r="J231" s="45">
        <f t="shared" si="30"/>
        <v>141.16634906285924</v>
      </c>
      <c r="K231" s="63">
        <f t="shared" si="34"/>
        <v>154.93878315925784</v>
      </c>
      <c r="L231" s="47">
        <f t="shared" si="38"/>
        <v>134.93062583816888</v>
      </c>
      <c r="M231" s="47">
        <f t="shared" si="38"/>
        <v>207.19614896976259</v>
      </c>
    </row>
    <row r="232" spans="1:13" x14ac:dyDescent="0.15">
      <c r="A232" s="40">
        <v>40969</v>
      </c>
      <c r="B232" s="12" t="s">
        <v>2</v>
      </c>
      <c r="C232" s="65">
        <v>260</v>
      </c>
      <c r="D232" s="42">
        <f>SOJA!D232</f>
        <v>4.3734090909090906</v>
      </c>
      <c r="E232" s="46">
        <f>SOJA!E232</f>
        <v>5.4147446076572772</v>
      </c>
      <c r="F232" s="44">
        <f t="shared" si="29"/>
        <v>191.33151744116327</v>
      </c>
      <c r="G232" s="44">
        <f t="shared" si="35"/>
        <v>5.4147446076572781</v>
      </c>
      <c r="H232" s="44">
        <f t="shared" si="33"/>
        <v>209.99815245733831</v>
      </c>
      <c r="I232" s="35">
        <f t="shared" si="32"/>
        <v>0.28000000000000003</v>
      </c>
      <c r="J232" s="45">
        <f t="shared" si="30"/>
        <v>137.75869255763754</v>
      </c>
      <c r="K232" s="63">
        <f t="shared" si="34"/>
        <v>151.19866976928358</v>
      </c>
      <c r="L232" s="47">
        <f t="shared" si="38"/>
        <v>134.93062583816888</v>
      </c>
      <c r="M232" s="47">
        <f t="shared" si="38"/>
        <v>207.19614896976259</v>
      </c>
    </row>
    <row r="233" spans="1:13" x14ac:dyDescent="0.15">
      <c r="A233" s="40">
        <v>41000</v>
      </c>
      <c r="B233" s="12" t="s">
        <v>3</v>
      </c>
      <c r="C233" s="65">
        <v>253</v>
      </c>
      <c r="D233" s="42">
        <f>SOJA!D233</f>
        <v>4.4112150000000003</v>
      </c>
      <c r="E233" s="46">
        <f>SOJA!E233</f>
        <v>5.5230394998104204</v>
      </c>
      <c r="F233" s="44">
        <f t="shared" si="29"/>
        <v>184.10756730254957</v>
      </c>
      <c r="G233" s="44">
        <f t="shared" si="35"/>
        <v>5.5230394998104213</v>
      </c>
      <c r="H233" s="44">
        <f t="shared" si="33"/>
        <v>202.06942120155182</v>
      </c>
      <c r="I233" s="35">
        <f t="shared" si="32"/>
        <v>0.28000000000000003</v>
      </c>
      <c r="J233" s="45">
        <f t="shared" si="30"/>
        <v>132.55744845783568</v>
      </c>
      <c r="K233" s="63">
        <f t="shared" si="34"/>
        <v>145.4899832651173</v>
      </c>
      <c r="L233" s="47">
        <f t="shared" si="38"/>
        <v>134.93062583816888</v>
      </c>
      <c r="M233" s="47">
        <f t="shared" si="38"/>
        <v>207.19614896976259</v>
      </c>
    </row>
    <row r="234" spans="1:13" x14ac:dyDescent="0.15">
      <c r="A234" s="40">
        <v>41030</v>
      </c>
      <c r="B234" s="12" t="s">
        <v>2</v>
      </c>
      <c r="C234" s="65">
        <v>252</v>
      </c>
      <c r="D234" s="42">
        <f>SOJA!D234</f>
        <v>4.4620833333333341</v>
      </c>
      <c r="E234" s="46">
        <f>SOJA!E234</f>
        <v>5.622454210807005</v>
      </c>
      <c r="F234" s="44">
        <f>+(C234*(D234/E234))/(AVERAGE(C$109)*AVERAGE(D$109)/AVERAGE(E$109))*100</f>
        <v>182.21466730351608</v>
      </c>
      <c r="G234" s="44">
        <f t="shared" si="35"/>
        <v>5.6224542108070059</v>
      </c>
      <c r="H234" s="44">
        <f t="shared" si="33"/>
        <v>199.99184659230966</v>
      </c>
      <c r="I234" s="35">
        <f t="shared" si="32"/>
        <v>0.28000000000000003</v>
      </c>
      <c r="J234" s="45">
        <f t="shared" si="30"/>
        <v>131.19456045853158</v>
      </c>
      <c r="K234" s="63">
        <f t="shared" si="34"/>
        <v>143.99412954646294</v>
      </c>
      <c r="L234" s="47">
        <f t="shared" si="38"/>
        <v>134.93062583816888</v>
      </c>
      <c r="M234" s="47">
        <f t="shared" si="38"/>
        <v>207.19614896976259</v>
      </c>
    </row>
    <row r="235" spans="1:13" x14ac:dyDescent="0.15">
      <c r="A235" s="40">
        <v>41061</v>
      </c>
      <c r="B235" s="12" t="s">
        <v>4</v>
      </c>
      <c r="C235" s="65">
        <v>265</v>
      </c>
      <c r="D235" s="42">
        <f>SOJA!D235</f>
        <v>4.512083333333333</v>
      </c>
      <c r="E235" s="46">
        <f>SOJA!E235</f>
        <v>5.7180359323907322</v>
      </c>
      <c r="F235" s="44">
        <f t="shared" ref="F235:F284" si="39">+(C235*(D235/E235))/(AVERAGE(C$109)*AVERAGE(D$109)/AVERAGE(E$109))*100</f>
        <v>190.52288438147045</v>
      </c>
      <c r="G235" s="44">
        <f t="shared" si="35"/>
        <v>5.718035932390733</v>
      </c>
      <c r="H235" s="44">
        <f t="shared" si="33"/>
        <v>209.11062775245725</v>
      </c>
      <c r="I235" s="35">
        <f t="shared" si="32"/>
        <v>0.28000000000000003</v>
      </c>
      <c r="J235" s="45">
        <f t="shared" si="30"/>
        <v>137.17647675465872</v>
      </c>
      <c r="K235" s="63">
        <f t="shared" si="34"/>
        <v>150.55965198176921</v>
      </c>
      <c r="L235" s="47">
        <f t="shared" si="38"/>
        <v>134.93062583816888</v>
      </c>
      <c r="M235" s="47">
        <f t="shared" si="38"/>
        <v>207.19614896976259</v>
      </c>
    </row>
    <row r="236" spans="1:13" x14ac:dyDescent="0.15">
      <c r="A236" s="40">
        <v>41091</v>
      </c>
      <c r="B236" s="12" t="s">
        <v>4</v>
      </c>
      <c r="C236" s="65">
        <v>307</v>
      </c>
      <c r="D236" s="42">
        <f>SOJA!D236</f>
        <v>4.5718181818181813</v>
      </c>
      <c r="E236" s="46">
        <f>SOJA!E236</f>
        <v>5.8209605791737591</v>
      </c>
      <c r="F236" s="44">
        <f t="shared" si="39"/>
        <v>219.68667197729647</v>
      </c>
      <c r="G236" s="44">
        <f t="shared" si="35"/>
        <v>5.82096057917376</v>
      </c>
      <c r="H236" s="44">
        <f t="shared" si="33"/>
        <v>241.11968509798851</v>
      </c>
      <c r="I236" s="35">
        <f t="shared" si="32"/>
        <v>0.28000000000000003</v>
      </c>
      <c r="J236" s="45">
        <f t="shared" si="30"/>
        <v>158.17440382365345</v>
      </c>
      <c r="K236" s="63">
        <f t="shared" si="34"/>
        <v>173.60617327055172</v>
      </c>
      <c r="L236" s="47">
        <f t="shared" si="38"/>
        <v>134.93062583816888</v>
      </c>
      <c r="M236" s="47">
        <f t="shared" si="38"/>
        <v>207.19614896976259</v>
      </c>
    </row>
    <row r="237" spans="1:13" x14ac:dyDescent="0.15">
      <c r="A237" s="40">
        <v>41122</v>
      </c>
      <c r="B237" s="12" t="s">
        <v>3</v>
      </c>
      <c r="C237" s="65">
        <v>337</v>
      </c>
      <c r="D237" s="42">
        <f>SOJA!D237</f>
        <v>4.624305555555555</v>
      </c>
      <c r="E237" s="46">
        <f>SOJA!E237</f>
        <v>5.9373797907572339</v>
      </c>
      <c r="F237" s="44">
        <f t="shared" si="39"/>
        <v>239.14022623542343</v>
      </c>
      <c r="G237" s="44">
        <f t="shared" si="35"/>
        <v>5.9373797907572348</v>
      </c>
      <c r="H237" s="44">
        <f t="shared" si="33"/>
        <v>262.4711618832572</v>
      </c>
      <c r="I237" s="35">
        <f t="shared" si="32"/>
        <v>0.28000000000000003</v>
      </c>
      <c r="J237" s="45">
        <f t="shared" si="30"/>
        <v>172.18096288950485</v>
      </c>
      <c r="K237" s="63">
        <f t="shared" si="34"/>
        <v>188.97923655594516</v>
      </c>
      <c r="L237" s="47">
        <f t="shared" si="38"/>
        <v>134.93062583816888</v>
      </c>
      <c r="M237" s="47">
        <f t="shared" si="38"/>
        <v>207.19614896976259</v>
      </c>
    </row>
    <row r="238" spans="1:13" x14ac:dyDescent="0.15">
      <c r="A238" s="40">
        <v>41153</v>
      </c>
      <c r="B238" s="12" t="s">
        <v>5</v>
      </c>
      <c r="C238" s="65">
        <v>332</v>
      </c>
      <c r="D238" s="42">
        <f>SOJA!D238</f>
        <v>4.6888749999999995</v>
      </c>
      <c r="E238" s="46">
        <f>SOJA!E238</f>
        <v>6.0561273865723866</v>
      </c>
      <c r="F238" s="44">
        <f t="shared" si="39"/>
        <v>234.19778277079263</v>
      </c>
      <c r="G238" s="44">
        <f t="shared" si="35"/>
        <v>6.0561273865723875</v>
      </c>
      <c r="H238" s="44">
        <f t="shared" si="33"/>
        <v>257.04652505353852</v>
      </c>
      <c r="I238" s="35">
        <f t="shared" si="32"/>
        <v>0.28000000000000003</v>
      </c>
      <c r="J238" s="45">
        <f t="shared" ref="J238:J285" si="40">+F238*(1-I238)/(F$109*(1-I$109))*100</f>
        <v>168.62240359497068</v>
      </c>
      <c r="K238" s="63">
        <f t="shared" si="34"/>
        <v>185.07349803854771</v>
      </c>
      <c r="L238" s="47">
        <f t="shared" si="38"/>
        <v>134.93062583816888</v>
      </c>
      <c r="M238" s="47">
        <f t="shared" si="38"/>
        <v>207.19614896976259</v>
      </c>
    </row>
    <row r="239" spans="1:13" x14ac:dyDescent="0.15">
      <c r="A239" s="40">
        <v>41183</v>
      </c>
      <c r="B239" s="12" t="s">
        <v>6</v>
      </c>
      <c r="C239" s="65">
        <v>330</v>
      </c>
      <c r="D239" s="42">
        <f>SOJA!D239</f>
        <v>4.7443478260869565</v>
      </c>
      <c r="E239" s="46">
        <f>SOJA!E239</f>
        <v>6.1590815521441096</v>
      </c>
      <c r="F239" s="44">
        <f t="shared" si="39"/>
        <v>231.60372953131065</v>
      </c>
      <c r="G239" s="44">
        <f t="shared" si="35"/>
        <v>6.1590815521441105</v>
      </c>
      <c r="H239" s="44">
        <f t="shared" si="33"/>
        <v>254.19939147642296</v>
      </c>
      <c r="I239" s="35">
        <f t="shared" si="32"/>
        <v>0.28000000000000003</v>
      </c>
      <c r="J239" s="45">
        <f t="shared" si="40"/>
        <v>166.75468526254366</v>
      </c>
      <c r="K239" s="63">
        <f t="shared" si="34"/>
        <v>183.02356186302453</v>
      </c>
      <c r="L239" s="47">
        <f t="shared" si="38"/>
        <v>134.93062583816888</v>
      </c>
      <c r="M239" s="47">
        <f t="shared" si="38"/>
        <v>207.19614896976259</v>
      </c>
    </row>
    <row r="240" spans="1:13" x14ac:dyDescent="0.15">
      <c r="A240" s="40">
        <v>41214</v>
      </c>
      <c r="B240" s="12" t="s">
        <v>7</v>
      </c>
      <c r="C240" s="65">
        <v>330</v>
      </c>
      <c r="D240" s="42">
        <f>SOJA!D240</f>
        <v>4.8156499999999998</v>
      </c>
      <c r="E240" s="46">
        <f>SOJA!E240</f>
        <v>6.2761041016348518</v>
      </c>
      <c r="F240" s="44">
        <f t="shared" si="39"/>
        <v>230.70114941030133</v>
      </c>
      <c r="G240" s="44">
        <f t="shared" si="35"/>
        <v>6.2761041016348527</v>
      </c>
      <c r="H240" s="44">
        <f t="shared" si="33"/>
        <v>253.20875407181995</v>
      </c>
      <c r="I240" s="35">
        <f t="shared" si="32"/>
        <v>0.28000000000000003</v>
      </c>
      <c r="J240" s="45">
        <f t="shared" si="40"/>
        <v>166.10482757541695</v>
      </c>
      <c r="K240" s="63">
        <f t="shared" si="34"/>
        <v>182.31030293171037</v>
      </c>
      <c r="L240" s="47">
        <f t="shared" si="38"/>
        <v>134.93062583816888</v>
      </c>
      <c r="M240" s="47">
        <f t="shared" si="38"/>
        <v>207.19614896976259</v>
      </c>
    </row>
    <row r="241" spans="1:13" x14ac:dyDescent="0.15">
      <c r="A241" s="40">
        <v>41244</v>
      </c>
      <c r="B241" s="12" t="s">
        <v>31</v>
      </c>
      <c r="C241" s="65">
        <v>353</v>
      </c>
      <c r="D241" s="42">
        <f>SOJA!D241</f>
        <v>4.8899999999999997</v>
      </c>
      <c r="E241" s="46">
        <f>SOJA!E241</f>
        <v>6.4016261836675454</v>
      </c>
      <c r="F241" s="44">
        <f t="shared" si="39"/>
        <v>245.67688455750942</v>
      </c>
      <c r="G241" s="44">
        <f t="shared" si="35"/>
        <v>6.4016261836675463</v>
      </c>
      <c r="H241" s="44">
        <f t="shared" si="33"/>
        <v>269.64554793967403</v>
      </c>
      <c r="I241" s="35">
        <f t="shared" si="32"/>
        <v>0.28000000000000003</v>
      </c>
      <c r="J241" s="45">
        <f t="shared" si="40"/>
        <v>176.88735688140679</v>
      </c>
      <c r="K241" s="63">
        <f t="shared" si="34"/>
        <v>194.1447945165653</v>
      </c>
      <c r="L241" s="47">
        <f t="shared" si="38"/>
        <v>134.93062583816888</v>
      </c>
      <c r="M241" s="47">
        <f t="shared" si="38"/>
        <v>207.19614896976259</v>
      </c>
    </row>
    <row r="242" spans="1:13" x14ac:dyDescent="0.15">
      <c r="A242" s="40">
        <v>41275</v>
      </c>
      <c r="B242" s="12" t="s">
        <v>19</v>
      </c>
      <c r="C242" s="65">
        <v>360</v>
      </c>
      <c r="D242" s="42">
        <f>SOJA!D242</f>
        <v>4.9594886363636368</v>
      </c>
      <c r="E242" s="46">
        <f>SOJA!E242</f>
        <v>6.5808717168102415</v>
      </c>
      <c r="F242" s="44">
        <f t="shared" si="39"/>
        <v>247.18779146044713</v>
      </c>
      <c r="G242" s="44">
        <f t="shared" si="35"/>
        <v>6.5808717168102424</v>
      </c>
      <c r="H242" s="44">
        <f t="shared" si="33"/>
        <v>271.3038615431791</v>
      </c>
      <c r="I242" s="35">
        <f t="shared" si="32"/>
        <v>0.28000000000000003</v>
      </c>
      <c r="J242" s="45">
        <f t="shared" si="40"/>
        <v>177.97520985152192</v>
      </c>
      <c r="K242" s="63">
        <f t="shared" si="34"/>
        <v>195.33878031108895</v>
      </c>
      <c r="L242" s="47">
        <f t="shared" si="38"/>
        <v>134.93062583816888</v>
      </c>
      <c r="M242" s="47">
        <f t="shared" si="38"/>
        <v>207.19614896976259</v>
      </c>
    </row>
    <row r="243" spans="1:13" x14ac:dyDescent="0.15">
      <c r="A243" s="40">
        <v>41306</v>
      </c>
      <c r="B243" s="12" t="s">
        <v>1</v>
      </c>
      <c r="C243" s="65">
        <v>356</v>
      </c>
      <c r="D243" s="42">
        <f>SOJA!D243</f>
        <v>5.0190789473684205</v>
      </c>
      <c r="E243" s="46">
        <f>SOJA!E243</f>
        <v>6.6795847925623946</v>
      </c>
      <c r="F243" s="44">
        <f t="shared" si="39"/>
        <v>243.7224861836238</v>
      </c>
      <c r="G243" s="44">
        <f t="shared" si="35"/>
        <v>6.6795847925623955</v>
      </c>
      <c r="H243" s="44">
        <f t="shared" si="33"/>
        <v>267.50047506736053</v>
      </c>
      <c r="I243" s="35">
        <f t="shared" si="32"/>
        <v>0.28000000000000003</v>
      </c>
      <c r="J243" s="45">
        <f t="shared" si="40"/>
        <v>175.48019005220914</v>
      </c>
      <c r="K243" s="63">
        <f t="shared" si="34"/>
        <v>192.60034204849958</v>
      </c>
      <c r="L243" s="47">
        <f t="shared" si="38"/>
        <v>134.93062583816888</v>
      </c>
      <c r="M243" s="47">
        <f t="shared" si="38"/>
        <v>207.19614896976259</v>
      </c>
    </row>
    <row r="244" spans="1:13" x14ac:dyDescent="0.15">
      <c r="A244" s="40">
        <v>41334</v>
      </c>
      <c r="B244" s="12" t="s">
        <v>2</v>
      </c>
      <c r="C244" s="65">
        <v>346</v>
      </c>
      <c r="D244" s="42">
        <f>SOJA!D244</f>
        <v>5.0958571428571426</v>
      </c>
      <c r="E244" s="46">
        <f>SOJA!E244</f>
        <v>6.7864581492433924</v>
      </c>
      <c r="F244" s="44">
        <f t="shared" si="39"/>
        <v>236.71250975434393</v>
      </c>
      <c r="G244" s="44">
        <f t="shared" si="35"/>
        <v>6.7864581492433933</v>
      </c>
      <c r="H244" s="44">
        <f t="shared" si="33"/>
        <v>259.80659316747466</v>
      </c>
      <c r="I244" s="35">
        <f t="shared" si="32"/>
        <v>0.28000000000000003</v>
      </c>
      <c r="J244" s="45">
        <f t="shared" si="40"/>
        <v>170.43300702312763</v>
      </c>
      <c r="K244" s="63">
        <f t="shared" si="34"/>
        <v>187.06074708058173</v>
      </c>
      <c r="L244" s="47">
        <f t="shared" ref="L244:M259" si="41">+L243</f>
        <v>134.93062583816888</v>
      </c>
      <c r="M244" s="47">
        <f t="shared" si="41"/>
        <v>207.19614896976259</v>
      </c>
    </row>
    <row r="245" spans="1:13" x14ac:dyDescent="0.15">
      <c r="A245" s="40">
        <v>41365</v>
      </c>
      <c r="B245" s="12" t="s">
        <v>3</v>
      </c>
      <c r="C245" s="65">
        <v>324</v>
      </c>
      <c r="D245" s="42">
        <f>SOJA!D245</f>
        <v>5.1615909090909096</v>
      </c>
      <c r="E245" s="46">
        <f>SOJA!E245</f>
        <v>6.8896123131118925</v>
      </c>
      <c r="F245" s="44">
        <f t="shared" si="39"/>
        <v>221.15911771645619</v>
      </c>
      <c r="G245" s="44">
        <f t="shared" si="35"/>
        <v>6.8896123131118934</v>
      </c>
      <c r="H245" s="44">
        <f t="shared" si="33"/>
        <v>242.73578519980418</v>
      </c>
      <c r="I245" s="35">
        <f t="shared" si="32"/>
        <v>0.28000000000000003</v>
      </c>
      <c r="J245" s="45">
        <f t="shared" si="40"/>
        <v>159.23456475584845</v>
      </c>
      <c r="K245" s="63">
        <f t="shared" si="34"/>
        <v>174.76976534385901</v>
      </c>
      <c r="L245" s="47">
        <f t="shared" si="41"/>
        <v>134.93062583816888</v>
      </c>
      <c r="M245" s="47">
        <f t="shared" si="41"/>
        <v>207.19614896976259</v>
      </c>
    </row>
    <row r="246" spans="1:13" x14ac:dyDescent="0.15">
      <c r="A246" s="40">
        <v>41395</v>
      </c>
      <c r="B246" s="12" t="s">
        <v>2</v>
      </c>
      <c r="C246" s="65">
        <v>315</v>
      </c>
      <c r="D246" s="42">
        <f>SOJA!D246</f>
        <v>5.2468478260869569</v>
      </c>
      <c r="E246" s="46">
        <f>SOJA!E246</f>
        <v>7.0067357224347946</v>
      </c>
      <c r="F246" s="44">
        <f t="shared" si="39"/>
        <v>214.91381184120297</v>
      </c>
      <c r="G246" s="44">
        <f t="shared" si="35"/>
        <v>7.0067357224347955</v>
      </c>
      <c r="H246" s="44">
        <f t="shared" si="33"/>
        <v>235.88117644075624</v>
      </c>
      <c r="I246" s="35">
        <f t="shared" ref="I246:I276" si="42">+I245</f>
        <v>0.28000000000000003</v>
      </c>
      <c r="J246" s="45">
        <f t="shared" si="40"/>
        <v>154.73794452566614</v>
      </c>
      <c r="K246" s="63">
        <f t="shared" si="34"/>
        <v>169.83444703734449</v>
      </c>
      <c r="L246" s="47">
        <f t="shared" si="41"/>
        <v>134.93062583816888</v>
      </c>
      <c r="M246" s="47">
        <f t="shared" si="41"/>
        <v>207.19614896976259</v>
      </c>
    </row>
    <row r="247" spans="1:13" x14ac:dyDescent="0.15">
      <c r="A247" s="40">
        <v>41426</v>
      </c>
      <c r="B247" s="12" t="s">
        <v>4</v>
      </c>
      <c r="C247" s="65">
        <v>310</v>
      </c>
      <c r="D247" s="49">
        <f>SOJA!D247</f>
        <v>5.3396625000000011</v>
      </c>
      <c r="E247" s="65">
        <f>SOJA!E247</f>
        <v>7.1398637011610555</v>
      </c>
      <c r="F247" s="44">
        <f t="shared" si="39"/>
        <v>211.23049772939419</v>
      </c>
      <c r="G247" s="44">
        <f t="shared" si="35"/>
        <v>7.1398637011610564</v>
      </c>
      <c r="H247" s="44">
        <f t="shared" si="33"/>
        <v>231.83851180952135</v>
      </c>
      <c r="I247" s="35">
        <f t="shared" si="42"/>
        <v>0.28000000000000003</v>
      </c>
      <c r="J247" s="45">
        <f t="shared" si="40"/>
        <v>152.0859583651638</v>
      </c>
      <c r="K247" s="63">
        <f t="shared" si="34"/>
        <v>166.92372850285537</v>
      </c>
      <c r="L247" s="47">
        <f t="shared" si="41"/>
        <v>134.93062583816888</v>
      </c>
      <c r="M247" s="47">
        <f t="shared" si="41"/>
        <v>207.19614896976259</v>
      </c>
    </row>
    <row r="248" spans="1:13" x14ac:dyDescent="0.15">
      <c r="A248" s="40">
        <v>41456</v>
      </c>
      <c r="B248" s="12" t="s">
        <v>4</v>
      </c>
      <c r="C248" s="65">
        <v>310</v>
      </c>
      <c r="D248" s="49">
        <f>SOJA!D248</f>
        <v>5.447869565217391</v>
      </c>
      <c r="E248" s="65">
        <f>SOJA!E248</f>
        <v>7.3469197484947255</v>
      </c>
      <c r="F248" s="44">
        <f t="shared" si="39"/>
        <v>209.43735323566011</v>
      </c>
      <c r="G248" s="44">
        <f t="shared" si="35"/>
        <v>7.3469197484947264</v>
      </c>
      <c r="H248" s="44">
        <f t="shared" si="33"/>
        <v>229.87042502586328</v>
      </c>
      <c r="I248" s="35">
        <f t="shared" si="42"/>
        <v>0.28000000000000003</v>
      </c>
      <c r="J248" s="45">
        <f t="shared" si="40"/>
        <v>150.79489432967529</v>
      </c>
      <c r="K248" s="63">
        <f t="shared" si="34"/>
        <v>165.50670601862157</v>
      </c>
      <c r="L248" s="47">
        <f t="shared" si="41"/>
        <v>134.93062583816888</v>
      </c>
      <c r="M248" s="47">
        <f t="shared" si="41"/>
        <v>207.19614896976259</v>
      </c>
    </row>
    <row r="249" spans="1:13" x14ac:dyDescent="0.15">
      <c r="A249" s="40">
        <v>41487</v>
      </c>
      <c r="B249" s="12" t="s">
        <v>3</v>
      </c>
      <c r="C249" s="65">
        <v>310</v>
      </c>
      <c r="D249" s="42">
        <f>SOJA!D249</f>
        <v>5.5756454545454543</v>
      </c>
      <c r="E249" s="46">
        <f>SOJA!E249</f>
        <v>7.4938581434646201</v>
      </c>
      <c r="F249" s="44">
        <f t="shared" si="39"/>
        <v>210.14662427267376</v>
      </c>
      <c r="G249" s="44">
        <f t="shared" si="35"/>
        <v>7.493858143464621</v>
      </c>
      <c r="H249" s="44">
        <f t="shared" si="33"/>
        <v>230.64889377662811</v>
      </c>
      <c r="I249" s="35">
        <f t="shared" si="42"/>
        <v>0.28000000000000003</v>
      </c>
      <c r="J249" s="45">
        <f t="shared" si="40"/>
        <v>151.3055694763251</v>
      </c>
      <c r="K249" s="63">
        <f t="shared" si="34"/>
        <v>166.06720351917224</v>
      </c>
      <c r="L249" s="47">
        <f t="shared" si="41"/>
        <v>134.93062583816888</v>
      </c>
      <c r="M249" s="47">
        <f t="shared" si="41"/>
        <v>207.19614896976259</v>
      </c>
    </row>
    <row r="250" spans="1:13" x14ac:dyDescent="0.15">
      <c r="A250" s="40">
        <v>41518</v>
      </c>
      <c r="B250" s="12" t="s">
        <v>5</v>
      </c>
      <c r="C250" s="65">
        <v>303</v>
      </c>
      <c r="D250" s="42">
        <f>SOJA!D250</f>
        <v>5.7471428571428573</v>
      </c>
      <c r="E250" s="46">
        <f>SOJA!E250</f>
        <v>7.6512291644773764</v>
      </c>
      <c r="F250" s="44">
        <f t="shared" si="39"/>
        <v>207.36452117108351</v>
      </c>
      <c r="G250" s="44">
        <f t="shared" si="35"/>
        <v>7.6512291644773773</v>
      </c>
      <c r="H250" s="44">
        <f t="shared" si="33"/>
        <v>227.59536386637981</v>
      </c>
      <c r="I250" s="35">
        <f t="shared" si="42"/>
        <v>0.28000000000000003</v>
      </c>
      <c r="J250" s="45">
        <f t="shared" si="40"/>
        <v>149.30245524318013</v>
      </c>
      <c r="K250" s="63">
        <f t="shared" si="34"/>
        <v>163.86866198379346</v>
      </c>
      <c r="L250" s="47">
        <f t="shared" si="41"/>
        <v>134.93062583816888</v>
      </c>
      <c r="M250" s="47">
        <f t="shared" si="41"/>
        <v>207.19614896976259</v>
      </c>
    </row>
    <row r="251" spans="1:13" x14ac:dyDescent="0.15">
      <c r="A251" s="40">
        <v>41548</v>
      </c>
      <c r="B251" s="12" t="s">
        <v>6</v>
      </c>
      <c r="C251" s="65">
        <v>300</v>
      </c>
      <c r="D251" s="42">
        <f>SOJA!D251</f>
        <v>5.8590869565217396</v>
      </c>
      <c r="E251" s="46">
        <f>SOJA!E251</f>
        <v>7.8195562060958785</v>
      </c>
      <c r="F251" s="44">
        <f t="shared" si="39"/>
        <v>204.80480173339242</v>
      </c>
      <c r="G251" s="44">
        <f t="shared" si="35"/>
        <v>7.8195562060958794</v>
      </c>
      <c r="H251" s="44">
        <f t="shared" si="33"/>
        <v>224.7859137563656</v>
      </c>
      <c r="I251" s="35">
        <f t="shared" si="42"/>
        <v>0.28000000000000003</v>
      </c>
      <c r="J251" s="45">
        <f t="shared" si="40"/>
        <v>147.45945724804253</v>
      </c>
      <c r="K251" s="63">
        <f t="shared" si="34"/>
        <v>161.84585790458323</v>
      </c>
      <c r="L251" s="47">
        <f t="shared" si="41"/>
        <v>134.93062583816888</v>
      </c>
      <c r="M251" s="47">
        <f t="shared" si="41"/>
        <v>207.19614896976259</v>
      </c>
    </row>
    <row r="252" spans="1:13" x14ac:dyDescent="0.15">
      <c r="A252" s="40">
        <v>41579</v>
      </c>
      <c r="B252" s="12" t="s">
        <v>7</v>
      </c>
      <c r="C252" s="65">
        <v>322</v>
      </c>
      <c r="D252" s="42">
        <f>SOJA!D252</f>
        <v>6.0250000000000012</v>
      </c>
      <c r="E252" s="46">
        <f>SOJA!E252</f>
        <v>8.0072255550421794</v>
      </c>
      <c r="F252" s="44">
        <f t="shared" si="39"/>
        <v>220.75060508447905</v>
      </c>
      <c r="G252" s="44">
        <f t="shared" si="35"/>
        <v>8.0072255550421811</v>
      </c>
      <c r="H252" s="44">
        <f t="shared" si="33"/>
        <v>242.2874173662241</v>
      </c>
      <c r="I252" s="35">
        <f t="shared" si="42"/>
        <v>0.28000000000000003</v>
      </c>
      <c r="J252" s="45">
        <f t="shared" si="40"/>
        <v>158.9404356608249</v>
      </c>
      <c r="K252" s="63">
        <f t="shared" si="34"/>
        <v>174.44694050368136</v>
      </c>
      <c r="L252" s="47">
        <f t="shared" si="41"/>
        <v>134.93062583816888</v>
      </c>
      <c r="M252" s="47">
        <f t="shared" si="41"/>
        <v>207.19614896976259</v>
      </c>
    </row>
    <row r="253" spans="1:13" x14ac:dyDescent="0.15">
      <c r="A253" s="40">
        <v>41609</v>
      </c>
      <c r="B253" s="12" t="s">
        <v>48</v>
      </c>
      <c r="C253" s="65">
        <v>346</v>
      </c>
      <c r="D253" s="42">
        <f>SOJA!D253</f>
        <v>6.3483333333333345</v>
      </c>
      <c r="E253" s="46">
        <f>SOJA!E253</f>
        <v>8.2634567728035293</v>
      </c>
      <c r="F253" s="44">
        <f t="shared" si="39"/>
        <v>242.18380795523643</v>
      </c>
      <c r="G253" s="44">
        <f t="shared" si="35"/>
        <v>8.2634567728035311</v>
      </c>
      <c r="H253" s="44">
        <f t="shared" si="33"/>
        <v>265.81168071968051</v>
      </c>
      <c r="I253" s="35">
        <f t="shared" si="42"/>
        <v>0.28000000000000003</v>
      </c>
      <c r="J253" s="45">
        <f t="shared" si="40"/>
        <v>174.37234172777022</v>
      </c>
      <c r="K253" s="63">
        <f t="shared" si="34"/>
        <v>191.38441011816997</v>
      </c>
      <c r="L253" s="47">
        <f t="shared" si="41"/>
        <v>134.93062583816888</v>
      </c>
      <c r="M253" s="47">
        <f t="shared" si="41"/>
        <v>207.19614896976259</v>
      </c>
    </row>
    <row r="254" spans="1:13" x14ac:dyDescent="0.15">
      <c r="A254" s="40">
        <v>41640</v>
      </c>
      <c r="B254" s="12" t="s">
        <v>49</v>
      </c>
      <c r="C254" s="65">
        <v>330</v>
      </c>
      <c r="D254" s="42">
        <f>SOJA!D254</f>
        <v>7.1343181818181822</v>
      </c>
      <c r="E254" s="46">
        <f>SOJA!E254</f>
        <v>8.6518392411252965</v>
      </c>
      <c r="F254" s="44">
        <f t="shared" si="39"/>
        <v>247.9299627001553</v>
      </c>
      <c r="G254" s="44">
        <f t="shared" si="35"/>
        <v>8.6518392411252982</v>
      </c>
      <c r="H254" s="44">
        <f t="shared" si="33"/>
        <v>272.11844029753212</v>
      </c>
      <c r="I254" s="35">
        <f t="shared" si="42"/>
        <v>0.28000000000000003</v>
      </c>
      <c r="J254" s="45">
        <f t="shared" si="40"/>
        <v>178.50957314411181</v>
      </c>
      <c r="K254" s="63">
        <f t="shared" si="34"/>
        <v>195.92527701422313</v>
      </c>
      <c r="L254" s="47">
        <f t="shared" si="41"/>
        <v>134.93062583816888</v>
      </c>
      <c r="M254" s="47">
        <f t="shared" si="41"/>
        <v>207.19614896976259</v>
      </c>
    </row>
    <row r="255" spans="1:13" x14ac:dyDescent="0.15">
      <c r="A255" s="40">
        <v>41671</v>
      </c>
      <c r="B255" s="12" t="s">
        <v>1</v>
      </c>
      <c r="C255" s="65">
        <v>330</v>
      </c>
      <c r="D255" s="42">
        <f>SOJA!D255</f>
        <v>7.8588649999999998</v>
      </c>
      <c r="E255" s="46">
        <f>SOJA!E255</f>
        <v>8.9979128107703072</v>
      </c>
      <c r="F255" s="44">
        <f t="shared" si="39"/>
        <v>262.60502360391291</v>
      </c>
      <c r="G255" s="44">
        <f t="shared" si="35"/>
        <v>8.997912810770309</v>
      </c>
      <c r="H255" s="44">
        <f t="shared" si="33"/>
        <v>288.22522562073783</v>
      </c>
      <c r="I255" s="35">
        <f t="shared" si="42"/>
        <v>0.28000000000000003</v>
      </c>
      <c r="J255" s="45">
        <f t="shared" si="40"/>
        <v>189.0756169948173</v>
      </c>
      <c r="K255" s="63">
        <f t="shared" si="34"/>
        <v>207.52216244693122</v>
      </c>
      <c r="L255" s="47">
        <f t="shared" si="41"/>
        <v>134.93062583816888</v>
      </c>
      <c r="M255" s="47">
        <f t="shared" si="41"/>
        <v>207.19614896976259</v>
      </c>
    </row>
    <row r="256" spans="1:13" x14ac:dyDescent="0.15">
      <c r="A256" s="40">
        <v>41699</v>
      </c>
      <c r="B256" s="12" t="s">
        <v>2</v>
      </c>
      <c r="C256" s="65">
        <v>338</v>
      </c>
      <c r="D256" s="42">
        <f>SOJA!D256</f>
        <v>7.9392857142857123</v>
      </c>
      <c r="E256" s="46">
        <f>SOJA!E256</f>
        <v>9.2678501950934162</v>
      </c>
      <c r="F256" s="44">
        <f t="shared" si="39"/>
        <v>263.80934059814439</v>
      </c>
      <c r="G256" s="44">
        <f t="shared" si="35"/>
        <v>9.267850195093418</v>
      </c>
      <c r="H256" s="44">
        <f t="shared" si="33"/>
        <v>289.54703787176635</v>
      </c>
      <c r="I256" s="35">
        <f t="shared" si="42"/>
        <v>0.28000000000000003</v>
      </c>
      <c r="J256" s="45">
        <f t="shared" si="40"/>
        <v>189.94272523066394</v>
      </c>
      <c r="K256" s="63">
        <f t="shared" si="34"/>
        <v>208.47386726767175</v>
      </c>
      <c r="L256" s="47">
        <f t="shared" si="41"/>
        <v>134.93062583816888</v>
      </c>
      <c r="M256" s="47">
        <f t="shared" si="41"/>
        <v>207.19614896976259</v>
      </c>
    </row>
    <row r="257" spans="1:13" x14ac:dyDescent="0.15">
      <c r="A257" s="40">
        <v>41730</v>
      </c>
      <c r="B257" s="12" t="s">
        <v>3</v>
      </c>
      <c r="C257" s="65">
        <v>356</v>
      </c>
      <c r="D257" s="42">
        <f>SOJA!D257</f>
        <v>8.01</v>
      </c>
      <c r="E257" s="46">
        <f>SOJA!E257</f>
        <v>9.4717428993854718</v>
      </c>
      <c r="F257" s="44">
        <f t="shared" si="39"/>
        <v>274.298640425369</v>
      </c>
      <c r="G257" s="44">
        <f t="shared" si="35"/>
        <v>9.4717428993854735</v>
      </c>
      <c r="H257" s="44">
        <f t="shared" si="33"/>
        <v>301.05969200082586</v>
      </c>
      <c r="I257" s="35">
        <f t="shared" si="42"/>
        <v>0.28000000000000003</v>
      </c>
      <c r="J257" s="45">
        <f t="shared" si="40"/>
        <v>197.49502110626568</v>
      </c>
      <c r="K257" s="63">
        <f t="shared" si="34"/>
        <v>216.76297824059461</v>
      </c>
      <c r="L257" s="47">
        <f t="shared" si="41"/>
        <v>134.93062583816888</v>
      </c>
      <c r="M257" s="47">
        <f t="shared" si="41"/>
        <v>207.19614896976259</v>
      </c>
    </row>
    <row r="258" spans="1:13" x14ac:dyDescent="0.15">
      <c r="A258" s="40">
        <v>41760</v>
      </c>
      <c r="B258" s="12" t="s">
        <v>2</v>
      </c>
      <c r="C258" s="65">
        <v>371</v>
      </c>
      <c r="D258" s="42">
        <f>SOJA!D258</f>
        <v>8.0527272727272745</v>
      </c>
      <c r="E258" s="46">
        <f>SOJA!E258</f>
        <v>9.6801212431719517</v>
      </c>
      <c r="F258" s="44">
        <f t="shared" si="39"/>
        <v>281.19470957003966</v>
      </c>
      <c r="G258" s="44">
        <f t="shared" si="35"/>
        <v>9.6801212431719534</v>
      </c>
      <c r="H258" s="44">
        <f t="shared" ref="H258:H285" si="43">+(C258*D258)/G258</f>
        <v>308.62855362365934</v>
      </c>
      <c r="I258" s="35">
        <f t="shared" si="42"/>
        <v>0.28000000000000003</v>
      </c>
      <c r="J258" s="45">
        <f t="shared" si="40"/>
        <v>202.46019089042858</v>
      </c>
      <c r="K258" s="63">
        <f t="shared" ref="K258:K285" si="44">+H258*(1-I258)</f>
        <v>222.21255860903472</v>
      </c>
      <c r="L258" s="47">
        <f t="shared" si="41"/>
        <v>134.93062583816888</v>
      </c>
      <c r="M258" s="47">
        <f t="shared" si="41"/>
        <v>207.19614896976259</v>
      </c>
    </row>
    <row r="259" spans="1:13" x14ac:dyDescent="0.15">
      <c r="A259" s="40">
        <v>41791</v>
      </c>
      <c r="B259" s="12" t="s">
        <v>4</v>
      </c>
      <c r="C259" s="65">
        <v>370</v>
      </c>
      <c r="D259" s="42">
        <f>SOJA!D259</f>
        <v>8.1405452380952408</v>
      </c>
      <c r="E259" s="46">
        <f>SOJA!E259</f>
        <v>9.883403789278562</v>
      </c>
      <c r="F259" s="44">
        <f t="shared" si="39"/>
        <v>277.66409298301659</v>
      </c>
      <c r="G259" s="44">
        <f t="shared" ref="G259:G285" si="45">+E259/AVERAGE(E$2:E$13)</f>
        <v>9.8834037892785638</v>
      </c>
      <c r="H259" s="44">
        <f t="shared" si="43"/>
        <v>304.75348395282947</v>
      </c>
      <c r="I259" s="35">
        <f t="shared" si="42"/>
        <v>0.28000000000000003</v>
      </c>
      <c r="J259" s="45">
        <f t="shared" si="40"/>
        <v>199.91814694777193</v>
      </c>
      <c r="K259" s="63">
        <f t="shared" si="44"/>
        <v>219.4225084460372</v>
      </c>
      <c r="L259" s="47">
        <f t="shared" si="41"/>
        <v>134.93062583816888</v>
      </c>
      <c r="M259" s="47">
        <f t="shared" si="41"/>
        <v>207.19614896976259</v>
      </c>
    </row>
    <row r="260" spans="1:13" x14ac:dyDescent="0.15">
      <c r="A260" s="40">
        <v>41821</v>
      </c>
      <c r="B260" s="12" t="s">
        <v>4</v>
      </c>
      <c r="C260" s="65">
        <v>335</v>
      </c>
      <c r="D260" s="42">
        <f>SOJA!D260</f>
        <v>8.1747826086956525</v>
      </c>
      <c r="E260" s="46">
        <f>SOJA!E260</f>
        <v>10.130488884010525</v>
      </c>
      <c r="F260" s="44">
        <f t="shared" si="39"/>
        <v>246.29843768465588</v>
      </c>
      <c r="G260" s="44">
        <f t="shared" si="45"/>
        <v>10.130488884010527</v>
      </c>
      <c r="H260" s="44">
        <f t="shared" si="43"/>
        <v>270.32774086899616</v>
      </c>
      <c r="I260" s="35">
        <f t="shared" si="42"/>
        <v>0.28000000000000003</v>
      </c>
      <c r="J260" s="45">
        <f t="shared" si="40"/>
        <v>177.33487513295222</v>
      </c>
      <c r="K260" s="63">
        <f t="shared" si="44"/>
        <v>194.63597342567724</v>
      </c>
      <c r="L260" s="47">
        <f t="shared" ref="L260:M275" si="46">+L259</f>
        <v>134.93062583816888</v>
      </c>
      <c r="M260" s="47">
        <f t="shared" si="46"/>
        <v>207.19614896976259</v>
      </c>
    </row>
    <row r="261" spans="1:13" x14ac:dyDescent="0.15">
      <c r="A261" s="40">
        <v>41852</v>
      </c>
      <c r="B261" s="12" t="s">
        <v>3</v>
      </c>
      <c r="C261" s="65">
        <v>305</v>
      </c>
      <c r="D261" s="42">
        <f>SOJA!D261</f>
        <v>8.3311904761904714</v>
      </c>
      <c r="E261" s="46">
        <f>SOJA!E261</f>
        <v>10.363490128342766</v>
      </c>
      <c r="F261" s="44">
        <f t="shared" si="39"/>
        <v>223.3942071341823</v>
      </c>
      <c r="G261" s="44">
        <f t="shared" si="45"/>
        <v>10.363490128342768</v>
      </c>
      <c r="H261" s="44">
        <f t="shared" si="43"/>
        <v>245.1889338215087</v>
      </c>
      <c r="I261" s="35">
        <f t="shared" si="42"/>
        <v>0.28000000000000003</v>
      </c>
      <c r="J261" s="45">
        <f t="shared" si="40"/>
        <v>160.84382913661125</v>
      </c>
      <c r="K261" s="63">
        <f t="shared" si="44"/>
        <v>176.53603235148626</v>
      </c>
      <c r="L261" s="47">
        <f t="shared" si="46"/>
        <v>134.93062583816888</v>
      </c>
      <c r="M261" s="47">
        <f t="shared" si="46"/>
        <v>207.19614896976259</v>
      </c>
    </row>
    <row r="262" spans="1:13" x14ac:dyDescent="0.15">
      <c r="A262" s="40">
        <v>41883</v>
      </c>
      <c r="B262" s="12" t="s">
        <v>5</v>
      </c>
      <c r="C262" s="65">
        <v>283</v>
      </c>
      <c r="D262" s="42">
        <f>SOJA!D262</f>
        <v>8.4328011363636364</v>
      </c>
      <c r="E262" s="46">
        <f>SOJA!E262</f>
        <v>10.632940871679677</v>
      </c>
      <c r="F262" s="44">
        <f t="shared" si="39"/>
        <v>204.49181874780939</v>
      </c>
      <c r="G262" s="44">
        <f t="shared" si="45"/>
        <v>10.632940871679679</v>
      </c>
      <c r="H262" s="44">
        <f t="shared" si="43"/>
        <v>224.44239560733283</v>
      </c>
      <c r="I262" s="35">
        <f t="shared" si="42"/>
        <v>0.28000000000000003</v>
      </c>
      <c r="J262" s="45">
        <f t="shared" si="40"/>
        <v>147.23410949842275</v>
      </c>
      <c r="K262" s="63">
        <f t="shared" si="44"/>
        <v>161.59852483727963</v>
      </c>
      <c r="L262" s="47">
        <f t="shared" si="46"/>
        <v>134.93062583816888</v>
      </c>
      <c r="M262" s="47">
        <f t="shared" si="46"/>
        <v>207.19614896976259</v>
      </c>
    </row>
    <row r="263" spans="1:13" x14ac:dyDescent="0.15">
      <c r="A263" s="40">
        <v>41913</v>
      </c>
      <c r="B263" s="12" t="s">
        <v>6</v>
      </c>
      <c r="C263" s="65">
        <v>270</v>
      </c>
      <c r="D263" s="42">
        <f>SOJA!D263</f>
        <v>8.4918478260869534</v>
      </c>
      <c r="E263" s="46">
        <f>SOJA!E263</f>
        <v>10.877498511728311</v>
      </c>
      <c r="F263" s="44">
        <f t="shared" si="39"/>
        <v>192.04719867171383</v>
      </c>
      <c r="G263" s="44">
        <f t="shared" si="45"/>
        <v>10.877498511728312</v>
      </c>
      <c r="H263" s="44">
        <f t="shared" si="43"/>
        <v>210.78365679125039</v>
      </c>
      <c r="I263" s="35">
        <f t="shared" si="42"/>
        <v>0.28000000000000003</v>
      </c>
      <c r="J263" s="45">
        <f t="shared" si="40"/>
        <v>138.27398304363396</v>
      </c>
      <c r="K263" s="63">
        <f t="shared" si="44"/>
        <v>151.76423288970028</v>
      </c>
      <c r="L263" s="47">
        <f t="shared" si="46"/>
        <v>134.93062583816888</v>
      </c>
      <c r="M263" s="47">
        <f t="shared" si="46"/>
        <v>207.19614896976259</v>
      </c>
    </row>
    <row r="264" spans="1:13" x14ac:dyDescent="0.15">
      <c r="A264" s="40">
        <v>41944</v>
      </c>
      <c r="B264" s="12" t="s">
        <v>7</v>
      </c>
      <c r="C264" s="65">
        <v>257</v>
      </c>
      <c r="D264" s="42">
        <f>SOJA!D264</f>
        <v>8.5269841097830259</v>
      </c>
      <c r="E264" s="46">
        <f>SOJA!E264</f>
        <v>11.084170983451147</v>
      </c>
      <c r="F264" s="44">
        <f t="shared" si="39"/>
        <v>180.13429429492692</v>
      </c>
      <c r="G264" s="44">
        <f t="shared" si="45"/>
        <v>11.084170983451148</v>
      </c>
      <c r="H264" s="44">
        <f t="shared" si="43"/>
        <v>197.7085087812238</v>
      </c>
      <c r="I264" s="35">
        <f t="shared" si="42"/>
        <v>0.28000000000000003</v>
      </c>
      <c r="J264" s="45">
        <f t="shared" si="40"/>
        <v>129.69669189234739</v>
      </c>
      <c r="K264" s="63">
        <f t="shared" si="44"/>
        <v>142.35012632248112</v>
      </c>
      <c r="L264" s="47">
        <f t="shared" si="46"/>
        <v>134.93062583816888</v>
      </c>
      <c r="M264" s="47">
        <f t="shared" si="46"/>
        <v>207.19614896976259</v>
      </c>
    </row>
    <row r="265" spans="1:13" x14ac:dyDescent="0.15">
      <c r="A265" s="40">
        <v>41974</v>
      </c>
      <c r="B265" s="12" t="s">
        <v>50</v>
      </c>
      <c r="C265" s="65">
        <v>252</v>
      </c>
      <c r="D265" s="42">
        <f>SOJA!D265</f>
        <v>8.5620347826086949</v>
      </c>
      <c r="E265" s="46">
        <f>SOJA!E265</f>
        <v>11.35816649166286</v>
      </c>
      <c r="F265" s="44">
        <f t="shared" si="39"/>
        <v>173.07739108935041</v>
      </c>
      <c r="G265" s="44">
        <f t="shared" si="45"/>
        <v>11.358166491662862</v>
      </c>
      <c r="H265" s="44">
        <f t="shared" si="43"/>
        <v>189.96312184727523</v>
      </c>
      <c r="I265" s="35">
        <f t="shared" si="42"/>
        <v>0.28000000000000003</v>
      </c>
      <c r="J265" s="45">
        <f t="shared" si="40"/>
        <v>124.61572158433229</v>
      </c>
      <c r="K265" s="63">
        <f t="shared" si="44"/>
        <v>136.77344773003816</v>
      </c>
      <c r="L265" s="47">
        <f t="shared" si="46"/>
        <v>134.93062583816888</v>
      </c>
      <c r="M265" s="47">
        <f t="shared" si="46"/>
        <v>207.19614896976259</v>
      </c>
    </row>
    <row r="266" spans="1:13" x14ac:dyDescent="0.15">
      <c r="A266" s="40">
        <v>42005</v>
      </c>
      <c r="B266" s="12" t="s">
        <v>51</v>
      </c>
      <c r="C266" s="65">
        <v>250</v>
      </c>
      <c r="D266" s="42">
        <f>SOJA!D266</f>
        <v>8.6109966565766225</v>
      </c>
      <c r="E266" s="46">
        <f>SOJA!E266</f>
        <v>11.580511462696627</v>
      </c>
      <c r="F266" s="44">
        <f t="shared" si="39"/>
        <v>169.37009476106542</v>
      </c>
      <c r="G266" s="44">
        <f t="shared" si="45"/>
        <v>11.580511462696629</v>
      </c>
      <c r="H266" s="44">
        <f t="shared" si="43"/>
        <v>185.89413525288876</v>
      </c>
      <c r="I266" s="35">
        <f t="shared" si="42"/>
        <v>0.28000000000000003</v>
      </c>
      <c r="J266" s="45">
        <f t="shared" si="40"/>
        <v>121.9464682279671</v>
      </c>
      <c r="K266" s="63">
        <f t="shared" si="44"/>
        <v>133.84377738207991</v>
      </c>
      <c r="L266" s="47">
        <f t="shared" si="46"/>
        <v>134.93062583816888</v>
      </c>
      <c r="M266" s="47">
        <f t="shared" si="46"/>
        <v>207.19614896976259</v>
      </c>
    </row>
    <row r="267" spans="1:13" x14ac:dyDescent="0.15">
      <c r="A267" s="40">
        <v>42036</v>
      </c>
      <c r="B267" s="12" t="s">
        <v>1</v>
      </c>
      <c r="C267" s="65">
        <v>239</v>
      </c>
      <c r="D267" s="42">
        <f>SOJA!D267</f>
        <v>8.6939970523682319</v>
      </c>
      <c r="E267" s="46">
        <f>SOJA!E267</f>
        <v>11.748729495674439</v>
      </c>
      <c r="F267" s="44">
        <f t="shared" si="39"/>
        <v>161.13783597119624</v>
      </c>
      <c r="G267" s="44">
        <f t="shared" si="45"/>
        <v>11.748729495674441</v>
      </c>
      <c r="H267" s="44">
        <f t="shared" si="43"/>
        <v>176.85872300328475</v>
      </c>
      <c r="I267" s="35">
        <f t="shared" si="42"/>
        <v>0.28000000000000003</v>
      </c>
      <c r="J267" s="45">
        <f t="shared" si="40"/>
        <v>116.01924189926129</v>
      </c>
      <c r="K267" s="63">
        <f t="shared" si="44"/>
        <v>127.33828056236501</v>
      </c>
      <c r="L267" s="47">
        <f t="shared" si="46"/>
        <v>134.93062583816888</v>
      </c>
      <c r="M267" s="47">
        <f t="shared" si="46"/>
        <v>207.19614896976259</v>
      </c>
    </row>
    <row r="268" spans="1:13" x14ac:dyDescent="0.15">
      <c r="A268" s="40">
        <v>42064</v>
      </c>
      <c r="B268" s="12" t="s">
        <v>2</v>
      </c>
      <c r="C268" s="65">
        <v>229</v>
      </c>
      <c r="D268" s="42">
        <f>SOJA!D268</f>
        <v>8.7922075377180153</v>
      </c>
      <c r="E268" s="46">
        <f>SOJA!E268</f>
        <v>11.944010997680232</v>
      </c>
      <c r="F268" s="44">
        <f t="shared" si="39"/>
        <v>153.58693042053679</v>
      </c>
      <c r="G268" s="44">
        <f t="shared" si="45"/>
        <v>11.944010997680234</v>
      </c>
      <c r="H268" s="44">
        <f t="shared" si="43"/>
        <v>168.57113799781925</v>
      </c>
      <c r="I268" s="35">
        <f t="shared" si="42"/>
        <v>0.28000000000000003</v>
      </c>
      <c r="J268" s="45">
        <f t="shared" si="40"/>
        <v>110.58258990278648</v>
      </c>
      <c r="K268" s="63">
        <f t="shared" si="44"/>
        <v>121.37121935842985</v>
      </c>
      <c r="L268" s="47">
        <f t="shared" si="46"/>
        <v>134.93062583816888</v>
      </c>
      <c r="M268" s="47">
        <f t="shared" si="46"/>
        <v>207.19614896976259</v>
      </c>
    </row>
    <row r="269" spans="1:13" x14ac:dyDescent="0.15">
      <c r="A269" s="40">
        <v>42095</v>
      </c>
      <c r="B269" s="12" t="s">
        <v>3</v>
      </c>
      <c r="C269" s="65">
        <v>227</v>
      </c>
      <c r="D269" s="42">
        <f>SOJA!D269</f>
        <v>8.8757954545454538</v>
      </c>
      <c r="E269" s="46">
        <f>SOJA!E269</f>
        <v>12.226850781835356</v>
      </c>
      <c r="F269" s="44">
        <f t="shared" si="39"/>
        <v>150.13763565709303</v>
      </c>
      <c r="G269" s="44">
        <f t="shared" si="45"/>
        <v>12.226850781835358</v>
      </c>
      <c r="H269" s="44">
        <f t="shared" si="43"/>
        <v>164.78532404886175</v>
      </c>
      <c r="I269" s="35">
        <f t="shared" si="42"/>
        <v>0.28000000000000003</v>
      </c>
      <c r="J269" s="45">
        <f t="shared" si="40"/>
        <v>108.099097673107</v>
      </c>
      <c r="K269" s="63">
        <f t="shared" si="44"/>
        <v>118.64543331518045</v>
      </c>
      <c r="L269" s="47">
        <f t="shared" si="46"/>
        <v>134.93062583816888</v>
      </c>
      <c r="M269" s="47">
        <f t="shared" si="46"/>
        <v>207.19614896976259</v>
      </c>
    </row>
    <row r="270" spans="1:13" x14ac:dyDescent="0.15">
      <c r="A270" s="40">
        <v>42125</v>
      </c>
      <c r="B270" s="12" t="s">
        <v>2</v>
      </c>
      <c r="C270" s="65">
        <v>227</v>
      </c>
      <c r="D270" s="42">
        <f>SOJA!D270</f>
        <v>8.961666666666666</v>
      </c>
      <c r="E270" s="46">
        <f>SOJA!E270</f>
        <v>12.49748547211512</v>
      </c>
      <c r="F270" s="44">
        <f t="shared" si="39"/>
        <v>148.30747630489958</v>
      </c>
      <c r="G270" s="44">
        <f t="shared" si="45"/>
        <v>12.497485472115121</v>
      </c>
      <c r="H270" s="44">
        <f t="shared" si="43"/>
        <v>162.77661117289068</v>
      </c>
      <c r="I270" s="35">
        <f t="shared" si="42"/>
        <v>0.28000000000000003</v>
      </c>
      <c r="J270" s="45">
        <f t="shared" si="40"/>
        <v>106.78138293952767</v>
      </c>
      <c r="K270" s="63">
        <f t="shared" si="44"/>
        <v>117.19916004448129</v>
      </c>
      <c r="L270" s="47">
        <f t="shared" si="46"/>
        <v>134.93062583816888</v>
      </c>
      <c r="M270" s="47">
        <f t="shared" si="46"/>
        <v>207.19614896976259</v>
      </c>
    </row>
    <row r="271" spans="1:13" x14ac:dyDescent="0.15">
      <c r="A271" s="40">
        <v>42156</v>
      </c>
      <c r="B271" s="12" t="s">
        <v>4</v>
      </c>
      <c r="C271" s="65">
        <v>226</v>
      </c>
      <c r="D271" s="42">
        <f>SOJA!D271</f>
        <v>9.0500000000000007</v>
      </c>
      <c r="E271" s="46">
        <f>SOJA!E271</f>
        <v>12.666234161348385</v>
      </c>
      <c r="F271" s="44">
        <f t="shared" si="39"/>
        <v>147.12299177353569</v>
      </c>
      <c r="G271" s="44">
        <f t="shared" si="45"/>
        <v>12.666234161348386</v>
      </c>
      <c r="H271" s="44">
        <f t="shared" si="43"/>
        <v>161.47656627423879</v>
      </c>
      <c r="I271" s="35">
        <f t="shared" si="42"/>
        <v>0.28000000000000003</v>
      </c>
      <c r="J271" s="45">
        <f t="shared" si="40"/>
        <v>105.92855407694569</v>
      </c>
      <c r="K271" s="63">
        <f t="shared" si="44"/>
        <v>116.26312771745192</v>
      </c>
      <c r="L271" s="47">
        <f t="shared" si="46"/>
        <v>134.93062583816888</v>
      </c>
      <c r="M271" s="47">
        <f t="shared" si="46"/>
        <v>207.19614896976259</v>
      </c>
    </row>
    <row r="272" spans="1:13" x14ac:dyDescent="0.15">
      <c r="A272" s="40">
        <v>42186</v>
      </c>
      <c r="B272" s="12" t="s">
        <v>4</v>
      </c>
      <c r="C272" s="65">
        <v>226</v>
      </c>
      <c r="D272" s="42">
        <f>SOJA!D272</f>
        <v>9.1413869565217389</v>
      </c>
      <c r="E272" s="46">
        <f>SOJA!E272</f>
        <v>12.924663757752787</v>
      </c>
      <c r="F272" s="44">
        <f t="shared" si="39"/>
        <v>145.63720003255077</v>
      </c>
      <c r="G272" s="44">
        <f t="shared" si="45"/>
        <v>12.924663757752789</v>
      </c>
      <c r="H272" s="44">
        <f t="shared" si="43"/>
        <v>159.84581811148951</v>
      </c>
      <c r="I272" s="35">
        <f t="shared" si="42"/>
        <v>0.28000000000000003</v>
      </c>
      <c r="J272" s="45">
        <f t="shared" si="40"/>
        <v>104.85878402343654</v>
      </c>
      <c r="K272" s="63">
        <f t="shared" si="44"/>
        <v>115.08898904027244</v>
      </c>
      <c r="L272" s="47">
        <f t="shared" si="46"/>
        <v>134.93062583816888</v>
      </c>
      <c r="M272" s="47">
        <f t="shared" si="46"/>
        <v>207.19614896976259</v>
      </c>
    </row>
    <row r="273" spans="1:13" x14ac:dyDescent="0.15">
      <c r="A273" s="40">
        <v>42217</v>
      </c>
      <c r="B273" s="12" t="s">
        <v>3</v>
      </c>
      <c r="C273" s="65">
        <v>224</v>
      </c>
      <c r="D273" s="42">
        <f>SOJA!D273</f>
        <v>9.2501161904761915</v>
      </c>
      <c r="E273" s="46">
        <f>SOJA!E273</f>
        <v>13.16133644768372</v>
      </c>
      <c r="F273" s="44">
        <f t="shared" si="39"/>
        <v>143.43867241789272</v>
      </c>
      <c r="G273" s="44">
        <f t="shared" si="45"/>
        <v>13.161336447683722</v>
      </c>
      <c r="H273" s="44">
        <f t="shared" si="43"/>
        <v>157.43279832583605</v>
      </c>
      <c r="I273" s="35">
        <f t="shared" si="42"/>
        <v>0.28000000000000003</v>
      </c>
      <c r="J273" s="45">
        <f t="shared" si="40"/>
        <v>103.27584414088275</v>
      </c>
      <c r="K273" s="63">
        <f t="shared" si="44"/>
        <v>113.35161479460194</v>
      </c>
      <c r="L273" s="47">
        <f t="shared" si="46"/>
        <v>134.93062583816888</v>
      </c>
      <c r="M273" s="47">
        <f t="shared" si="46"/>
        <v>207.19614896976259</v>
      </c>
    </row>
    <row r="274" spans="1:13" x14ac:dyDescent="0.15">
      <c r="A274" s="40">
        <v>42248</v>
      </c>
      <c r="B274" s="12" t="s">
        <v>5</v>
      </c>
      <c r="C274" s="65">
        <v>223</v>
      </c>
      <c r="D274" s="42">
        <f>SOJA!D274</f>
        <v>9.3753409090909088</v>
      </c>
      <c r="E274" s="46">
        <f>SOJA!E274</f>
        <v>13.379436168673882</v>
      </c>
      <c r="F274" s="44">
        <f t="shared" si="39"/>
        <v>142.37218877592659</v>
      </c>
      <c r="G274" s="44">
        <f t="shared" si="45"/>
        <v>13.379436168673884</v>
      </c>
      <c r="H274" s="44">
        <f t="shared" si="43"/>
        <v>156.26226668821536</v>
      </c>
      <c r="I274" s="35">
        <f t="shared" si="42"/>
        <v>0.28000000000000003</v>
      </c>
      <c r="J274" s="45">
        <f t="shared" si="40"/>
        <v>102.50797591866714</v>
      </c>
      <c r="K274" s="63">
        <f t="shared" si="44"/>
        <v>112.50883201551505</v>
      </c>
      <c r="L274" s="47">
        <f t="shared" si="46"/>
        <v>134.93062583816888</v>
      </c>
      <c r="M274" s="47">
        <f t="shared" si="46"/>
        <v>207.19614896976259</v>
      </c>
    </row>
    <row r="275" spans="1:13" x14ac:dyDescent="0.15">
      <c r="A275" s="40">
        <v>42278</v>
      </c>
      <c r="B275" s="12" t="s">
        <v>6</v>
      </c>
      <c r="C275" s="65">
        <v>223</v>
      </c>
      <c r="D275" s="42">
        <f>SOJA!D275</f>
        <v>9.4996797405650941</v>
      </c>
      <c r="E275" s="46">
        <f>SOJA!E275</f>
        <v>13.607087702262156</v>
      </c>
      <c r="F275" s="44">
        <f t="shared" si="39"/>
        <v>141.84684659352448</v>
      </c>
      <c r="G275" s="44">
        <f t="shared" si="45"/>
        <v>13.607087702262158</v>
      </c>
      <c r="H275" s="44">
        <f t="shared" si="43"/>
        <v>155.68567121044063</v>
      </c>
      <c r="I275" s="35">
        <f t="shared" si="42"/>
        <v>0.28000000000000003</v>
      </c>
      <c r="J275" s="45">
        <f t="shared" si="40"/>
        <v>102.1297295473376</v>
      </c>
      <c r="K275" s="63">
        <f t="shared" si="44"/>
        <v>112.09368327151725</v>
      </c>
      <c r="L275" s="47">
        <f t="shared" si="46"/>
        <v>134.93062583816888</v>
      </c>
      <c r="M275" s="47">
        <f t="shared" si="46"/>
        <v>207.19614896976259</v>
      </c>
    </row>
    <row r="276" spans="1:13" x14ac:dyDescent="0.15">
      <c r="A276" s="40">
        <v>42309</v>
      </c>
      <c r="B276" s="12" t="s">
        <v>7</v>
      </c>
      <c r="C276" s="65">
        <v>208</v>
      </c>
      <c r="D276" s="42">
        <f>SOJA!D276</f>
        <v>9.6595714285714269</v>
      </c>
      <c r="E276" s="46">
        <f>SOJA!E276</f>
        <v>13.872946486242865</v>
      </c>
      <c r="F276" s="44">
        <f>+(C276*(D276/E276))/(AVERAGE(C$109)*AVERAGE(D$109)/AVERAGE(E$109))*100</f>
        <v>131.95429303093923</v>
      </c>
      <c r="G276" s="44">
        <f t="shared" si="45"/>
        <v>13.872946486242867</v>
      </c>
      <c r="H276" s="44">
        <f t="shared" si="43"/>
        <v>144.82798294762216</v>
      </c>
      <c r="I276" s="35">
        <f t="shared" si="42"/>
        <v>0.28000000000000003</v>
      </c>
      <c r="J276" s="45">
        <f t="shared" si="40"/>
        <v>95.007090982276239</v>
      </c>
      <c r="K276" s="63">
        <f t="shared" si="44"/>
        <v>104.27614772228794</v>
      </c>
      <c r="L276" s="47">
        <f t="shared" ref="L276:M289" si="47">+L275</f>
        <v>134.93062583816888</v>
      </c>
      <c r="M276" s="47">
        <f t="shared" si="47"/>
        <v>207.19614896976259</v>
      </c>
    </row>
    <row r="277" spans="1:13" x14ac:dyDescent="0.15">
      <c r="A277" s="40">
        <v>42339</v>
      </c>
      <c r="B277" s="12" t="s">
        <v>52</v>
      </c>
      <c r="C277" s="65">
        <v>192</v>
      </c>
      <c r="D277" s="42">
        <f>SOJA!D277</f>
        <v>11.468809157142855</v>
      </c>
      <c r="E277" s="46">
        <f>SOJA!E277</f>
        <v>14.416338491824195</v>
      </c>
      <c r="F277" s="44">
        <f t="shared" si="39"/>
        <v>139.16679510488765</v>
      </c>
      <c r="G277" s="44">
        <f t="shared" si="45"/>
        <v>14.416338491824197</v>
      </c>
      <c r="H277" s="44">
        <f t="shared" si="43"/>
        <v>152.74414924567941</v>
      </c>
      <c r="I277" s="35">
        <v>0.14000000000000001</v>
      </c>
      <c r="J277" s="45">
        <f t="shared" si="40"/>
        <v>119.6834437902034</v>
      </c>
      <c r="K277" s="63">
        <f t="shared" si="44"/>
        <v>131.35996835128429</v>
      </c>
      <c r="L277" s="47">
        <f t="shared" si="47"/>
        <v>134.93062583816888</v>
      </c>
      <c r="M277" s="47">
        <f t="shared" si="47"/>
        <v>207.19614896976259</v>
      </c>
    </row>
    <row r="278" spans="1:13" x14ac:dyDescent="0.15">
      <c r="A278" s="40">
        <v>42370</v>
      </c>
      <c r="B278" s="12" t="s">
        <v>53</v>
      </c>
      <c r="C278" s="65">
        <v>192</v>
      </c>
      <c r="D278" s="50">
        <f>SOJA!D278</f>
        <v>13.6548</v>
      </c>
      <c r="E278" s="46">
        <f>SOJA!E278</f>
        <v>15.012796122950578</v>
      </c>
      <c r="F278" s="44">
        <f t="shared" si="39"/>
        <v>159.10946936856374</v>
      </c>
      <c r="G278" s="44">
        <f t="shared" si="45"/>
        <v>15.012796122950579</v>
      </c>
      <c r="H278" s="44">
        <f t="shared" si="43"/>
        <v>174.63246543341009</v>
      </c>
      <c r="I278" s="35">
        <v>0</v>
      </c>
      <c r="J278" s="45">
        <f t="shared" si="40"/>
        <v>159.10946936856374</v>
      </c>
      <c r="K278" s="63">
        <f t="shared" si="44"/>
        <v>174.63246543341009</v>
      </c>
      <c r="L278" s="47">
        <f t="shared" si="47"/>
        <v>134.93062583816888</v>
      </c>
      <c r="M278" s="47">
        <f t="shared" si="47"/>
        <v>207.19614896976259</v>
      </c>
    </row>
    <row r="279" spans="1:13" x14ac:dyDescent="0.15">
      <c r="A279" s="40">
        <v>42401</v>
      </c>
      <c r="B279" s="12" t="s">
        <v>1</v>
      </c>
      <c r="C279" s="65">
        <v>193</v>
      </c>
      <c r="D279" s="50">
        <f>SOJA!D279</f>
        <v>14.8146</v>
      </c>
      <c r="E279" s="46">
        <f>SOJA!E279</f>
        <v>15.608723097821507</v>
      </c>
      <c r="F279" s="44">
        <f t="shared" si="39"/>
        <v>166.89791248560405</v>
      </c>
      <c r="G279" s="44">
        <f t="shared" si="45"/>
        <v>15.608723097821509</v>
      </c>
      <c r="H279" s="44">
        <f t="shared" si="43"/>
        <v>183.18076258262647</v>
      </c>
      <c r="I279" s="35">
        <v>0</v>
      </c>
      <c r="J279" s="45">
        <f t="shared" si="40"/>
        <v>166.89791248560405</v>
      </c>
      <c r="K279" s="63">
        <f t="shared" si="44"/>
        <v>183.18076258262647</v>
      </c>
      <c r="L279" s="47">
        <f t="shared" si="47"/>
        <v>134.93062583816888</v>
      </c>
      <c r="M279" s="47">
        <f t="shared" si="47"/>
        <v>207.19614896976259</v>
      </c>
    </row>
    <row r="280" spans="1:13" x14ac:dyDescent="0.15">
      <c r="A280" s="40">
        <v>42430</v>
      </c>
      <c r="B280" s="12" t="s">
        <v>2</v>
      </c>
      <c r="C280" s="65">
        <v>193</v>
      </c>
      <c r="D280" s="50">
        <f>SOJA!D280</f>
        <v>14.961499999999999</v>
      </c>
      <c r="E280" s="46">
        <f>SOJA!E280</f>
        <v>16.126643603141211</v>
      </c>
      <c r="F280" s="44">
        <f t="shared" si="39"/>
        <v>163.13964004696842</v>
      </c>
      <c r="G280" s="44">
        <f t="shared" si="45"/>
        <v>16.126643603141215</v>
      </c>
      <c r="H280" s="44">
        <f t="shared" si="43"/>
        <v>179.0558265600628</v>
      </c>
      <c r="I280" s="35">
        <v>0</v>
      </c>
      <c r="J280" s="45">
        <f t="shared" si="40"/>
        <v>163.13964004696842</v>
      </c>
      <c r="K280" s="63">
        <f t="shared" si="44"/>
        <v>179.0558265600628</v>
      </c>
      <c r="L280" s="47">
        <f t="shared" si="47"/>
        <v>134.93062583816888</v>
      </c>
      <c r="M280" s="47">
        <f t="shared" si="47"/>
        <v>207.19614896976259</v>
      </c>
    </row>
    <row r="281" spans="1:13" x14ac:dyDescent="0.15">
      <c r="A281" s="40">
        <v>42461</v>
      </c>
      <c r="B281" s="12" t="s">
        <v>3</v>
      </c>
      <c r="C281" s="65">
        <v>199</v>
      </c>
      <c r="D281" s="50">
        <f>SOJA!D281</f>
        <v>14.4095</v>
      </c>
      <c r="E281" s="46">
        <f>SOJA!E281</f>
        <v>17.182118895232289</v>
      </c>
      <c r="F281" s="44">
        <f t="shared" si="39"/>
        <v>152.05346099562703</v>
      </c>
      <c r="G281" s="44">
        <f t="shared" si="45"/>
        <v>17.182118895232293</v>
      </c>
      <c r="H281" s="44">
        <f t="shared" si="43"/>
        <v>166.88806063352718</v>
      </c>
      <c r="I281" s="35">
        <v>0</v>
      </c>
      <c r="J281" s="45">
        <f t="shared" si="40"/>
        <v>152.05346099562703</v>
      </c>
      <c r="K281" s="63">
        <f t="shared" si="44"/>
        <v>166.88806063352718</v>
      </c>
      <c r="L281" s="47">
        <f t="shared" si="47"/>
        <v>134.93062583816888</v>
      </c>
      <c r="M281" s="47">
        <f t="shared" si="47"/>
        <v>207.19614896976259</v>
      </c>
    </row>
    <row r="282" spans="1:13" x14ac:dyDescent="0.15">
      <c r="A282" s="40">
        <v>42491</v>
      </c>
      <c r="B282" s="12" t="s">
        <v>2</v>
      </c>
      <c r="C282" s="65">
        <v>204</v>
      </c>
      <c r="D282" s="50">
        <f>SOJA!D282</f>
        <v>14.137723809523809</v>
      </c>
      <c r="E282" s="46">
        <f>SOJA!E282</f>
        <v>17.90263386898496</v>
      </c>
      <c r="F282" s="44">
        <f t="shared" si="39"/>
        <v>146.77894868320237</v>
      </c>
      <c r="G282" s="44">
        <f t="shared" si="45"/>
        <v>17.902633868984964</v>
      </c>
      <c r="H282" s="44">
        <f t="shared" si="43"/>
        <v>161.0989577427122</v>
      </c>
      <c r="I282" s="35">
        <v>0</v>
      </c>
      <c r="J282" s="45">
        <f t="shared" si="40"/>
        <v>146.77894868320237</v>
      </c>
      <c r="K282" s="63">
        <f t="shared" si="44"/>
        <v>161.0989577427122</v>
      </c>
      <c r="L282" s="47">
        <f t="shared" si="47"/>
        <v>134.93062583816888</v>
      </c>
      <c r="M282" s="47">
        <f t="shared" si="47"/>
        <v>207.19614896976259</v>
      </c>
    </row>
    <row r="283" spans="1:13" x14ac:dyDescent="0.15">
      <c r="A283" s="40">
        <v>42522</v>
      </c>
      <c r="B283" s="12" t="s">
        <v>4</v>
      </c>
      <c r="C283" s="65">
        <v>210</v>
      </c>
      <c r="D283" s="50">
        <f>SOJA!D283</f>
        <v>14.1408</v>
      </c>
      <c r="E283" s="46">
        <f>SOJA!E283</f>
        <v>18.453286415339367</v>
      </c>
      <c r="F283" s="44">
        <f t="shared" si="39"/>
        <v>146.61911511927269</v>
      </c>
      <c r="G283" s="44">
        <f t="shared" si="45"/>
        <v>18.45328641533937</v>
      </c>
      <c r="H283" s="44">
        <f t="shared" si="43"/>
        <v>160.92353053879523</v>
      </c>
      <c r="I283" s="35">
        <v>0</v>
      </c>
      <c r="J283" s="45">
        <f t="shared" si="40"/>
        <v>146.61911511927269</v>
      </c>
      <c r="K283" s="63">
        <f t="shared" si="44"/>
        <v>160.92353053879523</v>
      </c>
      <c r="L283" s="47">
        <f t="shared" si="47"/>
        <v>134.93062583816888</v>
      </c>
      <c r="M283" s="47">
        <f t="shared" si="47"/>
        <v>207.19614896976259</v>
      </c>
    </row>
    <row r="284" spans="1:13" x14ac:dyDescent="0.15">
      <c r="A284" s="40">
        <v>42552</v>
      </c>
      <c r="B284" s="12" t="s">
        <v>4</v>
      </c>
      <c r="C284" s="65">
        <v>211</v>
      </c>
      <c r="D284" s="50">
        <f>SOJA!D284</f>
        <v>14.909384999999997</v>
      </c>
      <c r="E284" s="46">
        <f>SOJA!E284</f>
        <v>18.830983752894365</v>
      </c>
      <c r="F284" s="44">
        <f t="shared" si="39"/>
        <v>152.20895986612101</v>
      </c>
      <c r="G284" s="44">
        <f t="shared" si="45"/>
        <v>18.830983752894369</v>
      </c>
      <c r="H284" s="44">
        <f t="shared" si="43"/>
        <v>167.05873024379142</v>
      </c>
      <c r="I284" s="35">
        <v>0</v>
      </c>
      <c r="J284" s="45">
        <f t="shared" si="40"/>
        <v>152.20895986612101</v>
      </c>
      <c r="K284" s="63">
        <f t="shared" si="44"/>
        <v>167.05873024379142</v>
      </c>
      <c r="L284" s="47">
        <f t="shared" si="47"/>
        <v>134.93062583816888</v>
      </c>
      <c r="M284" s="47">
        <f t="shared" si="47"/>
        <v>207.19614896976259</v>
      </c>
    </row>
    <row r="285" spans="1:13" x14ac:dyDescent="0.15">
      <c r="A285" s="40">
        <v>42583</v>
      </c>
      <c r="B285" s="12" t="s">
        <v>3</v>
      </c>
      <c r="C285" s="65">
        <v>215</v>
      </c>
      <c r="D285" s="50">
        <f>SOJA!D285</f>
        <v>14.849809090909089</v>
      </c>
      <c r="E285" s="46">
        <f>SOJA!E285</f>
        <v>18.86902496412841</v>
      </c>
      <c r="F285" s="44">
        <f t="shared" ref="F285:F291" si="48">+(C285*(D285/E285))/(AVERAGE(C$109)*AVERAGE(D$109)/AVERAGE(E$109))*100</f>
        <v>154.16326985348388</v>
      </c>
      <c r="G285" s="44">
        <f t="shared" si="45"/>
        <v>18.869024964128414</v>
      </c>
      <c r="H285" s="44">
        <f t="shared" si="43"/>
        <v>169.20370610643948</v>
      </c>
      <c r="I285" s="35">
        <v>0</v>
      </c>
      <c r="J285" s="45">
        <f t="shared" si="40"/>
        <v>154.16326985348388</v>
      </c>
      <c r="K285" s="63">
        <f t="shared" si="44"/>
        <v>169.20370610643948</v>
      </c>
      <c r="L285" s="47">
        <f t="shared" si="47"/>
        <v>134.93062583816888</v>
      </c>
      <c r="M285" s="47">
        <f t="shared" si="47"/>
        <v>207.19614896976259</v>
      </c>
    </row>
    <row r="286" spans="1:13" s="51" customFormat="1" x14ac:dyDescent="0.15">
      <c r="A286" s="40">
        <v>42614</v>
      </c>
      <c r="B286" s="51" t="s">
        <v>5</v>
      </c>
      <c r="C286" s="66">
        <v>201</v>
      </c>
      <c r="D286" s="50">
        <f>SOJA!D286</f>
        <v>15.100736363636367</v>
      </c>
      <c r="E286" s="30">
        <f>SOJA!E286</f>
        <v>19.085846122467348</v>
      </c>
      <c r="F286" s="31">
        <f t="shared" si="48"/>
        <v>144.89513601389712</v>
      </c>
      <c r="G286" s="31">
        <f t="shared" ref="G286:G291" si="49">+E286/AVERAGE(E$2:E$13)</f>
        <v>19.085846122467352</v>
      </c>
      <c r="H286" s="31">
        <f t="shared" ref="H286:H291" si="50">+(C286*D286)/G286</f>
        <v>159.03135703886329</v>
      </c>
      <c r="I286" s="35">
        <v>0</v>
      </c>
      <c r="J286" s="54">
        <f t="shared" ref="J286:J291" si="51">+F286*(1-I286)/(F$109*(1-I$109))*100</f>
        <v>144.89513601389712</v>
      </c>
      <c r="K286" s="64">
        <f t="shared" ref="K286:K291" si="52">+H286*(1-I286)</f>
        <v>159.03135703886329</v>
      </c>
      <c r="L286" s="53">
        <f t="shared" si="47"/>
        <v>134.93062583816888</v>
      </c>
      <c r="M286" s="53">
        <f t="shared" si="47"/>
        <v>207.19614896976259</v>
      </c>
    </row>
    <row r="287" spans="1:13" s="51" customFormat="1" x14ac:dyDescent="0.15">
      <c r="A287" s="40">
        <v>42644</v>
      </c>
      <c r="B287" s="51" t="s">
        <v>6</v>
      </c>
      <c r="C287" s="66">
        <v>183</v>
      </c>
      <c r="D287" s="50">
        <f>SOJA!D287</f>
        <v>15.180999999999999</v>
      </c>
      <c r="E287" s="30">
        <f>SOJA!E287</f>
        <v>19.536155094473596</v>
      </c>
      <c r="F287" s="31">
        <f t="shared" si="48"/>
        <v>129.56372260637409</v>
      </c>
      <c r="G287" s="31">
        <f t="shared" si="49"/>
        <v>19.5361550944736</v>
      </c>
      <c r="H287" s="31">
        <f t="shared" si="50"/>
        <v>142.20418432211758</v>
      </c>
      <c r="I287" s="35">
        <v>0</v>
      </c>
      <c r="J287" s="54">
        <f t="shared" si="51"/>
        <v>129.56372260637409</v>
      </c>
      <c r="K287" s="64">
        <f t="shared" si="52"/>
        <v>142.20418432211758</v>
      </c>
      <c r="L287" s="53">
        <f t="shared" ref="L287:L350" si="53">+L286</f>
        <v>134.93062583816888</v>
      </c>
      <c r="M287" s="53">
        <f t="shared" si="47"/>
        <v>207.19614896976259</v>
      </c>
    </row>
    <row r="288" spans="1:13" x14ac:dyDescent="0.15">
      <c r="A288" s="40">
        <v>42675</v>
      </c>
      <c r="B288" s="12" t="s">
        <v>7</v>
      </c>
      <c r="C288" s="66">
        <v>176</v>
      </c>
      <c r="D288" s="50">
        <f>SOJA!D288</f>
        <v>15.3399</v>
      </c>
      <c r="E288" s="30">
        <f>SOJA!E288</f>
        <v>19.852340446383657</v>
      </c>
      <c r="F288" s="31">
        <f t="shared" si="48"/>
        <v>123.90662395019756</v>
      </c>
      <c r="G288" s="31">
        <f t="shared" si="49"/>
        <v>19.852340446383661</v>
      </c>
      <c r="H288" s="31">
        <f t="shared" si="50"/>
        <v>135.99516929963815</v>
      </c>
      <c r="I288" s="35">
        <v>0</v>
      </c>
      <c r="J288" s="54">
        <f t="shared" si="51"/>
        <v>123.90662395019756</v>
      </c>
      <c r="K288" s="64">
        <f t="shared" si="52"/>
        <v>135.99516929963815</v>
      </c>
      <c r="L288" s="53">
        <f t="shared" si="53"/>
        <v>134.93062583816888</v>
      </c>
      <c r="M288" s="53">
        <f t="shared" si="47"/>
        <v>207.19614896976259</v>
      </c>
    </row>
    <row r="289" spans="1:13" s="51" customFormat="1" x14ac:dyDescent="0.15">
      <c r="A289" s="40">
        <v>42705</v>
      </c>
      <c r="B289" s="51" t="s">
        <v>55</v>
      </c>
      <c r="C289" s="66">
        <v>170</v>
      </c>
      <c r="D289" s="50">
        <f>SOJA!D289</f>
        <v>15.829599999999999</v>
      </c>
      <c r="E289" s="30">
        <f>SOJA!E289</f>
        <v>20.090072243418092</v>
      </c>
      <c r="F289" s="31">
        <f t="shared" si="48"/>
        <v>122.04174414868254</v>
      </c>
      <c r="G289" s="31">
        <f t="shared" si="49"/>
        <v>20.090072243418096</v>
      </c>
      <c r="H289" s="31">
        <f t="shared" si="50"/>
        <v>133.94834858703084</v>
      </c>
      <c r="I289" s="35">
        <v>0</v>
      </c>
      <c r="J289" s="54">
        <f t="shared" si="51"/>
        <v>122.04174414868254</v>
      </c>
      <c r="K289" s="64">
        <f t="shared" si="52"/>
        <v>133.94834858703084</v>
      </c>
      <c r="L289" s="53">
        <f t="shared" si="53"/>
        <v>134.93062583816888</v>
      </c>
      <c r="M289" s="53">
        <f t="shared" si="47"/>
        <v>207.19614896976259</v>
      </c>
    </row>
    <row r="290" spans="1:13" s="51" customFormat="1" x14ac:dyDescent="0.15">
      <c r="A290" s="40">
        <v>42736</v>
      </c>
      <c r="B290" s="12" t="s">
        <v>56</v>
      </c>
      <c r="C290" s="66">
        <v>176</v>
      </c>
      <c r="D290" s="50">
        <f>SOJA!D290</f>
        <v>14.4095</v>
      </c>
      <c r="E290" s="30">
        <f>SOJA!E290</f>
        <v>20.411513399312785</v>
      </c>
      <c r="F290" s="31">
        <f t="shared" si="48"/>
        <v>113.20286406537431</v>
      </c>
      <c r="G290" s="31">
        <f t="shared" si="49"/>
        <v>20.411513399312788</v>
      </c>
      <c r="H290" s="31">
        <f t="shared" si="50"/>
        <v>124.24713201743209</v>
      </c>
      <c r="I290" s="29">
        <v>0</v>
      </c>
      <c r="J290" s="54">
        <f t="shared" si="51"/>
        <v>113.20286406537431</v>
      </c>
      <c r="K290" s="64">
        <f t="shared" si="52"/>
        <v>124.24713201743209</v>
      </c>
      <c r="L290" s="53">
        <f t="shared" si="53"/>
        <v>134.93062583816888</v>
      </c>
      <c r="M290" s="53">
        <f t="shared" ref="M290:M353" si="54">+M289</f>
        <v>207.19614896976259</v>
      </c>
    </row>
    <row r="291" spans="1:13" s="51" customFormat="1" x14ac:dyDescent="0.15">
      <c r="A291" s="40">
        <v>42767</v>
      </c>
      <c r="B291" s="12" t="s">
        <v>1</v>
      </c>
      <c r="C291" s="66">
        <v>184</v>
      </c>
      <c r="D291" s="50">
        <f>SOJA!D291</f>
        <v>14.137723809523809</v>
      </c>
      <c r="E291" s="30">
        <f>SOJA!E291</f>
        <v>20.84015518069835</v>
      </c>
      <c r="F291" s="31">
        <f t="shared" si="48"/>
        <v>113.72800206782365</v>
      </c>
      <c r="G291" s="31">
        <f t="shared" si="49"/>
        <v>20.840155180698353</v>
      </c>
      <c r="H291" s="31">
        <f t="shared" si="50"/>
        <v>124.82350339510332</v>
      </c>
      <c r="I291" s="29">
        <v>0</v>
      </c>
      <c r="J291" s="54">
        <f t="shared" si="51"/>
        <v>113.72800206782365</v>
      </c>
      <c r="K291" s="64">
        <f t="shared" si="52"/>
        <v>124.82350339510332</v>
      </c>
      <c r="L291" s="53">
        <f t="shared" si="53"/>
        <v>134.93062583816888</v>
      </c>
      <c r="M291" s="53">
        <f t="shared" si="54"/>
        <v>207.19614896976259</v>
      </c>
    </row>
    <row r="292" spans="1:13" s="51" customFormat="1" x14ac:dyDescent="0.15">
      <c r="A292" s="40">
        <v>42795</v>
      </c>
      <c r="B292" s="12" t="s">
        <v>2</v>
      </c>
      <c r="C292" s="66">
        <v>189.36363636363637</v>
      </c>
      <c r="D292" s="50">
        <f>SOJA!D292</f>
        <v>14.1408</v>
      </c>
      <c r="E292" s="30">
        <f>SOJA!E292</f>
        <v>21.340318905035112</v>
      </c>
      <c r="F292" s="31">
        <f t="shared" ref="F292:F297" si="55">+(C292*(D292/E292))/(AVERAGE(C$109)*AVERAGE(D$109)/AVERAGE(E$109))*100</f>
        <v>114.3248661405397</v>
      </c>
      <c r="G292" s="31">
        <f t="shared" ref="G292:G298" si="56">+E292/AVERAGE(E$2:E$13)</f>
        <v>21.340318905035115</v>
      </c>
      <c r="H292" s="31">
        <f t="shared" ref="H292:H297" si="57">+(C292*D292)/G292</f>
        <v>125.47859856298165</v>
      </c>
      <c r="I292" s="29">
        <v>0</v>
      </c>
      <c r="J292" s="54">
        <f t="shared" ref="J292:J297" si="58">+F292*(1-I292)/(F$109*(1-I$109))*100</f>
        <v>114.3248661405397</v>
      </c>
      <c r="K292" s="64">
        <f t="shared" ref="K292:K297" si="59">+H292*(1-I292)</f>
        <v>125.47859856298165</v>
      </c>
      <c r="L292" s="53">
        <f t="shared" si="53"/>
        <v>134.93062583816888</v>
      </c>
      <c r="M292" s="53">
        <f t="shared" si="54"/>
        <v>207.19614896976259</v>
      </c>
    </row>
    <row r="293" spans="1:13" s="51" customFormat="1" x14ac:dyDescent="0.15">
      <c r="A293" s="40">
        <v>42826</v>
      </c>
      <c r="B293" s="12" t="s">
        <v>3</v>
      </c>
      <c r="C293" s="66">
        <v>188</v>
      </c>
      <c r="D293" s="50">
        <f>SOJA!D293</f>
        <v>14.909384999999997</v>
      </c>
      <c r="E293" s="30">
        <f>SOJA!E293</f>
        <v>21.916507515471057</v>
      </c>
      <c r="F293" s="31">
        <f t="shared" si="55"/>
        <v>116.52450643895955</v>
      </c>
      <c r="G293" s="31">
        <f t="shared" si="56"/>
        <v>21.916507515471061</v>
      </c>
      <c r="H293" s="31">
        <f t="shared" si="57"/>
        <v>127.89283958775647</v>
      </c>
      <c r="I293" s="29">
        <v>0</v>
      </c>
      <c r="J293" s="54">
        <f t="shared" si="58"/>
        <v>116.52450643895955</v>
      </c>
      <c r="K293" s="64">
        <f t="shared" si="59"/>
        <v>127.89283958775647</v>
      </c>
      <c r="L293" s="53">
        <f t="shared" si="53"/>
        <v>134.93062583816888</v>
      </c>
      <c r="M293" s="53">
        <f t="shared" si="54"/>
        <v>207.19614896976259</v>
      </c>
    </row>
    <row r="294" spans="1:13" s="51" customFormat="1" x14ac:dyDescent="0.15">
      <c r="A294" s="40">
        <v>42856</v>
      </c>
      <c r="B294" s="12" t="s">
        <v>2</v>
      </c>
      <c r="C294" s="66">
        <v>189</v>
      </c>
      <c r="D294" s="50">
        <f>SOJA!D294</f>
        <v>14.849809090909089</v>
      </c>
      <c r="E294" s="30">
        <f>SOJA!E294</f>
        <v>22.223338620687652</v>
      </c>
      <c r="F294" s="31">
        <f t="shared" si="55"/>
        <v>115.06531026843297</v>
      </c>
      <c r="G294" s="31">
        <f t="shared" si="56"/>
        <v>22.223338620687656</v>
      </c>
      <c r="H294" s="31">
        <f t="shared" si="57"/>
        <v>126.29128170549258</v>
      </c>
      <c r="I294" s="29">
        <v>0</v>
      </c>
      <c r="J294" s="54">
        <f t="shared" si="58"/>
        <v>115.06531026843297</v>
      </c>
      <c r="K294" s="64">
        <f t="shared" si="59"/>
        <v>126.29128170549258</v>
      </c>
      <c r="L294" s="53">
        <f t="shared" si="53"/>
        <v>134.93062583816888</v>
      </c>
      <c r="M294" s="53">
        <f t="shared" si="54"/>
        <v>207.19614896976259</v>
      </c>
    </row>
    <row r="295" spans="1:13" s="55" customFormat="1" x14ac:dyDescent="0.15">
      <c r="A295" s="40">
        <v>42887</v>
      </c>
      <c r="B295" s="12" t="s">
        <v>4</v>
      </c>
      <c r="C295" s="66">
        <v>188</v>
      </c>
      <c r="D295" s="50">
        <f>SOJA!D295</f>
        <v>15.100736363636367</v>
      </c>
      <c r="E295" s="30">
        <f>SOJA!E295</f>
        <v>22.490018684135904</v>
      </c>
      <c r="F295" s="31">
        <f t="shared" si="55"/>
        <v>115.01042294305172</v>
      </c>
      <c r="G295" s="31">
        <f t="shared" si="56"/>
        <v>22.490018684135908</v>
      </c>
      <c r="H295" s="31">
        <f t="shared" si="57"/>
        <v>126.23103947735613</v>
      </c>
      <c r="I295" s="29">
        <v>0</v>
      </c>
      <c r="J295" s="54">
        <f t="shared" si="58"/>
        <v>115.01042294305172</v>
      </c>
      <c r="K295" s="64">
        <f t="shared" si="59"/>
        <v>126.23103947735613</v>
      </c>
      <c r="L295" s="53">
        <f t="shared" si="53"/>
        <v>134.93062583816888</v>
      </c>
      <c r="M295" s="53">
        <f t="shared" si="54"/>
        <v>207.19614896976259</v>
      </c>
    </row>
    <row r="296" spans="1:13" x14ac:dyDescent="0.15">
      <c r="A296" s="40">
        <v>42917</v>
      </c>
      <c r="B296" s="12" t="s">
        <v>4</v>
      </c>
      <c r="C296" s="66">
        <v>194</v>
      </c>
      <c r="D296" s="50">
        <f>SOJA!D296</f>
        <v>15.180999999999999</v>
      </c>
      <c r="E296" s="30">
        <f>SOJA!E296</f>
        <v>22.872349001766214</v>
      </c>
      <c r="F296" s="31">
        <f t="shared" si="55"/>
        <v>117.31738744365414</v>
      </c>
      <c r="G296" s="31">
        <f t="shared" si="56"/>
        <v>22.872349001766217</v>
      </c>
      <c r="H296" s="31">
        <f t="shared" si="57"/>
        <v>128.76307543980622</v>
      </c>
      <c r="I296" s="29">
        <v>0</v>
      </c>
      <c r="J296" s="54">
        <f t="shared" si="58"/>
        <v>117.31738744365414</v>
      </c>
      <c r="K296" s="64">
        <f t="shared" si="59"/>
        <v>128.76307543980622</v>
      </c>
      <c r="L296" s="53">
        <f t="shared" si="53"/>
        <v>134.93062583816888</v>
      </c>
      <c r="M296" s="53">
        <f t="shared" si="54"/>
        <v>207.19614896976259</v>
      </c>
    </row>
    <row r="297" spans="1:13" x14ac:dyDescent="0.15">
      <c r="A297" s="40">
        <v>42948</v>
      </c>
      <c r="B297" s="12" t="s">
        <v>3</v>
      </c>
      <c r="C297" s="66">
        <v>191.81818181818181</v>
      </c>
      <c r="D297" s="50">
        <f>SOJA!D297</f>
        <v>15.3399</v>
      </c>
      <c r="E297" s="30">
        <f>SOJA!E297</f>
        <v>23.192561887790941</v>
      </c>
      <c r="F297" s="31">
        <f t="shared" si="55"/>
        <v>115.59382013013766</v>
      </c>
      <c r="G297" s="31">
        <f t="shared" si="56"/>
        <v>23.192561887790944</v>
      </c>
      <c r="H297" s="31">
        <f t="shared" si="57"/>
        <v>126.87135390686211</v>
      </c>
      <c r="I297" s="29">
        <v>0</v>
      </c>
      <c r="J297" s="54">
        <f t="shared" si="58"/>
        <v>115.59382013013766</v>
      </c>
      <c r="K297" s="64">
        <f t="shared" si="59"/>
        <v>126.87135390686211</v>
      </c>
      <c r="L297" s="53">
        <f t="shared" si="53"/>
        <v>134.93062583816888</v>
      </c>
      <c r="M297" s="53">
        <f t="shared" si="54"/>
        <v>207.19614896976259</v>
      </c>
    </row>
    <row r="298" spans="1:13" x14ac:dyDescent="0.15">
      <c r="A298" s="40">
        <v>42979</v>
      </c>
      <c r="B298" s="12" t="s">
        <v>5</v>
      </c>
      <c r="C298" s="66">
        <v>185</v>
      </c>
      <c r="D298" s="50">
        <f>SOJA!D298</f>
        <v>15.829599999999999</v>
      </c>
      <c r="E298" s="30">
        <f>SOJA!E298</f>
        <v>23.63322056365897</v>
      </c>
      <c r="F298" s="31">
        <f t="shared" ref="F298:F304" si="60">+(C298*(D298/E298))/(AVERAGE(C$109)*AVERAGE(D$109)/AVERAGE(E$109))*100</f>
        <v>112.89892404790318</v>
      </c>
      <c r="G298" s="31">
        <f t="shared" si="56"/>
        <v>23.633220563658973</v>
      </c>
      <c r="H298" s="31">
        <f t="shared" ref="H298:H304" si="61">+(C298*D298)/G298</f>
        <v>123.91353908417987</v>
      </c>
      <c r="I298" s="29">
        <v>0</v>
      </c>
      <c r="J298" s="54">
        <f t="shared" ref="J298:J304" si="62">+F298*(1-I298)/(F$109*(1-I$109))*100</f>
        <v>112.89892404790318</v>
      </c>
      <c r="K298" s="64">
        <f t="shared" ref="K298:K304" si="63">+H298*(1-I298)</f>
        <v>123.91353908417987</v>
      </c>
      <c r="L298" s="53">
        <f t="shared" si="53"/>
        <v>134.93062583816888</v>
      </c>
      <c r="M298" s="53">
        <f t="shared" si="54"/>
        <v>207.19614896976259</v>
      </c>
    </row>
    <row r="299" spans="1:13" x14ac:dyDescent="0.15">
      <c r="A299" s="40">
        <v>43009</v>
      </c>
      <c r="B299" s="12" t="s">
        <v>6</v>
      </c>
      <c r="C299" s="66">
        <v>185</v>
      </c>
      <c r="D299" s="50">
        <f>SOJA!D299</f>
        <v>15.906499999999996</v>
      </c>
      <c r="E299" s="30">
        <f>SOJA!E299</f>
        <v>23.987718872113852</v>
      </c>
      <c r="F299" s="31">
        <f t="shared" si="60"/>
        <v>111.77082326829826</v>
      </c>
      <c r="G299" s="31">
        <f t="shared" ref="G299:G304" si="64">+E299/AVERAGE(E$2:E$13)</f>
        <v>23.987718872113856</v>
      </c>
      <c r="H299" s="31">
        <f t="shared" si="61"/>
        <v>122.67537883399754</v>
      </c>
      <c r="I299" s="29">
        <v>0</v>
      </c>
      <c r="J299" s="54">
        <f t="shared" si="62"/>
        <v>111.77082326829826</v>
      </c>
      <c r="K299" s="64">
        <f t="shared" si="63"/>
        <v>122.67537883399754</v>
      </c>
      <c r="L299" s="53">
        <f t="shared" si="53"/>
        <v>134.93062583816888</v>
      </c>
      <c r="M299" s="53">
        <f t="shared" si="54"/>
        <v>207.19614896976259</v>
      </c>
    </row>
    <row r="300" spans="1:13" x14ac:dyDescent="0.15">
      <c r="A300" s="40">
        <v>43040</v>
      </c>
      <c r="B300" s="12" t="s">
        <v>7</v>
      </c>
      <c r="C300" s="66">
        <v>179</v>
      </c>
      <c r="D300" s="50">
        <f>SOJA!D300</f>
        <v>15.5983</v>
      </c>
      <c r="E300" s="30">
        <f>SOJA!E300</f>
        <v>24.323546936323446</v>
      </c>
      <c r="F300" s="31">
        <f t="shared" si="60"/>
        <v>104.58621267351262</v>
      </c>
      <c r="G300" s="31">
        <f t="shared" si="64"/>
        <v>24.323546936323449</v>
      </c>
      <c r="H300" s="31">
        <f t="shared" si="61"/>
        <v>114.78982515623318</v>
      </c>
      <c r="I300" s="29">
        <v>0</v>
      </c>
      <c r="J300" s="54">
        <f t="shared" si="62"/>
        <v>104.58621267351262</v>
      </c>
      <c r="K300" s="64">
        <f t="shared" si="63"/>
        <v>114.78982515623318</v>
      </c>
      <c r="L300" s="53">
        <f t="shared" si="53"/>
        <v>134.93062583816888</v>
      </c>
      <c r="M300" s="53">
        <f t="shared" si="54"/>
        <v>207.19614896976259</v>
      </c>
    </row>
    <row r="301" spans="1:13" x14ac:dyDescent="0.15">
      <c r="A301" s="40">
        <v>43070</v>
      </c>
      <c r="B301" s="12" t="s">
        <v>57</v>
      </c>
      <c r="C301" s="66">
        <v>178</v>
      </c>
      <c r="D301" s="50">
        <f>SOJA!D301</f>
        <v>15.5237</v>
      </c>
      <c r="E301" s="30">
        <f>SOJA!E301</f>
        <v>25.077576891349473</v>
      </c>
      <c r="F301" s="31">
        <f t="shared" si="60"/>
        <v>100.39237185187899</v>
      </c>
      <c r="G301" s="31">
        <f t="shared" si="64"/>
        <v>25.077576891349477</v>
      </c>
      <c r="H301" s="31">
        <f t="shared" si="61"/>
        <v>110.18682594302697</v>
      </c>
      <c r="I301" s="29">
        <v>0</v>
      </c>
      <c r="J301" s="54">
        <f t="shared" si="62"/>
        <v>100.39237185187899</v>
      </c>
      <c r="K301" s="64">
        <f t="shared" si="63"/>
        <v>110.18682594302697</v>
      </c>
      <c r="L301" s="53">
        <f t="shared" si="53"/>
        <v>134.93062583816888</v>
      </c>
      <c r="M301" s="53">
        <f t="shared" si="54"/>
        <v>207.19614896976259</v>
      </c>
    </row>
    <row r="302" spans="1:13" x14ac:dyDescent="0.15">
      <c r="A302" s="40">
        <v>43101</v>
      </c>
      <c r="B302" s="12" t="s">
        <v>62</v>
      </c>
      <c r="C302" s="66">
        <v>179</v>
      </c>
      <c r="D302" s="50">
        <f>SOJA!D302</f>
        <v>19.029036363636365</v>
      </c>
      <c r="E302" s="30">
        <f>SOJA!E302</f>
        <v>25.528973275393767</v>
      </c>
      <c r="F302" s="31">
        <f t="shared" si="60"/>
        <v>121.56471054676695</v>
      </c>
      <c r="G302" s="31">
        <f t="shared" si="64"/>
        <v>25.528973275393771</v>
      </c>
      <c r="H302" s="31">
        <f t="shared" si="61"/>
        <v>133.42477475872445</v>
      </c>
      <c r="I302" s="29">
        <v>0</v>
      </c>
      <c r="J302" s="54">
        <f t="shared" si="62"/>
        <v>121.56471054676695</v>
      </c>
      <c r="K302" s="64">
        <f t="shared" si="63"/>
        <v>133.42477475872445</v>
      </c>
      <c r="L302" s="53">
        <f t="shared" si="53"/>
        <v>134.93062583816888</v>
      </c>
      <c r="M302" s="53">
        <f t="shared" si="54"/>
        <v>207.19614896976259</v>
      </c>
    </row>
    <row r="303" spans="1:13" x14ac:dyDescent="0.15">
      <c r="A303" s="40">
        <v>43132</v>
      </c>
      <c r="B303" s="12" t="s">
        <v>1</v>
      </c>
      <c r="C303" s="66">
        <v>189</v>
      </c>
      <c r="D303" s="50">
        <f>SOJA!D303</f>
        <v>19.8409277777778</v>
      </c>
      <c r="E303" s="30">
        <f>SOJA!E303</f>
        <v>26.141668634003221</v>
      </c>
      <c r="F303" s="31">
        <f t="shared" si="60"/>
        <v>130.69576559046416</v>
      </c>
      <c r="G303" s="31">
        <f t="shared" si="64"/>
        <v>26.141668634003224</v>
      </c>
      <c r="H303" s="31">
        <f t="shared" si="61"/>
        <v>143.44667138509877</v>
      </c>
      <c r="I303" s="29">
        <v>0</v>
      </c>
      <c r="J303" s="54">
        <f t="shared" si="62"/>
        <v>130.69576559046416</v>
      </c>
      <c r="K303" s="64">
        <f t="shared" si="63"/>
        <v>143.44667138509877</v>
      </c>
      <c r="L303" s="53">
        <f t="shared" si="53"/>
        <v>134.93062583816888</v>
      </c>
      <c r="M303" s="53">
        <f t="shared" si="54"/>
        <v>207.19614896976259</v>
      </c>
    </row>
    <row r="304" spans="1:13" x14ac:dyDescent="0.15">
      <c r="A304" s="40">
        <v>43160</v>
      </c>
      <c r="B304" s="12" t="s">
        <v>2</v>
      </c>
      <c r="C304" s="66">
        <v>210</v>
      </c>
      <c r="D304" s="50">
        <f>SOJA!D304</f>
        <v>20.237800000000004</v>
      </c>
      <c r="E304" s="30">
        <f>SOJA!E304</f>
        <v>26.742927012585291</v>
      </c>
      <c r="F304" s="31">
        <f t="shared" si="60"/>
        <v>144.7920434607089</v>
      </c>
      <c r="G304" s="31">
        <f t="shared" si="64"/>
        <v>26.742927012585294</v>
      </c>
      <c r="H304" s="31">
        <f t="shared" si="61"/>
        <v>158.91820659720489</v>
      </c>
      <c r="I304" s="29">
        <v>0</v>
      </c>
      <c r="J304" s="54">
        <f t="shared" si="62"/>
        <v>144.7920434607089</v>
      </c>
      <c r="K304" s="64">
        <f t="shared" si="63"/>
        <v>158.91820659720489</v>
      </c>
      <c r="L304" s="53">
        <f t="shared" si="53"/>
        <v>134.93062583816888</v>
      </c>
      <c r="M304" s="53">
        <f t="shared" si="54"/>
        <v>207.19614896976259</v>
      </c>
    </row>
    <row r="305" spans="1:13" x14ac:dyDescent="0.15">
      <c r="A305" s="40">
        <v>43191</v>
      </c>
      <c r="B305" s="12" t="s">
        <v>3</v>
      </c>
      <c r="C305" s="66">
        <v>252</v>
      </c>
      <c r="D305" s="50">
        <f>SOJA!D305</f>
        <v>20.2349</v>
      </c>
      <c r="E305" s="30">
        <f>SOJA!E305</f>
        <v>27.464986041925087</v>
      </c>
      <c r="F305" s="31">
        <f>+(C305*(D305/E305))/(AVERAGE(C$109)*AVERAGE(D$109)/AVERAGE(E$109))*100</f>
        <v>169.15828079055885</v>
      </c>
      <c r="G305" s="31">
        <f>+E305/AVERAGE(E$2:E$13)</f>
        <v>27.464986041925091</v>
      </c>
      <c r="H305" s="31">
        <f>+(C305*D305)/G305</f>
        <v>185.66165634368497</v>
      </c>
      <c r="I305" s="29">
        <v>0</v>
      </c>
      <c r="J305" s="54">
        <f>+F305*(1-I305)/(F$109*(1-I$109))*100</f>
        <v>169.15828079055885</v>
      </c>
      <c r="K305" s="64">
        <f>+H305*(1-I305)</f>
        <v>185.66165634368497</v>
      </c>
      <c r="L305" s="53">
        <f t="shared" si="53"/>
        <v>134.93062583816888</v>
      </c>
      <c r="M305" s="53">
        <f t="shared" si="54"/>
        <v>207.19614896976259</v>
      </c>
    </row>
    <row r="306" spans="1:13" x14ac:dyDescent="0.15">
      <c r="A306" s="40">
        <v>43221</v>
      </c>
      <c r="B306" s="12" t="s">
        <v>2</v>
      </c>
      <c r="C306" s="66">
        <v>261</v>
      </c>
      <c r="D306" s="50">
        <f>SOJA!D306</f>
        <v>23.668700000000001</v>
      </c>
      <c r="E306" s="30">
        <f>SOJA!E306</f>
        <v>28.041750748805516</v>
      </c>
      <c r="F306" s="31">
        <f t="shared" ref="F306:F319" si="65">+(C306*(D306/E306))/(AVERAGE(C$109)*AVERAGE(D$109)/AVERAGE(E$109))*100</f>
        <v>200.71546211343804</v>
      </c>
      <c r="G306" s="31">
        <f t="shared" ref="G306:G313" si="66">+E306/AVERAGE(E$2:E$13)</f>
        <v>28.041750748805519</v>
      </c>
      <c r="H306" s="31">
        <f t="shared" ref="H306:H313" si="67">+(C306*D306)/G306</f>
        <v>220.29761106350114</v>
      </c>
      <c r="I306" s="29">
        <v>0</v>
      </c>
      <c r="J306" s="54">
        <f t="shared" ref="J306:J313" si="68">+F306*(1-I306)/(F$109*(1-I$109))*100</f>
        <v>200.71546211343804</v>
      </c>
      <c r="K306" s="64">
        <f t="shared" ref="K306:K313" si="69">+H306*(1-I306)</f>
        <v>220.29761106350114</v>
      </c>
      <c r="L306" s="53">
        <f t="shared" si="53"/>
        <v>134.93062583816888</v>
      </c>
      <c r="M306" s="53">
        <f t="shared" si="54"/>
        <v>207.19614896976259</v>
      </c>
    </row>
    <row r="307" spans="1:13" x14ac:dyDescent="0.15">
      <c r="A307" s="40">
        <v>43252</v>
      </c>
      <c r="B307" s="12" t="s">
        <v>4</v>
      </c>
      <c r="C307" s="66">
        <v>249</v>
      </c>
      <c r="D307" s="50">
        <f>SOJA!D307</f>
        <v>26.534199999999998</v>
      </c>
      <c r="E307" s="30">
        <f>SOJA!E307</f>
        <v>29.079295526511316</v>
      </c>
      <c r="F307" s="31">
        <f t="shared" si="65"/>
        <v>207.01056289528751</v>
      </c>
      <c r="G307" s="31">
        <f t="shared" si="66"/>
        <v>29.07929552651132</v>
      </c>
      <c r="H307" s="31">
        <f t="shared" si="67"/>
        <v>227.20687280668287</v>
      </c>
      <c r="I307" s="29">
        <v>0</v>
      </c>
      <c r="J307" s="54">
        <f t="shared" si="68"/>
        <v>207.01056289528751</v>
      </c>
      <c r="K307" s="64">
        <f t="shared" si="69"/>
        <v>227.20687280668287</v>
      </c>
      <c r="L307" s="53">
        <f t="shared" si="53"/>
        <v>134.93062583816888</v>
      </c>
      <c r="M307" s="53">
        <f t="shared" si="54"/>
        <v>207.19614896976259</v>
      </c>
    </row>
    <row r="308" spans="1:13" x14ac:dyDescent="0.15">
      <c r="A308" s="40">
        <v>43282</v>
      </c>
      <c r="B308" s="12" t="s">
        <v>4</v>
      </c>
      <c r="C308" s="66">
        <v>242</v>
      </c>
      <c r="D308" s="50">
        <f>SOJA!D308</f>
        <v>27.624700000000001</v>
      </c>
      <c r="E308" s="30">
        <f>SOJA!E308</f>
        <v>29.980753687833165</v>
      </c>
      <c r="F308" s="31">
        <f t="shared" si="65"/>
        <v>203.16150994198617</v>
      </c>
      <c r="G308" s="31">
        <f t="shared" si="66"/>
        <v>29.980753687833168</v>
      </c>
      <c r="H308" s="31">
        <f t="shared" si="67"/>
        <v>222.98229956483678</v>
      </c>
      <c r="I308" s="29">
        <v>0</v>
      </c>
      <c r="J308" s="54">
        <f t="shared" si="68"/>
        <v>203.16150994198617</v>
      </c>
      <c r="K308" s="64">
        <f t="shared" si="69"/>
        <v>222.98229956483678</v>
      </c>
      <c r="L308" s="53">
        <f t="shared" si="53"/>
        <v>134.93062583816888</v>
      </c>
      <c r="M308" s="53">
        <f t="shared" si="54"/>
        <v>207.19614896976259</v>
      </c>
    </row>
    <row r="309" spans="1:13" x14ac:dyDescent="0.15">
      <c r="A309" s="40">
        <v>43313</v>
      </c>
      <c r="B309" s="12" t="s">
        <v>3</v>
      </c>
      <c r="C309" s="66">
        <v>252</v>
      </c>
      <c r="D309" s="50">
        <f>SOJA!D309</f>
        <v>30.124500000000001</v>
      </c>
      <c r="E309" s="30">
        <f>SOJA!E309</f>
        <v>31.150003081658657</v>
      </c>
      <c r="F309" s="31">
        <f t="shared" si="65"/>
        <v>222.04108260601632</v>
      </c>
      <c r="G309" s="31">
        <f t="shared" si="66"/>
        <v>31.15000308165866</v>
      </c>
      <c r="H309" s="31">
        <f t="shared" si="67"/>
        <v>243.70379611518737</v>
      </c>
      <c r="I309" s="29">
        <v>0</v>
      </c>
      <c r="J309" s="54">
        <f t="shared" si="68"/>
        <v>222.04108260601632</v>
      </c>
      <c r="K309" s="64">
        <f t="shared" si="69"/>
        <v>243.70379611518737</v>
      </c>
      <c r="L309" s="53">
        <f t="shared" si="53"/>
        <v>134.93062583816888</v>
      </c>
      <c r="M309" s="53">
        <f t="shared" si="54"/>
        <v>207.19614896976259</v>
      </c>
    </row>
    <row r="310" spans="1:13" x14ac:dyDescent="0.15">
      <c r="A310" s="40">
        <v>43344</v>
      </c>
      <c r="B310" s="12" t="s">
        <v>5</v>
      </c>
      <c r="C310" s="66">
        <v>243</v>
      </c>
      <c r="D310" s="50">
        <f>SOJA!D310</f>
        <v>38.590000000000003</v>
      </c>
      <c r="E310" s="30">
        <f>SOJA!E310</f>
        <v>33.174753281966467</v>
      </c>
      <c r="F310" s="31">
        <f t="shared" si="65"/>
        <v>257.53982274665287</v>
      </c>
      <c r="G310" s="31">
        <f t="shared" si="66"/>
        <v>33.174753281966474</v>
      </c>
      <c r="H310" s="31">
        <f t="shared" si="67"/>
        <v>282.66585497404327</v>
      </c>
      <c r="I310" s="29">
        <f t="shared" ref="I310:I315" si="70">4/D310</f>
        <v>0.10365379632029022</v>
      </c>
      <c r="J310" s="54">
        <f t="shared" si="68"/>
        <v>230.84484241530765</v>
      </c>
      <c r="K310" s="64">
        <f t="shared" si="69"/>
        <v>253.3664660158631</v>
      </c>
      <c r="L310" s="53">
        <f t="shared" si="53"/>
        <v>134.93062583816888</v>
      </c>
      <c r="M310" s="53">
        <f t="shared" si="54"/>
        <v>207.19614896976259</v>
      </c>
    </row>
    <row r="311" spans="1:13" x14ac:dyDescent="0.15">
      <c r="A311" s="40">
        <v>43374</v>
      </c>
      <c r="B311" s="12" t="s">
        <v>6</v>
      </c>
      <c r="C311" s="66">
        <v>242</v>
      </c>
      <c r="D311" s="50">
        <f>SOJA!D311</f>
        <v>37.120199999999997</v>
      </c>
      <c r="E311" s="30">
        <f>SOJA!E311</f>
        <v>34.966189959192661</v>
      </c>
      <c r="F311" s="31">
        <f t="shared" si="65"/>
        <v>234.07142704720329</v>
      </c>
      <c r="G311" s="31">
        <f t="shared" si="66"/>
        <v>34.966189959192668</v>
      </c>
      <c r="H311" s="31">
        <f t="shared" si="67"/>
        <v>256.9078418461869</v>
      </c>
      <c r="I311" s="29">
        <f t="shared" si="70"/>
        <v>0.10775804009676673</v>
      </c>
      <c r="J311" s="54">
        <f t="shared" si="68"/>
        <v>208.84834882594333</v>
      </c>
      <c r="K311" s="64">
        <f t="shared" si="69"/>
        <v>229.2239563233517</v>
      </c>
      <c r="L311" s="53">
        <f t="shared" si="53"/>
        <v>134.93062583816888</v>
      </c>
      <c r="M311" s="53">
        <f t="shared" si="54"/>
        <v>207.19614896976259</v>
      </c>
    </row>
    <row r="312" spans="1:13" x14ac:dyDescent="0.15">
      <c r="A312" s="40">
        <v>43405</v>
      </c>
      <c r="B312" s="12" t="s">
        <v>7</v>
      </c>
      <c r="C312" s="66">
        <v>238</v>
      </c>
      <c r="D312" s="50">
        <f>SOJA!D312</f>
        <v>36.459000000000003</v>
      </c>
      <c r="E312" s="30">
        <f>SOJA!E312</f>
        <v>36.085108037886826</v>
      </c>
      <c r="F312" s="31">
        <f t="shared" si="65"/>
        <v>219.09110300027433</v>
      </c>
      <c r="G312" s="31">
        <f t="shared" si="66"/>
        <v>36.085108037886833</v>
      </c>
      <c r="H312" s="31">
        <f t="shared" si="67"/>
        <v>240.46601137758836</v>
      </c>
      <c r="I312" s="29">
        <f t="shared" si="70"/>
        <v>0.10971227954688828</v>
      </c>
      <c r="J312" s="54">
        <f t="shared" si="68"/>
        <v>195.05411866167213</v>
      </c>
      <c r="K312" s="64">
        <f t="shared" si="69"/>
        <v>214.08393711580516</v>
      </c>
      <c r="L312" s="53">
        <f t="shared" si="53"/>
        <v>134.93062583816888</v>
      </c>
      <c r="M312" s="53">
        <f t="shared" si="54"/>
        <v>207.19614896976259</v>
      </c>
    </row>
    <row r="313" spans="1:13" x14ac:dyDescent="0.15">
      <c r="A313" s="40">
        <v>43435</v>
      </c>
      <c r="B313" s="12" t="s">
        <v>64</v>
      </c>
      <c r="C313" s="66">
        <v>240</v>
      </c>
      <c r="D313" s="50">
        <f>SOJA!D313</f>
        <v>37.885199999999998</v>
      </c>
      <c r="E313" s="30">
        <f>SOJA!E313</f>
        <v>37.023320846871883</v>
      </c>
      <c r="F313" s="31">
        <f t="shared" si="65"/>
        <v>223.75693131476035</v>
      </c>
      <c r="G313" s="31">
        <f t="shared" si="66"/>
        <v>37.02332084687189</v>
      </c>
      <c r="H313" s="31">
        <f t="shared" si="67"/>
        <v>245.58704600287695</v>
      </c>
      <c r="I313" s="29">
        <f t="shared" si="70"/>
        <v>0.10558212705753171</v>
      </c>
      <c r="J313" s="54">
        <f t="shared" si="68"/>
        <v>200.13219856268191</v>
      </c>
      <c r="K313" s="64">
        <f t="shared" si="69"/>
        <v>219.65744330811731</v>
      </c>
      <c r="L313" s="53">
        <f t="shared" si="53"/>
        <v>134.93062583816888</v>
      </c>
      <c r="M313" s="53">
        <f t="shared" si="54"/>
        <v>207.19614896976259</v>
      </c>
    </row>
    <row r="314" spans="1:13" x14ac:dyDescent="0.15">
      <c r="A314" s="40">
        <v>43466</v>
      </c>
      <c r="B314" s="12" t="s">
        <v>65</v>
      </c>
      <c r="C314" s="66">
        <v>242</v>
      </c>
      <c r="D314" s="50">
        <f>SOJA!D314</f>
        <v>37.4069</v>
      </c>
      <c r="E314" s="30">
        <f>SOJA!E314</f>
        <v>38.096997151431168</v>
      </c>
      <c r="F314" s="31">
        <f t="shared" si="65"/>
        <v>216.49475600427274</v>
      </c>
      <c r="G314" s="31">
        <f t="shared" ref="G314:G325" si="71">+E314/AVERAGE(E$2:E$13)</f>
        <v>38.096997151431175</v>
      </c>
      <c r="H314" s="31">
        <f t="shared" ref="H314:H325" si="72">+(C314*D314)/G314</f>
        <v>237.61636026108505</v>
      </c>
      <c r="I314" s="29">
        <f t="shared" si="70"/>
        <v>0.10693214353501626</v>
      </c>
      <c r="J314" s="54">
        <f t="shared" ref="J314:J325" si="73">+F314*(1-I314)/(F$109*(1-I$109))*100</f>
        <v>193.34450768064553</v>
      </c>
      <c r="K314" s="64">
        <f t="shared" ref="K314:K325" si="74">+H314*(1-I314)</f>
        <v>212.20753351937859</v>
      </c>
      <c r="L314" s="53">
        <f t="shared" si="53"/>
        <v>134.93062583816888</v>
      </c>
      <c r="M314" s="53">
        <f t="shared" si="54"/>
        <v>207.19614896976259</v>
      </c>
    </row>
    <row r="315" spans="1:13" x14ac:dyDescent="0.15">
      <c r="A315" s="40">
        <v>43497</v>
      </c>
      <c r="B315" s="12" t="s">
        <v>1</v>
      </c>
      <c r="C315" s="66">
        <v>237</v>
      </c>
      <c r="D315" s="50">
        <f>SOJA!D315</f>
        <v>38.4086</v>
      </c>
      <c r="E315" s="30">
        <f>SOJA!E315</f>
        <v>39.54468304318555</v>
      </c>
      <c r="F315" s="31">
        <f t="shared" si="65"/>
        <v>209.72961828591997</v>
      </c>
      <c r="G315" s="31">
        <f t="shared" si="71"/>
        <v>39.544683043185557</v>
      </c>
      <c r="H315" s="31">
        <f t="shared" si="72"/>
        <v>230.19120396183388</v>
      </c>
      <c r="I315" s="29">
        <f t="shared" si="70"/>
        <v>0.10414334289716366</v>
      </c>
      <c r="J315" s="54">
        <f t="shared" si="73"/>
        <v>187.88767473307817</v>
      </c>
      <c r="K315" s="64">
        <f t="shared" si="74"/>
        <v>206.21832247572567</v>
      </c>
      <c r="L315" s="53">
        <f t="shared" si="53"/>
        <v>134.93062583816888</v>
      </c>
      <c r="M315" s="53">
        <f t="shared" si="54"/>
        <v>207.19614896976259</v>
      </c>
    </row>
    <row r="316" spans="1:13" x14ac:dyDescent="0.15">
      <c r="A316" s="40">
        <v>43525</v>
      </c>
      <c r="B316" s="12" t="s">
        <v>2</v>
      </c>
      <c r="C316" s="66">
        <v>224</v>
      </c>
      <c r="D316" s="50">
        <f>SOJA!D316</f>
        <v>41.362400000000001</v>
      </c>
      <c r="E316" s="30">
        <f>SOJA!E316</f>
        <v>41.403283146215266</v>
      </c>
      <c r="F316" s="31">
        <f t="shared" si="65"/>
        <v>203.8872226315234</v>
      </c>
      <c r="G316" s="31">
        <f t="shared" si="71"/>
        <v>41.403283146215273</v>
      </c>
      <c r="H316" s="31">
        <f t="shared" si="72"/>
        <v>223.77881404429019</v>
      </c>
      <c r="I316" s="29">
        <f t="shared" ref="I316:I324" si="75">4/D316</f>
        <v>9.6706187261861018E-2</v>
      </c>
      <c r="J316" s="54">
        <f t="shared" si="73"/>
        <v>184.17006669941856</v>
      </c>
      <c r="K316" s="64">
        <f t="shared" si="74"/>
        <v>202.13801814808591</v>
      </c>
      <c r="L316" s="53">
        <f t="shared" si="53"/>
        <v>134.93062583816888</v>
      </c>
      <c r="M316" s="53">
        <f t="shared" si="54"/>
        <v>207.19614896976259</v>
      </c>
    </row>
    <row r="317" spans="1:13" x14ac:dyDescent="0.15">
      <c r="A317" s="40">
        <v>43556</v>
      </c>
      <c r="B317" s="12" t="s">
        <v>3</v>
      </c>
      <c r="C317" s="66">
        <v>217</v>
      </c>
      <c r="D317" s="50">
        <f>SOJA!D317</f>
        <v>43.233800000000002</v>
      </c>
      <c r="E317" s="30">
        <f>SOJA!E317</f>
        <v>42.810994773186593</v>
      </c>
      <c r="F317" s="31">
        <f t="shared" si="65"/>
        <v>199.66358544079782</v>
      </c>
      <c r="G317" s="31">
        <f t="shared" si="71"/>
        <v>42.8109947731866</v>
      </c>
      <c r="H317" s="31">
        <f t="shared" si="72"/>
        <v>219.14311147649323</v>
      </c>
      <c r="I317" s="29">
        <f t="shared" si="75"/>
        <v>9.2520204099570236E-2</v>
      </c>
      <c r="J317" s="54">
        <f t="shared" si="73"/>
        <v>181.19066976456321</v>
      </c>
      <c r="K317" s="64">
        <f t="shared" si="74"/>
        <v>198.86794607567319</v>
      </c>
      <c r="L317" s="53">
        <f t="shared" si="53"/>
        <v>134.93062583816888</v>
      </c>
      <c r="M317" s="53">
        <f t="shared" si="54"/>
        <v>207.19614896976259</v>
      </c>
    </row>
    <row r="318" spans="1:13" x14ac:dyDescent="0.15">
      <c r="A318" s="40">
        <v>43586</v>
      </c>
      <c r="B318" s="12" t="s">
        <v>2</v>
      </c>
      <c r="C318" s="66">
        <v>214</v>
      </c>
      <c r="D318" s="50">
        <f>SOJA!D318</f>
        <v>44.933199999999999</v>
      </c>
      <c r="E318" s="30">
        <f>SOJA!E318</f>
        <v>44.138135611155377</v>
      </c>
      <c r="F318" s="31">
        <f t="shared" si="65"/>
        <v>198.48979329491326</v>
      </c>
      <c r="G318" s="31">
        <f t="shared" si="71"/>
        <v>44.138135611155384</v>
      </c>
      <c r="H318" s="31">
        <f t="shared" si="72"/>
        <v>217.8548021310113</v>
      </c>
      <c r="I318" s="29">
        <f t="shared" si="75"/>
        <v>8.9021035670728998E-2</v>
      </c>
      <c r="J318" s="54">
        <f t="shared" si="73"/>
        <v>180.82002632573113</v>
      </c>
      <c r="K318" s="64">
        <f t="shared" si="74"/>
        <v>198.46114201946693</v>
      </c>
      <c r="L318" s="53">
        <f t="shared" si="53"/>
        <v>134.93062583816888</v>
      </c>
      <c r="M318" s="53">
        <f t="shared" si="54"/>
        <v>207.19614896976259</v>
      </c>
    </row>
    <row r="319" spans="1:13" x14ac:dyDescent="0.15">
      <c r="A319" s="40">
        <v>43617</v>
      </c>
      <c r="B319" s="12" t="s">
        <v>4</v>
      </c>
      <c r="C319" s="65">
        <v>232</v>
      </c>
      <c r="D319" s="50">
        <f>SOJA!D319</f>
        <v>43.789400000000001</v>
      </c>
      <c r="E319" s="30">
        <f>SOJA!E319</f>
        <v>45.329865272656569</v>
      </c>
      <c r="F319" s="31">
        <f t="shared" si="65"/>
        <v>204.19428985511541</v>
      </c>
      <c r="G319" s="31">
        <f t="shared" si="71"/>
        <v>45.329865272656576</v>
      </c>
      <c r="H319" s="31">
        <f t="shared" si="72"/>
        <v>224.11583927932156</v>
      </c>
      <c r="I319" s="29">
        <f t="shared" si="75"/>
        <v>9.1346307553882899E-2</v>
      </c>
      <c r="J319" s="54">
        <f t="shared" si="73"/>
        <v>185.54189545326332</v>
      </c>
      <c r="K319" s="64">
        <f t="shared" si="74"/>
        <v>203.64368489681604</v>
      </c>
      <c r="L319" s="53">
        <f t="shared" si="53"/>
        <v>134.93062583816888</v>
      </c>
      <c r="M319" s="53">
        <f t="shared" si="54"/>
        <v>207.19614896976259</v>
      </c>
    </row>
    <row r="320" spans="1:13" x14ac:dyDescent="0.15">
      <c r="A320" s="40">
        <v>43647</v>
      </c>
      <c r="B320" s="12" t="s">
        <v>4</v>
      </c>
      <c r="C320" s="65">
        <v>228</v>
      </c>
      <c r="D320" s="50">
        <f>SOJA!D320</f>
        <v>42.543399999999998</v>
      </c>
      <c r="E320" s="30">
        <f>SOJA!E320</f>
        <v>46.327122308655014</v>
      </c>
      <c r="F320" s="31">
        <f t="shared" ref="F320:F325" si="76">+(C320*(D320/E320))/(AVERAGE(C$109)*AVERAGE(D$109)/AVERAGE(E$109))*100</f>
        <v>190.76678475166162</v>
      </c>
      <c r="G320" s="31">
        <f t="shared" si="71"/>
        <v>46.327122308655021</v>
      </c>
      <c r="H320" s="31">
        <f t="shared" si="72"/>
        <v>209.37832346620471</v>
      </c>
      <c r="I320" s="29">
        <f t="shared" si="75"/>
        <v>9.4021634378070401E-2</v>
      </c>
      <c r="J320" s="54">
        <f t="shared" si="73"/>
        <v>172.83057986426084</v>
      </c>
      <c r="K320" s="64">
        <f t="shared" si="74"/>
        <v>189.69223129057184</v>
      </c>
      <c r="L320" s="53">
        <f t="shared" si="53"/>
        <v>134.93062583816888</v>
      </c>
      <c r="M320" s="53">
        <f t="shared" si="54"/>
        <v>207.19614896976259</v>
      </c>
    </row>
    <row r="321" spans="1:13" x14ac:dyDescent="0.15">
      <c r="A321" s="40">
        <v>43678</v>
      </c>
      <c r="B321" s="12" t="s">
        <v>3</v>
      </c>
      <c r="C321" s="65">
        <v>213</v>
      </c>
      <c r="D321" s="50">
        <f>SOJA!D321</f>
        <v>52.7271</v>
      </c>
      <c r="E321" s="30">
        <f>SOJA!E321</f>
        <v>48.180207201001217</v>
      </c>
      <c r="F321" s="31">
        <f t="shared" si="76"/>
        <v>212.38110095841142</v>
      </c>
      <c r="G321" s="31">
        <f t="shared" si="71"/>
        <v>48.180207201001224</v>
      </c>
      <c r="H321" s="31">
        <f t="shared" si="72"/>
        <v>233.10136988714765</v>
      </c>
      <c r="I321" s="29">
        <f t="shared" si="75"/>
        <v>7.5862317480005534E-2</v>
      </c>
      <c r="J321" s="54">
        <f t="shared" si="73"/>
        <v>196.2693784507513</v>
      </c>
      <c r="K321" s="64">
        <f t="shared" si="74"/>
        <v>215.41775975974465</v>
      </c>
      <c r="L321" s="53">
        <f t="shared" si="53"/>
        <v>134.93062583816888</v>
      </c>
      <c r="M321" s="53">
        <f t="shared" si="54"/>
        <v>207.19614896976259</v>
      </c>
    </row>
    <row r="322" spans="1:13" x14ac:dyDescent="0.15">
      <c r="A322" s="40">
        <v>43709</v>
      </c>
      <c r="B322" s="12" t="s">
        <v>5</v>
      </c>
      <c r="C322" s="65">
        <v>207</v>
      </c>
      <c r="D322" s="50">
        <f>SOJA!D322</f>
        <v>56.501399999999997</v>
      </c>
      <c r="E322" s="30">
        <f>SOJA!E322</f>
        <v>51.022839425860283</v>
      </c>
      <c r="F322" s="31">
        <f t="shared" si="76"/>
        <v>208.85071815194775</v>
      </c>
      <c r="G322" s="31">
        <f t="shared" si="71"/>
        <v>51.02283942586029</v>
      </c>
      <c r="H322" s="31">
        <f t="shared" si="72"/>
        <v>229.22655680491457</v>
      </c>
      <c r="I322" s="29">
        <f t="shared" si="75"/>
        <v>7.0794705971887431E-2</v>
      </c>
      <c r="J322" s="54">
        <f t="shared" si="73"/>
        <v>194.06519296836308</v>
      </c>
      <c r="K322" s="64">
        <f t="shared" si="74"/>
        <v>212.99853011496248</v>
      </c>
      <c r="L322" s="53">
        <f t="shared" si="53"/>
        <v>134.93062583816888</v>
      </c>
      <c r="M322" s="53">
        <f t="shared" si="54"/>
        <v>207.19614896976259</v>
      </c>
    </row>
    <row r="323" spans="1:13" x14ac:dyDescent="0.15">
      <c r="A323" s="40">
        <v>43739</v>
      </c>
      <c r="B323" s="12" t="s">
        <v>6</v>
      </c>
      <c r="C323" s="65">
        <v>219</v>
      </c>
      <c r="D323" s="50">
        <f>SOJA!D323</f>
        <v>58.530799999999999</v>
      </c>
      <c r="E323" s="30">
        <f>SOJA!E323</f>
        <v>52.706593126913674</v>
      </c>
      <c r="F323" s="31">
        <f t="shared" si="76"/>
        <v>221.58209896362476</v>
      </c>
      <c r="G323" s="31">
        <f t="shared" si="71"/>
        <v>52.706593126913681</v>
      </c>
      <c r="H323" s="31">
        <f t="shared" si="72"/>
        <v>243.20003323179299</v>
      </c>
      <c r="I323" s="29">
        <f t="shared" si="75"/>
        <v>6.8340087611992326E-2</v>
      </c>
      <c r="J323" s="54">
        <f t="shared" si="73"/>
        <v>206.43915890720149</v>
      </c>
      <c r="K323" s="64">
        <f t="shared" si="74"/>
        <v>226.57972165349281</v>
      </c>
      <c r="L323" s="53">
        <f t="shared" si="53"/>
        <v>134.93062583816888</v>
      </c>
      <c r="M323" s="53">
        <f t="shared" si="54"/>
        <v>207.19614896976259</v>
      </c>
    </row>
    <row r="324" spans="1:13" x14ac:dyDescent="0.15">
      <c r="A324" s="40">
        <v>43770</v>
      </c>
      <c r="B324" s="12" t="s">
        <v>7</v>
      </c>
      <c r="C324" s="65">
        <v>225</v>
      </c>
      <c r="D324" s="50">
        <f>SOJA!D324</f>
        <v>59.738100000000003</v>
      </c>
      <c r="E324" s="30">
        <f>SOJA!E324</f>
        <v>54.972976631370955</v>
      </c>
      <c r="F324" s="31">
        <f t="shared" si="76"/>
        <v>222.76949084518586</v>
      </c>
      <c r="G324" s="31">
        <f t="shared" si="71"/>
        <v>54.972976631370962</v>
      </c>
      <c r="H324" s="31">
        <f t="shared" si="72"/>
        <v>244.50326912677488</v>
      </c>
      <c r="I324" s="29">
        <f t="shared" si="75"/>
        <v>6.6958942450462938E-2</v>
      </c>
      <c r="J324" s="54">
        <f t="shared" si="73"/>
        <v>207.85308132796411</v>
      </c>
      <c r="K324" s="64">
        <f t="shared" si="74"/>
        <v>228.13158880036511</v>
      </c>
      <c r="L324" s="53">
        <f t="shared" si="53"/>
        <v>134.93062583816888</v>
      </c>
      <c r="M324" s="53">
        <f t="shared" si="54"/>
        <v>207.19614896976259</v>
      </c>
    </row>
    <row r="325" spans="1:13" x14ac:dyDescent="0.15">
      <c r="A325" s="40">
        <v>43800</v>
      </c>
      <c r="B325" s="12" t="s">
        <v>66</v>
      </c>
      <c r="C325" s="65">
        <v>204.78947368421052</v>
      </c>
      <c r="D325" s="50">
        <f>SOJA!D325</f>
        <v>59.883199999999988</v>
      </c>
      <c r="E325" s="30">
        <f>SOJA!E325</f>
        <v>57.006976766731668</v>
      </c>
      <c r="F325" s="31">
        <f t="shared" si="76"/>
        <v>195.99981520901972</v>
      </c>
      <c r="G325" s="31">
        <f t="shared" si="71"/>
        <v>57.006976766731675</v>
      </c>
      <c r="H325" s="31">
        <f t="shared" si="72"/>
        <v>215.1218974601554</v>
      </c>
      <c r="I325" s="29">
        <v>0.12</v>
      </c>
      <c r="J325" s="54">
        <f t="shared" si="73"/>
        <v>172.47983738393734</v>
      </c>
      <c r="K325" s="64">
        <f t="shared" si="74"/>
        <v>189.30726976493676</v>
      </c>
      <c r="L325" s="53">
        <f t="shared" si="53"/>
        <v>134.93062583816888</v>
      </c>
      <c r="M325" s="53">
        <f t="shared" si="54"/>
        <v>207.19614896976259</v>
      </c>
    </row>
    <row r="326" spans="1:13" x14ac:dyDescent="0.15">
      <c r="A326" s="40">
        <v>43831</v>
      </c>
      <c r="B326" s="12" t="s">
        <v>67</v>
      </c>
      <c r="C326" s="65">
        <v>244</v>
      </c>
      <c r="D326" s="50">
        <f>SOJA!D326</f>
        <v>60.011000000000003</v>
      </c>
      <c r="E326" s="30">
        <f>SOJA!E326</f>
        <v>58.318137232366489</v>
      </c>
      <c r="F326" s="31">
        <f>+(C326*(D326/E326))/(AVERAGE(C$109)*AVERAGE(D$109)/AVERAGE(E$109))*100</f>
        <v>228.76421432234901</v>
      </c>
      <c r="G326" s="31">
        <f>+E326/AVERAGE(E$2:E$13)</f>
        <v>58.318137232366496</v>
      </c>
      <c r="H326" s="31">
        <f>+(C326*D326)/G326</f>
        <v>251.08284823393379</v>
      </c>
      <c r="I326" s="29">
        <v>0.12</v>
      </c>
      <c r="J326" s="54">
        <f>+F326*(1-I326)/(F$109*(1-I$109))*100</f>
        <v>201.31250860366711</v>
      </c>
      <c r="K326" s="64">
        <f>+H326*(1-I326)</f>
        <v>220.95290644586174</v>
      </c>
      <c r="L326" s="53">
        <f t="shared" si="53"/>
        <v>134.93062583816888</v>
      </c>
      <c r="M326" s="53">
        <f t="shared" si="54"/>
        <v>207.19614896976259</v>
      </c>
    </row>
    <row r="327" spans="1:13" x14ac:dyDescent="0.15">
      <c r="A327" s="40">
        <v>43862</v>
      </c>
      <c r="B327" s="12" t="s">
        <v>1</v>
      </c>
      <c r="C327" s="65">
        <v>235</v>
      </c>
      <c r="D327" s="50">
        <f>SOJA!D327</f>
        <v>61.348399999999998</v>
      </c>
      <c r="E327" s="30">
        <f>SOJA!E327</f>
        <v>59.484499977013819</v>
      </c>
      <c r="F327" s="31">
        <f>+(C327*(D327/E327))/(AVERAGE(C$109)*AVERAGE(D$109)/AVERAGE(E$109))*100</f>
        <v>220.81996137378434</v>
      </c>
      <c r="G327" s="31">
        <f>+E327/AVERAGE(E$2:E$13)</f>
        <v>59.484499977013826</v>
      </c>
      <c r="H327" s="31">
        <f>+(C327*D327)/G327</f>
        <v>242.36354017552489</v>
      </c>
      <c r="I327" s="29">
        <v>0.12</v>
      </c>
      <c r="J327" s="54">
        <f>+F327*(1-I327)/(F$109*(1-I$109))*100</f>
        <v>194.3215660089302</v>
      </c>
      <c r="K327" s="64">
        <f>+H327*(1-I327)</f>
        <v>213.27991535446191</v>
      </c>
      <c r="L327" s="53">
        <f t="shared" si="53"/>
        <v>134.93062583816888</v>
      </c>
      <c r="M327" s="53">
        <f t="shared" si="54"/>
        <v>207.19614896976259</v>
      </c>
    </row>
    <row r="328" spans="1:13" x14ac:dyDescent="0.15">
      <c r="A328" s="40">
        <v>43891</v>
      </c>
      <c r="B328" s="12" t="s">
        <v>2</v>
      </c>
      <c r="C328" s="65">
        <v>228</v>
      </c>
      <c r="D328" s="50">
        <f>SOJA!D328</f>
        <v>63.122700000000002</v>
      </c>
      <c r="E328" s="30">
        <f>SOJA!E328</f>
        <v>61.447488476255266</v>
      </c>
      <c r="F328" s="31">
        <f t="shared" ref="F328:F345" si="77">+(C328*(D328/E328))/(AVERAGE(C$109)*AVERAGE(D$109)/AVERAGE(E$109))*100</f>
        <v>213.39651333609865</v>
      </c>
      <c r="G328" s="31">
        <f t="shared" ref="G328:G345" si="78">+E328/AVERAGE(E$2:E$13)</f>
        <v>61.447488476255273</v>
      </c>
      <c r="H328" s="31">
        <f t="shared" ref="H328:H345" si="79">+(C328*D328)/G328</f>
        <v>234.21584765928051</v>
      </c>
      <c r="I328" s="29">
        <v>0.12</v>
      </c>
      <c r="J328" s="54">
        <f t="shared" ref="J328:J345" si="80">+F328*(1-I328)/(F$109*(1-I$109))*100</f>
        <v>187.78893173576682</v>
      </c>
      <c r="K328" s="64">
        <f t="shared" ref="K328:K345" si="81">+H328*(1-I328)</f>
        <v>206.10994594016685</v>
      </c>
      <c r="L328" s="53">
        <f t="shared" si="53"/>
        <v>134.93062583816888</v>
      </c>
      <c r="M328" s="53">
        <f t="shared" si="54"/>
        <v>207.19614896976259</v>
      </c>
    </row>
    <row r="329" spans="1:13" x14ac:dyDescent="0.15">
      <c r="A329" s="40">
        <v>43922</v>
      </c>
      <c r="B329" s="12" t="s">
        <v>3</v>
      </c>
      <c r="C329" s="65">
        <v>236</v>
      </c>
      <c r="D329" s="50">
        <f>SOJA!D329</f>
        <v>65.762</v>
      </c>
      <c r="E329" s="30">
        <f>SOJA!E329</f>
        <v>62.369200803399096</v>
      </c>
      <c r="F329" s="31">
        <f t="shared" si="77"/>
        <v>226.71897984404757</v>
      </c>
      <c r="G329" s="31">
        <f t="shared" si="78"/>
        <v>62.369200803399103</v>
      </c>
      <c r="H329" s="31">
        <f t="shared" si="79"/>
        <v>248.83807712915529</v>
      </c>
      <c r="I329" s="29">
        <v>0.12</v>
      </c>
      <c r="J329" s="54">
        <f t="shared" si="80"/>
        <v>199.51270226276185</v>
      </c>
      <c r="K329" s="64">
        <f t="shared" si="81"/>
        <v>218.97750787365666</v>
      </c>
      <c r="L329" s="53">
        <f t="shared" si="53"/>
        <v>134.93062583816888</v>
      </c>
      <c r="M329" s="53">
        <f t="shared" si="54"/>
        <v>207.19614896976259</v>
      </c>
    </row>
    <row r="330" spans="1:13" x14ac:dyDescent="0.15">
      <c r="A330" s="40">
        <v>43952</v>
      </c>
      <c r="B330" s="12" t="s">
        <v>2</v>
      </c>
      <c r="C330" s="65">
        <v>229</v>
      </c>
      <c r="D330" s="50">
        <f>SOJA!D330</f>
        <v>67.725499999999997</v>
      </c>
      <c r="E330" s="30">
        <f>SOJA!E330</f>
        <v>63.304738815450079</v>
      </c>
      <c r="F330" s="31">
        <f t="shared" si="77"/>
        <v>223.21456174433055</v>
      </c>
      <c r="G330" s="31">
        <f t="shared" si="78"/>
        <v>63.304738815450087</v>
      </c>
      <c r="H330" s="31">
        <f t="shared" si="79"/>
        <v>244.99176191553696</v>
      </c>
      <c r="I330" s="29">
        <v>0.12</v>
      </c>
      <c r="J330" s="54">
        <f t="shared" si="80"/>
        <v>196.42881433501088</v>
      </c>
      <c r="K330" s="64">
        <f t="shared" si="81"/>
        <v>215.59275048567252</v>
      </c>
      <c r="L330" s="53">
        <f t="shared" si="53"/>
        <v>134.93062583816888</v>
      </c>
      <c r="M330" s="53">
        <f t="shared" si="54"/>
        <v>207.19614896976259</v>
      </c>
    </row>
    <row r="331" spans="1:13" x14ac:dyDescent="0.15">
      <c r="A331" s="40">
        <v>43983</v>
      </c>
      <c r="B331" s="12" t="s">
        <v>4</v>
      </c>
      <c r="C331" s="65">
        <v>224</v>
      </c>
      <c r="D331" s="50">
        <f>SOJA!D331</f>
        <v>69.540700000000001</v>
      </c>
      <c r="E331" s="30">
        <f>SOJA!E331</f>
        <v>64.69744306938999</v>
      </c>
      <c r="F331" s="31">
        <f t="shared" si="77"/>
        <v>219.36685111691671</v>
      </c>
      <c r="G331" s="31">
        <f t="shared" si="78"/>
        <v>64.697443069390005</v>
      </c>
      <c r="H331" s="31">
        <f t="shared" si="79"/>
        <v>240.76866195922241</v>
      </c>
      <c r="I331" s="29">
        <v>0.12</v>
      </c>
      <c r="J331" s="54">
        <f t="shared" si="80"/>
        <v>193.0428289828867</v>
      </c>
      <c r="K331" s="64">
        <f t="shared" si="81"/>
        <v>211.87642252411572</v>
      </c>
      <c r="L331" s="53">
        <f t="shared" si="53"/>
        <v>134.93062583816888</v>
      </c>
      <c r="M331" s="53">
        <f t="shared" si="54"/>
        <v>207.19614896976259</v>
      </c>
    </row>
    <row r="332" spans="1:13" x14ac:dyDescent="0.15">
      <c r="A332" s="40">
        <v>44013</v>
      </c>
      <c r="B332" s="12" t="s">
        <v>4</v>
      </c>
      <c r="C332" s="65">
        <v>222</v>
      </c>
      <c r="D332" s="50">
        <f>SOJA!D332</f>
        <v>71.474900000000005</v>
      </c>
      <c r="E332" s="30">
        <f>SOJA!E332</f>
        <v>65.926694487708389</v>
      </c>
      <c r="F332" s="31">
        <f t="shared" si="77"/>
        <v>219.28870950207929</v>
      </c>
      <c r="G332" s="31">
        <f t="shared" si="78"/>
        <v>65.926694487708403</v>
      </c>
      <c r="H332" s="31">
        <f t="shared" si="79"/>
        <v>240.68289671277813</v>
      </c>
      <c r="I332" s="29">
        <v>0.12</v>
      </c>
      <c r="J332" s="54">
        <f t="shared" si="80"/>
        <v>192.97406436182976</v>
      </c>
      <c r="K332" s="64">
        <f t="shared" si="81"/>
        <v>211.80094910724475</v>
      </c>
      <c r="L332" s="53">
        <f t="shared" si="53"/>
        <v>134.93062583816888</v>
      </c>
      <c r="M332" s="53">
        <f t="shared" si="54"/>
        <v>207.19614896976259</v>
      </c>
    </row>
    <row r="333" spans="1:13" x14ac:dyDescent="0.15">
      <c r="A333" s="40">
        <v>44044</v>
      </c>
      <c r="B333" s="12" t="s">
        <v>3</v>
      </c>
      <c r="C333" s="65">
        <v>204</v>
      </c>
      <c r="D333" s="50">
        <f>SOJA!D333</f>
        <v>73.293000000000006</v>
      </c>
      <c r="E333" s="30">
        <f>SOJA!E333</f>
        <v>67.706715238876498</v>
      </c>
      <c r="F333" s="31">
        <f t="shared" si="77"/>
        <v>201.20184700470674</v>
      </c>
      <c r="G333" s="31">
        <f t="shared" si="78"/>
        <v>67.706715238876512</v>
      </c>
      <c r="H333" s="31">
        <f t="shared" si="79"/>
        <v>220.83144850918487</v>
      </c>
      <c r="I333" s="29">
        <v>0.12</v>
      </c>
      <c r="J333" s="54">
        <f t="shared" si="80"/>
        <v>177.05762536414193</v>
      </c>
      <c r="K333" s="64">
        <f t="shared" si="81"/>
        <v>194.33167468808267</v>
      </c>
      <c r="L333" s="53">
        <f t="shared" si="53"/>
        <v>134.93062583816888</v>
      </c>
      <c r="M333" s="53">
        <f t="shared" si="54"/>
        <v>207.19614896976259</v>
      </c>
    </row>
    <row r="334" spans="1:13" x14ac:dyDescent="0.15">
      <c r="A334" s="40">
        <v>44075</v>
      </c>
      <c r="B334" s="12" t="s">
        <v>5</v>
      </c>
      <c r="C334" s="65">
        <v>224</v>
      </c>
      <c r="D334" s="50">
        <f>SOJA!D334</f>
        <v>75.198599999999999</v>
      </c>
      <c r="E334" s="30">
        <f>SOJA!E334</f>
        <v>69.602503265565048</v>
      </c>
      <c r="F334" s="31">
        <f t="shared" si="77"/>
        <v>220.49764542552956</v>
      </c>
      <c r="G334" s="31">
        <f t="shared" si="78"/>
        <v>69.602503265565062</v>
      </c>
      <c r="H334" s="31">
        <f t="shared" si="79"/>
        <v>242.00977852377895</v>
      </c>
      <c r="I334" s="29">
        <v>0.12</v>
      </c>
      <c r="J334" s="54">
        <f t="shared" si="80"/>
        <v>194.03792797446602</v>
      </c>
      <c r="K334" s="64">
        <f t="shared" si="81"/>
        <v>212.96860510092549</v>
      </c>
      <c r="L334" s="53">
        <f t="shared" si="53"/>
        <v>134.93062583816888</v>
      </c>
      <c r="M334" s="53">
        <f t="shared" si="54"/>
        <v>207.19614896976259</v>
      </c>
    </row>
    <row r="335" spans="1:13" x14ac:dyDescent="0.15">
      <c r="A335" s="40">
        <v>44105</v>
      </c>
      <c r="B335" s="12" t="s">
        <v>6</v>
      </c>
      <c r="C335" s="65">
        <v>270</v>
      </c>
      <c r="D335" s="50">
        <f>SOJA!D335</f>
        <v>77.569299999999998</v>
      </c>
      <c r="E335" s="30">
        <f>SOJA!E335</f>
        <v>72.247398389656524</v>
      </c>
      <c r="F335" s="31">
        <f t="shared" si="77"/>
        <v>264.12071580696869</v>
      </c>
      <c r="G335" s="31">
        <f t="shared" si="78"/>
        <v>72.247398389656539</v>
      </c>
      <c r="H335" s="31">
        <f t="shared" si="79"/>
        <v>289.88879138654841</v>
      </c>
      <c r="I335" s="29">
        <v>0.12</v>
      </c>
      <c r="J335" s="54">
        <f t="shared" si="80"/>
        <v>232.42622991013241</v>
      </c>
      <c r="K335" s="64">
        <f t="shared" si="81"/>
        <v>255.10213642016259</v>
      </c>
      <c r="L335" s="53">
        <f t="shared" si="53"/>
        <v>134.93062583816888</v>
      </c>
      <c r="M335" s="53">
        <f t="shared" si="54"/>
        <v>207.19614896976259</v>
      </c>
    </row>
    <row r="336" spans="1:13" x14ac:dyDescent="0.15">
      <c r="A336" s="40">
        <v>44136</v>
      </c>
      <c r="B336" s="12" t="s">
        <v>7</v>
      </c>
      <c r="C336" s="65">
        <v>277</v>
      </c>
      <c r="D336" s="50">
        <f>SOJA!D336</f>
        <v>79.933199999999999</v>
      </c>
      <c r="E336" s="30">
        <f>SOJA!E336</f>
        <v>74.559315138125527</v>
      </c>
      <c r="F336" s="31">
        <f t="shared" si="77"/>
        <v>270.56779385618961</v>
      </c>
      <c r="G336" s="31">
        <f t="shared" si="78"/>
        <v>74.559315138125541</v>
      </c>
      <c r="H336" s="31">
        <f t="shared" si="79"/>
        <v>296.96485756315718</v>
      </c>
      <c r="I336" s="29">
        <v>0.12</v>
      </c>
      <c r="J336" s="54">
        <f t="shared" si="80"/>
        <v>238.09965859344686</v>
      </c>
      <c r="K336" s="64">
        <f t="shared" si="81"/>
        <v>261.32907465557832</v>
      </c>
      <c r="L336" s="53">
        <f t="shared" si="53"/>
        <v>134.93062583816888</v>
      </c>
      <c r="M336" s="53">
        <f t="shared" si="54"/>
        <v>207.19614896976259</v>
      </c>
    </row>
    <row r="337" spans="1:13" x14ac:dyDescent="0.15">
      <c r="A337" s="40">
        <v>44166</v>
      </c>
      <c r="B337" s="12" t="s">
        <v>69</v>
      </c>
      <c r="C337" s="65">
        <v>273</v>
      </c>
      <c r="D337" s="50">
        <f>SOJA!D337</f>
        <v>82.637900000000002</v>
      </c>
      <c r="E337" s="30">
        <f>SOJA!E337</f>
        <v>77.541687743650556</v>
      </c>
      <c r="F337" s="31">
        <f t="shared" si="77"/>
        <v>265.08045777908472</v>
      </c>
      <c r="G337" s="31">
        <f t="shared" si="78"/>
        <v>77.54168774365057</v>
      </c>
      <c r="H337" s="31">
        <f t="shared" si="79"/>
        <v>290.94216745169206</v>
      </c>
      <c r="I337" s="29">
        <v>0.12</v>
      </c>
      <c r="J337" s="54">
        <f t="shared" si="80"/>
        <v>233.27080284559455</v>
      </c>
      <c r="K337" s="64">
        <f t="shared" si="81"/>
        <v>256.02910735748901</v>
      </c>
      <c r="L337" s="53">
        <f t="shared" si="53"/>
        <v>134.93062583816888</v>
      </c>
      <c r="M337" s="53">
        <f t="shared" si="54"/>
        <v>207.19614896976259</v>
      </c>
    </row>
    <row r="338" spans="1:13" x14ac:dyDescent="0.15">
      <c r="A338" s="40">
        <v>44197</v>
      </c>
      <c r="B338" s="12" t="s">
        <v>68</v>
      </c>
      <c r="C338" s="65">
        <v>282</v>
      </c>
      <c r="D338" s="50">
        <f>SOJA!D338</f>
        <v>85.970799999999997</v>
      </c>
      <c r="E338" s="30">
        <f>SOJA!E338</f>
        <v>80.643355253396578</v>
      </c>
      <c r="F338" s="31">
        <f t="shared" si="77"/>
        <v>273.90662055678627</v>
      </c>
      <c r="G338" s="31">
        <f t="shared" si="78"/>
        <v>80.643355253396592</v>
      </c>
      <c r="H338" s="31">
        <f t="shared" si="79"/>
        <v>300.62942599327033</v>
      </c>
      <c r="I338" s="29">
        <v>0.12</v>
      </c>
      <c r="J338" s="54">
        <f t="shared" si="80"/>
        <v>241.03782608997187</v>
      </c>
      <c r="K338" s="64">
        <f t="shared" si="81"/>
        <v>264.55389487407791</v>
      </c>
      <c r="L338" s="53">
        <f t="shared" si="53"/>
        <v>134.93062583816888</v>
      </c>
      <c r="M338" s="53">
        <f t="shared" si="54"/>
        <v>207.19614896976259</v>
      </c>
    </row>
    <row r="339" spans="1:13" x14ac:dyDescent="0.15">
      <c r="A339" s="40">
        <v>44228</v>
      </c>
      <c r="B339" s="12" t="s">
        <v>1</v>
      </c>
      <c r="C339" s="65">
        <v>271</v>
      </c>
      <c r="D339" s="50">
        <f>SOJA!D339</f>
        <v>88.674599999999998</v>
      </c>
      <c r="E339" s="30">
        <f>SOJA!E339</f>
        <v>83.54651604251886</v>
      </c>
      <c r="F339" s="31">
        <f t="shared" si="77"/>
        <v>262.06632998453091</v>
      </c>
      <c r="G339" s="31">
        <f t="shared" si="78"/>
        <v>83.546516042518874</v>
      </c>
      <c r="H339" s="31">
        <f t="shared" si="79"/>
        <v>287.63397611661179</v>
      </c>
      <c r="I339" s="29">
        <v>0.12</v>
      </c>
      <c r="J339" s="54">
        <f t="shared" si="80"/>
        <v>230.6183703863872</v>
      </c>
      <c r="K339" s="64">
        <f t="shared" si="81"/>
        <v>253.11789898261839</v>
      </c>
      <c r="L339" s="53">
        <f t="shared" si="53"/>
        <v>134.93062583816888</v>
      </c>
      <c r="M339" s="53">
        <f t="shared" si="54"/>
        <v>207.19614896976259</v>
      </c>
    </row>
    <row r="340" spans="1:13" x14ac:dyDescent="0.15">
      <c r="A340" s="40">
        <v>44256</v>
      </c>
      <c r="B340" s="12" t="s">
        <v>2</v>
      </c>
      <c r="C340" s="65">
        <v>266</v>
      </c>
      <c r="D340" s="50">
        <f>SOJA!D340</f>
        <v>91.066400000000002</v>
      </c>
      <c r="E340" s="30">
        <f>SOJA!E340</f>
        <v>87.556748812559761</v>
      </c>
      <c r="F340" s="31">
        <f t="shared" si="77"/>
        <v>252.07003424566273</v>
      </c>
      <c r="G340" s="31">
        <f t="shared" si="78"/>
        <v>87.556748812559775</v>
      </c>
      <c r="H340" s="31">
        <f t="shared" si="79"/>
        <v>276.66242441068329</v>
      </c>
      <c r="I340" s="29">
        <v>0.12</v>
      </c>
      <c r="J340" s="54">
        <f t="shared" si="80"/>
        <v>221.82163013618319</v>
      </c>
      <c r="K340" s="64">
        <f t="shared" si="81"/>
        <v>243.46293348140128</v>
      </c>
      <c r="L340" s="53">
        <f t="shared" si="53"/>
        <v>134.93062583816888</v>
      </c>
      <c r="M340" s="53">
        <f t="shared" si="54"/>
        <v>207.19614896976259</v>
      </c>
    </row>
    <row r="341" spans="1:13" x14ac:dyDescent="0.15">
      <c r="A341" s="40">
        <v>44287</v>
      </c>
      <c r="B341" s="12" t="s">
        <v>3</v>
      </c>
      <c r="C341" s="65">
        <v>266</v>
      </c>
      <c r="D341" s="50">
        <f>SOJA!D341</f>
        <v>92.863799999999998</v>
      </c>
      <c r="E341" s="30">
        <f>SOJA!E341</f>
        <v>91.146575513874723</v>
      </c>
      <c r="F341" s="31">
        <f t="shared" si="77"/>
        <v>246.92142429324929</v>
      </c>
      <c r="G341" s="31">
        <f t="shared" si="78"/>
        <v>91.146575513874737</v>
      </c>
      <c r="H341" s="31">
        <f t="shared" si="79"/>
        <v>271.01150713270391</v>
      </c>
      <c r="I341" s="29">
        <v>0.12</v>
      </c>
      <c r="J341" s="54">
        <f t="shared" si="80"/>
        <v>217.29085337805941</v>
      </c>
      <c r="K341" s="64">
        <f t="shared" si="81"/>
        <v>238.49012627677945</v>
      </c>
      <c r="L341" s="53">
        <f t="shared" si="53"/>
        <v>134.93062583816888</v>
      </c>
      <c r="M341" s="53">
        <f t="shared" si="54"/>
        <v>207.19614896976259</v>
      </c>
    </row>
    <row r="342" spans="1:13" x14ac:dyDescent="0.15">
      <c r="A342" s="40">
        <v>44317</v>
      </c>
      <c r="B342" s="12" t="s">
        <v>2</v>
      </c>
      <c r="C342" s="65">
        <v>279</v>
      </c>
      <c r="D342" s="50">
        <f>SOJA!D342</f>
        <v>94.104799999999997</v>
      </c>
      <c r="E342" s="30">
        <f>SOJA!E342</f>
        <v>94.154412505832582</v>
      </c>
      <c r="F342" s="31">
        <f t="shared" si="77"/>
        <v>254.06587910178285</v>
      </c>
      <c r="G342" s="31">
        <f t="shared" si="78"/>
        <v>94.154412505832596</v>
      </c>
      <c r="H342" s="31">
        <f t="shared" si="79"/>
        <v>278.85298735599423</v>
      </c>
      <c r="I342" s="29">
        <v>0.12</v>
      </c>
      <c r="J342" s="54">
        <f t="shared" si="80"/>
        <v>223.57797360956891</v>
      </c>
      <c r="K342" s="64">
        <f t="shared" si="81"/>
        <v>245.39062887327492</v>
      </c>
      <c r="L342" s="53">
        <f t="shared" si="53"/>
        <v>134.93062583816888</v>
      </c>
      <c r="M342" s="53">
        <f t="shared" si="54"/>
        <v>207.19614896976259</v>
      </c>
    </row>
    <row r="343" spans="1:13" x14ac:dyDescent="0.15">
      <c r="A343" s="40">
        <v>44348</v>
      </c>
      <c r="B343" s="12" t="s">
        <v>4</v>
      </c>
      <c r="C343" s="65">
        <v>274</v>
      </c>
      <c r="D343" s="50">
        <f>SOJA!D343</f>
        <v>95.254300000000001</v>
      </c>
      <c r="E343" s="30">
        <f>SOJA!E343</f>
        <v>97.167353706019227</v>
      </c>
      <c r="F343" s="31">
        <f t="shared" si="77"/>
        <v>244.72921634981208</v>
      </c>
      <c r="G343" s="31">
        <f t="shared" si="78"/>
        <v>97.167353706019242</v>
      </c>
      <c r="H343" s="31">
        <f t="shared" si="79"/>
        <v>268.60542357636729</v>
      </c>
      <c r="I343" s="29">
        <v>0.12</v>
      </c>
      <c r="J343" s="54">
        <f t="shared" si="80"/>
        <v>215.36171038783459</v>
      </c>
      <c r="K343" s="64">
        <f t="shared" si="81"/>
        <v>236.37277274720321</v>
      </c>
      <c r="L343" s="53">
        <f t="shared" si="53"/>
        <v>134.93062583816888</v>
      </c>
      <c r="M343" s="53">
        <f t="shared" si="54"/>
        <v>207.19614896976259</v>
      </c>
    </row>
    <row r="344" spans="1:13" x14ac:dyDescent="0.15">
      <c r="A344" s="40">
        <v>44378</v>
      </c>
      <c r="B344" s="12" t="s">
        <v>4</v>
      </c>
      <c r="C344" s="65">
        <v>276</v>
      </c>
      <c r="D344" s="50">
        <f>SOJA!D344</f>
        <v>96.237799999999993</v>
      </c>
      <c r="E344" s="30">
        <f>SOJA!E344</f>
        <v>100.08237431719981</v>
      </c>
      <c r="F344" s="31">
        <f t="shared" si="77"/>
        <v>241.80663348180479</v>
      </c>
      <c r="G344" s="31">
        <f t="shared" si="78"/>
        <v>100.08237431719982</v>
      </c>
      <c r="H344" s="31">
        <f t="shared" si="79"/>
        <v>265.39770844980052</v>
      </c>
      <c r="I344" s="29">
        <v>0.12</v>
      </c>
      <c r="J344" s="54">
        <f t="shared" si="80"/>
        <v>212.78983746398822</v>
      </c>
      <c r="K344" s="64">
        <f t="shared" si="81"/>
        <v>233.54998343582446</v>
      </c>
      <c r="L344" s="53">
        <f t="shared" si="53"/>
        <v>134.93062583816888</v>
      </c>
      <c r="M344" s="53">
        <f t="shared" si="54"/>
        <v>207.19614896976259</v>
      </c>
    </row>
    <row r="345" spans="1:13" x14ac:dyDescent="0.15">
      <c r="A345" s="40">
        <v>44409</v>
      </c>
      <c r="B345" s="12" t="s">
        <v>3</v>
      </c>
      <c r="C345" s="65">
        <v>285</v>
      </c>
      <c r="D345" s="50">
        <f>SOJA!D345</f>
        <v>97.213800000000006</v>
      </c>
      <c r="E345" s="30">
        <f>SOJA!E345</f>
        <v>102.58443367512979</v>
      </c>
      <c r="F345" s="31">
        <f t="shared" si="77"/>
        <v>246.07208915047747</v>
      </c>
      <c r="G345" s="31">
        <f t="shared" si="78"/>
        <v>102.5844336751298</v>
      </c>
      <c r="H345" s="31">
        <f t="shared" si="79"/>
        <v>270.07930937885487</v>
      </c>
      <c r="I345" s="29">
        <v>0.12</v>
      </c>
      <c r="J345" s="54">
        <f t="shared" si="80"/>
        <v>216.54343845242016</v>
      </c>
      <c r="K345" s="64">
        <f t="shared" si="81"/>
        <v>237.6697922533923</v>
      </c>
      <c r="L345" s="53">
        <f t="shared" si="53"/>
        <v>134.93062583816888</v>
      </c>
      <c r="M345" s="53">
        <f t="shared" si="54"/>
        <v>207.19614896976259</v>
      </c>
    </row>
    <row r="346" spans="1:13" x14ac:dyDescent="0.15">
      <c r="A346" s="40">
        <v>44440</v>
      </c>
      <c r="B346" s="12" t="s">
        <v>5</v>
      </c>
      <c r="C346" s="65">
        <v>292</v>
      </c>
      <c r="D346" s="50">
        <f>SOJA!D346</f>
        <v>98.284999999999997</v>
      </c>
      <c r="E346" s="30">
        <f>SOJA!E346</f>
        <v>106.17488885375933</v>
      </c>
      <c r="F346" s="31">
        <f>+(C346*(D346/E346))/(AVERAGE(C$109)*AVERAGE(D$109)/AVERAGE(E$109))*100</f>
        <v>246.27442878622458</v>
      </c>
      <c r="G346" s="31">
        <f>+E346/AVERAGE(E$2:E$13)</f>
        <v>106.17488885375934</v>
      </c>
      <c r="H346" s="31">
        <f>+(C346*D346)/G346</f>
        <v>270.30138962075159</v>
      </c>
      <c r="I346" s="29">
        <v>0.12</v>
      </c>
      <c r="J346" s="54">
        <f>+F346*(1-I346)/(F$109*(1-I$109))*100</f>
        <v>216.72149733187763</v>
      </c>
      <c r="K346" s="64">
        <f>+H346*(1-I346)</f>
        <v>237.8652228662614</v>
      </c>
      <c r="L346" s="53">
        <f t="shared" si="53"/>
        <v>134.93062583816888</v>
      </c>
      <c r="M346" s="53">
        <f t="shared" si="54"/>
        <v>207.19614896976259</v>
      </c>
    </row>
    <row r="347" spans="1:13" x14ac:dyDescent="0.15">
      <c r="A347" s="40">
        <v>44470</v>
      </c>
      <c r="B347" s="12" t="s">
        <v>6</v>
      </c>
      <c r="C347" s="65">
        <v>302</v>
      </c>
      <c r="D347" s="50">
        <f>SOJA!D347</f>
        <v>99.249099999999999</v>
      </c>
      <c r="E347" s="30">
        <f>SOJA!E347</f>
        <v>109.89100996364088</v>
      </c>
      <c r="F347" s="31">
        <f>+(C347*(D347/E347))/(AVERAGE(C$109)*AVERAGE(D$109)/AVERAGE(E$109))*100</f>
        <v>248.50915771270959</v>
      </c>
      <c r="G347" s="31">
        <f>+E347/AVERAGE(E$2:E$13)</f>
        <v>109.8910099636409</v>
      </c>
      <c r="H347" s="31">
        <f>+(C347*D347)/G347</f>
        <v>272.75414258106366</v>
      </c>
      <c r="I347" s="29">
        <v>0.12</v>
      </c>
      <c r="J347" s="54">
        <f>+F347*(1-I347)/(F$109*(1-I$109))*100</f>
        <v>218.68805878718445</v>
      </c>
      <c r="K347" s="64">
        <f>+H347*(1-I347)</f>
        <v>240.02364547133601</v>
      </c>
      <c r="L347" s="53">
        <f t="shared" si="53"/>
        <v>134.93062583816888</v>
      </c>
      <c r="M347" s="53">
        <f t="shared" si="54"/>
        <v>207.19614896976259</v>
      </c>
    </row>
    <row r="348" spans="1:13" x14ac:dyDescent="0.15">
      <c r="A348" s="40">
        <v>44501</v>
      </c>
      <c r="B348" s="12" t="s">
        <v>7</v>
      </c>
      <c r="C348" s="65">
        <v>314</v>
      </c>
      <c r="D348" s="50">
        <f>SOJA!D348</f>
        <v>100.31010000000001</v>
      </c>
      <c r="E348" s="30">
        <f>SOJA!E348</f>
        <v>112.63828521273189</v>
      </c>
      <c r="F348" s="31">
        <f t="shared" ref="F348:F377" si="82">+(C348*(D348/E348))/(AVERAGE(C$109)*AVERAGE(D$109)/AVERAGE(E$109))*100</f>
        <v>254.77647421824972</v>
      </c>
      <c r="G348" s="31">
        <f t="shared" ref="G348:G377" si="83">+E348/AVERAGE(E$2:E$13)</f>
        <v>112.6382852127319</v>
      </c>
      <c r="H348" s="31">
        <f t="shared" ref="H348:H377" si="84">+(C348*D348)/G348</f>
        <v>279.6329093657024</v>
      </c>
      <c r="I348" s="29">
        <f>+I347</f>
        <v>0.12</v>
      </c>
      <c r="J348" s="54">
        <f t="shared" ref="J348:J377" si="85">+F348*(1-I348)/(F$109*(1-I$109))*100</f>
        <v>224.20329731205976</v>
      </c>
      <c r="K348" s="64">
        <f t="shared" ref="K348:K377" si="86">+H348*(1-I348)</f>
        <v>246.07696024181811</v>
      </c>
      <c r="L348" s="53">
        <f t="shared" si="53"/>
        <v>134.93062583816888</v>
      </c>
      <c r="M348" s="53">
        <f t="shared" si="54"/>
        <v>207.19614896976259</v>
      </c>
    </row>
    <row r="349" spans="1:13" x14ac:dyDescent="0.15">
      <c r="A349" s="40">
        <v>44531</v>
      </c>
      <c r="B349" s="12" t="s">
        <v>73</v>
      </c>
      <c r="C349" s="65">
        <v>317</v>
      </c>
      <c r="D349" s="50">
        <f>SOJA!D349</f>
        <v>101.88849999999999</v>
      </c>
      <c r="E349" s="30">
        <f>SOJA!E349</f>
        <v>116.91854005081572</v>
      </c>
      <c r="F349" s="31">
        <f t="shared" si="82"/>
        <v>251.69355164194585</v>
      </c>
      <c r="G349" s="31">
        <f t="shared" si="83"/>
        <v>116.91854005081574</v>
      </c>
      <c r="H349" s="31">
        <f t="shared" si="84"/>
        <v>276.24921151052854</v>
      </c>
      <c r="I349" s="29">
        <f t="shared" ref="I349:I377" si="87">+I348</f>
        <v>0.12</v>
      </c>
      <c r="J349" s="54">
        <f t="shared" si="85"/>
        <v>221.49032544491237</v>
      </c>
      <c r="K349" s="64">
        <f t="shared" si="86"/>
        <v>243.0993061292651</v>
      </c>
      <c r="L349" s="53">
        <f t="shared" si="53"/>
        <v>134.93062583816888</v>
      </c>
      <c r="M349" s="53">
        <f t="shared" si="54"/>
        <v>207.19614896976259</v>
      </c>
    </row>
    <row r="350" spans="1:13" x14ac:dyDescent="0.15">
      <c r="A350" s="40">
        <v>44562</v>
      </c>
      <c r="B350" s="12" t="s">
        <v>70</v>
      </c>
      <c r="C350" s="65">
        <v>304</v>
      </c>
      <c r="D350" s="50">
        <f>SOJA!D350</f>
        <v>103.9846</v>
      </c>
      <c r="E350" s="30">
        <f>SOJA!E350</f>
        <v>121.47836311279751</v>
      </c>
      <c r="F350" s="31">
        <f t="shared" si="82"/>
        <v>237.09080972376307</v>
      </c>
      <c r="G350" s="31">
        <f t="shared" si="83"/>
        <v>121.47836311279752</v>
      </c>
      <c r="H350" s="31">
        <f t="shared" si="84"/>
        <v>260.22180073868486</v>
      </c>
      <c r="I350" s="29">
        <f t="shared" si="87"/>
        <v>0.12</v>
      </c>
      <c r="J350" s="54">
        <f t="shared" si="85"/>
        <v>208.63991255691147</v>
      </c>
      <c r="K350" s="64">
        <f t="shared" si="86"/>
        <v>228.99518465004269</v>
      </c>
      <c r="L350" s="53">
        <f t="shared" si="53"/>
        <v>134.93062583816888</v>
      </c>
      <c r="M350" s="53">
        <f t="shared" si="54"/>
        <v>207.19614896976259</v>
      </c>
    </row>
    <row r="351" spans="1:13" x14ac:dyDescent="0.15">
      <c r="A351" s="40">
        <v>44593</v>
      </c>
      <c r="B351" s="12" t="s">
        <v>1</v>
      </c>
      <c r="C351" s="65">
        <v>317</v>
      </c>
      <c r="D351" s="50">
        <f>SOJA!D351</f>
        <v>106.30710000000001</v>
      </c>
      <c r="E351" s="30">
        <f>SOJA!E351</f>
        <v>127.18784617909898</v>
      </c>
      <c r="F351" s="31">
        <f t="shared" si="82"/>
        <v>241.40538980251648</v>
      </c>
      <c r="G351" s="31">
        <f t="shared" si="83"/>
        <v>127.187846179099</v>
      </c>
      <c r="H351" s="31">
        <f t="shared" si="84"/>
        <v>264.95731874055332</v>
      </c>
      <c r="I351" s="29">
        <f t="shared" si="87"/>
        <v>0.12</v>
      </c>
      <c r="J351" s="54">
        <f t="shared" si="85"/>
        <v>212.43674302621454</v>
      </c>
      <c r="K351" s="64">
        <f t="shared" si="86"/>
        <v>233.16244049168691</v>
      </c>
      <c r="L351" s="53">
        <f t="shared" ref="L351:M366" si="88">+L350</f>
        <v>134.93062583816888</v>
      </c>
      <c r="M351" s="53">
        <f t="shared" si="54"/>
        <v>207.19614896976259</v>
      </c>
    </row>
    <row r="352" spans="1:13" x14ac:dyDescent="0.15">
      <c r="A352" s="40">
        <v>44621</v>
      </c>
      <c r="B352" s="12" t="s">
        <v>2</v>
      </c>
      <c r="C352" s="65">
        <v>410</v>
      </c>
      <c r="D352" s="50">
        <f>SOJA!D352</f>
        <v>109.4585</v>
      </c>
      <c r="E352" s="30">
        <f>SOJA!E352</f>
        <v>135.70943187309862</v>
      </c>
      <c r="F352" s="31">
        <f t="shared" si="82"/>
        <v>301.29668867638043</v>
      </c>
      <c r="G352" s="31">
        <f t="shared" si="83"/>
        <v>135.70943187309865</v>
      </c>
      <c r="H352" s="31">
        <f t="shared" si="84"/>
        <v>330.69171671107745</v>
      </c>
      <c r="I352" s="29">
        <f t="shared" si="87"/>
        <v>0.12</v>
      </c>
      <c r="J352" s="54">
        <f t="shared" si="85"/>
        <v>265.14108603521476</v>
      </c>
      <c r="K352" s="64">
        <f t="shared" si="86"/>
        <v>291.00871070574817</v>
      </c>
      <c r="L352" s="53">
        <f t="shared" si="88"/>
        <v>134.93062583816888</v>
      </c>
      <c r="M352" s="53">
        <f t="shared" si="54"/>
        <v>207.19614896976259</v>
      </c>
    </row>
    <row r="353" spans="1:13" x14ac:dyDescent="0.15">
      <c r="A353" s="40">
        <v>44652</v>
      </c>
      <c r="B353" s="12" t="s">
        <v>3</v>
      </c>
      <c r="C353" s="65">
        <v>421</v>
      </c>
      <c r="D353" s="50">
        <f>SOJA!D353</f>
        <v>113.33450000000001</v>
      </c>
      <c r="E353" s="30">
        <f>SOJA!E353</f>
        <v>143.85199778548454</v>
      </c>
      <c r="F353" s="31">
        <f t="shared" si="82"/>
        <v>302.20341880692712</v>
      </c>
      <c r="G353" s="31">
        <f t="shared" si="83"/>
        <v>143.85199778548457</v>
      </c>
      <c r="H353" s="31">
        <f t="shared" si="84"/>
        <v>331.68690900735328</v>
      </c>
      <c r="I353" s="29">
        <f t="shared" si="87"/>
        <v>0.12</v>
      </c>
      <c r="J353" s="54">
        <f t="shared" si="85"/>
        <v>265.93900855009588</v>
      </c>
      <c r="K353" s="64">
        <f t="shared" si="86"/>
        <v>291.88447992647087</v>
      </c>
      <c r="L353" s="53">
        <f t="shared" si="88"/>
        <v>134.93062583816888</v>
      </c>
      <c r="M353" s="53">
        <f t="shared" si="54"/>
        <v>207.19614896976259</v>
      </c>
    </row>
    <row r="354" spans="1:13" x14ac:dyDescent="0.15">
      <c r="A354" s="40">
        <v>44682</v>
      </c>
      <c r="B354" s="12" t="s">
        <v>2</v>
      </c>
      <c r="C354" s="65">
        <v>465</v>
      </c>
      <c r="D354" s="50">
        <f>SOJA!D354</f>
        <v>117.77370000000001</v>
      </c>
      <c r="E354" s="30">
        <f>SOJA!E354</f>
        <v>151.18844967254424</v>
      </c>
      <c r="F354" s="31">
        <f t="shared" si="82"/>
        <v>330.03021351239863</v>
      </c>
      <c r="G354" s="31">
        <f t="shared" si="83"/>
        <v>151.18844967254427</v>
      </c>
      <c r="H354" s="31">
        <f t="shared" si="84"/>
        <v>362.2285341149659</v>
      </c>
      <c r="I354" s="29">
        <f t="shared" si="87"/>
        <v>0.12</v>
      </c>
      <c r="J354" s="54">
        <f t="shared" si="85"/>
        <v>290.42658789091081</v>
      </c>
      <c r="K354" s="64">
        <f t="shared" si="86"/>
        <v>318.76111002117</v>
      </c>
      <c r="L354" s="53">
        <f t="shared" si="88"/>
        <v>134.93062583816888</v>
      </c>
      <c r="M354" s="53">
        <f t="shared" si="88"/>
        <v>207.19614896976259</v>
      </c>
    </row>
    <row r="355" spans="1:13" x14ac:dyDescent="0.15">
      <c r="A355" s="40">
        <v>44713</v>
      </c>
      <c r="B355" s="12" t="s">
        <v>4</v>
      </c>
      <c r="C355" s="65">
        <v>479</v>
      </c>
      <c r="D355" s="50">
        <f>SOJA!D355</f>
        <v>122.73569999999999</v>
      </c>
      <c r="E355" s="30">
        <f>SOJA!E355</f>
        <v>159.20143750518906</v>
      </c>
      <c r="F355" s="31">
        <f t="shared" si="82"/>
        <v>336.45770204079713</v>
      </c>
      <c r="G355" s="31">
        <f t="shared" si="83"/>
        <v>159.20143750518909</v>
      </c>
      <c r="H355" s="31">
        <f t="shared" si="84"/>
        <v>369.28309958309109</v>
      </c>
      <c r="I355" s="29">
        <f t="shared" si="87"/>
        <v>0.12</v>
      </c>
      <c r="J355" s="54">
        <f t="shared" si="85"/>
        <v>296.08277779590145</v>
      </c>
      <c r="K355" s="64">
        <f t="shared" si="86"/>
        <v>324.96912763312014</v>
      </c>
      <c r="L355" s="53">
        <f t="shared" si="88"/>
        <v>134.93062583816888</v>
      </c>
      <c r="M355" s="53">
        <f t="shared" si="88"/>
        <v>207.19614896976259</v>
      </c>
    </row>
    <row r="356" spans="1:13" x14ac:dyDescent="0.15">
      <c r="A356" s="40">
        <v>44743</v>
      </c>
      <c r="B356" s="12" t="s">
        <v>4</v>
      </c>
      <c r="C356" s="65">
        <v>425</v>
      </c>
      <c r="D356" s="50">
        <f>SOJA!D356</f>
        <v>128.44540000000001</v>
      </c>
      <c r="E356" s="30">
        <f>SOJA!E356</f>
        <v>170.98234388057307</v>
      </c>
      <c r="F356" s="31">
        <f t="shared" si="82"/>
        <v>290.88897502645813</v>
      </c>
      <c r="G356" s="31">
        <f t="shared" si="83"/>
        <v>170.9823438805731</v>
      </c>
      <c r="H356" s="31">
        <f t="shared" si="84"/>
        <v>319.26860844842122</v>
      </c>
      <c r="I356" s="29">
        <f t="shared" si="87"/>
        <v>0.12</v>
      </c>
      <c r="J356" s="54">
        <f t="shared" si="85"/>
        <v>255.98229802328319</v>
      </c>
      <c r="K356" s="64">
        <f t="shared" si="86"/>
        <v>280.95637543461066</v>
      </c>
      <c r="L356" s="53">
        <f t="shared" si="88"/>
        <v>134.93062583816888</v>
      </c>
      <c r="M356" s="53">
        <f t="shared" si="88"/>
        <v>207.19614896976259</v>
      </c>
    </row>
    <row r="357" spans="1:13" x14ac:dyDescent="0.15">
      <c r="A357" s="40">
        <v>44774</v>
      </c>
      <c r="B357" s="12" t="s">
        <v>3</v>
      </c>
      <c r="C357" s="65">
        <v>407</v>
      </c>
      <c r="D357" s="50">
        <f>SOJA!D357</f>
        <v>135.2903</v>
      </c>
      <c r="E357" s="30">
        <f>SOJA!E357</f>
        <v>182.95110795221316</v>
      </c>
      <c r="F357" s="31">
        <f t="shared" si="82"/>
        <v>274.21869968603806</v>
      </c>
      <c r="G357" s="31">
        <f t="shared" si="83"/>
        <v>182.95110795221319</v>
      </c>
      <c r="H357" s="31">
        <f t="shared" si="84"/>
        <v>300.97195210417902</v>
      </c>
      <c r="I357" s="29">
        <f t="shared" si="87"/>
        <v>0.12</v>
      </c>
      <c r="J357" s="54">
        <f t="shared" si="85"/>
        <v>241.3124557237135</v>
      </c>
      <c r="K357" s="64">
        <f t="shared" si="86"/>
        <v>264.85531785167757</v>
      </c>
      <c r="L357" s="53">
        <f t="shared" si="88"/>
        <v>134.93062583816888</v>
      </c>
      <c r="M357" s="53">
        <f t="shared" si="88"/>
        <v>207.19614896976259</v>
      </c>
    </row>
    <row r="358" spans="1:13" x14ac:dyDescent="0.15">
      <c r="A358" s="40">
        <v>44805</v>
      </c>
      <c r="B358" s="12" t="s">
        <v>5</v>
      </c>
      <c r="C358" s="65">
        <v>402</v>
      </c>
      <c r="D358" s="50">
        <f>SOJA!D358</f>
        <v>200</v>
      </c>
      <c r="E358" s="30">
        <f>SOJA!E358</f>
        <v>194.29407664525039</v>
      </c>
      <c r="F358" s="31">
        <f t="shared" si="82"/>
        <v>377.02272678723801</v>
      </c>
      <c r="G358" s="31">
        <f t="shared" si="83"/>
        <v>194.29407664525041</v>
      </c>
      <c r="H358" s="31">
        <f t="shared" si="84"/>
        <v>413.80571856957539</v>
      </c>
      <c r="I358" s="29">
        <f t="shared" si="87"/>
        <v>0.12</v>
      </c>
      <c r="J358" s="54">
        <f t="shared" si="85"/>
        <v>331.77999957276944</v>
      </c>
      <c r="K358" s="64">
        <f t="shared" si="86"/>
        <v>364.14903234122636</v>
      </c>
      <c r="L358" s="53">
        <f t="shared" si="88"/>
        <v>134.93062583816888</v>
      </c>
      <c r="M358" s="53">
        <f t="shared" si="88"/>
        <v>207.19614896976259</v>
      </c>
    </row>
    <row r="359" spans="1:13" x14ac:dyDescent="0.15">
      <c r="A359" s="40">
        <v>44835</v>
      </c>
      <c r="B359" s="12" t="s">
        <v>6</v>
      </c>
      <c r="C359" s="65">
        <v>422</v>
      </c>
      <c r="D359" s="50">
        <f>SOJA!D359</f>
        <v>152.59289999999999</v>
      </c>
      <c r="E359" s="30">
        <f>SOJA!E359</f>
        <v>206.53460347390114</v>
      </c>
      <c r="F359" s="31">
        <f t="shared" si="82"/>
        <v>284.06975360695492</v>
      </c>
      <c r="G359" s="31">
        <f t="shared" si="83"/>
        <v>206.53460347390117</v>
      </c>
      <c r="H359" s="31">
        <f t="shared" si="84"/>
        <v>311.78409194823956</v>
      </c>
      <c r="I359" s="29">
        <f t="shared" si="87"/>
        <v>0.12</v>
      </c>
      <c r="J359" s="54">
        <f t="shared" si="85"/>
        <v>249.98138317412037</v>
      </c>
      <c r="K359" s="64">
        <f t="shared" si="86"/>
        <v>274.37000091445083</v>
      </c>
      <c r="L359" s="53">
        <f t="shared" si="88"/>
        <v>134.93062583816888</v>
      </c>
      <c r="M359" s="53">
        <f t="shared" si="88"/>
        <v>207.19614896976259</v>
      </c>
    </row>
    <row r="360" spans="1:13" x14ac:dyDescent="0.15">
      <c r="A360" s="40">
        <v>44866</v>
      </c>
      <c r="B360" s="12" t="s">
        <v>7</v>
      </c>
      <c r="C360" s="65">
        <v>414</v>
      </c>
      <c r="D360" s="50">
        <f>SOJA!D360</f>
        <v>162.1183</v>
      </c>
      <c r="E360" s="30">
        <f>SOJA!E360</f>
        <v>216.65479904412229</v>
      </c>
      <c r="F360" s="31">
        <f t="shared" si="82"/>
        <v>282.25075399977777</v>
      </c>
      <c r="G360" s="31">
        <f t="shared" si="83"/>
        <v>216.65479904412231</v>
      </c>
      <c r="H360" s="31">
        <f t="shared" si="84"/>
        <v>309.78762758138333</v>
      </c>
      <c r="I360" s="29">
        <f t="shared" si="87"/>
        <v>0.12</v>
      </c>
      <c r="J360" s="54">
        <f t="shared" si="85"/>
        <v>248.38066351980444</v>
      </c>
      <c r="K360" s="64">
        <f t="shared" si="86"/>
        <v>272.61311227161735</v>
      </c>
      <c r="L360" s="53">
        <f t="shared" si="88"/>
        <v>134.93062583816888</v>
      </c>
      <c r="M360" s="53">
        <f t="shared" si="88"/>
        <v>207.19614896976259</v>
      </c>
    </row>
    <row r="361" spans="1:13" x14ac:dyDescent="0.15">
      <c r="A361" s="40">
        <v>44896</v>
      </c>
      <c r="B361" s="12" t="s">
        <v>74</v>
      </c>
      <c r="C361" s="65">
        <v>395</v>
      </c>
      <c r="D361" s="50">
        <f>SOJA!D361</f>
        <v>230</v>
      </c>
      <c r="E361" s="30">
        <f>SOJA!E361</f>
        <v>227.7041937953725</v>
      </c>
      <c r="F361" s="31">
        <f t="shared" si="82"/>
        <v>363.51718301521078</v>
      </c>
      <c r="G361" s="31">
        <f t="shared" si="83"/>
        <v>227.70419379537253</v>
      </c>
      <c r="H361" s="31">
        <f t="shared" si="84"/>
        <v>398.98255049989456</v>
      </c>
      <c r="I361" s="29">
        <f t="shared" si="87"/>
        <v>0.12</v>
      </c>
      <c r="J361" s="54">
        <f t="shared" si="85"/>
        <v>319.89512105338548</v>
      </c>
      <c r="K361" s="64">
        <f t="shared" si="86"/>
        <v>351.10464443990719</v>
      </c>
      <c r="L361" s="53">
        <f t="shared" si="88"/>
        <v>134.93062583816888</v>
      </c>
      <c r="M361" s="53">
        <f t="shared" si="88"/>
        <v>207.19614896976259</v>
      </c>
    </row>
    <row r="362" spans="1:13" x14ac:dyDescent="0.15">
      <c r="A362" s="40">
        <v>44927</v>
      </c>
      <c r="B362" s="12" t="s">
        <v>71</v>
      </c>
      <c r="C362" s="65">
        <v>375</v>
      </c>
      <c r="D362" s="50">
        <f>SOJA!D362</f>
        <v>182.2441</v>
      </c>
      <c r="E362" s="30">
        <f>SOJA!E362</f>
        <v>241.36644542309489</v>
      </c>
      <c r="F362" s="31">
        <f t="shared" si="82"/>
        <v>257.97575513160183</v>
      </c>
      <c r="G362" s="31">
        <f t="shared" si="83"/>
        <v>241.36644542309492</v>
      </c>
      <c r="H362" s="31">
        <f t="shared" si="84"/>
        <v>283.14431767929915</v>
      </c>
      <c r="I362" s="29">
        <f t="shared" si="87"/>
        <v>0.12</v>
      </c>
      <c r="J362" s="54">
        <f t="shared" si="85"/>
        <v>227.0186645158096</v>
      </c>
      <c r="K362" s="64">
        <f t="shared" si="86"/>
        <v>249.16699955778324</v>
      </c>
      <c r="L362" s="53">
        <f t="shared" si="88"/>
        <v>134.93062583816888</v>
      </c>
      <c r="M362" s="53">
        <f t="shared" si="88"/>
        <v>207.19614896976259</v>
      </c>
    </row>
    <row r="363" spans="1:13" x14ac:dyDescent="0.15">
      <c r="A363" s="40">
        <v>44958</v>
      </c>
      <c r="B363" s="12" t="s">
        <v>1</v>
      </c>
      <c r="C363" s="65">
        <v>363</v>
      </c>
      <c r="D363" s="50">
        <f>SOJA!D363</f>
        <v>191.89240000000001</v>
      </c>
      <c r="E363" s="30">
        <f>SOJA!E363</f>
        <v>257.29663082101916</v>
      </c>
      <c r="F363" s="31">
        <f t="shared" si="82"/>
        <v>246.66148528711341</v>
      </c>
      <c r="G363" s="31">
        <f t="shared" si="83"/>
        <v>257.29663082101922</v>
      </c>
      <c r="H363" s="31">
        <f t="shared" si="84"/>
        <v>270.72620802584385</v>
      </c>
      <c r="I363" s="29">
        <f t="shared" si="87"/>
        <v>0.12</v>
      </c>
      <c r="J363" s="54">
        <f t="shared" si="85"/>
        <v>217.0621070526598</v>
      </c>
      <c r="K363" s="64">
        <f t="shared" si="86"/>
        <v>238.23906306274259</v>
      </c>
      <c r="L363" s="53">
        <f t="shared" si="88"/>
        <v>134.93062583816888</v>
      </c>
      <c r="M363" s="53">
        <f t="shared" si="88"/>
        <v>207.19614896976259</v>
      </c>
    </row>
    <row r="364" spans="1:13" x14ac:dyDescent="0.15">
      <c r="A364" s="40">
        <v>44986</v>
      </c>
      <c r="B364" s="12" t="s">
        <v>2</v>
      </c>
      <c r="C364" s="65">
        <v>349</v>
      </c>
      <c r="D364" s="50">
        <f>SOJA!D364</f>
        <v>203.10550000000001</v>
      </c>
      <c r="E364" s="30">
        <f>SOJA!E364</f>
        <v>277.10847139423765</v>
      </c>
      <c r="F364" s="31">
        <f t="shared" si="82"/>
        <v>233.06032641045746</v>
      </c>
      <c r="G364" s="31">
        <f t="shared" si="83"/>
        <v>277.10847139423771</v>
      </c>
      <c r="H364" s="31">
        <f t="shared" si="84"/>
        <v>255.79809647592745</v>
      </c>
      <c r="I364" s="29">
        <f t="shared" si="87"/>
        <v>0.12</v>
      </c>
      <c r="J364" s="54">
        <f t="shared" si="85"/>
        <v>205.0930872412026</v>
      </c>
      <c r="K364" s="64">
        <f t="shared" si="86"/>
        <v>225.10232489881616</v>
      </c>
      <c r="L364" s="53">
        <f t="shared" si="88"/>
        <v>134.93062583816888</v>
      </c>
      <c r="M364" s="53">
        <f t="shared" si="88"/>
        <v>207.19614896976259</v>
      </c>
    </row>
    <row r="365" spans="1:13" x14ac:dyDescent="0.15">
      <c r="A365" s="40">
        <v>45017</v>
      </c>
      <c r="B365" s="12" t="s">
        <v>3</v>
      </c>
      <c r="C365" s="65">
        <v>344</v>
      </c>
      <c r="D365" s="50">
        <f>SOJA!D365</f>
        <v>300</v>
      </c>
      <c r="E365" s="30">
        <f>SOJA!E365</f>
        <v>300.3855829913536</v>
      </c>
      <c r="F365" s="31">
        <f t="shared" si="82"/>
        <v>313.01968815660575</v>
      </c>
      <c r="G365" s="31">
        <f t="shared" si="83"/>
        <v>300.38558299135366</v>
      </c>
      <c r="H365" s="31">
        <f t="shared" si="84"/>
        <v>343.55843237313599</v>
      </c>
      <c r="I365" s="29">
        <f t="shared" si="87"/>
        <v>0.12</v>
      </c>
      <c r="J365" s="54">
        <f t="shared" si="85"/>
        <v>275.45732557781304</v>
      </c>
      <c r="K365" s="64">
        <f t="shared" si="86"/>
        <v>302.3314204883597</v>
      </c>
      <c r="L365" s="53">
        <f t="shared" si="88"/>
        <v>134.93062583816888</v>
      </c>
      <c r="M365" s="53">
        <f t="shared" si="88"/>
        <v>207.19614896976259</v>
      </c>
    </row>
    <row r="366" spans="1:13" x14ac:dyDescent="0.15">
      <c r="A366" s="40">
        <v>45047</v>
      </c>
      <c r="B366" s="12" t="s">
        <v>2</v>
      </c>
      <c r="C366" s="65">
        <v>365</v>
      </c>
      <c r="D366" s="50">
        <f>SOJA!D366</f>
        <v>300</v>
      </c>
      <c r="E366" s="30">
        <f>SOJA!E366</f>
        <v>323.81565846467925</v>
      </c>
      <c r="F366" s="31">
        <f t="shared" si="82"/>
        <v>308.09689071374925</v>
      </c>
      <c r="G366" s="31">
        <f t="shared" si="83"/>
        <v>323.8156584646793</v>
      </c>
      <c r="H366" s="31">
        <f t="shared" si="84"/>
        <v>338.15535826518374</v>
      </c>
      <c r="I366" s="29">
        <f t="shared" si="87"/>
        <v>0.12</v>
      </c>
      <c r="J366" s="54">
        <f t="shared" si="85"/>
        <v>271.12526382809932</v>
      </c>
      <c r="K366" s="64">
        <f t="shared" si="86"/>
        <v>297.57671527336169</v>
      </c>
      <c r="L366" s="53">
        <f t="shared" si="88"/>
        <v>134.93062583816888</v>
      </c>
      <c r="M366" s="53">
        <f t="shared" si="88"/>
        <v>207.19614896976259</v>
      </c>
    </row>
    <row r="367" spans="1:13" x14ac:dyDescent="0.15">
      <c r="A367" s="40">
        <v>45078</v>
      </c>
      <c r="B367" s="12" t="s">
        <v>4</v>
      </c>
      <c r="C367" s="65">
        <v>359</v>
      </c>
      <c r="D367" s="50">
        <f>SOJA!D367</f>
        <v>266.46469999999999</v>
      </c>
      <c r="E367" s="30">
        <f>SOJA!E367</f>
        <v>343.24459797255997</v>
      </c>
      <c r="F367" s="31">
        <f t="shared" si="82"/>
        <v>253.92266265387215</v>
      </c>
      <c r="G367" s="31">
        <f t="shared" si="83"/>
        <v>343.24459797256003</v>
      </c>
      <c r="H367" s="31">
        <f t="shared" si="84"/>
        <v>278.6957984627843</v>
      </c>
      <c r="I367" s="29">
        <f t="shared" si="87"/>
        <v>0.12</v>
      </c>
      <c r="J367" s="54">
        <f t="shared" si="85"/>
        <v>223.45194313540748</v>
      </c>
      <c r="K367" s="64">
        <f t="shared" si="86"/>
        <v>245.25230264725019</v>
      </c>
      <c r="L367" s="53">
        <f t="shared" ref="L367:M378" si="89">+L366</f>
        <v>134.93062583816888</v>
      </c>
      <c r="M367" s="53">
        <f t="shared" si="89"/>
        <v>207.19614896976259</v>
      </c>
    </row>
    <row r="368" spans="1:13" x14ac:dyDescent="0.15">
      <c r="A368" s="40">
        <v>45108</v>
      </c>
      <c r="B368" s="12" t="s">
        <v>4</v>
      </c>
      <c r="C368" s="65">
        <v>335</v>
      </c>
      <c r="D368" s="50">
        <f>SOJA!D368</f>
        <v>340</v>
      </c>
      <c r="E368" s="30">
        <f>SOJA!E368</f>
        <v>364.8690076448313</v>
      </c>
      <c r="F368" s="31">
        <f t="shared" si="82"/>
        <v>284.41846655691063</v>
      </c>
      <c r="G368" s="31">
        <f t="shared" si="83"/>
        <v>364.86900764483136</v>
      </c>
      <c r="H368" s="31">
        <f t="shared" si="84"/>
        <v>312.16682593900072</v>
      </c>
      <c r="I368" s="29">
        <f t="shared" si="87"/>
        <v>0.12</v>
      </c>
      <c r="J368" s="54">
        <f t="shared" si="85"/>
        <v>250.28825057008132</v>
      </c>
      <c r="K368" s="64">
        <f t="shared" si="86"/>
        <v>274.70680682632064</v>
      </c>
      <c r="L368" s="53">
        <f t="shared" si="89"/>
        <v>134.93062583816888</v>
      </c>
      <c r="M368" s="53">
        <f t="shared" si="89"/>
        <v>207.19614896976259</v>
      </c>
    </row>
    <row r="369" spans="1:13" x14ac:dyDescent="0.15">
      <c r="A369" s="40">
        <v>45139</v>
      </c>
      <c r="B369" s="12" t="s">
        <v>3</v>
      </c>
      <c r="C369" s="65">
        <v>321</v>
      </c>
      <c r="D369" s="50">
        <f>SOJA!D369</f>
        <v>340</v>
      </c>
      <c r="E369" s="30">
        <f>SOJA!E369</f>
        <v>410.11276459279043</v>
      </c>
      <c r="F369" s="31">
        <f t="shared" si="82"/>
        <v>242.46647836821666</v>
      </c>
      <c r="G369" s="31">
        <f t="shared" si="83"/>
        <v>410.11276459279048</v>
      </c>
      <c r="H369" s="31">
        <f t="shared" si="84"/>
        <v>266.12192894890114</v>
      </c>
      <c r="I369" s="29">
        <f t="shared" si="87"/>
        <v>0.12</v>
      </c>
      <c r="J369" s="54">
        <f t="shared" si="85"/>
        <v>213.37050096403067</v>
      </c>
      <c r="K369" s="64">
        <f t="shared" si="86"/>
        <v>234.18729747503301</v>
      </c>
      <c r="L369" s="53">
        <f t="shared" si="89"/>
        <v>134.93062583816888</v>
      </c>
      <c r="M369" s="53">
        <f t="shared" si="89"/>
        <v>207.19614896976259</v>
      </c>
    </row>
    <row r="370" spans="1:13" x14ac:dyDescent="0.15">
      <c r="A370" s="40">
        <v>45170</v>
      </c>
      <c r="B370" s="12" t="s">
        <v>5</v>
      </c>
      <c r="C370" s="65">
        <v>313</v>
      </c>
      <c r="D370" s="50">
        <f>SOJA!D370</f>
        <v>451.97881124999992</v>
      </c>
      <c r="E370" s="30">
        <f>SOJA!E370</f>
        <v>462.19708569607479</v>
      </c>
      <c r="F370" s="31">
        <f t="shared" si="82"/>
        <v>278.87286110578361</v>
      </c>
      <c r="G370" s="31">
        <f t="shared" si="83"/>
        <v>462.19708569607485</v>
      </c>
      <c r="H370" s="31">
        <f t="shared" si="84"/>
        <v>306.08018159222109</v>
      </c>
      <c r="I370" s="29">
        <f t="shared" si="87"/>
        <v>0.12</v>
      </c>
      <c r="J370" s="54">
        <f t="shared" si="85"/>
        <v>245.40811777308957</v>
      </c>
      <c r="K370" s="64">
        <f t="shared" si="86"/>
        <v>269.35055980115459</v>
      </c>
      <c r="L370" s="53">
        <f t="shared" si="89"/>
        <v>134.93062583816888</v>
      </c>
      <c r="M370" s="53">
        <f t="shared" si="89"/>
        <v>207.19614896976259</v>
      </c>
    </row>
    <row r="371" spans="1:13" x14ac:dyDescent="0.15">
      <c r="A371" s="40">
        <v>45200</v>
      </c>
      <c r="B371" s="12" t="s">
        <v>6</v>
      </c>
      <c r="C371" s="65">
        <v>303</v>
      </c>
      <c r="D371" s="50">
        <f>SOJA!D371</f>
        <v>496.54014022727279</v>
      </c>
      <c r="E371" s="30">
        <f>SOJA!E371</f>
        <v>500.55944380884898</v>
      </c>
      <c r="F371" s="31">
        <f t="shared" si="82"/>
        <v>273.84976568000087</v>
      </c>
      <c r="G371" s="31">
        <f t="shared" si="83"/>
        <v>500.55944380884904</v>
      </c>
      <c r="H371" s="31">
        <f t="shared" si="84"/>
        <v>300.56702425599894</v>
      </c>
      <c r="I371" s="29">
        <f t="shared" si="87"/>
        <v>0.12</v>
      </c>
      <c r="J371" s="54">
        <f t="shared" si="85"/>
        <v>240.98779379840076</v>
      </c>
      <c r="K371" s="64">
        <f t="shared" si="86"/>
        <v>264.49898134527905</v>
      </c>
      <c r="L371" s="53">
        <f t="shared" si="89"/>
        <v>134.93062583816888</v>
      </c>
      <c r="M371" s="53">
        <f t="shared" si="89"/>
        <v>207.19614896976259</v>
      </c>
    </row>
    <row r="372" spans="1:13" x14ac:dyDescent="0.15">
      <c r="A372" s="40">
        <v>45231</v>
      </c>
      <c r="B372" s="12" t="s">
        <v>7</v>
      </c>
      <c r="C372" s="65">
        <v>258</v>
      </c>
      <c r="D372" s="50">
        <f>SOJA!D372</f>
        <v>551.27921761904781</v>
      </c>
      <c r="E372" s="30">
        <f>SOJA!E372</f>
        <v>564.63105261638168</v>
      </c>
      <c r="F372" s="31">
        <f t="shared" si="82"/>
        <v>229.50788429987264</v>
      </c>
      <c r="G372" s="31">
        <f t="shared" si="83"/>
        <v>564.63105261638179</v>
      </c>
      <c r="H372" s="31">
        <f t="shared" si="84"/>
        <v>251.89907194556548</v>
      </c>
      <c r="I372" s="29">
        <f t="shared" si="87"/>
        <v>0.12</v>
      </c>
      <c r="J372" s="54">
        <f t="shared" si="85"/>
        <v>201.96693818388792</v>
      </c>
      <c r="K372" s="64">
        <f t="shared" si="86"/>
        <v>221.67118331209761</v>
      </c>
      <c r="L372" s="53">
        <f t="shared" si="89"/>
        <v>134.93062583816888</v>
      </c>
      <c r="M372" s="53">
        <f t="shared" si="89"/>
        <v>207.19614896976259</v>
      </c>
    </row>
    <row r="373" spans="1:13" x14ac:dyDescent="0.15">
      <c r="A373" s="40">
        <v>45261</v>
      </c>
      <c r="B373" s="12" t="s">
        <v>75</v>
      </c>
      <c r="C373" s="65">
        <v>247</v>
      </c>
      <c r="D373" s="50">
        <f>SOJA!D373</f>
        <v>769.27910157894735</v>
      </c>
      <c r="E373" s="30">
        <f>SOJA!E373</f>
        <v>708.61197103355903</v>
      </c>
      <c r="F373" s="31">
        <f t="shared" si="82"/>
        <v>244.31123824675299</v>
      </c>
      <c r="G373" s="31">
        <f t="shared" si="83"/>
        <v>708.61197103355914</v>
      </c>
      <c r="H373" s="31">
        <f t="shared" si="84"/>
        <v>268.14666680391321</v>
      </c>
      <c r="I373" s="29">
        <f t="shared" si="87"/>
        <v>0.12</v>
      </c>
      <c r="J373" s="54">
        <f t="shared" si="85"/>
        <v>214.9938896571426</v>
      </c>
      <c r="K373" s="64">
        <f t="shared" si="86"/>
        <v>235.96906678744361</v>
      </c>
      <c r="L373" s="53">
        <f t="shared" si="89"/>
        <v>134.93062583816888</v>
      </c>
      <c r="M373" s="53">
        <f t="shared" si="89"/>
        <v>207.19614896976259</v>
      </c>
    </row>
    <row r="374" spans="1:13" x14ac:dyDescent="0.15">
      <c r="A374" s="40">
        <v>45292</v>
      </c>
      <c r="B374" s="12" t="s">
        <v>72</v>
      </c>
      <c r="C374" s="65">
        <v>244</v>
      </c>
      <c r="D374" s="50">
        <f>SOJA!D374</f>
        <v>896.13454545454545</v>
      </c>
      <c r="E374" s="30">
        <f>SOJA!E374</f>
        <v>854.58603706647216</v>
      </c>
      <c r="F374" s="31">
        <f t="shared" si="82"/>
        <v>233.11933476822895</v>
      </c>
      <c r="G374" s="31">
        <f t="shared" si="83"/>
        <v>854.58603706647227</v>
      </c>
      <c r="H374" s="31">
        <f t="shared" si="84"/>
        <v>255.86286179152879</v>
      </c>
      <c r="I374" s="29">
        <f t="shared" si="87"/>
        <v>0.12</v>
      </c>
      <c r="J374" s="54">
        <f t="shared" si="85"/>
        <v>205.14501459604148</v>
      </c>
      <c r="K374" s="64">
        <f t="shared" si="86"/>
        <v>225.15931837654534</v>
      </c>
      <c r="L374" s="53">
        <f t="shared" si="89"/>
        <v>134.93062583816888</v>
      </c>
      <c r="M374" s="53">
        <f t="shared" si="89"/>
        <v>207.19614896976259</v>
      </c>
    </row>
    <row r="375" spans="1:13" x14ac:dyDescent="0.15">
      <c r="A375" s="40">
        <v>45323</v>
      </c>
      <c r="B375" s="12" t="s">
        <v>1</v>
      </c>
      <c r="C375" s="65">
        <v>232</v>
      </c>
      <c r="D375" s="50">
        <f>SOJA!D375</f>
        <v>901.89291368421038</v>
      </c>
      <c r="E375" s="30">
        <f>SOJA!E375</f>
        <v>967.39139395924656</v>
      </c>
      <c r="F375" s="31">
        <f t="shared" si="82"/>
        <v>197.06603654132743</v>
      </c>
      <c r="G375" s="31">
        <f t="shared" si="83"/>
        <v>967.39139395924667</v>
      </c>
      <c r="H375" s="31">
        <f t="shared" si="84"/>
        <v>216.29214119673205</v>
      </c>
      <c r="I375" s="29">
        <f t="shared" si="87"/>
        <v>0.12</v>
      </c>
      <c r="J375" s="54">
        <f t="shared" si="85"/>
        <v>173.41811215636815</v>
      </c>
      <c r="K375" s="64">
        <f t="shared" si="86"/>
        <v>190.3370842531242</v>
      </c>
      <c r="L375" s="53">
        <f t="shared" si="89"/>
        <v>134.93062583816888</v>
      </c>
      <c r="M375" s="53">
        <f t="shared" si="89"/>
        <v>207.19614896976259</v>
      </c>
    </row>
    <row r="376" spans="1:13" x14ac:dyDescent="0.15">
      <c r="A376" s="40">
        <v>45352</v>
      </c>
      <c r="B376" s="12" t="s">
        <v>2</v>
      </c>
      <c r="C376" s="65">
        <v>221</v>
      </c>
      <c r="D376" s="50">
        <f>SOJA!D376</f>
        <v>898.08868848484838</v>
      </c>
      <c r="E376" s="30">
        <f>SOJA!E376</f>
        <v>1073.8044472947638</v>
      </c>
      <c r="F376" s="31">
        <f t="shared" si="82"/>
        <v>168.40591595723876</v>
      </c>
      <c r="G376" s="31">
        <f t="shared" si="83"/>
        <v>1073.804447294764</v>
      </c>
      <c r="H376" s="31">
        <f t="shared" si="84"/>
        <v>184.83588949102992</v>
      </c>
      <c r="I376" s="29">
        <f t="shared" si="87"/>
        <v>0.12</v>
      </c>
      <c r="J376" s="54">
        <f t="shared" si="85"/>
        <v>148.19720604237011</v>
      </c>
      <c r="K376" s="64">
        <f t="shared" si="86"/>
        <v>162.65558275210634</v>
      </c>
      <c r="L376" s="53">
        <f t="shared" si="89"/>
        <v>134.93062583816888</v>
      </c>
      <c r="M376" s="53">
        <f t="shared" si="89"/>
        <v>207.19614896976259</v>
      </c>
    </row>
    <row r="377" spans="1:13" x14ac:dyDescent="0.15">
      <c r="A377" s="40">
        <v>45383</v>
      </c>
      <c r="B377" s="12" t="s">
        <v>3</v>
      </c>
      <c r="C377" s="65">
        <v>244</v>
      </c>
      <c r="D377" s="50">
        <f>SOJA!D377</f>
        <v>906.32509440000013</v>
      </c>
      <c r="E377" s="30">
        <f>SOJA!E377</f>
        <v>1168.299238656703</v>
      </c>
      <c r="F377" s="31">
        <f t="shared" si="82"/>
        <v>172.46095219915424</v>
      </c>
      <c r="G377" s="31">
        <f t="shared" si="83"/>
        <v>1168.2992386567032</v>
      </c>
      <c r="H377" s="31">
        <f t="shared" si="84"/>
        <v>189.28654210873921</v>
      </c>
      <c r="I377" s="29">
        <f t="shared" si="87"/>
        <v>0.12</v>
      </c>
      <c r="J377" s="54">
        <f t="shared" si="85"/>
        <v>151.76563793525574</v>
      </c>
      <c r="K377" s="64">
        <f t="shared" si="86"/>
        <v>166.5721570556905</v>
      </c>
      <c r="L377" s="53">
        <f t="shared" si="89"/>
        <v>134.93062583816888</v>
      </c>
      <c r="M377" s="53">
        <f t="shared" si="89"/>
        <v>207.19614896976259</v>
      </c>
    </row>
    <row r="378" spans="1:13" x14ac:dyDescent="0.15">
      <c r="A378" s="40">
        <v>45413</v>
      </c>
      <c r="B378" s="12" t="s">
        <v>2</v>
      </c>
      <c r="C378" s="65">
        <v>283</v>
      </c>
      <c r="D378" s="50">
        <f>SOJA!D378</f>
        <v>939.59747826086971</v>
      </c>
      <c r="E378" s="30">
        <f>SOJA!E378</f>
        <v>1217.3678066802847</v>
      </c>
      <c r="F378" s="31">
        <f>+(C378*(D378/E378))/(AVERAGE(C$109)*AVERAGE(D$109)/AVERAGE(E$109))*100</f>
        <v>199.01119495927188</v>
      </c>
      <c r="G378" s="31">
        <f>+E378/AVERAGE(E$2:E$13)</f>
        <v>1217.367806680285</v>
      </c>
      <c r="H378" s="31">
        <f>+(C378*D378)/G378</f>
        <v>218.42707264696094</v>
      </c>
      <c r="I378" s="29">
        <f>+I377</f>
        <v>0.12</v>
      </c>
      <c r="J378" s="54">
        <f>+F378*(1-I378)/(F$109*(1-I$109))*100</f>
        <v>175.12985156415925</v>
      </c>
      <c r="K378" s="64">
        <f>+H378*(1-I378)</f>
        <v>192.21582392932564</v>
      </c>
      <c r="L378" s="53">
        <f t="shared" si="89"/>
        <v>134.93062583816888</v>
      </c>
      <c r="M378" s="53">
        <f t="shared" si="89"/>
        <v>207.19614896976259</v>
      </c>
    </row>
    <row r="379" spans="1:13" x14ac:dyDescent="0.15">
      <c r="A379" s="40">
        <v>45444</v>
      </c>
      <c r="B379" s="12" t="s">
        <v>4</v>
      </c>
      <c r="C379" s="65">
        <v>288</v>
      </c>
      <c r="D379" s="50">
        <f>SOJA!D379</f>
        <v>983.64050400000031</v>
      </c>
      <c r="E379" s="30">
        <f>SOJA!E379</f>
        <v>1273.3667257875779</v>
      </c>
      <c r="F379" s="31">
        <f t="shared" ref="F379:F406" si="90">+(C379*(D379/E379))/(AVERAGE(C$109)*AVERAGE(D$109)/AVERAGE(E$109))*100</f>
        <v>202.6965870691933</v>
      </c>
      <c r="G379" s="31">
        <f t="shared" ref="G379:G406" si="91">+E379/AVERAGE(E$2:E$13)</f>
        <v>1273.3667257875782</v>
      </c>
      <c r="H379" s="31">
        <f t="shared" ref="H379:H406" si="92">+(C379*D379)/G379</f>
        <v>222.47201800941201</v>
      </c>
      <c r="I379" s="29">
        <f t="shared" ref="I379:I386" si="93">+I378</f>
        <v>0.12</v>
      </c>
      <c r="J379" s="54">
        <f t="shared" ref="J379:J406" si="94">+F379*(1-I379)/(F$109*(1-I$109))*100</f>
        <v>178.37299662089009</v>
      </c>
      <c r="K379" s="64">
        <f t="shared" ref="K379:K406" si="95">+H379*(1-I379)</f>
        <v>195.77537584828258</v>
      </c>
      <c r="L379" s="53">
        <f t="shared" ref="L379:M379" si="96">+L378</f>
        <v>134.93062583816888</v>
      </c>
      <c r="M379" s="53">
        <f t="shared" si="96"/>
        <v>207.19614896976259</v>
      </c>
    </row>
    <row r="380" spans="1:13" x14ac:dyDescent="0.15">
      <c r="A380" s="40">
        <v>45474</v>
      </c>
      <c r="B380" s="12" t="s">
        <v>4</v>
      </c>
      <c r="C380" s="65">
        <v>272</v>
      </c>
      <c r="D380" s="50">
        <f>SOJA!D380</f>
        <v>1009.0267600000002</v>
      </c>
      <c r="E380" s="30">
        <f>SOJA!E380</f>
        <v>1324.301394819081</v>
      </c>
      <c r="F380" s="31">
        <f t="shared" si="90"/>
        <v>188.82339145358353</v>
      </c>
      <c r="G380" s="31">
        <f t="shared" si="91"/>
        <v>1324.3013948190812</v>
      </c>
      <c r="H380" s="31">
        <f t="shared" si="92"/>
        <v>207.24532934400077</v>
      </c>
      <c r="I380" s="29">
        <f t="shared" si="93"/>
        <v>0.12</v>
      </c>
      <c r="J380" s="54">
        <f t="shared" si="94"/>
        <v>166.16458447915349</v>
      </c>
      <c r="K380" s="64">
        <f t="shared" si="95"/>
        <v>182.37588982272067</v>
      </c>
      <c r="L380" s="53">
        <f t="shared" ref="L380:M380" si="97">+L379</f>
        <v>134.93062583816888</v>
      </c>
      <c r="M380" s="53">
        <f t="shared" si="97"/>
        <v>207.19614896976259</v>
      </c>
    </row>
    <row r="381" spans="1:13" x14ac:dyDescent="0.15">
      <c r="A381" s="40">
        <v>45505</v>
      </c>
      <c r="B381" s="12" t="s">
        <v>3</v>
      </c>
      <c r="C381" s="65">
        <v>269</v>
      </c>
      <c r="D381" s="50">
        <f>SOJA!D381</f>
        <v>1013.6240836363636</v>
      </c>
      <c r="E381" s="30">
        <f>SOJA!E381</f>
        <v>1379.9220534014826</v>
      </c>
      <c r="F381" s="31">
        <f t="shared" si="90"/>
        <v>180.03033407499842</v>
      </c>
      <c r="G381" s="31">
        <f t="shared" si="91"/>
        <v>1379.9220534014828</v>
      </c>
      <c r="H381" s="31">
        <f t="shared" si="92"/>
        <v>197.59440602175161</v>
      </c>
      <c r="I381" s="29">
        <f t="shared" si="93"/>
        <v>0.12</v>
      </c>
      <c r="J381" s="54">
        <f t="shared" si="94"/>
        <v>158.42669398599861</v>
      </c>
      <c r="K381" s="64">
        <f t="shared" si="95"/>
        <v>173.88307729914141</v>
      </c>
      <c r="L381" s="53">
        <f t="shared" ref="L381:M381" si="98">+L380</f>
        <v>134.93062583816888</v>
      </c>
      <c r="M381" s="53">
        <f t="shared" si="98"/>
        <v>207.19614896976259</v>
      </c>
    </row>
    <row r="382" spans="1:13" x14ac:dyDescent="0.15">
      <c r="A382" s="40">
        <v>45536</v>
      </c>
      <c r="B382" s="12" t="s">
        <v>5</v>
      </c>
      <c r="C382" s="65">
        <v>257</v>
      </c>
      <c r="D382" s="50">
        <f>SOJA!D382</f>
        <v>1019.0886095238096</v>
      </c>
      <c r="E382" s="30">
        <f>SOJA!E382</f>
        <v>1428.2193252705342</v>
      </c>
      <c r="F382" s="31">
        <f t="shared" si="90"/>
        <v>167.07874620900435</v>
      </c>
      <c r="G382" s="31">
        <f t="shared" si="91"/>
        <v>1428.2193252705345</v>
      </c>
      <c r="H382" s="31">
        <f t="shared" si="92"/>
        <v>183.37923875803085</v>
      </c>
      <c r="I382" s="29">
        <f t="shared" si="93"/>
        <v>0.12</v>
      </c>
      <c r="J382" s="54">
        <f t="shared" si="94"/>
        <v>147.02929666392382</v>
      </c>
      <c r="K382" s="64">
        <f t="shared" si="95"/>
        <v>161.37373010706716</v>
      </c>
      <c r="L382" s="53">
        <f t="shared" ref="L382:M382" si="99">+L381</f>
        <v>134.93062583816888</v>
      </c>
      <c r="M382" s="53">
        <f t="shared" si="99"/>
        <v>207.19614896976259</v>
      </c>
    </row>
    <row r="383" spans="1:13" x14ac:dyDescent="0.15">
      <c r="A383" s="40">
        <v>45566</v>
      </c>
      <c r="B383" s="12" t="s">
        <v>6</v>
      </c>
      <c r="C383" s="65">
        <v>242</v>
      </c>
      <c r="D383" s="50">
        <f>SOJA!D383</f>
        <v>1023.4686330434783</v>
      </c>
      <c r="E383" s="30">
        <f>SOJA!E383</f>
        <v>1466.7812470528386</v>
      </c>
      <c r="F383" s="31">
        <f t="shared" si="90"/>
        <v>153.84932538607458</v>
      </c>
      <c r="G383" s="31">
        <f t="shared" si="91"/>
        <v>1466.7812470528388</v>
      </c>
      <c r="H383" s="31">
        <f t="shared" si="92"/>
        <v>168.85913267174425</v>
      </c>
      <c r="I383" s="29">
        <f t="shared" si="93"/>
        <v>0.12</v>
      </c>
      <c r="J383" s="54">
        <f t="shared" si="94"/>
        <v>135.38740633974564</v>
      </c>
      <c r="K383" s="64">
        <f t="shared" si="95"/>
        <v>148.59603675113493</v>
      </c>
      <c r="L383" s="53">
        <f t="shared" ref="L383:M383" si="100">+L382</f>
        <v>134.93062583816888</v>
      </c>
      <c r="M383" s="53">
        <f t="shared" si="100"/>
        <v>207.19614896976259</v>
      </c>
    </row>
    <row r="384" spans="1:13" x14ac:dyDescent="0.15">
      <c r="A384" s="40">
        <v>45597</v>
      </c>
      <c r="B384" s="12" t="s">
        <v>7</v>
      </c>
      <c r="C384" s="65">
        <v>225</v>
      </c>
      <c r="D384" s="50">
        <f>SOJA!D384</f>
        <v>1028.9941640000002</v>
      </c>
      <c r="E384" s="30">
        <f>SOJA!E384</f>
        <v>1501.9839969821066</v>
      </c>
      <c r="F384" s="31">
        <f t="shared" si="90"/>
        <v>140.44334552090586</v>
      </c>
      <c r="G384" s="31">
        <f t="shared" si="91"/>
        <v>1501.9839969821069</v>
      </c>
      <c r="H384" s="31">
        <f t="shared" si="92"/>
        <v>154.14524213653002</v>
      </c>
      <c r="I384" s="29">
        <f t="shared" si="93"/>
        <v>0.12</v>
      </c>
      <c r="J384" s="54">
        <f t="shared" si="94"/>
        <v>123.59014405839717</v>
      </c>
      <c r="K384" s="64">
        <f t="shared" si="95"/>
        <v>135.64781308014642</v>
      </c>
      <c r="L384" s="53">
        <f t="shared" ref="L384:M384" si="101">+L383</f>
        <v>134.93062583816888</v>
      </c>
      <c r="M384" s="53">
        <f t="shared" si="101"/>
        <v>207.19614896976259</v>
      </c>
    </row>
    <row r="385" spans="1:13" x14ac:dyDescent="0.15">
      <c r="A385" s="40">
        <v>45627</v>
      </c>
      <c r="B385" s="12" t="s">
        <v>76</v>
      </c>
      <c r="C385" s="65">
        <v>227</v>
      </c>
      <c r="D385" s="50">
        <f>SOJA!D385</f>
        <v>1042.001268</v>
      </c>
      <c r="E385" s="30">
        <f>SOJA!E385</f>
        <v>1542.5375649006232</v>
      </c>
      <c r="F385" s="31">
        <f t="shared" si="90"/>
        <v>139.71061281205564</v>
      </c>
      <c r="G385" s="31">
        <f t="shared" si="91"/>
        <v>1542.5375649006235</v>
      </c>
      <c r="H385" s="31">
        <f t="shared" si="92"/>
        <v>153.34102275249194</v>
      </c>
      <c r="I385" s="29">
        <f t="shared" si="93"/>
        <v>0.12</v>
      </c>
      <c r="J385" s="54">
        <f t="shared" si="94"/>
        <v>122.94533927460898</v>
      </c>
      <c r="K385" s="64">
        <f t="shared" si="95"/>
        <v>134.94010002219289</v>
      </c>
      <c r="L385" s="53">
        <f t="shared" ref="L385:M385" si="102">+L384</f>
        <v>134.93062583816888</v>
      </c>
      <c r="M385" s="53">
        <f t="shared" si="102"/>
        <v>207.19614896976259</v>
      </c>
    </row>
    <row r="386" spans="1:13" x14ac:dyDescent="0.15">
      <c r="A386" s="40">
        <v>45658</v>
      </c>
      <c r="B386" s="12" t="s">
        <v>77</v>
      </c>
      <c r="C386" s="65">
        <v>229</v>
      </c>
      <c r="D386" s="50">
        <f>SOJA!D386</f>
        <v>1043.5644</v>
      </c>
      <c r="E386" s="30">
        <f>SOJA!E386</f>
        <v>1576.4733913284369</v>
      </c>
      <c r="F386" s="31">
        <f t="shared" si="90"/>
        <v>138.11445521869567</v>
      </c>
      <c r="G386" s="31">
        <f t="shared" si="91"/>
        <v>1576.4733913284372</v>
      </c>
      <c r="H386" s="31">
        <f t="shared" si="92"/>
        <v>151.58914125320146</v>
      </c>
      <c r="I386" s="29">
        <f t="shared" si="93"/>
        <v>0.12</v>
      </c>
      <c r="J386" s="54">
        <f t="shared" si="94"/>
        <v>121.54072059245217</v>
      </c>
      <c r="K386" s="64">
        <f t="shared" si="95"/>
        <v>133.3984443028173</v>
      </c>
      <c r="L386" s="53">
        <f t="shared" ref="L386:M386" si="103">+L385</f>
        <v>134.93062583816888</v>
      </c>
      <c r="M386" s="53">
        <f t="shared" si="103"/>
        <v>207.19614896976259</v>
      </c>
    </row>
    <row r="387" spans="1:13" x14ac:dyDescent="0.15">
      <c r="A387" s="40">
        <v>45689</v>
      </c>
      <c r="B387" s="12" t="s">
        <v>1</v>
      </c>
      <c r="C387" s="65">
        <v>237</v>
      </c>
      <c r="D387" s="50">
        <f>SOJA!D387</f>
        <v>1058.4625000000001</v>
      </c>
      <c r="E387" s="30">
        <f>SOJA!E387</f>
        <v>1614.3087527203195</v>
      </c>
      <c r="F387" s="31">
        <f t="shared" si="90"/>
        <v>141.58207163197861</v>
      </c>
      <c r="G387" s="31">
        <f t="shared" si="91"/>
        <v>1614.3087527203197</v>
      </c>
      <c r="H387" s="31">
        <f t="shared" si="92"/>
        <v>155.39506434396503</v>
      </c>
      <c r="I387" s="68">
        <v>9.5000000000000001E-2</v>
      </c>
      <c r="J387" s="54">
        <f t="shared" si="94"/>
        <v>128.13177482694064</v>
      </c>
      <c r="K387" s="64">
        <f t="shared" si="95"/>
        <v>140.63253323128836</v>
      </c>
      <c r="L387" s="53">
        <f t="shared" ref="L387:M387" si="104">+L386</f>
        <v>134.93062583816888</v>
      </c>
      <c r="M387" s="53">
        <f t="shared" si="104"/>
        <v>207.19614896976259</v>
      </c>
    </row>
    <row r="388" spans="1:13" x14ac:dyDescent="0.15">
      <c r="A388" s="40">
        <v>45717</v>
      </c>
      <c r="B388" s="12" t="s">
        <v>2</v>
      </c>
      <c r="C388" s="65">
        <v>243</v>
      </c>
      <c r="D388" s="50">
        <f>SOJA!D388</f>
        <v>1069.0346999999999</v>
      </c>
      <c r="E388" s="30">
        <f>SOJA!E388</f>
        <v>1674.038176570971</v>
      </c>
      <c r="F388" s="31">
        <f t="shared" si="90"/>
        <v>141.38513798055661</v>
      </c>
      <c r="G388" s="31">
        <f t="shared" si="91"/>
        <v>1674.0381765709712</v>
      </c>
      <c r="H388" s="31">
        <f t="shared" si="92"/>
        <v>155.17891750360971</v>
      </c>
      <c r="I388" s="68">
        <v>9.5000000000000001E-2</v>
      </c>
      <c r="J388" s="54">
        <f t="shared" si="94"/>
        <v>127.95354987240373</v>
      </c>
      <c r="K388" s="64">
        <f t="shared" si="95"/>
        <v>140.43692034076679</v>
      </c>
      <c r="L388" s="53">
        <f t="shared" ref="L388:M388" si="105">+L387</f>
        <v>134.93062583816888</v>
      </c>
      <c r="M388" s="53">
        <f t="shared" si="105"/>
        <v>207.19614896976259</v>
      </c>
    </row>
    <row r="389" spans="1:13" x14ac:dyDescent="0.15">
      <c r="A389" s="40">
        <v>45748</v>
      </c>
      <c r="B389" s="12" t="s">
        <v>3</v>
      </c>
      <c r="C389" s="65">
        <v>248</v>
      </c>
      <c r="D389" s="50">
        <f>SOJA!D389</f>
        <v>1121.568</v>
      </c>
      <c r="E389" s="30">
        <f>SOJA!E389</f>
        <v>1720.9112455149584</v>
      </c>
      <c r="F389" s="31">
        <f t="shared" si="90"/>
        <v>147.26171706620201</v>
      </c>
      <c r="G389" s="31">
        <f t="shared" si="91"/>
        <v>1720.9112455149586</v>
      </c>
      <c r="H389" s="31">
        <f t="shared" si="92"/>
        <v>161.62882584730153</v>
      </c>
      <c r="I389" s="68">
        <v>9.5000000000000001E-2</v>
      </c>
      <c r="J389" s="54">
        <f t="shared" si="94"/>
        <v>133.27185394491283</v>
      </c>
      <c r="K389" s="64">
        <f t="shared" si="95"/>
        <v>146.27408739180788</v>
      </c>
      <c r="L389" s="53">
        <f t="shared" ref="L389:M389" si="106">+L388</f>
        <v>134.93062583816888</v>
      </c>
      <c r="M389" s="53">
        <f t="shared" si="106"/>
        <v>207.19614896976259</v>
      </c>
    </row>
    <row r="390" spans="1:13" x14ac:dyDescent="0.15">
      <c r="A390" s="40">
        <v>45778</v>
      </c>
      <c r="B390" s="12" t="s">
        <v>2</v>
      </c>
      <c r="C390" s="65">
        <v>235</v>
      </c>
      <c r="D390" s="50">
        <f>SOJA!D390</f>
        <v>1147.5291999999999</v>
      </c>
      <c r="E390" s="30">
        <f>SOJA!E390</f>
        <v>1746.7249141976827</v>
      </c>
      <c r="F390" s="31">
        <f t="shared" si="90"/>
        <v>140.66243619722727</v>
      </c>
      <c r="G390" s="31">
        <f t="shared" si="91"/>
        <v>1746.7249141976829</v>
      </c>
      <c r="H390" s="31">
        <f t="shared" si="92"/>
        <v>154.38570767960121</v>
      </c>
      <c r="I390" s="68">
        <v>9.5000000000000001E-2</v>
      </c>
      <c r="J390" s="54">
        <f t="shared" si="94"/>
        <v>127.29950475849068</v>
      </c>
      <c r="K390" s="64">
        <f t="shared" si="95"/>
        <v>139.7190654500391</v>
      </c>
      <c r="L390" s="53">
        <f t="shared" ref="L390:M390" si="107">+L389</f>
        <v>134.93062583816888</v>
      </c>
      <c r="M390" s="53">
        <f t="shared" si="107"/>
        <v>207.19614896976259</v>
      </c>
    </row>
    <row r="391" spans="1:13" x14ac:dyDescent="0.15">
      <c r="A391" s="40">
        <v>45809</v>
      </c>
      <c r="B391" s="12" t="s">
        <v>4</v>
      </c>
      <c r="C391" s="65">
        <v>233</v>
      </c>
      <c r="D391" s="50">
        <f>SOJA!D391</f>
        <v>1181.3552999999999</v>
      </c>
      <c r="E391" s="30">
        <f>SOJA!E391</f>
        <v>1774.6725128248456</v>
      </c>
      <c r="F391" s="31">
        <f t="shared" si="90"/>
        <v>141.31532912908727</v>
      </c>
      <c r="G391" s="31">
        <f t="shared" si="91"/>
        <v>1774.6725128248459</v>
      </c>
      <c r="H391" s="31">
        <f t="shared" si="92"/>
        <v>155.10229797939445</v>
      </c>
      <c r="I391" s="68">
        <v>9.5000000000000001E-2</v>
      </c>
      <c r="J391" s="54">
        <f t="shared" si="94"/>
        <v>127.89037286182399</v>
      </c>
      <c r="K391" s="64">
        <f t="shared" si="95"/>
        <v>140.36757967135199</v>
      </c>
      <c r="L391" s="53">
        <f t="shared" ref="L391:M391" si="108">+L390</f>
        <v>134.93062583816888</v>
      </c>
      <c r="M391" s="53">
        <f t="shared" si="108"/>
        <v>207.19614896976259</v>
      </c>
    </row>
    <row r="392" spans="1:13" x14ac:dyDescent="0.15">
      <c r="A392" s="40">
        <v>45839</v>
      </c>
      <c r="B392" s="12" t="s">
        <v>4</v>
      </c>
      <c r="C392" s="65">
        <v>231</v>
      </c>
      <c r="D392" s="50">
        <f>SOJA!D392</f>
        <v>1267.0227</v>
      </c>
      <c r="E392" s="30">
        <f>SOJA!E392</f>
        <v>1808.3912905685177</v>
      </c>
      <c r="F392" s="31">
        <f t="shared" si="90"/>
        <v>147.46026530614625</v>
      </c>
      <c r="G392" s="31">
        <f t="shared" si="91"/>
        <v>1808.3912905685179</v>
      </c>
      <c r="H392" s="31">
        <f t="shared" si="92"/>
        <v>161.84674479823846</v>
      </c>
      <c r="I392" s="69">
        <v>0.12</v>
      </c>
      <c r="J392" s="54">
        <f t="shared" si="94"/>
        <v>129.76503346940871</v>
      </c>
      <c r="K392" s="64">
        <f t="shared" si="95"/>
        <v>142.42513542244984</v>
      </c>
      <c r="L392" s="53">
        <f t="shared" ref="L392:M392" si="109">+L391</f>
        <v>134.93062583816888</v>
      </c>
      <c r="M392" s="53">
        <f t="shared" si="109"/>
        <v>207.19614896976259</v>
      </c>
    </row>
    <row r="393" spans="1:13" x14ac:dyDescent="0.15">
      <c r="A393" s="40">
        <v>45870</v>
      </c>
      <c r="B393" s="12" t="s">
        <v>3</v>
      </c>
      <c r="C393" s="65">
        <v>232</v>
      </c>
      <c r="D393" s="50">
        <f>SOJA!D393</f>
        <v>1329.5374999999999</v>
      </c>
      <c r="E393" s="30">
        <f>SOJA!E393</f>
        <v>1842.7507250893193</v>
      </c>
      <c r="F393" s="31">
        <f t="shared" si="90"/>
        <v>152.5081410438691</v>
      </c>
      <c r="G393" s="31">
        <f t="shared" si="91"/>
        <v>1842.7507250893195</v>
      </c>
      <c r="H393" s="31">
        <f t="shared" si="92"/>
        <v>167.38710005665527</v>
      </c>
      <c r="I393" s="68">
        <v>9.5000000000000001E-2</v>
      </c>
      <c r="J393" s="54">
        <f t="shared" si="94"/>
        <v>138.01986764470155</v>
      </c>
      <c r="K393" s="64">
        <f t="shared" si="95"/>
        <v>151.48532555127304</v>
      </c>
      <c r="L393" s="53">
        <f t="shared" ref="L393:M393" si="110">+L392</f>
        <v>134.93062583816888</v>
      </c>
      <c r="M393" s="53">
        <f t="shared" si="110"/>
        <v>207.19614896976259</v>
      </c>
    </row>
    <row r="394" spans="1:13" x14ac:dyDescent="0.15">
      <c r="A394" s="40">
        <v>45901</v>
      </c>
      <c r="B394" s="12" t="s">
        <v>5</v>
      </c>
      <c r="C394" s="65">
        <v>226</v>
      </c>
      <c r="D394" s="50">
        <f>SOJA!D394</f>
        <v>1399.8977</v>
      </c>
      <c r="E394" s="30">
        <f>SOJA!E394</f>
        <v>1881.4484903161949</v>
      </c>
      <c r="F394" s="31">
        <f t="shared" si="90"/>
        <v>153.20870733280756</v>
      </c>
      <c r="G394" s="31">
        <f t="shared" si="91"/>
        <v>1881.4484903161951</v>
      </c>
      <c r="H394" s="31">
        <f t="shared" si="92"/>
        <v>168.1560148090102</v>
      </c>
      <c r="I394" s="60">
        <v>0</v>
      </c>
      <c r="J394" s="54">
        <f t="shared" si="94"/>
        <v>153.20870733280756</v>
      </c>
      <c r="K394" s="64">
        <f t="shared" si="95"/>
        <v>168.1560148090102</v>
      </c>
      <c r="L394" s="53">
        <f t="shared" ref="L394:M394" si="111">+L393</f>
        <v>134.93062583816888</v>
      </c>
      <c r="M394" s="53">
        <f t="shared" si="111"/>
        <v>207.19614896976259</v>
      </c>
    </row>
    <row r="395" spans="1:13" x14ac:dyDescent="0.15">
      <c r="A395" s="40">
        <v>45931</v>
      </c>
      <c r="B395" s="12" t="s">
        <v>6</v>
      </c>
      <c r="C395" s="65">
        <v>218</v>
      </c>
      <c r="D395" s="50">
        <f>SOJA!D395</f>
        <v>1432.0227</v>
      </c>
      <c r="E395" s="30">
        <f>SOJA!E395</f>
        <v>1922.8403571031513</v>
      </c>
      <c r="F395" s="31">
        <f t="shared" si="90"/>
        <v>147.92249019042782</v>
      </c>
      <c r="G395" s="31">
        <f t="shared" si="91"/>
        <v>1922.8403571031515</v>
      </c>
      <c r="H395" s="31">
        <f t="shared" si="92"/>
        <v>162.3540651447087</v>
      </c>
      <c r="I395" s="68">
        <v>9.5000000000000001E-2</v>
      </c>
      <c r="J395" s="54">
        <f t="shared" si="94"/>
        <v>133.86985362233719</v>
      </c>
      <c r="K395" s="64">
        <f t="shared" si="95"/>
        <v>146.93042895596139</v>
      </c>
      <c r="L395" s="53">
        <f t="shared" ref="L395:M395" si="112">+L394</f>
        <v>134.93062583816888</v>
      </c>
      <c r="M395" s="53">
        <f t="shared" si="112"/>
        <v>207.19614896976259</v>
      </c>
    </row>
    <row r="396" spans="1:13" x14ac:dyDescent="0.15">
      <c r="A396" s="40">
        <v>45962</v>
      </c>
      <c r="B396" s="12" t="s">
        <v>7</v>
      </c>
      <c r="C396" s="65">
        <v>212</v>
      </c>
      <c r="D396" s="50">
        <f>SOJA!D396</f>
        <v>1427.6176</v>
      </c>
      <c r="E396" s="30">
        <f>SOJA!E396</f>
        <v>1970.9113660307298</v>
      </c>
      <c r="F396" s="31">
        <f t="shared" si="90"/>
        <v>139.91094898034828</v>
      </c>
      <c r="G396" s="31">
        <f t="shared" si="91"/>
        <v>1970.9113660307301</v>
      </c>
      <c r="H396" s="31">
        <f t="shared" si="92"/>
        <v>153.56090406517097</v>
      </c>
      <c r="I396" s="68">
        <v>9.5000000000000001E-2</v>
      </c>
      <c r="J396" s="54">
        <f t="shared" si="94"/>
        <v>126.61940882721518</v>
      </c>
      <c r="K396" s="64">
        <f t="shared" si="95"/>
        <v>138.97261817897973</v>
      </c>
      <c r="L396" s="53">
        <f t="shared" ref="L396:M396" si="113">+L395</f>
        <v>134.93062583816888</v>
      </c>
      <c r="M396" s="53">
        <f t="shared" si="113"/>
        <v>207.19614896976259</v>
      </c>
    </row>
    <row r="397" spans="1:13" x14ac:dyDescent="0.15">
      <c r="A397" s="40">
        <v>45992</v>
      </c>
      <c r="B397" s="12" t="s">
        <v>79</v>
      </c>
      <c r="C397" s="65">
        <v>208</v>
      </c>
      <c r="D397" s="50">
        <f>SOJA!D397</f>
        <v>1447.8377</v>
      </c>
      <c r="E397" s="30">
        <f>SOJA!E397</f>
        <v>2026.0968842795903</v>
      </c>
      <c r="F397" s="31">
        <f t="shared" si="90"/>
        <v>135.42350479043256</v>
      </c>
      <c r="G397" s="31">
        <f t="shared" si="91"/>
        <v>2026.0968842795905</v>
      </c>
      <c r="H397" s="31">
        <f t="shared" si="92"/>
        <v>148.63565702934218</v>
      </c>
      <c r="I397" s="68">
        <v>7.4999999999999997E-2</v>
      </c>
      <c r="J397" s="54">
        <f t="shared" si="94"/>
        <v>125.26674193115012</v>
      </c>
      <c r="K397" s="64">
        <f t="shared" si="95"/>
        <v>137.48798275214153</v>
      </c>
      <c r="L397" s="53">
        <f t="shared" ref="L397:M397" si="114">+L396</f>
        <v>134.93062583816888</v>
      </c>
      <c r="M397" s="53">
        <f t="shared" si="114"/>
        <v>207.19614896976259</v>
      </c>
    </row>
    <row r="398" spans="1:13" x14ac:dyDescent="0.15">
      <c r="A398" s="40">
        <v>46023</v>
      </c>
      <c r="B398" s="12" t="s">
        <v>78</v>
      </c>
      <c r="C398" s="65">
        <v>208</v>
      </c>
      <c r="D398" s="50">
        <f>SOJA!D398</f>
        <v>1449.3347000000001</v>
      </c>
      <c r="E398" s="30">
        <f>SOJA!E398</f>
        <v>2084.8536939236983</v>
      </c>
      <c r="F398" s="31">
        <f t="shared" si="90"/>
        <v>131.74298026349948</v>
      </c>
      <c r="G398" s="31">
        <f t="shared" si="91"/>
        <v>2084.8536939236988</v>
      </c>
      <c r="H398" s="31">
        <f t="shared" si="92"/>
        <v>144.59605413972653</v>
      </c>
      <c r="I398" s="68">
        <v>8.5000000000000006E-2</v>
      </c>
      <c r="J398" s="54">
        <f t="shared" si="94"/>
        <v>120.54482694110203</v>
      </c>
      <c r="K398" s="64">
        <f t="shared" si="95"/>
        <v>132.30538953784978</v>
      </c>
      <c r="L398" s="53">
        <f t="shared" ref="L398:M398" si="115">+L397</f>
        <v>134.93062583816888</v>
      </c>
      <c r="M398" s="53">
        <f t="shared" si="115"/>
        <v>207.19614896976259</v>
      </c>
    </row>
    <row r="399" spans="1:13" x14ac:dyDescent="0.15">
      <c r="A399" s="40">
        <v>46054</v>
      </c>
      <c r="B399" s="12" t="s">
        <v>1</v>
      </c>
      <c r="C399" s="65">
        <v>207</v>
      </c>
      <c r="D399" s="50">
        <f>SOJA!D399</f>
        <v>1409.6570999999999</v>
      </c>
      <c r="E399" s="30">
        <f>SOJA!E399</f>
        <v>2145.3144510474854</v>
      </c>
      <c r="F399" s="31">
        <f t="shared" si="90"/>
        <v>123.92642240038127</v>
      </c>
      <c r="G399" s="31">
        <f t="shared" si="91"/>
        <v>2145.3144510474858</v>
      </c>
      <c r="H399" s="31">
        <f t="shared" si="92"/>
        <v>136.0168993209943</v>
      </c>
      <c r="I399" s="68">
        <v>8.5000000000000006E-2</v>
      </c>
      <c r="J399" s="54">
        <f t="shared" si="94"/>
        <v>113.39267649634888</v>
      </c>
      <c r="K399" s="64">
        <f t="shared" si="95"/>
        <v>124.45546287870978</v>
      </c>
      <c r="L399" s="53">
        <f t="shared" ref="L399:M399" si="116">+L398</f>
        <v>134.93062583816888</v>
      </c>
      <c r="M399" s="53">
        <f t="shared" si="116"/>
        <v>207.19614896976259</v>
      </c>
    </row>
    <row r="400" spans="1:13" x14ac:dyDescent="0.15">
      <c r="A400" s="40">
        <v>46082</v>
      </c>
      <c r="B400" s="12" t="s">
        <v>2</v>
      </c>
      <c r="C400" s="65">
        <v>215</v>
      </c>
      <c r="D400" s="50">
        <f>SOJA!D400</f>
        <v>1396.3387</v>
      </c>
      <c r="E400" s="30">
        <f>SOJA!E400</f>
        <v>2218.2551423831001</v>
      </c>
      <c r="F400" s="31">
        <f t="shared" si="90"/>
        <v>123.30729756905889</v>
      </c>
      <c r="G400" s="31">
        <f t="shared" si="91"/>
        <v>2218.2551423831005</v>
      </c>
      <c r="H400" s="31">
        <f t="shared" si="92"/>
        <v>135.33737159625267</v>
      </c>
      <c r="I400" s="68">
        <v>8.5000000000000006E-2</v>
      </c>
      <c r="J400" s="54">
        <f t="shared" si="94"/>
        <v>112.82617727568889</v>
      </c>
      <c r="K400" s="64">
        <f t="shared" si="95"/>
        <v>123.83369501057119</v>
      </c>
      <c r="L400" s="53">
        <f t="shared" ref="L400:M400" si="117">+L399</f>
        <v>134.93062583816888</v>
      </c>
      <c r="M400" s="53">
        <f t="shared" si="117"/>
        <v>207.19614896976259</v>
      </c>
    </row>
    <row r="401" spans="1:13" x14ac:dyDescent="0.15">
      <c r="A401" s="40">
        <v>46113</v>
      </c>
      <c r="B401" s="12" t="s">
        <v>3</v>
      </c>
      <c r="C401" s="65">
        <v>227</v>
      </c>
      <c r="D401" s="50">
        <f>SOJA!D401</f>
        <v>1381.4522999999999</v>
      </c>
      <c r="E401" s="30">
        <f>SOJA!E401</f>
        <v>2275.9297760850604</v>
      </c>
      <c r="F401" s="31">
        <f t="shared" si="90"/>
        <v>125.53763284243476</v>
      </c>
      <c r="G401" s="31">
        <f t="shared" si="91"/>
        <v>2275.9297760850609</v>
      </c>
      <c r="H401" s="31">
        <f t="shared" si="92"/>
        <v>137.78530225103037</v>
      </c>
      <c r="I401" s="68">
        <v>8.5000000000000006E-2</v>
      </c>
      <c r="J401" s="54">
        <f t="shared" si="94"/>
        <v>114.86693405082782</v>
      </c>
      <c r="K401" s="64">
        <f t="shared" si="95"/>
        <v>126.0735515596928</v>
      </c>
      <c r="L401" s="53">
        <f t="shared" ref="L401:M401" si="118">+L400</f>
        <v>134.93062583816888</v>
      </c>
      <c r="M401" s="53">
        <f t="shared" si="118"/>
        <v>207.19614896976259</v>
      </c>
    </row>
    <row r="402" spans="1:13" x14ac:dyDescent="0.15">
      <c r="A402" s="40">
        <v>46143</v>
      </c>
      <c r="B402" s="12" t="s">
        <v>2</v>
      </c>
      <c r="C402" s="65">
        <v>233</v>
      </c>
      <c r="D402" s="50">
        <f>SOJA!D402</f>
        <v>1397.2372</v>
      </c>
      <c r="E402" s="30">
        <f>SOJA!E402</f>
        <v>2323.7243013828465</v>
      </c>
      <c r="F402" s="31">
        <f t="shared" si="90"/>
        <v>127.64755569166029</v>
      </c>
      <c r="G402" s="31">
        <f t="shared" si="91"/>
        <v>2323.724301382847</v>
      </c>
      <c r="H402" s="31">
        <f t="shared" si="92"/>
        <v>140.1010728365072</v>
      </c>
      <c r="I402" s="68">
        <v>8.5000000000000006E-2</v>
      </c>
      <c r="J402" s="54">
        <f t="shared" si="94"/>
        <v>116.79751345786917</v>
      </c>
      <c r="K402" s="64">
        <f t="shared" si="95"/>
        <v>128.19248164540409</v>
      </c>
      <c r="L402" s="53">
        <f t="shared" ref="L402:M402" si="119">+L401</f>
        <v>134.93062583816888</v>
      </c>
      <c r="M402" s="53">
        <f t="shared" si="119"/>
        <v>207.19614896976259</v>
      </c>
    </row>
    <row r="403" spans="1:13" x14ac:dyDescent="0.15">
      <c r="A403" s="40">
        <v>46174</v>
      </c>
      <c r="B403" s="12" t="s">
        <v>4</v>
      </c>
      <c r="C403" s="65">
        <v>235</v>
      </c>
      <c r="D403" s="50">
        <f>SOJA!D403</f>
        <v>1450.2728</v>
      </c>
      <c r="E403" s="30">
        <f>SOJA!E403</f>
        <v>2367.8750631091202</v>
      </c>
      <c r="F403" s="31">
        <f t="shared" si="90"/>
        <v>131.13838238262605</v>
      </c>
      <c r="G403" s="31">
        <f t="shared" si="91"/>
        <v>2367.8750631091207</v>
      </c>
      <c r="H403" s="31">
        <f t="shared" si="92"/>
        <v>143.93247063994019</v>
      </c>
      <c r="I403" s="68">
        <v>5.5E-2</v>
      </c>
      <c r="J403" s="54">
        <f t="shared" si="94"/>
        <v>123.9257713515816</v>
      </c>
      <c r="K403" s="64">
        <f t="shared" si="95"/>
        <v>136.01618475474348</v>
      </c>
      <c r="L403" s="53">
        <f t="shared" ref="L403:M403" si="120">+L402</f>
        <v>134.93062583816888</v>
      </c>
      <c r="M403" s="53">
        <f t="shared" si="120"/>
        <v>207.19614896976259</v>
      </c>
    </row>
    <row r="404" spans="1:13" x14ac:dyDescent="0.15">
      <c r="A404" s="40">
        <v>46204</v>
      </c>
      <c r="B404" s="12" t="s">
        <v>4</v>
      </c>
      <c r="C404" s="65">
        <v>231</v>
      </c>
      <c r="D404" s="50">
        <f>SOJA!D404</f>
        <v>1487.0038</v>
      </c>
      <c r="E404" s="30">
        <f>SOJA!E404</f>
        <v>2417.6004394344118</v>
      </c>
      <c r="F404" s="31">
        <f t="shared" si="90"/>
        <v>129.45253944594702</v>
      </c>
      <c r="G404" s="31">
        <f t="shared" si="91"/>
        <v>2417.6004394344122</v>
      </c>
      <c r="H404" s="31">
        <f t="shared" si="92"/>
        <v>142.08215393953185</v>
      </c>
      <c r="I404" s="68">
        <v>5.5E-2</v>
      </c>
      <c r="J404" s="54">
        <f t="shared" si="94"/>
        <v>122.33264977641993</v>
      </c>
      <c r="K404" s="64">
        <f t="shared" si="95"/>
        <v>134.26763547285759</v>
      </c>
      <c r="L404" s="53">
        <f t="shared" ref="L404:M404" si="121">+L403</f>
        <v>134.93062583816888</v>
      </c>
      <c r="M404" s="53">
        <f t="shared" si="121"/>
        <v>207.19614896976259</v>
      </c>
    </row>
    <row r="405" spans="1:13" x14ac:dyDescent="0.15">
      <c r="A405" s="40">
        <v>46235</v>
      </c>
      <c r="B405" s="12" t="s">
        <v>3</v>
      </c>
      <c r="C405" s="65">
        <v>244</v>
      </c>
      <c r="D405" s="50">
        <f>SOJA!D405</f>
        <v>1499.9629</v>
      </c>
      <c r="E405" s="30">
        <f>SOJA!E405</f>
        <v>2461.1172473442311</v>
      </c>
      <c r="F405" s="31">
        <f t="shared" si="90"/>
        <v>135.49057373343808</v>
      </c>
      <c r="G405" s="31">
        <f t="shared" si="91"/>
        <v>2461.1172473442316</v>
      </c>
      <c r="H405" s="31">
        <f t="shared" si="92"/>
        <v>148.70926933486709</v>
      </c>
      <c r="I405" s="68">
        <v>5.5E-2</v>
      </c>
      <c r="J405" s="54">
        <f t="shared" si="94"/>
        <v>128.03859217809898</v>
      </c>
      <c r="K405" s="64">
        <f t="shared" si="95"/>
        <v>140.53025952144938</v>
      </c>
      <c r="L405" s="53">
        <f t="shared" ref="L405:M405" si="122">+L404</f>
        <v>134.93062583816888</v>
      </c>
      <c r="M405" s="53">
        <f t="shared" si="122"/>
        <v>207.19614896976259</v>
      </c>
    </row>
    <row r="406" spans="1:13" x14ac:dyDescent="0.15">
      <c r="A406" s="40">
        <v>46266</v>
      </c>
      <c r="B406" s="12" t="s">
        <v>5</v>
      </c>
      <c r="C406" s="65">
        <v>263</v>
      </c>
      <c r="D406" s="50">
        <f>SOJA!D406</f>
        <v>1515</v>
      </c>
      <c r="E406" s="30">
        <f>SOJA!E406</f>
        <v>2502.9562405490828</v>
      </c>
      <c r="F406" s="31">
        <f t="shared" si="90"/>
        <v>145.03945743841683</v>
      </c>
      <c r="G406" s="31">
        <f t="shared" si="91"/>
        <v>2502.9562405490833</v>
      </c>
      <c r="H406" s="31">
        <f t="shared" si="92"/>
        <v>159.18975871211859</v>
      </c>
      <c r="I406" s="68">
        <v>5.5E-2</v>
      </c>
      <c r="J406" s="54">
        <f t="shared" si="94"/>
        <v>137.06228727930389</v>
      </c>
      <c r="K406" s="64">
        <f t="shared" si="95"/>
        <v>150.43432198295207</v>
      </c>
      <c r="L406" s="53">
        <f t="shared" ref="L406:M406" si="123">+L405</f>
        <v>134.93062583816888</v>
      </c>
      <c r="M406" s="53">
        <f t="shared" si="123"/>
        <v>207.19614896976259</v>
      </c>
    </row>
    <row r="407" spans="1:13" x14ac:dyDescent="0.15">
      <c r="A407" s="40">
        <v>46296</v>
      </c>
      <c r="B407" s="12" t="s">
        <v>6</v>
      </c>
      <c r="C407" s="12"/>
      <c r="I407" s="68">
        <v>5.5E-2</v>
      </c>
    </row>
    <row r="408" spans="1:13" x14ac:dyDescent="0.15">
      <c r="A408" s="40">
        <v>46327</v>
      </c>
      <c r="B408" s="12" t="s">
        <v>7</v>
      </c>
      <c r="C408" s="12"/>
      <c r="I408" s="68">
        <v>5.5E-2</v>
      </c>
    </row>
    <row r="409" spans="1:13" x14ac:dyDescent="0.15">
      <c r="A409" s="40">
        <v>46357</v>
      </c>
      <c r="B409" s="12" t="s">
        <v>80</v>
      </c>
      <c r="C409" s="12"/>
      <c r="I409" s="12"/>
    </row>
    <row r="410" spans="1:13" x14ac:dyDescent="0.15">
      <c r="C410" s="12"/>
      <c r="I410" s="12"/>
    </row>
    <row r="411" spans="1:13" x14ac:dyDescent="0.15">
      <c r="C411" s="12"/>
      <c r="I411" s="12"/>
    </row>
    <row r="412" spans="1:13" x14ac:dyDescent="0.15">
      <c r="C412" s="12"/>
      <c r="I412" s="12"/>
    </row>
    <row r="413" spans="1:13" x14ac:dyDescent="0.15">
      <c r="C413" s="12"/>
      <c r="I413" s="12"/>
    </row>
    <row r="414" spans="1:13" x14ac:dyDescent="0.15">
      <c r="C414" s="12"/>
      <c r="I414" s="12"/>
    </row>
    <row r="415" spans="1:13" x14ac:dyDescent="0.15">
      <c r="C415" s="12"/>
      <c r="I415" s="12"/>
    </row>
    <row r="416" spans="1:13" x14ac:dyDescent="0.15">
      <c r="C416" s="12"/>
      <c r="I416" s="12"/>
    </row>
    <row r="417" s="12" customFormat="1" x14ac:dyDescent="0.15"/>
    <row r="418" s="12" customFormat="1" x14ac:dyDescent="0.15"/>
    <row r="419" s="12" customFormat="1" x14ac:dyDescent="0.15"/>
    <row r="420" s="12" customFormat="1" x14ac:dyDescent="0.15"/>
    <row r="421" s="12" customFormat="1" x14ac:dyDescent="0.15"/>
    <row r="422" s="12" customFormat="1" x14ac:dyDescent="0.15"/>
    <row r="423" s="12" customFormat="1" x14ac:dyDescent="0.15"/>
    <row r="424" s="12" customFormat="1" x14ac:dyDescent="0.15"/>
    <row r="425" s="12" customFormat="1" x14ac:dyDescent="0.15"/>
    <row r="426" s="12" customFormat="1" x14ac:dyDescent="0.15"/>
    <row r="427" s="12" customFormat="1" x14ac:dyDescent="0.15"/>
    <row r="428" s="12" customFormat="1" x14ac:dyDescent="0.15"/>
    <row r="429" s="12" customFormat="1" x14ac:dyDescent="0.15"/>
    <row r="430" s="12" customFormat="1" x14ac:dyDescent="0.15"/>
    <row r="431" s="12" customFormat="1" x14ac:dyDescent="0.15"/>
    <row r="432" s="12" customFormat="1" x14ac:dyDescent="0.15"/>
    <row r="433" s="12" customFormat="1" x14ac:dyDescent="0.15"/>
    <row r="434" s="12" customFormat="1" x14ac:dyDescent="0.15"/>
    <row r="435" s="12" customFormat="1" x14ac:dyDescent="0.15"/>
    <row r="436" s="12" customFormat="1" x14ac:dyDescent="0.15"/>
    <row r="437" s="12" customFormat="1" x14ac:dyDescent="0.15"/>
    <row r="438" s="12" customFormat="1" x14ac:dyDescent="0.15"/>
    <row r="439" s="12" customFormat="1" x14ac:dyDescent="0.15"/>
    <row r="440" s="12" customFormat="1" x14ac:dyDescent="0.15"/>
    <row r="441" s="12" customFormat="1" x14ac:dyDescent="0.15"/>
    <row r="442" s="12" customFormat="1" x14ac:dyDescent="0.15"/>
    <row r="443" s="12" customFormat="1" x14ac:dyDescent="0.15"/>
    <row r="444" s="12" customFormat="1" x14ac:dyDescent="0.15"/>
    <row r="445" s="12" customFormat="1" x14ac:dyDescent="0.15"/>
    <row r="446" s="12" customFormat="1" x14ac:dyDescent="0.15"/>
    <row r="447" s="12" customFormat="1" x14ac:dyDescent="0.15"/>
    <row r="448" s="12" customFormat="1" x14ac:dyDescent="0.15"/>
    <row r="449" s="12" customFormat="1" x14ac:dyDescent="0.15"/>
    <row r="450" s="12" customFormat="1" x14ac:dyDescent="0.15"/>
    <row r="451" s="12" customFormat="1" x14ac:dyDescent="0.15"/>
    <row r="452" s="12" customFormat="1" x14ac:dyDescent="0.15"/>
    <row r="453" s="12" customFormat="1" x14ac:dyDescent="0.15"/>
    <row r="454" s="12" customFormat="1" x14ac:dyDescent="0.15"/>
    <row r="455" s="12" customFormat="1" x14ac:dyDescent="0.15"/>
    <row r="456" s="12" customFormat="1" x14ac:dyDescent="0.15"/>
    <row r="457" s="12" customFormat="1" x14ac:dyDescent="0.15"/>
    <row r="458" s="12" customFormat="1" x14ac:dyDescent="0.15"/>
    <row r="459" s="12" customFormat="1" x14ac:dyDescent="0.15"/>
    <row r="460" s="12" customFormat="1" x14ac:dyDescent="0.15"/>
    <row r="461" s="12" customFormat="1" x14ac:dyDescent="0.15"/>
    <row r="462" s="12" customFormat="1" x14ac:dyDescent="0.15"/>
    <row r="463" s="12" customFormat="1" x14ac:dyDescent="0.15"/>
    <row r="464" s="12" customFormat="1" x14ac:dyDescent="0.15"/>
    <row r="465" s="12" customFormat="1" x14ac:dyDescent="0.15"/>
    <row r="466" s="12" customFormat="1" x14ac:dyDescent="0.15"/>
    <row r="467" s="12" customFormat="1" x14ac:dyDescent="0.15"/>
    <row r="468" s="12" customFormat="1" x14ac:dyDescent="0.15"/>
    <row r="469" s="12" customFormat="1" x14ac:dyDescent="0.15"/>
    <row r="470" s="12" customFormat="1" x14ac:dyDescent="0.15"/>
    <row r="471" s="12" customFormat="1" x14ac:dyDescent="0.15"/>
    <row r="472" s="12" customFormat="1" x14ac:dyDescent="0.15"/>
    <row r="473" s="12" customFormat="1" x14ac:dyDescent="0.15"/>
    <row r="474" s="12" customFormat="1" x14ac:dyDescent="0.15"/>
    <row r="475" s="12" customFormat="1" x14ac:dyDescent="0.15"/>
    <row r="476" s="12" customFormat="1" x14ac:dyDescent="0.15"/>
    <row r="477" s="12" customFormat="1" x14ac:dyDescent="0.15"/>
    <row r="478" s="12" customFormat="1" x14ac:dyDescent="0.15"/>
    <row r="479" s="12" customFormat="1" x14ac:dyDescent="0.15"/>
    <row r="480" s="12" customFormat="1" x14ac:dyDescent="0.15"/>
    <row r="481" s="12" customFormat="1" x14ac:dyDescent="0.15"/>
    <row r="482" s="12" customFormat="1" x14ac:dyDescent="0.15"/>
    <row r="483" s="12" customFormat="1" x14ac:dyDescent="0.15"/>
    <row r="484" s="12" customFormat="1" x14ac:dyDescent="0.15"/>
    <row r="485" s="12" customFormat="1" x14ac:dyDescent="0.15"/>
    <row r="486" s="12" customFormat="1" x14ac:dyDescent="0.15"/>
    <row r="487" s="12" customFormat="1" x14ac:dyDescent="0.15"/>
    <row r="488" s="12" customFormat="1" x14ac:dyDescent="0.15"/>
    <row r="489" s="12" customFormat="1" x14ac:dyDescent="0.15"/>
    <row r="490" s="12" customFormat="1" x14ac:dyDescent="0.15"/>
    <row r="491" s="12" customFormat="1" x14ac:dyDescent="0.15"/>
    <row r="492" s="12" customFormat="1" x14ac:dyDescent="0.15"/>
    <row r="493" s="12" customFormat="1" x14ac:dyDescent="0.15"/>
    <row r="494" s="12" customFormat="1" x14ac:dyDescent="0.15"/>
    <row r="495" s="12" customFormat="1" x14ac:dyDescent="0.15"/>
    <row r="496" s="12" customFormat="1" x14ac:dyDescent="0.15"/>
    <row r="497" s="12" customFormat="1" x14ac:dyDescent="0.15"/>
    <row r="498" s="12" customFormat="1" x14ac:dyDescent="0.15"/>
    <row r="499" s="12" customFormat="1" x14ac:dyDescent="0.15"/>
    <row r="500" s="12" customFormat="1" x14ac:dyDescent="0.15"/>
    <row r="501" s="12" customFormat="1" x14ac:dyDescent="0.15"/>
    <row r="502" s="12" customFormat="1" x14ac:dyDescent="0.15"/>
    <row r="503" s="12" customFormat="1" x14ac:dyDescent="0.15"/>
    <row r="504" s="12" customFormat="1" x14ac:dyDescent="0.15"/>
    <row r="505" s="12" customFormat="1" x14ac:dyDescent="0.15"/>
    <row r="506" s="12" customFormat="1" x14ac:dyDescent="0.15"/>
    <row r="507" s="12" customFormat="1" x14ac:dyDescent="0.15"/>
    <row r="508" s="12" customFormat="1" x14ac:dyDescent="0.15"/>
    <row r="509" s="12" customFormat="1" x14ac:dyDescent="0.15"/>
    <row r="510" s="12" customFormat="1" x14ac:dyDescent="0.15"/>
    <row r="511" s="12" customFormat="1" x14ac:dyDescent="0.15"/>
    <row r="512" s="12" customFormat="1" x14ac:dyDescent="0.15"/>
    <row r="513" s="12" customFormat="1" x14ac:dyDescent="0.15"/>
    <row r="514" s="12" customFormat="1" x14ac:dyDescent="0.15"/>
    <row r="515" s="12" customFormat="1" x14ac:dyDescent="0.15"/>
    <row r="516" s="12" customFormat="1" x14ac:dyDescent="0.15"/>
    <row r="517" s="12" customFormat="1" x14ac:dyDescent="0.15"/>
    <row r="518" s="12" customFormat="1" x14ac:dyDescent="0.15"/>
    <row r="519" s="12" customFormat="1" x14ac:dyDescent="0.15"/>
    <row r="520" s="12" customFormat="1" x14ac:dyDescent="0.15"/>
    <row r="521" s="12" customFormat="1" x14ac:dyDescent="0.15"/>
    <row r="522" s="12" customFormat="1" x14ac:dyDescent="0.15"/>
    <row r="523" s="12" customFormat="1" x14ac:dyDescent="0.15"/>
    <row r="524" s="12" customFormat="1" x14ac:dyDescent="0.15"/>
    <row r="525" s="12" customFormat="1" x14ac:dyDescent="0.15"/>
    <row r="526" s="12" customFormat="1" x14ac:dyDescent="0.15"/>
    <row r="527" s="12" customFormat="1" x14ac:dyDescent="0.15"/>
    <row r="528" s="12" customFormat="1" x14ac:dyDescent="0.15"/>
    <row r="529" s="12" customFormat="1" x14ac:dyDescent="0.15"/>
    <row r="530" s="12" customFormat="1" x14ac:dyDescent="0.15"/>
    <row r="531" s="12" customFormat="1" x14ac:dyDescent="0.15"/>
    <row r="532" s="12" customFormat="1" x14ac:dyDescent="0.15"/>
    <row r="533" s="12" customFormat="1" x14ac:dyDescent="0.15"/>
    <row r="534" s="12" customFormat="1" x14ac:dyDescent="0.15"/>
    <row r="535" s="12" customFormat="1" x14ac:dyDescent="0.15"/>
    <row r="536" s="12" customFormat="1" x14ac:dyDescent="0.15"/>
    <row r="537" s="12" customFormat="1" x14ac:dyDescent="0.15"/>
    <row r="538" s="12" customFormat="1" x14ac:dyDescent="0.15"/>
    <row r="539" s="12" customFormat="1" x14ac:dyDescent="0.15"/>
    <row r="540" s="12" customFormat="1" x14ac:dyDescent="0.15"/>
    <row r="541" s="12" customFormat="1" x14ac:dyDescent="0.15"/>
    <row r="542" s="12" customFormat="1" x14ac:dyDescent="0.15"/>
    <row r="543" s="12" customFormat="1" x14ac:dyDescent="0.15"/>
    <row r="544" s="12" customFormat="1" x14ac:dyDescent="0.15"/>
    <row r="545" s="12" customFormat="1" x14ac:dyDescent="0.15"/>
    <row r="546" s="12" customFormat="1" x14ac:dyDescent="0.15"/>
    <row r="547" s="12" customFormat="1" x14ac:dyDescent="0.15"/>
    <row r="548" s="12" customFormat="1" x14ac:dyDescent="0.15"/>
    <row r="549" s="12" customFormat="1" x14ac:dyDescent="0.15"/>
    <row r="550" s="12" customFormat="1" x14ac:dyDescent="0.15"/>
    <row r="551" s="12" customFormat="1" x14ac:dyDescent="0.15"/>
    <row r="552" s="12" customFormat="1" x14ac:dyDescent="0.15"/>
    <row r="553" s="12" customFormat="1" x14ac:dyDescent="0.15"/>
    <row r="554" s="12" customFormat="1" x14ac:dyDescent="0.15"/>
    <row r="555" s="12" customFormat="1" x14ac:dyDescent="0.15"/>
    <row r="556" s="12" customFormat="1" x14ac:dyDescent="0.15"/>
    <row r="557" s="12" customFormat="1" x14ac:dyDescent="0.15"/>
    <row r="558" s="12" customFormat="1" x14ac:dyDescent="0.15"/>
    <row r="559" s="12" customFormat="1" x14ac:dyDescent="0.15"/>
    <row r="560" s="12" customFormat="1" x14ac:dyDescent="0.15"/>
    <row r="561" s="12" customFormat="1" x14ac:dyDescent="0.15"/>
    <row r="562" s="12" customFormat="1" x14ac:dyDescent="0.15"/>
    <row r="563" s="12" customFormat="1" x14ac:dyDescent="0.15"/>
    <row r="564" s="12" customFormat="1" x14ac:dyDescent="0.15"/>
    <row r="565" s="12" customFormat="1" x14ac:dyDescent="0.15"/>
    <row r="566" s="12" customFormat="1" x14ac:dyDescent="0.15"/>
    <row r="567" s="12" customFormat="1" x14ac:dyDescent="0.15"/>
    <row r="568" s="12" customFormat="1" x14ac:dyDescent="0.15"/>
    <row r="569" s="12" customFormat="1" x14ac:dyDescent="0.15"/>
    <row r="570" s="12" customFormat="1" x14ac:dyDescent="0.15"/>
    <row r="571" s="12" customFormat="1" x14ac:dyDescent="0.15"/>
    <row r="572" s="12" customFormat="1" x14ac:dyDescent="0.15"/>
    <row r="573" s="12" customFormat="1" x14ac:dyDescent="0.15"/>
    <row r="574" s="12" customFormat="1" x14ac:dyDescent="0.15"/>
    <row r="575" s="12" customFormat="1" x14ac:dyDescent="0.15"/>
    <row r="576" s="12" customFormat="1" x14ac:dyDescent="0.15"/>
    <row r="577" s="12" customFormat="1" x14ac:dyDescent="0.15"/>
    <row r="578" s="12" customFormat="1" x14ac:dyDescent="0.15"/>
    <row r="579" s="12" customFormat="1" x14ac:dyDescent="0.15"/>
    <row r="580" s="12" customFormat="1" x14ac:dyDescent="0.15"/>
    <row r="581" s="12" customFormat="1" x14ac:dyDescent="0.15"/>
    <row r="582" s="12" customFormat="1" x14ac:dyDescent="0.15"/>
    <row r="583" s="12" customFormat="1" x14ac:dyDescent="0.15"/>
    <row r="584" s="12" customFormat="1" x14ac:dyDescent="0.15"/>
    <row r="585" s="12" customFormat="1" x14ac:dyDescent="0.15"/>
    <row r="586" s="12" customFormat="1" x14ac:dyDescent="0.15"/>
    <row r="587" s="12" customFormat="1" x14ac:dyDescent="0.15"/>
    <row r="588" s="12" customFormat="1" x14ac:dyDescent="0.15"/>
    <row r="589" s="12" customFormat="1" x14ac:dyDescent="0.15"/>
    <row r="590" s="12" customFormat="1" x14ac:dyDescent="0.15"/>
    <row r="591" s="12" customFormat="1" x14ac:dyDescent="0.15"/>
    <row r="592" s="12" customFormat="1" x14ac:dyDescent="0.15"/>
    <row r="593" s="12" customFormat="1" x14ac:dyDescent="0.15"/>
    <row r="594" s="12" customFormat="1" x14ac:dyDescent="0.15"/>
    <row r="595" s="12" customFormat="1" x14ac:dyDescent="0.15"/>
    <row r="596" s="12" customFormat="1" x14ac:dyDescent="0.15"/>
    <row r="597" s="12" customFormat="1" x14ac:dyDescent="0.15"/>
    <row r="598" s="12" customFormat="1" x14ac:dyDescent="0.15"/>
    <row r="599" s="12" customFormat="1" x14ac:dyDescent="0.15"/>
    <row r="600" s="12" customFormat="1" x14ac:dyDescent="0.15"/>
    <row r="601" s="12" customFormat="1" x14ac:dyDescent="0.15"/>
    <row r="602" s="12" customFormat="1" x14ac:dyDescent="0.15"/>
    <row r="603" s="12" customFormat="1" x14ac:dyDescent="0.15"/>
    <row r="604" s="12" customFormat="1" x14ac:dyDescent="0.15"/>
    <row r="605" s="12" customFormat="1" x14ac:dyDescent="0.15"/>
    <row r="606" s="12" customFormat="1" x14ac:dyDescent="0.15"/>
    <row r="607" s="12" customFormat="1" x14ac:dyDescent="0.15"/>
    <row r="608" s="12" customFormat="1" x14ac:dyDescent="0.15"/>
    <row r="609" s="12" customFormat="1" x14ac:dyDescent="0.15"/>
    <row r="610" s="12" customFormat="1" x14ac:dyDescent="0.15"/>
    <row r="611" s="12" customFormat="1" x14ac:dyDescent="0.15"/>
    <row r="612" s="12" customFormat="1" x14ac:dyDescent="0.15"/>
    <row r="613" s="12" customFormat="1" x14ac:dyDescent="0.15"/>
    <row r="614" s="12" customFormat="1" x14ac:dyDescent="0.15"/>
    <row r="615" s="12" customFormat="1" x14ac:dyDescent="0.15"/>
    <row r="616" s="12" customFormat="1" x14ac:dyDescent="0.15"/>
    <row r="617" s="12" customFormat="1" x14ac:dyDescent="0.15"/>
    <row r="618" s="12" customFormat="1" x14ac:dyDescent="0.15"/>
    <row r="619" s="12" customFormat="1" x14ac:dyDescent="0.15"/>
    <row r="620" s="12" customFormat="1" x14ac:dyDescent="0.15"/>
    <row r="621" s="12" customFormat="1" x14ac:dyDescent="0.15"/>
    <row r="622" s="12" customFormat="1" x14ac:dyDescent="0.15"/>
    <row r="623" s="12" customFormat="1" x14ac:dyDescent="0.15"/>
    <row r="624" s="12" customFormat="1" x14ac:dyDescent="0.15"/>
    <row r="625" s="12" customFormat="1" x14ac:dyDescent="0.15"/>
    <row r="626" s="12" customFormat="1" x14ac:dyDescent="0.15"/>
    <row r="627" s="12" customFormat="1" x14ac:dyDescent="0.15"/>
    <row r="628" s="12" customFormat="1" x14ac:dyDescent="0.15"/>
    <row r="629" s="12" customFormat="1" x14ac:dyDescent="0.15"/>
    <row r="630" s="12" customFormat="1" x14ac:dyDescent="0.15"/>
    <row r="631" s="12" customFormat="1" x14ac:dyDescent="0.15"/>
    <row r="632" s="12" customFormat="1" x14ac:dyDescent="0.15"/>
    <row r="633" s="12" customFormat="1" x14ac:dyDescent="0.15"/>
    <row r="634" s="12" customFormat="1" x14ac:dyDescent="0.15"/>
    <row r="635" s="12" customFormat="1" x14ac:dyDescent="0.15"/>
    <row r="636" s="12" customFormat="1" x14ac:dyDescent="0.15"/>
    <row r="637" s="12" customFormat="1" x14ac:dyDescent="0.15"/>
    <row r="638" s="12" customFormat="1" x14ac:dyDescent="0.15"/>
    <row r="639" s="12" customFormat="1" x14ac:dyDescent="0.15"/>
    <row r="640" s="12" customFormat="1" x14ac:dyDescent="0.15"/>
    <row r="641" s="12" customFormat="1" x14ac:dyDescent="0.15"/>
    <row r="642" s="12" customFormat="1" x14ac:dyDescent="0.15"/>
    <row r="643" s="12" customFormat="1" x14ac:dyDescent="0.15"/>
    <row r="644" s="12" customFormat="1" x14ac:dyDescent="0.15"/>
    <row r="645" s="12" customFormat="1" x14ac:dyDescent="0.15"/>
    <row r="646" s="12" customFormat="1" x14ac:dyDescent="0.15"/>
    <row r="647" s="12" customFormat="1" x14ac:dyDescent="0.15"/>
    <row r="648" s="12" customFormat="1" x14ac:dyDescent="0.15"/>
    <row r="649" s="12" customFormat="1" x14ac:dyDescent="0.15"/>
    <row r="650" s="12" customFormat="1" x14ac:dyDescent="0.15"/>
    <row r="651" s="12" customFormat="1" x14ac:dyDescent="0.15"/>
    <row r="652" s="12" customFormat="1" x14ac:dyDescent="0.15"/>
    <row r="653" s="12" customFormat="1" x14ac:dyDescent="0.15"/>
    <row r="654" s="12" customFormat="1" x14ac:dyDescent="0.15"/>
    <row r="655" s="12" customFormat="1" x14ac:dyDescent="0.15"/>
    <row r="656" s="12" customFormat="1" x14ac:dyDescent="0.15"/>
    <row r="657" s="12" customFormat="1" x14ac:dyDescent="0.15"/>
    <row r="658" s="12" customFormat="1" x14ac:dyDescent="0.15"/>
    <row r="659" s="12" customFormat="1" x14ac:dyDescent="0.15"/>
    <row r="660" s="12" customFormat="1" x14ac:dyDescent="0.15"/>
    <row r="661" s="12" customFormat="1" x14ac:dyDescent="0.15"/>
    <row r="662" s="12" customFormat="1" x14ac:dyDescent="0.15"/>
    <row r="663" s="12" customFormat="1" x14ac:dyDescent="0.15"/>
    <row r="664" s="12" customFormat="1" x14ac:dyDescent="0.15"/>
    <row r="665" s="12" customFormat="1" x14ac:dyDescent="0.15"/>
    <row r="666" s="12" customFormat="1" x14ac:dyDescent="0.15"/>
    <row r="667" s="12" customFormat="1" x14ac:dyDescent="0.15"/>
    <row r="668" s="12" customFormat="1" x14ac:dyDescent="0.15"/>
    <row r="669" s="12" customFormat="1" x14ac:dyDescent="0.15"/>
    <row r="670" s="12" customFormat="1" x14ac:dyDescent="0.15"/>
    <row r="671" s="12" customFormat="1" x14ac:dyDescent="0.15"/>
    <row r="672" s="12" customFormat="1" x14ac:dyDescent="0.15"/>
    <row r="673" s="12" customFormat="1" x14ac:dyDescent="0.15"/>
    <row r="674" s="12" customFormat="1" x14ac:dyDescent="0.15"/>
    <row r="675" s="12" customFormat="1" x14ac:dyDescent="0.15"/>
    <row r="676" s="12" customFormat="1" x14ac:dyDescent="0.15"/>
    <row r="677" s="12" customFormat="1" x14ac:dyDescent="0.15"/>
  </sheetData>
  <phoneticPr fontId="2" type="noConversion"/>
  <hyperlinks>
    <hyperlink ref="C279" r:id="rId1" display="https://twitter.com/EcoLedesma/status/703290377281867776" xr:uid="{00000000-0004-0000-0500-000000000000}"/>
  </hyperlinks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3"/>
  <dimension ref="A1:M1235"/>
  <sheetViews>
    <sheetView workbookViewId="0">
      <selection activeCell="C1" sqref="C1:M1"/>
    </sheetView>
  </sheetViews>
  <sheetFormatPr baseColWidth="10" defaultRowHeight="13" x14ac:dyDescent="0.15"/>
  <cols>
    <col min="2" max="2" width="7.5" customWidth="1"/>
    <col min="3" max="3" width="13.83203125" style="9" customWidth="1"/>
    <col min="4" max="4" width="12.83203125" bestFit="1" customWidth="1"/>
    <col min="9" max="9" width="13.83203125" style="4" customWidth="1"/>
  </cols>
  <sheetData>
    <row r="1" spans="1:13" ht="56" x14ac:dyDescent="0.15">
      <c r="A1" s="67"/>
      <c r="B1" s="67"/>
      <c r="C1" s="37" t="s">
        <v>88</v>
      </c>
      <c r="D1" s="37" t="s">
        <v>86</v>
      </c>
      <c r="E1" s="37" t="s">
        <v>82</v>
      </c>
      <c r="F1" s="37" t="s">
        <v>81</v>
      </c>
      <c r="G1" s="37" t="s">
        <v>83</v>
      </c>
      <c r="H1" s="37" t="s">
        <v>84</v>
      </c>
      <c r="I1" s="38" t="s">
        <v>54</v>
      </c>
      <c r="J1" s="37" t="s">
        <v>87</v>
      </c>
      <c r="K1" s="62" t="s">
        <v>85</v>
      </c>
    </row>
    <row r="2" spans="1:13" x14ac:dyDescent="0.15">
      <c r="A2" s="34">
        <v>33970</v>
      </c>
      <c r="B2" s="6" t="s">
        <v>36</v>
      </c>
      <c r="C2" s="2">
        <v>118</v>
      </c>
      <c r="D2" s="7">
        <f>SOJA!D2</f>
        <v>0.99873999999999996</v>
      </c>
      <c r="E2" s="2">
        <f>SOJA!E2</f>
        <v>0.96122510905381364</v>
      </c>
      <c r="F2" s="3">
        <f t="shared" ref="F2:F65" si="0">+(C2*(D2/E2))/(AVERAGE(C$109)*AVERAGE(D$109)/AVERAGE(E$109))*100</f>
        <v>124.24554018272462</v>
      </c>
      <c r="G2" s="3">
        <f>+E2/AVERAGE(E$2:E$13)</f>
        <v>0.96122510905381375</v>
      </c>
      <c r="H2" s="3">
        <f t="shared" ref="H2:H65" si="1">+(C2*D2)/G2</f>
        <v>122.60532823160173</v>
      </c>
      <c r="I2" s="4">
        <v>0</v>
      </c>
      <c r="J2" s="5">
        <f t="shared" ref="J2:J65" si="2">+F2*(1-I2)/(F$109*(1-I$109))*100</f>
        <v>124.24554018272462</v>
      </c>
      <c r="K2" s="63">
        <f t="shared" ref="K2:K65" si="3">+H2*(1-I2)</f>
        <v>122.60532823160173</v>
      </c>
      <c r="L2" s="10">
        <f>+AVERAGE(K2:K109)</f>
        <v>104.72557704663159</v>
      </c>
      <c r="M2" s="10">
        <f>+AVERAGE(K110:K277)</f>
        <v>160.43790162542663</v>
      </c>
    </row>
    <row r="3" spans="1:13" x14ac:dyDescent="0.15">
      <c r="A3" s="34">
        <v>34001</v>
      </c>
      <c r="B3" t="s">
        <v>1</v>
      </c>
      <c r="C3" s="2">
        <v>94</v>
      </c>
      <c r="D3" s="7">
        <f>SOJA!D3</f>
        <v>0.99915500000000002</v>
      </c>
      <c r="E3" s="2">
        <f>SOJA!E3</f>
        <v>0.96824627318915923</v>
      </c>
      <c r="F3" s="3">
        <f t="shared" si="0"/>
        <v>98.298377581497874</v>
      </c>
      <c r="G3" s="3">
        <f t="shared" ref="G3:G66" si="4">+E3/AVERAGE(E$2:E$13)</f>
        <v>0.96824627318915935</v>
      </c>
      <c r="H3" s="3">
        <f t="shared" si="1"/>
        <v>97.00070385052895</v>
      </c>
      <c r="I3" s="4">
        <f>+I2</f>
        <v>0</v>
      </c>
      <c r="J3" s="5">
        <f t="shared" si="2"/>
        <v>98.298377581497874</v>
      </c>
      <c r="K3" s="63">
        <f t="shared" si="3"/>
        <v>97.00070385052895</v>
      </c>
      <c r="L3" s="10">
        <f>+L2</f>
        <v>104.72557704663159</v>
      </c>
      <c r="M3" s="10">
        <f>+M2</f>
        <v>160.43790162542663</v>
      </c>
    </row>
    <row r="4" spans="1:13" x14ac:dyDescent="0.15">
      <c r="A4" s="34">
        <v>34029</v>
      </c>
      <c r="B4" t="s">
        <v>2</v>
      </c>
      <c r="C4" s="2">
        <v>84</v>
      </c>
      <c r="D4" s="7">
        <f>SOJA!D4</f>
        <v>0.99968699999999999</v>
      </c>
      <c r="E4" s="2">
        <f>SOJA!E4</f>
        <v>0.97552606594901525</v>
      </c>
      <c r="F4" s="3">
        <f t="shared" si="0"/>
        <v>87.232017448972343</v>
      </c>
      <c r="G4" s="3">
        <f t="shared" si="4"/>
        <v>0.97552606594901536</v>
      </c>
      <c r="H4" s="3">
        <f t="shared" si="1"/>
        <v>86.080434886492085</v>
      </c>
      <c r="I4" s="4">
        <f t="shared" ref="I4:I67" si="5">+I3</f>
        <v>0</v>
      </c>
      <c r="J4" s="5">
        <f t="shared" si="2"/>
        <v>87.232017448972343</v>
      </c>
      <c r="K4" s="63">
        <f t="shared" si="3"/>
        <v>86.080434886492085</v>
      </c>
      <c r="L4" s="10">
        <f t="shared" ref="L4:M19" si="6">+L3</f>
        <v>104.72557704663159</v>
      </c>
      <c r="M4" s="10">
        <f t="shared" si="6"/>
        <v>160.43790162542663</v>
      </c>
    </row>
    <row r="5" spans="1:13" x14ac:dyDescent="0.15">
      <c r="A5" s="34">
        <v>34060</v>
      </c>
      <c r="B5" t="s">
        <v>3</v>
      </c>
      <c r="C5" s="2">
        <v>91</v>
      </c>
      <c r="D5" s="7">
        <f>SOJA!D5</f>
        <v>0.99916000000000005</v>
      </c>
      <c r="E5" s="2">
        <f>SOJA!E5</f>
        <v>0.98572347100273094</v>
      </c>
      <c r="F5" s="3">
        <f t="shared" si="0"/>
        <v>93.47442413274581</v>
      </c>
      <c r="G5" s="3">
        <f t="shared" si="4"/>
        <v>0.98572347100273106</v>
      </c>
      <c r="H5" s="3">
        <f t="shared" si="1"/>
        <v>92.240433219579998</v>
      </c>
      <c r="I5" s="4">
        <f t="shared" si="5"/>
        <v>0</v>
      </c>
      <c r="J5" s="5">
        <f t="shared" si="2"/>
        <v>93.47442413274581</v>
      </c>
      <c r="K5" s="63">
        <f t="shared" si="3"/>
        <v>92.240433219579998</v>
      </c>
      <c r="L5" s="10">
        <f t="shared" si="6"/>
        <v>104.72557704663159</v>
      </c>
      <c r="M5" s="10">
        <f t="shared" si="6"/>
        <v>160.43790162542663</v>
      </c>
    </row>
    <row r="6" spans="1:13" x14ac:dyDescent="0.15">
      <c r="A6" s="34">
        <v>34090</v>
      </c>
      <c r="B6" t="s">
        <v>2</v>
      </c>
      <c r="C6" s="2">
        <v>96</v>
      </c>
      <c r="D6" s="7">
        <f>SOJA!D6</f>
        <v>0.99939500000000003</v>
      </c>
      <c r="E6" s="2">
        <f>SOJA!E6</f>
        <v>0.99840531890536988</v>
      </c>
      <c r="F6" s="3">
        <f t="shared" si="0"/>
        <v>97.380720533025723</v>
      </c>
      <c r="G6" s="3">
        <f t="shared" si="4"/>
        <v>0.99840531890536999</v>
      </c>
      <c r="H6" s="3">
        <f t="shared" si="1"/>
        <v>96.095161136750207</v>
      </c>
      <c r="I6" s="4">
        <f t="shared" si="5"/>
        <v>0</v>
      </c>
      <c r="J6" s="5">
        <f t="shared" si="2"/>
        <v>97.380720533025723</v>
      </c>
      <c r="K6" s="63">
        <f t="shared" si="3"/>
        <v>96.095161136750207</v>
      </c>
      <c r="L6" s="10">
        <f t="shared" si="6"/>
        <v>104.72557704663159</v>
      </c>
      <c r="M6" s="10">
        <f t="shared" si="6"/>
        <v>160.43790162542663</v>
      </c>
    </row>
    <row r="7" spans="1:13" x14ac:dyDescent="0.15">
      <c r="A7" s="34">
        <v>34121</v>
      </c>
      <c r="B7" t="s">
        <v>4</v>
      </c>
      <c r="C7" s="2">
        <v>97</v>
      </c>
      <c r="D7" s="7">
        <f>SOJA!D7</f>
        <v>0.99928570000000005</v>
      </c>
      <c r="E7" s="2">
        <f>SOJA!E7</f>
        <v>1.0055869533919335</v>
      </c>
      <c r="F7" s="3">
        <f t="shared" si="0"/>
        <v>97.681707148167334</v>
      </c>
      <c r="G7" s="3">
        <f t="shared" si="4"/>
        <v>1.0055869533919337</v>
      </c>
      <c r="H7" s="3">
        <f t="shared" si="1"/>
        <v>96.392174314756303</v>
      </c>
      <c r="I7" s="4">
        <f t="shared" si="5"/>
        <v>0</v>
      </c>
      <c r="J7" s="5">
        <f t="shared" si="2"/>
        <v>97.681707148167334</v>
      </c>
      <c r="K7" s="63">
        <f t="shared" si="3"/>
        <v>96.392174314756303</v>
      </c>
      <c r="L7" s="10">
        <f t="shared" si="6"/>
        <v>104.72557704663159</v>
      </c>
      <c r="M7" s="10">
        <f t="shared" si="6"/>
        <v>160.43790162542663</v>
      </c>
    </row>
    <row r="8" spans="1:13" x14ac:dyDescent="0.15">
      <c r="A8" s="34">
        <v>34151</v>
      </c>
      <c r="B8" t="s">
        <v>4</v>
      </c>
      <c r="C8" s="2">
        <v>107</v>
      </c>
      <c r="D8" s="7">
        <f>SOJA!D8</f>
        <v>0.99892380000000003</v>
      </c>
      <c r="E8" s="2">
        <f>SOJA!E8</f>
        <v>1.0088218212653428</v>
      </c>
      <c r="F8" s="3">
        <f t="shared" si="0"/>
        <v>107.36757268503807</v>
      </c>
      <c r="G8" s="3">
        <f t="shared" si="4"/>
        <v>1.008821821265343</v>
      </c>
      <c r="H8" s="3">
        <f t="shared" si="1"/>
        <v>105.95017310979325</v>
      </c>
      <c r="I8" s="4">
        <f t="shared" si="5"/>
        <v>0</v>
      </c>
      <c r="J8" s="5">
        <f t="shared" si="2"/>
        <v>107.36757268503807</v>
      </c>
      <c r="K8" s="63">
        <f t="shared" si="3"/>
        <v>105.95017310979325</v>
      </c>
      <c r="L8" s="10">
        <f t="shared" si="6"/>
        <v>104.72557704663159</v>
      </c>
      <c r="M8" s="10">
        <f t="shared" si="6"/>
        <v>160.43790162542663</v>
      </c>
    </row>
    <row r="9" spans="1:13" x14ac:dyDescent="0.15">
      <c r="A9" s="34">
        <v>34182</v>
      </c>
      <c r="B9" t="s">
        <v>3</v>
      </c>
      <c r="C9" s="2">
        <v>123</v>
      </c>
      <c r="D9" s="7">
        <f>SOJA!D9</f>
        <v>1.000175</v>
      </c>
      <c r="E9" s="2">
        <f>SOJA!E9</f>
        <v>1.0089836316612475</v>
      </c>
      <c r="F9" s="3">
        <f t="shared" si="0"/>
        <v>123.55731144914699</v>
      </c>
      <c r="G9" s="3">
        <f t="shared" si="4"/>
        <v>1.0089836316612477</v>
      </c>
      <c r="H9" s="3">
        <f t="shared" si="1"/>
        <v>121.92618506352815</v>
      </c>
      <c r="I9" s="4">
        <f t="shared" si="5"/>
        <v>0</v>
      </c>
      <c r="J9" s="5">
        <f t="shared" si="2"/>
        <v>123.55731144914699</v>
      </c>
      <c r="K9" s="63">
        <f t="shared" si="3"/>
        <v>121.92618506352815</v>
      </c>
      <c r="L9" s="10">
        <f t="shared" si="6"/>
        <v>104.72557704663159</v>
      </c>
      <c r="M9" s="10">
        <f t="shared" si="6"/>
        <v>160.43790162542663</v>
      </c>
    </row>
    <row r="10" spans="1:13" x14ac:dyDescent="0.15">
      <c r="A10" s="34">
        <v>34213</v>
      </c>
      <c r="B10" t="s">
        <v>5</v>
      </c>
      <c r="C10" s="2">
        <v>124</v>
      </c>
      <c r="D10" s="7">
        <f>SOJA!D10</f>
        <v>1.0010095000000001</v>
      </c>
      <c r="E10" s="2">
        <f>SOJA!E10</f>
        <v>1.0172986089414868</v>
      </c>
      <c r="F10" s="3">
        <f t="shared" si="0"/>
        <v>123.64680475264065</v>
      </c>
      <c r="G10" s="3">
        <f t="shared" si="4"/>
        <v>1.017298608941487</v>
      </c>
      <c r="H10" s="3">
        <f t="shared" si="1"/>
        <v>122.0144969323746</v>
      </c>
      <c r="I10" s="4">
        <f t="shared" si="5"/>
        <v>0</v>
      </c>
      <c r="J10" s="5">
        <f t="shared" si="2"/>
        <v>123.64680475264065</v>
      </c>
      <c r="K10" s="63">
        <f t="shared" si="3"/>
        <v>122.0144969323746</v>
      </c>
      <c r="L10" s="10">
        <f t="shared" si="6"/>
        <v>104.72557704663159</v>
      </c>
      <c r="M10" s="10">
        <f t="shared" si="6"/>
        <v>160.43790162542663</v>
      </c>
    </row>
    <row r="11" spans="1:13" x14ac:dyDescent="0.15">
      <c r="A11" s="34">
        <v>34243</v>
      </c>
      <c r="B11" t="s">
        <v>6</v>
      </c>
      <c r="C11" s="2">
        <v>130</v>
      </c>
      <c r="D11" s="7">
        <f>SOJA!D11</f>
        <v>0.99951500000000004</v>
      </c>
      <c r="E11" s="2">
        <f>SOJA!E11</f>
        <v>1.023049075702781</v>
      </c>
      <c r="F11" s="3">
        <f t="shared" si="0"/>
        <v>128.70862931899728</v>
      </c>
      <c r="G11" s="3">
        <f t="shared" si="4"/>
        <v>1.0230490757027813</v>
      </c>
      <c r="H11" s="3">
        <f t="shared" si="1"/>
        <v>127.0094984551353</v>
      </c>
      <c r="I11" s="4">
        <f t="shared" si="5"/>
        <v>0</v>
      </c>
      <c r="J11" s="5">
        <f t="shared" si="2"/>
        <v>128.70862931899728</v>
      </c>
      <c r="K11" s="63">
        <f t="shared" si="3"/>
        <v>127.0094984551353</v>
      </c>
      <c r="L11" s="10">
        <f t="shared" si="6"/>
        <v>104.72557704663159</v>
      </c>
      <c r="M11" s="10">
        <f t="shared" si="6"/>
        <v>160.43790162542663</v>
      </c>
    </row>
    <row r="12" spans="1:13" x14ac:dyDescent="0.15">
      <c r="A12" s="34">
        <v>34274</v>
      </c>
      <c r="B12" t="s">
        <v>7</v>
      </c>
      <c r="C12" s="2">
        <v>134</v>
      </c>
      <c r="D12" s="7">
        <f>SOJA!D12</f>
        <v>0.99851900000000005</v>
      </c>
      <c r="E12" s="2">
        <f>SOJA!E12</f>
        <v>1.023634005208474</v>
      </c>
      <c r="F12" s="3">
        <f t="shared" si="0"/>
        <v>132.46095779155726</v>
      </c>
      <c r="G12" s="3">
        <f t="shared" si="4"/>
        <v>1.0236340052084743</v>
      </c>
      <c r="H12" s="3">
        <f t="shared" si="1"/>
        <v>130.71229103291645</v>
      </c>
      <c r="I12" s="4">
        <f t="shared" si="5"/>
        <v>0</v>
      </c>
      <c r="J12" s="5">
        <f t="shared" si="2"/>
        <v>132.46095779155726</v>
      </c>
      <c r="K12" s="63">
        <f t="shared" si="3"/>
        <v>130.71229103291645</v>
      </c>
      <c r="L12" s="10">
        <f t="shared" si="6"/>
        <v>104.72557704663159</v>
      </c>
      <c r="M12" s="10">
        <f t="shared" si="6"/>
        <v>160.43790162542663</v>
      </c>
    </row>
    <row r="13" spans="1:13" x14ac:dyDescent="0.15">
      <c r="A13" s="34">
        <v>34304</v>
      </c>
      <c r="B13" s="6" t="s">
        <v>37</v>
      </c>
      <c r="C13" s="2">
        <v>136</v>
      </c>
      <c r="D13" s="7">
        <f>SOJA!D13</f>
        <v>0.99859520000000002</v>
      </c>
      <c r="E13" s="2">
        <f>SOJA!E13</f>
        <v>1.0234996657286446</v>
      </c>
      <c r="F13" s="3">
        <f t="shared" si="0"/>
        <v>134.46589338973999</v>
      </c>
      <c r="G13" s="3">
        <f t="shared" si="4"/>
        <v>1.0234996657286448</v>
      </c>
      <c r="H13" s="3">
        <f t="shared" si="1"/>
        <v>132.69075872468954</v>
      </c>
      <c r="I13" s="4">
        <f t="shared" si="5"/>
        <v>0</v>
      </c>
      <c r="J13" s="5">
        <f t="shared" si="2"/>
        <v>134.46589338973999</v>
      </c>
      <c r="K13" s="63">
        <f t="shared" si="3"/>
        <v>132.69075872468954</v>
      </c>
      <c r="L13" s="10">
        <f t="shared" si="6"/>
        <v>104.72557704663159</v>
      </c>
      <c r="M13" s="10">
        <f t="shared" si="6"/>
        <v>160.43790162542663</v>
      </c>
    </row>
    <row r="14" spans="1:13" x14ac:dyDescent="0.15">
      <c r="A14" s="34">
        <v>34335</v>
      </c>
      <c r="B14" s="6" t="s">
        <v>38</v>
      </c>
      <c r="C14" s="2">
        <v>127</v>
      </c>
      <c r="D14" s="7">
        <f>SOJA!D14</f>
        <v>0.9985714</v>
      </c>
      <c r="E14" s="2">
        <f>SOJA!E14</f>
        <v>1.0245301600926262</v>
      </c>
      <c r="F14" s="3">
        <f t="shared" si="0"/>
        <v>125.43812705841245</v>
      </c>
      <c r="G14" s="3">
        <f t="shared" si="4"/>
        <v>1.0245301600926264</v>
      </c>
      <c r="H14" s="3">
        <f t="shared" si="1"/>
        <v>123.78217132088575</v>
      </c>
      <c r="I14" s="4">
        <f t="shared" si="5"/>
        <v>0</v>
      </c>
      <c r="J14" s="5">
        <f t="shared" si="2"/>
        <v>125.43812705841245</v>
      </c>
      <c r="K14" s="63">
        <f t="shared" si="3"/>
        <v>123.78217132088575</v>
      </c>
      <c r="L14" s="10">
        <f t="shared" si="6"/>
        <v>104.72557704663159</v>
      </c>
      <c r="M14" s="10">
        <f t="shared" si="6"/>
        <v>160.43790162542663</v>
      </c>
    </row>
    <row r="15" spans="1:13" x14ac:dyDescent="0.15">
      <c r="A15" s="34">
        <v>34366</v>
      </c>
      <c r="B15" t="s">
        <v>1</v>
      </c>
      <c r="C15" s="2">
        <v>115</v>
      </c>
      <c r="D15" s="7">
        <f>SOJA!D15</f>
        <v>0.99899499999999997</v>
      </c>
      <c r="E15" s="2">
        <f>SOJA!E15</f>
        <v>1.0244939788860881</v>
      </c>
      <c r="F15" s="3">
        <f t="shared" si="0"/>
        <v>113.63790245834771</v>
      </c>
      <c r="G15" s="3">
        <f t="shared" si="4"/>
        <v>1.0244939788860883</v>
      </c>
      <c r="H15" s="3">
        <f t="shared" si="1"/>
        <v>112.13772590924499</v>
      </c>
      <c r="I15" s="4">
        <f t="shared" si="5"/>
        <v>0</v>
      </c>
      <c r="J15" s="5">
        <f t="shared" si="2"/>
        <v>113.63790245834771</v>
      </c>
      <c r="K15" s="63">
        <f t="shared" si="3"/>
        <v>112.13772590924499</v>
      </c>
      <c r="L15" s="10">
        <f t="shared" si="6"/>
        <v>104.72557704663159</v>
      </c>
      <c r="M15" s="10">
        <f t="shared" si="6"/>
        <v>160.43790162542663</v>
      </c>
    </row>
    <row r="16" spans="1:13" x14ac:dyDescent="0.15">
      <c r="A16" s="34">
        <v>34394</v>
      </c>
      <c r="B16" t="s">
        <v>2</v>
      </c>
      <c r="C16" s="2">
        <v>108</v>
      </c>
      <c r="D16" s="7">
        <f>SOJA!D16</f>
        <v>1.0005272999999999</v>
      </c>
      <c r="E16" s="2">
        <f>SOJA!E16</f>
        <v>1.0259221315108125</v>
      </c>
      <c r="F16" s="3">
        <f t="shared" si="0"/>
        <v>106.7357151338763</v>
      </c>
      <c r="G16" s="3">
        <f t="shared" si="4"/>
        <v>1.0259221315108127</v>
      </c>
      <c r="H16" s="3">
        <f t="shared" si="1"/>
        <v>105.32665694702494</v>
      </c>
      <c r="I16" s="4">
        <f t="shared" si="5"/>
        <v>0</v>
      </c>
      <c r="J16" s="5">
        <f t="shared" si="2"/>
        <v>106.7357151338763</v>
      </c>
      <c r="K16" s="63">
        <f t="shared" si="3"/>
        <v>105.32665694702494</v>
      </c>
      <c r="L16" s="10">
        <f t="shared" si="6"/>
        <v>104.72557704663159</v>
      </c>
      <c r="M16" s="10">
        <f t="shared" si="6"/>
        <v>160.43790162542663</v>
      </c>
    </row>
    <row r="17" spans="1:13" x14ac:dyDescent="0.15">
      <c r="A17" s="34">
        <v>34425</v>
      </c>
      <c r="B17" t="s">
        <v>3</v>
      </c>
      <c r="C17" s="2">
        <v>106</v>
      </c>
      <c r="D17" s="7">
        <f>SOJA!D17</f>
        <v>1.0004249999999999</v>
      </c>
      <c r="E17" s="2">
        <f>SOJA!E17</f>
        <v>1.0284193047842578</v>
      </c>
      <c r="F17" s="3">
        <f t="shared" si="0"/>
        <v>104.4940700127926</v>
      </c>
      <c r="G17" s="3">
        <f t="shared" si="4"/>
        <v>1.028419304784258</v>
      </c>
      <c r="H17" s="3">
        <f t="shared" si="1"/>
        <v>103.11460462349658</v>
      </c>
      <c r="I17" s="4">
        <f t="shared" si="5"/>
        <v>0</v>
      </c>
      <c r="J17" s="5">
        <f t="shared" si="2"/>
        <v>104.4940700127926</v>
      </c>
      <c r="K17" s="63">
        <f t="shared" si="3"/>
        <v>103.11460462349658</v>
      </c>
      <c r="L17" s="10">
        <f t="shared" si="6"/>
        <v>104.72557704663159</v>
      </c>
      <c r="M17" s="10">
        <f t="shared" si="6"/>
        <v>160.43790162542663</v>
      </c>
    </row>
    <row r="18" spans="1:13" x14ac:dyDescent="0.15">
      <c r="A18" s="34">
        <v>34455</v>
      </c>
      <c r="B18" t="s">
        <v>2</v>
      </c>
      <c r="C18" s="2">
        <v>109</v>
      </c>
      <c r="D18" s="7">
        <f>SOJA!D18</f>
        <v>0.998919</v>
      </c>
      <c r="E18" s="2">
        <f>SOJA!E18</f>
        <v>1.0319838236505658</v>
      </c>
      <c r="F18" s="3">
        <f t="shared" si="0"/>
        <v>106.9191127451675</v>
      </c>
      <c r="G18" s="3">
        <f t="shared" si="4"/>
        <v>1.0319838236505661</v>
      </c>
      <c r="H18" s="3">
        <f t="shared" si="1"/>
        <v>105.50763345770035</v>
      </c>
      <c r="I18" s="4">
        <f t="shared" si="5"/>
        <v>0</v>
      </c>
      <c r="J18" s="5">
        <f t="shared" si="2"/>
        <v>106.9191127451675</v>
      </c>
      <c r="K18" s="63">
        <f t="shared" si="3"/>
        <v>105.50763345770035</v>
      </c>
      <c r="L18" s="10">
        <f t="shared" si="6"/>
        <v>104.72557704663159</v>
      </c>
      <c r="M18" s="10">
        <f t="shared" si="6"/>
        <v>160.43790162542663</v>
      </c>
    </row>
    <row r="19" spans="1:13" x14ac:dyDescent="0.15">
      <c r="A19" s="34">
        <v>34486</v>
      </c>
      <c r="B19" t="s">
        <v>4</v>
      </c>
      <c r="C19" s="2">
        <v>110</v>
      </c>
      <c r="D19" s="7">
        <f>SOJA!D19</f>
        <v>0.99789499999999998</v>
      </c>
      <c r="E19" s="2">
        <f>SOJA!E19</f>
        <v>1.0359774918277516</v>
      </c>
      <c r="F19" s="3">
        <f t="shared" si="0"/>
        <v>107.37388726553918</v>
      </c>
      <c r="G19" s="3">
        <f t="shared" si="4"/>
        <v>1.0359774918277518</v>
      </c>
      <c r="H19" s="3">
        <f t="shared" si="1"/>
        <v>105.95640432915005</v>
      </c>
      <c r="I19" s="4">
        <f t="shared" si="5"/>
        <v>0</v>
      </c>
      <c r="J19" s="5">
        <f t="shared" si="2"/>
        <v>107.37388726553918</v>
      </c>
      <c r="K19" s="63">
        <f t="shared" si="3"/>
        <v>105.95640432915005</v>
      </c>
      <c r="L19" s="10">
        <f t="shared" si="6"/>
        <v>104.72557704663159</v>
      </c>
      <c r="M19" s="10">
        <f t="shared" si="6"/>
        <v>160.43790162542663</v>
      </c>
    </row>
    <row r="20" spans="1:13" x14ac:dyDescent="0.15">
      <c r="A20" s="34">
        <v>34516</v>
      </c>
      <c r="B20" t="s">
        <v>4</v>
      </c>
      <c r="C20" s="2">
        <v>103</v>
      </c>
      <c r="D20" s="7">
        <f>SOJA!D20</f>
        <v>0.99826199999999998</v>
      </c>
      <c r="E20" s="2">
        <f>SOJA!E20</f>
        <v>1.0455420607782286</v>
      </c>
      <c r="F20" s="3">
        <f t="shared" si="0"/>
        <v>99.657897346468431</v>
      </c>
      <c r="G20" s="3">
        <f t="shared" si="4"/>
        <v>1.0455420607782289</v>
      </c>
      <c r="H20" s="3">
        <f t="shared" si="1"/>
        <v>98.34227608544721</v>
      </c>
      <c r="I20" s="4">
        <f t="shared" si="5"/>
        <v>0</v>
      </c>
      <c r="J20" s="5">
        <f t="shared" si="2"/>
        <v>99.657897346468431</v>
      </c>
      <c r="K20" s="63">
        <f t="shared" si="3"/>
        <v>98.34227608544721</v>
      </c>
      <c r="L20" s="10">
        <f t="shared" ref="L20:M35" si="7">+L19</f>
        <v>104.72557704663159</v>
      </c>
      <c r="M20" s="10">
        <f t="shared" si="7"/>
        <v>160.43790162542663</v>
      </c>
    </row>
    <row r="21" spans="1:13" x14ac:dyDescent="0.15">
      <c r="A21" s="34">
        <v>34547</v>
      </c>
      <c r="B21" t="s">
        <v>3</v>
      </c>
      <c r="C21" s="2">
        <v>101</v>
      </c>
      <c r="D21" s="7">
        <f>SOJA!D21</f>
        <v>0.99566189999999999</v>
      </c>
      <c r="E21" s="2">
        <f>SOJA!E21</f>
        <v>1.0476991977124539</v>
      </c>
      <c r="F21" s="3">
        <f t="shared" si="0"/>
        <v>97.267581029185493</v>
      </c>
      <c r="G21" s="3">
        <f t="shared" si="4"/>
        <v>1.0476991977124541</v>
      </c>
      <c r="H21" s="3">
        <f t="shared" si="1"/>
        <v>95.983515229912072</v>
      </c>
      <c r="I21" s="4">
        <f t="shared" si="5"/>
        <v>0</v>
      </c>
      <c r="J21" s="5">
        <f t="shared" si="2"/>
        <v>97.267581029185493</v>
      </c>
      <c r="K21" s="63">
        <f t="shared" si="3"/>
        <v>95.983515229912072</v>
      </c>
      <c r="L21" s="10">
        <f t="shared" si="7"/>
        <v>104.72557704663159</v>
      </c>
      <c r="M21" s="10">
        <f t="shared" si="7"/>
        <v>160.43790162542663</v>
      </c>
    </row>
    <row r="22" spans="1:13" x14ac:dyDescent="0.15">
      <c r="A22" s="34">
        <v>34578</v>
      </c>
      <c r="B22" t="s">
        <v>5</v>
      </c>
      <c r="C22" s="2">
        <v>110</v>
      </c>
      <c r="D22" s="7">
        <f>SOJA!D22</f>
        <v>0.99885239999999997</v>
      </c>
      <c r="E22" s="2">
        <f>SOJA!E22</f>
        <v>1.054869776830353</v>
      </c>
      <c r="F22" s="3">
        <f t="shared" si="0"/>
        <v>105.55203661306342</v>
      </c>
      <c r="G22" s="3">
        <f t="shared" si="4"/>
        <v>1.0548697768303532</v>
      </c>
      <c r="H22" s="3">
        <f t="shared" si="1"/>
        <v>104.1586046100837</v>
      </c>
      <c r="I22" s="4">
        <f t="shared" si="5"/>
        <v>0</v>
      </c>
      <c r="J22" s="5">
        <f t="shared" si="2"/>
        <v>105.55203661306342</v>
      </c>
      <c r="K22" s="63">
        <f t="shared" si="3"/>
        <v>104.1586046100837</v>
      </c>
      <c r="L22" s="10">
        <f t="shared" si="7"/>
        <v>104.72557704663159</v>
      </c>
      <c r="M22" s="10">
        <f t="shared" si="7"/>
        <v>160.43790162542663</v>
      </c>
    </row>
    <row r="23" spans="1:13" x14ac:dyDescent="0.15">
      <c r="A23" s="34">
        <v>34608</v>
      </c>
      <c r="B23" t="s">
        <v>6</v>
      </c>
      <c r="C23" s="2">
        <v>116</v>
      </c>
      <c r="D23" s="7">
        <f>SOJA!D23</f>
        <v>0.99868999999999997</v>
      </c>
      <c r="E23" s="2">
        <f>SOJA!E23</f>
        <v>1.0582500395522563</v>
      </c>
      <c r="F23" s="3">
        <f t="shared" si="0"/>
        <v>110.93583621903029</v>
      </c>
      <c r="G23" s="3">
        <f t="shared" si="4"/>
        <v>1.0582500395522565</v>
      </c>
      <c r="H23" s="3">
        <f t="shared" si="1"/>
        <v>109.47133065925996</v>
      </c>
      <c r="I23" s="4">
        <f t="shared" si="5"/>
        <v>0</v>
      </c>
      <c r="J23" s="5">
        <f t="shared" si="2"/>
        <v>110.93583621903029</v>
      </c>
      <c r="K23" s="63">
        <f t="shared" si="3"/>
        <v>109.47133065925996</v>
      </c>
      <c r="L23" s="10">
        <f t="shared" si="7"/>
        <v>104.72557704663159</v>
      </c>
      <c r="M23" s="10">
        <f t="shared" si="7"/>
        <v>160.43790162542663</v>
      </c>
    </row>
    <row r="24" spans="1:13" x14ac:dyDescent="0.15">
      <c r="A24" s="34">
        <v>34639</v>
      </c>
      <c r="B24" t="s">
        <v>7</v>
      </c>
      <c r="C24" s="2">
        <v>123</v>
      </c>
      <c r="D24" s="7">
        <f>SOJA!D24</f>
        <v>1.0008330000000001</v>
      </c>
      <c r="E24" s="2">
        <f>SOJA!E24</f>
        <v>1.0606426893401475</v>
      </c>
      <c r="F24" s="3">
        <f t="shared" si="0"/>
        <v>117.61672692574332</v>
      </c>
      <c r="G24" s="3">
        <f t="shared" si="4"/>
        <v>1.0606426893401477</v>
      </c>
      <c r="H24" s="3">
        <f t="shared" si="1"/>
        <v>116.06402442332876</v>
      </c>
      <c r="I24" s="4">
        <f t="shared" si="5"/>
        <v>0</v>
      </c>
      <c r="J24" s="5">
        <f t="shared" si="2"/>
        <v>117.61672692574332</v>
      </c>
      <c r="K24" s="63">
        <f t="shared" si="3"/>
        <v>116.06402442332876</v>
      </c>
      <c r="L24" s="10">
        <f t="shared" si="7"/>
        <v>104.72557704663159</v>
      </c>
      <c r="M24" s="10">
        <f t="shared" si="7"/>
        <v>160.43790162542663</v>
      </c>
    </row>
    <row r="25" spans="1:13" x14ac:dyDescent="0.15">
      <c r="A25" s="34">
        <v>34669</v>
      </c>
      <c r="B25" s="6" t="s">
        <v>39</v>
      </c>
      <c r="C25" s="2">
        <v>128</v>
      </c>
      <c r="D25" s="7">
        <f>SOJA!D25</f>
        <v>1.0018499999999999</v>
      </c>
      <c r="E25" s="2">
        <f>SOJA!E25</f>
        <v>1.0629492412569266</v>
      </c>
      <c r="F25" s="3">
        <f t="shared" si="0"/>
        <v>122.25640194158333</v>
      </c>
      <c r="G25" s="3">
        <f t="shared" si="4"/>
        <v>1.0629492412569268</v>
      </c>
      <c r="H25" s="3">
        <f t="shared" si="1"/>
        <v>120.64244935003788</v>
      </c>
      <c r="I25" s="4">
        <f t="shared" si="5"/>
        <v>0</v>
      </c>
      <c r="J25" s="5">
        <f t="shared" si="2"/>
        <v>122.25640194158333</v>
      </c>
      <c r="K25" s="63">
        <f t="shared" si="3"/>
        <v>120.64244935003788</v>
      </c>
      <c r="L25" s="10">
        <f t="shared" si="7"/>
        <v>104.72557704663159</v>
      </c>
      <c r="M25" s="10">
        <f t="shared" si="7"/>
        <v>160.43790162542663</v>
      </c>
    </row>
    <row r="26" spans="1:13" x14ac:dyDescent="0.15">
      <c r="A26" s="34">
        <v>34700</v>
      </c>
      <c r="B26" s="6" t="s">
        <v>40</v>
      </c>
      <c r="C26" s="2">
        <v>128</v>
      </c>
      <c r="D26" s="7">
        <f>SOJA!D26</f>
        <v>1.0019181818181999</v>
      </c>
      <c r="E26" s="2">
        <f>SOJA!E26</f>
        <v>1.0761932379055892</v>
      </c>
      <c r="F26" s="3">
        <f t="shared" si="0"/>
        <v>120.76009133969438</v>
      </c>
      <c r="G26" s="3">
        <f t="shared" si="4"/>
        <v>1.0761932379055894</v>
      </c>
      <c r="H26" s="3">
        <f t="shared" si="1"/>
        <v>119.16589210531734</v>
      </c>
      <c r="I26" s="4">
        <f t="shared" si="5"/>
        <v>0</v>
      </c>
      <c r="J26" s="5">
        <f t="shared" si="2"/>
        <v>120.76009133969438</v>
      </c>
      <c r="K26" s="63">
        <f t="shared" si="3"/>
        <v>119.16589210531734</v>
      </c>
      <c r="L26" s="10">
        <f t="shared" si="7"/>
        <v>104.72557704663159</v>
      </c>
      <c r="M26" s="10">
        <f t="shared" si="7"/>
        <v>160.43790162542663</v>
      </c>
    </row>
    <row r="27" spans="1:13" x14ac:dyDescent="0.15">
      <c r="A27" s="34">
        <v>34731</v>
      </c>
      <c r="B27" t="s">
        <v>1</v>
      </c>
      <c r="C27" s="2">
        <v>105</v>
      </c>
      <c r="D27" s="7">
        <f>SOJA!D27</f>
        <v>1.001935</v>
      </c>
      <c r="E27" s="2">
        <f>SOJA!E27</f>
        <v>1.0761637569224829</v>
      </c>
      <c r="F27" s="3">
        <f t="shared" si="0"/>
        <v>99.065389037431103</v>
      </c>
      <c r="G27" s="3">
        <f t="shared" si="4"/>
        <v>1.0761637569224831</v>
      </c>
      <c r="H27" s="3">
        <f t="shared" si="1"/>
        <v>97.757589700707484</v>
      </c>
      <c r="I27" s="4">
        <f t="shared" si="5"/>
        <v>0</v>
      </c>
      <c r="J27" s="5">
        <f t="shared" si="2"/>
        <v>99.065389037431103</v>
      </c>
      <c r="K27" s="63">
        <f t="shared" si="3"/>
        <v>97.757589700707484</v>
      </c>
      <c r="L27" s="10">
        <f t="shared" si="7"/>
        <v>104.72557704663159</v>
      </c>
      <c r="M27" s="10">
        <f t="shared" si="7"/>
        <v>160.43790162542663</v>
      </c>
    </row>
    <row r="28" spans="1:13" x14ac:dyDescent="0.15">
      <c r="A28" s="34">
        <v>34759</v>
      </c>
      <c r="B28" t="s">
        <v>2</v>
      </c>
      <c r="C28" s="2">
        <v>98</v>
      </c>
      <c r="D28" s="7">
        <f>SOJA!D28</f>
        <v>1.0037499999999999</v>
      </c>
      <c r="E28" s="2">
        <f>SOJA!E28</f>
        <v>1.0713288756932946</v>
      </c>
      <c r="F28" s="3">
        <f t="shared" si="0"/>
        <v>93.046552713893021</v>
      </c>
      <c r="G28" s="3">
        <f t="shared" si="4"/>
        <v>1.0713288756932948</v>
      </c>
      <c r="H28" s="3">
        <f t="shared" si="1"/>
        <v>91.818210291721016</v>
      </c>
      <c r="I28" s="4">
        <f t="shared" si="5"/>
        <v>0</v>
      </c>
      <c r="J28" s="5">
        <f t="shared" si="2"/>
        <v>93.046552713893021</v>
      </c>
      <c r="K28" s="63">
        <f t="shared" si="3"/>
        <v>91.818210291721016</v>
      </c>
      <c r="L28" s="10">
        <f t="shared" si="7"/>
        <v>104.72557704663159</v>
      </c>
      <c r="M28" s="10">
        <f t="shared" si="7"/>
        <v>160.43790162542663</v>
      </c>
    </row>
    <row r="29" spans="1:13" x14ac:dyDescent="0.15">
      <c r="A29" s="34">
        <v>34790</v>
      </c>
      <c r="B29" t="s">
        <v>3</v>
      </c>
      <c r="C29" s="2">
        <v>102</v>
      </c>
      <c r="D29" s="7">
        <f>SOJA!D29</f>
        <v>1.0014944444444445</v>
      </c>
      <c r="E29" s="2">
        <f>SOJA!E29</f>
        <v>1.0762284140786083</v>
      </c>
      <c r="F29" s="3">
        <f t="shared" si="0"/>
        <v>96.18685537163654</v>
      </c>
      <c r="G29" s="3">
        <f t="shared" si="4"/>
        <v>1.0762284140786085</v>
      </c>
      <c r="H29" s="3">
        <f t="shared" si="1"/>
        <v>94.917056636893491</v>
      </c>
      <c r="I29" s="4">
        <f t="shared" si="5"/>
        <v>0</v>
      </c>
      <c r="J29" s="5">
        <f t="shared" si="2"/>
        <v>96.18685537163654</v>
      </c>
      <c r="K29" s="63">
        <f t="shared" si="3"/>
        <v>94.917056636893491</v>
      </c>
      <c r="L29" s="10">
        <f t="shared" si="7"/>
        <v>104.72557704663159</v>
      </c>
      <c r="M29" s="10">
        <f t="shared" si="7"/>
        <v>160.43790162542663</v>
      </c>
    </row>
    <row r="30" spans="1:13" x14ac:dyDescent="0.15">
      <c r="A30" s="34">
        <v>34820</v>
      </c>
      <c r="B30" t="s">
        <v>2</v>
      </c>
      <c r="C30" s="2">
        <v>111</v>
      </c>
      <c r="D30" s="7">
        <f>SOJA!D30</f>
        <v>1.0003952380952383</v>
      </c>
      <c r="E30" s="2">
        <f>SOJA!E30</f>
        <v>1.0764545466194664</v>
      </c>
      <c r="F30" s="3">
        <f t="shared" si="0"/>
        <v>104.53707940091459</v>
      </c>
      <c r="G30" s="3">
        <f t="shared" si="4"/>
        <v>1.0764545466194666</v>
      </c>
      <c r="H30" s="3">
        <f t="shared" si="1"/>
        <v>103.15704622856329</v>
      </c>
      <c r="I30" s="4">
        <f t="shared" si="5"/>
        <v>0</v>
      </c>
      <c r="J30" s="5">
        <f t="shared" si="2"/>
        <v>104.53707940091459</v>
      </c>
      <c r="K30" s="63">
        <f t="shared" si="3"/>
        <v>103.15704622856329</v>
      </c>
      <c r="L30" s="10">
        <f t="shared" si="7"/>
        <v>104.72557704663159</v>
      </c>
      <c r="M30" s="10">
        <f t="shared" si="7"/>
        <v>160.43790162542663</v>
      </c>
    </row>
    <row r="31" spans="1:13" x14ac:dyDescent="0.15">
      <c r="A31" s="34">
        <v>34851</v>
      </c>
      <c r="B31" t="s">
        <v>4</v>
      </c>
      <c r="C31" s="2">
        <v>129</v>
      </c>
      <c r="D31" s="7">
        <f>SOJA!D31</f>
        <v>0.99933809523809547</v>
      </c>
      <c r="E31" s="2">
        <f>SOJA!E31</f>
        <v>1.074236772663173</v>
      </c>
      <c r="F31" s="3">
        <f t="shared" si="0"/>
        <v>121.61120814379632</v>
      </c>
      <c r="G31" s="3">
        <f t="shared" si="4"/>
        <v>1.0742367726631732</v>
      </c>
      <c r="H31" s="3">
        <f t="shared" si="1"/>
        <v>120.00577299743534</v>
      </c>
      <c r="I31" s="4">
        <f t="shared" si="5"/>
        <v>0</v>
      </c>
      <c r="J31" s="5">
        <f t="shared" si="2"/>
        <v>121.61120814379632</v>
      </c>
      <c r="K31" s="63">
        <f t="shared" si="3"/>
        <v>120.00577299743534</v>
      </c>
      <c r="L31" s="10">
        <f t="shared" si="7"/>
        <v>104.72557704663159</v>
      </c>
      <c r="M31" s="10">
        <f t="shared" si="7"/>
        <v>160.43790162542663</v>
      </c>
    </row>
    <row r="32" spans="1:13" x14ac:dyDescent="0.15">
      <c r="A32" s="34">
        <v>34881</v>
      </c>
      <c r="B32" t="s">
        <v>4</v>
      </c>
      <c r="C32" s="2">
        <v>137</v>
      </c>
      <c r="D32" s="7">
        <f>SOJA!D32</f>
        <v>0.99941000000000013</v>
      </c>
      <c r="E32" s="2">
        <f>SOJA!E32</f>
        <v>1.0785959380286243</v>
      </c>
      <c r="F32" s="3">
        <f t="shared" si="0"/>
        <v>128.64026961869689</v>
      </c>
      <c r="G32" s="3">
        <f t="shared" si="4"/>
        <v>1.0785959380286245</v>
      </c>
      <c r="H32" s="3">
        <f t="shared" si="1"/>
        <v>126.94204119686417</v>
      </c>
      <c r="I32" s="4">
        <f t="shared" si="5"/>
        <v>0</v>
      </c>
      <c r="J32" s="5">
        <f t="shared" si="2"/>
        <v>128.64026961869689</v>
      </c>
      <c r="K32" s="63">
        <f t="shared" si="3"/>
        <v>126.94204119686417</v>
      </c>
      <c r="L32" s="10">
        <f t="shared" si="7"/>
        <v>104.72557704663159</v>
      </c>
      <c r="M32" s="10">
        <f t="shared" si="7"/>
        <v>160.43790162542663</v>
      </c>
    </row>
    <row r="33" spans="1:13" x14ac:dyDescent="0.15">
      <c r="A33" s="34">
        <v>34912</v>
      </c>
      <c r="B33" t="s">
        <v>3</v>
      </c>
      <c r="C33" s="2">
        <v>134</v>
      </c>
      <c r="D33" s="7">
        <f>SOJA!D33</f>
        <v>0.99987000000000004</v>
      </c>
      <c r="E33" s="2">
        <f>SOJA!E33</f>
        <v>1.0759821808674521</v>
      </c>
      <c r="F33" s="3">
        <f t="shared" si="0"/>
        <v>126.18703082812037</v>
      </c>
      <c r="G33" s="3">
        <f t="shared" si="4"/>
        <v>1.0759821808674523</v>
      </c>
      <c r="H33" s="3">
        <f t="shared" si="1"/>
        <v>124.52118853119279</v>
      </c>
      <c r="I33" s="4">
        <f t="shared" si="5"/>
        <v>0</v>
      </c>
      <c r="J33" s="5">
        <f t="shared" si="2"/>
        <v>126.18703082812037</v>
      </c>
      <c r="K33" s="63">
        <f t="shared" si="3"/>
        <v>124.52118853119279</v>
      </c>
      <c r="L33" s="10">
        <f t="shared" si="7"/>
        <v>104.72557704663159</v>
      </c>
      <c r="M33" s="10">
        <f t="shared" si="7"/>
        <v>160.43790162542663</v>
      </c>
    </row>
    <row r="34" spans="1:13" x14ac:dyDescent="0.15">
      <c r="A34" s="34">
        <v>34943</v>
      </c>
      <c r="B34" t="s">
        <v>5</v>
      </c>
      <c r="C34" s="2">
        <v>141</v>
      </c>
      <c r="D34" s="7">
        <f>SOJA!D34</f>
        <v>0.99904285714285712</v>
      </c>
      <c r="E34" s="2">
        <f>SOJA!E34</f>
        <v>1.0777513748649139</v>
      </c>
      <c r="F34" s="3">
        <f t="shared" si="0"/>
        <v>132.45126499718165</v>
      </c>
      <c r="G34" s="3">
        <f t="shared" si="4"/>
        <v>1.0777513748649141</v>
      </c>
      <c r="H34" s="3">
        <f t="shared" si="1"/>
        <v>130.70272619675291</v>
      </c>
      <c r="I34" s="4">
        <f t="shared" si="5"/>
        <v>0</v>
      </c>
      <c r="J34" s="5">
        <f t="shared" si="2"/>
        <v>132.45126499718165</v>
      </c>
      <c r="K34" s="63">
        <f t="shared" si="3"/>
        <v>130.70272619675291</v>
      </c>
      <c r="L34" s="10">
        <f t="shared" si="7"/>
        <v>104.72557704663159</v>
      </c>
      <c r="M34" s="10">
        <f t="shared" si="7"/>
        <v>160.43790162542663</v>
      </c>
    </row>
    <row r="35" spans="1:13" x14ac:dyDescent="0.15">
      <c r="A35" s="34">
        <v>34973</v>
      </c>
      <c r="B35" t="s">
        <v>6</v>
      </c>
      <c r="C35" s="2">
        <v>147</v>
      </c>
      <c r="D35" s="7">
        <f>SOJA!D35</f>
        <v>0.99944</v>
      </c>
      <c r="E35" s="2">
        <f>SOJA!E35</f>
        <v>1.0814153920491933</v>
      </c>
      <c r="F35" s="3">
        <f t="shared" si="0"/>
        <v>137.67433242150656</v>
      </c>
      <c r="G35" s="3">
        <f t="shared" si="4"/>
        <v>1.0814153920491936</v>
      </c>
      <c r="H35" s="3">
        <f t="shared" si="1"/>
        <v>135.85684195006974</v>
      </c>
      <c r="I35" s="4">
        <f t="shared" si="5"/>
        <v>0</v>
      </c>
      <c r="J35" s="5">
        <f t="shared" si="2"/>
        <v>137.67433242150656</v>
      </c>
      <c r="K35" s="63">
        <f t="shared" si="3"/>
        <v>135.85684195006974</v>
      </c>
      <c r="L35" s="10">
        <f t="shared" si="7"/>
        <v>104.72557704663159</v>
      </c>
      <c r="M35" s="10">
        <f t="shared" si="7"/>
        <v>160.43790162542663</v>
      </c>
    </row>
    <row r="36" spans="1:13" x14ac:dyDescent="0.15">
      <c r="A36" s="34">
        <v>35004</v>
      </c>
      <c r="B36" t="s">
        <v>7</v>
      </c>
      <c r="C36" s="2">
        <v>148</v>
      </c>
      <c r="D36" s="7">
        <f>SOJA!D36</f>
        <v>0.99969523809523808</v>
      </c>
      <c r="E36" s="2">
        <f>SOJA!E36</f>
        <v>1.0789453546806578</v>
      </c>
      <c r="F36" s="3">
        <f t="shared" si="0"/>
        <v>138.9636950618532</v>
      </c>
      <c r="G36" s="3">
        <f t="shared" si="4"/>
        <v>1.078945354680658</v>
      </c>
      <c r="H36" s="3">
        <f t="shared" si="1"/>
        <v>137.12918323086564</v>
      </c>
      <c r="I36" s="4">
        <f t="shared" si="5"/>
        <v>0</v>
      </c>
      <c r="J36" s="5">
        <f t="shared" si="2"/>
        <v>138.9636950618532</v>
      </c>
      <c r="K36" s="63">
        <f t="shared" si="3"/>
        <v>137.12918323086564</v>
      </c>
      <c r="L36" s="10">
        <f t="shared" ref="L36:M51" si="8">+L35</f>
        <v>104.72557704663159</v>
      </c>
      <c r="M36" s="10">
        <f t="shared" si="8"/>
        <v>160.43790162542663</v>
      </c>
    </row>
    <row r="37" spans="1:13" x14ac:dyDescent="0.15">
      <c r="A37" s="34">
        <v>35034</v>
      </c>
      <c r="B37" s="6" t="s">
        <v>41</v>
      </c>
      <c r="C37" s="2">
        <v>145</v>
      </c>
      <c r="D37" s="7">
        <f>SOJA!D37</f>
        <v>1.0001166666666699</v>
      </c>
      <c r="E37" s="2">
        <f>SOJA!E37</f>
        <v>1.0800388311449101</v>
      </c>
      <c r="F37" s="3">
        <f t="shared" si="0"/>
        <v>136.06635819079352</v>
      </c>
      <c r="G37" s="3">
        <f t="shared" si="4"/>
        <v>1.0800388311449103</v>
      </c>
      <c r="H37" s="3">
        <f t="shared" si="1"/>
        <v>134.27009518994785</v>
      </c>
      <c r="I37" s="4">
        <f t="shared" si="5"/>
        <v>0</v>
      </c>
      <c r="J37" s="5">
        <f t="shared" si="2"/>
        <v>136.06635819079352</v>
      </c>
      <c r="K37" s="63">
        <f t="shared" si="3"/>
        <v>134.27009518994785</v>
      </c>
      <c r="L37" s="10">
        <f t="shared" si="8"/>
        <v>104.72557704663159</v>
      </c>
      <c r="M37" s="10">
        <f t="shared" si="8"/>
        <v>160.43790162542663</v>
      </c>
    </row>
    <row r="38" spans="1:13" x14ac:dyDescent="0.15">
      <c r="A38" s="34">
        <v>35065</v>
      </c>
      <c r="B38" s="6" t="s">
        <v>42</v>
      </c>
      <c r="C38" s="2">
        <v>153</v>
      </c>
      <c r="D38" s="7">
        <f>SOJA!D38</f>
        <v>0.99921818181818201</v>
      </c>
      <c r="E38" s="2">
        <f>SOJA!E38</f>
        <v>1.0832767141188584</v>
      </c>
      <c r="F38" s="3">
        <f t="shared" si="0"/>
        <v>143.01573262954344</v>
      </c>
      <c r="G38" s="3">
        <f t="shared" si="4"/>
        <v>1.0832767141188586</v>
      </c>
      <c r="H38" s="3">
        <f t="shared" si="1"/>
        <v>141.1277283316621</v>
      </c>
      <c r="I38" s="4">
        <f t="shared" si="5"/>
        <v>0</v>
      </c>
      <c r="J38" s="5">
        <f t="shared" si="2"/>
        <v>143.01573262954344</v>
      </c>
      <c r="K38" s="63">
        <f t="shared" si="3"/>
        <v>141.1277283316621</v>
      </c>
      <c r="L38" s="10">
        <f t="shared" si="8"/>
        <v>104.72557704663159</v>
      </c>
      <c r="M38" s="10">
        <f t="shared" si="8"/>
        <v>160.43790162542663</v>
      </c>
    </row>
    <row r="39" spans="1:13" x14ac:dyDescent="0.15">
      <c r="A39" s="34">
        <v>35096</v>
      </c>
      <c r="B39" t="s">
        <v>1</v>
      </c>
      <c r="C39" s="2">
        <v>162</v>
      </c>
      <c r="D39" s="7">
        <f>SOJA!D39</f>
        <v>0.99939523809523845</v>
      </c>
      <c r="E39" s="2">
        <f>SOJA!E39</f>
        <v>1.0797564167272042</v>
      </c>
      <c r="F39" s="3">
        <f t="shared" si="0"/>
        <v>151.9490401310274</v>
      </c>
      <c r="G39" s="3">
        <f t="shared" si="4"/>
        <v>1.0797564167272045</v>
      </c>
      <c r="H39" s="3">
        <f t="shared" si="1"/>
        <v>149.94310389204423</v>
      </c>
      <c r="I39" s="4">
        <f t="shared" si="5"/>
        <v>0</v>
      </c>
      <c r="J39" s="5">
        <f t="shared" si="2"/>
        <v>151.9490401310274</v>
      </c>
      <c r="K39" s="63">
        <f t="shared" si="3"/>
        <v>149.94310389204423</v>
      </c>
      <c r="L39" s="10">
        <f t="shared" si="8"/>
        <v>104.72557704663159</v>
      </c>
      <c r="M39" s="10">
        <f t="shared" si="8"/>
        <v>160.43790162542663</v>
      </c>
    </row>
    <row r="40" spans="1:13" x14ac:dyDescent="0.15">
      <c r="A40" s="34">
        <v>35125</v>
      </c>
      <c r="B40" t="s">
        <v>2</v>
      </c>
      <c r="C40" s="2">
        <v>165</v>
      </c>
      <c r="D40" s="7">
        <f>SOJA!D40</f>
        <v>0.9999714285714284</v>
      </c>
      <c r="E40" s="2">
        <f>SOJA!E40</f>
        <v>1.073931242474631</v>
      </c>
      <c r="F40" s="3">
        <f t="shared" si="0"/>
        <v>155.6920808029688</v>
      </c>
      <c r="G40" s="3">
        <f t="shared" si="4"/>
        <v>1.0739312424746312</v>
      </c>
      <c r="H40" s="3">
        <f t="shared" si="1"/>
        <v>153.63673128094445</v>
      </c>
      <c r="I40" s="4">
        <f t="shared" si="5"/>
        <v>0</v>
      </c>
      <c r="J40" s="5">
        <f t="shared" si="2"/>
        <v>155.6920808029688</v>
      </c>
      <c r="K40" s="63">
        <f t="shared" si="3"/>
        <v>153.63673128094445</v>
      </c>
      <c r="L40" s="10">
        <f t="shared" si="8"/>
        <v>104.72557704663159</v>
      </c>
      <c r="M40" s="10">
        <f t="shared" si="8"/>
        <v>160.43790162542663</v>
      </c>
    </row>
    <row r="41" spans="1:13" x14ac:dyDescent="0.15">
      <c r="A41" s="34">
        <v>35156</v>
      </c>
      <c r="B41" t="s">
        <v>3</v>
      </c>
      <c r="C41" s="2">
        <v>188</v>
      </c>
      <c r="D41" s="7">
        <f>SOJA!D41</f>
        <v>0.99930000000000019</v>
      </c>
      <c r="E41" s="2">
        <f>SOJA!E41</f>
        <v>1.0739476580220451</v>
      </c>
      <c r="F41" s="3">
        <f t="shared" si="0"/>
        <v>177.27279236503603</v>
      </c>
      <c r="G41" s="3">
        <f t="shared" si="4"/>
        <v>1.0739476580220453</v>
      </c>
      <c r="H41" s="3">
        <f t="shared" si="1"/>
        <v>174.93254777985055</v>
      </c>
      <c r="I41" s="4">
        <f t="shared" si="5"/>
        <v>0</v>
      </c>
      <c r="J41" s="5">
        <f t="shared" si="2"/>
        <v>177.27279236503603</v>
      </c>
      <c r="K41" s="63">
        <f t="shared" si="3"/>
        <v>174.93254777985055</v>
      </c>
      <c r="L41" s="10">
        <f t="shared" si="8"/>
        <v>104.72557704663159</v>
      </c>
      <c r="M41" s="10">
        <f t="shared" si="8"/>
        <v>160.43790162542663</v>
      </c>
    </row>
    <row r="42" spans="1:13" x14ac:dyDescent="0.15">
      <c r="A42" s="34">
        <v>35186</v>
      </c>
      <c r="B42" t="s">
        <v>2</v>
      </c>
      <c r="C42" s="2">
        <v>197</v>
      </c>
      <c r="D42" s="7">
        <f>SOJA!D42</f>
        <v>1.0001</v>
      </c>
      <c r="E42" s="2">
        <f>SOJA!E42</f>
        <v>1.0729898610823128</v>
      </c>
      <c r="F42" s="3">
        <f t="shared" si="0"/>
        <v>186.07391678658325</v>
      </c>
      <c r="G42" s="3">
        <f t="shared" si="4"/>
        <v>1.072989861082313</v>
      </c>
      <c r="H42" s="3">
        <f t="shared" si="1"/>
        <v>183.61748525868492</v>
      </c>
      <c r="I42" s="4">
        <f t="shared" si="5"/>
        <v>0</v>
      </c>
      <c r="J42" s="5">
        <f t="shared" si="2"/>
        <v>186.07391678658325</v>
      </c>
      <c r="K42" s="63">
        <f t="shared" si="3"/>
        <v>183.61748525868492</v>
      </c>
      <c r="L42" s="10">
        <f t="shared" si="8"/>
        <v>104.72557704663159</v>
      </c>
      <c r="M42" s="10">
        <f t="shared" si="8"/>
        <v>160.43790162542663</v>
      </c>
    </row>
    <row r="43" spans="1:13" x14ac:dyDescent="0.15">
      <c r="A43" s="34">
        <v>35217</v>
      </c>
      <c r="B43" t="s">
        <v>4</v>
      </c>
      <c r="C43" s="2">
        <v>186</v>
      </c>
      <c r="D43" s="7">
        <f>SOJA!D43</f>
        <v>1.0006999999999999</v>
      </c>
      <c r="E43" s="2">
        <f>SOJA!E43</f>
        <v>1.073017667009559</v>
      </c>
      <c r="F43" s="3">
        <f t="shared" si="0"/>
        <v>175.78484714769863</v>
      </c>
      <c r="G43" s="3">
        <f t="shared" si="4"/>
        <v>1.0730176670095593</v>
      </c>
      <c r="H43" s="3">
        <f t="shared" si="1"/>
        <v>173.46424548510419</v>
      </c>
      <c r="I43" s="4">
        <f t="shared" si="5"/>
        <v>0</v>
      </c>
      <c r="J43" s="5">
        <f t="shared" si="2"/>
        <v>175.78484714769863</v>
      </c>
      <c r="K43" s="63">
        <f t="shared" si="3"/>
        <v>173.46424548510419</v>
      </c>
      <c r="L43" s="10">
        <f t="shared" si="8"/>
        <v>104.72557704663159</v>
      </c>
      <c r="M43" s="10">
        <f t="shared" si="8"/>
        <v>160.43790162542663</v>
      </c>
    </row>
    <row r="44" spans="1:13" x14ac:dyDescent="0.15">
      <c r="A44" s="34">
        <v>35247</v>
      </c>
      <c r="B44" t="s">
        <v>4</v>
      </c>
      <c r="C44" s="2">
        <v>182</v>
      </c>
      <c r="D44" s="7">
        <f>SOJA!D44</f>
        <v>1.0014357142857147</v>
      </c>
      <c r="E44" s="2">
        <f>SOJA!E44</f>
        <v>1.0788354710163586</v>
      </c>
      <c r="F44" s="3">
        <f t="shared" si="0"/>
        <v>171.20273986826243</v>
      </c>
      <c r="G44" s="3">
        <f t="shared" si="4"/>
        <v>1.0788354710163588</v>
      </c>
      <c r="H44" s="3">
        <f t="shared" si="1"/>
        <v>168.94262832153058</v>
      </c>
      <c r="I44" s="4">
        <f t="shared" si="5"/>
        <v>0</v>
      </c>
      <c r="J44" s="5">
        <f t="shared" si="2"/>
        <v>171.20273986826243</v>
      </c>
      <c r="K44" s="63">
        <f t="shared" si="3"/>
        <v>168.94262832153058</v>
      </c>
      <c r="L44" s="10">
        <f t="shared" si="8"/>
        <v>104.72557704663159</v>
      </c>
      <c r="M44" s="10">
        <f t="shared" si="8"/>
        <v>160.43790162542663</v>
      </c>
    </row>
    <row r="45" spans="1:13" x14ac:dyDescent="0.15">
      <c r="A45" s="34">
        <v>35278</v>
      </c>
      <c r="B45" t="s">
        <v>3</v>
      </c>
      <c r="C45" s="2">
        <v>174</v>
      </c>
      <c r="D45" s="7">
        <f>SOJA!D45</f>
        <v>1.001195238095238</v>
      </c>
      <c r="E45" s="2">
        <f>SOJA!E45</f>
        <v>1.0779999531542721</v>
      </c>
      <c r="F45" s="3">
        <f t="shared" si="0"/>
        <v>163.76487042263608</v>
      </c>
      <c r="G45" s="3">
        <f t="shared" si="4"/>
        <v>1.0779999531542723</v>
      </c>
      <c r="H45" s="3">
        <f t="shared" si="1"/>
        <v>161.60294897864486</v>
      </c>
      <c r="I45" s="4">
        <f t="shared" si="5"/>
        <v>0</v>
      </c>
      <c r="J45" s="5">
        <f t="shared" si="2"/>
        <v>163.76487042263608</v>
      </c>
      <c r="K45" s="63">
        <f t="shared" si="3"/>
        <v>161.60294897864486</v>
      </c>
      <c r="L45" s="10">
        <f t="shared" si="8"/>
        <v>104.72557704663159</v>
      </c>
      <c r="M45" s="10">
        <f t="shared" si="8"/>
        <v>160.43790162542663</v>
      </c>
    </row>
    <row r="46" spans="1:13" x14ac:dyDescent="0.15">
      <c r="A46" s="34">
        <v>35309</v>
      </c>
      <c r="B46" t="s">
        <v>5</v>
      </c>
      <c r="C46" s="2">
        <v>156</v>
      </c>
      <c r="D46" s="7">
        <f>SOJA!D46</f>
        <v>1.0002714285714285</v>
      </c>
      <c r="E46" s="2">
        <f>SOJA!E46</f>
        <v>1.0799574234301974</v>
      </c>
      <c r="F46" s="3">
        <f t="shared" si="0"/>
        <v>146.42232293453259</v>
      </c>
      <c r="G46" s="3">
        <f t="shared" si="4"/>
        <v>1.0799574234301976</v>
      </c>
      <c r="H46" s="3">
        <f t="shared" si="1"/>
        <v>144.48934696102725</v>
      </c>
      <c r="I46" s="4">
        <f t="shared" si="5"/>
        <v>0</v>
      </c>
      <c r="J46" s="5">
        <f t="shared" si="2"/>
        <v>146.42232293453259</v>
      </c>
      <c r="K46" s="63">
        <f t="shared" si="3"/>
        <v>144.48934696102725</v>
      </c>
      <c r="L46" s="10">
        <f t="shared" si="8"/>
        <v>104.72557704663159</v>
      </c>
      <c r="M46" s="10">
        <f t="shared" si="8"/>
        <v>160.43790162542663</v>
      </c>
    </row>
    <row r="47" spans="1:13" x14ac:dyDescent="0.15">
      <c r="A47" s="34">
        <v>35339</v>
      </c>
      <c r="B47" t="s">
        <v>6</v>
      </c>
      <c r="C47" s="2">
        <v>143</v>
      </c>
      <c r="D47" s="7">
        <f>SOJA!D47</f>
        <v>0.99967391304347852</v>
      </c>
      <c r="E47" s="2">
        <f>SOJA!E47</f>
        <v>1.085401354969429</v>
      </c>
      <c r="F47" s="3">
        <f t="shared" si="0"/>
        <v>133.46749255153233</v>
      </c>
      <c r="G47" s="3">
        <f t="shared" si="4"/>
        <v>1.0854013549694292</v>
      </c>
      <c r="H47" s="3">
        <f t="shared" si="1"/>
        <v>131.70553815021151</v>
      </c>
      <c r="I47" s="4">
        <f t="shared" si="5"/>
        <v>0</v>
      </c>
      <c r="J47" s="5">
        <f t="shared" si="2"/>
        <v>133.46749255153233</v>
      </c>
      <c r="K47" s="63">
        <f t="shared" si="3"/>
        <v>131.70553815021151</v>
      </c>
      <c r="L47" s="10">
        <f t="shared" si="8"/>
        <v>104.72557704663159</v>
      </c>
      <c r="M47" s="10">
        <f t="shared" si="8"/>
        <v>160.43790162542663</v>
      </c>
    </row>
    <row r="48" spans="1:13" x14ac:dyDescent="0.15">
      <c r="A48" s="34">
        <v>35370</v>
      </c>
      <c r="B48" t="s">
        <v>7</v>
      </c>
      <c r="C48" s="2">
        <v>127</v>
      </c>
      <c r="D48" s="7">
        <f>SOJA!D48</f>
        <v>0.99930952380952409</v>
      </c>
      <c r="E48" s="2">
        <f>SOJA!E48</f>
        <v>1.0837155787537085</v>
      </c>
      <c r="F48" s="3">
        <f t="shared" si="0"/>
        <v>118.67517890971033</v>
      </c>
      <c r="G48" s="3">
        <f t="shared" si="4"/>
        <v>1.0837155787537087</v>
      </c>
      <c r="H48" s="3">
        <f t="shared" si="1"/>
        <v>117.10850338587996</v>
      </c>
      <c r="I48" s="4">
        <f t="shared" si="5"/>
        <v>0</v>
      </c>
      <c r="J48" s="5">
        <f t="shared" si="2"/>
        <v>118.67517890971033</v>
      </c>
      <c r="K48" s="63">
        <f t="shared" si="3"/>
        <v>117.10850338587996</v>
      </c>
      <c r="L48" s="10">
        <f t="shared" si="8"/>
        <v>104.72557704663159</v>
      </c>
      <c r="M48" s="10">
        <f t="shared" si="8"/>
        <v>160.43790162542663</v>
      </c>
    </row>
    <row r="49" spans="1:13" x14ac:dyDescent="0.15">
      <c r="A49" s="34">
        <v>35400</v>
      </c>
      <c r="B49" s="6" t="s">
        <v>43</v>
      </c>
      <c r="C49" s="2">
        <v>124</v>
      </c>
      <c r="D49" s="7">
        <f>SOJA!D49</f>
        <v>1.0002000000000002</v>
      </c>
      <c r="E49" s="2">
        <f>SOJA!E49</f>
        <v>1.0806254357064542</v>
      </c>
      <c r="F49" s="3">
        <f t="shared" si="0"/>
        <v>116.30672152151908</v>
      </c>
      <c r="G49" s="3">
        <f t="shared" si="4"/>
        <v>1.0806254357064544</v>
      </c>
      <c r="H49" s="3">
        <f t="shared" si="1"/>
        <v>114.77131289151946</v>
      </c>
      <c r="I49" s="4">
        <f t="shared" si="5"/>
        <v>0</v>
      </c>
      <c r="J49" s="5">
        <f t="shared" si="2"/>
        <v>116.30672152151908</v>
      </c>
      <c r="K49" s="63">
        <f t="shared" si="3"/>
        <v>114.77131289151946</v>
      </c>
      <c r="L49" s="10">
        <f t="shared" si="8"/>
        <v>104.72557704663159</v>
      </c>
      <c r="M49" s="10">
        <f t="shared" si="8"/>
        <v>160.43790162542663</v>
      </c>
    </row>
    <row r="50" spans="1:13" x14ac:dyDescent="0.15">
      <c r="A50" s="34">
        <v>35431</v>
      </c>
      <c r="B50" s="6" t="s">
        <v>44</v>
      </c>
      <c r="C50" s="2">
        <v>115</v>
      </c>
      <c r="D50" s="7">
        <f>SOJA!D50</f>
        <v>0.999</v>
      </c>
      <c r="E50" s="2">
        <f>SOJA!E50</f>
        <v>1.0856727140184714</v>
      </c>
      <c r="F50" s="3">
        <f t="shared" si="0"/>
        <v>107.23483056255667</v>
      </c>
      <c r="G50" s="3">
        <f t="shared" si="4"/>
        <v>1.0856727140184717</v>
      </c>
      <c r="H50" s="3">
        <f t="shared" si="1"/>
        <v>105.81918336583095</v>
      </c>
      <c r="I50" s="4">
        <f t="shared" si="5"/>
        <v>0</v>
      </c>
      <c r="J50" s="5">
        <f t="shared" si="2"/>
        <v>107.23483056255667</v>
      </c>
      <c r="K50" s="63">
        <f t="shared" si="3"/>
        <v>105.81918336583095</v>
      </c>
      <c r="L50" s="10">
        <f t="shared" si="8"/>
        <v>104.72557704663159</v>
      </c>
      <c r="M50" s="10">
        <f t="shared" si="8"/>
        <v>160.43790162542663</v>
      </c>
    </row>
    <row r="51" spans="1:13" x14ac:dyDescent="0.15">
      <c r="A51" s="34">
        <v>35462</v>
      </c>
      <c r="B51" t="s">
        <v>1</v>
      </c>
      <c r="C51" s="2">
        <v>114</v>
      </c>
      <c r="D51" s="7">
        <f>SOJA!D51</f>
        <v>0.99919999999999998</v>
      </c>
      <c r="E51" s="2">
        <f>SOJA!E51</f>
        <v>1.0898472882283434</v>
      </c>
      <c r="F51" s="3">
        <f t="shared" si="0"/>
        <v>105.91637121487753</v>
      </c>
      <c r="G51" s="3">
        <f t="shared" si="4"/>
        <v>1.0898472882283436</v>
      </c>
      <c r="H51" s="3">
        <f t="shared" si="1"/>
        <v>104.51812949424337</v>
      </c>
      <c r="I51" s="4">
        <f t="shared" si="5"/>
        <v>0</v>
      </c>
      <c r="J51" s="5">
        <f t="shared" si="2"/>
        <v>105.91637121487753</v>
      </c>
      <c r="K51" s="63">
        <f t="shared" si="3"/>
        <v>104.51812949424337</v>
      </c>
      <c r="L51" s="10">
        <f t="shared" si="8"/>
        <v>104.72557704663159</v>
      </c>
      <c r="M51" s="10">
        <f t="shared" si="8"/>
        <v>160.43790162542663</v>
      </c>
    </row>
    <row r="52" spans="1:13" x14ac:dyDescent="0.15">
      <c r="A52" s="34">
        <v>35490</v>
      </c>
      <c r="B52" t="s">
        <v>2</v>
      </c>
      <c r="C52" s="2">
        <v>121</v>
      </c>
      <c r="D52" s="7">
        <f>SOJA!D52</f>
        <v>0.99929999999999997</v>
      </c>
      <c r="E52" s="2">
        <f>SOJA!E52</f>
        <v>1.0844747140686595</v>
      </c>
      <c r="F52" s="3">
        <f t="shared" si="0"/>
        <v>112.98825246288111</v>
      </c>
      <c r="G52" s="3">
        <f t="shared" si="4"/>
        <v>1.0844747140686597</v>
      </c>
      <c r="H52" s="3">
        <f t="shared" si="1"/>
        <v>111.49665218689891</v>
      </c>
      <c r="I52" s="4">
        <f t="shared" si="5"/>
        <v>0</v>
      </c>
      <c r="J52" s="5">
        <f t="shared" si="2"/>
        <v>112.98825246288111</v>
      </c>
      <c r="K52" s="63">
        <f t="shared" si="3"/>
        <v>111.49665218689891</v>
      </c>
      <c r="L52" s="10">
        <f t="shared" ref="L52:M67" si="9">+L51</f>
        <v>104.72557704663159</v>
      </c>
      <c r="M52" s="10">
        <f t="shared" si="9"/>
        <v>160.43790162542663</v>
      </c>
    </row>
    <row r="53" spans="1:13" x14ac:dyDescent="0.15">
      <c r="A53" s="34">
        <v>35521</v>
      </c>
      <c r="B53" t="s">
        <v>3</v>
      </c>
      <c r="C53" s="2">
        <v>119</v>
      </c>
      <c r="D53" s="7">
        <f>SOJA!D53</f>
        <v>0.99919999999999998</v>
      </c>
      <c r="E53" s="2">
        <f>SOJA!E53</f>
        <v>1.0808904295432264</v>
      </c>
      <c r="F53" s="3">
        <f t="shared" si="0"/>
        <v>111.47800281629665</v>
      </c>
      <c r="G53" s="3">
        <f t="shared" si="4"/>
        <v>1.0808904295432267</v>
      </c>
      <c r="H53" s="3">
        <f t="shared" si="1"/>
        <v>110.00633991203711</v>
      </c>
      <c r="I53" s="4">
        <f t="shared" si="5"/>
        <v>0</v>
      </c>
      <c r="J53" s="5">
        <f t="shared" si="2"/>
        <v>111.47800281629665</v>
      </c>
      <c r="K53" s="63">
        <f t="shared" si="3"/>
        <v>110.00633991203711</v>
      </c>
      <c r="L53" s="10">
        <f t="shared" si="9"/>
        <v>104.72557704663159</v>
      </c>
      <c r="M53" s="10">
        <f t="shared" si="9"/>
        <v>160.43790162542663</v>
      </c>
    </row>
    <row r="54" spans="1:13" x14ac:dyDescent="0.15">
      <c r="A54" s="34">
        <v>35551</v>
      </c>
      <c r="B54" t="s">
        <v>2</v>
      </c>
      <c r="C54" s="2">
        <v>116</v>
      </c>
      <c r="D54" s="7">
        <f>SOJA!D54</f>
        <v>0.99929999999999997</v>
      </c>
      <c r="E54" s="2">
        <f>SOJA!E54</f>
        <v>1.0799936046367364</v>
      </c>
      <c r="F54" s="3">
        <f t="shared" si="0"/>
        <v>108.76875491509401</v>
      </c>
      <c r="G54" s="3">
        <f t="shared" si="4"/>
        <v>1.0799936046367367</v>
      </c>
      <c r="H54" s="3">
        <f t="shared" si="1"/>
        <v>107.33285780797756</v>
      </c>
      <c r="I54" s="4">
        <f t="shared" si="5"/>
        <v>0</v>
      </c>
      <c r="J54" s="5">
        <f t="shared" si="2"/>
        <v>108.76875491509401</v>
      </c>
      <c r="K54" s="63">
        <f t="shared" si="3"/>
        <v>107.33285780797756</v>
      </c>
      <c r="L54" s="10">
        <f t="shared" si="9"/>
        <v>104.72557704663159</v>
      </c>
      <c r="M54" s="10">
        <f t="shared" si="9"/>
        <v>160.43790162542663</v>
      </c>
    </row>
    <row r="55" spans="1:13" x14ac:dyDescent="0.15">
      <c r="A55" s="34">
        <v>35582</v>
      </c>
      <c r="B55" t="s">
        <v>4</v>
      </c>
      <c r="C55" s="2">
        <v>114</v>
      </c>
      <c r="D55" s="7">
        <f>SOJA!D55</f>
        <v>0.99939999999999996</v>
      </c>
      <c r="E55" s="2">
        <f>SOJA!E55</f>
        <v>1.0824525866366088</v>
      </c>
      <c r="F55" s="3">
        <f t="shared" si="0"/>
        <v>106.66127679944704</v>
      </c>
      <c r="G55" s="3">
        <f t="shared" si="4"/>
        <v>1.082452586636609</v>
      </c>
      <c r="H55" s="3">
        <f t="shared" si="1"/>
        <v>105.25320130095274</v>
      </c>
      <c r="I55" s="4">
        <f t="shared" si="5"/>
        <v>0</v>
      </c>
      <c r="J55" s="5">
        <f t="shared" si="2"/>
        <v>106.66127679944704</v>
      </c>
      <c r="K55" s="63">
        <f t="shared" si="3"/>
        <v>105.25320130095274</v>
      </c>
      <c r="L55" s="10">
        <f t="shared" si="9"/>
        <v>104.72557704663159</v>
      </c>
      <c r="M55" s="10">
        <f t="shared" si="9"/>
        <v>160.43790162542663</v>
      </c>
    </row>
    <row r="56" spans="1:13" x14ac:dyDescent="0.15">
      <c r="A56" s="34">
        <v>35612</v>
      </c>
      <c r="B56" t="s">
        <v>4</v>
      </c>
      <c r="C56" s="2">
        <v>108</v>
      </c>
      <c r="D56" s="7">
        <f>SOJA!D56</f>
        <v>0.99980000000000002</v>
      </c>
      <c r="E56" s="2">
        <f>SOJA!E56</f>
        <v>1.0848579668490297</v>
      </c>
      <c r="F56" s="3">
        <f t="shared" si="0"/>
        <v>100.86383333402213</v>
      </c>
      <c r="G56" s="3">
        <f t="shared" si="4"/>
        <v>1.0848579668490299</v>
      </c>
      <c r="H56" s="3">
        <f t="shared" si="1"/>
        <v>99.532292059967332</v>
      </c>
      <c r="I56" s="4">
        <f t="shared" si="5"/>
        <v>0</v>
      </c>
      <c r="J56" s="5">
        <f t="shared" si="2"/>
        <v>100.86383333402213</v>
      </c>
      <c r="K56" s="63">
        <f t="shared" si="3"/>
        <v>99.532292059967332</v>
      </c>
      <c r="L56" s="10">
        <f t="shared" si="9"/>
        <v>104.72557704663159</v>
      </c>
      <c r="M56" s="10">
        <f t="shared" si="9"/>
        <v>160.43790162542663</v>
      </c>
    </row>
    <row r="57" spans="1:13" x14ac:dyDescent="0.15">
      <c r="A57" s="34">
        <v>35643</v>
      </c>
      <c r="B57" t="s">
        <v>3</v>
      </c>
      <c r="C57" s="2">
        <v>112</v>
      </c>
      <c r="D57" s="7">
        <f>SOJA!D57</f>
        <v>0.99970000000000003</v>
      </c>
      <c r="E57" s="2">
        <f>SOJA!E57</f>
        <v>1.0866432413827216</v>
      </c>
      <c r="F57" s="3">
        <f t="shared" si="0"/>
        <v>104.41723670934095</v>
      </c>
      <c r="G57" s="3">
        <f t="shared" si="4"/>
        <v>1.0866432413827218</v>
      </c>
      <c r="H57" s="3">
        <f t="shared" si="1"/>
        <v>103.03878562528584</v>
      </c>
      <c r="I57" s="4">
        <f t="shared" si="5"/>
        <v>0</v>
      </c>
      <c r="J57" s="5">
        <f t="shared" si="2"/>
        <v>104.41723670934095</v>
      </c>
      <c r="K57" s="63">
        <f t="shared" si="3"/>
        <v>103.03878562528584</v>
      </c>
      <c r="L57" s="10">
        <f t="shared" si="9"/>
        <v>104.72557704663159</v>
      </c>
      <c r="M57" s="10">
        <f t="shared" si="9"/>
        <v>160.43790162542663</v>
      </c>
    </row>
    <row r="58" spans="1:13" x14ac:dyDescent="0.15">
      <c r="A58" s="34">
        <v>35674</v>
      </c>
      <c r="B58" t="s">
        <v>5</v>
      </c>
      <c r="C58" s="2">
        <v>112</v>
      </c>
      <c r="D58" s="7">
        <f>SOJA!D58</f>
        <v>0.99970000000000003</v>
      </c>
      <c r="E58" s="2">
        <f>SOJA!E58</f>
        <v>1.0861229690331584</v>
      </c>
      <c r="F58" s="3">
        <f t="shared" si="0"/>
        <v>104.46725443535041</v>
      </c>
      <c r="G58" s="3">
        <f t="shared" si="4"/>
        <v>1.0861229690331586</v>
      </c>
      <c r="H58" s="3">
        <f t="shared" si="1"/>
        <v>103.0881430485444</v>
      </c>
      <c r="I58" s="4">
        <f t="shared" si="5"/>
        <v>0</v>
      </c>
      <c r="J58" s="5">
        <f t="shared" si="2"/>
        <v>104.46725443535041</v>
      </c>
      <c r="K58" s="63">
        <f t="shared" si="3"/>
        <v>103.0881430485444</v>
      </c>
      <c r="L58" s="10">
        <f t="shared" si="9"/>
        <v>104.72557704663159</v>
      </c>
      <c r="M58" s="10">
        <f t="shared" si="9"/>
        <v>160.43790162542663</v>
      </c>
    </row>
    <row r="59" spans="1:13" x14ac:dyDescent="0.15">
      <c r="A59" s="34">
        <v>35704</v>
      </c>
      <c r="B59" t="s">
        <v>6</v>
      </c>
      <c r="C59" s="2">
        <v>119</v>
      </c>
      <c r="D59" s="7">
        <f>SOJA!D59</f>
        <v>1.0004</v>
      </c>
      <c r="E59" s="2">
        <f>SOJA!E59</f>
        <v>1.0844214472923708</v>
      </c>
      <c r="F59" s="3">
        <f t="shared" si="0"/>
        <v>111.24846066616139</v>
      </c>
      <c r="G59" s="3">
        <f t="shared" si="4"/>
        <v>1.084421447292371</v>
      </c>
      <c r="H59" s="3">
        <f t="shared" si="1"/>
        <v>109.77982803387285</v>
      </c>
      <c r="I59" s="4">
        <f t="shared" si="5"/>
        <v>0</v>
      </c>
      <c r="J59" s="5">
        <f t="shared" si="2"/>
        <v>111.24846066616139</v>
      </c>
      <c r="K59" s="63">
        <f t="shared" si="3"/>
        <v>109.77982803387285</v>
      </c>
      <c r="L59" s="10">
        <f t="shared" si="9"/>
        <v>104.72557704663159</v>
      </c>
      <c r="M59" s="10">
        <f t="shared" si="9"/>
        <v>160.43790162542663</v>
      </c>
    </row>
    <row r="60" spans="1:13" x14ac:dyDescent="0.15">
      <c r="A60" s="34">
        <v>35735</v>
      </c>
      <c r="B60" t="s">
        <v>7</v>
      </c>
      <c r="C60" s="2">
        <v>118</v>
      </c>
      <c r="D60" s="7">
        <f>SOJA!D60</f>
        <v>1.0011000000000001</v>
      </c>
      <c r="E60" s="2">
        <f>SOJA!E60</f>
        <v>1.0823256174025597</v>
      </c>
      <c r="F60" s="3">
        <f t="shared" si="0"/>
        <v>110.60455050438547</v>
      </c>
      <c r="G60" s="3">
        <f t="shared" si="4"/>
        <v>1.0823256174025599</v>
      </c>
      <c r="H60" s="3">
        <f t="shared" si="1"/>
        <v>109.14441837152123</v>
      </c>
      <c r="I60" s="4">
        <f t="shared" si="5"/>
        <v>0</v>
      </c>
      <c r="J60" s="5">
        <f t="shared" si="2"/>
        <v>110.60455050438547</v>
      </c>
      <c r="K60" s="63">
        <f t="shared" si="3"/>
        <v>109.14441837152123</v>
      </c>
      <c r="L60" s="10">
        <f t="shared" si="9"/>
        <v>104.72557704663159</v>
      </c>
      <c r="M60" s="10">
        <f t="shared" si="9"/>
        <v>160.43790162542663</v>
      </c>
    </row>
    <row r="61" spans="1:13" x14ac:dyDescent="0.15">
      <c r="A61" s="34">
        <v>35765</v>
      </c>
      <c r="B61" s="6" t="s">
        <v>45</v>
      </c>
      <c r="C61" s="2">
        <v>116</v>
      </c>
      <c r="D61" s="7">
        <f>SOJA!D61</f>
        <v>1.0006999999999999</v>
      </c>
      <c r="E61" s="2">
        <f>SOJA!E61</f>
        <v>1.084169853902464</v>
      </c>
      <c r="F61" s="3">
        <f t="shared" si="0"/>
        <v>108.50157090566333</v>
      </c>
      <c r="G61" s="3">
        <f t="shared" si="4"/>
        <v>1.0841698539024642</v>
      </c>
      <c r="H61" s="3">
        <f t="shared" si="1"/>
        <v>107.069200994813</v>
      </c>
      <c r="I61" s="4">
        <f t="shared" si="5"/>
        <v>0</v>
      </c>
      <c r="J61" s="5">
        <f t="shared" si="2"/>
        <v>108.50157090566333</v>
      </c>
      <c r="K61" s="63">
        <f t="shared" si="3"/>
        <v>107.069200994813</v>
      </c>
      <c r="L61" s="10">
        <f t="shared" si="9"/>
        <v>104.72557704663159</v>
      </c>
      <c r="M61" s="10">
        <f t="shared" si="9"/>
        <v>160.43790162542663</v>
      </c>
    </row>
    <row r="62" spans="1:13" x14ac:dyDescent="0.15">
      <c r="A62" s="34">
        <v>35796</v>
      </c>
      <c r="B62" s="6" t="s">
        <v>46</v>
      </c>
      <c r="C62" s="2">
        <v>117</v>
      </c>
      <c r="D62" s="7">
        <f>SOJA!D62</f>
        <v>0.99939999999999996</v>
      </c>
      <c r="E62" s="2">
        <f>SOJA!E62</f>
        <v>1.0909846511560766</v>
      </c>
      <c r="F62" s="3">
        <f t="shared" si="0"/>
        <v>108.61205490606555</v>
      </c>
      <c r="G62" s="3">
        <f t="shared" si="4"/>
        <v>1.0909846511560768</v>
      </c>
      <c r="H62" s="3">
        <f t="shared" si="1"/>
        <v>107.17822645450946</v>
      </c>
      <c r="I62" s="4">
        <f t="shared" si="5"/>
        <v>0</v>
      </c>
      <c r="J62" s="5">
        <f t="shared" si="2"/>
        <v>108.61205490606555</v>
      </c>
      <c r="K62" s="63">
        <f t="shared" si="3"/>
        <v>107.17822645450946</v>
      </c>
      <c r="L62" s="10">
        <f t="shared" si="9"/>
        <v>104.72557704663159</v>
      </c>
      <c r="M62" s="10">
        <f t="shared" si="9"/>
        <v>160.43790162542663</v>
      </c>
    </row>
    <row r="63" spans="1:13" x14ac:dyDescent="0.15">
      <c r="A63" s="34">
        <v>35827</v>
      </c>
      <c r="B63" t="s">
        <v>1</v>
      </c>
      <c r="C63" s="2">
        <v>109</v>
      </c>
      <c r="D63" s="7">
        <f>SOJA!D63</f>
        <v>0.99909999999999999</v>
      </c>
      <c r="E63" s="2">
        <f>SOJA!E63</f>
        <v>1.0896342211231778</v>
      </c>
      <c r="F63" s="3">
        <f t="shared" si="0"/>
        <v>101.28058167312979</v>
      </c>
      <c r="G63" s="3">
        <f t="shared" si="4"/>
        <v>1.089634221123178</v>
      </c>
      <c r="H63" s="3">
        <f t="shared" si="1"/>
        <v>99.943538748026484</v>
      </c>
      <c r="I63" s="4">
        <f t="shared" si="5"/>
        <v>0</v>
      </c>
      <c r="J63" s="5">
        <f t="shared" si="2"/>
        <v>101.28058167312979</v>
      </c>
      <c r="K63" s="63">
        <f t="shared" si="3"/>
        <v>99.943538748026484</v>
      </c>
      <c r="L63" s="10">
        <f t="shared" si="9"/>
        <v>104.72557704663159</v>
      </c>
      <c r="M63" s="10">
        <f t="shared" si="9"/>
        <v>160.43790162542663</v>
      </c>
    </row>
    <row r="64" spans="1:13" x14ac:dyDescent="0.15">
      <c r="A64" s="34">
        <v>35855</v>
      </c>
      <c r="B64" t="s">
        <v>2</v>
      </c>
      <c r="C64" s="2">
        <v>103</v>
      </c>
      <c r="D64" s="7">
        <f>SOJA!D64</f>
        <v>0.99990000000000001</v>
      </c>
      <c r="E64" s="2">
        <f>SOJA!E64</f>
        <v>1.093413482150507</v>
      </c>
      <c r="F64" s="3">
        <f t="shared" si="0"/>
        <v>95.451076944967369</v>
      </c>
      <c r="G64" s="3">
        <f t="shared" si="4"/>
        <v>1.0934134821505073</v>
      </c>
      <c r="H64" s="3">
        <f t="shared" si="1"/>
        <v>94.190991497051584</v>
      </c>
      <c r="I64" s="4">
        <f t="shared" si="5"/>
        <v>0</v>
      </c>
      <c r="J64" s="5">
        <f t="shared" si="2"/>
        <v>95.451076944967369</v>
      </c>
      <c r="K64" s="63">
        <f t="shared" si="3"/>
        <v>94.190991497051584</v>
      </c>
      <c r="L64" s="10">
        <f t="shared" si="9"/>
        <v>104.72557704663159</v>
      </c>
      <c r="M64" s="10">
        <f t="shared" si="9"/>
        <v>160.43790162542663</v>
      </c>
    </row>
    <row r="65" spans="1:13" x14ac:dyDescent="0.15">
      <c r="A65" s="34">
        <v>35886</v>
      </c>
      <c r="B65" t="s">
        <v>3</v>
      </c>
      <c r="C65" s="2">
        <v>96</v>
      </c>
      <c r="D65" s="7">
        <f>SOJA!D65</f>
        <v>1.0006999999999999</v>
      </c>
      <c r="E65" s="2">
        <f>SOJA!E65</f>
        <v>1.0935367662616717</v>
      </c>
      <c r="F65" s="3">
        <f t="shared" si="0"/>
        <v>89.025251218099797</v>
      </c>
      <c r="G65" s="3">
        <f t="shared" si="4"/>
        <v>1.093536766261672</v>
      </c>
      <c r="H65" s="3">
        <f t="shared" si="1"/>
        <v>87.849995504414622</v>
      </c>
      <c r="I65" s="4">
        <f t="shared" si="5"/>
        <v>0</v>
      </c>
      <c r="J65" s="5">
        <f t="shared" si="2"/>
        <v>89.025251218099797</v>
      </c>
      <c r="K65" s="63">
        <f t="shared" si="3"/>
        <v>87.849995504414622</v>
      </c>
      <c r="L65" s="10">
        <f t="shared" si="9"/>
        <v>104.72557704663159</v>
      </c>
      <c r="M65" s="10">
        <f t="shared" si="9"/>
        <v>160.43790162542663</v>
      </c>
    </row>
    <row r="66" spans="1:13" x14ac:dyDescent="0.15">
      <c r="A66" s="34">
        <v>35916</v>
      </c>
      <c r="B66" t="s">
        <v>2</v>
      </c>
      <c r="C66" s="2">
        <v>101</v>
      </c>
      <c r="D66" s="7">
        <f>SOJA!D66</f>
        <v>0.99990000000000001</v>
      </c>
      <c r="E66" s="2">
        <f>SOJA!E66</f>
        <v>1.0927471449301058</v>
      </c>
      <c r="F66" s="3">
        <f t="shared" ref="F66:F108" si="10">+(C66*(D66/E66))/(AVERAGE(C$109)*AVERAGE(D$109)/AVERAGE(E$109))*100</f>
        <v>93.654732114903112</v>
      </c>
      <c r="G66" s="3">
        <f t="shared" si="4"/>
        <v>1.0927471449301061</v>
      </c>
      <c r="H66" s="3">
        <f t="shared" ref="H66:H129" si="11">+(C66*D66)/G66</f>
        <v>92.41836088847387</v>
      </c>
      <c r="I66" s="4">
        <f t="shared" si="5"/>
        <v>0</v>
      </c>
      <c r="J66" s="5">
        <f t="shared" ref="J66:J108" si="12">+F66*(1-I66)/(F$109*(1-I$109))*100</f>
        <v>93.654732114903112</v>
      </c>
      <c r="K66" s="63">
        <f t="shared" ref="K66:K129" si="13">+H66*(1-I66)</f>
        <v>92.41836088847387</v>
      </c>
      <c r="L66" s="10">
        <f t="shared" si="9"/>
        <v>104.72557704663159</v>
      </c>
      <c r="M66" s="10">
        <f t="shared" si="9"/>
        <v>160.43790162542663</v>
      </c>
    </row>
    <row r="67" spans="1:13" x14ac:dyDescent="0.15">
      <c r="A67" s="34">
        <v>35947</v>
      </c>
      <c r="B67" t="s">
        <v>4</v>
      </c>
      <c r="C67" s="2">
        <v>102</v>
      </c>
      <c r="D67" s="7">
        <f>SOJA!D67</f>
        <v>0.99990000000000001</v>
      </c>
      <c r="E67" s="2">
        <f>SOJA!E67</f>
        <v>1.0948332594959354</v>
      </c>
      <c r="F67" s="3">
        <f t="shared" si="10"/>
        <v>94.401788469751196</v>
      </c>
      <c r="G67" s="3">
        <f t="shared" ref="G67:G130" si="14">+E67/AVERAGE(E$2:E$13)</f>
        <v>1.0948332594959356</v>
      </c>
      <c r="H67" s="3">
        <f t="shared" si="11"/>
        <v>93.155555072337137</v>
      </c>
      <c r="I67" s="4">
        <f t="shared" si="5"/>
        <v>0</v>
      </c>
      <c r="J67" s="5">
        <f t="shared" si="12"/>
        <v>94.401788469751196</v>
      </c>
      <c r="K67" s="63">
        <f t="shared" si="13"/>
        <v>93.155555072337137</v>
      </c>
      <c r="L67" s="10">
        <f t="shared" si="9"/>
        <v>104.72557704663159</v>
      </c>
      <c r="M67" s="10">
        <f t="shared" si="9"/>
        <v>160.43790162542663</v>
      </c>
    </row>
    <row r="68" spans="1:13" x14ac:dyDescent="0.15">
      <c r="A68" s="34">
        <v>35977</v>
      </c>
      <c r="B68" t="s">
        <v>4</v>
      </c>
      <c r="C68" s="2">
        <v>101</v>
      </c>
      <c r="D68" s="7">
        <f>SOJA!D68</f>
        <v>0.99990000000000001</v>
      </c>
      <c r="E68" s="2">
        <f>SOJA!E68</f>
        <v>1.098255063603127</v>
      </c>
      <c r="F68" s="3">
        <f t="shared" si="10"/>
        <v>93.185039176597783</v>
      </c>
      <c r="G68" s="3">
        <f t="shared" si="14"/>
        <v>1.0982550636031272</v>
      </c>
      <c r="H68" s="3">
        <f t="shared" si="11"/>
        <v>91.954868542718046</v>
      </c>
      <c r="I68" s="4">
        <f t="shared" ref="I68:I111" si="15">+I67</f>
        <v>0</v>
      </c>
      <c r="J68" s="5">
        <f t="shared" si="12"/>
        <v>93.185039176597783</v>
      </c>
      <c r="K68" s="63">
        <f t="shared" si="13"/>
        <v>91.954868542718046</v>
      </c>
      <c r="L68" s="10">
        <f t="shared" ref="L68:M83" si="16">+L67</f>
        <v>104.72557704663159</v>
      </c>
      <c r="M68" s="10">
        <f t="shared" si="16"/>
        <v>160.43790162542663</v>
      </c>
    </row>
    <row r="69" spans="1:13" x14ac:dyDescent="0.15">
      <c r="A69" s="34">
        <v>36008</v>
      </c>
      <c r="B69" t="s">
        <v>3</v>
      </c>
      <c r="C69" s="2">
        <v>97</v>
      </c>
      <c r="D69" s="7">
        <f>SOJA!D69</f>
        <v>0.99990000000000001</v>
      </c>
      <c r="E69" s="2">
        <f>SOJA!E69</f>
        <v>1.0984768409987542</v>
      </c>
      <c r="F69" s="3">
        <f t="shared" si="10"/>
        <v>89.47647404115709</v>
      </c>
      <c r="G69" s="3">
        <f t="shared" si="14"/>
        <v>1.0984768409987544</v>
      </c>
      <c r="H69" s="3">
        <f t="shared" si="11"/>
        <v>88.295261565837578</v>
      </c>
      <c r="I69" s="4">
        <f t="shared" si="15"/>
        <v>0</v>
      </c>
      <c r="J69" s="5">
        <f t="shared" si="12"/>
        <v>89.47647404115709</v>
      </c>
      <c r="K69" s="63">
        <f t="shared" si="13"/>
        <v>88.295261565837578</v>
      </c>
      <c r="L69" s="10">
        <f t="shared" si="16"/>
        <v>104.72557704663159</v>
      </c>
      <c r="M69" s="10">
        <f t="shared" si="16"/>
        <v>160.43790162542663</v>
      </c>
    </row>
    <row r="70" spans="1:13" x14ac:dyDescent="0.15">
      <c r="A70" s="34">
        <v>36039</v>
      </c>
      <c r="B70" t="s">
        <v>5</v>
      </c>
      <c r="C70" s="2">
        <v>94</v>
      </c>
      <c r="D70" s="7">
        <f>SOJA!D70</f>
        <v>0.99990000000000001</v>
      </c>
      <c r="E70" s="2">
        <f>SOJA!E70</f>
        <v>1.098137139670702</v>
      </c>
      <c r="F70" s="3">
        <f t="shared" si="10"/>
        <v>86.735983305793212</v>
      </c>
      <c r="G70" s="3">
        <f t="shared" si="14"/>
        <v>1.0981371396707023</v>
      </c>
      <c r="H70" s="3">
        <f t="shared" si="11"/>
        <v>85.590949075982351</v>
      </c>
      <c r="I70" s="4">
        <f t="shared" si="15"/>
        <v>0</v>
      </c>
      <c r="J70" s="5">
        <f t="shared" si="12"/>
        <v>86.735983305793212</v>
      </c>
      <c r="K70" s="63">
        <f t="shared" si="13"/>
        <v>85.590949075982351</v>
      </c>
      <c r="L70" s="10">
        <f t="shared" si="16"/>
        <v>104.72557704663159</v>
      </c>
      <c r="M70" s="10">
        <f t="shared" si="16"/>
        <v>160.43790162542663</v>
      </c>
    </row>
    <row r="71" spans="1:13" x14ac:dyDescent="0.15">
      <c r="A71" s="34">
        <v>36069</v>
      </c>
      <c r="B71" t="s">
        <v>6</v>
      </c>
      <c r="C71" s="2">
        <v>99</v>
      </c>
      <c r="D71" s="7">
        <f>SOJA!D71</f>
        <v>0.99990000000000001</v>
      </c>
      <c r="E71" s="2">
        <f>SOJA!E71</f>
        <v>1.0941196857003317</v>
      </c>
      <c r="F71" s="3">
        <f t="shared" si="10"/>
        <v>91.685022350992483</v>
      </c>
      <c r="G71" s="3">
        <f t="shared" si="14"/>
        <v>1.0941196857003319</v>
      </c>
      <c r="H71" s="3">
        <f t="shared" si="11"/>
        <v>90.474654001529743</v>
      </c>
      <c r="I71" s="4">
        <f t="shared" si="15"/>
        <v>0</v>
      </c>
      <c r="J71" s="5">
        <f t="shared" si="12"/>
        <v>91.685022350992483</v>
      </c>
      <c r="K71" s="63">
        <f t="shared" si="13"/>
        <v>90.474654001529743</v>
      </c>
      <c r="L71" s="10">
        <f t="shared" si="16"/>
        <v>104.72557704663159</v>
      </c>
      <c r="M71" s="10">
        <f t="shared" si="16"/>
        <v>160.43790162542663</v>
      </c>
    </row>
    <row r="72" spans="1:13" x14ac:dyDescent="0.15">
      <c r="A72" s="34">
        <v>36100</v>
      </c>
      <c r="B72" t="s">
        <v>7</v>
      </c>
      <c r="C72" s="2">
        <v>105</v>
      </c>
      <c r="D72" s="7">
        <f>SOJA!D72</f>
        <v>1.0002</v>
      </c>
      <c r="E72" s="2">
        <f>SOJA!E72</f>
        <v>1.0915216740642271</v>
      </c>
      <c r="F72" s="3">
        <f t="shared" si="10"/>
        <v>97.502387393969187</v>
      </c>
      <c r="G72" s="3">
        <f t="shared" si="14"/>
        <v>1.0915216740642273</v>
      </c>
      <c r="H72" s="3">
        <f t="shared" si="11"/>
        <v>96.215221827853838</v>
      </c>
      <c r="I72" s="4">
        <f t="shared" si="15"/>
        <v>0</v>
      </c>
      <c r="J72" s="5">
        <f t="shared" si="12"/>
        <v>97.502387393969187</v>
      </c>
      <c r="K72" s="63">
        <f t="shared" si="13"/>
        <v>96.215221827853838</v>
      </c>
      <c r="L72" s="10">
        <f t="shared" si="16"/>
        <v>104.72557704663159</v>
      </c>
      <c r="M72" s="10">
        <f t="shared" si="16"/>
        <v>160.43790162542663</v>
      </c>
    </row>
    <row r="73" spans="1:13" x14ac:dyDescent="0.15">
      <c r="A73" s="34">
        <v>36130</v>
      </c>
      <c r="B73" s="6" t="s">
        <v>47</v>
      </c>
      <c r="C73" s="2">
        <v>113</v>
      </c>
      <c r="D73" s="7">
        <f>SOJA!D73</f>
        <v>0.99980000000000002</v>
      </c>
      <c r="E73" s="2">
        <f>SOJA!E73</f>
        <v>1.0913739341375333</v>
      </c>
      <c r="F73" s="3">
        <f t="shared" si="10"/>
        <v>104.9033755648354</v>
      </c>
      <c r="G73" s="3">
        <f t="shared" si="14"/>
        <v>1.0913739341375335</v>
      </c>
      <c r="H73" s="3">
        <f t="shared" si="11"/>
        <v>103.51850677951298</v>
      </c>
      <c r="I73" s="4">
        <f t="shared" si="15"/>
        <v>0</v>
      </c>
      <c r="J73" s="5">
        <f t="shared" si="12"/>
        <v>104.9033755648354</v>
      </c>
      <c r="K73" s="63">
        <f t="shared" si="13"/>
        <v>103.51850677951298</v>
      </c>
      <c r="L73" s="10">
        <f t="shared" si="16"/>
        <v>104.72557704663159</v>
      </c>
      <c r="M73" s="10">
        <f t="shared" si="16"/>
        <v>160.43790162542663</v>
      </c>
    </row>
    <row r="74" spans="1:13" x14ac:dyDescent="0.15">
      <c r="A74" s="34">
        <v>36161</v>
      </c>
      <c r="B74" s="6" t="s">
        <v>34</v>
      </c>
      <c r="C74" s="2">
        <v>116</v>
      </c>
      <c r="D74" s="7">
        <f>SOJA!D74</f>
        <v>0.99994499999999997</v>
      </c>
      <c r="E74" s="2">
        <f>SOJA!E74</f>
        <v>1.0965187007004931</v>
      </c>
      <c r="F74" s="3">
        <f t="shared" si="10"/>
        <v>107.19870126991032</v>
      </c>
      <c r="G74" s="3">
        <f t="shared" si="14"/>
        <v>1.0965187007004933</v>
      </c>
      <c r="H74" s="3">
        <f t="shared" si="11"/>
        <v>105.78353102952038</v>
      </c>
      <c r="I74" s="4">
        <f t="shared" si="15"/>
        <v>0</v>
      </c>
      <c r="J74" s="5">
        <f t="shared" si="12"/>
        <v>107.19870126991032</v>
      </c>
      <c r="K74" s="63">
        <f t="shared" si="13"/>
        <v>105.78353102952038</v>
      </c>
      <c r="L74" s="10">
        <f t="shared" si="16"/>
        <v>104.72557704663159</v>
      </c>
      <c r="M74" s="10">
        <f t="shared" si="16"/>
        <v>160.43790162542663</v>
      </c>
    </row>
    <row r="75" spans="1:13" x14ac:dyDescent="0.15">
      <c r="A75" s="34">
        <v>36192</v>
      </c>
      <c r="B75" t="s">
        <v>1</v>
      </c>
      <c r="C75" s="2">
        <v>102</v>
      </c>
      <c r="D75" s="7">
        <f>SOJA!D75</f>
        <v>1.00024</v>
      </c>
      <c r="E75" s="2">
        <f>SOJA!E75</f>
        <v>1.0947572119599731</v>
      </c>
      <c r="F75" s="3">
        <f t="shared" si="10"/>
        <v>94.440448157377574</v>
      </c>
      <c r="G75" s="3">
        <f t="shared" si="14"/>
        <v>1.0947572119599733</v>
      </c>
      <c r="H75" s="3">
        <f t="shared" si="11"/>
        <v>93.193704398935012</v>
      </c>
      <c r="I75" s="4">
        <f t="shared" si="15"/>
        <v>0</v>
      </c>
      <c r="J75" s="5">
        <f t="shared" si="12"/>
        <v>94.440448157377574</v>
      </c>
      <c r="K75" s="63">
        <f t="shared" si="13"/>
        <v>93.193704398935012</v>
      </c>
      <c r="L75" s="10">
        <f t="shared" si="16"/>
        <v>104.72557704663159</v>
      </c>
      <c r="M75" s="10">
        <f t="shared" si="16"/>
        <v>160.43790162542663</v>
      </c>
    </row>
    <row r="76" spans="1:13" x14ac:dyDescent="0.15">
      <c r="A76" s="34">
        <v>36220</v>
      </c>
      <c r="B76" t="s">
        <v>2</v>
      </c>
      <c r="C76" s="2">
        <v>91</v>
      </c>
      <c r="D76" s="7">
        <f>SOJA!D76</f>
        <v>0.99968695652173911</v>
      </c>
      <c r="E76" s="2">
        <f>SOJA!E76</f>
        <v>1.0865377128636531</v>
      </c>
      <c r="F76" s="3">
        <f t="shared" si="10"/>
        <v>84.846137665670682</v>
      </c>
      <c r="G76" s="3">
        <f t="shared" si="14"/>
        <v>1.0865377128636533</v>
      </c>
      <c r="H76" s="3">
        <f t="shared" si="11"/>
        <v>83.726051996590044</v>
      </c>
      <c r="I76" s="4">
        <f t="shared" si="15"/>
        <v>0</v>
      </c>
      <c r="J76" s="5">
        <f t="shared" si="12"/>
        <v>84.846137665670682</v>
      </c>
      <c r="K76" s="63">
        <f t="shared" si="13"/>
        <v>83.726051996590044</v>
      </c>
      <c r="L76" s="10">
        <f t="shared" si="16"/>
        <v>104.72557704663159</v>
      </c>
      <c r="M76" s="10">
        <f t="shared" si="16"/>
        <v>160.43790162542663</v>
      </c>
    </row>
    <row r="77" spans="1:13" x14ac:dyDescent="0.15">
      <c r="A77" s="34">
        <v>36251</v>
      </c>
      <c r="B77" t="s">
        <v>3</v>
      </c>
      <c r="C77" s="2">
        <v>91</v>
      </c>
      <c r="D77" s="7">
        <f>SOJA!D77</f>
        <v>0.99941499999999994</v>
      </c>
      <c r="E77" s="2">
        <f>SOJA!E77</f>
        <v>1.0854737173825069</v>
      </c>
      <c r="F77" s="3">
        <f t="shared" si="10"/>
        <v>84.906200644304775</v>
      </c>
      <c r="G77" s="3">
        <f t="shared" si="14"/>
        <v>1.0854737173825071</v>
      </c>
      <c r="H77" s="3">
        <f t="shared" si="11"/>
        <v>83.785322061327733</v>
      </c>
      <c r="I77" s="4">
        <f t="shared" si="15"/>
        <v>0</v>
      </c>
      <c r="J77" s="5">
        <f t="shared" si="12"/>
        <v>84.906200644304775</v>
      </c>
      <c r="K77" s="63">
        <f t="shared" si="13"/>
        <v>83.785322061327733</v>
      </c>
      <c r="L77" s="10">
        <f t="shared" si="16"/>
        <v>104.72557704663159</v>
      </c>
      <c r="M77" s="10">
        <f t="shared" si="16"/>
        <v>160.43790162542663</v>
      </c>
    </row>
    <row r="78" spans="1:13" x14ac:dyDescent="0.15">
      <c r="A78" s="34">
        <v>36281</v>
      </c>
      <c r="B78" t="s">
        <v>2</v>
      </c>
      <c r="C78" s="2">
        <v>96</v>
      </c>
      <c r="D78" s="7">
        <f>SOJA!D78</f>
        <v>1.00017</v>
      </c>
      <c r="E78" s="2">
        <f>SOJA!E78</f>
        <v>1.0801292841612469</v>
      </c>
      <c r="F78" s="3">
        <f t="shared" si="10"/>
        <v>90.082572602847961</v>
      </c>
      <c r="G78" s="3">
        <f t="shared" si="14"/>
        <v>1.0801292841612471</v>
      </c>
      <c r="H78" s="3">
        <f t="shared" si="11"/>
        <v>88.893358793211107</v>
      </c>
      <c r="I78" s="4">
        <f t="shared" si="15"/>
        <v>0</v>
      </c>
      <c r="J78" s="5">
        <f t="shared" si="12"/>
        <v>90.082572602847961</v>
      </c>
      <c r="K78" s="63">
        <f t="shared" si="13"/>
        <v>88.893358793211107</v>
      </c>
      <c r="L78" s="10">
        <f t="shared" si="16"/>
        <v>104.72557704663159</v>
      </c>
      <c r="M78" s="10">
        <f t="shared" si="16"/>
        <v>160.43790162542663</v>
      </c>
    </row>
    <row r="79" spans="1:13" x14ac:dyDescent="0.15">
      <c r="A79" s="34">
        <v>36312</v>
      </c>
      <c r="B79" t="s">
        <v>4</v>
      </c>
      <c r="C79" s="2">
        <v>97</v>
      </c>
      <c r="D79" s="7">
        <f>SOJA!D79</f>
        <v>1.0001150000000001</v>
      </c>
      <c r="E79" s="2">
        <f>SOJA!E79</f>
        <v>1.0800636219716016</v>
      </c>
      <c r="F79" s="3">
        <f t="shared" si="10"/>
        <v>91.021460723588604</v>
      </c>
      <c r="G79" s="3">
        <f t="shared" si="14"/>
        <v>1.0800636219716018</v>
      </c>
      <c r="H79" s="3">
        <f t="shared" si="11"/>
        <v>89.819852299914544</v>
      </c>
      <c r="I79" s="4">
        <f t="shared" si="15"/>
        <v>0</v>
      </c>
      <c r="J79" s="5">
        <f t="shared" si="12"/>
        <v>91.021460723588604</v>
      </c>
      <c r="K79" s="63">
        <f t="shared" si="13"/>
        <v>89.819852299914544</v>
      </c>
      <c r="L79" s="10">
        <f t="shared" si="16"/>
        <v>104.72557704663159</v>
      </c>
      <c r="M79" s="10">
        <f t="shared" si="16"/>
        <v>160.43790162542663</v>
      </c>
    </row>
    <row r="80" spans="1:13" x14ac:dyDescent="0.15">
      <c r="A80" s="34">
        <v>36342</v>
      </c>
      <c r="B80" t="s">
        <v>4</v>
      </c>
      <c r="C80" s="2">
        <v>94</v>
      </c>
      <c r="D80" s="7">
        <f>SOJA!D80</f>
        <v>1.0003142857142857</v>
      </c>
      <c r="E80" s="2">
        <f>SOJA!E80</f>
        <v>1.0820710089121046</v>
      </c>
      <c r="F80" s="3">
        <f t="shared" si="10"/>
        <v>88.060272997942207</v>
      </c>
      <c r="G80" s="3">
        <f t="shared" si="14"/>
        <v>1.0820710089121048</v>
      </c>
      <c r="H80" s="3">
        <f t="shared" si="11"/>
        <v>86.89775632347687</v>
      </c>
      <c r="I80" s="4">
        <f t="shared" si="15"/>
        <v>0</v>
      </c>
      <c r="J80" s="5">
        <f t="shared" si="12"/>
        <v>88.060272997942207</v>
      </c>
      <c r="K80" s="63">
        <f t="shared" si="13"/>
        <v>86.89775632347687</v>
      </c>
      <c r="L80" s="10">
        <f t="shared" si="16"/>
        <v>104.72557704663159</v>
      </c>
      <c r="M80" s="10">
        <f t="shared" si="16"/>
        <v>160.43790162542663</v>
      </c>
    </row>
    <row r="81" spans="1:13" x14ac:dyDescent="0.15">
      <c r="A81" s="34">
        <v>36373</v>
      </c>
      <c r="B81" t="s">
        <v>3</v>
      </c>
      <c r="C81" s="2">
        <v>97</v>
      </c>
      <c r="D81" s="7">
        <f>SOJA!D81</f>
        <v>1.0001666666666666</v>
      </c>
      <c r="E81" s="2">
        <f>SOJA!E81</f>
        <v>1.0779979430872435</v>
      </c>
      <c r="F81" s="3">
        <f t="shared" si="10"/>
        <v>91.200588915191076</v>
      </c>
      <c r="G81" s="3">
        <f t="shared" si="14"/>
        <v>1.0779979430872437</v>
      </c>
      <c r="H81" s="3">
        <f t="shared" si="11"/>
        <v>89.996615753110973</v>
      </c>
      <c r="I81" s="4">
        <f t="shared" si="15"/>
        <v>0</v>
      </c>
      <c r="J81" s="5">
        <f t="shared" si="12"/>
        <v>91.200588915191076</v>
      </c>
      <c r="K81" s="63">
        <f t="shared" si="13"/>
        <v>89.996615753110973</v>
      </c>
      <c r="L81" s="10">
        <f t="shared" si="16"/>
        <v>104.72557704663159</v>
      </c>
      <c r="M81" s="10">
        <f t="shared" si="16"/>
        <v>160.43790162542663</v>
      </c>
    </row>
    <row r="82" spans="1:13" x14ac:dyDescent="0.15">
      <c r="A82" s="34">
        <v>36404</v>
      </c>
      <c r="B82" t="s">
        <v>5</v>
      </c>
      <c r="C82" s="2">
        <v>93</v>
      </c>
      <c r="D82" s="7">
        <f>SOJA!D82</f>
        <v>1.0004045454545454</v>
      </c>
      <c r="E82" s="2">
        <f>SOJA!E82</f>
        <v>1.0758501864658259</v>
      </c>
      <c r="F82" s="3">
        <f t="shared" si="10"/>
        <v>87.635136949263455</v>
      </c>
      <c r="G82" s="3">
        <f t="shared" si="14"/>
        <v>1.0758501864658261</v>
      </c>
      <c r="H82" s="3">
        <f t="shared" si="11"/>
        <v>86.478232655144893</v>
      </c>
      <c r="I82" s="4">
        <f t="shared" si="15"/>
        <v>0</v>
      </c>
      <c r="J82" s="5">
        <f t="shared" si="12"/>
        <v>87.635136949263455</v>
      </c>
      <c r="K82" s="63">
        <f t="shared" si="13"/>
        <v>86.478232655144893</v>
      </c>
      <c r="L82" s="10">
        <f t="shared" si="16"/>
        <v>104.72557704663159</v>
      </c>
      <c r="M82" s="10">
        <f t="shared" si="16"/>
        <v>160.43790162542663</v>
      </c>
    </row>
    <row r="83" spans="1:13" x14ac:dyDescent="0.15">
      <c r="A83" s="34">
        <v>36434</v>
      </c>
      <c r="B83" t="s">
        <v>6</v>
      </c>
      <c r="C83" s="2">
        <v>94</v>
      </c>
      <c r="D83" s="7">
        <f>SOJA!D83</f>
        <v>1.0013399999999999</v>
      </c>
      <c r="E83" s="2">
        <f>SOJA!E83</f>
        <v>1.0756820108576608</v>
      </c>
      <c r="F83" s="3">
        <f t="shared" si="10"/>
        <v>88.674138355837741</v>
      </c>
      <c r="G83" s="3">
        <f t="shared" si="14"/>
        <v>1.075682010857661</v>
      </c>
      <c r="H83" s="3">
        <f t="shared" si="11"/>
        <v>87.503517814666836</v>
      </c>
      <c r="I83" s="4">
        <f t="shared" si="15"/>
        <v>0</v>
      </c>
      <c r="J83" s="5">
        <f t="shared" si="12"/>
        <v>88.674138355837741</v>
      </c>
      <c r="K83" s="63">
        <f t="shared" si="13"/>
        <v>87.503517814666836</v>
      </c>
      <c r="L83" s="10">
        <f t="shared" si="16"/>
        <v>104.72557704663159</v>
      </c>
      <c r="M83" s="10">
        <f t="shared" si="16"/>
        <v>160.43790162542663</v>
      </c>
    </row>
    <row r="84" spans="1:13" x14ac:dyDescent="0.15">
      <c r="A84" s="34">
        <v>36465</v>
      </c>
      <c r="B84" t="s">
        <v>7</v>
      </c>
      <c r="C84" s="2">
        <v>93</v>
      </c>
      <c r="D84" s="7">
        <f>SOJA!D84</f>
        <v>1.0006636363636363</v>
      </c>
      <c r="E84" s="2">
        <f>SOJA!E84</f>
        <v>1.0722819824766263</v>
      </c>
      <c r="F84" s="3">
        <f t="shared" si="10"/>
        <v>87.949529855125363</v>
      </c>
      <c r="G84" s="3">
        <f t="shared" si="14"/>
        <v>1.0722819824766265</v>
      </c>
      <c r="H84" s="3">
        <f t="shared" si="11"/>
        <v>86.78847514240195</v>
      </c>
      <c r="I84" s="4">
        <f t="shared" si="15"/>
        <v>0</v>
      </c>
      <c r="J84" s="5">
        <f t="shared" si="12"/>
        <v>87.949529855125363</v>
      </c>
      <c r="K84" s="63">
        <f t="shared" si="13"/>
        <v>86.78847514240195</v>
      </c>
      <c r="L84" s="10">
        <f t="shared" ref="L84:M99" si="17">+L83</f>
        <v>104.72557704663159</v>
      </c>
      <c r="M84" s="10">
        <f t="shared" si="17"/>
        <v>160.43790162542663</v>
      </c>
    </row>
    <row r="85" spans="1:13" x14ac:dyDescent="0.15">
      <c r="A85" s="34">
        <v>36495</v>
      </c>
      <c r="B85" s="6" t="s">
        <v>35</v>
      </c>
      <c r="C85" s="2">
        <v>93</v>
      </c>
      <c r="D85" s="7">
        <f>SOJA!D85</f>
        <v>1.0015428571428571</v>
      </c>
      <c r="E85" s="2">
        <f>SOJA!E85</f>
        <v>1.0716149752338795</v>
      </c>
      <c r="F85" s="3">
        <f t="shared" si="10"/>
        <v>88.081596309753834</v>
      </c>
      <c r="G85" s="3">
        <f t="shared" si="14"/>
        <v>1.0716149752338797</v>
      </c>
      <c r="H85" s="3">
        <f t="shared" si="11"/>
        <v>86.918798138255909</v>
      </c>
      <c r="I85" s="4">
        <f t="shared" si="15"/>
        <v>0</v>
      </c>
      <c r="J85" s="5">
        <f t="shared" si="12"/>
        <v>88.081596309753834</v>
      </c>
      <c r="K85" s="63">
        <f t="shared" si="13"/>
        <v>86.918798138255909</v>
      </c>
      <c r="L85" s="10">
        <f t="shared" si="17"/>
        <v>104.72557704663159</v>
      </c>
      <c r="M85" s="10">
        <f t="shared" si="17"/>
        <v>160.43790162542663</v>
      </c>
    </row>
    <row r="86" spans="1:13" x14ac:dyDescent="0.15">
      <c r="A86" s="34">
        <v>36526</v>
      </c>
      <c r="B86" t="s">
        <v>32</v>
      </c>
      <c r="C86" s="2">
        <v>98</v>
      </c>
      <c r="D86" s="7">
        <f>SOJA!D86</f>
        <v>0.99966666666666681</v>
      </c>
      <c r="E86" s="2">
        <f>SOJA!E86</f>
        <v>1.0806726722816566</v>
      </c>
      <c r="F86" s="3">
        <f t="shared" si="10"/>
        <v>91.866798488687579</v>
      </c>
      <c r="G86" s="3">
        <f t="shared" si="14"/>
        <v>1.0806726722816569</v>
      </c>
      <c r="H86" s="3">
        <f t="shared" si="11"/>
        <v>90.654030444289802</v>
      </c>
      <c r="I86" s="4">
        <f t="shared" si="15"/>
        <v>0</v>
      </c>
      <c r="J86" s="5">
        <f t="shared" si="12"/>
        <v>91.866798488687579</v>
      </c>
      <c r="K86" s="63">
        <f t="shared" si="13"/>
        <v>90.654030444289802</v>
      </c>
      <c r="L86" s="10">
        <f t="shared" si="17"/>
        <v>104.72557704663159</v>
      </c>
      <c r="M86" s="10">
        <f t="shared" si="17"/>
        <v>160.43790162542663</v>
      </c>
    </row>
    <row r="87" spans="1:13" x14ac:dyDescent="0.15">
      <c r="A87" s="34">
        <v>36557</v>
      </c>
      <c r="B87" t="s">
        <v>1</v>
      </c>
      <c r="C87" s="2">
        <v>96</v>
      </c>
      <c r="D87" s="7">
        <f>SOJA!D87</f>
        <v>0.99908095238095229</v>
      </c>
      <c r="E87" s="2">
        <f>SOJA!E87</f>
        <v>1.0807168937563107</v>
      </c>
      <c r="F87" s="3">
        <f t="shared" si="10"/>
        <v>89.935558518652314</v>
      </c>
      <c r="G87" s="3">
        <f t="shared" si="14"/>
        <v>1.080716893756311</v>
      </c>
      <c r="H87" s="3">
        <f t="shared" si="11"/>
        <v>88.748285497051199</v>
      </c>
      <c r="I87" s="4">
        <f t="shared" si="15"/>
        <v>0</v>
      </c>
      <c r="J87" s="5">
        <f t="shared" si="12"/>
        <v>89.935558518652314</v>
      </c>
      <c r="K87" s="63">
        <f t="shared" si="13"/>
        <v>88.748285497051199</v>
      </c>
      <c r="L87" s="10">
        <f t="shared" si="17"/>
        <v>104.72557704663159</v>
      </c>
      <c r="M87" s="10">
        <f t="shared" si="17"/>
        <v>160.43790162542663</v>
      </c>
    </row>
    <row r="88" spans="1:13" x14ac:dyDescent="0.15">
      <c r="A88" s="34">
        <v>36586</v>
      </c>
      <c r="B88" t="s">
        <v>2</v>
      </c>
      <c r="C88" s="2">
        <v>90</v>
      </c>
      <c r="D88" s="7">
        <f>SOJA!D88</f>
        <v>0.99908260869565213</v>
      </c>
      <c r="E88" s="2">
        <f>SOJA!E88</f>
        <v>1.0750069633467871</v>
      </c>
      <c r="F88" s="3">
        <f t="shared" si="10"/>
        <v>84.762565983162276</v>
      </c>
      <c r="G88" s="3">
        <f t="shared" si="14"/>
        <v>1.0750069633467874</v>
      </c>
      <c r="H88" s="3">
        <f t="shared" si="11"/>
        <v>83.643583575190434</v>
      </c>
      <c r="I88" s="4">
        <f t="shared" si="15"/>
        <v>0</v>
      </c>
      <c r="J88" s="5">
        <f t="shared" si="12"/>
        <v>84.762565983162276</v>
      </c>
      <c r="K88" s="63">
        <f t="shared" si="13"/>
        <v>83.643583575190434</v>
      </c>
      <c r="L88" s="10">
        <f t="shared" si="17"/>
        <v>104.72557704663159</v>
      </c>
      <c r="M88" s="10">
        <f t="shared" si="17"/>
        <v>160.43790162542663</v>
      </c>
    </row>
    <row r="89" spans="1:13" x14ac:dyDescent="0.15">
      <c r="A89" s="34">
        <v>36617</v>
      </c>
      <c r="B89" t="s">
        <v>3</v>
      </c>
      <c r="C89" s="2">
        <v>89</v>
      </c>
      <c r="D89" s="7">
        <f>SOJA!D89</f>
        <v>0.99903888888888892</v>
      </c>
      <c r="E89" s="2">
        <f>SOJA!E89</f>
        <v>1.0737982430394957</v>
      </c>
      <c r="F89" s="3">
        <f t="shared" si="10"/>
        <v>83.911440357866269</v>
      </c>
      <c r="G89" s="3">
        <f t="shared" si="14"/>
        <v>1.0737982430394959</v>
      </c>
      <c r="H89" s="3">
        <f t="shared" si="11"/>
        <v>82.803693978330244</v>
      </c>
      <c r="I89" s="4">
        <f t="shared" si="15"/>
        <v>0</v>
      </c>
      <c r="J89" s="5">
        <f t="shared" si="12"/>
        <v>83.911440357866269</v>
      </c>
      <c r="K89" s="63">
        <f t="shared" si="13"/>
        <v>82.803693978330244</v>
      </c>
      <c r="L89" s="10">
        <f t="shared" si="17"/>
        <v>104.72557704663159</v>
      </c>
      <c r="M89" s="10">
        <f t="shared" si="17"/>
        <v>160.43790162542663</v>
      </c>
    </row>
    <row r="90" spans="1:13" x14ac:dyDescent="0.15">
      <c r="A90" s="34">
        <v>36647</v>
      </c>
      <c r="B90" t="s">
        <v>2</v>
      </c>
      <c r="C90" s="2">
        <v>91</v>
      </c>
      <c r="D90" s="7">
        <f>SOJA!D90</f>
        <v>0.99982857142857151</v>
      </c>
      <c r="E90" s="2">
        <f>SOJA!E90</f>
        <v>1.0696243388519626</v>
      </c>
      <c r="F90" s="3">
        <f t="shared" si="10"/>
        <v>86.199971684952018</v>
      </c>
      <c r="G90" s="3">
        <f t="shared" si="14"/>
        <v>1.0696243388519628</v>
      </c>
      <c r="H90" s="3">
        <f t="shared" si="11"/>
        <v>85.062013545479303</v>
      </c>
      <c r="I90" s="4">
        <f t="shared" si="15"/>
        <v>0</v>
      </c>
      <c r="J90" s="5">
        <f t="shared" si="12"/>
        <v>86.199971684952018</v>
      </c>
      <c r="K90" s="63">
        <f t="shared" si="13"/>
        <v>85.062013545479303</v>
      </c>
      <c r="L90" s="10">
        <f t="shared" si="17"/>
        <v>104.72557704663159</v>
      </c>
      <c r="M90" s="10">
        <f t="shared" si="17"/>
        <v>160.43790162542663</v>
      </c>
    </row>
    <row r="91" spans="1:13" x14ac:dyDescent="0.15">
      <c r="A91" s="34">
        <v>36678</v>
      </c>
      <c r="B91" t="s">
        <v>4</v>
      </c>
      <c r="C91" s="2">
        <v>84</v>
      </c>
      <c r="D91" s="7">
        <f>SOJA!D91</f>
        <v>0.99959999999999993</v>
      </c>
      <c r="E91" s="2">
        <f>SOJA!E91</f>
        <v>1.0676467679057393</v>
      </c>
      <c r="F91" s="3">
        <f t="shared" si="10"/>
        <v>79.698364288971661</v>
      </c>
      <c r="G91" s="3">
        <f t="shared" si="14"/>
        <v>1.0676467679057395</v>
      </c>
      <c r="H91" s="3">
        <f t="shared" si="11"/>
        <v>78.646236305951362</v>
      </c>
      <c r="I91" s="4">
        <f t="shared" si="15"/>
        <v>0</v>
      </c>
      <c r="J91" s="5">
        <f t="shared" si="12"/>
        <v>79.698364288971661</v>
      </c>
      <c r="K91" s="63">
        <f t="shared" si="13"/>
        <v>78.646236305951362</v>
      </c>
      <c r="L91" s="10">
        <f t="shared" si="17"/>
        <v>104.72557704663159</v>
      </c>
      <c r="M91" s="10">
        <f t="shared" si="17"/>
        <v>160.43790162542663</v>
      </c>
    </row>
    <row r="92" spans="1:13" x14ac:dyDescent="0.15">
      <c r="A92" s="34">
        <v>36708</v>
      </c>
      <c r="B92" t="s">
        <v>4</v>
      </c>
      <c r="C92" s="2">
        <v>79</v>
      </c>
      <c r="D92" s="7">
        <f>SOJA!D92</f>
        <v>0.9984571428571426</v>
      </c>
      <c r="E92" s="2">
        <f>SOJA!E92</f>
        <v>1.0722836575324839</v>
      </c>
      <c r="F92" s="3">
        <f t="shared" si="10"/>
        <v>74.544961836180946</v>
      </c>
      <c r="G92" s="3">
        <f t="shared" si="14"/>
        <v>1.0722836575324841</v>
      </c>
      <c r="H92" s="3">
        <f t="shared" si="11"/>
        <v>73.560865850764586</v>
      </c>
      <c r="I92" s="4">
        <f t="shared" si="15"/>
        <v>0</v>
      </c>
      <c r="J92" s="5">
        <f t="shared" si="12"/>
        <v>74.544961836180946</v>
      </c>
      <c r="K92" s="63">
        <f t="shared" si="13"/>
        <v>73.560865850764586</v>
      </c>
      <c r="L92" s="10">
        <f t="shared" si="17"/>
        <v>104.72557704663159</v>
      </c>
      <c r="M92" s="10">
        <f t="shared" si="17"/>
        <v>160.43790162542663</v>
      </c>
    </row>
    <row r="93" spans="1:13" x14ac:dyDescent="0.15">
      <c r="A93" s="34">
        <v>36739</v>
      </c>
      <c r="B93" t="s">
        <v>3</v>
      </c>
      <c r="C93" s="2">
        <v>78</v>
      </c>
      <c r="D93" s="7">
        <f>SOJA!D93</f>
        <v>0.99904090909090904</v>
      </c>
      <c r="E93" s="2">
        <f>SOJA!E93</f>
        <v>1.0699767706045338</v>
      </c>
      <c r="F93" s="3">
        <f t="shared" si="10"/>
        <v>73.803165572185137</v>
      </c>
      <c r="G93" s="3">
        <f t="shared" si="14"/>
        <v>1.069976770604534</v>
      </c>
      <c r="H93" s="3">
        <f t="shared" si="11"/>
        <v>72.828862317322432</v>
      </c>
      <c r="I93" s="4">
        <f t="shared" si="15"/>
        <v>0</v>
      </c>
      <c r="J93" s="5">
        <f t="shared" si="12"/>
        <v>73.803165572185137</v>
      </c>
      <c r="K93" s="63">
        <f t="shared" si="13"/>
        <v>72.828862317322432</v>
      </c>
      <c r="L93" s="10">
        <f t="shared" si="17"/>
        <v>104.72557704663159</v>
      </c>
      <c r="M93" s="10">
        <f t="shared" si="17"/>
        <v>160.43790162542663</v>
      </c>
    </row>
    <row r="94" spans="1:13" x14ac:dyDescent="0.15">
      <c r="A94" s="34">
        <v>36770</v>
      </c>
      <c r="B94" t="s">
        <v>5</v>
      </c>
      <c r="C94" s="2">
        <v>78</v>
      </c>
      <c r="D94" s="7">
        <f>SOJA!D94</f>
        <v>0.99883333333333335</v>
      </c>
      <c r="E94" s="2">
        <f>SOJA!E94</f>
        <v>1.0683335408076131</v>
      </c>
      <c r="F94" s="3">
        <f t="shared" si="10"/>
        <v>73.90132597432374</v>
      </c>
      <c r="G94" s="3">
        <f t="shared" si="14"/>
        <v>1.0683335408076133</v>
      </c>
      <c r="H94" s="3">
        <f t="shared" si="11"/>
        <v>72.925726867195635</v>
      </c>
      <c r="I94" s="4">
        <f t="shared" si="15"/>
        <v>0</v>
      </c>
      <c r="J94" s="5">
        <f t="shared" si="12"/>
        <v>73.90132597432374</v>
      </c>
      <c r="K94" s="63">
        <f t="shared" si="13"/>
        <v>72.925726867195635</v>
      </c>
      <c r="L94" s="10">
        <f t="shared" si="17"/>
        <v>104.72557704663159</v>
      </c>
      <c r="M94" s="10">
        <f t="shared" si="17"/>
        <v>160.43790162542663</v>
      </c>
    </row>
    <row r="95" spans="1:13" x14ac:dyDescent="0.15">
      <c r="A95" s="34">
        <v>36800</v>
      </c>
      <c r="B95" t="s">
        <v>6</v>
      </c>
      <c r="C95" s="2">
        <v>82</v>
      </c>
      <c r="D95" s="7">
        <f>SOJA!D95</f>
        <v>0.99912857142857125</v>
      </c>
      <c r="E95" s="2">
        <f>SOJA!E95</f>
        <v>1.0702983813293132</v>
      </c>
      <c r="F95" s="3">
        <f t="shared" si="10"/>
        <v>77.571435151631661</v>
      </c>
      <c r="G95" s="3">
        <f t="shared" si="14"/>
        <v>1.0702983813293134</v>
      </c>
      <c r="H95" s="3">
        <f t="shared" si="11"/>
        <v>76.547385557462377</v>
      </c>
      <c r="I95" s="4">
        <f t="shared" si="15"/>
        <v>0</v>
      </c>
      <c r="J95" s="5">
        <f t="shared" si="12"/>
        <v>77.571435151631661</v>
      </c>
      <c r="K95" s="63">
        <f t="shared" si="13"/>
        <v>76.547385557462377</v>
      </c>
      <c r="L95" s="10">
        <f t="shared" si="17"/>
        <v>104.72557704663159</v>
      </c>
      <c r="M95" s="10">
        <f t="shared" si="17"/>
        <v>160.43790162542663</v>
      </c>
    </row>
    <row r="96" spans="1:13" x14ac:dyDescent="0.15">
      <c r="A96" s="34">
        <v>36831</v>
      </c>
      <c r="B96" t="s">
        <v>7</v>
      </c>
      <c r="C96" s="2">
        <v>84</v>
      </c>
      <c r="D96" s="7">
        <f>SOJA!D96</f>
        <v>0.99982272727272725</v>
      </c>
      <c r="E96" s="2">
        <f>SOJA!E96</f>
        <v>1.065040248114441</v>
      </c>
      <c r="F96" s="3">
        <f t="shared" si="10"/>
        <v>79.911215160154143</v>
      </c>
      <c r="G96" s="3">
        <f t="shared" si="14"/>
        <v>1.0650402481144412</v>
      </c>
      <c r="H96" s="3">
        <f t="shared" si="11"/>
        <v>78.856277252993252</v>
      </c>
      <c r="I96" s="4">
        <f t="shared" si="15"/>
        <v>0</v>
      </c>
      <c r="J96" s="5">
        <f t="shared" si="12"/>
        <v>79.911215160154143</v>
      </c>
      <c r="K96" s="63">
        <f t="shared" si="13"/>
        <v>78.856277252993252</v>
      </c>
      <c r="L96" s="10">
        <f t="shared" si="17"/>
        <v>104.72557704663159</v>
      </c>
      <c r="M96" s="10">
        <f t="shared" si="17"/>
        <v>160.43790162542663</v>
      </c>
    </row>
    <row r="97" spans="1:13" x14ac:dyDescent="0.15">
      <c r="A97" s="34">
        <v>36861</v>
      </c>
      <c r="B97" t="s">
        <v>33</v>
      </c>
      <c r="C97" s="2">
        <v>94</v>
      </c>
      <c r="D97" s="7">
        <f>SOJA!D97</f>
        <v>1.0004277777777777</v>
      </c>
      <c r="E97" s="2">
        <f>SOJA!E97</f>
        <v>1.0637525420210028</v>
      </c>
      <c r="F97" s="3">
        <f t="shared" si="10"/>
        <v>89.586887605070118</v>
      </c>
      <c r="G97" s="3">
        <f t="shared" si="14"/>
        <v>1.063752542021003</v>
      </c>
      <c r="H97" s="3">
        <f t="shared" si="11"/>
        <v>88.404217518903337</v>
      </c>
      <c r="I97" s="4">
        <f t="shared" si="15"/>
        <v>0</v>
      </c>
      <c r="J97" s="5">
        <f t="shared" si="12"/>
        <v>89.586887605070118</v>
      </c>
      <c r="K97" s="63">
        <f t="shared" si="13"/>
        <v>88.404217518903337</v>
      </c>
      <c r="L97" s="10">
        <f t="shared" si="17"/>
        <v>104.72557704663159</v>
      </c>
      <c r="M97" s="10">
        <f t="shared" si="17"/>
        <v>160.43790162542663</v>
      </c>
    </row>
    <row r="98" spans="1:13" x14ac:dyDescent="0.15">
      <c r="A98" s="34">
        <v>36892</v>
      </c>
      <c r="B98" t="s">
        <v>0</v>
      </c>
      <c r="C98" s="9">
        <v>91</v>
      </c>
      <c r="D98" s="7">
        <f>SOJA!D98</f>
        <v>0.99966818181818196</v>
      </c>
      <c r="E98" s="2">
        <f>SOJA!E98</f>
        <v>1.0646110127499615</v>
      </c>
      <c r="F98" s="3">
        <f t="shared" si="10"/>
        <v>86.59200018245842</v>
      </c>
      <c r="G98" s="3">
        <f t="shared" si="14"/>
        <v>1.0646110127499617</v>
      </c>
      <c r="H98" s="3">
        <f t="shared" si="11"/>
        <v>85.44886672783278</v>
      </c>
      <c r="I98" s="4">
        <f t="shared" si="15"/>
        <v>0</v>
      </c>
      <c r="J98" s="5">
        <f t="shared" si="12"/>
        <v>86.59200018245842</v>
      </c>
      <c r="K98" s="63">
        <f t="shared" si="13"/>
        <v>85.44886672783278</v>
      </c>
      <c r="L98" s="10">
        <f t="shared" si="17"/>
        <v>104.72557704663159</v>
      </c>
      <c r="M98" s="10">
        <f t="shared" si="17"/>
        <v>160.43790162542663</v>
      </c>
    </row>
    <row r="99" spans="1:13" x14ac:dyDescent="0.15">
      <c r="A99" s="34">
        <v>36923</v>
      </c>
      <c r="B99" t="s">
        <v>1</v>
      </c>
      <c r="C99" s="9">
        <v>86</v>
      </c>
      <c r="D99" s="7">
        <f>SOJA!D99</f>
        <v>0.99899000000000027</v>
      </c>
      <c r="E99" s="2">
        <f>SOJA!E99</f>
        <v>1.0622502182453251</v>
      </c>
      <c r="F99" s="3">
        <f t="shared" si="10"/>
        <v>81.9604298488251</v>
      </c>
      <c r="G99" s="3">
        <f t="shared" si="14"/>
        <v>1.0622502182453253</v>
      </c>
      <c r="H99" s="3">
        <f t="shared" si="11"/>
        <v>80.878439490382391</v>
      </c>
      <c r="I99" s="4">
        <f t="shared" si="15"/>
        <v>0</v>
      </c>
      <c r="J99" s="5">
        <f t="shared" si="12"/>
        <v>81.9604298488251</v>
      </c>
      <c r="K99" s="63">
        <f t="shared" si="13"/>
        <v>80.878439490382391</v>
      </c>
      <c r="L99" s="10">
        <f t="shared" si="17"/>
        <v>104.72557704663159</v>
      </c>
      <c r="M99" s="10">
        <f t="shared" si="17"/>
        <v>160.43790162542663</v>
      </c>
    </row>
    <row r="100" spans="1:13" x14ac:dyDescent="0.15">
      <c r="A100" s="34">
        <v>36951</v>
      </c>
      <c r="B100" t="s">
        <v>2</v>
      </c>
      <c r="C100" s="9">
        <v>84</v>
      </c>
      <c r="D100" s="7">
        <f>SOJA!D100</f>
        <v>1.0034999999999998</v>
      </c>
      <c r="E100" s="2">
        <f>SOJA!E100</f>
        <v>1.0642890862266021</v>
      </c>
      <c r="F100" s="3">
        <f t="shared" si="10"/>
        <v>80.261730363564098</v>
      </c>
      <c r="G100" s="3">
        <f t="shared" si="14"/>
        <v>1.0642890862266023</v>
      </c>
      <c r="H100" s="3">
        <f t="shared" si="11"/>
        <v>79.202165173807472</v>
      </c>
      <c r="I100" s="4">
        <f t="shared" si="15"/>
        <v>0</v>
      </c>
      <c r="J100" s="5">
        <f t="shared" si="12"/>
        <v>80.261730363564098</v>
      </c>
      <c r="K100" s="63">
        <f t="shared" si="13"/>
        <v>79.202165173807472</v>
      </c>
      <c r="L100" s="10">
        <f t="shared" ref="L100:M115" si="18">+L99</f>
        <v>104.72557704663159</v>
      </c>
      <c r="M100" s="10">
        <f t="shared" si="18"/>
        <v>160.43790162542663</v>
      </c>
    </row>
    <row r="101" spans="1:13" x14ac:dyDescent="0.15">
      <c r="A101" s="34">
        <v>36982</v>
      </c>
      <c r="B101" t="s">
        <v>3</v>
      </c>
      <c r="C101" s="9">
        <v>80</v>
      </c>
      <c r="D101" s="7">
        <f>SOJA!D101</f>
        <v>1.0000222222222221</v>
      </c>
      <c r="E101" s="2">
        <f>SOJA!E101</f>
        <v>1.0713714697405117</v>
      </c>
      <c r="F101" s="3">
        <f t="shared" si="10"/>
        <v>75.671270386446679</v>
      </c>
      <c r="G101" s="3">
        <f t="shared" si="14"/>
        <v>1.0713714697405119</v>
      </c>
      <c r="H101" s="3">
        <f t="shared" si="11"/>
        <v>74.672305579645823</v>
      </c>
      <c r="I101" s="4">
        <f t="shared" si="15"/>
        <v>0</v>
      </c>
      <c r="J101" s="5">
        <f t="shared" si="12"/>
        <v>75.671270386446679</v>
      </c>
      <c r="K101" s="63">
        <f t="shared" si="13"/>
        <v>74.672305579645823</v>
      </c>
      <c r="L101" s="10">
        <f t="shared" si="18"/>
        <v>104.72557704663159</v>
      </c>
      <c r="M101" s="10">
        <f t="shared" si="18"/>
        <v>160.43790162542663</v>
      </c>
    </row>
    <row r="102" spans="1:13" x14ac:dyDescent="0.15">
      <c r="A102" s="34">
        <v>37012</v>
      </c>
      <c r="B102" t="s">
        <v>2</v>
      </c>
      <c r="C102" s="9">
        <v>82</v>
      </c>
      <c r="D102" s="7">
        <f>SOJA!D102</f>
        <v>0.99949523809523821</v>
      </c>
      <c r="E102" s="2">
        <f>SOJA!E102</f>
        <v>1.0720153227872309</v>
      </c>
      <c r="F102" s="3">
        <f t="shared" si="10"/>
        <v>77.475618690087131</v>
      </c>
      <c r="G102" s="3">
        <f t="shared" si="14"/>
        <v>1.0720153227872311</v>
      </c>
      <c r="H102" s="3">
        <f t="shared" si="11"/>
        <v>76.452834004944833</v>
      </c>
      <c r="I102" s="4">
        <f t="shared" si="15"/>
        <v>0</v>
      </c>
      <c r="J102" s="5">
        <f t="shared" si="12"/>
        <v>77.475618690087131</v>
      </c>
      <c r="K102" s="63">
        <f t="shared" si="13"/>
        <v>76.452834004944833</v>
      </c>
      <c r="L102" s="10">
        <f t="shared" si="18"/>
        <v>104.72557704663159</v>
      </c>
      <c r="M102" s="10">
        <f t="shared" si="18"/>
        <v>160.43790162542663</v>
      </c>
    </row>
    <row r="103" spans="1:13" x14ac:dyDescent="0.15">
      <c r="A103" s="34">
        <v>37043</v>
      </c>
      <c r="B103" t="s">
        <v>4</v>
      </c>
      <c r="C103" s="9">
        <v>82</v>
      </c>
      <c r="D103" s="7">
        <f>SOJA!D103</f>
        <v>0.99988999999999995</v>
      </c>
      <c r="E103" s="2">
        <f>SOJA!E103</f>
        <v>1.0642890862266021</v>
      </c>
      <c r="F103" s="3">
        <f t="shared" si="10"/>
        <v>78.068877132469424</v>
      </c>
      <c r="G103" s="3">
        <f t="shared" si="14"/>
        <v>1.0642890862266023</v>
      </c>
      <c r="H103" s="3">
        <f t="shared" si="11"/>
        <v>77.038260620238049</v>
      </c>
      <c r="I103" s="4">
        <f t="shared" si="15"/>
        <v>0</v>
      </c>
      <c r="J103" s="5">
        <f t="shared" si="12"/>
        <v>78.068877132469424</v>
      </c>
      <c r="K103" s="63">
        <f t="shared" si="13"/>
        <v>77.038260620238049</v>
      </c>
      <c r="L103" s="10">
        <f t="shared" si="18"/>
        <v>104.72557704663159</v>
      </c>
      <c r="M103" s="10">
        <f t="shared" si="18"/>
        <v>160.43790162542663</v>
      </c>
    </row>
    <row r="104" spans="1:13" x14ac:dyDescent="0.15">
      <c r="A104" s="34">
        <v>37073</v>
      </c>
      <c r="B104" t="s">
        <v>4</v>
      </c>
      <c r="C104" s="9">
        <v>88</v>
      </c>
      <c r="D104" s="7">
        <f>SOJA!D104</f>
        <v>1.0063952380952383</v>
      </c>
      <c r="E104" s="2">
        <f>SOJA!E104</f>
        <v>1.060855203310767</v>
      </c>
      <c r="F104" s="3">
        <f t="shared" si="10"/>
        <v>84.599266721148865</v>
      </c>
      <c r="G104" s="3">
        <f t="shared" si="14"/>
        <v>1.0608552033107672</v>
      </c>
      <c r="H104" s="3">
        <f t="shared" si="11"/>
        <v>83.48244008794984</v>
      </c>
      <c r="I104" s="4">
        <f t="shared" si="15"/>
        <v>0</v>
      </c>
      <c r="J104" s="5">
        <f t="shared" si="12"/>
        <v>84.599266721148865</v>
      </c>
      <c r="K104" s="63">
        <f t="shared" si="13"/>
        <v>83.48244008794984</v>
      </c>
      <c r="L104" s="10">
        <f t="shared" si="18"/>
        <v>104.72557704663159</v>
      </c>
      <c r="M104" s="10">
        <f t="shared" si="18"/>
        <v>160.43790162542663</v>
      </c>
    </row>
    <row r="105" spans="1:13" x14ac:dyDescent="0.15">
      <c r="A105" s="34">
        <v>37104</v>
      </c>
      <c r="B105" t="s">
        <v>3</v>
      </c>
      <c r="C105" s="9">
        <v>90</v>
      </c>
      <c r="D105" s="7">
        <f>SOJA!D105</f>
        <v>1.0005391304347824</v>
      </c>
      <c r="E105" s="2">
        <f>SOJA!E105</f>
        <v>1.0570993938715727</v>
      </c>
      <c r="F105" s="3">
        <f t="shared" si="10"/>
        <v>86.32413359388994</v>
      </c>
      <c r="G105" s="3">
        <f t="shared" si="14"/>
        <v>1.0570993938715729</v>
      </c>
      <c r="H105" s="3">
        <f t="shared" si="11"/>
        <v>85.184536346513511</v>
      </c>
      <c r="I105" s="4">
        <f t="shared" si="15"/>
        <v>0</v>
      </c>
      <c r="J105" s="5">
        <f t="shared" si="12"/>
        <v>86.32413359388994</v>
      </c>
      <c r="K105" s="63">
        <f t="shared" si="13"/>
        <v>85.184536346513511</v>
      </c>
      <c r="L105" s="10">
        <f t="shared" si="18"/>
        <v>104.72557704663159</v>
      </c>
      <c r="M105" s="10">
        <f t="shared" si="18"/>
        <v>160.43790162542663</v>
      </c>
    </row>
    <row r="106" spans="1:13" x14ac:dyDescent="0.15">
      <c r="A106" s="34">
        <v>37135</v>
      </c>
      <c r="B106" t="s">
        <v>5</v>
      </c>
      <c r="C106" s="9">
        <v>89</v>
      </c>
      <c r="D106" s="7">
        <f>SOJA!D106</f>
        <v>0.99980499999999972</v>
      </c>
      <c r="E106" s="2">
        <f>SOJA!E106</f>
        <v>1.056240923142614</v>
      </c>
      <c r="F106" s="3">
        <f t="shared" si="10"/>
        <v>85.371671654862539</v>
      </c>
      <c r="G106" s="3">
        <f t="shared" si="14"/>
        <v>1.0562409231426142</v>
      </c>
      <c r="H106" s="3">
        <f t="shared" si="11"/>
        <v>84.244648214586832</v>
      </c>
      <c r="I106" s="4">
        <f t="shared" si="15"/>
        <v>0</v>
      </c>
      <c r="J106" s="5">
        <f t="shared" si="12"/>
        <v>85.371671654862539</v>
      </c>
      <c r="K106" s="63">
        <f t="shared" si="13"/>
        <v>84.244648214586832</v>
      </c>
      <c r="L106" s="10">
        <f t="shared" si="18"/>
        <v>104.72557704663159</v>
      </c>
      <c r="M106" s="10">
        <f t="shared" si="18"/>
        <v>160.43790162542663</v>
      </c>
    </row>
    <row r="107" spans="1:13" x14ac:dyDescent="0.15">
      <c r="A107" s="34">
        <v>37165</v>
      </c>
      <c r="B107" t="s">
        <v>6</v>
      </c>
      <c r="C107" s="9">
        <v>88</v>
      </c>
      <c r="D107" s="7">
        <f>SOJA!D107</f>
        <v>1.002413043478261</v>
      </c>
      <c r="E107" s="2">
        <f>SOJA!E107</f>
        <v>1.0516266429744605</v>
      </c>
      <c r="F107" s="3">
        <f t="shared" si="10"/>
        <v>85.003980909037736</v>
      </c>
      <c r="G107" s="3">
        <f t="shared" si="14"/>
        <v>1.0516266429744607</v>
      </c>
      <c r="H107" s="3">
        <f t="shared" si="11"/>
        <v>83.881811492131675</v>
      </c>
      <c r="I107" s="4">
        <f t="shared" si="15"/>
        <v>0</v>
      </c>
      <c r="J107" s="5">
        <f t="shared" si="12"/>
        <v>85.003980909037736</v>
      </c>
      <c r="K107" s="63">
        <f t="shared" si="13"/>
        <v>83.881811492131675</v>
      </c>
      <c r="L107" s="10">
        <f t="shared" si="18"/>
        <v>104.72557704663159</v>
      </c>
      <c r="M107" s="10">
        <f t="shared" si="18"/>
        <v>160.43790162542663</v>
      </c>
    </row>
    <row r="108" spans="1:13" x14ac:dyDescent="0.15">
      <c r="A108" s="34">
        <v>37196</v>
      </c>
      <c r="B108" t="s">
        <v>7</v>
      </c>
      <c r="C108" s="9">
        <v>93</v>
      </c>
      <c r="D108" s="7">
        <f>SOJA!D108</f>
        <v>1.0039409090909091</v>
      </c>
      <c r="E108" s="2">
        <f>SOJA!E108</f>
        <v>1.0481927600586256</v>
      </c>
      <c r="F108" s="3">
        <f t="shared" si="10"/>
        <v>90.265420280105133</v>
      </c>
      <c r="G108" s="3">
        <f t="shared" si="14"/>
        <v>1.0481927600586258</v>
      </c>
      <c r="H108" s="3">
        <f t="shared" si="11"/>
        <v>89.073792629737795</v>
      </c>
      <c r="I108" s="4">
        <f t="shared" si="15"/>
        <v>0</v>
      </c>
      <c r="J108" s="5">
        <f t="shared" si="12"/>
        <v>90.265420280105133</v>
      </c>
      <c r="K108" s="63">
        <f t="shared" si="13"/>
        <v>89.073792629737795</v>
      </c>
      <c r="L108" s="10">
        <f t="shared" si="18"/>
        <v>104.72557704663159</v>
      </c>
      <c r="M108" s="10">
        <f t="shared" si="18"/>
        <v>160.43790162542663</v>
      </c>
    </row>
    <row r="109" spans="1:13" x14ac:dyDescent="0.15">
      <c r="A109" s="34">
        <v>37226</v>
      </c>
      <c r="B109" t="s">
        <v>20</v>
      </c>
      <c r="C109" s="9">
        <v>98</v>
      </c>
      <c r="D109" s="7">
        <f>SOJA!D109</f>
        <v>1.0546000375187596</v>
      </c>
      <c r="E109" s="2">
        <f>SOJA!E109</f>
        <v>1.0473342893296669</v>
      </c>
      <c r="F109" s="3">
        <f>+(C109*(D109/E109))/(AVERAGE(C$109)*AVERAGE(D$109)/AVERAGE(E$109))*100</f>
        <v>100</v>
      </c>
      <c r="G109" s="3">
        <f t="shared" si="14"/>
        <v>1.0473342893296671</v>
      </c>
      <c r="H109" s="3">
        <f t="shared" si="11"/>
        <v>98.679862513607574</v>
      </c>
      <c r="I109" s="4">
        <f t="shared" si="15"/>
        <v>0</v>
      </c>
      <c r="J109" s="5">
        <f>+F109*(1-I109)/(F$109*(1-I$109))*100</f>
        <v>100</v>
      </c>
      <c r="K109" s="63">
        <f t="shared" si="13"/>
        <v>98.679862513607574</v>
      </c>
      <c r="L109" s="10">
        <f t="shared" si="18"/>
        <v>104.72557704663159</v>
      </c>
      <c r="M109" s="10">
        <f t="shared" si="18"/>
        <v>160.43790162542663</v>
      </c>
    </row>
    <row r="110" spans="1:13" x14ac:dyDescent="0.15">
      <c r="A110" s="34">
        <v>37257</v>
      </c>
      <c r="B110" t="s">
        <v>8</v>
      </c>
      <c r="C110" s="9">
        <v>100</v>
      </c>
      <c r="D110" s="7">
        <f>SOJA!D110</f>
        <v>1.6072727272727272</v>
      </c>
      <c r="E110" s="2">
        <f>SOJA!E110</f>
        <v>1.0713714697405117</v>
      </c>
      <c r="F110" s="3">
        <f t="shared" ref="F110:F173" si="19">+(C110*(D110/E110))/(AVERAGE(C$109)*AVERAGE(D$109)/AVERAGE(E$109))*100</f>
        <v>152.02708303314719</v>
      </c>
      <c r="G110" s="3">
        <f t="shared" si="14"/>
        <v>1.0713714697405119</v>
      </c>
      <c r="H110" s="3">
        <f t="shared" si="11"/>
        <v>150.02011652055768</v>
      </c>
      <c r="I110" s="4">
        <f t="shared" si="15"/>
        <v>0</v>
      </c>
      <c r="J110" s="5">
        <f t="shared" ref="J110:J173" si="20">+F110*(1-I110)/(F$109*(1-I$109))*100</f>
        <v>152.02708303314719</v>
      </c>
      <c r="K110" s="63">
        <f t="shared" si="13"/>
        <v>150.02011652055768</v>
      </c>
      <c r="L110" s="10">
        <f t="shared" si="18"/>
        <v>104.72557704663159</v>
      </c>
      <c r="M110" s="10">
        <f t="shared" si="18"/>
        <v>160.43790162542663</v>
      </c>
    </row>
    <row r="111" spans="1:13" x14ac:dyDescent="0.15">
      <c r="A111" s="34">
        <v>37288</v>
      </c>
      <c r="B111" t="s">
        <v>1</v>
      </c>
      <c r="C111" s="9">
        <v>96</v>
      </c>
      <c r="D111" s="7">
        <f>SOJA!D111</f>
        <v>2.1280000000000006</v>
      </c>
      <c r="E111" s="2">
        <f>SOJA!E111</f>
        <v>1.1049591370110226</v>
      </c>
      <c r="F111" s="3">
        <f t="shared" si="19"/>
        <v>187.35621470583331</v>
      </c>
      <c r="G111" s="3">
        <f t="shared" si="14"/>
        <v>1.1049591370110228</v>
      </c>
      <c r="H111" s="3">
        <f t="shared" si="11"/>
        <v>184.88285508241572</v>
      </c>
      <c r="I111" s="4">
        <f t="shared" si="15"/>
        <v>0</v>
      </c>
      <c r="J111" s="5">
        <f t="shared" si="20"/>
        <v>187.35621470583331</v>
      </c>
      <c r="K111" s="63">
        <f t="shared" si="13"/>
        <v>184.88285508241572</v>
      </c>
      <c r="L111" s="10">
        <f t="shared" si="18"/>
        <v>104.72557704663159</v>
      </c>
      <c r="M111" s="10">
        <f t="shared" si="18"/>
        <v>160.43790162542663</v>
      </c>
    </row>
    <row r="112" spans="1:13" x14ac:dyDescent="0.15">
      <c r="A112" s="34">
        <v>37316</v>
      </c>
      <c r="B112" t="s">
        <v>2</v>
      </c>
      <c r="C112" s="9">
        <v>86</v>
      </c>
      <c r="D112" s="7">
        <f>SOJA!D112</f>
        <v>2.5452631578947367</v>
      </c>
      <c r="E112" s="2">
        <f>SOJA!E112</f>
        <v>1.1487411441879183</v>
      </c>
      <c r="F112" s="3">
        <f t="shared" si="19"/>
        <v>193.09918037132155</v>
      </c>
      <c r="G112" s="3">
        <f t="shared" si="14"/>
        <v>1.1487411441879185</v>
      </c>
      <c r="H112" s="3">
        <f t="shared" si="11"/>
        <v>190.55000570532317</v>
      </c>
      <c r="I112" s="4">
        <v>0</v>
      </c>
      <c r="J112" s="5">
        <f t="shared" si="20"/>
        <v>193.09918037132155</v>
      </c>
      <c r="K112" s="63">
        <f t="shared" si="13"/>
        <v>190.55000570532317</v>
      </c>
      <c r="L112" s="10">
        <f t="shared" si="18"/>
        <v>104.72557704663159</v>
      </c>
      <c r="M112" s="10">
        <f t="shared" si="18"/>
        <v>160.43790162542663</v>
      </c>
    </row>
    <row r="113" spans="1:13" x14ac:dyDescent="0.15">
      <c r="A113" s="34">
        <v>37347</v>
      </c>
      <c r="B113" t="s">
        <v>3</v>
      </c>
      <c r="C113" s="9">
        <v>87</v>
      </c>
      <c r="D113" s="7">
        <f>SOJA!D113</f>
        <v>3.0331818181818182</v>
      </c>
      <c r="E113" s="2">
        <f>SOJA!E113</f>
        <v>1.2680685755131837</v>
      </c>
      <c r="F113" s="3">
        <f t="shared" si="19"/>
        <v>210.88535479468158</v>
      </c>
      <c r="G113" s="3">
        <f t="shared" si="14"/>
        <v>1.268068575513184</v>
      </c>
      <c r="H113" s="3">
        <f t="shared" si="11"/>
        <v>208.1013781727253</v>
      </c>
      <c r="I113" s="4">
        <v>0.2</v>
      </c>
      <c r="J113" s="5">
        <f t="shared" si="20"/>
        <v>168.70828383574528</v>
      </c>
      <c r="K113" s="63">
        <f t="shared" si="13"/>
        <v>166.48110253818027</v>
      </c>
      <c r="L113" s="10">
        <f t="shared" si="18"/>
        <v>104.72557704663159</v>
      </c>
      <c r="M113" s="10">
        <f t="shared" si="18"/>
        <v>160.43790162542663</v>
      </c>
    </row>
    <row r="114" spans="1:13" x14ac:dyDescent="0.15">
      <c r="A114" s="34">
        <v>37377</v>
      </c>
      <c r="B114" t="s">
        <v>2</v>
      </c>
      <c r="C114" s="9">
        <v>89</v>
      </c>
      <c r="D114" s="7">
        <f>SOJA!D114</f>
        <v>3.4422727272727283</v>
      </c>
      <c r="E114" s="2">
        <f>SOJA!E114</f>
        <v>1.3189329662039893</v>
      </c>
      <c r="F114" s="3">
        <f t="shared" si="19"/>
        <v>235.38783990143065</v>
      </c>
      <c r="G114" s="3">
        <f t="shared" si="14"/>
        <v>1.3189329662039895</v>
      </c>
      <c r="H114" s="3">
        <f t="shared" si="11"/>
        <v>232.28039678848245</v>
      </c>
      <c r="I114" s="4">
        <f>+I113</f>
        <v>0.2</v>
      </c>
      <c r="J114" s="5">
        <f t="shared" si="20"/>
        <v>188.31027192114453</v>
      </c>
      <c r="K114" s="63">
        <f t="shared" si="13"/>
        <v>185.82431743078598</v>
      </c>
      <c r="L114" s="10">
        <f t="shared" si="18"/>
        <v>104.72557704663159</v>
      </c>
      <c r="M114" s="10">
        <f t="shared" si="18"/>
        <v>160.43790162542663</v>
      </c>
    </row>
    <row r="115" spans="1:13" x14ac:dyDescent="0.15">
      <c r="A115" s="34">
        <v>37408</v>
      </c>
      <c r="B115" t="s">
        <v>4</v>
      </c>
      <c r="C115" s="9">
        <v>93</v>
      </c>
      <c r="D115" s="7">
        <f>SOJA!D115</f>
        <v>3.7165000000000008</v>
      </c>
      <c r="E115" s="2">
        <f>SOJA!E115</f>
        <v>1.3666854005023195</v>
      </c>
      <c r="F115" s="3">
        <f t="shared" si="19"/>
        <v>256.28311549075835</v>
      </c>
      <c r="G115" s="3">
        <f t="shared" si="14"/>
        <v>1.3666854005023197</v>
      </c>
      <c r="H115" s="3">
        <f t="shared" si="11"/>
        <v>252.8998260118704</v>
      </c>
      <c r="I115" s="4">
        <f t="shared" ref="I115:I178" si="21">+I114</f>
        <v>0.2</v>
      </c>
      <c r="J115" s="5">
        <f t="shared" si="20"/>
        <v>205.02649239260666</v>
      </c>
      <c r="K115" s="63">
        <f t="shared" si="13"/>
        <v>202.31986080949633</v>
      </c>
      <c r="L115" s="10">
        <f t="shared" si="18"/>
        <v>104.72557704663159</v>
      </c>
      <c r="M115" s="10">
        <f t="shared" si="18"/>
        <v>160.43790162542663</v>
      </c>
    </row>
    <row r="116" spans="1:13" x14ac:dyDescent="0.15">
      <c r="A116" s="34">
        <v>37438</v>
      </c>
      <c r="B116" t="s">
        <v>4</v>
      </c>
      <c r="C116" s="9">
        <v>98</v>
      </c>
      <c r="D116" s="7">
        <f>SOJA!D116</f>
        <v>3.6730434782608699</v>
      </c>
      <c r="E116" s="2">
        <f>SOJA!E116</f>
        <v>1.4102527899969755</v>
      </c>
      <c r="F116" s="3">
        <f t="shared" si="19"/>
        <v>258.65843259979681</v>
      </c>
      <c r="G116" s="3">
        <f t="shared" si="14"/>
        <v>1.4102527899969757</v>
      </c>
      <c r="H116" s="3">
        <f t="shared" si="11"/>
        <v>255.2437856693318</v>
      </c>
      <c r="I116" s="4">
        <f t="shared" si="21"/>
        <v>0.2</v>
      </c>
      <c r="J116" s="5">
        <f t="shared" si="20"/>
        <v>206.92674607983744</v>
      </c>
      <c r="K116" s="63">
        <f t="shared" si="13"/>
        <v>204.19502853546544</v>
      </c>
      <c r="L116" s="10">
        <f t="shared" ref="L116:M131" si="22">+L115</f>
        <v>104.72557704663159</v>
      </c>
      <c r="M116" s="10">
        <f t="shared" si="22"/>
        <v>160.43790162542663</v>
      </c>
    </row>
    <row r="117" spans="1:13" x14ac:dyDescent="0.15">
      <c r="A117" s="34">
        <v>37469</v>
      </c>
      <c r="B117" t="s">
        <v>3</v>
      </c>
      <c r="C117" s="9">
        <v>105</v>
      </c>
      <c r="D117" s="7">
        <f>SOJA!D117</f>
        <v>3.6519047619047624</v>
      </c>
      <c r="E117" s="2">
        <f>SOJA!E117</f>
        <v>1.4433039130618872</v>
      </c>
      <c r="F117" s="3">
        <f t="shared" si="19"/>
        <v>269.22935905728269</v>
      </c>
      <c r="G117" s="3">
        <f t="shared" si="14"/>
        <v>1.4433039130618874</v>
      </c>
      <c r="H117" s="3">
        <f t="shared" si="11"/>
        <v>265.67516136399342</v>
      </c>
      <c r="I117" s="4">
        <f t="shared" si="21"/>
        <v>0.2</v>
      </c>
      <c r="J117" s="5">
        <f t="shared" si="20"/>
        <v>215.38348724582613</v>
      </c>
      <c r="K117" s="63">
        <f t="shared" si="13"/>
        <v>212.54012909119476</v>
      </c>
      <c r="L117" s="10">
        <f t="shared" si="22"/>
        <v>104.72557704663159</v>
      </c>
      <c r="M117" s="10">
        <f t="shared" si="22"/>
        <v>160.43790162542663</v>
      </c>
    </row>
    <row r="118" spans="1:13" x14ac:dyDescent="0.15">
      <c r="A118" s="34">
        <v>37500</v>
      </c>
      <c r="B118" t="s">
        <v>5</v>
      </c>
      <c r="C118" s="9">
        <v>108</v>
      </c>
      <c r="D118" s="7">
        <f>SOJA!D118</f>
        <v>3.6776190476190478</v>
      </c>
      <c r="E118" s="2">
        <f>SOJA!E118</f>
        <v>1.4627268133045788</v>
      </c>
      <c r="F118" s="3">
        <f t="shared" si="19"/>
        <v>275.16851324844748</v>
      </c>
      <c r="G118" s="3">
        <f t="shared" si="14"/>
        <v>1.462726813304579</v>
      </c>
      <c r="H118" s="3">
        <f t="shared" si="11"/>
        <v>271.53591055430599</v>
      </c>
      <c r="I118" s="4">
        <f t="shared" si="21"/>
        <v>0.2</v>
      </c>
      <c r="J118" s="5">
        <f t="shared" si="20"/>
        <v>220.13481059875798</v>
      </c>
      <c r="K118" s="63">
        <f t="shared" si="13"/>
        <v>217.22872844344479</v>
      </c>
      <c r="L118" s="10">
        <f t="shared" si="22"/>
        <v>104.72557704663159</v>
      </c>
      <c r="M118" s="10">
        <f t="shared" si="22"/>
        <v>160.43790162542663</v>
      </c>
    </row>
    <row r="119" spans="1:13" x14ac:dyDescent="0.15">
      <c r="A119" s="34">
        <v>37530</v>
      </c>
      <c r="B119" t="s">
        <v>6</v>
      </c>
      <c r="C119" s="9">
        <v>105</v>
      </c>
      <c r="D119" s="7">
        <f>SOJA!D119</f>
        <v>3.683913043478261</v>
      </c>
      <c r="E119" s="2">
        <f>SOJA!E119</f>
        <v>1.4659460785381742</v>
      </c>
      <c r="F119" s="3">
        <f t="shared" si="19"/>
        <v>267.39429532720465</v>
      </c>
      <c r="G119" s="3">
        <f t="shared" si="14"/>
        <v>1.4659460785381744</v>
      </c>
      <c r="H119" s="3">
        <f t="shared" si="11"/>
        <v>263.86432299811531</v>
      </c>
      <c r="I119" s="4">
        <f t="shared" si="21"/>
        <v>0.2</v>
      </c>
      <c r="J119" s="5">
        <f t="shared" si="20"/>
        <v>213.91543626176372</v>
      </c>
      <c r="K119" s="63">
        <f t="shared" si="13"/>
        <v>211.09145839849225</v>
      </c>
      <c r="L119" s="10">
        <f t="shared" si="22"/>
        <v>104.72557704663159</v>
      </c>
      <c r="M119" s="10">
        <f t="shared" si="22"/>
        <v>160.43790162542663</v>
      </c>
    </row>
    <row r="120" spans="1:13" x14ac:dyDescent="0.15">
      <c r="A120" s="34">
        <v>37561</v>
      </c>
      <c r="B120" t="s">
        <v>7</v>
      </c>
      <c r="C120" s="9">
        <v>107</v>
      </c>
      <c r="D120" s="7">
        <f>SOJA!D120</f>
        <v>3.5647619047619039</v>
      </c>
      <c r="E120" s="2">
        <f>SOJA!E120</f>
        <v>1.4734576974165632</v>
      </c>
      <c r="F120" s="3">
        <f t="shared" si="19"/>
        <v>262.33008387711521</v>
      </c>
      <c r="G120" s="3">
        <f t="shared" si="14"/>
        <v>1.4734576974165634</v>
      </c>
      <c r="H120" s="3">
        <f t="shared" si="11"/>
        <v>258.86696610176875</v>
      </c>
      <c r="I120" s="4">
        <f t="shared" si="21"/>
        <v>0.2</v>
      </c>
      <c r="J120" s="5">
        <f t="shared" si="20"/>
        <v>209.86406710169217</v>
      </c>
      <c r="K120" s="63">
        <f t="shared" si="13"/>
        <v>207.09357288141501</v>
      </c>
      <c r="L120" s="10">
        <f t="shared" si="22"/>
        <v>104.72557704663159</v>
      </c>
      <c r="M120" s="10">
        <f t="shared" si="22"/>
        <v>160.43790162542663</v>
      </c>
    </row>
    <row r="121" spans="1:13" x14ac:dyDescent="0.15">
      <c r="A121" s="34">
        <v>37591</v>
      </c>
      <c r="B121" t="s">
        <v>21</v>
      </c>
      <c r="C121" s="9">
        <v>104</v>
      </c>
      <c r="D121" s="7">
        <f>SOJA!D121</f>
        <v>3.5261904761904765</v>
      </c>
      <c r="E121" s="2">
        <f>SOJA!E121</f>
        <v>1.4762477272856789</v>
      </c>
      <c r="F121" s="3">
        <f t="shared" si="19"/>
        <v>251.73947936232639</v>
      </c>
      <c r="G121" s="3">
        <f t="shared" si="14"/>
        <v>1.4762477272856791</v>
      </c>
      <c r="H121" s="3">
        <f t="shared" si="11"/>
        <v>248.41617212721525</v>
      </c>
      <c r="I121" s="4">
        <f t="shared" si="21"/>
        <v>0.2</v>
      </c>
      <c r="J121" s="5">
        <f t="shared" si="20"/>
        <v>201.39158348986109</v>
      </c>
      <c r="K121" s="63">
        <f t="shared" si="13"/>
        <v>198.73293770177222</v>
      </c>
      <c r="L121" s="10">
        <f t="shared" si="22"/>
        <v>104.72557704663159</v>
      </c>
      <c r="M121" s="10">
        <f t="shared" si="22"/>
        <v>160.43790162542663</v>
      </c>
    </row>
    <row r="122" spans="1:13" x14ac:dyDescent="0.15">
      <c r="A122" s="34">
        <v>37622</v>
      </c>
      <c r="B122" t="s">
        <v>9</v>
      </c>
      <c r="C122" s="9">
        <v>101</v>
      </c>
      <c r="D122" s="7">
        <f>SOJA!D122</f>
        <v>3.2840909090909096</v>
      </c>
      <c r="E122" s="2">
        <f>SOJA!E122</f>
        <v>1.4956706275283704</v>
      </c>
      <c r="F122" s="3">
        <f t="shared" si="19"/>
        <v>224.73568796204373</v>
      </c>
      <c r="G122" s="3">
        <f t="shared" si="14"/>
        <v>1.4956706275283707</v>
      </c>
      <c r="H122" s="3">
        <f t="shared" si="11"/>
        <v>221.7688678999549</v>
      </c>
      <c r="I122" s="4">
        <f t="shared" si="21"/>
        <v>0.2</v>
      </c>
      <c r="J122" s="5">
        <f t="shared" si="20"/>
        <v>179.788550369635</v>
      </c>
      <c r="K122" s="63">
        <f t="shared" si="13"/>
        <v>177.41509431996394</v>
      </c>
      <c r="L122" s="10">
        <f t="shared" si="22"/>
        <v>104.72557704663159</v>
      </c>
      <c r="M122" s="10">
        <f t="shared" si="22"/>
        <v>160.43790162542663</v>
      </c>
    </row>
    <row r="123" spans="1:13" x14ac:dyDescent="0.15">
      <c r="A123" s="34">
        <v>37653</v>
      </c>
      <c r="B123" t="s">
        <v>1</v>
      </c>
      <c r="C123" s="9">
        <v>100</v>
      </c>
      <c r="D123" s="7">
        <f>SOJA!D123</f>
        <v>3.1924999999999999</v>
      </c>
      <c r="E123" s="2">
        <f>SOJA!E123</f>
        <v>1.5041480259768381</v>
      </c>
      <c r="F123" s="3">
        <f t="shared" si="19"/>
        <v>215.08582623956144</v>
      </c>
      <c r="G123" s="3">
        <f t="shared" si="14"/>
        <v>1.5041480259768383</v>
      </c>
      <c r="H123" s="3">
        <f t="shared" si="11"/>
        <v>212.2463976194561</v>
      </c>
      <c r="I123" s="4">
        <f t="shared" si="21"/>
        <v>0.2</v>
      </c>
      <c r="J123" s="5">
        <f t="shared" si="20"/>
        <v>172.06866099164915</v>
      </c>
      <c r="K123" s="63">
        <f t="shared" si="13"/>
        <v>169.79711809556488</v>
      </c>
      <c r="L123" s="10">
        <f t="shared" si="22"/>
        <v>104.72557704663159</v>
      </c>
      <c r="M123" s="10">
        <f t="shared" si="22"/>
        <v>160.43790162542663</v>
      </c>
    </row>
    <row r="124" spans="1:13" x14ac:dyDescent="0.15">
      <c r="A124" s="34">
        <v>37681</v>
      </c>
      <c r="B124" t="s">
        <v>2</v>
      </c>
      <c r="C124" s="9">
        <v>96</v>
      </c>
      <c r="D124" s="7">
        <f>SOJA!D124</f>
        <v>3.0976190476190473</v>
      </c>
      <c r="E124" s="2">
        <f>SOJA!E124</f>
        <v>1.5129473509486653</v>
      </c>
      <c r="F124" s="3">
        <f t="shared" si="19"/>
        <v>199.18053208382972</v>
      </c>
      <c r="G124" s="3">
        <f t="shared" si="14"/>
        <v>1.5129473509486655</v>
      </c>
      <c r="H124" s="3">
        <f t="shared" si="11"/>
        <v>196.55107521419518</v>
      </c>
      <c r="I124" s="4">
        <f t="shared" si="21"/>
        <v>0.2</v>
      </c>
      <c r="J124" s="5">
        <f t="shared" si="20"/>
        <v>159.34442566706377</v>
      </c>
      <c r="K124" s="63">
        <f t="shared" si="13"/>
        <v>157.24086017135616</v>
      </c>
      <c r="L124" s="10">
        <f t="shared" si="22"/>
        <v>104.72557704663159</v>
      </c>
      <c r="M124" s="10">
        <f t="shared" si="22"/>
        <v>160.43790162542663</v>
      </c>
    </row>
    <row r="125" spans="1:13" x14ac:dyDescent="0.15">
      <c r="A125" s="34">
        <v>37712</v>
      </c>
      <c r="B125" t="s">
        <v>3</v>
      </c>
      <c r="C125" s="9">
        <v>98</v>
      </c>
      <c r="D125" s="7">
        <f>SOJA!D125</f>
        <v>2.9180952380952379</v>
      </c>
      <c r="E125" s="2">
        <f>SOJA!E125</f>
        <v>1.513805821677624</v>
      </c>
      <c r="F125" s="3">
        <f t="shared" si="19"/>
        <v>191.43741916478996</v>
      </c>
      <c r="G125" s="3">
        <f t="shared" si="14"/>
        <v>1.5138058216776242</v>
      </c>
      <c r="H125" s="3">
        <f t="shared" si="11"/>
        <v>188.91018203141337</v>
      </c>
      <c r="I125" s="4">
        <f t="shared" si="21"/>
        <v>0.2</v>
      </c>
      <c r="J125" s="5">
        <f t="shared" si="20"/>
        <v>153.14993533183198</v>
      </c>
      <c r="K125" s="63">
        <f t="shared" si="13"/>
        <v>151.12814562513071</v>
      </c>
      <c r="L125" s="10">
        <f t="shared" si="22"/>
        <v>104.72557704663159</v>
      </c>
      <c r="M125" s="10">
        <f t="shared" si="22"/>
        <v>160.43790162542663</v>
      </c>
    </row>
    <row r="126" spans="1:13" x14ac:dyDescent="0.15">
      <c r="A126" s="34">
        <v>37742</v>
      </c>
      <c r="B126" t="s">
        <v>2</v>
      </c>
      <c r="C126" s="9">
        <v>105</v>
      </c>
      <c r="D126" s="7">
        <f>SOJA!D126</f>
        <v>2.8590909090909089</v>
      </c>
      <c r="E126" s="2">
        <f>SOJA!E126</f>
        <v>1.5079038354160328</v>
      </c>
      <c r="F126" s="3">
        <f t="shared" si="19"/>
        <v>201.75071480231486</v>
      </c>
      <c r="G126" s="3">
        <f t="shared" si="14"/>
        <v>1.507903835416033</v>
      </c>
      <c r="H126" s="3">
        <f t="shared" si="11"/>
        <v>199.08732798714485</v>
      </c>
      <c r="I126" s="4">
        <f t="shared" si="21"/>
        <v>0.2</v>
      </c>
      <c r="J126" s="5">
        <f t="shared" si="20"/>
        <v>161.4005718418519</v>
      </c>
      <c r="K126" s="63">
        <f t="shared" si="13"/>
        <v>159.26986238971588</v>
      </c>
      <c r="L126" s="10">
        <f t="shared" si="22"/>
        <v>104.72557704663159</v>
      </c>
      <c r="M126" s="10">
        <f t="shared" si="22"/>
        <v>160.43790162542663</v>
      </c>
    </row>
    <row r="127" spans="1:13" x14ac:dyDescent="0.15">
      <c r="A127" s="34">
        <v>37773</v>
      </c>
      <c r="B127" t="s">
        <v>4</v>
      </c>
      <c r="C127" s="9">
        <v>103</v>
      </c>
      <c r="D127" s="7">
        <f>SOJA!D127</f>
        <v>2.8273809523809526</v>
      </c>
      <c r="E127" s="2">
        <f>SOJA!E127</f>
        <v>1.5066161293225946</v>
      </c>
      <c r="F127" s="3">
        <f t="shared" si="19"/>
        <v>195.88013936499317</v>
      </c>
      <c r="G127" s="3">
        <f t="shared" si="14"/>
        <v>1.5066161293225948</v>
      </c>
      <c r="H127" s="3">
        <f t="shared" si="11"/>
        <v>193.29425221683817</v>
      </c>
      <c r="I127" s="4">
        <f t="shared" si="21"/>
        <v>0.2</v>
      </c>
      <c r="J127" s="5">
        <f t="shared" si="20"/>
        <v>156.70411149199455</v>
      </c>
      <c r="K127" s="63">
        <f t="shared" si="13"/>
        <v>154.63540177347056</v>
      </c>
      <c r="L127" s="10">
        <f t="shared" si="22"/>
        <v>104.72557704663159</v>
      </c>
      <c r="M127" s="10">
        <f t="shared" si="22"/>
        <v>160.43790162542663</v>
      </c>
    </row>
    <row r="128" spans="1:13" x14ac:dyDescent="0.15">
      <c r="A128" s="34">
        <v>37803</v>
      </c>
      <c r="B128" t="s">
        <v>4</v>
      </c>
      <c r="C128" s="9">
        <v>96</v>
      </c>
      <c r="D128" s="7">
        <f>SOJA!D128</f>
        <v>2.8204347826086953</v>
      </c>
      <c r="E128" s="2">
        <f>SOJA!E128</f>
        <v>1.5133765863131448</v>
      </c>
      <c r="F128" s="3">
        <f t="shared" si="19"/>
        <v>181.30582133635701</v>
      </c>
      <c r="G128" s="3">
        <f t="shared" si="14"/>
        <v>1.513376586313145</v>
      </c>
      <c r="H128" s="3">
        <f t="shared" si="11"/>
        <v>178.9123352238841</v>
      </c>
      <c r="I128" s="4">
        <f t="shared" si="21"/>
        <v>0.2</v>
      </c>
      <c r="J128" s="5">
        <f t="shared" si="20"/>
        <v>145.04465706908562</v>
      </c>
      <c r="K128" s="63">
        <f t="shared" si="13"/>
        <v>143.12986817910729</v>
      </c>
      <c r="L128" s="10">
        <f t="shared" si="22"/>
        <v>104.72557704663159</v>
      </c>
      <c r="M128" s="10">
        <f t="shared" si="22"/>
        <v>160.43790162542663</v>
      </c>
    </row>
    <row r="129" spans="1:13" x14ac:dyDescent="0.15">
      <c r="A129" s="34">
        <v>37834</v>
      </c>
      <c r="B129" t="s">
        <v>3</v>
      </c>
      <c r="C129" s="9">
        <v>100</v>
      </c>
      <c r="D129" s="7">
        <f>SOJA!D129</f>
        <v>2.9476190476190474</v>
      </c>
      <c r="E129" s="2">
        <f>SOJA!E129</f>
        <v>1.5136985128365041</v>
      </c>
      <c r="F129" s="3">
        <f t="shared" si="19"/>
        <v>197.33468842703786</v>
      </c>
      <c r="G129" s="3">
        <f t="shared" si="14"/>
        <v>1.5136985128365044</v>
      </c>
      <c r="H129" s="3">
        <f t="shared" si="11"/>
        <v>194.72959923145686</v>
      </c>
      <c r="I129" s="4">
        <f t="shared" si="21"/>
        <v>0.2</v>
      </c>
      <c r="J129" s="5">
        <f t="shared" si="20"/>
        <v>157.86775074163029</v>
      </c>
      <c r="K129" s="63">
        <f t="shared" si="13"/>
        <v>155.7836793851655</v>
      </c>
      <c r="L129" s="10">
        <f t="shared" si="22"/>
        <v>104.72557704663159</v>
      </c>
      <c r="M129" s="10">
        <f t="shared" si="22"/>
        <v>160.43790162542663</v>
      </c>
    </row>
    <row r="130" spans="1:13" x14ac:dyDescent="0.15">
      <c r="A130" s="34">
        <v>37865</v>
      </c>
      <c r="B130" t="s">
        <v>5</v>
      </c>
      <c r="C130" s="9">
        <v>104</v>
      </c>
      <c r="D130" s="7">
        <f>SOJA!D130</f>
        <v>2.9427272727272733</v>
      </c>
      <c r="E130" s="2">
        <f>SOJA!E130</f>
        <v>1.5143423658832234</v>
      </c>
      <c r="F130" s="3">
        <f t="shared" si="19"/>
        <v>204.80037394534995</v>
      </c>
      <c r="G130" s="3">
        <f t="shared" si="14"/>
        <v>1.5143423658832236</v>
      </c>
      <c r="H130" s="3">
        <f t="shared" ref="H130:H193" si="23">+(C130*D130)/G130</f>
        <v>202.09672743662549</v>
      </c>
      <c r="I130" s="4">
        <f t="shared" si="21"/>
        <v>0.2</v>
      </c>
      <c r="J130" s="5">
        <f t="shared" si="20"/>
        <v>163.84029915627997</v>
      </c>
      <c r="K130" s="63">
        <f t="shared" ref="K130:K193" si="24">+H130*(1-I130)</f>
        <v>161.67738194930041</v>
      </c>
      <c r="L130" s="10">
        <f t="shared" si="22"/>
        <v>104.72557704663159</v>
      </c>
      <c r="M130" s="10">
        <f t="shared" si="22"/>
        <v>160.43790162542663</v>
      </c>
    </row>
    <row r="131" spans="1:13" x14ac:dyDescent="0.15">
      <c r="A131" s="34">
        <v>37895</v>
      </c>
      <c r="B131" t="s">
        <v>6</v>
      </c>
      <c r="C131" s="9">
        <v>102</v>
      </c>
      <c r="D131" s="7">
        <f>SOJA!D131</f>
        <v>2.8752173913043468</v>
      </c>
      <c r="E131" s="2">
        <f>SOJA!E131</f>
        <v>1.52324899969617</v>
      </c>
      <c r="F131" s="3">
        <f t="shared" si="19"/>
        <v>195.10635754237435</v>
      </c>
      <c r="G131" s="3">
        <f t="shared" ref="G131:G194" si="25">+E131/AVERAGE(E$2:E$13)</f>
        <v>1.5232489996961702</v>
      </c>
      <c r="H131" s="3">
        <f t="shared" si="23"/>
        <v>192.53068537812266</v>
      </c>
      <c r="I131" s="4">
        <f t="shared" si="21"/>
        <v>0.2</v>
      </c>
      <c r="J131" s="5">
        <f t="shared" si="20"/>
        <v>156.0850860338995</v>
      </c>
      <c r="K131" s="63">
        <f t="shared" si="24"/>
        <v>154.02454830249815</v>
      </c>
      <c r="L131" s="10">
        <f t="shared" si="22"/>
        <v>104.72557704663159</v>
      </c>
      <c r="M131" s="10">
        <f t="shared" si="22"/>
        <v>160.43790162542663</v>
      </c>
    </row>
    <row r="132" spans="1:13" x14ac:dyDescent="0.15">
      <c r="A132" s="34">
        <v>37926</v>
      </c>
      <c r="B132" t="s">
        <v>7</v>
      </c>
      <c r="C132" s="9">
        <v>111</v>
      </c>
      <c r="D132" s="7">
        <f>SOJA!D132</f>
        <v>2.8965000000000001</v>
      </c>
      <c r="E132" s="2">
        <f>SOJA!E132</f>
        <v>1.5270048091353647</v>
      </c>
      <c r="F132" s="3">
        <f t="shared" si="19"/>
        <v>213.36715726915779</v>
      </c>
      <c r="G132" s="3">
        <f t="shared" si="25"/>
        <v>1.527004809135365</v>
      </c>
      <c r="H132" s="3">
        <f t="shared" si="23"/>
        <v>210.55041744239776</v>
      </c>
      <c r="I132" s="4">
        <f t="shared" si="21"/>
        <v>0.2</v>
      </c>
      <c r="J132" s="5">
        <f t="shared" si="20"/>
        <v>170.69372581532625</v>
      </c>
      <c r="K132" s="63">
        <f t="shared" si="24"/>
        <v>168.44033395391821</v>
      </c>
      <c r="L132" s="10">
        <f t="shared" ref="L132:M147" si="26">+L131</f>
        <v>104.72557704663159</v>
      </c>
      <c r="M132" s="10">
        <f t="shared" si="26"/>
        <v>160.43790162542663</v>
      </c>
    </row>
    <row r="133" spans="1:13" x14ac:dyDescent="0.15">
      <c r="A133" s="34">
        <v>37956</v>
      </c>
      <c r="B133" t="s">
        <v>22</v>
      </c>
      <c r="C133" s="9">
        <v>116</v>
      </c>
      <c r="D133" s="7">
        <f>SOJA!D133</f>
        <v>2.9747727272727271</v>
      </c>
      <c r="E133" s="2">
        <f>SOJA!E133</f>
        <v>1.5302240743689599</v>
      </c>
      <c r="F133" s="3">
        <f t="shared" si="19"/>
        <v>228.52210426785265</v>
      </c>
      <c r="G133" s="3">
        <f t="shared" si="25"/>
        <v>1.5302240743689601</v>
      </c>
      <c r="H133" s="3">
        <f t="shared" si="23"/>
        <v>225.50529830471999</v>
      </c>
      <c r="I133" s="4">
        <f t="shared" si="21"/>
        <v>0.2</v>
      </c>
      <c r="J133" s="5">
        <f t="shared" si="20"/>
        <v>182.81768341428213</v>
      </c>
      <c r="K133" s="63">
        <f t="shared" si="24"/>
        <v>180.40423864377601</v>
      </c>
      <c r="L133" s="10">
        <f t="shared" si="26"/>
        <v>104.72557704663159</v>
      </c>
      <c r="M133" s="10">
        <f t="shared" si="26"/>
        <v>160.43790162542663</v>
      </c>
    </row>
    <row r="134" spans="1:13" x14ac:dyDescent="0.15">
      <c r="A134" s="34">
        <v>37987</v>
      </c>
      <c r="B134" t="s">
        <v>10</v>
      </c>
      <c r="C134" s="9">
        <v>115</v>
      </c>
      <c r="D134" s="7">
        <f>SOJA!D134</f>
        <v>2.9223809523809523</v>
      </c>
      <c r="E134" s="2">
        <f>SOJA!E134</f>
        <v>1.5366626048361505</v>
      </c>
      <c r="F134" s="3">
        <f t="shared" si="19"/>
        <v>221.62952234104441</v>
      </c>
      <c r="G134" s="3">
        <f t="shared" si="25"/>
        <v>1.5366626048361507</v>
      </c>
      <c r="H134" s="3">
        <f t="shared" si="23"/>
        <v>218.70370793570783</v>
      </c>
      <c r="I134" s="4">
        <f t="shared" si="21"/>
        <v>0.2</v>
      </c>
      <c r="J134" s="5">
        <f t="shared" si="20"/>
        <v>177.30361787283553</v>
      </c>
      <c r="K134" s="63">
        <f t="shared" si="24"/>
        <v>174.96296634856628</v>
      </c>
      <c r="L134" s="10">
        <f t="shared" si="26"/>
        <v>104.72557704663159</v>
      </c>
      <c r="M134" s="10">
        <f t="shared" si="26"/>
        <v>160.43790162542663</v>
      </c>
    </row>
    <row r="135" spans="1:13" x14ac:dyDescent="0.15">
      <c r="A135" s="34">
        <v>38018</v>
      </c>
      <c r="B135" t="s">
        <v>1</v>
      </c>
      <c r="C135" s="9">
        <v>115</v>
      </c>
      <c r="D135" s="7">
        <f>SOJA!D135</f>
        <v>2.9474999999999998</v>
      </c>
      <c r="E135" s="2">
        <f>SOJA!E135</f>
        <v>1.5381649286118284</v>
      </c>
      <c r="F135" s="3">
        <f t="shared" si="19"/>
        <v>223.31619194203026</v>
      </c>
      <c r="G135" s="3">
        <f t="shared" si="25"/>
        <v>1.5381649286118286</v>
      </c>
      <c r="H135" s="3">
        <f t="shared" si="23"/>
        <v>220.36811117901945</v>
      </c>
      <c r="I135" s="4">
        <f t="shared" si="21"/>
        <v>0.2</v>
      </c>
      <c r="J135" s="5">
        <f t="shared" si="20"/>
        <v>178.65295355362423</v>
      </c>
      <c r="K135" s="63">
        <f t="shared" si="24"/>
        <v>176.29448894321558</v>
      </c>
      <c r="L135" s="10">
        <f t="shared" si="26"/>
        <v>104.72557704663159</v>
      </c>
      <c r="M135" s="10">
        <f t="shared" si="26"/>
        <v>160.43790162542663</v>
      </c>
    </row>
    <row r="136" spans="1:13" x14ac:dyDescent="0.15">
      <c r="A136" s="34">
        <v>38047</v>
      </c>
      <c r="B136" t="s">
        <v>2</v>
      </c>
      <c r="C136" s="9">
        <v>111</v>
      </c>
      <c r="D136" s="7">
        <f>SOJA!D136</f>
        <v>2.9184782608695654</v>
      </c>
      <c r="E136" s="2">
        <f>SOJA!E136</f>
        <v>1.5473934889481347</v>
      </c>
      <c r="F136" s="3">
        <f t="shared" si="19"/>
        <v>212.15347053912379</v>
      </c>
      <c r="G136" s="3">
        <f t="shared" si="25"/>
        <v>1.5473934889481349</v>
      </c>
      <c r="H136" s="3">
        <f t="shared" si="23"/>
        <v>209.35275304585429</v>
      </c>
      <c r="I136" s="4">
        <f t="shared" si="21"/>
        <v>0.2</v>
      </c>
      <c r="J136" s="5">
        <f t="shared" si="20"/>
        <v>169.72277643129905</v>
      </c>
      <c r="K136" s="63">
        <f t="shared" si="24"/>
        <v>167.48220243668345</v>
      </c>
      <c r="L136" s="10">
        <f t="shared" si="26"/>
        <v>104.72557704663159</v>
      </c>
      <c r="M136" s="10">
        <f t="shared" si="26"/>
        <v>160.43790162542663</v>
      </c>
    </row>
    <row r="137" spans="1:13" x14ac:dyDescent="0.15">
      <c r="A137" s="34">
        <v>38078</v>
      </c>
      <c r="B137" t="s">
        <v>3</v>
      </c>
      <c r="C137" s="9">
        <v>123</v>
      </c>
      <c r="D137" s="7">
        <f>SOJA!D137</f>
        <v>2.8497999999999992</v>
      </c>
      <c r="E137" s="2">
        <f>SOJA!E137</f>
        <v>1.5605924764058756</v>
      </c>
      <c r="F137" s="3">
        <f t="shared" si="19"/>
        <v>227.61529872922344</v>
      </c>
      <c r="G137" s="3">
        <f t="shared" si="25"/>
        <v>1.5605924764058758</v>
      </c>
      <c r="H137" s="3">
        <f t="shared" si="23"/>
        <v>224.61046384593482</v>
      </c>
      <c r="I137" s="4">
        <f t="shared" si="21"/>
        <v>0.2</v>
      </c>
      <c r="J137" s="5">
        <f t="shared" si="20"/>
        <v>182.09223898337876</v>
      </c>
      <c r="K137" s="63">
        <f t="shared" si="24"/>
        <v>179.68837107674787</v>
      </c>
      <c r="L137" s="10">
        <f t="shared" si="26"/>
        <v>104.72557704663159</v>
      </c>
      <c r="M137" s="10">
        <f t="shared" si="26"/>
        <v>160.43790162542663</v>
      </c>
    </row>
    <row r="138" spans="1:13" x14ac:dyDescent="0.15">
      <c r="A138" s="34">
        <v>38108</v>
      </c>
      <c r="B138" t="s">
        <v>2</v>
      </c>
      <c r="C138" s="9">
        <v>119</v>
      </c>
      <c r="D138" s="7">
        <f>SOJA!D138</f>
        <v>2.9346666666666659</v>
      </c>
      <c r="E138" s="2">
        <f>SOJA!E138</f>
        <v>1.5720745224056987</v>
      </c>
      <c r="F138" s="3">
        <f t="shared" si="19"/>
        <v>225.11481404469018</v>
      </c>
      <c r="G138" s="3">
        <f t="shared" si="25"/>
        <v>1.5720745224056989</v>
      </c>
      <c r="H138" s="3">
        <f t="shared" si="23"/>
        <v>222.14298899706364</v>
      </c>
      <c r="I138" s="4">
        <f t="shared" si="21"/>
        <v>0.2</v>
      </c>
      <c r="J138" s="5">
        <f t="shared" si="20"/>
        <v>180.09185123575216</v>
      </c>
      <c r="K138" s="63">
        <f t="shared" si="24"/>
        <v>177.71439119765091</v>
      </c>
      <c r="L138" s="10">
        <f t="shared" si="26"/>
        <v>104.72557704663159</v>
      </c>
      <c r="M138" s="10">
        <f t="shared" si="26"/>
        <v>160.43790162542663</v>
      </c>
    </row>
    <row r="139" spans="1:13" x14ac:dyDescent="0.15">
      <c r="A139" s="34">
        <v>38139</v>
      </c>
      <c r="B139" t="s">
        <v>4</v>
      </c>
      <c r="C139" s="9">
        <v>115</v>
      </c>
      <c r="D139" s="7">
        <f>SOJA!D139</f>
        <v>2.9745227272727273</v>
      </c>
      <c r="E139" s="2">
        <f>SOJA!E139</f>
        <v>1.5808738473775257</v>
      </c>
      <c r="F139" s="3">
        <f t="shared" si="19"/>
        <v>219.27513207269871</v>
      </c>
      <c r="G139" s="3">
        <f t="shared" si="25"/>
        <v>1.5808738473775259</v>
      </c>
      <c r="H139" s="3">
        <f t="shared" si="23"/>
        <v>216.38039885587054</v>
      </c>
      <c r="I139" s="4">
        <f t="shared" si="21"/>
        <v>0.2</v>
      </c>
      <c r="J139" s="5">
        <f t="shared" si="20"/>
        <v>175.42010565815897</v>
      </c>
      <c r="K139" s="63">
        <f t="shared" si="24"/>
        <v>173.10431908469644</v>
      </c>
      <c r="L139" s="10">
        <f t="shared" si="26"/>
        <v>104.72557704663159</v>
      </c>
      <c r="M139" s="10">
        <f t="shared" si="26"/>
        <v>160.43790162542663</v>
      </c>
    </row>
    <row r="140" spans="1:13" x14ac:dyDescent="0.15">
      <c r="A140" s="34">
        <v>38169</v>
      </c>
      <c r="B140" t="s">
        <v>4</v>
      </c>
      <c r="C140" s="9">
        <v>104</v>
      </c>
      <c r="D140" s="7">
        <f>SOJA!D140</f>
        <v>2.9705909090909088</v>
      </c>
      <c r="E140" s="2">
        <f>SOJA!E140</f>
        <v>1.5881708485736752</v>
      </c>
      <c r="F140" s="3">
        <f t="shared" si="19"/>
        <v>197.12896017355573</v>
      </c>
      <c r="G140" s="3">
        <f t="shared" si="25"/>
        <v>1.5881708485736754</v>
      </c>
      <c r="H140" s="3">
        <f t="shared" si="23"/>
        <v>194.52658687376902</v>
      </c>
      <c r="I140" s="4">
        <f t="shared" si="21"/>
        <v>0.2</v>
      </c>
      <c r="J140" s="5">
        <f t="shared" si="20"/>
        <v>157.7031681388446</v>
      </c>
      <c r="K140" s="63">
        <f t="shared" si="24"/>
        <v>155.62126949901523</v>
      </c>
      <c r="L140" s="10">
        <f t="shared" si="26"/>
        <v>104.72557704663159</v>
      </c>
      <c r="M140" s="10">
        <f t="shared" si="26"/>
        <v>160.43790162542663</v>
      </c>
    </row>
    <row r="141" spans="1:13" x14ac:dyDescent="0.15">
      <c r="A141" s="34">
        <v>38200</v>
      </c>
      <c r="B141" t="s">
        <v>3</v>
      </c>
      <c r="C141" s="9">
        <v>100</v>
      </c>
      <c r="D141" s="7">
        <f>SOJA!D141</f>
        <v>3.0304545454545462</v>
      </c>
      <c r="E141" s="2">
        <f>SOJA!E141</f>
        <v>1.5936435994707872</v>
      </c>
      <c r="F141" s="3">
        <f t="shared" si="19"/>
        <v>192.70280473858224</v>
      </c>
      <c r="G141" s="3">
        <f t="shared" si="25"/>
        <v>1.5936435994707874</v>
      </c>
      <c r="H141" s="3">
        <f t="shared" si="23"/>
        <v>190.15886277589863</v>
      </c>
      <c r="I141" s="4">
        <f t="shared" si="21"/>
        <v>0.2</v>
      </c>
      <c r="J141" s="5">
        <f t="shared" si="20"/>
        <v>154.1622437908658</v>
      </c>
      <c r="K141" s="63">
        <f t="shared" si="24"/>
        <v>152.12709022071891</v>
      </c>
      <c r="L141" s="10">
        <f t="shared" si="26"/>
        <v>104.72557704663159</v>
      </c>
      <c r="M141" s="10">
        <f t="shared" si="26"/>
        <v>160.43790162542663</v>
      </c>
    </row>
    <row r="142" spans="1:13" x14ac:dyDescent="0.15">
      <c r="A142" s="34">
        <v>38231</v>
      </c>
      <c r="B142" t="s">
        <v>5</v>
      </c>
      <c r="C142" s="9">
        <v>95</v>
      </c>
      <c r="D142" s="7">
        <f>SOJA!D142</f>
        <v>3.0143181818181817</v>
      </c>
      <c r="E142" s="2">
        <f>SOJA!E142</f>
        <v>1.6037306305360524</v>
      </c>
      <c r="F142" s="3">
        <f t="shared" si="19"/>
        <v>180.9475630713589</v>
      </c>
      <c r="G142" s="3">
        <f t="shared" si="25"/>
        <v>1.6037306305360526</v>
      </c>
      <c r="H142" s="3">
        <f t="shared" si="23"/>
        <v>178.5588064605403</v>
      </c>
      <c r="I142" s="4">
        <f t="shared" si="21"/>
        <v>0.2</v>
      </c>
      <c r="J142" s="5">
        <f t="shared" si="20"/>
        <v>144.75805045708714</v>
      </c>
      <c r="K142" s="63">
        <f t="shared" si="24"/>
        <v>142.84704516843223</v>
      </c>
      <c r="L142" s="10">
        <f t="shared" si="26"/>
        <v>104.72557704663159</v>
      </c>
      <c r="M142" s="10">
        <f t="shared" si="26"/>
        <v>160.43790162542663</v>
      </c>
    </row>
    <row r="143" spans="1:13" x14ac:dyDescent="0.15">
      <c r="A143" s="34">
        <v>38261</v>
      </c>
      <c r="B143" t="s">
        <v>6</v>
      </c>
      <c r="C143" s="9">
        <v>93</v>
      </c>
      <c r="D143" s="7">
        <f>SOJA!D143</f>
        <v>2.9866666666666668</v>
      </c>
      <c r="E143" s="2">
        <f>SOJA!E143</f>
        <v>1.6100618521621231</v>
      </c>
      <c r="F143" s="3">
        <f t="shared" si="19"/>
        <v>174.82301569758275</v>
      </c>
      <c r="G143" s="3">
        <f t="shared" si="25"/>
        <v>1.6100618521621233</v>
      </c>
      <c r="H143" s="3">
        <f t="shared" si="23"/>
        <v>172.51511153251724</v>
      </c>
      <c r="I143" s="4">
        <f t="shared" si="21"/>
        <v>0.2</v>
      </c>
      <c r="J143" s="5">
        <f t="shared" si="20"/>
        <v>139.85841255806619</v>
      </c>
      <c r="K143" s="63">
        <f t="shared" si="24"/>
        <v>138.01208922601379</v>
      </c>
      <c r="L143" s="10">
        <f t="shared" si="26"/>
        <v>104.72557704663159</v>
      </c>
      <c r="M143" s="10">
        <f t="shared" si="26"/>
        <v>160.43790162542663</v>
      </c>
    </row>
    <row r="144" spans="1:13" x14ac:dyDescent="0.15">
      <c r="A144" s="34">
        <v>38292</v>
      </c>
      <c r="B144" t="s">
        <v>7</v>
      </c>
      <c r="C144" s="9">
        <v>87</v>
      </c>
      <c r="D144" s="7">
        <f>SOJA!D144</f>
        <v>2.9686363636363637</v>
      </c>
      <c r="E144" s="2">
        <f>SOJA!E144</f>
        <v>1.6100618521621231</v>
      </c>
      <c r="F144" s="3">
        <f t="shared" si="19"/>
        <v>162.55680680888577</v>
      </c>
      <c r="G144" s="3">
        <f t="shared" si="25"/>
        <v>1.6100618521621233</v>
      </c>
      <c r="H144" s="3">
        <f t="shared" si="23"/>
        <v>160.41083346551912</v>
      </c>
      <c r="I144" s="4">
        <f t="shared" si="21"/>
        <v>0.2</v>
      </c>
      <c r="J144" s="5">
        <f t="shared" si="20"/>
        <v>130.04544544710862</v>
      </c>
      <c r="K144" s="63">
        <f t="shared" si="24"/>
        <v>128.32866677241529</v>
      </c>
      <c r="L144" s="10">
        <f t="shared" si="26"/>
        <v>104.72557704663159</v>
      </c>
      <c r="M144" s="10">
        <f t="shared" si="26"/>
        <v>160.43790162542663</v>
      </c>
    </row>
    <row r="145" spans="1:13" x14ac:dyDescent="0.15">
      <c r="A145" s="34">
        <v>38322</v>
      </c>
      <c r="B145" t="s">
        <v>23</v>
      </c>
      <c r="C145" s="9">
        <v>88</v>
      </c>
      <c r="D145" s="7">
        <f>SOJA!D145</f>
        <v>2.9841304347826076</v>
      </c>
      <c r="E145" s="2">
        <f>SOJA!E145</f>
        <v>1.6235827661432234</v>
      </c>
      <c r="F145" s="3">
        <f t="shared" si="19"/>
        <v>163.90700158952819</v>
      </c>
      <c r="G145" s="3">
        <f t="shared" si="25"/>
        <v>1.6235827661432236</v>
      </c>
      <c r="H145" s="3">
        <f t="shared" si="23"/>
        <v>161.74320381872298</v>
      </c>
      <c r="I145" s="4">
        <f t="shared" si="21"/>
        <v>0.2</v>
      </c>
      <c r="J145" s="5">
        <f t="shared" si="20"/>
        <v>131.12560127162257</v>
      </c>
      <c r="K145" s="63">
        <f t="shared" si="24"/>
        <v>129.39456305497839</v>
      </c>
      <c r="L145" s="10">
        <f t="shared" si="26"/>
        <v>104.72557704663159</v>
      </c>
      <c r="M145" s="10">
        <f t="shared" si="26"/>
        <v>160.43790162542663</v>
      </c>
    </row>
    <row r="146" spans="1:13" x14ac:dyDescent="0.15">
      <c r="A146" s="34">
        <v>38353</v>
      </c>
      <c r="B146" t="s">
        <v>11</v>
      </c>
      <c r="C146" s="9">
        <v>81</v>
      </c>
      <c r="D146" s="7">
        <f>SOJA!D146</f>
        <v>2.9614285714285717</v>
      </c>
      <c r="E146" s="2">
        <f>SOJA!E146</f>
        <v>1.647619946554068</v>
      </c>
      <c r="F146" s="3">
        <f t="shared" si="19"/>
        <v>147.53691707398485</v>
      </c>
      <c r="G146" s="3">
        <f t="shared" si="25"/>
        <v>1.6476199465540682</v>
      </c>
      <c r="H146" s="3">
        <f t="shared" si="23"/>
        <v>145.58922692542347</v>
      </c>
      <c r="I146" s="4">
        <f t="shared" si="21"/>
        <v>0.2</v>
      </c>
      <c r="J146" s="5">
        <f t="shared" si="20"/>
        <v>118.02953365918789</v>
      </c>
      <c r="K146" s="63">
        <f t="shared" si="24"/>
        <v>116.47138154033878</v>
      </c>
      <c r="L146" s="10">
        <f t="shared" si="26"/>
        <v>104.72557704663159</v>
      </c>
      <c r="M146" s="10">
        <f t="shared" si="26"/>
        <v>160.43790162542663</v>
      </c>
    </row>
    <row r="147" spans="1:13" x14ac:dyDescent="0.15">
      <c r="A147" s="34">
        <v>38384</v>
      </c>
      <c r="B147" t="s">
        <v>1</v>
      </c>
      <c r="C147" s="9">
        <v>80</v>
      </c>
      <c r="D147" s="7">
        <f>SOJA!D147</f>
        <v>2.9319999999999995</v>
      </c>
      <c r="E147" s="2">
        <f>SOJA!E147</f>
        <v>1.6632870373575652</v>
      </c>
      <c r="F147" s="3">
        <f t="shared" si="19"/>
        <v>142.90855051857793</v>
      </c>
      <c r="G147" s="3">
        <f t="shared" si="25"/>
        <v>1.6632870373575654</v>
      </c>
      <c r="H147" s="3">
        <f t="shared" si="23"/>
        <v>141.0219611719221</v>
      </c>
      <c r="I147" s="4">
        <f t="shared" si="21"/>
        <v>0.2</v>
      </c>
      <c r="J147" s="5">
        <f t="shared" si="20"/>
        <v>114.32684041486235</v>
      </c>
      <c r="K147" s="63">
        <f t="shared" si="24"/>
        <v>112.81756893753769</v>
      </c>
      <c r="L147" s="10">
        <f t="shared" si="26"/>
        <v>104.72557704663159</v>
      </c>
      <c r="M147" s="10">
        <f t="shared" si="26"/>
        <v>160.43790162542663</v>
      </c>
    </row>
    <row r="148" spans="1:13" x14ac:dyDescent="0.15">
      <c r="A148" s="34">
        <v>38412</v>
      </c>
      <c r="B148" t="s">
        <v>2</v>
      </c>
      <c r="C148" s="9">
        <v>85</v>
      </c>
      <c r="D148" s="7">
        <f>SOJA!D148</f>
        <v>2.9368695652173913</v>
      </c>
      <c r="E148" s="2">
        <f>SOJA!E148</f>
        <v>1.6889338503852076</v>
      </c>
      <c r="F148" s="3">
        <f t="shared" si="19"/>
        <v>149.78295990557265</v>
      </c>
      <c r="G148" s="3">
        <f t="shared" si="25"/>
        <v>1.6889338503852078</v>
      </c>
      <c r="H148" s="3">
        <f t="shared" si="23"/>
        <v>147.80561890363106</v>
      </c>
      <c r="I148" s="4">
        <f t="shared" si="21"/>
        <v>0.2</v>
      </c>
      <c r="J148" s="5">
        <f t="shared" si="20"/>
        <v>119.82636792445814</v>
      </c>
      <c r="K148" s="63">
        <f t="shared" si="24"/>
        <v>118.24449512290485</v>
      </c>
      <c r="L148" s="10">
        <f t="shared" ref="L148:M163" si="27">+L147</f>
        <v>104.72557704663159</v>
      </c>
      <c r="M148" s="10">
        <f t="shared" si="27"/>
        <v>160.43790162542663</v>
      </c>
    </row>
    <row r="149" spans="1:13" x14ac:dyDescent="0.15">
      <c r="A149" s="34">
        <v>38443</v>
      </c>
      <c r="B149" t="s">
        <v>3</v>
      </c>
      <c r="C149" s="9">
        <v>86</v>
      </c>
      <c r="D149" s="7">
        <f>SOJA!D149</f>
        <v>2.9180952380952387</v>
      </c>
      <c r="E149" s="2">
        <f>SOJA!E149</f>
        <v>1.6971966311514355</v>
      </c>
      <c r="F149" s="3">
        <f t="shared" si="19"/>
        <v>149.84326115478618</v>
      </c>
      <c r="G149" s="3">
        <f t="shared" si="25"/>
        <v>1.6971966311514357</v>
      </c>
      <c r="H149" s="3">
        <f t="shared" si="23"/>
        <v>147.86512409344894</v>
      </c>
      <c r="I149" s="4">
        <f t="shared" si="21"/>
        <v>0.2</v>
      </c>
      <c r="J149" s="5">
        <f t="shared" si="20"/>
        <v>119.87460892382896</v>
      </c>
      <c r="K149" s="63">
        <f t="shared" si="24"/>
        <v>118.29209927475915</v>
      </c>
      <c r="L149" s="10">
        <f t="shared" si="27"/>
        <v>104.72557704663159</v>
      </c>
      <c r="M149" s="10">
        <f t="shared" si="27"/>
        <v>160.43790162542663</v>
      </c>
    </row>
    <row r="150" spans="1:13" x14ac:dyDescent="0.15">
      <c r="A150" s="34">
        <v>38473</v>
      </c>
      <c r="B150" t="s">
        <v>2</v>
      </c>
      <c r="C150" s="9">
        <v>88</v>
      </c>
      <c r="D150" s="7">
        <f>SOJA!D150</f>
        <v>2.9028636363636369</v>
      </c>
      <c r="E150" s="2">
        <f>SOJA!E150</f>
        <v>1.7073909710578208</v>
      </c>
      <c r="F150" s="3">
        <f t="shared" si="19"/>
        <v>151.61696225778908</v>
      </c>
      <c r="G150" s="3">
        <f t="shared" si="25"/>
        <v>1.707390971057821</v>
      </c>
      <c r="H150" s="3">
        <f t="shared" si="23"/>
        <v>149.61540990329456</v>
      </c>
      <c r="I150" s="4">
        <f t="shared" si="21"/>
        <v>0.2</v>
      </c>
      <c r="J150" s="5">
        <f t="shared" si="20"/>
        <v>121.29356980623128</v>
      </c>
      <c r="K150" s="63">
        <f t="shared" si="24"/>
        <v>119.69232792263566</v>
      </c>
      <c r="L150" s="10">
        <f t="shared" si="27"/>
        <v>104.72557704663159</v>
      </c>
      <c r="M150" s="10">
        <f t="shared" si="27"/>
        <v>160.43790162542663</v>
      </c>
    </row>
    <row r="151" spans="1:13" x14ac:dyDescent="0.15">
      <c r="A151" s="34">
        <v>38504</v>
      </c>
      <c r="B151" t="s">
        <v>4</v>
      </c>
      <c r="C151" s="9">
        <v>92</v>
      </c>
      <c r="D151" s="7">
        <f>SOJA!D151</f>
        <v>2.894090909090909</v>
      </c>
      <c r="E151" s="2">
        <f>SOJA!E151</f>
        <v>1.7230580618613176</v>
      </c>
      <c r="F151" s="3">
        <f t="shared" si="19"/>
        <v>156.59271304652779</v>
      </c>
      <c r="G151" s="3">
        <f t="shared" si="25"/>
        <v>1.7230580618613178</v>
      </c>
      <c r="H151" s="3">
        <f t="shared" si="23"/>
        <v>154.52547394064169</v>
      </c>
      <c r="I151" s="4">
        <f t="shared" si="21"/>
        <v>0.2</v>
      </c>
      <c r="J151" s="5">
        <f t="shared" si="20"/>
        <v>125.27417043722224</v>
      </c>
      <c r="K151" s="63">
        <f t="shared" si="24"/>
        <v>123.62037915251335</v>
      </c>
      <c r="L151" s="10">
        <f t="shared" si="27"/>
        <v>104.72557704663159</v>
      </c>
      <c r="M151" s="10">
        <f t="shared" si="27"/>
        <v>160.43790162542663</v>
      </c>
    </row>
    <row r="152" spans="1:13" x14ac:dyDescent="0.15">
      <c r="A152" s="34">
        <v>38534</v>
      </c>
      <c r="B152" t="s">
        <v>4</v>
      </c>
      <c r="C152" s="9">
        <v>101</v>
      </c>
      <c r="D152" s="7">
        <f>SOJA!D152</f>
        <v>2.885714285714287</v>
      </c>
      <c r="E152" s="2">
        <f>SOJA!E152</f>
        <v>1.7403347852816125</v>
      </c>
      <c r="F152" s="3">
        <f t="shared" si="19"/>
        <v>169.71231854287007</v>
      </c>
      <c r="G152" s="3">
        <f t="shared" si="25"/>
        <v>1.7403347852816127</v>
      </c>
      <c r="H152" s="3">
        <f t="shared" si="23"/>
        <v>167.47188260675992</v>
      </c>
      <c r="I152" s="4">
        <f t="shared" si="21"/>
        <v>0.2</v>
      </c>
      <c r="J152" s="5">
        <f t="shared" si="20"/>
        <v>135.76985483429607</v>
      </c>
      <c r="K152" s="63">
        <f t="shared" si="24"/>
        <v>133.97750608540795</v>
      </c>
      <c r="L152" s="10">
        <f t="shared" si="27"/>
        <v>104.72557704663159</v>
      </c>
      <c r="M152" s="10">
        <f t="shared" si="27"/>
        <v>160.43790162542663</v>
      </c>
    </row>
    <row r="153" spans="1:13" x14ac:dyDescent="0.15">
      <c r="A153" s="34">
        <v>38565</v>
      </c>
      <c r="B153" t="s">
        <v>3</v>
      </c>
      <c r="C153" s="9">
        <v>100</v>
      </c>
      <c r="D153" s="7">
        <f>SOJA!D153</f>
        <v>2.8975</v>
      </c>
      <c r="E153" s="2">
        <f>SOJA!E153</f>
        <v>1.7479537130011211</v>
      </c>
      <c r="F153" s="3">
        <f t="shared" si="19"/>
        <v>167.98286378086345</v>
      </c>
      <c r="G153" s="3">
        <f t="shared" si="25"/>
        <v>1.7479537130011213</v>
      </c>
      <c r="H153" s="3">
        <f t="shared" si="23"/>
        <v>165.76525902537679</v>
      </c>
      <c r="I153" s="4">
        <f t="shared" si="21"/>
        <v>0.2</v>
      </c>
      <c r="J153" s="5">
        <f t="shared" si="20"/>
        <v>134.38629102469076</v>
      </c>
      <c r="K153" s="63">
        <f t="shared" si="24"/>
        <v>132.61220722030143</v>
      </c>
      <c r="L153" s="10">
        <f t="shared" si="27"/>
        <v>104.72557704663159</v>
      </c>
      <c r="M153" s="10">
        <f t="shared" si="27"/>
        <v>160.43790162542663</v>
      </c>
    </row>
    <row r="154" spans="1:13" x14ac:dyDescent="0.15">
      <c r="A154" s="34">
        <v>38596</v>
      </c>
      <c r="B154" t="s">
        <v>5</v>
      </c>
      <c r="C154" s="9">
        <v>98</v>
      </c>
      <c r="D154" s="7">
        <f>SOJA!D154</f>
        <v>2.918545454545455</v>
      </c>
      <c r="E154" s="2">
        <f>SOJA!E154</f>
        <v>1.7683423928138913</v>
      </c>
      <c r="F154" s="3">
        <f t="shared" si="19"/>
        <v>163.90705344246854</v>
      </c>
      <c r="G154" s="3">
        <f t="shared" si="25"/>
        <v>1.7683423928138915</v>
      </c>
      <c r="H154" s="3">
        <f t="shared" si="23"/>
        <v>161.74325498713324</v>
      </c>
      <c r="I154" s="4">
        <f t="shared" si="21"/>
        <v>0.2</v>
      </c>
      <c r="J154" s="5">
        <f t="shared" si="20"/>
        <v>131.12564275397483</v>
      </c>
      <c r="K154" s="63">
        <f t="shared" si="24"/>
        <v>129.39460398970661</v>
      </c>
      <c r="L154" s="10">
        <f t="shared" si="27"/>
        <v>104.72557704663159</v>
      </c>
      <c r="M154" s="10">
        <f t="shared" si="27"/>
        <v>160.43790162542663</v>
      </c>
    </row>
    <row r="155" spans="1:13" x14ac:dyDescent="0.15">
      <c r="A155" s="34">
        <v>38626</v>
      </c>
      <c r="B155" t="s">
        <v>6</v>
      </c>
      <c r="C155" s="9">
        <v>96</v>
      </c>
      <c r="D155" s="7">
        <f>SOJA!D155</f>
        <v>2.9751428571428575</v>
      </c>
      <c r="E155" s="2">
        <f>SOJA!E155</f>
        <v>1.7820779244772313</v>
      </c>
      <c r="F155" s="3">
        <f t="shared" si="19"/>
        <v>162.41413779844288</v>
      </c>
      <c r="G155" s="3">
        <f t="shared" si="25"/>
        <v>1.7820779244772316</v>
      </c>
      <c r="H155" s="3">
        <f t="shared" si="23"/>
        <v>160.27004788216453</v>
      </c>
      <c r="I155" s="4">
        <f t="shared" si="21"/>
        <v>0.2</v>
      </c>
      <c r="J155" s="5">
        <f t="shared" si="20"/>
        <v>129.93131023875432</v>
      </c>
      <c r="K155" s="63">
        <f t="shared" si="24"/>
        <v>128.21603830573164</v>
      </c>
      <c r="L155" s="10">
        <f t="shared" si="27"/>
        <v>104.72557704663159</v>
      </c>
      <c r="M155" s="10">
        <f t="shared" si="27"/>
        <v>160.43790162542663</v>
      </c>
    </row>
    <row r="156" spans="1:13" x14ac:dyDescent="0.15">
      <c r="A156" s="34">
        <v>38657</v>
      </c>
      <c r="B156" t="s">
        <v>7</v>
      </c>
      <c r="C156" s="9">
        <v>92</v>
      </c>
      <c r="D156" s="7">
        <f>SOJA!D156</f>
        <v>2.9837272727272723</v>
      </c>
      <c r="E156" s="2">
        <f>SOJA!E156</f>
        <v>1.8036470015423198</v>
      </c>
      <c r="F156" s="3">
        <f t="shared" si="19"/>
        <v>154.2292943142744</v>
      </c>
      <c r="G156" s="3">
        <f t="shared" si="25"/>
        <v>1.80364700154232</v>
      </c>
      <c r="H156" s="3">
        <f t="shared" si="23"/>
        <v>152.19325558503317</v>
      </c>
      <c r="I156" s="4">
        <f t="shared" si="21"/>
        <v>0.2</v>
      </c>
      <c r="J156" s="5">
        <f t="shared" si="20"/>
        <v>123.38343545141952</v>
      </c>
      <c r="K156" s="63">
        <f t="shared" si="24"/>
        <v>121.75460446802654</v>
      </c>
      <c r="L156" s="10">
        <f t="shared" si="27"/>
        <v>104.72557704663159</v>
      </c>
      <c r="M156" s="10">
        <f t="shared" si="27"/>
        <v>160.43790162542663</v>
      </c>
    </row>
    <row r="157" spans="1:13" x14ac:dyDescent="0.15">
      <c r="A157" s="34">
        <v>38687</v>
      </c>
      <c r="B157" t="s">
        <v>24</v>
      </c>
      <c r="C157" s="9">
        <v>96</v>
      </c>
      <c r="D157" s="7">
        <f>SOJA!D157</f>
        <v>3.031931818181818</v>
      </c>
      <c r="E157" s="2">
        <f>SOJA!E157</f>
        <v>1.8237137548317301</v>
      </c>
      <c r="F157" s="3">
        <f t="shared" si="19"/>
        <v>161.73553681786427</v>
      </c>
      <c r="G157" s="3">
        <f t="shared" si="25"/>
        <v>1.8237137548317304</v>
      </c>
      <c r="H157" s="3">
        <f t="shared" si="23"/>
        <v>159.60040536751364</v>
      </c>
      <c r="I157" s="4">
        <f t="shared" si="21"/>
        <v>0.2</v>
      </c>
      <c r="J157" s="5">
        <f t="shared" si="20"/>
        <v>129.38842945429141</v>
      </c>
      <c r="K157" s="63">
        <f t="shared" si="24"/>
        <v>127.68032429401092</v>
      </c>
      <c r="L157" s="10">
        <f t="shared" si="27"/>
        <v>104.72557704663159</v>
      </c>
      <c r="M157" s="10">
        <f t="shared" si="27"/>
        <v>160.43790162542663</v>
      </c>
    </row>
    <row r="158" spans="1:13" x14ac:dyDescent="0.15">
      <c r="A158" s="34">
        <v>38718</v>
      </c>
      <c r="B158" t="s">
        <v>12</v>
      </c>
      <c r="C158" s="9">
        <v>103</v>
      </c>
      <c r="D158" s="7">
        <f>SOJA!D158</f>
        <v>3.0668181818181823</v>
      </c>
      <c r="E158" s="2">
        <f>SOJA!E158</f>
        <v>1.8469997733547363</v>
      </c>
      <c r="F158" s="3">
        <f t="shared" si="19"/>
        <v>173.31249570363499</v>
      </c>
      <c r="G158" s="3">
        <f t="shared" si="25"/>
        <v>1.8469997733547365</v>
      </c>
      <c r="H158" s="3">
        <f t="shared" si="23"/>
        <v>171.02453247924905</v>
      </c>
      <c r="I158" s="4">
        <f t="shared" si="21"/>
        <v>0.2</v>
      </c>
      <c r="J158" s="5">
        <f t="shared" si="20"/>
        <v>138.649996562908</v>
      </c>
      <c r="K158" s="63">
        <f t="shared" si="24"/>
        <v>136.81962598339925</v>
      </c>
      <c r="L158" s="10">
        <f t="shared" si="27"/>
        <v>104.72557704663159</v>
      </c>
      <c r="M158" s="10">
        <f t="shared" si="27"/>
        <v>160.43790162542663</v>
      </c>
    </row>
    <row r="159" spans="1:13" x14ac:dyDescent="0.15">
      <c r="A159" s="34">
        <v>38749</v>
      </c>
      <c r="B159" t="s">
        <v>1</v>
      </c>
      <c r="C159" s="9">
        <v>107</v>
      </c>
      <c r="D159" s="7">
        <f>SOJA!D159</f>
        <v>3.0855000000000006</v>
      </c>
      <c r="E159" s="2">
        <f>SOJA!E159</f>
        <v>1.8542967745508858</v>
      </c>
      <c r="F159" s="3">
        <f t="shared" si="19"/>
        <v>180.4270090360977</v>
      </c>
      <c r="G159" s="3">
        <f t="shared" si="25"/>
        <v>1.854296774550886</v>
      </c>
      <c r="H159" s="3">
        <f t="shared" si="23"/>
        <v>178.04512445423555</v>
      </c>
      <c r="I159" s="4">
        <f t="shared" si="21"/>
        <v>0.2</v>
      </c>
      <c r="J159" s="5">
        <f t="shared" si="20"/>
        <v>144.34160722887816</v>
      </c>
      <c r="K159" s="63">
        <f t="shared" si="24"/>
        <v>142.43609956338844</v>
      </c>
      <c r="L159" s="10">
        <f t="shared" si="27"/>
        <v>104.72557704663159</v>
      </c>
      <c r="M159" s="10">
        <f t="shared" si="27"/>
        <v>160.43790162542663</v>
      </c>
    </row>
    <row r="160" spans="1:13" x14ac:dyDescent="0.15">
      <c r="A160" s="34">
        <v>38777</v>
      </c>
      <c r="B160" t="s">
        <v>2</v>
      </c>
      <c r="C160" s="9">
        <v>102</v>
      </c>
      <c r="D160" s="7">
        <f>SOJA!D160</f>
        <v>3.0910869565217411</v>
      </c>
      <c r="E160" s="2">
        <f>SOJA!E160</f>
        <v>1.8766170135038129</v>
      </c>
      <c r="F160" s="3">
        <f t="shared" si="19"/>
        <v>170.25787523066452</v>
      </c>
      <c r="G160" s="3">
        <f t="shared" si="25"/>
        <v>1.8766170135038132</v>
      </c>
      <c r="H160" s="3">
        <f t="shared" si="23"/>
        <v>168.01023719620932</v>
      </c>
      <c r="I160" s="4">
        <f t="shared" si="21"/>
        <v>0.2</v>
      </c>
      <c r="J160" s="5">
        <f t="shared" si="20"/>
        <v>136.20630018453161</v>
      </c>
      <c r="K160" s="63">
        <f t="shared" si="24"/>
        <v>134.40818975696746</v>
      </c>
      <c r="L160" s="10">
        <f t="shared" si="27"/>
        <v>104.72557704663159</v>
      </c>
      <c r="M160" s="10">
        <f t="shared" si="27"/>
        <v>160.43790162542663</v>
      </c>
    </row>
    <row r="161" spans="1:13" x14ac:dyDescent="0.15">
      <c r="A161" s="34">
        <v>38808</v>
      </c>
      <c r="B161" t="s">
        <v>3</v>
      </c>
      <c r="C161" s="9">
        <v>109</v>
      </c>
      <c r="D161" s="7">
        <f>SOJA!D161</f>
        <v>3.0870000000000006</v>
      </c>
      <c r="E161" s="2">
        <f>SOJA!E161</f>
        <v>1.8948595164941864</v>
      </c>
      <c r="F161" s="3">
        <f t="shared" si="19"/>
        <v>179.95237154009865</v>
      </c>
      <c r="G161" s="3">
        <f t="shared" si="25"/>
        <v>1.8948595164941866</v>
      </c>
      <c r="H161" s="3">
        <f t="shared" si="23"/>
        <v>177.57675282574564</v>
      </c>
      <c r="I161" s="4">
        <f t="shared" si="21"/>
        <v>0.2</v>
      </c>
      <c r="J161" s="5">
        <f t="shared" si="20"/>
        <v>143.96189723207894</v>
      </c>
      <c r="K161" s="63">
        <f t="shared" si="24"/>
        <v>142.06140226059651</v>
      </c>
      <c r="L161" s="10">
        <f t="shared" si="27"/>
        <v>104.72557704663159</v>
      </c>
      <c r="M161" s="10">
        <f t="shared" si="27"/>
        <v>160.43790162542663</v>
      </c>
    </row>
    <row r="162" spans="1:13" x14ac:dyDescent="0.15">
      <c r="A162" s="34">
        <v>38838</v>
      </c>
      <c r="B162" t="s">
        <v>2</v>
      </c>
      <c r="C162" s="9">
        <v>115</v>
      </c>
      <c r="D162" s="7">
        <f>SOJA!D162</f>
        <v>3.0743478260869561</v>
      </c>
      <c r="E162" s="2">
        <f>SOJA!E162</f>
        <v>1.9037661503071333</v>
      </c>
      <c r="F162" s="3">
        <f t="shared" si="19"/>
        <v>188.19527056942164</v>
      </c>
      <c r="G162" s="3">
        <f t="shared" si="25"/>
        <v>1.9037661503071335</v>
      </c>
      <c r="H162" s="3">
        <f t="shared" si="23"/>
        <v>185.71083425501706</v>
      </c>
      <c r="I162" s="4">
        <f t="shared" si="21"/>
        <v>0.2</v>
      </c>
      <c r="J162" s="5">
        <f t="shared" si="20"/>
        <v>150.55621645553731</v>
      </c>
      <c r="K162" s="63">
        <f t="shared" si="24"/>
        <v>148.56866740401367</v>
      </c>
      <c r="L162" s="10">
        <f t="shared" si="27"/>
        <v>104.72557704663159</v>
      </c>
      <c r="M162" s="10">
        <f t="shared" si="27"/>
        <v>160.43790162542663</v>
      </c>
    </row>
    <row r="163" spans="1:13" x14ac:dyDescent="0.15">
      <c r="A163" s="34">
        <v>38869</v>
      </c>
      <c r="B163" t="s">
        <v>4</v>
      </c>
      <c r="C163" s="9">
        <v>113</v>
      </c>
      <c r="D163" s="7">
        <f>SOJA!D163</f>
        <v>3.100454545454546</v>
      </c>
      <c r="E163" s="2">
        <f>SOJA!E163</f>
        <v>1.9129947106434397</v>
      </c>
      <c r="F163" s="3">
        <f t="shared" si="19"/>
        <v>185.59296380552908</v>
      </c>
      <c r="G163" s="3">
        <f t="shared" si="25"/>
        <v>1.91299471064344</v>
      </c>
      <c r="H163" s="3">
        <f t="shared" si="23"/>
        <v>183.14288151822555</v>
      </c>
      <c r="I163" s="4">
        <f t="shared" si="21"/>
        <v>0.2</v>
      </c>
      <c r="J163" s="5">
        <f t="shared" si="20"/>
        <v>148.47437104442326</v>
      </c>
      <c r="K163" s="63">
        <f t="shared" si="24"/>
        <v>146.51430521458045</v>
      </c>
      <c r="L163" s="10">
        <f t="shared" si="27"/>
        <v>104.72557704663159</v>
      </c>
      <c r="M163" s="10">
        <f t="shared" si="27"/>
        <v>160.43790162542663</v>
      </c>
    </row>
    <row r="164" spans="1:13" x14ac:dyDescent="0.15">
      <c r="A164" s="34">
        <v>38899</v>
      </c>
      <c r="B164" t="s">
        <v>4</v>
      </c>
      <c r="C164" s="9">
        <v>116</v>
      </c>
      <c r="D164" s="7">
        <f>SOJA!D164</f>
        <v>3.1014285714285719</v>
      </c>
      <c r="E164" s="2">
        <f>SOJA!E164</f>
        <v>1.9247986831666224</v>
      </c>
      <c r="F164" s="3">
        <f t="shared" si="19"/>
        <v>189.41131711582912</v>
      </c>
      <c r="G164" s="3">
        <f t="shared" si="25"/>
        <v>1.9247986831666226</v>
      </c>
      <c r="H164" s="3">
        <f t="shared" si="23"/>
        <v>186.91082731511344</v>
      </c>
      <c r="I164" s="4">
        <f t="shared" si="21"/>
        <v>0.2</v>
      </c>
      <c r="J164" s="5">
        <f t="shared" si="20"/>
        <v>151.5290536926633</v>
      </c>
      <c r="K164" s="63">
        <f t="shared" si="24"/>
        <v>149.52866185209075</v>
      </c>
      <c r="L164" s="10">
        <f t="shared" ref="L164:M179" si="28">+L163</f>
        <v>104.72557704663159</v>
      </c>
      <c r="M164" s="10">
        <f t="shared" si="28"/>
        <v>160.43790162542663</v>
      </c>
    </row>
    <row r="165" spans="1:13" x14ac:dyDescent="0.15">
      <c r="A165" s="34">
        <v>38930</v>
      </c>
      <c r="B165" t="s">
        <v>3</v>
      </c>
      <c r="C165" s="9">
        <v>117</v>
      </c>
      <c r="D165" s="7">
        <f>SOJA!D165</f>
        <v>3.0960869565217393</v>
      </c>
      <c r="E165" s="2">
        <f>SOJA!E165</f>
        <v>1.9356368761197265</v>
      </c>
      <c r="F165" s="3">
        <f t="shared" si="19"/>
        <v>189.64726698041011</v>
      </c>
      <c r="G165" s="3">
        <f t="shared" si="25"/>
        <v>1.9356368761197267</v>
      </c>
      <c r="H165" s="3">
        <f t="shared" si="23"/>
        <v>187.14366231708297</v>
      </c>
      <c r="I165" s="4">
        <f t="shared" si="21"/>
        <v>0.2</v>
      </c>
      <c r="J165" s="5">
        <f t="shared" si="20"/>
        <v>151.7178135843281</v>
      </c>
      <c r="K165" s="63">
        <f t="shared" si="24"/>
        <v>149.71492985366638</v>
      </c>
      <c r="L165" s="10">
        <f t="shared" si="28"/>
        <v>104.72557704663159</v>
      </c>
      <c r="M165" s="10">
        <f t="shared" si="28"/>
        <v>160.43790162542663</v>
      </c>
    </row>
    <row r="166" spans="1:13" x14ac:dyDescent="0.15">
      <c r="A166" s="34">
        <v>38961</v>
      </c>
      <c r="B166" t="s">
        <v>5</v>
      </c>
      <c r="C166" s="9">
        <v>117</v>
      </c>
      <c r="D166" s="7">
        <f>SOJA!D166</f>
        <v>3.1157619047619041</v>
      </c>
      <c r="E166" s="2">
        <f>SOJA!E166</f>
        <v>1.9530209083811412</v>
      </c>
      <c r="F166" s="3">
        <f t="shared" si="19"/>
        <v>189.1536370562772</v>
      </c>
      <c r="G166" s="3">
        <f t="shared" si="25"/>
        <v>1.9530209083811414</v>
      </c>
      <c r="H166" s="3">
        <f t="shared" si="23"/>
        <v>186.65654898662265</v>
      </c>
      <c r="I166" s="4">
        <f t="shared" si="21"/>
        <v>0.2</v>
      </c>
      <c r="J166" s="5">
        <f t="shared" si="20"/>
        <v>151.32290964502178</v>
      </c>
      <c r="K166" s="63">
        <f t="shared" si="24"/>
        <v>149.32523918929812</v>
      </c>
      <c r="L166" s="10">
        <f t="shared" si="28"/>
        <v>104.72557704663159</v>
      </c>
      <c r="M166" s="10">
        <f t="shared" si="28"/>
        <v>160.43790162542663</v>
      </c>
    </row>
    <row r="167" spans="1:13" x14ac:dyDescent="0.15">
      <c r="A167" s="34">
        <v>38991</v>
      </c>
      <c r="B167" t="s">
        <v>6</v>
      </c>
      <c r="C167" s="9">
        <v>146</v>
      </c>
      <c r="D167" s="7">
        <f>SOJA!D167</f>
        <v>3.1163636363636367</v>
      </c>
      <c r="E167" s="2">
        <f>SOJA!E167</f>
        <v>1.9693607475488095</v>
      </c>
      <c r="F167" s="3">
        <f t="shared" si="19"/>
        <v>234.12466590332158</v>
      </c>
      <c r="G167" s="3">
        <f t="shared" si="25"/>
        <v>1.9693607475488097</v>
      </c>
      <c r="H167" s="3">
        <f t="shared" si="23"/>
        <v>231.03389842384084</v>
      </c>
      <c r="I167" s="4">
        <f t="shared" si="21"/>
        <v>0.2</v>
      </c>
      <c r="J167" s="5">
        <f t="shared" si="20"/>
        <v>187.29973272265727</v>
      </c>
      <c r="K167" s="63">
        <f t="shared" si="24"/>
        <v>184.82711873907269</v>
      </c>
      <c r="L167" s="10">
        <f t="shared" si="28"/>
        <v>104.72557704663159</v>
      </c>
      <c r="M167" s="10">
        <f t="shared" si="28"/>
        <v>160.43790162542663</v>
      </c>
    </row>
    <row r="168" spans="1:13" x14ac:dyDescent="0.15">
      <c r="A168" s="34">
        <v>39022</v>
      </c>
      <c r="B168" t="s">
        <v>7</v>
      </c>
      <c r="C168" s="9">
        <v>184</v>
      </c>
      <c r="D168" s="7">
        <f>SOJA!D168</f>
        <v>3.095454545454547</v>
      </c>
      <c r="E168" s="2">
        <f>SOJA!E168</f>
        <v>1.9836733563010711</v>
      </c>
      <c r="F168" s="3">
        <f t="shared" si="19"/>
        <v>290.96688069271556</v>
      </c>
      <c r="G168" s="3">
        <f t="shared" si="25"/>
        <v>1.9836733563010713</v>
      </c>
      <c r="H168" s="3">
        <f t="shared" si="23"/>
        <v>287.12571782770436</v>
      </c>
      <c r="I168" s="4">
        <f t="shared" si="21"/>
        <v>0.2</v>
      </c>
      <c r="J168" s="5">
        <f t="shared" si="20"/>
        <v>232.77350455417246</v>
      </c>
      <c r="K168" s="63">
        <f t="shared" si="24"/>
        <v>229.70057426216351</v>
      </c>
      <c r="L168" s="10">
        <f t="shared" si="28"/>
        <v>104.72557704663159</v>
      </c>
      <c r="M168" s="10">
        <f t="shared" si="28"/>
        <v>160.43790162542663</v>
      </c>
    </row>
    <row r="169" spans="1:13" x14ac:dyDescent="0.15">
      <c r="A169" s="34">
        <v>39052</v>
      </c>
      <c r="B169" t="s">
        <v>25</v>
      </c>
      <c r="C169" s="9">
        <v>179</v>
      </c>
      <c r="D169" s="7">
        <f>SOJA!D169</f>
        <v>3.0812499999999998</v>
      </c>
      <c r="E169" s="2">
        <f>SOJA!E169</f>
        <v>2.0031102056057049</v>
      </c>
      <c r="F169" s="3">
        <f t="shared" si="19"/>
        <v>279.02723032495618</v>
      </c>
      <c r="G169" s="3">
        <f t="shared" si="25"/>
        <v>2.0031102056057053</v>
      </c>
      <c r="H169" s="3">
        <f t="shared" si="23"/>
        <v>275.34368726019386</v>
      </c>
      <c r="I169" s="4">
        <f t="shared" si="21"/>
        <v>0.2</v>
      </c>
      <c r="J169" s="5">
        <f t="shared" si="20"/>
        <v>223.22178425996495</v>
      </c>
      <c r="K169" s="63">
        <f t="shared" si="24"/>
        <v>220.2749498081551</v>
      </c>
      <c r="L169" s="10">
        <f t="shared" si="28"/>
        <v>104.72557704663159</v>
      </c>
      <c r="M169" s="10">
        <f t="shared" si="28"/>
        <v>160.43790162542663</v>
      </c>
    </row>
    <row r="170" spans="1:13" x14ac:dyDescent="0.15">
      <c r="A170" s="34">
        <v>39083</v>
      </c>
      <c r="B170" t="s">
        <v>13</v>
      </c>
      <c r="C170" s="9">
        <v>178</v>
      </c>
      <c r="D170" s="7">
        <f>SOJA!D170</f>
        <v>3.101818181818182</v>
      </c>
      <c r="E170" s="2">
        <f>SOJA!E170</f>
        <v>2.0560169817915055</v>
      </c>
      <c r="F170" s="3">
        <f t="shared" si="19"/>
        <v>272.1329355420113</v>
      </c>
      <c r="G170" s="3">
        <f t="shared" si="25"/>
        <v>2.0560169817915059</v>
      </c>
      <c r="H170" s="3">
        <f t="shared" si="23"/>
        <v>268.54040664710107</v>
      </c>
      <c r="I170" s="4">
        <f t="shared" si="21"/>
        <v>0.2</v>
      </c>
      <c r="J170" s="5">
        <f t="shared" si="20"/>
        <v>217.70634843360904</v>
      </c>
      <c r="K170" s="63">
        <f t="shared" si="24"/>
        <v>214.83232531768087</v>
      </c>
      <c r="L170" s="10">
        <f t="shared" si="28"/>
        <v>104.72557704663159</v>
      </c>
      <c r="M170" s="10">
        <f t="shared" si="28"/>
        <v>160.43790162542663</v>
      </c>
    </row>
    <row r="171" spans="1:13" x14ac:dyDescent="0.15">
      <c r="A171" s="34">
        <v>39114</v>
      </c>
      <c r="B171" t="s">
        <v>1</v>
      </c>
      <c r="C171" s="9">
        <v>167</v>
      </c>
      <c r="D171" s="7">
        <f>SOJA!D171</f>
        <v>3.12</v>
      </c>
      <c r="E171" s="2">
        <f>SOJA!E171</f>
        <v>2.0636076270593779</v>
      </c>
      <c r="F171" s="3">
        <f t="shared" si="19"/>
        <v>255.86766454272583</v>
      </c>
      <c r="G171" s="3">
        <f t="shared" si="25"/>
        <v>2.0636076270593784</v>
      </c>
      <c r="H171" s="3">
        <f t="shared" si="23"/>
        <v>252.48985958754045</v>
      </c>
      <c r="I171" s="4">
        <f t="shared" si="21"/>
        <v>0.2</v>
      </c>
      <c r="J171" s="5">
        <f t="shared" si="20"/>
        <v>204.69413163418068</v>
      </c>
      <c r="K171" s="63">
        <f t="shared" si="24"/>
        <v>201.99188767003238</v>
      </c>
      <c r="L171" s="10">
        <f t="shared" si="28"/>
        <v>104.72557704663159</v>
      </c>
      <c r="M171" s="10">
        <f t="shared" si="28"/>
        <v>160.43790162542663</v>
      </c>
    </row>
    <row r="172" spans="1:13" x14ac:dyDescent="0.15">
      <c r="A172" s="34">
        <v>39142</v>
      </c>
      <c r="B172" t="s">
        <v>2</v>
      </c>
      <c r="C172" s="9">
        <v>161</v>
      </c>
      <c r="D172" s="7">
        <f>SOJA!D172</f>
        <v>3.1197727272727267</v>
      </c>
      <c r="E172" s="2">
        <f>SOJA!E172</f>
        <v>2.0817824498126796</v>
      </c>
      <c r="F172" s="3">
        <f t="shared" si="19"/>
        <v>244.50342919242863</v>
      </c>
      <c r="G172" s="3">
        <f t="shared" si="25"/>
        <v>2.08178244981268</v>
      </c>
      <c r="H172" s="3">
        <f t="shared" si="23"/>
        <v>241.27564776814444</v>
      </c>
      <c r="I172" s="4">
        <f t="shared" si="21"/>
        <v>0.2</v>
      </c>
      <c r="J172" s="5">
        <f t="shared" si="20"/>
        <v>195.60274335394291</v>
      </c>
      <c r="K172" s="63">
        <f t="shared" si="24"/>
        <v>193.02051821451556</v>
      </c>
      <c r="L172" s="10">
        <f t="shared" si="28"/>
        <v>104.72557704663159</v>
      </c>
      <c r="M172" s="10">
        <f t="shared" si="28"/>
        <v>160.43790162542663</v>
      </c>
    </row>
    <row r="173" spans="1:13" x14ac:dyDescent="0.15">
      <c r="A173" s="34">
        <v>39173</v>
      </c>
      <c r="B173" t="s">
        <v>3</v>
      </c>
      <c r="C173" s="9">
        <v>150</v>
      </c>
      <c r="D173" s="7">
        <f>SOJA!D173</f>
        <v>3.1123809523809522</v>
      </c>
      <c r="E173" s="2">
        <f>SOJA!E173</f>
        <v>2.1018101805124889</v>
      </c>
      <c r="F173" s="3">
        <f t="shared" si="19"/>
        <v>225.09299554751342</v>
      </c>
      <c r="G173" s="3">
        <f t="shared" si="25"/>
        <v>2.1018101805124894</v>
      </c>
      <c r="H173" s="3">
        <f t="shared" si="23"/>
        <v>222.12145853404704</v>
      </c>
      <c r="I173" s="4">
        <f t="shared" si="21"/>
        <v>0.2</v>
      </c>
      <c r="J173" s="5">
        <f t="shared" si="20"/>
        <v>180.07439643801075</v>
      </c>
      <c r="K173" s="63">
        <f t="shared" si="24"/>
        <v>177.69716682723765</v>
      </c>
      <c r="L173" s="10">
        <f t="shared" si="28"/>
        <v>104.72557704663159</v>
      </c>
      <c r="M173" s="10">
        <f t="shared" si="28"/>
        <v>160.43790162542663</v>
      </c>
    </row>
    <row r="174" spans="1:13" x14ac:dyDescent="0.15">
      <c r="A174" s="34">
        <v>39203</v>
      </c>
      <c r="B174" t="s">
        <v>2</v>
      </c>
      <c r="C174" s="9">
        <v>150</v>
      </c>
      <c r="D174" s="7">
        <f>SOJA!D174</f>
        <v>3.1021739130434787</v>
      </c>
      <c r="E174" s="2">
        <f>SOJA!E174</f>
        <v>2.1211122506298321</v>
      </c>
      <c r="F174" s="3">
        <f t="shared" ref="F174:F233" si="29">+(C174*(D174/E174))/(AVERAGE(C$109)*AVERAGE(D$109)/AVERAGE(E$109))*100</f>
        <v>222.31318079650654</v>
      </c>
      <c r="G174" s="3">
        <f t="shared" si="25"/>
        <v>2.1211122506298326</v>
      </c>
      <c r="H174" s="3">
        <f t="shared" si="23"/>
        <v>219.37834115962048</v>
      </c>
      <c r="I174" s="4">
        <f t="shared" si="21"/>
        <v>0.2</v>
      </c>
      <c r="J174" s="5">
        <f t="shared" ref="J174:J237" si="30">+F174*(1-I174)/(F$109*(1-I$109))*100</f>
        <v>177.85054463720525</v>
      </c>
      <c r="K174" s="63">
        <f t="shared" si="24"/>
        <v>175.50267292769638</v>
      </c>
      <c r="L174" s="10">
        <f t="shared" si="28"/>
        <v>104.72557704663159</v>
      </c>
      <c r="M174" s="10">
        <f t="shared" si="28"/>
        <v>160.43790162542663</v>
      </c>
    </row>
    <row r="175" spans="1:13" x14ac:dyDescent="0.15">
      <c r="A175" s="34">
        <v>39234</v>
      </c>
      <c r="B175" t="s">
        <v>4</v>
      </c>
      <c r="C175" s="9">
        <v>158</v>
      </c>
      <c r="D175" s="7">
        <f>SOJA!D175</f>
        <v>3.0959523809523817</v>
      </c>
      <c r="E175" s="2">
        <f>SOJA!E175</f>
        <v>2.1406162494635268</v>
      </c>
      <c r="F175" s="3">
        <f t="shared" si="29"/>
        <v>231.57091172565379</v>
      </c>
      <c r="G175" s="3">
        <f t="shared" si="25"/>
        <v>2.1406162494635272</v>
      </c>
      <c r="H175" s="3">
        <f t="shared" si="23"/>
        <v>228.5138573123827</v>
      </c>
      <c r="I175" s="4">
        <f t="shared" si="21"/>
        <v>0.2</v>
      </c>
      <c r="J175" s="5">
        <f t="shared" si="30"/>
        <v>185.25672938052304</v>
      </c>
      <c r="K175" s="63">
        <f t="shared" si="24"/>
        <v>182.81108584990616</v>
      </c>
      <c r="L175" s="10">
        <f t="shared" si="28"/>
        <v>104.72557704663159</v>
      </c>
      <c r="M175" s="10">
        <f t="shared" si="28"/>
        <v>160.43790162542663</v>
      </c>
    </row>
    <row r="176" spans="1:13" x14ac:dyDescent="0.15">
      <c r="A176" s="34">
        <v>39264</v>
      </c>
      <c r="B176" t="s">
        <v>4</v>
      </c>
      <c r="C176" s="9">
        <v>143</v>
      </c>
      <c r="D176" s="7">
        <f>SOJA!D176</f>
        <v>3.1336363636363642</v>
      </c>
      <c r="E176" s="2">
        <f>SOJA!E176</f>
        <v>2.166428097870829</v>
      </c>
      <c r="F176" s="3">
        <f t="shared" si="29"/>
        <v>209.60991423694617</v>
      </c>
      <c r="G176" s="3">
        <f t="shared" si="25"/>
        <v>2.1664280978708295</v>
      </c>
      <c r="H176" s="3">
        <f t="shared" si="23"/>
        <v>206.84277518390923</v>
      </c>
      <c r="I176" s="4">
        <f t="shared" si="21"/>
        <v>0.2</v>
      </c>
      <c r="J176" s="5">
        <f t="shared" si="30"/>
        <v>167.68793138955695</v>
      </c>
      <c r="K176" s="63">
        <f t="shared" si="24"/>
        <v>165.4742201471274</v>
      </c>
      <c r="L176" s="10">
        <f t="shared" si="28"/>
        <v>104.72557704663159</v>
      </c>
      <c r="M176" s="10">
        <f t="shared" si="28"/>
        <v>160.43790162542663</v>
      </c>
    </row>
    <row r="177" spans="1:13" x14ac:dyDescent="0.15">
      <c r="A177" s="34">
        <v>39295</v>
      </c>
      <c r="B177" t="s">
        <v>3</v>
      </c>
      <c r="C177" s="9">
        <v>156</v>
      </c>
      <c r="D177" s="7">
        <f>SOJA!D177</f>
        <v>3.1830434782608701</v>
      </c>
      <c r="E177" s="2">
        <f>SOJA!E177</f>
        <v>2.1975934684989458</v>
      </c>
      <c r="F177" s="3">
        <f t="shared" si="29"/>
        <v>228.97669249433554</v>
      </c>
      <c r="G177" s="3">
        <f t="shared" si="25"/>
        <v>2.1975934684989462</v>
      </c>
      <c r="H177" s="3">
        <f t="shared" si="23"/>
        <v>225.95388534161629</v>
      </c>
      <c r="I177" s="4">
        <f t="shared" si="21"/>
        <v>0.2</v>
      </c>
      <c r="J177" s="5">
        <f t="shared" si="30"/>
        <v>183.18135399546844</v>
      </c>
      <c r="K177" s="63">
        <f t="shared" si="24"/>
        <v>180.76310827329303</v>
      </c>
      <c r="L177" s="10">
        <f t="shared" si="28"/>
        <v>104.72557704663159</v>
      </c>
      <c r="M177" s="10">
        <f t="shared" si="28"/>
        <v>160.43790162542663</v>
      </c>
    </row>
    <row r="178" spans="1:13" x14ac:dyDescent="0.15">
      <c r="A178" s="34">
        <v>39326</v>
      </c>
      <c r="B178" t="s">
        <v>5</v>
      </c>
      <c r="C178" s="9">
        <v>168</v>
      </c>
      <c r="D178" s="7">
        <f>SOJA!D178</f>
        <v>3.1775000000000002</v>
      </c>
      <c r="E178" s="2">
        <f>SOJA!E178</f>
        <v>2.2307164301432154</v>
      </c>
      <c r="F178" s="3">
        <f t="shared" si="29"/>
        <v>242.505693406978</v>
      </c>
      <c r="G178" s="3">
        <f t="shared" si="25"/>
        <v>2.2307164301432159</v>
      </c>
      <c r="H178" s="3">
        <f t="shared" si="23"/>
        <v>239.30428484167658</v>
      </c>
      <c r="I178" s="4">
        <f t="shared" si="21"/>
        <v>0.2</v>
      </c>
      <c r="J178" s="5">
        <f t="shared" si="30"/>
        <v>194.00455472558241</v>
      </c>
      <c r="K178" s="63">
        <f t="shared" si="24"/>
        <v>191.44342787334128</v>
      </c>
      <c r="L178" s="10">
        <f t="shared" si="28"/>
        <v>104.72557704663159</v>
      </c>
      <c r="M178" s="10">
        <f t="shared" si="28"/>
        <v>160.43790162542663</v>
      </c>
    </row>
    <row r="179" spans="1:13" x14ac:dyDescent="0.15">
      <c r="A179" s="34">
        <v>39356</v>
      </c>
      <c r="B179" t="s">
        <v>6</v>
      </c>
      <c r="C179" s="9">
        <v>169</v>
      </c>
      <c r="D179" s="7">
        <f>SOJA!D179</f>
        <v>3.1804347826086961</v>
      </c>
      <c r="E179" s="2">
        <f>SOJA!E179</f>
        <v>2.265917165216802</v>
      </c>
      <c r="F179" s="3">
        <f t="shared" si="29"/>
        <v>240.38127476002856</v>
      </c>
      <c r="G179" s="3">
        <f t="shared" si="25"/>
        <v>2.2659171652168024</v>
      </c>
      <c r="H179" s="3">
        <f t="shared" si="23"/>
        <v>237.20791144165344</v>
      </c>
      <c r="I179" s="4">
        <f>+I178</f>
        <v>0.2</v>
      </c>
      <c r="J179" s="5">
        <f t="shared" si="30"/>
        <v>192.30501980802285</v>
      </c>
      <c r="K179" s="63">
        <f t="shared" si="24"/>
        <v>189.76632915332277</v>
      </c>
      <c r="L179" s="10">
        <f t="shared" si="28"/>
        <v>104.72557704663159</v>
      </c>
      <c r="M179" s="10">
        <f t="shared" si="28"/>
        <v>160.43790162542663</v>
      </c>
    </row>
    <row r="180" spans="1:13" x14ac:dyDescent="0.15">
      <c r="A180" s="34">
        <v>39387</v>
      </c>
      <c r="B180" t="s">
        <v>7</v>
      </c>
      <c r="C180" s="9">
        <v>167</v>
      </c>
      <c r="D180" s="7">
        <f>SOJA!D180</f>
        <v>3.1514772727272713</v>
      </c>
      <c r="E180" s="2">
        <f>SOJA!E180</f>
        <v>2.3177439173822187</v>
      </c>
      <c r="F180" s="3">
        <f t="shared" si="29"/>
        <v>230.11062124505975</v>
      </c>
      <c r="G180" s="3">
        <f t="shared" si="25"/>
        <v>2.3177439173822192</v>
      </c>
      <c r="H180" s="3">
        <f t="shared" si="23"/>
        <v>227.07284467383317</v>
      </c>
      <c r="I180" s="4">
        <v>0.25</v>
      </c>
      <c r="J180" s="5">
        <f t="shared" si="30"/>
        <v>172.58296593379481</v>
      </c>
      <c r="K180" s="63">
        <f t="shared" si="24"/>
        <v>170.30463350537488</v>
      </c>
      <c r="L180" s="10">
        <f t="shared" ref="L180:M195" si="31">+L179</f>
        <v>104.72557704663159</v>
      </c>
      <c r="M180" s="10">
        <f t="shared" si="31"/>
        <v>160.43790162542663</v>
      </c>
    </row>
    <row r="181" spans="1:13" x14ac:dyDescent="0.15">
      <c r="A181" s="34">
        <v>39417</v>
      </c>
      <c r="B181" t="s">
        <v>26</v>
      </c>
      <c r="C181" s="9">
        <v>159</v>
      </c>
      <c r="D181" s="7">
        <f>SOJA!D181</f>
        <v>3.1575000000000002</v>
      </c>
      <c r="E181" s="2">
        <f>SOJA!E181</f>
        <v>2.3923771130598572</v>
      </c>
      <c r="F181" s="3">
        <f t="shared" si="29"/>
        <v>212.6582857969951</v>
      </c>
      <c r="G181" s="3">
        <f t="shared" si="25"/>
        <v>2.3923771130598577</v>
      </c>
      <c r="H181" s="3">
        <f t="shared" si="23"/>
        <v>209.85090404826943</v>
      </c>
      <c r="I181" s="4">
        <f>+I180</f>
        <v>0.25</v>
      </c>
      <c r="J181" s="5">
        <f t="shared" si="30"/>
        <v>159.49371434774633</v>
      </c>
      <c r="K181" s="63">
        <f t="shared" si="24"/>
        <v>157.38817803620208</v>
      </c>
      <c r="L181" s="10">
        <f t="shared" si="31"/>
        <v>104.72557704663159</v>
      </c>
      <c r="M181" s="10">
        <f t="shared" si="31"/>
        <v>160.43790162542663</v>
      </c>
    </row>
    <row r="182" spans="1:13" x14ac:dyDescent="0.15">
      <c r="A182" s="34">
        <v>39448</v>
      </c>
      <c r="B182" t="s">
        <v>14</v>
      </c>
      <c r="C182" s="9">
        <v>202</v>
      </c>
      <c r="D182" s="7">
        <f>SOJA!D182</f>
        <v>3.1640476190476194</v>
      </c>
      <c r="E182" s="2">
        <f>SOJA!E182</f>
        <v>2.446922891556957</v>
      </c>
      <c r="F182" s="3">
        <f t="shared" si="29"/>
        <v>264.69489220386089</v>
      </c>
      <c r="G182" s="3">
        <f t="shared" si="25"/>
        <v>2.4469228915569574</v>
      </c>
      <c r="H182" s="3">
        <f t="shared" si="23"/>
        <v>261.20055570731165</v>
      </c>
      <c r="I182" s="4">
        <f t="shared" ref="I182:I245" si="32">+I181</f>
        <v>0.25</v>
      </c>
      <c r="J182" s="5">
        <f t="shared" si="30"/>
        <v>198.52116915289565</v>
      </c>
      <c r="K182" s="63">
        <f t="shared" si="24"/>
        <v>195.90041678048374</v>
      </c>
      <c r="L182" s="10">
        <f t="shared" si="31"/>
        <v>104.72557704663159</v>
      </c>
      <c r="M182" s="10">
        <f t="shared" si="31"/>
        <v>160.43790162542663</v>
      </c>
    </row>
    <row r="183" spans="1:13" x14ac:dyDescent="0.15">
      <c r="A183" s="34">
        <v>39479</v>
      </c>
      <c r="B183" t="s">
        <v>1</v>
      </c>
      <c r="C183" s="9">
        <v>217</v>
      </c>
      <c r="D183" s="7">
        <f>SOJA!D183</f>
        <v>3.1728571428571435</v>
      </c>
      <c r="E183" s="2">
        <f>SOJA!E183</f>
        <v>2.4730875485779258</v>
      </c>
      <c r="F183" s="3">
        <f t="shared" si="29"/>
        <v>282.12542464178938</v>
      </c>
      <c r="G183" s="3">
        <f t="shared" si="25"/>
        <v>2.4730875485779262</v>
      </c>
      <c r="H183" s="3">
        <f t="shared" si="23"/>
        <v>278.40098115244922</v>
      </c>
      <c r="I183" s="4">
        <f t="shared" si="32"/>
        <v>0.25</v>
      </c>
      <c r="J183" s="5">
        <f t="shared" si="30"/>
        <v>211.59406848134205</v>
      </c>
      <c r="K183" s="63">
        <f t="shared" si="24"/>
        <v>208.8007358643369</v>
      </c>
      <c r="L183" s="10">
        <f t="shared" si="31"/>
        <v>104.72557704663159</v>
      </c>
      <c r="M183" s="10">
        <f t="shared" si="31"/>
        <v>160.43790162542663</v>
      </c>
    </row>
    <row r="184" spans="1:13" x14ac:dyDescent="0.15">
      <c r="A184" s="34">
        <v>39508</v>
      </c>
      <c r="B184" t="s">
        <v>2</v>
      </c>
      <c r="C184" s="9">
        <v>217</v>
      </c>
      <c r="D184" s="7">
        <f>SOJA!D184</f>
        <v>3.1726666666666676</v>
      </c>
      <c r="E184" s="2">
        <f>SOJA!E184</f>
        <v>2.5477943374637815</v>
      </c>
      <c r="F184" s="3">
        <f t="shared" si="29"/>
        <v>273.83646249227075</v>
      </c>
      <c r="G184" s="3">
        <f t="shared" si="25"/>
        <v>2.5477943374637819</v>
      </c>
      <c r="H184" s="3">
        <f t="shared" si="23"/>
        <v>270.22144469949933</v>
      </c>
      <c r="I184" s="4">
        <f t="shared" si="32"/>
        <v>0.25</v>
      </c>
      <c r="J184" s="5">
        <f t="shared" si="30"/>
        <v>205.37734686920305</v>
      </c>
      <c r="K184" s="63">
        <f t="shared" si="24"/>
        <v>202.6660835246245</v>
      </c>
      <c r="L184" s="10">
        <f t="shared" si="31"/>
        <v>104.72557704663159</v>
      </c>
      <c r="M184" s="10">
        <f t="shared" si="31"/>
        <v>160.43790162542663</v>
      </c>
    </row>
    <row r="185" spans="1:13" x14ac:dyDescent="0.15">
      <c r="A185" s="34">
        <v>39539</v>
      </c>
      <c r="B185" t="s">
        <v>3</v>
      </c>
      <c r="C185" s="9">
        <v>225</v>
      </c>
      <c r="D185" s="7">
        <f>SOJA!D185</f>
        <v>3.186818181818182</v>
      </c>
      <c r="E185" s="2">
        <f>SOJA!E185</f>
        <v>2.6050694411765645</v>
      </c>
      <c r="F185" s="3">
        <f t="shared" si="29"/>
        <v>278.92790458300823</v>
      </c>
      <c r="G185" s="3">
        <f t="shared" si="25"/>
        <v>2.6050694411765649</v>
      </c>
      <c r="H185" s="3">
        <f t="shared" si="23"/>
        <v>275.24567275459907</v>
      </c>
      <c r="I185" s="4">
        <f t="shared" si="32"/>
        <v>0.25</v>
      </c>
      <c r="J185" s="5">
        <f t="shared" si="30"/>
        <v>209.19592843725616</v>
      </c>
      <c r="K185" s="63">
        <f t="shared" si="24"/>
        <v>206.43425456594929</v>
      </c>
      <c r="L185" s="10">
        <f t="shared" si="31"/>
        <v>104.72557704663159</v>
      </c>
      <c r="M185" s="10">
        <f t="shared" si="31"/>
        <v>160.43790162542663</v>
      </c>
    </row>
    <row r="186" spans="1:13" x14ac:dyDescent="0.15">
      <c r="A186" s="34">
        <v>39569</v>
      </c>
      <c r="B186" t="s">
        <v>2</v>
      </c>
      <c r="C186" s="9">
        <v>213</v>
      </c>
      <c r="D186" s="7">
        <f>SOJA!D186</f>
        <v>3.1829999999999994</v>
      </c>
      <c r="E186" s="2">
        <f>SOJA!E186</f>
        <v>2.6614640183563356</v>
      </c>
      <c r="F186" s="3">
        <f t="shared" si="29"/>
        <v>258.14701478028081</v>
      </c>
      <c r="G186" s="3">
        <f t="shared" si="25"/>
        <v>2.6614640183563361</v>
      </c>
      <c r="H186" s="3">
        <f t="shared" si="23"/>
        <v>254.73911926816328</v>
      </c>
      <c r="I186" s="4">
        <f t="shared" si="32"/>
        <v>0.25</v>
      </c>
      <c r="J186" s="5">
        <f t="shared" si="30"/>
        <v>193.6102610852106</v>
      </c>
      <c r="K186" s="63">
        <f t="shared" si="24"/>
        <v>191.05433945112247</v>
      </c>
      <c r="L186" s="10">
        <f t="shared" si="31"/>
        <v>104.72557704663159</v>
      </c>
      <c r="M186" s="10">
        <f t="shared" si="31"/>
        <v>160.43790162542663</v>
      </c>
    </row>
    <row r="187" spans="1:13" x14ac:dyDescent="0.15">
      <c r="A187" s="34">
        <v>39600</v>
      </c>
      <c r="B187" t="s">
        <v>4</v>
      </c>
      <c r="C187" s="9">
        <v>260</v>
      </c>
      <c r="D187" s="7">
        <f>SOJA!D187</f>
        <v>3.0738095238095235</v>
      </c>
      <c r="E187" s="2">
        <f>SOJA!E187</f>
        <v>2.6904331128688721</v>
      </c>
      <c r="F187" s="3">
        <f t="shared" si="29"/>
        <v>301.02292029606701</v>
      </c>
      <c r="G187" s="3">
        <f t="shared" si="25"/>
        <v>2.6904331128688725</v>
      </c>
      <c r="H187" s="3">
        <f t="shared" si="23"/>
        <v>297.04900388260552</v>
      </c>
      <c r="I187" s="4">
        <f t="shared" si="32"/>
        <v>0.25</v>
      </c>
      <c r="J187" s="5">
        <f t="shared" si="30"/>
        <v>225.76719022205026</v>
      </c>
      <c r="K187" s="63">
        <f t="shared" si="24"/>
        <v>222.78675291195412</v>
      </c>
      <c r="L187" s="10">
        <f t="shared" si="31"/>
        <v>104.72557704663159</v>
      </c>
      <c r="M187" s="10">
        <f t="shared" si="31"/>
        <v>160.43790162542663</v>
      </c>
    </row>
    <row r="188" spans="1:13" x14ac:dyDescent="0.15">
      <c r="A188" s="34">
        <v>39630</v>
      </c>
      <c r="B188" t="s">
        <v>4</v>
      </c>
      <c r="C188" s="9">
        <v>245</v>
      </c>
      <c r="D188" s="7">
        <f>SOJA!D188</f>
        <v>3.046521739130434</v>
      </c>
      <c r="E188" s="2">
        <f>SOJA!E188</f>
        <v>2.7219237102945608</v>
      </c>
      <c r="F188" s="3">
        <f t="shared" si="29"/>
        <v>277.8854970757821</v>
      </c>
      <c r="G188" s="3">
        <f t="shared" si="25"/>
        <v>2.7219237102945613</v>
      </c>
      <c r="H188" s="3">
        <f t="shared" si="23"/>
        <v>274.21702645963677</v>
      </c>
      <c r="I188" s="4">
        <f t="shared" si="32"/>
        <v>0.25</v>
      </c>
      <c r="J188" s="5">
        <f t="shared" si="30"/>
        <v>208.41412280683659</v>
      </c>
      <c r="K188" s="63">
        <f t="shared" si="24"/>
        <v>205.66276984472756</v>
      </c>
      <c r="L188" s="10">
        <f t="shared" si="31"/>
        <v>104.72557704663159</v>
      </c>
      <c r="M188" s="10">
        <f t="shared" si="31"/>
        <v>160.43790162542663</v>
      </c>
    </row>
    <row r="189" spans="1:13" x14ac:dyDescent="0.15">
      <c r="A189" s="34">
        <v>39661</v>
      </c>
      <c r="B189" t="s">
        <v>3</v>
      </c>
      <c r="C189" s="9">
        <v>218</v>
      </c>
      <c r="D189" s="7">
        <f>SOJA!D189</f>
        <v>3.0538095238095231</v>
      </c>
      <c r="E189" s="2">
        <f>SOJA!E189</f>
        <v>2.7654872347125723</v>
      </c>
      <c r="F189" s="3">
        <f t="shared" si="29"/>
        <v>243.9485521637838</v>
      </c>
      <c r="G189" s="3">
        <f t="shared" si="25"/>
        <v>2.7654872347125727</v>
      </c>
      <c r="H189" s="3">
        <f t="shared" si="23"/>
        <v>240.7280958791581</v>
      </c>
      <c r="I189" s="4">
        <f t="shared" si="32"/>
        <v>0.25</v>
      </c>
      <c r="J189" s="5">
        <f t="shared" si="30"/>
        <v>182.96141412283785</v>
      </c>
      <c r="K189" s="63">
        <f t="shared" si="24"/>
        <v>180.54607190936858</v>
      </c>
      <c r="L189" s="10">
        <f t="shared" si="31"/>
        <v>104.72557704663159</v>
      </c>
      <c r="M189" s="10">
        <f t="shared" si="31"/>
        <v>160.43790162542663</v>
      </c>
    </row>
    <row r="190" spans="1:13" x14ac:dyDescent="0.15">
      <c r="A190" s="34">
        <v>39692</v>
      </c>
      <c r="B190" t="s">
        <v>5</v>
      </c>
      <c r="C190" s="9">
        <v>205</v>
      </c>
      <c r="D190" s="7">
        <f>SOJA!D190</f>
        <v>3.0990909090909096</v>
      </c>
      <c r="E190" s="2">
        <f>SOJA!E190</f>
        <v>2.7850998521060863</v>
      </c>
      <c r="F190" s="3">
        <f t="shared" si="29"/>
        <v>231.16329228450519</v>
      </c>
      <c r="G190" s="3">
        <f t="shared" si="25"/>
        <v>2.7850998521060868</v>
      </c>
      <c r="H190" s="3">
        <f t="shared" si="23"/>
        <v>228.1116190082785</v>
      </c>
      <c r="I190" s="4">
        <f t="shared" si="32"/>
        <v>0.25</v>
      </c>
      <c r="J190" s="5">
        <f t="shared" si="30"/>
        <v>173.37246921337891</v>
      </c>
      <c r="K190" s="63">
        <f t="shared" si="24"/>
        <v>171.08371425620888</v>
      </c>
      <c r="L190" s="10">
        <f t="shared" si="31"/>
        <v>104.72557704663159</v>
      </c>
      <c r="M190" s="10">
        <f t="shared" si="31"/>
        <v>160.43790162542663</v>
      </c>
    </row>
    <row r="191" spans="1:13" x14ac:dyDescent="0.15">
      <c r="A191" s="34">
        <v>39722</v>
      </c>
      <c r="B191" t="s">
        <v>6</v>
      </c>
      <c r="C191" s="9">
        <v>170</v>
      </c>
      <c r="D191" s="7">
        <f>SOJA!D191</f>
        <v>3.2601956521739135</v>
      </c>
      <c r="E191" s="2">
        <f>SOJA!E191</f>
        <v>2.8078337794407497</v>
      </c>
      <c r="F191" s="3">
        <f t="shared" si="29"/>
        <v>200.02885780401658</v>
      </c>
      <c r="G191" s="3">
        <f t="shared" si="25"/>
        <v>2.8078337794407502</v>
      </c>
      <c r="H191" s="3">
        <f t="shared" si="23"/>
        <v>197.38820186854315</v>
      </c>
      <c r="I191" s="4">
        <f t="shared" si="32"/>
        <v>0.25</v>
      </c>
      <c r="J191" s="5">
        <f t="shared" si="30"/>
        <v>150.02164335301245</v>
      </c>
      <c r="K191" s="63">
        <f t="shared" si="24"/>
        <v>148.04115140140738</v>
      </c>
      <c r="L191" s="10">
        <f t="shared" si="31"/>
        <v>104.72557704663159</v>
      </c>
      <c r="M191" s="10">
        <f t="shared" si="31"/>
        <v>160.43790162542663</v>
      </c>
    </row>
    <row r="192" spans="1:13" x14ac:dyDescent="0.15">
      <c r="A192" s="34">
        <v>39753</v>
      </c>
      <c r="B192" t="s">
        <v>7</v>
      </c>
      <c r="C192" s="9">
        <v>155</v>
      </c>
      <c r="D192" s="7">
        <f>SOJA!D192</f>
        <v>3.3424999999999998</v>
      </c>
      <c r="E192" s="2">
        <f>SOJA!E192</f>
        <v>2.8257058004116025</v>
      </c>
      <c r="F192" s="3">
        <f t="shared" si="29"/>
        <v>185.80082381472815</v>
      </c>
      <c r="G192" s="3">
        <f t="shared" si="25"/>
        <v>2.8257058004116029</v>
      </c>
      <c r="H192" s="3">
        <f t="shared" si="23"/>
        <v>183.347997489524</v>
      </c>
      <c r="I192" s="4">
        <f t="shared" si="32"/>
        <v>0.25</v>
      </c>
      <c r="J192" s="5">
        <f t="shared" si="30"/>
        <v>139.35061786104612</v>
      </c>
      <c r="K192" s="63">
        <f t="shared" si="24"/>
        <v>137.510998117143</v>
      </c>
      <c r="L192" s="10">
        <f t="shared" si="31"/>
        <v>104.72557704663159</v>
      </c>
      <c r="M192" s="10">
        <f t="shared" si="31"/>
        <v>160.43790162542663</v>
      </c>
    </row>
    <row r="193" spans="1:13" x14ac:dyDescent="0.15">
      <c r="A193" s="34">
        <v>39783</v>
      </c>
      <c r="B193" t="s">
        <v>27</v>
      </c>
      <c r="C193" s="9">
        <v>140</v>
      </c>
      <c r="D193" s="7">
        <f>SOJA!D193</f>
        <v>3.441363636363636</v>
      </c>
      <c r="E193" s="2">
        <f>SOJA!E193</f>
        <v>2.8498370439172263</v>
      </c>
      <c r="F193" s="3">
        <f t="shared" si="29"/>
        <v>171.32077798796479</v>
      </c>
      <c r="G193" s="3">
        <f t="shared" si="25"/>
        <v>2.8498370439172267</v>
      </c>
      <c r="H193" s="3">
        <f t="shared" si="23"/>
        <v>169.05910817576651</v>
      </c>
      <c r="I193" s="4">
        <v>0.2</v>
      </c>
      <c r="J193" s="5">
        <f t="shared" si="30"/>
        <v>137.05662239037184</v>
      </c>
      <c r="K193" s="63">
        <f t="shared" si="24"/>
        <v>135.2472865406132</v>
      </c>
      <c r="L193" s="10">
        <f t="shared" si="31"/>
        <v>104.72557704663159</v>
      </c>
      <c r="M193" s="10">
        <f t="shared" si="31"/>
        <v>160.43790162542663</v>
      </c>
    </row>
    <row r="194" spans="1:13" x14ac:dyDescent="0.15">
      <c r="A194" s="34">
        <v>39814</v>
      </c>
      <c r="B194" t="s">
        <v>15</v>
      </c>
      <c r="C194" s="9">
        <v>157</v>
      </c>
      <c r="D194" s="7">
        <f>SOJA!D194</f>
        <v>3.4767476190476185</v>
      </c>
      <c r="E194" s="2">
        <f>SOJA!E194</f>
        <v>2.8934660063598896</v>
      </c>
      <c r="F194" s="3">
        <f t="shared" si="29"/>
        <v>191.1727106682967</v>
      </c>
      <c r="G194" s="3">
        <f t="shared" si="25"/>
        <v>2.89346600635989</v>
      </c>
      <c r="H194" s="3">
        <f t="shared" ref="H194:H257" si="33">+(C194*D194)/G194</f>
        <v>188.64896805101199</v>
      </c>
      <c r="I194" s="4">
        <f t="shared" si="32"/>
        <v>0.2</v>
      </c>
      <c r="J194" s="5">
        <f t="shared" si="30"/>
        <v>152.93816853463736</v>
      </c>
      <c r="K194" s="63">
        <f t="shared" ref="K194:K257" si="34">+H194*(1-I194)</f>
        <v>150.9191744408096</v>
      </c>
      <c r="L194" s="10">
        <f t="shared" si="31"/>
        <v>104.72557704663159</v>
      </c>
      <c r="M194" s="10">
        <f t="shared" si="31"/>
        <v>160.43790162542663</v>
      </c>
    </row>
    <row r="195" spans="1:13" x14ac:dyDescent="0.15">
      <c r="A195" s="34">
        <v>39845</v>
      </c>
      <c r="B195" t="s">
        <v>1</v>
      </c>
      <c r="C195" s="9">
        <v>152</v>
      </c>
      <c r="D195" s="7">
        <f>SOJA!D195</f>
        <v>3.5269999999999997</v>
      </c>
      <c r="E195" s="2">
        <f>SOJA!E195</f>
        <v>2.9176817522478338</v>
      </c>
      <c r="F195" s="3">
        <f t="shared" si="29"/>
        <v>186.20125021517191</v>
      </c>
      <c r="G195" s="3">
        <f t="shared" ref="G195:G258" si="35">+E195/AVERAGE(E$2:E$13)</f>
        <v>2.9176817522478342</v>
      </c>
      <c r="H195" s="3">
        <f t="shared" si="33"/>
        <v>183.74313771095007</v>
      </c>
      <c r="I195" s="4">
        <f t="shared" si="32"/>
        <v>0.2</v>
      </c>
      <c r="J195" s="5">
        <f t="shared" si="30"/>
        <v>148.96100017213755</v>
      </c>
      <c r="K195" s="63">
        <f t="shared" si="34"/>
        <v>146.99451016876006</v>
      </c>
      <c r="L195" s="10">
        <f t="shared" si="31"/>
        <v>104.72557704663159</v>
      </c>
      <c r="M195" s="10">
        <f t="shared" si="31"/>
        <v>160.43790162542663</v>
      </c>
    </row>
    <row r="196" spans="1:13" x14ac:dyDescent="0.15">
      <c r="A196" s="34">
        <v>39873</v>
      </c>
      <c r="B196" t="s">
        <v>2</v>
      </c>
      <c r="C196" s="9">
        <v>161</v>
      </c>
      <c r="D196" s="7">
        <f>SOJA!D196</f>
        <v>3.6718181818181819</v>
      </c>
      <c r="E196" s="2">
        <f>SOJA!E196</f>
        <v>2.9546179892047939</v>
      </c>
      <c r="F196" s="3">
        <f t="shared" si="29"/>
        <v>202.75761338928592</v>
      </c>
      <c r="G196" s="3">
        <f t="shared" si="35"/>
        <v>2.9546179892047943</v>
      </c>
      <c r="H196" s="3">
        <f t="shared" si="33"/>
        <v>200.08093412841933</v>
      </c>
      <c r="I196" s="4">
        <f t="shared" si="32"/>
        <v>0.2</v>
      </c>
      <c r="J196" s="5">
        <f t="shared" si="30"/>
        <v>162.20609071142874</v>
      </c>
      <c r="K196" s="63">
        <f t="shared" si="34"/>
        <v>160.06474730273547</v>
      </c>
      <c r="L196" s="10">
        <f t="shared" ref="L196:M211" si="36">+L195</f>
        <v>104.72557704663159</v>
      </c>
      <c r="M196" s="10">
        <f t="shared" si="36"/>
        <v>160.43790162542663</v>
      </c>
    </row>
    <row r="197" spans="1:13" x14ac:dyDescent="0.15">
      <c r="A197" s="34">
        <v>39904</v>
      </c>
      <c r="B197" t="s">
        <v>3</v>
      </c>
      <c r="C197" s="9">
        <v>164</v>
      </c>
      <c r="D197" s="7">
        <f>SOJA!D197</f>
        <v>3.7109523809523819</v>
      </c>
      <c r="E197" s="2">
        <f>SOJA!E197</f>
        <v>2.9905863274524642</v>
      </c>
      <c r="F197" s="3">
        <f t="shared" si="29"/>
        <v>206.22644264709155</v>
      </c>
      <c r="G197" s="3">
        <f t="shared" si="35"/>
        <v>2.9905863274524647</v>
      </c>
      <c r="H197" s="3">
        <f t="shared" si="33"/>
        <v>203.50397007085368</v>
      </c>
      <c r="I197" s="4">
        <f t="shared" si="32"/>
        <v>0.2</v>
      </c>
      <c r="J197" s="5">
        <f t="shared" si="30"/>
        <v>164.98115411767324</v>
      </c>
      <c r="K197" s="63">
        <f t="shared" si="34"/>
        <v>162.80317605668296</v>
      </c>
      <c r="L197" s="10">
        <f t="shared" si="36"/>
        <v>104.72557704663159</v>
      </c>
      <c r="M197" s="10">
        <f t="shared" si="36"/>
        <v>160.43790162542663</v>
      </c>
    </row>
    <row r="198" spans="1:13" x14ac:dyDescent="0.15">
      <c r="A198" s="34">
        <v>39934</v>
      </c>
      <c r="B198" t="s">
        <v>2</v>
      </c>
      <c r="C198" s="9">
        <v>181</v>
      </c>
      <c r="D198" s="7">
        <f>SOJA!D198</f>
        <v>3.738500000000001</v>
      </c>
      <c r="E198" s="2">
        <f>SOJA!E198</f>
        <v>3.016321328786232</v>
      </c>
      <c r="F198" s="3">
        <f t="shared" si="29"/>
        <v>227.33684004201226</v>
      </c>
      <c r="G198" s="3">
        <f t="shared" si="35"/>
        <v>3.0163213287862325</v>
      </c>
      <c r="H198" s="3">
        <f t="shared" si="33"/>
        <v>224.33568119623766</v>
      </c>
      <c r="I198" s="4">
        <f t="shared" si="32"/>
        <v>0.2</v>
      </c>
      <c r="J198" s="5">
        <f t="shared" si="30"/>
        <v>181.86947203360981</v>
      </c>
      <c r="K198" s="63">
        <f t="shared" si="34"/>
        <v>179.46854495699014</v>
      </c>
      <c r="L198" s="10">
        <f t="shared" si="36"/>
        <v>104.72557704663159</v>
      </c>
      <c r="M198" s="10">
        <f t="shared" si="36"/>
        <v>160.43790162542663</v>
      </c>
    </row>
    <row r="199" spans="1:13" x14ac:dyDescent="0.15">
      <c r="A199" s="34">
        <v>39965</v>
      </c>
      <c r="B199" t="s">
        <v>4</v>
      </c>
      <c r="C199" s="9">
        <v>186</v>
      </c>
      <c r="D199" s="7">
        <f>SOJA!D199</f>
        <v>3.7813636363636363</v>
      </c>
      <c r="E199" s="2">
        <f>SOJA!E199</f>
        <v>3.0373021831118563</v>
      </c>
      <c r="F199" s="3">
        <f t="shared" si="29"/>
        <v>234.66312489263635</v>
      </c>
      <c r="G199" s="3">
        <f t="shared" si="35"/>
        <v>3.0373021831118567</v>
      </c>
      <c r="H199" s="3">
        <f t="shared" si="33"/>
        <v>231.56524901418877</v>
      </c>
      <c r="I199" s="4">
        <f t="shared" si="32"/>
        <v>0.2</v>
      </c>
      <c r="J199" s="5">
        <f t="shared" si="30"/>
        <v>187.73049991410909</v>
      </c>
      <c r="K199" s="63">
        <f t="shared" si="34"/>
        <v>185.25219921135101</v>
      </c>
      <c r="L199" s="10">
        <f t="shared" si="36"/>
        <v>104.72557704663159</v>
      </c>
      <c r="M199" s="10">
        <f t="shared" si="36"/>
        <v>160.43790162542663</v>
      </c>
    </row>
    <row r="200" spans="1:13" x14ac:dyDescent="0.15">
      <c r="A200" s="34">
        <v>39995</v>
      </c>
      <c r="B200" t="s">
        <v>4</v>
      </c>
      <c r="C200" s="9">
        <v>164</v>
      </c>
      <c r="D200" s="7">
        <f>SOJA!D200</f>
        <v>3.8213043478260862</v>
      </c>
      <c r="E200" s="2">
        <f>SOJA!E200</f>
        <v>3.0741214084616399</v>
      </c>
      <c r="F200" s="3">
        <f t="shared" si="29"/>
        <v>206.58839679424023</v>
      </c>
      <c r="G200" s="3">
        <f t="shared" si="35"/>
        <v>3.0741214084616404</v>
      </c>
      <c r="H200" s="3">
        <f t="shared" si="33"/>
        <v>203.86114592562234</v>
      </c>
      <c r="I200" s="4">
        <f t="shared" si="32"/>
        <v>0.2</v>
      </c>
      <c r="J200" s="5">
        <f t="shared" si="30"/>
        <v>165.27071743539219</v>
      </c>
      <c r="K200" s="63">
        <f t="shared" si="34"/>
        <v>163.08891674049789</v>
      </c>
      <c r="L200" s="10">
        <f t="shared" si="36"/>
        <v>104.72557704663159</v>
      </c>
      <c r="M200" s="10">
        <f t="shared" si="36"/>
        <v>160.43790162542663</v>
      </c>
    </row>
    <row r="201" spans="1:13" x14ac:dyDescent="0.15">
      <c r="A201" s="34">
        <v>40026</v>
      </c>
      <c r="B201" t="s">
        <v>3</v>
      </c>
      <c r="C201" s="9">
        <v>164</v>
      </c>
      <c r="D201" s="7">
        <f>SOJA!D201</f>
        <v>3.8514285714285714</v>
      </c>
      <c r="E201" s="2">
        <f>SOJA!E201</f>
        <v>3.1148324411634105</v>
      </c>
      <c r="F201" s="3">
        <f t="shared" si="29"/>
        <v>205.49557329524836</v>
      </c>
      <c r="G201" s="3">
        <f t="shared" si="35"/>
        <v>3.114832441163411</v>
      </c>
      <c r="H201" s="3">
        <f t="shared" si="33"/>
        <v>202.78274919930078</v>
      </c>
      <c r="I201" s="4">
        <f t="shared" si="32"/>
        <v>0.2</v>
      </c>
      <c r="J201" s="5">
        <f t="shared" si="30"/>
        <v>164.3964586361987</v>
      </c>
      <c r="K201" s="63">
        <f t="shared" si="34"/>
        <v>162.22619935944064</v>
      </c>
      <c r="L201" s="10">
        <f t="shared" si="36"/>
        <v>104.72557704663159</v>
      </c>
      <c r="M201" s="10">
        <f t="shared" si="36"/>
        <v>160.43790162542663</v>
      </c>
    </row>
    <row r="202" spans="1:13" x14ac:dyDescent="0.15">
      <c r="A202" s="34">
        <v>40057</v>
      </c>
      <c r="B202" t="s">
        <v>5</v>
      </c>
      <c r="C202" s="9">
        <v>161</v>
      </c>
      <c r="D202" s="7">
        <f>SOJA!D202</f>
        <v>3.8545454545454536</v>
      </c>
      <c r="E202" s="2">
        <f>SOJA!E202</f>
        <v>3.1536928413654786</v>
      </c>
      <c r="F202" s="3">
        <f t="shared" si="29"/>
        <v>199.41192202221956</v>
      </c>
      <c r="G202" s="3">
        <f t="shared" si="35"/>
        <v>3.153692841365479</v>
      </c>
      <c r="H202" s="3">
        <f t="shared" si="33"/>
        <v>196.77941048726859</v>
      </c>
      <c r="I202" s="4">
        <f t="shared" si="32"/>
        <v>0.2</v>
      </c>
      <c r="J202" s="5">
        <f t="shared" si="30"/>
        <v>159.52953761777565</v>
      </c>
      <c r="K202" s="63">
        <f t="shared" si="34"/>
        <v>157.42352838981489</v>
      </c>
      <c r="L202" s="10">
        <f t="shared" si="36"/>
        <v>104.72557704663159</v>
      </c>
      <c r="M202" s="10">
        <f t="shared" si="36"/>
        <v>160.43790162542663</v>
      </c>
    </row>
    <row r="203" spans="1:13" x14ac:dyDescent="0.15">
      <c r="A203" s="34">
        <v>40087</v>
      </c>
      <c r="B203" t="s">
        <v>6</v>
      </c>
      <c r="C203" s="9">
        <v>173</v>
      </c>
      <c r="D203" s="7">
        <f>SOJA!D203</f>
        <v>3.8388636363636364</v>
      </c>
      <c r="E203" s="2">
        <f>SOJA!E203</f>
        <v>3.1887722501758722</v>
      </c>
      <c r="F203" s="3">
        <f t="shared" si="29"/>
        <v>211.05553727869184</v>
      </c>
      <c r="G203" s="3">
        <f t="shared" si="35"/>
        <v>3.1887722501758726</v>
      </c>
      <c r="H203" s="3">
        <f t="shared" si="33"/>
        <v>208.26931401396891</v>
      </c>
      <c r="I203" s="4">
        <f t="shared" si="32"/>
        <v>0.2</v>
      </c>
      <c r="J203" s="5">
        <f t="shared" si="30"/>
        <v>168.84442982295349</v>
      </c>
      <c r="K203" s="63">
        <f t="shared" si="34"/>
        <v>166.61545121117513</v>
      </c>
      <c r="L203" s="10">
        <f t="shared" si="36"/>
        <v>104.72557704663159</v>
      </c>
      <c r="M203" s="10">
        <f t="shared" si="36"/>
        <v>160.43790162542663</v>
      </c>
    </row>
    <row r="204" spans="1:13" x14ac:dyDescent="0.15">
      <c r="A204" s="34">
        <v>40118</v>
      </c>
      <c r="B204" t="s">
        <v>7</v>
      </c>
      <c r="C204" s="9">
        <v>175</v>
      </c>
      <c r="D204" s="7">
        <f>SOJA!D204</f>
        <v>3.8219047619047606</v>
      </c>
      <c r="E204" s="2">
        <f>SOJA!E204</f>
        <v>3.2279681982824964</v>
      </c>
      <c r="F204" s="3">
        <f t="shared" si="29"/>
        <v>209.97139141829052</v>
      </c>
      <c r="G204" s="3">
        <f t="shared" si="35"/>
        <v>3.2279681982824968</v>
      </c>
      <c r="H204" s="3">
        <f t="shared" si="33"/>
        <v>207.1994803694779</v>
      </c>
      <c r="I204" s="4">
        <f t="shared" si="32"/>
        <v>0.2</v>
      </c>
      <c r="J204" s="5">
        <f t="shared" si="30"/>
        <v>167.97711313463242</v>
      </c>
      <c r="K204" s="63">
        <f t="shared" si="34"/>
        <v>165.75958429558233</v>
      </c>
      <c r="L204" s="10">
        <f t="shared" si="36"/>
        <v>104.72557704663159</v>
      </c>
      <c r="M204" s="10">
        <f t="shared" si="36"/>
        <v>160.43790162542663</v>
      </c>
    </row>
    <row r="205" spans="1:13" x14ac:dyDescent="0.15">
      <c r="A205" s="34">
        <v>40148</v>
      </c>
      <c r="B205" t="s">
        <v>28</v>
      </c>
      <c r="C205" s="9">
        <v>176</v>
      </c>
      <c r="D205" s="7">
        <f>SOJA!D205</f>
        <v>3.8243478260869557</v>
      </c>
      <c r="E205" s="2">
        <f>SOJA!E205</f>
        <v>3.2924590840370964</v>
      </c>
      <c r="F205" s="3">
        <f t="shared" si="29"/>
        <v>207.16726383735244</v>
      </c>
      <c r="G205" s="3">
        <f t="shared" si="35"/>
        <v>3.2924590840370969</v>
      </c>
      <c r="H205" s="3">
        <f t="shared" si="33"/>
        <v>204.43237112790206</v>
      </c>
      <c r="I205" s="4">
        <f t="shared" si="32"/>
        <v>0.2</v>
      </c>
      <c r="J205" s="5">
        <f t="shared" si="30"/>
        <v>165.73381106988197</v>
      </c>
      <c r="K205" s="63">
        <f t="shared" si="34"/>
        <v>163.54589690232166</v>
      </c>
      <c r="L205" s="10">
        <f t="shared" si="36"/>
        <v>104.72557704663159</v>
      </c>
      <c r="M205" s="10">
        <f t="shared" si="36"/>
        <v>160.43790162542663</v>
      </c>
    </row>
    <row r="206" spans="1:13" x14ac:dyDescent="0.15">
      <c r="A206" s="34">
        <v>40179</v>
      </c>
      <c r="B206" t="s">
        <v>16</v>
      </c>
      <c r="C206" s="9">
        <v>178</v>
      </c>
      <c r="D206" s="7">
        <f>SOJA!D206</f>
        <v>3.829047619047619</v>
      </c>
      <c r="E206" s="2">
        <f>SOJA!E206</f>
        <v>3.3745532753699323</v>
      </c>
      <c r="F206" s="3">
        <f t="shared" si="29"/>
        <v>204.67554008453521</v>
      </c>
      <c r="G206" s="3">
        <f t="shared" si="35"/>
        <v>3.3745532753699328</v>
      </c>
      <c r="H206" s="3">
        <f t="shared" si="33"/>
        <v>201.97354155440308</v>
      </c>
      <c r="I206" s="4">
        <f t="shared" si="32"/>
        <v>0.2</v>
      </c>
      <c r="J206" s="5">
        <f t="shared" si="30"/>
        <v>163.74043206762818</v>
      </c>
      <c r="K206" s="63">
        <f t="shared" si="34"/>
        <v>161.57883324352247</v>
      </c>
      <c r="L206" s="10">
        <f t="shared" si="36"/>
        <v>104.72557704663159</v>
      </c>
      <c r="M206" s="10">
        <f t="shared" si="36"/>
        <v>160.43790162542663</v>
      </c>
    </row>
    <row r="207" spans="1:13" x14ac:dyDescent="0.15">
      <c r="A207" s="34">
        <v>40210</v>
      </c>
      <c r="B207" t="s">
        <v>1</v>
      </c>
      <c r="C207" s="9">
        <v>162</v>
      </c>
      <c r="D207" s="7">
        <f>SOJA!D207</f>
        <v>3.8731578947368432</v>
      </c>
      <c r="E207" s="2">
        <f>SOJA!E207</f>
        <v>3.4527698770150042</v>
      </c>
      <c r="F207" s="3">
        <f t="shared" si="29"/>
        <v>184.15522549097153</v>
      </c>
      <c r="G207" s="3">
        <f t="shared" si="35"/>
        <v>3.4527698770150046</v>
      </c>
      <c r="H207" s="3">
        <f t="shared" si="33"/>
        <v>181.72412332611469</v>
      </c>
      <c r="I207" s="4">
        <f t="shared" si="32"/>
        <v>0.2</v>
      </c>
      <c r="J207" s="5">
        <f t="shared" si="30"/>
        <v>147.32418039277724</v>
      </c>
      <c r="K207" s="63">
        <f t="shared" si="34"/>
        <v>145.37929866089175</v>
      </c>
      <c r="L207" s="10">
        <f t="shared" si="36"/>
        <v>104.72557704663159</v>
      </c>
      <c r="M207" s="10">
        <f t="shared" si="36"/>
        <v>160.43790162542663</v>
      </c>
    </row>
    <row r="208" spans="1:13" x14ac:dyDescent="0.15">
      <c r="A208" s="34">
        <v>40238</v>
      </c>
      <c r="B208" t="s">
        <v>2</v>
      </c>
      <c r="C208" s="9">
        <v>160</v>
      </c>
      <c r="D208" s="7">
        <f>SOJA!D208</f>
        <v>3.8808695652173908</v>
      </c>
      <c r="E208" s="2">
        <f>SOJA!E208</f>
        <v>3.5439095697738785</v>
      </c>
      <c r="F208" s="3">
        <f t="shared" si="29"/>
        <v>177.55702591887282</v>
      </c>
      <c r="G208" s="3">
        <f t="shared" si="35"/>
        <v>3.5439095697738789</v>
      </c>
      <c r="H208" s="3">
        <f t="shared" si="33"/>
        <v>175.21302905999431</v>
      </c>
      <c r="I208" s="4">
        <f t="shared" si="32"/>
        <v>0.2</v>
      </c>
      <c r="J208" s="5">
        <f t="shared" si="30"/>
        <v>142.04562073509825</v>
      </c>
      <c r="K208" s="63">
        <f t="shared" si="34"/>
        <v>140.17042324799544</v>
      </c>
      <c r="L208" s="10">
        <f t="shared" si="36"/>
        <v>104.72557704663159</v>
      </c>
      <c r="M208" s="10">
        <f t="shared" si="36"/>
        <v>160.43790162542663</v>
      </c>
    </row>
    <row r="209" spans="1:13" x14ac:dyDescent="0.15">
      <c r="A209" s="34">
        <v>40269</v>
      </c>
      <c r="B209" t="s">
        <v>3</v>
      </c>
      <c r="C209" s="9">
        <v>166</v>
      </c>
      <c r="D209" s="7">
        <f>SOJA!D209</f>
        <v>3.8927272727272735</v>
      </c>
      <c r="E209" s="2">
        <f>SOJA!E209</f>
        <v>3.6045967842793014</v>
      </c>
      <c r="F209" s="3">
        <f t="shared" si="29"/>
        <v>181.66733244842931</v>
      </c>
      <c r="G209" s="3">
        <f t="shared" si="35"/>
        <v>3.6045967842793019</v>
      </c>
      <c r="H209" s="3">
        <f t="shared" si="33"/>
        <v>179.26907389224849</v>
      </c>
      <c r="I209" s="4">
        <f t="shared" si="32"/>
        <v>0.2</v>
      </c>
      <c r="J209" s="5">
        <f t="shared" si="30"/>
        <v>145.33386595874344</v>
      </c>
      <c r="K209" s="63">
        <f t="shared" si="34"/>
        <v>143.41525911379878</v>
      </c>
      <c r="L209" s="10">
        <f t="shared" si="36"/>
        <v>104.72557704663159</v>
      </c>
      <c r="M209" s="10">
        <f t="shared" si="36"/>
        <v>160.43790162542663</v>
      </c>
    </row>
    <row r="210" spans="1:13" x14ac:dyDescent="0.15">
      <c r="A210" s="34">
        <v>40299</v>
      </c>
      <c r="B210" t="s">
        <v>2</v>
      </c>
      <c r="C210" s="9">
        <v>171</v>
      </c>
      <c r="D210" s="7">
        <f>SOJA!D210</f>
        <v>3.9185000000000016</v>
      </c>
      <c r="E210" s="2">
        <f>SOJA!E210</f>
        <v>3.652207036722086</v>
      </c>
      <c r="F210" s="3">
        <f t="shared" si="29"/>
        <v>185.9225369851346</v>
      </c>
      <c r="G210" s="3">
        <f t="shared" si="35"/>
        <v>3.6522070367220865</v>
      </c>
      <c r="H210" s="3">
        <f t="shared" si="33"/>
        <v>183.46810387874203</v>
      </c>
      <c r="I210" s="4">
        <f t="shared" si="32"/>
        <v>0.2</v>
      </c>
      <c r="J210" s="5">
        <f t="shared" si="30"/>
        <v>148.73802958810768</v>
      </c>
      <c r="K210" s="63">
        <f t="shared" si="34"/>
        <v>146.77448310299363</v>
      </c>
      <c r="L210" s="10">
        <f t="shared" si="36"/>
        <v>104.72557704663159</v>
      </c>
      <c r="M210" s="10">
        <f t="shared" si="36"/>
        <v>160.43790162542663</v>
      </c>
    </row>
    <row r="211" spans="1:13" x14ac:dyDescent="0.15">
      <c r="A211" s="34">
        <v>40330</v>
      </c>
      <c r="B211" t="s">
        <v>4</v>
      </c>
      <c r="C211" s="9">
        <v>165</v>
      </c>
      <c r="D211" s="7">
        <f>SOJA!D211</f>
        <v>3.9459090909090917</v>
      </c>
      <c r="E211" s="2">
        <f>SOJA!E211</f>
        <v>3.7083609801231829</v>
      </c>
      <c r="F211" s="3">
        <f t="shared" si="29"/>
        <v>177.91824301238648</v>
      </c>
      <c r="G211" s="3">
        <f t="shared" si="35"/>
        <v>3.7083609801231834</v>
      </c>
      <c r="H211" s="3">
        <f t="shared" si="33"/>
        <v>175.56947759124921</v>
      </c>
      <c r="I211" s="4">
        <f t="shared" si="32"/>
        <v>0.2</v>
      </c>
      <c r="J211" s="5">
        <f t="shared" si="30"/>
        <v>142.33459440990919</v>
      </c>
      <c r="K211" s="63">
        <f t="shared" si="34"/>
        <v>140.45558207299936</v>
      </c>
      <c r="L211" s="10">
        <f t="shared" si="36"/>
        <v>104.72557704663159</v>
      </c>
      <c r="M211" s="10">
        <f t="shared" si="36"/>
        <v>160.43790162542663</v>
      </c>
    </row>
    <row r="212" spans="1:13" x14ac:dyDescent="0.15">
      <c r="A212" s="34">
        <v>40360</v>
      </c>
      <c r="B212" t="s">
        <v>4</v>
      </c>
      <c r="C212" s="9">
        <v>176</v>
      </c>
      <c r="D212" s="7">
        <f>SOJA!D212</f>
        <v>3.9540909090909078</v>
      </c>
      <c r="E212" s="2">
        <f>SOJA!E212</f>
        <v>3.7746286156846667</v>
      </c>
      <c r="F212" s="3">
        <f t="shared" si="29"/>
        <v>186.83427628872025</v>
      </c>
      <c r="G212" s="3">
        <f t="shared" si="35"/>
        <v>3.7746286156846671</v>
      </c>
      <c r="H212" s="3">
        <f t="shared" si="33"/>
        <v>184.36780697000285</v>
      </c>
      <c r="I212" s="4">
        <f t="shared" si="32"/>
        <v>0.2</v>
      </c>
      <c r="J212" s="5">
        <f t="shared" si="30"/>
        <v>149.4674210309762</v>
      </c>
      <c r="K212" s="63">
        <f t="shared" si="34"/>
        <v>147.49424557600227</v>
      </c>
      <c r="L212" s="10">
        <f t="shared" ref="L212:M227" si="37">+L211</f>
        <v>104.72557704663159</v>
      </c>
      <c r="M212" s="10">
        <f t="shared" si="37"/>
        <v>160.43790162542663</v>
      </c>
    </row>
    <row r="213" spans="1:13" x14ac:dyDescent="0.15">
      <c r="A213" s="34">
        <v>40391</v>
      </c>
      <c r="B213" t="s">
        <v>3</v>
      </c>
      <c r="C213" s="9">
        <v>200</v>
      </c>
      <c r="D213" s="7">
        <f>SOJA!D213</f>
        <v>3.9588636363636365</v>
      </c>
      <c r="E213" s="2">
        <f>SOJA!E213</f>
        <v>3.8355438350078437</v>
      </c>
      <c r="F213" s="3">
        <f t="shared" si="29"/>
        <v>209.19199038732395</v>
      </c>
      <c r="G213" s="3">
        <f t="shared" si="35"/>
        <v>3.8355438350078441</v>
      </c>
      <c r="H213" s="3">
        <f t="shared" si="33"/>
        <v>206.43036850369043</v>
      </c>
      <c r="I213" s="4">
        <f t="shared" si="32"/>
        <v>0.2</v>
      </c>
      <c r="J213" s="5">
        <f t="shared" si="30"/>
        <v>167.35359230985918</v>
      </c>
      <c r="K213" s="63">
        <f t="shared" si="34"/>
        <v>165.14429480295234</v>
      </c>
      <c r="L213" s="10">
        <f t="shared" si="37"/>
        <v>104.72557704663159</v>
      </c>
      <c r="M213" s="10">
        <f t="shared" si="37"/>
        <v>160.43790162542663</v>
      </c>
    </row>
    <row r="214" spans="1:13" x14ac:dyDescent="0.15">
      <c r="A214" s="34">
        <v>40422</v>
      </c>
      <c r="B214" t="s">
        <v>5</v>
      </c>
      <c r="C214" s="9">
        <v>230</v>
      </c>
      <c r="D214" s="7">
        <f>SOJA!D214</f>
        <v>3.9720454545454533</v>
      </c>
      <c r="E214" s="2">
        <f>SOJA!E214</f>
        <v>3.9011879927864554</v>
      </c>
      <c r="F214" s="3">
        <f t="shared" si="29"/>
        <v>237.31032340077459</v>
      </c>
      <c r="G214" s="3">
        <f t="shared" si="35"/>
        <v>3.9011879927864559</v>
      </c>
      <c r="H214" s="3">
        <f t="shared" si="33"/>
        <v>234.17750086248188</v>
      </c>
      <c r="I214" s="4">
        <f t="shared" si="32"/>
        <v>0.2</v>
      </c>
      <c r="J214" s="5">
        <f t="shared" si="30"/>
        <v>189.8482587206197</v>
      </c>
      <c r="K214" s="63">
        <f t="shared" si="34"/>
        <v>187.34200068998553</v>
      </c>
      <c r="L214" s="10">
        <f t="shared" si="37"/>
        <v>104.72557704663159</v>
      </c>
      <c r="M214" s="10">
        <f t="shared" si="37"/>
        <v>160.43790162542663</v>
      </c>
    </row>
    <row r="215" spans="1:13" x14ac:dyDescent="0.15">
      <c r="A215" s="34">
        <v>40452</v>
      </c>
      <c r="B215" t="s">
        <v>6</v>
      </c>
      <c r="C215" s="9">
        <v>249</v>
      </c>
      <c r="D215" s="7">
        <f>SOJA!D215</f>
        <v>3.9762499999999998</v>
      </c>
      <c r="E215" s="2">
        <f>SOJA!E215</f>
        <v>3.9856148223013856</v>
      </c>
      <c r="F215" s="3">
        <f t="shared" si="29"/>
        <v>251.73822644329005</v>
      </c>
      <c r="G215" s="3">
        <f t="shared" si="35"/>
        <v>3.9856148223013861</v>
      </c>
      <c r="H215" s="3">
        <f t="shared" si="33"/>
        <v>248.41493574843273</v>
      </c>
      <c r="I215" s="4">
        <f t="shared" si="32"/>
        <v>0.2</v>
      </c>
      <c r="J215" s="5">
        <f t="shared" si="30"/>
        <v>201.39058115463206</v>
      </c>
      <c r="K215" s="63">
        <f t="shared" si="34"/>
        <v>198.73194859874619</v>
      </c>
      <c r="L215" s="10">
        <f t="shared" si="37"/>
        <v>104.72557704663159</v>
      </c>
      <c r="M215" s="10">
        <f t="shared" si="37"/>
        <v>160.43790162542663</v>
      </c>
    </row>
    <row r="216" spans="1:13" x14ac:dyDescent="0.15">
      <c r="A216" s="34">
        <v>40483</v>
      </c>
      <c r="B216" t="s">
        <v>7</v>
      </c>
      <c r="C216" s="9">
        <v>249</v>
      </c>
      <c r="D216" s="7">
        <f>SOJA!D216</f>
        <v>3.9885227272727275</v>
      </c>
      <c r="E216" s="2">
        <f>SOJA!E216</f>
        <v>4.0533007857478616</v>
      </c>
      <c r="F216" s="3">
        <f t="shared" si="29"/>
        <v>248.29847347639787</v>
      </c>
      <c r="G216" s="3">
        <f t="shared" si="35"/>
        <v>4.0533007857478625</v>
      </c>
      <c r="H216" s="3">
        <f t="shared" si="33"/>
        <v>245.02059224989577</v>
      </c>
      <c r="I216" s="4">
        <f t="shared" si="32"/>
        <v>0.2</v>
      </c>
      <c r="J216" s="5">
        <f t="shared" si="30"/>
        <v>198.6387787811183</v>
      </c>
      <c r="K216" s="63">
        <f t="shared" si="34"/>
        <v>196.01647379991664</v>
      </c>
      <c r="L216" s="10">
        <f t="shared" si="37"/>
        <v>104.72557704663159</v>
      </c>
      <c r="M216" s="10">
        <f t="shared" si="37"/>
        <v>160.43790162542663</v>
      </c>
    </row>
    <row r="217" spans="1:13" x14ac:dyDescent="0.15">
      <c r="A217" s="34">
        <v>40513</v>
      </c>
      <c r="B217" t="s">
        <v>29</v>
      </c>
      <c r="C217" s="9">
        <v>256</v>
      </c>
      <c r="D217" s="7">
        <f>SOJA!D217</f>
        <v>4.0023</v>
      </c>
      <c r="E217" s="2">
        <f>SOJA!E217</f>
        <v>4.1175779395066838</v>
      </c>
      <c r="F217" s="3">
        <f t="shared" si="29"/>
        <v>252.16176752956372</v>
      </c>
      <c r="G217" s="3">
        <f t="shared" si="35"/>
        <v>4.1175779395066847</v>
      </c>
      <c r="H217" s="3">
        <f t="shared" si="33"/>
        <v>248.8328855100562</v>
      </c>
      <c r="I217" s="4">
        <f t="shared" si="32"/>
        <v>0.2</v>
      </c>
      <c r="J217" s="5">
        <f t="shared" si="30"/>
        <v>201.72941402365097</v>
      </c>
      <c r="K217" s="63">
        <f t="shared" si="34"/>
        <v>199.06630840804496</v>
      </c>
      <c r="L217" s="10">
        <f t="shared" si="37"/>
        <v>104.72557704663159</v>
      </c>
      <c r="M217" s="10">
        <f t="shared" si="37"/>
        <v>160.43790162542663</v>
      </c>
    </row>
    <row r="218" spans="1:13" x14ac:dyDescent="0.15">
      <c r="A218" s="34">
        <v>40544</v>
      </c>
      <c r="B218" t="s">
        <v>17</v>
      </c>
      <c r="C218" s="9">
        <v>274</v>
      </c>
      <c r="D218" s="7">
        <f>SOJA!D218</f>
        <v>4.0171428571428578</v>
      </c>
      <c r="E218" s="2">
        <f>SOJA!E218</f>
        <v>4.1989893003904371</v>
      </c>
      <c r="F218" s="3">
        <f t="shared" si="29"/>
        <v>265.64065071771512</v>
      </c>
      <c r="G218" s="3">
        <f t="shared" si="35"/>
        <v>4.1989893003904379</v>
      </c>
      <c r="H218" s="3">
        <f t="shared" si="33"/>
        <v>262.1338289084938</v>
      </c>
      <c r="I218" s="4">
        <f t="shared" si="32"/>
        <v>0.2</v>
      </c>
      <c r="J218" s="5">
        <f t="shared" si="30"/>
        <v>212.51252057417213</v>
      </c>
      <c r="K218" s="63">
        <f t="shared" si="34"/>
        <v>209.70706312679505</v>
      </c>
      <c r="L218" s="10">
        <f t="shared" si="37"/>
        <v>104.72557704663159</v>
      </c>
      <c r="M218" s="10">
        <f t="shared" si="37"/>
        <v>160.43790162542663</v>
      </c>
    </row>
    <row r="219" spans="1:13" x14ac:dyDescent="0.15">
      <c r="A219" s="34">
        <v>40575</v>
      </c>
      <c r="B219" t="s">
        <v>1</v>
      </c>
      <c r="C219" s="9">
        <v>293</v>
      </c>
      <c r="D219" s="7">
        <f>SOJA!D219</f>
        <v>4.0461904761904766</v>
      </c>
      <c r="E219" s="2">
        <f>SOJA!E219</f>
        <v>4.2693255250399886</v>
      </c>
      <c r="F219" s="3">
        <f t="shared" si="29"/>
        <v>281.40132514741788</v>
      </c>
      <c r="G219" s="3">
        <f t="shared" si="35"/>
        <v>4.2693255250399895</v>
      </c>
      <c r="H219" s="3">
        <f t="shared" si="33"/>
        <v>277.68644076694176</v>
      </c>
      <c r="I219" s="4">
        <f t="shared" si="32"/>
        <v>0.2</v>
      </c>
      <c r="J219" s="5">
        <f t="shared" si="30"/>
        <v>225.12106011793432</v>
      </c>
      <c r="K219" s="63">
        <f t="shared" si="34"/>
        <v>222.14915261355341</v>
      </c>
      <c r="L219" s="10">
        <f t="shared" si="37"/>
        <v>104.72557704663159</v>
      </c>
      <c r="M219" s="10">
        <f t="shared" si="37"/>
        <v>160.43790162542663</v>
      </c>
    </row>
    <row r="220" spans="1:13" x14ac:dyDescent="0.15">
      <c r="A220" s="34">
        <v>40603</v>
      </c>
      <c r="B220" t="s">
        <v>2</v>
      </c>
      <c r="C220" s="9">
        <v>285</v>
      </c>
      <c r="D220" s="7">
        <f>SOJA!D220</f>
        <v>4.0627173913043473</v>
      </c>
      <c r="E220" s="2">
        <f>SOJA!E220</f>
        <v>4.3547120355407953</v>
      </c>
      <c r="F220" s="3">
        <f t="shared" si="29"/>
        <v>269.44708887971552</v>
      </c>
      <c r="G220" s="3">
        <f t="shared" si="35"/>
        <v>4.3547120355407962</v>
      </c>
      <c r="H220" s="3">
        <f t="shared" si="33"/>
        <v>265.89001685342129</v>
      </c>
      <c r="I220" s="4">
        <f t="shared" si="32"/>
        <v>0.2</v>
      </c>
      <c r="J220" s="5">
        <f t="shared" si="30"/>
        <v>215.55767110377241</v>
      </c>
      <c r="K220" s="63">
        <f t="shared" si="34"/>
        <v>212.71201348273704</v>
      </c>
      <c r="L220" s="10">
        <f t="shared" si="37"/>
        <v>104.72557704663159</v>
      </c>
      <c r="M220" s="10">
        <f t="shared" si="37"/>
        <v>160.43790162542663</v>
      </c>
    </row>
    <row r="221" spans="1:13" x14ac:dyDescent="0.15">
      <c r="A221" s="34">
        <v>40634</v>
      </c>
      <c r="B221" t="s">
        <v>3</v>
      </c>
      <c r="C221" s="9">
        <v>313</v>
      </c>
      <c r="D221" s="7">
        <f>SOJA!D221</f>
        <v>4.0891071428571424</v>
      </c>
      <c r="E221" s="2">
        <f>SOJA!E221</f>
        <v>4.4548704123582246</v>
      </c>
      <c r="F221" s="3">
        <f t="shared" si="29"/>
        <v>291.14491983159724</v>
      </c>
      <c r="G221" s="3">
        <f t="shared" si="35"/>
        <v>4.4548704123582255</v>
      </c>
      <c r="H221" s="3">
        <f t="shared" si="33"/>
        <v>287.30140660517304</v>
      </c>
      <c r="I221" s="4">
        <f t="shared" si="32"/>
        <v>0.2</v>
      </c>
      <c r="J221" s="5">
        <f t="shared" si="30"/>
        <v>232.91593586527779</v>
      </c>
      <c r="K221" s="63">
        <f t="shared" si="34"/>
        <v>229.84112528413846</v>
      </c>
      <c r="L221" s="10">
        <f t="shared" si="37"/>
        <v>104.72557704663159</v>
      </c>
      <c r="M221" s="10">
        <f t="shared" si="37"/>
        <v>160.43790162542663</v>
      </c>
    </row>
    <row r="222" spans="1:13" x14ac:dyDescent="0.15">
      <c r="A222" s="34">
        <v>40664</v>
      </c>
      <c r="B222" t="s">
        <v>2</v>
      </c>
      <c r="C222" s="9">
        <v>302</v>
      </c>
      <c r="D222" s="7">
        <f>SOJA!D222</f>
        <v>4.1158333333333355</v>
      </c>
      <c r="E222" s="2">
        <f>SOJA!E222</f>
        <v>4.5216934685436012</v>
      </c>
      <c r="F222" s="3">
        <f t="shared" si="29"/>
        <v>278.57046537375317</v>
      </c>
      <c r="G222" s="3">
        <f t="shared" si="35"/>
        <v>4.5216934685436021</v>
      </c>
      <c r="H222" s="3">
        <f t="shared" si="33"/>
        <v>274.89295223433641</v>
      </c>
      <c r="I222" s="4">
        <f t="shared" si="32"/>
        <v>0.2</v>
      </c>
      <c r="J222" s="5">
        <f t="shared" si="30"/>
        <v>222.85637229900254</v>
      </c>
      <c r="K222" s="63">
        <f t="shared" si="34"/>
        <v>219.91436178746915</v>
      </c>
      <c r="L222" s="10">
        <f t="shared" si="37"/>
        <v>104.72557704663159</v>
      </c>
      <c r="M222" s="10">
        <f t="shared" si="37"/>
        <v>160.43790162542663</v>
      </c>
    </row>
    <row r="223" spans="1:13" x14ac:dyDescent="0.15">
      <c r="A223" s="34">
        <v>40695</v>
      </c>
      <c r="B223" t="s">
        <v>4</v>
      </c>
      <c r="C223" s="9">
        <v>307</v>
      </c>
      <c r="D223" s="7">
        <f>SOJA!D223</f>
        <v>4.1289204545454554</v>
      </c>
      <c r="E223" s="2">
        <f>SOJA!E223</f>
        <v>4.603083950977382</v>
      </c>
      <c r="F223" s="3">
        <f t="shared" si="29"/>
        <v>279.05991666497266</v>
      </c>
      <c r="G223" s="3">
        <f t="shared" si="35"/>
        <v>4.6030839509773829</v>
      </c>
      <c r="H223" s="3">
        <f t="shared" si="33"/>
        <v>275.37594209558296</v>
      </c>
      <c r="I223" s="4">
        <f t="shared" si="32"/>
        <v>0.2</v>
      </c>
      <c r="J223" s="5">
        <f t="shared" si="30"/>
        <v>223.24793333197817</v>
      </c>
      <c r="K223" s="63">
        <f t="shared" si="34"/>
        <v>220.30075367646637</v>
      </c>
      <c r="L223" s="10">
        <f t="shared" si="37"/>
        <v>104.72557704663159</v>
      </c>
      <c r="M223" s="10">
        <f t="shared" si="37"/>
        <v>160.43790162542663</v>
      </c>
    </row>
    <row r="224" spans="1:13" x14ac:dyDescent="0.15">
      <c r="A224" s="34">
        <v>40725</v>
      </c>
      <c r="B224" t="s">
        <v>4</v>
      </c>
      <c r="C224" s="9">
        <v>301</v>
      </c>
      <c r="D224" s="7">
        <f>SOJA!D224</f>
        <v>4.15452380952381</v>
      </c>
      <c r="E224" s="2">
        <f>SOJA!E224</f>
        <v>4.6859394620949795</v>
      </c>
      <c r="F224" s="3">
        <f t="shared" si="29"/>
        <v>270.4347762641134</v>
      </c>
      <c r="G224" s="3">
        <f t="shared" si="35"/>
        <v>4.6859394620949804</v>
      </c>
      <c r="H224" s="3">
        <f t="shared" si="33"/>
        <v>266.86466540640936</v>
      </c>
      <c r="I224" s="4">
        <f t="shared" si="32"/>
        <v>0.2</v>
      </c>
      <c r="J224" s="5">
        <f t="shared" si="30"/>
        <v>216.34782101129076</v>
      </c>
      <c r="K224" s="63">
        <f t="shared" si="34"/>
        <v>213.49173232512749</v>
      </c>
      <c r="L224" s="10">
        <f t="shared" si="37"/>
        <v>104.72557704663159</v>
      </c>
      <c r="M224" s="10">
        <f t="shared" si="37"/>
        <v>160.43790162542663</v>
      </c>
    </row>
    <row r="225" spans="1:13" x14ac:dyDescent="0.15">
      <c r="A225" s="34">
        <v>40756</v>
      </c>
      <c r="B225" t="s">
        <v>3</v>
      </c>
      <c r="C225" s="9">
        <v>309</v>
      </c>
      <c r="D225" s="7">
        <f>SOJA!D225</f>
        <v>4.1941304347826085</v>
      </c>
      <c r="E225" s="2">
        <f>SOJA!E225</f>
        <v>4.7735665300361525</v>
      </c>
      <c r="F225" s="3">
        <f t="shared" si="29"/>
        <v>275.12426575584766</v>
      </c>
      <c r="G225" s="3">
        <f t="shared" si="35"/>
        <v>4.7735665300361534</v>
      </c>
      <c r="H225" s="3">
        <f t="shared" si="33"/>
        <v>271.49224718944276</v>
      </c>
      <c r="I225" s="4">
        <f t="shared" si="32"/>
        <v>0.2</v>
      </c>
      <c r="J225" s="5">
        <f t="shared" si="30"/>
        <v>220.09941260467815</v>
      </c>
      <c r="K225" s="63">
        <f t="shared" si="34"/>
        <v>217.19379775155423</v>
      </c>
      <c r="L225" s="10">
        <f t="shared" si="37"/>
        <v>104.72557704663159</v>
      </c>
      <c r="M225" s="10">
        <f t="shared" si="37"/>
        <v>160.43790162542663</v>
      </c>
    </row>
    <row r="226" spans="1:13" x14ac:dyDescent="0.15">
      <c r="A226" s="34">
        <v>40787</v>
      </c>
      <c r="B226" t="s">
        <v>5</v>
      </c>
      <c r="C226" s="9">
        <v>293</v>
      </c>
      <c r="D226" s="7">
        <f>SOJA!D226</f>
        <v>4.2370454545454557</v>
      </c>
      <c r="E226" s="2">
        <f>SOJA!E226</f>
        <v>4.8637869374538338</v>
      </c>
      <c r="F226" s="3">
        <f t="shared" si="29"/>
        <v>258.65904256527625</v>
      </c>
      <c r="G226" s="3">
        <f t="shared" si="35"/>
        <v>4.8637869374538347</v>
      </c>
      <c r="H226" s="3">
        <f t="shared" si="33"/>
        <v>255.24438758242829</v>
      </c>
      <c r="I226" s="4">
        <f t="shared" si="32"/>
        <v>0.2</v>
      </c>
      <c r="J226" s="5">
        <f t="shared" si="30"/>
        <v>206.92723405222102</v>
      </c>
      <c r="K226" s="63">
        <f t="shared" si="34"/>
        <v>204.19551006594264</v>
      </c>
      <c r="L226" s="10">
        <f t="shared" si="37"/>
        <v>104.72557704663159</v>
      </c>
      <c r="M226" s="10">
        <f t="shared" si="37"/>
        <v>160.43790162542663</v>
      </c>
    </row>
    <row r="227" spans="1:13" x14ac:dyDescent="0.15">
      <c r="A227" s="34">
        <v>40817</v>
      </c>
      <c r="B227" t="s">
        <v>6</v>
      </c>
      <c r="C227" s="9">
        <v>277</v>
      </c>
      <c r="D227" s="7">
        <f>SOJA!D227</f>
        <v>4.2511904761904766</v>
      </c>
      <c r="E227" s="2">
        <f>SOJA!E227</f>
        <v>4.9362573628219053</v>
      </c>
      <c r="F227" s="3">
        <f t="shared" si="29"/>
        <v>241.74861961002841</v>
      </c>
      <c r="G227" s="3">
        <f t="shared" si="35"/>
        <v>4.9362573628219062</v>
      </c>
      <c r="H227" s="3">
        <f t="shared" si="33"/>
        <v>238.55720545972019</v>
      </c>
      <c r="I227" s="4">
        <f t="shared" si="32"/>
        <v>0.2</v>
      </c>
      <c r="J227" s="5">
        <f t="shared" si="30"/>
        <v>193.39889568802275</v>
      </c>
      <c r="K227" s="63">
        <f t="shared" si="34"/>
        <v>190.84576436777616</v>
      </c>
      <c r="L227" s="10">
        <f t="shared" si="37"/>
        <v>104.72557704663159</v>
      </c>
      <c r="M227" s="10">
        <f t="shared" si="37"/>
        <v>160.43790162542663</v>
      </c>
    </row>
    <row r="228" spans="1:13" x14ac:dyDescent="0.15">
      <c r="A228" s="34">
        <v>40848</v>
      </c>
      <c r="B228" t="s">
        <v>7</v>
      </c>
      <c r="C228" s="9">
        <v>270</v>
      </c>
      <c r="D228" s="7">
        <f>SOJA!D228</f>
        <v>4.2813636363636363</v>
      </c>
      <c r="E228" s="2">
        <f>SOJA!E228</f>
        <v>5.0073394688465322</v>
      </c>
      <c r="F228" s="3">
        <f t="shared" si="29"/>
        <v>233.94313714111919</v>
      </c>
      <c r="G228" s="3">
        <f t="shared" si="35"/>
        <v>5.0073394688465331</v>
      </c>
      <c r="H228" s="3">
        <f t="shared" si="33"/>
        <v>230.85476609087684</v>
      </c>
      <c r="I228" s="4">
        <f t="shared" si="32"/>
        <v>0.2</v>
      </c>
      <c r="J228" s="5">
        <f t="shared" si="30"/>
        <v>187.15450971289536</v>
      </c>
      <c r="K228" s="63">
        <f t="shared" si="34"/>
        <v>184.68381287270148</v>
      </c>
      <c r="L228" s="10">
        <f t="shared" ref="L228:M243" si="38">+L227</f>
        <v>104.72557704663159</v>
      </c>
      <c r="M228" s="10">
        <f t="shared" si="38"/>
        <v>160.43790162542663</v>
      </c>
    </row>
    <row r="229" spans="1:13" x14ac:dyDescent="0.15">
      <c r="A229" s="34">
        <v>40878</v>
      </c>
      <c r="B229" t="s">
        <v>30</v>
      </c>
      <c r="C229" s="9">
        <v>240</v>
      </c>
      <c r="D229" s="7">
        <f>SOJA!D229</f>
        <v>4.3081818181818186</v>
      </c>
      <c r="E229" s="2">
        <f>SOJA!E229</f>
        <v>5.1024789187546196</v>
      </c>
      <c r="F229" s="3">
        <f t="shared" si="29"/>
        <v>205.35037980796375</v>
      </c>
      <c r="G229" s="3">
        <f t="shared" si="35"/>
        <v>5.1024789187546205</v>
      </c>
      <c r="H229" s="3">
        <f t="shared" si="33"/>
        <v>202.63947246566957</v>
      </c>
      <c r="I229" s="4">
        <f t="shared" si="32"/>
        <v>0.2</v>
      </c>
      <c r="J229" s="5">
        <f t="shared" si="30"/>
        <v>164.280303846371</v>
      </c>
      <c r="K229" s="63">
        <f t="shared" si="34"/>
        <v>162.11157797253566</v>
      </c>
      <c r="L229" s="10">
        <f t="shared" si="38"/>
        <v>104.72557704663159</v>
      </c>
      <c r="M229" s="10">
        <f t="shared" si="38"/>
        <v>160.43790162542663</v>
      </c>
    </row>
    <row r="230" spans="1:13" x14ac:dyDescent="0.15">
      <c r="A230" s="34">
        <v>40909</v>
      </c>
      <c r="B230" t="s">
        <v>18</v>
      </c>
      <c r="C230" s="9">
        <v>256</v>
      </c>
      <c r="D230" s="7">
        <f>SOJA!D230</f>
        <v>4.3385227272727285</v>
      </c>
      <c r="E230" s="2">
        <f>SOJA!E230</f>
        <v>5.2045284971297114</v>
      </c>
      <c r="F230" s="3">
        <f t="shared" si="29"/>
        <v>216.25786722298076</v>
      </c>
      <c r="G230" s="3">
        <f t="shared" si="35"/>
        <v>5.2045284971297123</v>
      </c>
      <c r="H230" s="3">
        <f t="shared" si="33"/>
        <v>213.40296605049744</v>
      </c>
      <c r="I230" s="4">
        <f t="shared" si="32"/>
        <v>0.2</v>
      </c>
      <c r="J230" s="5">
        <f t="shared" si="30"/>
        <v>173.00629377838462</v>
      </c>
      <c r="K230" s="63">
        <f t="shared" si="34"/>
        <v>170.72237284039795</v>
      </c>
      <c r="L230" s="10">
        <f t="shared" si="38"/>
        <v>104.72557704663159</v>
      </c>
      <c r="M230" s="10">
        <f t="shared" si="38"/>
        <v>160.43790162542663</v>
      </c>
    </row>
    <row r="231" spans="1:13" x14ac:dyDescent="0.15">
      <c r="A231" s="34">
        <v>40940</v>
      </c>
      <c r="B231" t="s">
        <v>1</v>
      </c>
      <c r="C231" s="9">
        <v>267</v>
      </c>
      <c r="D231" s="7">
        <f>SOJA!D231</f>
        <v>4.3640476190476205</v>
      </c>
      <c r="E231" s="2">
        <f>SOJA!E231</f>
        <v>5.2930054815809164</v>
      </c>
      <c r="F231" s="3">
        <f t="shared" si="29"/>
        <v>223.08473953182389</v>
      </c>
      <c r="G231" s="3">
        <f t="shared" si="35"/>
        <v>5.2930054815809173</v>
      </c>
      <c r="H231" s="3">
        <f t="shared" si="33"/>
        <v>220.13971425884336</v>
      </c>
      <c r="I231" s="4">
        <f t="shared" si="32"/>
        <v>0.2</v>
      </c>
      <c r="J231" s="5">
        <f t="shared" si="30"/>
        <v>178.46779162545911</v>
      </c>
      <c r="K231" s="63">
        <f t="shared" si="34"/>
        <v>176.11177140707468</v>
      </c>
      <c r="L231" s="10">
        <f t="shared" si="38"/>
        <v>104.72557704663159</v>
      </c>
      <c r="M231" s="10">
        <f t="shared" si="38"/>
        <v>160.43790162542663</v>
      </c>
    </row>
    <row r="232" spans="1:13" x14ac:dyDescent="0.15">
      <c r="A232" s="34">
        <v>40969</v>
      </c>
      <c r="B232" t="s">
        <v>2</v>
      </c>
      <c r="C232" s="9">
        <v>269</v>
      </c>
      <c r="D232" s="7">
        <f>SOJA!D232</f>
        <v>4.3734090909090906</v>
      </c>
      <c r="E232" s="2">
        <f>SOJA!E232</f>
        <v>5.4147446076572772</v>
      </c>
      <c r="F232" s="3">
        <f t="shared" si="29"/>
        <v>220.17391769593203</v>
      </c>
      <c r="G232" s="3">
        <f t="shared" si="35"/>
        <v>5.4147446076572781</v>
      </c>
      <c r="H232" s="3">
        <f t="shared" si="33"/>
        <v>217.26731927316925</v>
      </c>
      <c r="I232" s="4">
        <f t="shared" si="32"/>
        <v>0.2</v>
      </c>
      <c r="J232" s="5">
        <f t="shared" si="30"/>
        <v>176.13913415674563</v>
      </c>
      <c r="K232" s="63">
        <f t="shared" si="34"/>
        <v>173.81385541853541</v>
      </c>
      <c r="L232" s="10">
        <f t="shared" si="38"/>
        <v>104.72557704663159</v>
      </c>
      <c r="M232" s="10">
        <f t="shared" si="38"/>
        <v>160.43790162542663</v>
      </c>
    </row>
    <row r="233" spans="1:13" x14ac:dyDescent="0.15">
      <c r="A233" s="34">
        <v>41000</v>
      </c>
      <c r="B233" t="s">
        <v>3</v>
      </c>
      <c r="C233" s="9">
        <v>253</v>
      </c>
      <c r="D233" s="7">
        <f>SOJA!D233</f>
        <v>4.4112150000000003</v>
      </c>
      <c r="E233" s="2">
        <f>SOJA!E233</f>
        <v>5.5230394998104204</v>
      </c>
      <c r="F233" s="3">
        <f t="shared" si="29"/>
        <v>204.7727024079378</v>
      </c>
      <c r="G233" s="3">
        <f t="shared" si="35"/>
        <v>5.5230394998104213</v>
      </c>
      <c r="H233" s="3">
        <f t="shared" si="33"/>
        <v>202.06942120155182</v>
      </c>
      <c r="I233" s="4">
        <f t="shared" si="32"/>
        <v>0.2</v>
      </c>
      <c r="J233" s="5">
        <f t="shared" si="30"/>
        <v>163.81816192635026</v>
      </c>
      <c r="K233" s="63">
        <f t="shared" si="34"/>
        <v>161.65553696124147</v>
      </c>
      <c r="L233" s="10">
        <f t="shared" si="38"/>
        <v>104.72557704663159</v>
      </c>
      <c r="M233" s="10">
        <f t="shared" si="38"/>
        <v>160.43790162542663</v>
      </c>
    </row>
    <row r="234" spans="1:13" x14ac:dyDescent="0.15">
      <c r="A234" s="34">
        <v>41030</v>
      </c>
      <c r="B234" t="s">
        <v>2</v>
      </c>
      <c r="C234" s="9">
        <v>244</v>
      </c>
      <c r="D234" s="7">
        <f>SOJA!D234</f>
        <v>4.4620833333333341</v>
      </c>
      <c r="E234" s="2">
        <f>SOJA!E234</f>
        <v>5.622454210807005</v>
      </c>
      <c r="F234" s="3">
        <f>+(C234*(D234/E234))/(AVERAGE(C$109)*AVERAGE(D$109)/AVERAGE(E$109))*100</f>
        <v>196.23345042129552</v>
      </c>
      <c r="G234" s="3">
        <f t="shared" si="35"/>
        <v>5.6224542108070059</v>
      </c>
      <c r="H234" s="3">
        <f t="shared" si="33"/>
        <v>193.64289908144266</v>
      </c>
      <c r="I234" s="4">
        <f t="shared" si="32"/>
        <v>0.2</v>
      </c>
      <c r="J234" s="5">
        <f t="shared" si="30"/>
        <v>156.98676033703643</v>
      </c>
      <c r="K234" s="63">
        <f t="shared" si="34"/>
        <v>154.91431926515415</v>
      </c>
      <c r="L234" s="10">
        <f t="shared" si="38"/>
        <v>104.72557704663159</v>
      </c>
      <c r="M234" s="10">
        <f t="shared" si="38"/>
        <v>160.43790162542663</v>
      </c>
    </row>
    <row r="235" spans="1:13" x14ac:dyDescent="0.15">
      <c r="A235" s="34">
        <v>41061</v>
      </c>
      <c r="B235" t="s">
        <v>4</v>
      </c>
      <c r="C235" s="9">
        <v>240</v>
      </c>
      <c r="D235" s="7">
        <f>SOJA!D235</f>
        <v>4.512083333333333</v>
      </c>
      <c r="E235" s="2">
        <f>SOJA!E235</f>
        <v>5.7180359323907322</v>
      </c>
      <c r="F235" s="3">
        <f t="shared" ref="F235:F284" si="39">+(C235*(D235/E235))/(AVERAGE(C$109)*AVERAGE(D$109)/AVERAGE(E$109))*100</f>
        <v>191.91677533381852</v>
      </c>
      <c r="G235" s="3">
        <f t="shared" si="35"/>
        <v>5.718035932390733</v>
      </c>
      <c r="H235" s="3">
        <f t="shared" si="33"/>
        <v>189.38321003996126</v>
      </c>
      <c r="I235" s="4">
        <f t="shared" si="32"/>
        <v>0.2</v>
      </c>
      <c r="J235" s="5">
        <f t="shared" si="30"/>
        <v>153.53342026705482</v>
      </c>
      <c r="K235" s="63">
        <f t="shared" si="34"/>
        <v>151.50656803196901</v>
      </c>
      <c r="L235" s="10">
        <f t="shared" si="38"/>
        <v>104.72557704663159</v>
      </c>
      <c r="M235" s="10">
        <f t="shared" si="38"/>
        <v>160.43790162542663</v>
      </c>
    </row>
    <row r="236" spans="1:13" x14ac:dyDescent="0.15">
      <c r="A236" s="34">
        <v>41091</v>
      </c>
      <c r="B236" t="s">
        <v>4</v>
      </c>
      <c r="C236" s="9">
        <v>291</v>
      </c>
      <c r="D236" s="7">
        <f>SOJA!D236</f>
        <v>4.5718181818181813</v>
      </c>
      <c r="E236" s="2">
        <f>SOJA!E236</f>
        <v>5.8209605791737591</v>
      </c>
      <c r="F236" s="3">
        <f t="shared" si="39"/>
        <v>231.61076741500591</v>
      </c>
      <c r="G236" s="3">
        <f t="shared" si="35"/>
        <v>5.82096057917376</v>
      </c>
      <c r="H236" s="3">
        <f t="shared" si="33"/>
        <v>228.55318685183926</v>
      </c>
      <c r="I236" s="4">
        <f t="shared" si="32"/>
        <v>0.2</v>
      </c>
      <c r="J236" s="5">
        <f t="shared" si="30"/>
        <v>185.28861393200475</v>
      </c>
      <c r="K236" s="63">
        <f t="shared" si="34"/>
        <v>182.84254948147142</v>
      </c>
      <c r="L236" s="10">
        <f t="shared" si="38"/>
        <v>104.72557704663159</v>
      </c>
      <c r="M236" s="10">
        <f t="shared" si="38"/>
        <v>160.43790162542663</v>
      </c>
    </row>
    <row r="237" spans="1:13" x14ac:dyDescent="0.15">
      <c r="A237" s="34">
        <v>41122</v>
      </c>
      <c r="B237" t="s">
        <v>3</v>
      </c>
      <c r="C237" s="9">
        <v>296</v>
      </c>
      <c r="D237" s="7">
        <f>SOJA!D237</f>
        <v>4.624305555555555</v>
      </c>
      <c r="E237" s="2">
        <f>SOJA!E237</f>
        <v>5.9373797907572339</v>
      </c>
      <c r="F237" s="3">
        <f t="shared" si="39"/>
        <v>233.62260822563138</v>
      </c>
      <c r="G237" s="3">
        <f t="shared" si="35"/>
        <v>5.9373797907572348</v>
      </c>
      <c r="H237" s="3">
        <f t="shared" si="33"/>
        <v>230.53846859775709</v>
      </c>
      <c r="I237" s="4">
        <f t="shared" si="32"/>
        <v>0.2</v>
      </c>
      <c r="J237" s="5">
        <f t="shared" si="30"/>
        <v>186.89808658050512</v>
      </c>
      <c r="K237" s="63">
        <f t="shared" si="34"/>
        <v>184.43077487820568</v>
      </c>
      <c r="L237" s="10">
        <f t="shared" si="38"/>
        <v>104.72557704663159</v>
      </c>
      <c r="M237" s="10">
        <f t="shared" si="38"/>
        <v>160.43790162542663</v>
      </c>
    </row>
    <row r="238" spans="1:13" x14ac:dyDescent="0.15">
      <c r="A238" s="34">
        <v>41153</v>
      </c>
      <c r="B238" t="s">
        <v>5</v>
      </c>
      <c r="C238" s="9">
        <v>276</v>
      </c>
      <c r="D238" s="7">
        <f>SOJA!D238</f>
        <v>4.6888749999999995</v>
      </c>
      <c r="E238" s="2">
        <f>SOJA!E238</f>
        <v>6.0561273865723866</v>
      </c>
      <c r="F238" s="3">
        <f t="shared" si="39"/>
        <v>216.5480113374885</v>
      </c>
      <c r="G238" s="3">
        <f t="shared" si="35"/>
        <v>6.0561273865723875</v>
      </c>
      <c r="H238" s="3">
        <f t="shared" si="33"/>
        <v>213.689279863785</v>
      </c>
      <c r="I238" s="4">
        <f t="shared" si="32"/>
        <v>0.2</v>
      </c>
      <c r="J238" s="5">
        <f t="shared" ref="J238:J285" si="40">+F238*(1-I238)/(F$109*(1-I$109))*100</f>
        <v>173.23840906999081</v>
      </c>
      <c r="K238" s="63">
        <f t="shared" si="34"/>
        <v>170.95142389102801</v>
      </c>
      <c r="L238" s="10">
        <f t="shared" si="38"/>
        <v>104.72557704663159</v>
      </c>
      <c r="M238" s="10">
        <f t="shared" si="38"/>
        <v>160.43790162542663</v>
      </c>
    </row>
    <row r="239" spans="1:13" x14ac:dyDescent="0.15">
      <c r="A239" s="34">
        <v>41183</v>
      </c>
      <c r="B239" t="s">
        <v>6</v>
      </c>
      <c r="C239" s="9">
        <v>276</v>
      </c>
      <c r="D239" s="7">
        <f>SOJA!D239</f>
        <v>4.7443478260869565</v>
      </c>
      <c r="E239" s="2">
        <f>SOJA!E239</f>
        <v>6.1590815521441096</v>
      </c>
      <c r="F239" s="3">
        <f t="shared" si="39"/>
        <v>215.44732836177954</v>
      </c>
      <c r="G239" s="3">
        <f t="shared" si="35"/>
        <v>6.1590815521441105</v>
      </c>
      <c r="H239" s="3">
        <f t="shared" si="33"/>
        <v>212.6031274166447</v>
      </c>
      <c r="I239" s="4">
        <f t="shared" si="32"/>
        <v>0.2</v>
      </c>
      <c r="J239" s="5">
        <f t="shared" si="40"/>
        <v>172.35786268942365</v>
      </c>
      <c r="K239" s="63">
        <f t="shared" si="34"/>
        <v>170.08250193331577</v>
      </c>
      <c r="L239" s="10">
        <f t="shared" si="38"/>
        <v>104.72557704663159</v>
      </c>
      <c r="M239" s="10">
        <f t="shared" si="38"/>
        <v>160.43790162542663</v>
      </c>
    </row>
    <row r="240" spans="1:13" x14ac:dyDescent="0.15">
      <c r="A240" s="34">
        <v>41214</v>
      </c>
      <c r="B240" t="s">
        <v>7</v>
      </c>
      <c r="C240" s="9">
        <v>291</v>
      </c>
      <c r="D240" s="7">
        <f>SOJA!D240</f>
        <v>4.8156499999999998</v>
      </c>
      <c r="E240" s="2">
        <f>SOJA!E240</f>
        <v>6.2761041016348518</v>
      </c>
      <c r="F240" s="3">
        <f t="shared" si="39"/>
        <v>226.2711737212538</v>
      </c>
      <c r="G240" s="3">
        <f t="shared" si="35"/>
        <v>6.2761041016348527</v>
      </c>
      <c r="H240" s="3">
        <f t="shared" si="33"/>
        <v>223.28408313605942</v>
      </c>
      <c r="I240" s="4">
        <f t="shared" si="32"/>
        <v>0.2</v>
      </c>
      <c r="J240" s="5">
        <f t="shared" si="40"/>
        <v>181.01693897700306</v>
      </c>
      <c r="K240" s="63">
        <f t="shared" si="34"/>
        <v>178.62726650884755</v>
      </c>
      <c r="L240" s="10">
        <f t="shared" si="38"/>
        <v>104.72557704663159</v>
      </c>
      <c r="M240" s="10">
        <f t="shared" si="38"/>
        <v>160.43790162542663</v>
      </c>
    </row>
    <row r="241" spans="1:13" x14ac:dyDescent="0.15">
      <c r="A241" s="34">
        <v>41244</v>
      </c>
      <c r="B241" t="s">
        <v>31</v>
      </c>
      <c r="C241" s="9">
        <v>284</v>
      </c>
      <c r="D241" s="7">
        <f>SOJA!D241</f>
        <v>4.8899999999999997</v>
      </c>
      <c r="E241" s="2">
        <f>SOJA!E241</f>
        <v>6.4016261836675454</v>
      </c>
      <c r="F241" s="3">
        <f t="shared" si="39"/>
        <v>219.84082899815752</v>
      </c>
      <c r="G241" s="3">
        <f t="shared" si="35"/>
        <v>6.4016261836675463</v>
      </c>
      <c r="H241" s="3">
        <f t="shared" si="33"/>
        <v>216.93862780415702</v>
      </c>
      <c r="I241" s="4">
        <f t="shared" si="32"/>
        <v>0.2</v>
      </c>
      <c r="J241" s="5">
        <f t="shared" si="40"/>
        <v>175.87266319852603</v>
      </c>
      <c r="K241" s="63">
        <f t="shared" si="34"/>
        <v>173.55090224332562</v>
      </c>
      <c r="L241" s="10">
        <f t="shared" si="38"/>
        <v>104.72557704663159</v>
      </c>
      <c r="M241" s="10">
        <f t="shared" si="38"/>
        <v>160.43790162542663</v>
      </c>
    </row>
    <row r="242" spans="1:13" x14ac:dyDescent="0.15">
      <c r="A242" s="34">
        <v>41275</v>
      </c>
      <c r="B242" t="s">
        <v>19</v>
      </c>
      <c r="C242" s="9">
        <v>286</v>
      </c>
      <c r="D242" s="7">
        <f>SOJA!D242</f>
        <v>4.9594886363636368</v>
      </c>
      <c r="E242" s="2">
        <f>SOJA!E242</f>
        <v>6.5808717168102415</v>
      </c>
      <c r="F242" s="3">
        <f t="shared" si="39"/>
        <v>218.41928035680209</v>
      </c>
      <c r="G242" s="3">
        <f t="shared" si="35"/>
        <v>6.5808717168102424</v>
      </c>
      <c r="H242" s="3">
        <f t="shared" si="33"/>
        <v>215.5358455593034</v>
      </c>
      <c r="I242" s="4">
        <f t="shared" si="32"/>
        <v>0.2</v>
      </c>
      <c r="J242" s="5">
        <f t="shared" si="40"/>
        <v>174.7354242854417</v>
      </c>
      <c r="K242" s="63">
        <f t="shared" si="34"/>
        <v>172.42867644744274</v>
      </c>
      <c r="L242" s="10">
        <f t="shared" si="38"/>
        <v>104.72557704663159</v>
      </c>
      <c r="M242" s="10">
        <f t="shared" si="38"/>
        <v>160.43790162542663</v>
      </c>
    </row>
    <row r="243" spans="1:13" x14ac:dyDescent="0.15">
      <c r="A243" s="34">
        <v>41306</v>
      </c>
      <c r="B243" t="s">
        <v>1</v>
      </c>
      <c r="C243" s="9">
        <v>282</v>
      </c>
      <c r="D243" s="7">
        <f>SOJA!D243</f>
        <v>5.0190789473684205</v>
      </c>
      <c r="E243" s="2">
        <f>SOJA!E243</f>
        <v>6.6795847925623946</v>
      </c>
      <c r="F243" s="3">
        <f t="shared" si="39"/>
        <v>214.73119067622756</v>
      </c>
      <c r="G243" s="3">
        <f t="shared" si="35"/>
        <v>6.6795847925623955</v>
      </c>
      <c r="H243" s="3">
        <f t="shared" si="33"/>
        <v>211.89644373313394</v>
      </c>
      <c r="I243" s="4">
        <f t="shared" si="32"/>
        <v>0.2</v>
      </c>
      <c r="J243" s="5">
        <f t="shared" si="40"/>
        <v>171.78495254098206</v>
      </c>
      <c r="K243" s="63">
        <f t="shared" si="34"/>
        <v>169.51715498650717</v>
      </c>
      <c r="L243" s="10">
        <f t="shared" si="38"/>
        <v>104.72557704663159</v>
      </c>
      <c r="M243" s="10">
        <f t="shared" si="38"/>
        <v>160.43790162542663</v>
      </c>
    </row>
    <row r="244" spans="1:13" x14ac:dyDescent="0.15">
      <c r="A244" s="34">
        <v>41334</v>
      </c>
      <c r="B244" t="s">
        <v>2</v>
      </c>
      <c r="C244" s="9">
        <v>278</v>
      </c>
      <c r="D244" s="7">
        <f>SOJA!D244</f>
        <v>5.0958571428571426</v>
      </c>
      <c r="E244" s="2">
        <f>SOJA!E244</f>
        <v>6.7864581492433924</v>
      </c>
      <c r="F244" s="3">
        <f t="shared" si="39"/>
        <v>211.53894274437093</v>
      </c>
      <c r="G244" s="3">
        <f t="shared" si="35"/>
        <v>6.7864581492433933</v>
      </c>
      <c r="H244" s="3">
        <f t="shared" si="33"/>
        <v>208.74633786288427</v>
      </c>
      <c r="I244" s="4">
        <f t="shared" si="32"/>
        <v>0.2</v>
      </c>
      <c r="J244" s="5">
        <f t="shared" si="40"/>
        <v>169.23115419549674</v>
      </c>
      <c r="K244" s="63">
        <f t="shared" si="34"/>
        <v>166.99707029030742</v>
      </c>
      <c r="L244" s="10">
        <f t="shared" ref="L244:M259" si="41">+L243</f>
        <v>104.72557704663159</v>
      </c>
      <c r="M244" s="10">
        <f t="shared" si="41"/>
        <v>160.43790162542663</v>
      </c>
    </row>
    <row r="245" spans="1:13" x14ac:dyDescent="0.15">
      <c r="A245" s="34">
        <v>41365</v>
      </c>
      <c r="B245" t="s">
        <v>3</v>
      </c>
      <c r="C245" s="9">
        <v>242</v>
      </c>
      <c r="D245" s="7">
        <f>SOJA!D245</f>
        <v>5.1615909090909096</v>
      </c>
      <c r="E245" s="2">
        <f>SOJA!E245</f>
        <v>6.8896123131118925</v>
      </c>
      <c r="F245" s="3">
        <f t="shared" si="39"/>
        <v>183.72811813821752</v>
      </c>
      <c r="G245" s="3">
        <f t="shared" si="35"/>
        <v>6.8896123131118934</v>
      </c>
      <c r="H245" s="3">
        <f t="shared" si="33"/>
        <v>181.30265437763151</v>
      </c>
      <c r="I245" s="4">
        <f t="shared" si="32"/>
        <v>0.2</v>
      </c>
      <c r="J245" s="5">
        <f t="shared" si="40"/>
        <v>146.98249451057401</v>
      </c>
      <c r="K245" s="63">
        <f t="shared" si="34"/>
        <v>145.04212350210523</v>
      </c>
      <c r="L245" s="10">
        <f t="shared" si="41"/>
        <v>104.72557704663159</v>
      </c>
      <c r="M245" s="10">
        <f t="shared" si="41"/>
        <v>160.43790162542663</v>
      </c>
    </row>
    <row r="246" spans="1:13" x14ac:dyDescent="0.15">
      <c r="A246" s="34">
        <v>41395</v>
      </c>
      <c r="B246" t="s">
        <v>2</v>
      </c>
      <c r="C246" s="9">
        <v>258</v>
      </c>
      <c r="D246" s="7">
        <f>SOJA!D246</f>
        <v>5.2468478260869569</v>
      </c>
      <c r="E246" s="2">
        <f>SOJA!E246</f>
        <v>7.0067357224347946</v>
      </c>
      <c r="F246" s="3">
        <f t="shared" si="39"/>
        <v>195.78251430509587</v>
      </c>
      <c r="G246" s="3">
        <f t="shared" si="35"/>
        <v>7.0067357224347955</v>
      </c>
      <c r="H246" s="3">
        <f t="shared" si="33"/>
        <v>193.19791594195272</v>
      </c>
      <c r="I246" s="4">
        <f t="shared" ref="I246:I276" si="42">+I245</f>
        <v>0.2</v>
      </c>
      <c r="J246" s="5">
        <f t="shared" si="40"/>
        <v>156.62601144407671</v>
      </c>
      <c r="K246" s="63">
        <f t="shared" si="34"/>
        <v>154.55833275356218</v>
      </c>
      <c r="L246" s="10">
        <f t="shared" si="41"/>
        <v>104.72557704663159</v>
      </c>
      <c r="M246" s="10">
        <f t="shared" si="41"/>
        <v>160.43790162542663</v>
      </c>
    </row>
    <row r="247" spans="1:13" x14ac:dyDescent="0.15">
      <c r="A247" s="34">
        <v>41426</v>
      </c>
      <c r="B247" t="s">
        <v>4</v>
      </c>
      <c r="C247" s="9">
        <v>263</v>
      </c>
      <c r="D247" s="8">
        <f>SOJA!D247</f>
        <v>5.3396625000000011</v>
      </c>
      <c r="E247" s="9">
        <f>SOJA!E247</f>
        <v>7.1398637011610555</v>
      </c>
      <c r="F247" s="3">
        <f t="shared" si="39"/>
        <v>199.32010133010345</v>
      </c>
      <c r="G247" s="3">
        <f t="shared" si="35"/>
        <v>7.1398637011610564</v>
      </c>
      <c r="H247" s="3">
        <f t="shared" si="33"/>
        <v>196.6888019545294</v>
      </c>
      <c r="I247" s="4">
        <f t="shared" si="42"/>
        <v>0.2</v>
      </c>
      <c r="J247" s="5">
        <f t="shared" si="40"/>
        <v>159.45608106408278</v>
      </c>
      <c r="K247" s="63">
        <f t="shared" si="34"/>
        <v>157.35104156362354</v>
      </c>
      <c r="L247" s="10">
        <f t="shared" si="41"/>
        <v>104.72557704663159</v>
      </c>
      <c r="M247" s="10">
        <f t="shared" si="41"/>
        <v>160.43790162542663</v>
      </c>
    </row>
    <row r="248" spans="1:13" x14ac:dyDescent="0.15">
      <c r="A248" s="34">
        <v>41456</v>
      </c>
      <c r="B248" t="s">
        <v>4</v>
      </c>
      <c r="C248" s="9">
        <v>236</v>
      </c>
      <c r="D248" s="8">
        <f>SOJA!D248</f>
        <v>5.447869565217391</v>
      </c>
      <c r="E248" s="9">
        <f>SOJA!E248</f>
        <v>7.3469197484947255</v>
      </c>
      <c r="F248" s="3">
        <f t="shared" si="39"/>
        <v>177.33925196294012</v>
      </c>
      <c r="G248" s="3">
        <f t="shared" si="35"/>
        <v>7.3469197484947264</v>
      </c>
      <c r="H248" s="3">
        <f t="shared" si="33"/>
        <v>174.99813001968946</v>
      </c>
      <c r="I248" s="4">
        <f t="shared" si="42"/>
        <v>0.2</v>
      </c>
      <c r="J248" s="5">
        <f t="shared" si="40"/>
        <v>141.87140157035211</v>
      </c>
      <c r="K248" s="63">
        <f t="shared" si="34"/>
        <v>139.99850401575156</v>
      </c>
      <c r="L248" s="10">
        <f t="shared" si="41"/>
        <v>104.72557704663159</v>
      </c>
      <c r="M248" s="10">
        <f t="shared" si="41"/>
        <v>160.43790162542663</v>
      </c>
    </row>
    <row r="249" spans="1:13" x14ac:dyDescent="0.15">
      <c r="A249" s="34">
        <v>41487</v>
      </c>
      <c r="B249" t="s">
        <v>3</v>
      </c>
      <c r="C249" s="9">
        <v>222</v>
      </c>
      <c r="D249" s="7">
        <f>SOJA!D249</f>
        <v>5.5756454545454543</v>
      </c>
      <c r="E249" s="2">
        <f>SOJA!E249</f>
        <v>7.4938581434646201</v>
      </c>
      <c r="F249" s="3">
        <f t="shared" si="39"/>
        <v>167.38406893186831</v>
      </c>
      <c r="G249" s="3">
        <f t="shared" si="35"/>
        <v>7.493858143464621</v>
      </c>
      <c r="H249" s="3">
        <f t="shared" si="33"/>
        <v>165.17436909164982</v>
      </c>
      <c r="I249" s="4">
        <f t="shared" si="42"/>
        <v>0.2</v>
      </c>
      <c r="J249" s="5">
        <f t="shared" si="40"/>
        <v>133.90725514549464</v>
      </c>
      <c r="K249" s="63">
        <f t="shared" si="34"/>
        <v>132.13949527331985</v>
      </c>
      <c r="L249" s="10">
        <f t="shared" si="41"/>
        <v>104.72557704663159</v>
      </c>
      <c r="M249" s="10">
        <f t="shared" si="41"/>
        <v>160.43790162542663</v>
      </c>
    </row>
    <row r="250" spans="1:13" x14ac:dyDescent="0.15">
      <c r="A250" s="34">
        <v>41518</v>
      </c>
      <c r="B250" t="s">
        <v>5</v>
      </c>
      <c r="C250" s="9">
        <v>218</v>
      </c>
      <c r="D250" s="7">
        <f>SOJA!D250</f>
        <v>5.7471428571428573</v>
      </c>
      <c r="E250" s="2">
        <f>SOJA!E250</f>
        <v>7.6512291644773764</v>
      </c>
      <c r="F250" s="3">
        <f t="shared" si="39"/>
        <v>165.93910392898519</v>
      </c>
      <c r="G250" s="3">
        <f t="shared" si="35"/>
        <v>7.6512291644773773</v>
      </c>
      <c r="H250" s="3">
        <f t="shared" si="33"/>
        <v>163.74847961343497</v>
      </c>
      <c r="I250" s="4">
        <f t="shared" si="42"/>
        <v>0.2</v>
      </c>
      <c r="J250" s="5">
        <f t="shared" si="40"/>
        <v>132.75128314318815</v>
      </c>
      <c r="K250" s="63">
        <f t="shared" si="34"/>
        <v>130.99878369074798</v>
      </c>
      <c r="L250" s="10">
        <f t="shared" si="41"/>
        <v>104.72557704663159</v>
      </c>
      <c r="M250" s="10">
        <f t="shared" si="41"/>
        <v>160.43790162542663</v>
      </c>
    </row>
    <row r="251" spans="1:13" x14ac:dyDescent="0.15">
      <c r="A251" s="34">
        <v>41548</v>
      </c>
      <c r="B251" t="s">
        <v>6</v>
      </c>
      <c r="C251" s="9">
        <v>208</v>
      </c>
      <c r="D251" s="7">
        <f>SOJA!D251</f>
        <v>5.8590869565217396</v>
      </c>
      <c r="E251" s="2">
        <f>SOJA!E251</f>
        <v>7.8195562060958785</v>
      </c>
      <c r="F251" s="3">
        <f t="shared" si="39"/>
        <v>157.93654642515216</v>
      </c>
      <c r="G251" s="3">
        <f t="shared" si="35"/>
        <v>7.8195562060958794</v>
      </c>
      <c r="H251" s="3">
        <f t="shared" si="33"/>
        <v>155.85156687108017</v>
      </c>
      <c r="I251" s="4">
        <f t="shared" si="42"/>
        <v>0.2</v>
      </c>
      <c r="J251" s="5">
        <f t="shared" si="40"/>
        <v>126.34923714012174</v>
      </c>
      <c r="K251" s="63">
        <f t="shared" si="34"/>
        <v>124.68125349686414</v>
      </c>
      <c r="L251" s="10">
        <f t="shared" si="41"/>
        <v>104.72557704663159</v>
      </c>
      <c r="M251" s="10">
        <f t="shared" si="41"/>
        <v>160.43790162542663</v>
      </c>
    </row>
    <row r="252" spans="1:13" x14ac:dyDescent="0.15">
      <c r="A252" s="34">
        <v>41579</v>
      </c>
      <c r="B252" t="s">
        <v>7</v>
      </c>
      <c r="C252" s="9">
        <v>207</v>
      </c>
      <c r="D252" s="7">
        <f>SOJA!D252</f>
        <v>6.0250000000000012</v>
      </c>
      <c r="E252" s="2">
        <f>SOJA!E252</f>
        <v>8.0072255550421794</v>
      </c>
      <c r="F252" s="3">
        <f t="shared" si="39"/>
        <v>157.83990057425217</v>
      </c>
      <c r="G252" s="3">
        <f t="shared" si="35"/>
        <v>8.0072255550421811</v>
      </c>
      <c r="H252" s="3">
        <f t="shared" si="33"/>
        <v>155.75619687828691</v>
      </c>
      <c r="I252" s="4">
        <f t="shared" si="42"/>
        <v>0.2</v>
      </c>
      <c r="J252" s="5">
        <f t="shared" si="40"/>
        <v>126.27192045940174</v>
      </c>
      <c r="K252" s="63">
        <f t="shared" si="34"/>
        <v>124.60495750262953</v>
      </c>
      <c r="L252" s="10">
        <f t="shared" si="41"/>
        <v>104.72557704663159</v>
      </c>
      <c r="M252" s="10">
        <f t="shared" si="41"/>
        <v>160.43790162542663</v>
      </c>
    </row>
    <row r="253" spans="1:13" x14ac:dyDescent="0.15">
      <c r="A253" s="34">
        <v>41609</v>
      </c>
      <c r="B253" t="s">
        <v>48</v>
      </c>
      <c r="C253" s="9">
        <v>211</v>
      </c>
      <c r="D253" s="7">
        <f>SOJA!D253</f>
        <v>6.3483333333333345</v>
      </c>
      <c r="E253" s="2">
        <f>SOJA!E253</f>
        <v>8.2634567728035293</v>
      </c>
      <c r="F253" s="3">
        <f t="shared" si="39"/>
        <v>164.26758874491222</v>
      </c>
      <c r="G253" s="3">
        <f t="shared" si="35"/>
        <v>8.2634567728035311</v>
      </c>
      <c r="H253" s="3">
        <f t="shared" si="33"/>
        <v>162.09903072789766</v>
      </c>
      <c r="I253" s="4">
        <f t="shared" si="42"/>
        <v>0.2</v>
      </c>
      <c r="J253" s="5">
        <f t="shared" si="40"/>
        <v>131.41407099592979</v>
      </c>
      <c r="K253" s="63">
        <f t="shared" si="34"/>
        <v>129.67922458231814</v>
      </c>
      <c r="L253" s="10">
        <f t="shared" si="41"/>
        <v>104.72557704663159</v>
      </c>
      <c r="M253" s="10">
        <f t="shared" si="41"/>
        <v>160.43790162542663</v>
      </c>
    </row>
    <row r="254" spans="1:13" x14ac:dyDescent="0.15">
      <c r="A254" s="34">
        <v>41640</v>
      </c>
      <c r="B254" t="s">
        <v>49</v>
      </c>
      <c r="C254" s="9">
        <v>212</v>
      </c>
      <c r="D254" s="7">
        <f>SOJA!D254</f>
        <v>7.1343181818181822</v>
      </c>
      <c r="E254" s="2">
        <f>SOJA!E254</f>
        <v>8.6518392411252965</v>
      </c>
      <c r="F254" s="3">
        <f t="shared" si="39"/>
        <v>177.1541613505006</v>
      </c>
      <c r="G254" s="3">
        <f t="shared" si="35"/>
        <v>8.6518392411252982</v>
      </c>
      <c r="H254" s="3">
        <f t="shared" si="33"/>
        <v>174.81548285780852</v>
      </c>
      <c r="I254" s="4">
        <f t="shared" si="42"/>
        <v>0.2</v>
      </c>
      <c r="J254" s="5">
        <f t="shared" si="40"/>
        <v>141.72332908040048</v>
      </c>
      <c r="K254" s="63">
        <f t="shared" si="34"/>
        <v>139.85238628624683</v>
      </c>
      <c r="L254" s="10">
        <f t="shared" si="41"/>
        <v>104.72557704663159</v>
      </c>
      <c r="M254" s="10">
        <f t="shared" si="41"/>
        <v>160.43790162542663</v>
      </c>
    </row>
    <row r="255" spans="1:13" x14ac:dyDescent="0.15">
      <c r="A255" s="34">
        <v>41671</v>
      </c>
      <c r="B255" t="s">
        <v>1</v>
      </c>
      <c r="C255" s="9">
        <v>218</v>
      </c>
      <c r="D255" s="7">
        <f>SOJA!D255</f>
        <v>7.8588649999999998</v>
      </c>
      <c r="E255" s="2">
        <f>SOJA!E255</f>
        <v>8.9979128107703072</v>
      </c>
      <c r="F255" s="3">
        <f t="shared" si="39"/>
        <v>192.95054331713601</v>
      </c>
      <c r="G255" s="3">
        <f t="shared" si="35"/>
        <v>8.997912810770309</v>
      </c>
      <c r="H255" s="3">
        <f t="shared" si="33"/>
        <v>190.40333086460865</v>
      </c>
      <c r="I255" s="4">
        <f t="shared" si="42"/>
        <v>0.2</v>
      </c>
      <c r="J255" s="5">
        <f t="shared" si="40"/>
        <v>154.36043465370881</v>
      </c>
      <c r="K255" s="63">
        <f t="shared" si="34"/>
        <v>152.32266469168692</v>
      </c>
      <c r="L255" s="10">
        <f t="shared" si="41"/>
        <v>104.72557704663159</v>
      </c>
      <c r="M255" s="10">
        <f t="shared" si="41"/>
        <v>160.43790162542663</v>
      </c>
    </row>
    <row r="256" spans="1:13" x14ac:dyDescent="0.15">
      <c r="A256" s="34">
        <v>41699</v>
      </c>
      <c r="B256" t="s">
        <v>2</v>
      </c>
      <c r="C256" s="9">
        <v>225</v>
      </c>
      <c r="D256" s="7">
        <f>SOJA!D256</f>
        <v>7.9392857142857123</v>
      </c>
      <c r="E256" s="2">
        <f>SOJA!E256</f>
        <v>9.2678501950934162</v>
      </c>
      <c r="F256" s="3">
        <f t="shared" si="39"/>
        <v>195.32435932162457</v>
      </c>
      <c r="G256" s="3">
        <f t="shared" si="35"/>
        <v>9.267850195093418</v>
      </c>
      <c r="H256" s="3">
        <f t="shared" si="33"/>
        <v>192.74580923416397</v>
      </c>
      <c r="I256" s="4">
        <f t="shared" si="42"/>
        <v>0.2</v>
      </c>
      <c r="J256" s="5">
        <f t="shared" si="40"/>
        <v>156.25948745729966</v>
      </c>
      <c r="K256" s="63">
        <f t="shared" si="34"/>
        <v>154.19664738733118</v>
      </c>
      <c r="L256" s="10">
        <f t="shared" si="41"/>
        <v>104.72557704663159</v>
      </c>
      <c r="M256" s="10">
        <f t="shared" si="41"/>
        <v>160.43790162542663</v>
      </c>
    </row>
    <row r="257" spans="1:13" x14ac:dyDescent="0.15">
      <c r="A257" s="34">
        <v>41730</v>
      </c>
      <c r="B257" t="s">
        <v>3</v>
      </c>
      <c r="C257" s="9">
        <v>228</v>
      </c>
      <c r="D257" s="7">
        <f>SOJA!D257</f>
        <v>8.01</v>
      </c>
      <c r="E257" s="2">
        <f>SOJA!E257</f>
        <v>9.4717428993854718</v>
      </c>
      <c r="F257" s="3">
        <f t="shared" si="39"/>
        <v>195.39296640252439</v>
      </c>
      <c r="G257" s="3">
        <f t="shared" si="35"/>
        <v>9.4717428993854735</v>
      </c>
      <c r="H257" s="3">
        <f t="shared" si="33"/>
        <v>192.8135106072705</v>
      </c>
      <c r="I257" s="4">
        <f t="shared" si="42"/>
        <v>0.2</v>
      </c>
      <c r="J257" s="5">
        <f t="shared" si="40"/>
        <v>156.31437312201953</v>
      </c>
      <c r="K257" s="63">
        <f t="shared" si="34"/>
        <v>154.25080848581641</v>
      </c>
      <c r="L257" s="10">
        <f t="shared" si="41"/>
        <v>104.72557704663159</v>
      </c>
      <c r="M257" s="10">
        <f t="shared" si="41"/>
        <v>160.43790162542663</v>
      </c>
    </row>
    <row r="258" spans="1:13" x14ac:dyDescent="0.15">
      <c r="A258" s="34">
        <v>41760</v>
      </c>
      <c r="B258" t="s">
        <v>2</v>
      </c>
      <c r="C258" s="9">
        <v>222</v>
      </c>
      <c r="D258" s="7">
        <f>SOJA!D258</f>
        <v>8.0527272727272745</v>
      </c>
      <c r="E258" s="2">
        <f>SOJA!E258</f>
        <v>9.6801212431719517</v>
      </c>
      <c r="F258" s="3">
        <f t="shared" si="39"/>
        <v>187.14862154617472</v>
      </c>
      <c r="G258" s="3">
        <f t="shared" si="35"/>
        <v>9.6801212431719534</v>
      </c>
      <c r="H258" s="3">
        <f t="shared" ref="H258:H285" si="43">+(C258*D258)/G258</f>
        <v>184.67800243787701</v>
      </c>
      <c r="I258" s="4">
        <f t="shared" si="42"/>
        <v>0.2</v>
      </c>
      <c r="J258" s="5">
        <f t="shared" si="40"/>
        <v>149.7188972369398</v>
      </c>
      <c r="K258" s="63">
        <f t="shared" ref="K258:K285" si="44">+H258*(1-I258)</f>
        <v>147.74240195030163</v>
      </c>
      <c r="L258" s="10">
        <f t="shared" si="41"/>
        <v>104.72557704663159</v>
      </c>
      <c r="M258" s="10">
        <f t="shared" si="41"/>
        <v>160.43790162542663</v>
      </c>
    </row>
    <row r="259" spans="1:13" x14ac:dyDescent="0.15">
      <c r="A259" s="34">
        <v>41791</v>
      </c>
      <c r="B259" t="s">
        <v>4</v>
      </c>
      <c r="C259" s="9">
        <v>204</v>
      </c>
      <c r="D259" s="7">
        <f>SOJA!D259</f>
        <v>8.1405452380952408</v>
      </c>
      <c r="E259" s="2">
        <f>SOJA!E259</f>
        <v>9.883403789278562</v>
      </c>
      <c r="F259" s="3">
        <f t="shared" si="39"/>
        <v>170.27409739576277</v>
      </c>
      <c r="G259" s="3">
        <f t="shared" ref="G259:G285" si="45">+E259/AVERAGE(E$2:E$13)</f>
        <v>9.8834037892785638</v>
      </c>
      <c r="H259" s="3">
        <f t="shared" si="43"/>
        <v>168.0262452064249</v>
      </c>
      <c r="I259" s="4">
        <f t="shared" si="42"/>
        <v>0.2</v>
      </c>
      <c r="J259" s="5">
        <f t="shared" si="40"/>
        <v>136.21927791661022</v>
      </c>
      <c r="K259" s="63">
        <f t="shared" si="44"/>
        <v>134.42099616513994</v>
      </c>
      <c r="L259" s="10">
        <f t="shared" si="41"/>
        <v>104.72557704663159</v>
      </c>
      <c r="M259" s="10">
        <f t="shared" si="41"/>
        <v>160.43790162542663</v>
      </c>
    </row>
    <row r="260" spans="1:13" x14ac:dyDescent="0.15">
      <c r="A260" s="34">
        <v>41821</v>
      </c>
      <c r="B260" t="s">
        <v>4</v>
      </c>
      <c r="C260" s="9">
        <v>190</v>
      </c>
      <c r="D260" s="7">
        <f>SOJA!D260</f>
        <v>8.1747826086956525</v>
      </c>
      <c r="E260" s="2">
        <f>SOJA!E260</f>
        <v>10.130488884010525</v>
      </c>
      <c r="F260" s="3">
        <f t="shared" si="39"/>
        <v>155.37132636153589</v>
      </c>
      <c r="G260" s="3">
        <f t="shared" si="45"/>
        <v>10.130488884010527</v>
      </c>
      <c r="H260" s="3">
        <f t="shared" si="43"/>
        <v>153.32021123913214</v>
      </c>
      <c r="I260" s="4">
        <f t="shared" si="42"/>
        <v>0.2</v>
      </c>
      <c r="J260" s="5">
        <f t="shared" si="40"/>
        <v>124.29706108922871</v>
      </c>
      <c r="K260" s="63">
        <f t="shared" si="44"/>
        <v>122.65616899130572</v>
      </c>
      <c r="L260" s="10">
        <f t="shared" ref="L260:M275" si="46">+L259</f>
        <v>104.72557704663159</v>
      </c>
      <c r="M260" s="10">
        <f t="shared" si="46"/>
        <v>160.43790162542663</v>
      </c>
    </row>
    <row r="261" spans="1:13" x14ac:dyDescent="0.15">
      <c r="A261" s="34">
        <v>41852</v>
      </c>
      <c r="B261" t="s">
        <v>3</v>
      </c>
      <c r="C261" s="9">
        <v>181</v>
      </c>
      <c r="D261" s="7">
        <f>SOJA!D261</f>
        <v>8.3311904761904714</v>
      </c>
      <c r="E261" s="2">
        <f>SOJA!E261</f>
        <v>10.363490128342766</v>
      </c>
      <c r="F261" s="3">
        <f t="shared" si="39"/>
        <v>147.45213491302383</v>
      </c>
      <c r="G261" s="3">
        <f t="shared" si="45"/>
        <v>10.363490128342768</v>
      </c>
      <c r="H261" s="3">
        <f t="shared" si="43"/>
        <v>145.50556400555107</v>
      </c>
      <c r="I261" s="4">
        <f t="shared" si="42"/>
        <v>0.2</v>
      </c>
      <c r="J261" s="5">
        <f t="shared" si="40"/>
        <v>117.96170793041907</v>
      </c>
      <c r="K261" s="63">
        <f t="shared" si="44"/>
        <v>116.40445120444086</v>
      </c>
      <c r="L261" s="10">
        <f t="shared" si="46"/>
        <v>104.72557704663159</v>
      </c>
      <c r="M261" s="10">
        <f t="shared" si="46"/>
        <v>160.43790162542663</v>
      </c>
    </row>
    <row r="262" spans="1:13" x14ac:dyDescent="0.15">
      <c r="A262" s="34">
        <v>41883</v>
      </c>
      <c r="B262" t="s">
        <v>5</v>
      </c>
      <c r="C262" s="9">
        <v>166</v>
      </c>
      <c r="D262" s="7">
        <f>SOJA!D262</f>
        <v>8.4328011363636364</v>
      </c>
      <c r="E262" s="2">
        <f>SOJA!E262</f>
        <v>10.632940871679677</v>
      </c>
      <c r="F262" s="3">
        <f t="shared" si="39"/>
        <v>133.41295768453392</v>
      </c>
      <c r="G262" s="3">
        <f t="shared" si="45"/>
        <v>10.632940871679679</v>
      </c>
      <c r="H262" s="3">
        <f t="shared" si="43"/>
        <v>131.65172321843554</v>
      </c>
      <c r="I262" s="4">
        <f t="shared" si="42"/>
        <v>0.2</v>
      </c>
      <c r="J262" s="5">
        <f t="shared" si="40"/>
        <v>106.73036614762714</v>
      </c>
      <c r="K262" s="63">
        <f t="shared" si="44"/>
        <v>105.32137857474844</v>
      </c>
      <c r="L262" s="10">
        <f t="shared" si="46"/>
        <v>104.72557704663159</v>
      </c>
      <c r="M262" s="10">
        <f t="shared" si="46"/>
        <v>160.43790162542663</v>
      </c>
    </row>
    <row r="263" spans="1:13" x14ac:dyDescent="0.15">
      <c r="A263" s="34">
        <v>41913</v>
      </c>
      <c r="B263" t="s">
        <v>6</v>
      </c>
      <c r="C263" s="9">
        <v>170</v>
      </c>
      <c r="D263" s="7">
        <f>SOJA!D263</f>
        <v>8.4918478260869534</v>
      </c>
      <c r="E263" s="2">
        <f>SOJA!E263</f>
        <v>10.877498511728311</v>
      </c>
      <c r="F263" s="3">
        <f t="shared" si="39"/>
        <v>134.49110322701654</v>
      </c>
      <c r="G263" s="3">
        <f t="shared" si="45"/>
        <v>10.877498511728312</v>
      </c>
      <c r="H263" s="3">
        <f t="shared" si="43"/>
        <v>132.71563575745395</v>
      </c>
      <c r="I263" s="4">
        <f t="shared" si="42"/>
        <v>0.2</v>
      </c>
      <c r="J263" s="5">
        <f t="shared" si="40"/>
        <v>107.59288258161324</v>
      </c>
      <c r="K263" s="63">
        <f t="shared" si="44"/>
        <v>106.17250860596317</v>
      </c>
      <c r="L263" s="10">
        <f t="shared" si="46"/>
        <v>104.72557704663159</v>
      </c>
      <c r="M263" s="10">
        <f t="shared" si="46"/>
        <v>160.43790162542663</v>
      </c>
    </row>
    <row r="264" spans="1:13" x14ac:dyDescent="0.15">
      <c r="A264" s="34">
        <v>41944</v>
      </c>
      <c r="B264" t="s">
        <v>7</v>
      </c>
      <c r="C264" s="9">
        <v>180</v>
      </c>
      <c r="D264" s="7">
        <f>SOJA!D264</f>
        <v>8.5269841097830259</v>
      </c>
      <c r="E264" s="2">
        <f>SOJA!E264</f>
        <v>11.084170983451147</v>
      </c>
      <c r="F264" s="3">
        <f t="shared" si="39"/>
        <v>140.32537338467665</v>
      </c>
      <c r="G264" s="3">
        <f t="shared" si="45"/>
        <v>11.084170983451148</v>
      </c>
      <c r="H264" s="3">
        <f t="shared" si="43"/>
        <v>138.47288552770539</v>
      </c>
      <c r="I264" s="4">
        <f t="shared" si="42"/>
        <v>0.2</v>
      </c>
      <c r="J264" s="5">
        <f t="shared" si="40"/>
        <v>112.26029870774133</v>
      </c>
      <c r="K264" s="63">
        <f t="shared" si="44"/>
        <v>110.77830842216432</v>
      </c>
      <c r="L264" s="10">
        <f t="shared" si="46"/>
        <v>104.72557704663159</v>
      </c>
      <c r="M264" s="10">
        <f t="shared" si="46"/>
        <v>160.43790162542663</v>
      </c>
    </row>
    <row r="265" spans="1:13" x14ac:dyDescent="0.15">
      <c r="A265" s="34">
        <v>41974</v>
      </c>
      <c r="B265" t="s">
        <v>50</v>
      </c>
      <c r="C265" s="9">
        <v>196</v>
      </c>
      <c r="D265" s="7">
        <f>SOJA!D265</f>
        <v>8.5620347826086949</v>
      </c>
      <c r="E265" s="2">
        <f>SOJA!E265</f>
        <v>11.35816649166286</v>
      </c>
      <c r="F265" s="3">
        <f t="shared" si="39"/>
        <v>149.72567959316819</v>
      </c>
      <c r="G265" s="3">
        <f t="shared" si="45"/>
        <v>11.358166491662862</v>
      </c>
      <c r="H265" s="3">
        <f t="shared" si="43"/>
        <v>147.74909477010297</v>
      </c>
      <c r="I265" s="4">
        <f t="shared" si="42"/>
        <v>0.2</v>
      </c>
      <c r="J265" s="5">
        <f t="shared" si="40"/>
        <v>119.78054367453454</v>
      </c>
      <c r="K265" s="63">
        <f t="shared" si="44"/>
        <v>118.19927581608238</v>
      </c>
      <c r="L265" s="10">
        <f t="shared" si="46"/>
        <v>104.72557704663159</v>
      </c>
      <c r="M265" s="10">
        <f t="shared" si="46"/>
        <v>160.43790162542663</v>
      </c>
    </row>
    <row r="266" spans="1:13" x14ac:dyDescent="0.15">
      <c r="A266" s="34">
        <v>42005</v>
      </c>
      <c r="B266" t="s">
        <v>51</v>
      </c>
      <c r="C266" s="9">
        <v>183</v>
      </c>
      <c r="D266" s="7">
        <f>SOJA!D266</f>
        <v>8.6109966565766225</v>
      </c>
      <c r="E266" s="2">
        <f>SOJA!E266</f>
        <v>11.580511462696627</v>
      </c>
      <c r="F266" s="3">
        <f t="shared" si="39"/>
        <v>137.8949093958764</v>
      </c>
      <c r="G266" s="3">
        <f t="shared" si="45"/>
        <v>11.580511462696629</v>
      </c>
      <c r="H266" s="3">
        <f t="shared" si="43"/>
        <v>136.07450700511455</v>
      </c>
      <c r="I266" s="4">
        <f t="shared" si="42"/>
        <v>0.2</v>
      </c>
      <c r="J266" s="5">
        <f t="shared" si="40"/>
        <v>110.31592751670112</v>
      </c>
      <c r="K266" s="63">
        <f t="shared" si="44"/>
        <v>108.85960560409166</v>
      </c>
      <c r="L266" s="10">
        <f t="shared" si="46"/>
        <v>104.72557704663159</v>
      </c>
      <c r="M266" s="10">
        <f t="shared" si="46"/>
        <v>160.43790162542663</v>
      </c>
    </row>
    <row r="267" spans="1:13" x14ac:dyDescent="0.15">
      <c r="A267" s="34">
        <v>42036</v>
      </c>
      <c r="B267" t="s">
        <v>1</v>
      </c>
      <c r="C267" s="9">
        <v>177</v>
      </c>
      <c r="D267" s="7">
        <f>SOJA!D267</f>
        <v>8.6939970523682319</v>
      </c>
      <c r="E267" s="2">
        <f>SOJA!E267</f>
        <v>11.748729495674439</v>
      </c>
      <c r="F267" s="3">
        <f t="shared" si="39"/>
        <v>132.73128978705017</v>
      </c>
      <c r="G267" s="3">
        <f t="shared" si="45"/>
        <v>11.748729495674441</v>
      </c>
      <c r="H267" s="3">
        <f t="shared" si="43"/>
        <v>130.97905427439918</v>
      </c>
      <c r="I267" s="4">
        <f t="shared" si="42"/>
        <v>0.2</v>
      </c>
      <c r="J267" s="5">
        <f t="shared" si="40"/>
        <v>106.18503182964014</v>
      </c>
      <c r="K267" s="63">
        <f t="shared" si="44"/>
        <v>104.78324341951935</v>
      </c>
      <c r="L267" s="10">
        <f t="shared" si="46"/>
        <v>104.72557704663159</v>
      </c>
      <c r="M267" s="10">
        <f t="shared" si="46"/>
        <v>160.43790162542663</v>
      </c>
    </row>
    <row r="268" spans="1:13" x14ac:dyDescent="0.15">
      <c r="A268" s="34">
        <v>42064</v>
      </c>
      <c r="B268" t="s">
        <v>2</v>
      </c>
      <c r="C268" s="9">
        <v>170</v>
      </c>
      <c r="D268" s="7">
        <f>SOJA!D268</f>
        <v>8.7922075377180153</v>
      </c>
      <c r="E268" s="2">
        <f>SOJA!E268</f>
        <v>11.944010997680232</v>
      </c>
      <c r="F268" s="3">
        <f t="shared" si="39"/>
        <v>126.81426881260791</v>
      </c>
      <c r="G268" s="3">
        <f t="shared" si="45"/>
        <v>11.944010997680234</v>
      </c>
      <c r="H268" s="3">
        <f t="shared" si="43"/>
        <v>125.14014611191821</v>
      </c>
      <c r="I268" s="4">
        <f t="shared" si="42"/>
        <v>0.2</v>
      </c>
      <c r="J268" s="5">
        <f t="shared" si="40"/>
        <v>101.45141505008633</v>
      </c>
      <c r="K268" s="63">
        <f t="shared" si="44"/>
        <v>100.11211688953458</v>
      </c>
      <c r="L268" s="10">
        <f t="shared" si="46"/>
        <v>104.72557704663159</v>
      </c>
      <c r="M268" s="10">
        <f t="shared" si="46"/>
        <v>160.43790162542663</v>
      </c>
    </row>
    <row r="269" spans="1:13" x14ac:dyDescent="0.15">
      <c r="A269" s="34">
        <v>42095</v>
      </c>
      <c r="B269" t="s">
        <v>3</v>
      </c>
      <c r="C269" s="9">
        <v>168</v>
      </c>
      <c r="D269" s="7">
        <f>SOJA!D269</f>
        <v>8.8757954545454538</v>
      </c>
      <c r="E269" s="2">
        <f>SOJA!E269</f>
        <v>12.226850781835356</v>
      </c>
      <c r="F269" s="3">
        <f t="shared" si="39"/>
        <v>123.58717900533523</v>
      </c>
      <c r="G269" s="3">
        <f t="shared" si="45"/>
        <v>12.226850781835358</v>
      </c>
      <c r="H269" s="3">
        <f t="shared" si="43"/>
        <v>121.95565832691089</v>
      </c>
      <c r="I269" s="4">
        <f t="shared" si="42"/>
        <v>0.2</v>
      </c>
      <c r="J269" s="5">
        <f t="shared" si="40"/>
        <v>98.86974320426819</v>
      </c>
      <c r="K269" s="63">
        <f t="shared" si="44"/>
        <v>97.564526661528717</v>
      </c>
      <c r="L269" s="10">
        <f t="shared" si="46"/>
        <v>104.72557704663159</v>
      </c>
      <c r="M269" s="10">
        <f t="shared" si="46"/>
        <v>160.43790162542663</v>
      </c>
    </row>
    <row r="270" spans="1:13" x14ac:dyDescent="0.15">
      <c r="A270" s="34">
        <v>42125</v>
      </c>
      <c r="B270" t="s">
        <v>2</v>
      </c>
      <c r="C270" s="9">
        <v>169</v>
      </c>
      <c r="D270" s="7">
        <f>SOJA!D270</f>
        <v>8.961666666666666</v>
      </c>
      <c r="E270" s="2">
        <f>SOJA!E270</f>
        <v>12.49748547211512</v>
      </c>
      <c r="F270" s="3">
        <f t="shared" si="39"/>
        <v>122.80733709487346</v>
      </c>
      <c r="G270" s="3">
        <f t="shared" si="45"/>
        <v>12.497485472115121</v>
      </c>
      <c r="H270" s="3">
        <f t="shared" si="43"/>
        <v>121.18611140184372</v>
      </c>
      <c r="I270" s="4">
        <f t="shared" si="42"/>
        <v>0.2</v>
      </c>
      <c r="J270" s="5">
        <f t="shared" si="40"/>
        <v>98.245869675898774</v>
      </c>
      <c r="K270" s="63">
        <f t="shared" si="44"/>
        <v>96.948889121474977</v>
      </c>
      <c r="L270" s="10">
        <f t="shared" si="46"/>
        <v>104.72557704663159</v>
      </c>
      <c r="M270" s="10">
        <f t="shared" si="46"/>
        <v>160.43790162542663</v>
      </c>
    </row>
    <row r="271" spans="1:13" x14ac:dyDescent="0.15">
      <c r="A271" s="34">
        <v>42156</v>
      </c>
      <c r="B271" t="s">
        <v>4</v>
      </c>
      <c r="C271" s="9">
        <v>170</v>
      </c>
      <c r="D271" s="7">
        <f>SOJA!D271</f>
        <v>9.0500000000000007</v>
      </c>
      <c r="E271" s="2">
        <f>SOJA!E271</f>
        <v>12.666234161348385</v>
      </c>
      <c r="F271" s="3">
        <f t="shared" si="39"/>
        <v>123.08962604134082</v>
      </c>
      <c r="G271" s="3">
        <f t="shared" si="45"/>
        <v>12.666234161348386</v>
      </c>
      <c r="H271" s="3">
        <f t="shared" si="43"/>
        <v>121.46467374610884</v>
      </c>
      <c r="I271" s="4">
        <f t="shared" si="42"/>
        <v>0.2</v>
      </c>
      <c r="J271" s="5">
        <f t="shared" si="40"/>
        <v>98.47170083307266</v>
      </c>
      <c r="K271" s="63">
        <f t="shared" si="44"/>
        <v>97.171738996887086</v>
      </c>
      <c r="L271" s="10">
        <f t="shared" si="46"/>
        <v>104.72557704663159</v>
      </c>
      <c r="M271" s="10">
        <f t="shared" si="46"/>
        <v>160.43790162542663</v>
      </c>
    </row>
    <row r="272" spans="1:13" x14ac:dyDescent="0.15">
      <c r="A272" s="34">
        <v>42186</v>
      </c>
      <c r="B272" t="s">
        <v>4</v>
      </c>
      <c r="C272" s="9">
        <v>176</v>
      </c>
      <c r="D272" s="7">
        <f>SOJA!D272</f>
        <v>9.1413869565217389</v>
      </c>
      <c r="E272" s="2">
        <f>SOJA!E272</f>
        <v>12.924663757752787</v>
      </c>
      <c r="F272" s="3">
        <f t="shared" si="39"/>
        <v>126.1470130677467</v>
      </c>
      <c r="G272" s="3">
        <f t="shared" si="45"/>
        <v>12.924663757752789</v>
      </c>
      <c r="H272" s="3">
        <f t="shared" si="43"/>
        <v>124.48169906027502</v>
      </c>
      <c r="I272" s="4">
        <f t="shared" si="42"/>
        <v>0.2</v>
      </c>
      <c r="J272" s="5">
        <f t="shared" si="40"/>
        <v>100.91761045419736</v>
      </c>
      <c r="K272" s="63">
        <f t="shared" si="44"/>
        <v>99.585359248220016</v>
      </c>
      <c r="L272" s="10">
        <f t="shared" si="46"/>
        <v>104.72557704663159</v>
      </c>
      <c r="M272" s="10">
        <f t="shared" si="46"/>
        <v>160.43790162542663</v>
      </c>
    </row>
    <row r="273" spans="1:13" x14ac:dyDescent="0.15">
      <c r="A273" s="34">
        <v>42217</v>
      </c>
      <c r="B273" t="s">
        <v>3</v>
      </c>
      <c r="C273" s="9">
        <v>160</v>
      </c>
      <c r="D273" s="7">
        <f>SOJA!D273</f>
        <v>9.2501161904761915</v>
      </c>
      <c r="E273" s="2">
        <f>SOJA!E273</f>
        <v>13.16133644768372</v>
      </c>
      <c r="F273" s="3">
        <f t="shared" si="39"/>
        <v>113.9563796905999</v>
      </c>
      <c r="G273" s="3">
        <f t="shared" si="45"/>
        <v>13.161336447683722</v>
      </c>
      <c r="H273" s="3">
        <f t="shared" si="43"/>
        <v>112.45199880416861</v>
      </c>
      <c r="I273" s="4">
        <f t="shared" si="42"/>
        <v>0.2</v>
      </c>
      <c r="J273" s="5">
        <f t="shared" si="40"/>
        <v>91.165103752479922</v>
      </c>
      <c r="K273" s="63">
        <f t="shared" si="44"/>
        <v>89.9615990433349</v>
      </c>
      <c r="L273" s="10">
        <f t="shared" si="46"/>
        <v>104.72557704663159</v>
      </c>
      <c r="M273" s="10">
        <f t="shared" si="46"/>
        <v>160.43790162542663</v>
      </c>
    </row>
    <row r="274" spans="1:13" x14ac:dyDescent="0.15">
      <c r="A274" s="34">
        <v>42248</v>
      </c>
      <c r="B274" t="s">
        <v>5</v>
      </c>
      <c r="C274" s="9">
        <v>161</v>
      </c>
      <c r="D274" s="7">
        <f>SOJA!D274</f>
        <v>9.3753409090909088</v>
      </c>
      <c r="E274" s="2">
        <f>SOJA!E274</f>
        <v>13.379436168673882</v>
      </c>
      <c r="F274" s="3">
        <f t="shared" si="39"/>
        <v>114.32641808496091</v>
      </c>
      <c r="G274" s="3">
        <f t="shared" si="45"/>
        <v>13.379436168673884</v>
      </c>
      <c r="H274" s="3">
        <f t="shared" si="43"/>
        <v>112.81715218297163</v>
      </c>
      <c r="I274" s="4">
        <f t="shared" si="42"/>
        <v>0.2</v>
      </c>
      <c r="J274" s="5">
        <f t="shared" si="40"/>
        <v>91.461134467968733</v>
      </c>
      <c r="K274" s="63">
        <f t="shared" si="44"/>
        <v>90.253721746377309</v>
      </c>
      <c r="L274" s="10">
        <f t="shared" si="46"/>
        <v>104.72557704663159</v>
      </c>
      <c r="M274" s="10">
        <f t="shared" si="46"/>
        <v>160.43790162542663</v>
      </c>
    </row>
    <row r="275" spans="1:13" x14ac:dyDescent="0.15">
      <c r="A275" s="34">
        <v>42278</v>
      </c>
      <c r="B275" t="s">
        <v>6</v>
      </c>
      <c r="C275" s="9">
        <v>163</v>
      </c>
      <c r="D275" s="7">
        <f>SOJA!D275</f>
        <v>9.4996797405650941</v>
      </c>
      <c r="E275" s="2">
        <f>SOJA!E275</f>
        <v>13.607087702262156</v>
      </c>
      <c r="F275" s="3">
        <f t="shared" si="39"/>
        <v>115.31952610172733</v>
      </c>
      <c r="G275" s="3">
        <f t="shared" si="45"/>
        <v>13.607087702262158</v>
      </c>
      <c r="H275" s="3">
        <f t="shared" si="43"/>
        <v>113.79714980852833</v>
      </c>
      <c r="I275" s="4">
        <f t="shared" si="42"/>
        <v>0.2</v>
      </c>
      <c r="J275" s="5">
        <f t="shared" si="40"/>
        <v>92.255620881381873</v>
      </c>
      <c r="K275" s="63">
        <f t="shared" si="44"/>
        <v>91.037719846822668</v>
      </c>
      <c r="L275" s="10">
        <f t="shared" si="46"/>
        <v>104.72557704663159</v>
      </c>
      <c r="M275" s="10">
        <f t="shared" si="46"/>
        <v>160.43790162542663</v>
      </c>
    </row>
    <row r="276" spans="1:13" x14ac:dyDescent="0.15">
      <c r="A276" s="34">
        <v>42309</v>
      </c>
      <c r="B276" t="s">
        <v>7</v>
      </c>
      <c r="C276" s="9">
        <v>168</v>
      </c>
      <c r="D276" s="7">
        <f>SOJA!D276</f>
        <v>9.6595714285714269</v>
      </c>
      <c r="E276" s="2">
        <f>SOJA!E276</f>
        <v>13.872946486242865</v>
      </c>
      <c r="F276" s="3">
        <f>+(C276*(D276/E276))/(AVERAGE(C$109)*AVERAGE(D$109)/AVERAGE(E$109))*100</f>
        <v>118.54135665142067</v>
      </c>
      <c r="G276" s="3">
        <f t="shared" si="45"/>
        <v>13.872946486242867</v>
      </c>
      <c r="H276" s="3">
        <f t="shared" si="43"/>
        <v>116.97644776538714</v>
      </c>
      <c r="I276" s="4">
        <f t="shared" si="42"/>
        <v>0.2</v>
      </c>
      <c r="J276" s="5">
        <f t="shared" si="40"/>
        <v>94.833085321136537</v>
      </c>
      <c r="K276" s="63">
        <f t="shared" si="44"/>
        <v>93.581158212309717</v>
      </c>
      <c r="L276" s="10">
        <f t="shared" ref="L276:M289" si="47">+L275</f>
        <v>104.72557704663159</v>
      </c>
      <c r="M276" s="10">
        <f t="shared" si="47"/>
        <v>160.43790162542663</v>
      </c>
    </row>
    <row r="277" spans="1:13" x14ac:dyDescent="0.15">
      <c r="A277" s="34">
        <v>42339</v>
      </c>
      <c r="B277" t="s">
        <v>52</v>
      </c>
      <c r="C277" s="9">
        <v>165</v>
      </c>
      <c r="D277" s="7">
        <f>SOJA!D277</f>
        <v>11.468809157142855</v>
      </c>
      <c r="E277" s="2">
        <f>SOJA!E277</f>
        <v>14.416338491824195</v>
      </c>
      <c r="F277" s="3">
        <f t="shared" si="39"/>
        <v>133.02055750220049</v>
      </c>
      <c r="G277" s="3">
        <f t="shared" si="45"/>
        <v>14.416338491824197</v>
      </c>
      <c r="H277" s="3">
        <f t="shared" si="43"/>
        <v>131.26450325800576</v>
      </c>
      <c r="I277" s="4">
        <f>+I276/2</f>
        <v>0.1</v>
      </c>
      <c r="J277" s="5">
        <f t="shared" si="40"/>
        <v>119.71850175198044</v>
      </c>
      <c r="K277" s="63">
        <f t="shared" si="44"/>
        <v>118.13805293220518</v>
      </c>
      <c r="L277" s="10">
        <f t="shared" si="47"/>
        <v>104.72557704663159</v>
      </c>
      <c r="M277" s="10">
        <f t="shared" si="47"/>
        <v>160.43790162542663</v>
      </c>
    </row>
    <row r="278" spans="1:13" x14ac:dyDescent="0.15">
      <c r="A278" s="34">
        <v>42370</v>
      </c>
      <c r="B278" t="s">
        <v>53</v>
      </c>
      <c r="C278" s="9">
        <v>161</v>
      </c>
      <c r="D278" s="7">
        <f>SOJA!D278</f>
        <v>13.6548</v>
      </c>
      <c r="E278" s="2">
        <f>SOJA!E278</f>
        <v>15.012796122950578</v>
      </c>
      <c r="F278" s="3">
        <f t="shared" si="39"/>
        <v>148.39562489099305</v>
      </c>
      <c r="G278" s="3">
        <f t="shared" si="45"/>
        <v>15.012796122950579</v>
      </c>
      <c r="H278" s="3">
        <f t="shared" si="43"/>
        <v>146.43659861864074</v>
      </c>
      <c r="I278" s="4">
        <v>0</v>
      </c>
      <c r="J278" s="5">
        <f t="shared" si="40"/>
        <v>148.39562489099305</v>
      </c>
      <c r="K278" s="63">
        <f t="shared" si="44"/>
        <v>146.43659861864074</v>
      </c>
      <c r="L278" s="10">
        <f t="shared" si="47"/>
        <v>104.72557704663159</v>
      </c>
      <c r="M278" s="10">
        <f t="shared" si="47"/>
        <v>160.43790162542663</v>
      </c>
    </row>
    <row r="279" spans="1:13" x14ac:dyDescent="0.15">
      <c r="A279" s="34">
        <v>42401</v>
      </c>
      <c r="B279" t="s">
        <v>1</v>
      </c>
      <c r="C279" s="9">
        <v>167</v>
      </c>
      <c r="D279" s="7">
        <f>SOJA!D279</f>
        <v>14.8146</v>
      </c>
      <c r="E279" s="2">
        <f>SOJA!E279</f>
        <v>15.608723097821507</v>
      </c>
      <c r="F279" s="3">
        <f t="shared" si="39"/>
        <v>160.62401929657665</v>
      </c>
      <c r="G279" s="3">
        <f t="shared" si="45"/>
        <v>15.608723097821509</v>
      </c>
      <c r="H279" s="3">
        <f t="shared" si="43"/>
        <v>158.50356140569235</v>
      </c>
      <c r="I279" s="4">
        <v>0</v>
      </c>
      <c r="J279" s="5">
        <f t="shared" si="40"/>
        <v>160.62401929657665</v>
      </c>
      <c r="K279" s="63">
        <f t="shared" si="44"/>
        <v>158.50356140569235</v>
      </c>
      <c r="L279" s="10">
        <f t="shared" si="47"/>
        <v>104.72557704663159</v>
      </c>
      <c r="M279" s="10">
        <f t="shared" si="47"/>
        <v>160.43790162542663</v>
      </c>
    </row>
    <row r="280" spans="1:13" x14ac:dyDescent="0.15">
      <c r="A280" s="34">
        <v>42430</v>
      </c>
      <c r="B280" t="s">
        <v>2</v>
      </c>
      <c r="C280" s="9">
        <v>162</v>
      </c>
      <c r="D280" s="7">
        <f>SOJA!D280</f>
        <v>14.961499999999999</v>
      </c>
      <c r="E280" s="2">
        <f>SOJA!E280</f>
        <v>16.126643603141211</v>
      </c>
      <c r="F280" s="3">
        <f t="shared" si="39"/>
        <v>152.30621571055136</v>
      </c>
      <c r="G280" s="3">
        <f t="shared" si="45"/>
        <v>16.126643603141215</v>
      </c>
      <c r="H280" s="3">
        <f t="shared" si="43"/>
        <v>150.29556426285066</v>
      </c>
      <c r="I280" s="4">
        <v>0</v>
      </c>
      <c r="J280" s="5">
        <f t="shared" si="40"/>
        <v>152.30621571055136</v>
      </c>
      <c r="K280" s="63">
        <f t="shared" si="44"/>
        <v>150.29556426285066</v>
      </c>
      <c r="L280" s="10">
        <f t="shared" si="47"/>
        <v>104.72557704663159</v>
      </c>
      <c r="M280" s="10">
        <f t="shared" si="47"/>
        <v>160.43790162542663</v>
      </c>
    </row>
    <row r="281" spans="1:13" x14ac:dyDescent="0.15">
      <c r="A281" s="34">
        <v>42461</v>
      </c>
      <c r="B281" t="s">
        <v>3</v>
      </c>
      <c r="C281" s="9">
        <v>172</v>
      </c>
      <c r="D281" s="7">
        <f>SOJA!D281</f>
        <v>14.4095</v>
      </c>
      <c r="E281" s="2">
        <f>SOJA!E281</f>
        <v>17.182118895232289</v>
      </c>
      <c r="F281" s="3">
        <f t="shared" si="39"/>
        <v>146.17466345738976</v>
      </c>
      <c r="G281" s="3">
        <f t="shared" si="45"/>
        <v>17.182118895232293</v>
      </c>
      <c r="H281" s="3">
        <f t="shared" si="43"/>
        <v>144.24495692948076</v>
      </c>
      <c r="I281" s="4">
        <v>0</v>
      </c>
      <c r="J281" s="5">
        <f t="shared" si="40"/>
        <v>146.17466345738976</v>
      </c>
      <c r="K281" s="63">
        <f t="shared" si="44"/>
        <v>144.24495692948076</v>
      </c>
      <c r="L281" s="10">
        <f t="shared" si="47"/>
        <v>104.72557704663159</v>
      </c>
      <c r="M281" s="10">
        <f t="shared" si="47"/>
        <v>160.43790162542663</v>
      </c>
    </row>
    <row r="282" spans="1:13" x14ac:dyDescent="0.15">
      <c r="A282" s="34">
        <v>42491</v>
      </c>
      <c r="B282" t="s">
        <v>2</v>
      </c>
      <c r="C282" s="9">
        <v>183</v>
      </c>
      <c r="D282" s="7">
        <f>SOJA!D282</f>
        <v>14.137723809523809</v>
      </c>
      <c r="E282" s="2">
        <f>SOJA!E282</f>
        <v>17.90263386898496</v>
      </c>
      <c r="F282" s="3">
        <f t="shared" si="39"/>
        <v>146.44856389474984</v>
      </c>
      <c r="G282" s="3">
        <f t="shared" si="45"/>
        <v>17.902633868984964</v>
      </c>
      <c r="H282" s="3">
        <f t="shared" si="43"/>
        <v>144.51524150449183</v>
      </c>
      <c r="I282" s="4">
        <v>0</v>
      </c>
      <c r="J282" s="5">
        <f t="shared" si="40"/>
        <v>146.44856389474984</v>
      </c>
      <c r="K282" s="63">
        <f t="shared" si="44"/>
        <v>144.51524150449183</v>
      </c>
      <c r="L282" s="10">
        <f t="shared" si="47"/>
        <v>104.72557704663159</v>
      </c>
      <c r="M282" s="10">
        <f t="shared" si="47"/>
        <v>160.43790162542663</v>
      </c>
    </row>
    <row r="283" spans="1:13" x14ac:dyDescent="0.15">
      <c r="A283" s="34">
        <v>42522</v>
      </c>
      <c r="B283" t="s">
        <v>4</v>
      </c>
      <c r="C283" s="9">
        <v>196</v>
      </c>
      <c r="D283" s="7">
        <f>SOJA!D283</f>
        <v>14.1408</v>
      </c>
      <c r="E283" s="2">
        <f>SOJA!E283</f>
        <v>18.453286415339367</v>
      </c>
      <c r="F283" s="3">
        <f t="shared" si="39"/>
        <v>152.20460521905454</v>
      </c>
      <c r="G283" s="3">
        <f t="shared" si="45"/>
        <v>18.45328641533937</v>
      </c>
      <c r="H283" s="3">
        <f t="shared" si="43"/>
        <v>150.19529516954222</v>
      </c>
      <c r="I283" s="4">
        <v>0</v>
      </c>
      <c r="J283" s="5">
        <f t="shared" si="40"/>
        <v>152.20460521905454</v>
      </c>
      <c r="K283" s="63">
        <f t="shared" si="44"/>
        <v>150.19529516954222</v>
      </c>
      <c r="L283" s="10">
        <f t="shared" si="47"/>
        <v>104.72557704663159</v>
      </c>
      <c r="M283" s="10">
        <f t="shared" si="47"/>
        <v>160.43790162542663</v>
      </c>
    </row>
    <row r="284" spans="1:13" x14ac:dyDescent="0.15">
      <c r="A284" s="34">
        <v>42552</v>
      </c>
      <c r="B284" t="s">
        <v>4</v>
      </c>
      <c r="C284" s="9">
        <v>179</v>
      </c>
      <c r="D284" s="7">
        <f>SOJA!D284</f>
        <v>14.909384999999997</v>
      </c>
      <c r="E284" s="2">
        <f>SOJA!E284</f>
        <v>18.830983752894365</v>
      </c>
      <c r="F284" s="3">
        <f t="shared" si="39"/>
        <v>143.61877434703004</v>
      </c>
      <c r="G284" s="3">
        <f t="shared" si="45"/>
        <v>18.830983752894369</v>
      </c>
      <c r="H284" s="3">
        <f t="shared" si="43"/>
        <v>141.72280906937758</v>
      </c>
      <c r="I284" s="4">
        <v>0</v>
      </c>
      <c r="J284" s="5">
        <f t="shared" si="40"/>
        <v>143.61877434703004</v>
      </c>
      <c r="K284" s="63">
        <f t="shared" si="44"/>
        <v>141.72280906937758</v>
      </c>
      <c r="L284" s="10">
        <f t="shared" si="47"/>
        <v>104.72557704663159</v>
      </c>
      <c r="M284" s="10">
        <f t="shared" si="47"/>
        <v>160.43790162542663</v>
      </c>
    </row>
    <row r="285" spans="1:13" x14ac:dyDescent="0.15">
      <c r="A285" s="34">
        <v>42583</v>
      </c>
      <c r="B285" t="s">
        <v>3</v>
      </c>
      <c r="C285" s="9">
        <v>177</v>
      </c>
      <c r="D285" s="7">
        <f>SOJA!D285</f>
        <v>14.849809090909089</v>
      </c>
      <c r="E285" s="2">
        <f>SOJA!E285</f>
        <v>18.86902496412841</v>
      </c>
      <c r="F285" s="3">
        <f t="shared" ref="F285:F291" si="48">+(C285*(D285/E285))/(AVERAGE(C$109)*AVERAGE(D$109)/AVERAGE(E$109))*100</f>
        <v>141.16146014633432</v>
      </c>
      <c r="G285" s="3">
        <f t="shared" si="45"/>
        <v>18.869024964128414</v>
      </c>
      <c r="H285" s="3">
        <f t="shared" si="43"/>
        <v>139.29793479460366</v>
      </c>
      <c r="I285" s="4">
        <v>0</v>
      </c>
      <c r="J285" s="5">
        <f t="shared" si="40"/>
        <v>141.16146014633432</v>
      </c>
      <c r="K285" s="63">
        <f t="shared" si="44"/>
        <v>139.29793479460366</v>
      </c>
      <c r="L285" s="10">
        <f t="shared" si="47"/>
        <v>104.72557704663159</v>
      </c>
      <c r="M285" s="10">
        <f t="shared" si="47"/>
        <v>160.43790162542663</v>
      </c>
    </row>
    <row r="286" spans="1:13" s="16" customFormat="1" x14ac:dyDescent="0.15">
      <c r="A286" s="34">
        <v>42614</v>
      </c>
      <c r="B286" s="16" t="s">
        <v>5</v>
      </c>
      <c r="C286" s="23">
        <v>171</v>
      </c>
      <c r="D286" s="7">
        <f>SOJA!D286</f>
        <v>15.100736363636367</v>
      </c>
      <c r="E286" s="18">
        <f>SOJA!E286</f>
        <v>19.085846122467348</v>
      </c>
      <c r="F286" s="19">
        <f t="shared" si="48"/>
        <v>137.10531222271442</v>
      </c>
      <c r="G286" s="19">
        <f t="shared" ref="G286:G291" si="49">+E286/AVERAGE(E$2:E$13)</f>
        <v>19.085846122467352</v>
      </c>
      <c r="H286" s="19">
        <f t="shared" ref="H286:H291" si="50">+(C286*D286)/G286</f>
        <v>135.29533360022697</v>
      </c>
      <c r="I286" s="4">
        <v>0</v>
      </c>
      <c r="J286" s="21">
        <f t="shared" ref="J286:J291" si="51">+F286*(1-I286)/(F$109*(1-I$109))*100</f>
        <v>137.10531222271442</v>
      </c>
      <c r="K286" s="64">
        <f t="shared" ref="K286:K291" si="52">+H286*(1-I286)</f>
        <v>135.29533360022697</v>
      </c>
      <c r="L286" s="22">
        <f t="shared" si="47"/>
        <v>104.72557704663159</v>
      </c>
      <c r="M286" s="22">
        <f t="shared" si="47"/>
        <v>160.43790162542663</v>
      </c>
    </row>
    <row r="287" spans="1:13" s="16" customFormat="1" x14ac:dyDescent="0.15">
      <c r="A287" s="34">
        <v>42644</v>
      </c>
      <c r="B287" s="16" t="s">
        <v>6</v>
      </c>
      <c r="C287" s="23">
        <v>175</v>
      </c>
      <c r="D287" s="17">
        <f>SOJA!D287</f>
        <v>15.180999999999999</v>
      </c>
      <c r="E287" s="18">
        <f>SOJA!E287</f>
        <v>19.536155094473596</v>
      </c>
      <c r="F287" s="19">
        <f t="shared" si="48"/>
        <v>137.80684781513247</v>
      </c>
      <c r="G287" s="19">
        <f t="shared" si="49"/>
        <v>19.5361550944736</v>
      </c>
      <c r="H287" s="19">
        <f t="shared" si="50"/>
        <v>135.98760795830913</v>
      </c>
      <c r="I287" s="4">
        <v>0</v>
      </c>
      <c r="J287" s="21">
        <f t="shared" si="51"/>
        <v>137.80684781513247</v>
      </c>
      <c r="K287" s="64">
        <f t="shared" si="52"/>
        <v>135.98760795830913</v>
      </c>
      <c r="L287" s="22">
        <f t="shared" ref="L287:L350" si="53">+L286</f>
        <v>104.72557704663159</v>
      </c>
      <c r="M287" s="22">
        <f t="shared" si="47"/>
        <v>160.43790162542663</v>
      </c>
    </row>
    <row r="288" spans="1:13" x14ac:dyDescent="0.15">
      <c r="A288" s="34">
        <v>42675</v>
      </c>
      <c r="B288" t="s">
        <v>7</v>
      </c>
      <c r="C288" s="23">
        <v>177</v>
      </c>
      <c r="D288" s="17">
        <f>SOJA!D288</f>
        <v>15.3399</v>
      </c>
      <c r="E288" s="18">
        <f>SOJA!E288</f>
        <v>19.852340446383657</v>
      </c>
      <c r="F288" s="19">
        <f t="shared" si="48"/>
        <v>138.59754730236324</v>
      </c>
      <c r="G288" s="19">
        <f t="shared" si="49"/>
        <v>19.852340446383661</v>
      </c>
      <c r="H288" s="19">
        <f t="shared" si="50"/>
        <v>136.76786912520427</v>
      </c>
      <c r="I288" s="4">
        <v>0</v>
      </c>
      <c r="J288" s="21">
        <f t="shared" si="51"/>
        <v>138.59754730236324</v>
      </c>
      <c r="K288" s="64">
        <f t="shared" si="52"/>
        <v>136.76786912520427</v>
      </c>
      <c r="L288" s="22">
        <f t="shared" si="53"/>
        <v>104.72557704663159</v>
      </c>
      <c r="M288" s="22">
        <f t="shared" si="47"/>
        <v>160.43790162542663</v>
      </c>
    </row>
    <row r="289" spans="1:13" s="16" customFormat="1" x14ac:dyDescent="0.15">
      <c r="A289" s="34">
        <v>42705</v>
      </c>
      <c r="B289" s="16" t="s">
        <v>55</v>
      </c>
      <c r="C289" s="23">
        <v>181</v>
      </c>
      <c r="D289" s="17">
        <f>SOJA!D289</f>
        <v>15.829599999999999</v>
      </c>
      <c r="E289" s="18">
        <f>SOJA!E289</f>
        <v>20.090072243418092</v>
      </c>
      <c r="F289" s="19">
        <f t="shared" si="48"/>
        <v>144.52350362000945</v>
      </c>
      <c r="G289" s="19">
        <f t="shared" si="49"/>
        <v>20.090072243418096</v>
      </c>
      <c r="H289" s="19">
        <f t="shared" si="50"/>
        <v>142.61559467207402</v>
      </c>
      <c r="I289" s="4">
        <v>0</v>
      </c>
      <c r="J289" s="21">
        <f t="shared" si="51"/>
        <v>144.52350362000945</v>
      </c>
      <c r="K289" s="64">
        <f t="shared" si="52"/>
        <v>142.61559467207402</v>
      </c>
      <c r="L289" s="22">
        <f t="shared" si="53"/>
        <v>104.72557704663159</v>
      </c>
      <c r="M289" s="22">
        <f t="shared" si="47"/>
        <v>160.43790162542663</v>
      </c>
    </row>
    <row r="290" spans="1:13" s="16" customFormat="1" x14ac:dyDescent="0.15">
      <c r="A290" s="34">
        <v>42736</v>
      </c>
      <c r="B290" s="16" t="s">
        <v>56</v>
      </c>
      <c r="C290" s="23">
        <v>184</v>
      </c>
      <c r="D290" s="17">
        <f>SOJA!D290</f>
        <v>14.4095</v>
      </c>
      <c r="E290" s="18">
        <f>SOJA!E290</f>
        <v>20.411513399312785</v>
      </c>
      <c r="F290" s="19">
        <f t="shared" si="48"/>
        <v>131.63245835431053</v>
      </c>
      <c r="G290" s="19">
        <f t="shared" si="49"/>
        <v>20.411513399312788</v>
      </c>
      <c r="H290" s="19">
        <f t="shared" si="50"/>
        <v>129.89472892731536</v>
      </c>
      <c r="I290" s="20">
        <v>0</v>
      </c>
      <c r="J290" s="21">
        <f t="shared" si="51"/>
        <v>131.63245835431053</v>
      </c>
      <c r="K290" s="64">
        <f t="shared" si="52"/>
        <v>129.89472892731536</v>
      </c>
      <c r="L290" s="22">
        <f t="shared" si="53"/>
        <v>104.72557704663159</v>
      </c>
      <c r="M290" s="22">
        <f t="shared" ref="M290:M353" si="54">+M289</f>
        <v>160.43790162542663</v>
      </c>
    </row>
    <row r="291" spans="1:13" s="16" customFormat="1" x14ac:dyDescent="0.15">
      <c r="A291" s="34">
        <v>42767</v>
      </c>
      <c r="B291" s="16" t="s">
        <v>1</v>
      </c>
      <c r="C291" s="23">
        <v>183</v>
      </c>
      <c r="D291" s="17">
        <f>SOJA!D291</f>
        <v>14.137723809523809</v>
      </c>
      <c r="E291" s="18">
        <f>SOJA!E291</f>
        <v>20.84015518069835</v>
      </c>
      <c r="F291" s="19">
        <f t="shared" si="48"/>
        <v>125.80592597864231</v>
      </c>
      <c r="G291" s="19">
        <f t="shared" si="49"/>
        <v>20.840155180698353</v>
      </c>
      <c r="H291" s="19">
        <f t="shared" si="50"/>
        <v>124.14511478969514</v>
      </c>
      <c r="I291" s="20">
        <v>0</v>
      </c>
      <c r="J291" s="21">
        <f t="shared" si="51"/>
        <v>125.80592597864231</v>
      </c>
      <c r="K291" s="64">
        <f t="shared" si="52"/>
        <v>124.14511478969514</v>
      </c>
      <c r="L291" s="22">
        <f t="shared" si="53"/>
        <v>104.72557704663159</v>
      </c>
      <c r="M291" s="22">
        <f t="shared" si="54"/>
        <v>160.43790162542663</v>
      </c>
    </row>
    <row r="292" spans="1:13" s="16" customFormat="1" x14ac:dyDescent="0.15">
      <c r="A292" s="34">
        <v>42795</v>
      </c>
      <c r="B292" s="16" t="s">
        <v>2</v>
      </c>
      <c r="C292" s="23">
        <v>163.90909090909091</v>
      </c>
      <c r="D292" s="17">
        <f>SOJA!D292</f>
        <v>14.1408</v>
      </c>
      <c r="E292" s="18">
        <f>SOJA!E292</f>
        <v>21.340318905035112</v>
      </c>
      <c r="F292" s="19">
        <f t="shared" ref="F292:F297" si="55">+(C292*(D292/E292))/(AVERAGE(C$109)*AVERAGE(D$109)/AVERAGE(E$109))*100</f>
        <v>110.06457997198822</v>
      </c>
      <c r="G292" s="19">
        <f t="shared" ref="G292:G297" si="56">+E292/AVERAGE(E$2:E$13)</f>
        <v>21.340318905035115</v>
      </c>
      <c r="H292" s="19">
        <f t="shared" ref="H292:H297" si="57">+(C292*D292)/G292</f>
        <v>108.61157619253764</v>
      </c>
      <c r="I292" s="20">
        <f t="shared" ref="I292:I309" si="58">+I291</f>
        <v>0</v>
      </c>
      <c r="J292" s="21">
        <f t="shared" ref="J292:J297" si="59">+F292*(1-I292)/(F$109*(1-I$109))*100</f>
        <v>110.06457997198822</v>
      </c>
      <c r="K292" s="64">
        <f t="shared" ref="K292:K297" si="60">+H292*(1-I292)</f>
        <v>108.61157619253764</v>
      </c>
      <c r="L292" s="22">
        <f t="shared" si="53"/>
        <v>104.72557704663159</v>
      </c>
      <c r="M292" s="22">
        <f t="shared" si="54"/>
        <v>160.43790162542663</v>
      </c>
    </row>
    <row r="293" spans="1:13" s="16" customFormat="1" x14ac:dyDescent="0.15">
      <c r="A293" s="34">
        <v>42826</v>
      </c>
      <c r="B293" s="16" t="s">
        <v>3</v>
      </c>
      <c r="C293" s="23">
        <v>164</v>
      </c>
      <c r="D293" s="17">
        <f>SOJA!D293</f>
        <v>14.909384999999997</v>
      </c>
      <c r="E293" s="18">
        <f>SOJA!E293</f>
        <v>21.916507515471057</v>
      </c>
      <c r="F293" s="19">
        <f t="shared" si="55"/>
        <v>113.05862337727099</v>
      </c>
      <c r="G293" s="19">
        <f t="shared" si="56"/>
        <v>21.916507515471061</v>
      </c>
      <c r="H293" s="19">
        <f t="shared" si="57"/>
        <v>111.56609410846841</v>
      </c>
      <c r="I293" s="20">
        <f t="shared" si="58"/>
        <v>0</v>
      </c>
      <c r="J293" s="21">
        <f t="shared" si="59"/>
        <v>113.05862337727099</v>
      </c>
      <c r="K293" s="64">
        <f t="shared" si="60"/>
        <v>111.56609410846841</v>
      </c>
      <c r="L293" s="22">
        <f t="shared" si="53"/>
        <v>104.72557704663159</v>
      </c>
      <c r="M293" s="22">
        <f t="shared" si="54"/>
        <v>160.43790162542663</v>
      </c>
    </row>
    <row r="294" spans="1:13" s="16" customFormat="1" x14ac:dyDescent="0.15">
      <c r="A294" s="34">
        <v>42856</v>
      </c>
      <c r="B294" s="16" t="s">
        <v>2</v>
      </c>
      <c r="C294" s="23">
        <v>161</v>
      </c>
      <c r="D294" s="17">
        <f>SOJA!D294</f>
        <v>14.849809090909089</v>
      </c>
      <c r="E294" s="18">
        <f>SOJA!E294</f>
        <v>22.223338620687652</v>
      </c>
      <c r="F294" s="19">
        <f t="shared" si="55"/>
        <v>109.02068512583578</v>
      </c>
      <c r="G294" s="19">
        <f t="shared" si="56"/>
        <v>22.223338620687656</v>
      </c>
      <c r="H294" s="19">
        <f t="shared" si="57"/>
        <v>107.58146219356776</v>
      </c>
      <c r="I294" s="20">
        <f t="shared" si="58"/>
        <v>0</v>
      </c>
      <c r="J294" s="21">
        <f t="shared" si="59"/>
        <v>109.02068512583578</v>
      </c>
      <c r="K294" s="64">
        <f t="shared" si="60"/>
        <v>107.58146219356776</v>
      </c>
      <c r="L294" s="22">
        <f t="shared" si="53"/>
        <v>104.72557704663159</v>
      </c>
      <c r="M294" s="22">
        <f t="shared" si="54"/>
        <v>160.43790162542663</v>
      </c>
    </row>
    <row r="295" spans="1:13" s="16" customFormat="1" x14ac:dyDescent="0.15">
      <c r="A295" s="34">
        <v>42887</v>
      </c>
      <c r="B295" s="16" t="s">
        <v>4</v>
      </c>
      <c r="C295" s="23">
        <v>162</v>
      </c>
      <c r="D295" s="17">
        <f>SOJA!D295</f>
        <v>15.100736363636367</v>
      </c>
      <c r="E295" s="18">
        <f>SOJA!E295</f>
        <v>22.490018684135904</v>
      </c>
      <c r="F295" s="19">
        <f t="shared" si="55"/>
        <v>110.22872602737775</v>
      </c>
      <c r="G295" s="19">
        <f t="shared" si="56"/>
        <v>22.490018684135908</v>
      </c>
      <c r="H295" s="19">
        <f t="shared" si="57"/>
        <v>108.77355529431752</v>
      </c>
      <c r="I295" s="20">
        <f t="shared" si="58"/>
        <v>0</v>
      </c>
      <c r="J295" s="21">
        <f t="shared" si="59"/>
        <v>110.22872602737775</v>
      </c>
      <c r="K295" s="64">
        <f t="shared" si="60"/>
        <v>108.77355529431752</v>
      </c>
      <c r="L295" s="22">
        <f t="shared" si="53"/>
        <v>104.72557704663159</v>
      </c>
      <c r="M295" s="22">
        <f t="shared" si="54"/>
        <v>160.43790162542663</v>
      </c>
    </row>
    <row r="296" spans="1:13" s="16" customFormat="1" x14ac:dyDescent="0.15">
      <c r="A296" s="34">
        <v>42917</v>
      </c>
      <c r="B296" s="16" t="s">
        <v>4</v>
      </c>
      <c r="C296" s="23">
        <v>149</v>
      </c>
      <c r="D296" s="17">
        <f>SOJA!D296</f>
        <v>15.180999999999999</v>
      </c>
      <c r="E296" s="18">
        <f>SOJA!E296</f>
        <v>22.872349001766214</v>
      </c>
      <c r="F296" s="19">
        <f t="shared" si="55"/>
        <v>100.2183720530395</v>
      </c>
      <c r="G296" s="19">
        <f t="shared" si="56"/>
        <v>22.872349001766217</v>
      </c>
      <c r="H296" s="19">
        <f t="shared" si="57"/>
        <v>98.89535175531509</v>
      </c>
      <c r="I296" s="20">
        <f t="shared" si="58"/>
        <v>0</v>
      </c>
      <c r="J296" s="21">
        <f t="shared" si="59"/>
        <v>100.2183720530395</v>
      </c>
      <c r="K296" s="64">
        <f t="shared" si="60"/>
        <v>98.89535175531509</v>
      </c>
      <c r="L296" s="22">
        <f t="shared" si="53"/>
        <v>104.72557704663159</v>
      </c>
      <c r="M296" s="22">
        <f t="shared" si="54"/>
        <v>160.43790162542663</v>
      </c>
    </row>
    <row r="297" spans="1:13" s="16" customFormat="1" x14ac:dyDescent="0.15">
      <c r="A297" s="34">
        <v>42948</v>
      </c>
      <c r="B297" s="16" t="s">
        <v>3</v>
      </c>
      <c r="C297" s="23">
        <v>149.40909090909091</v>
      </c>
      <c r="D297" s="17">
        <f>SOJA!D297</f>
        <v>15.3399</v>
      </c>
      <c r="E297" s="18">
        <f>SOJA!E297</f>
        <v>23.192561887790941</v>
      </c>
      <c r="F297" s="19">
        <f t="shared" si="55"/>
        <v>100.14339069950215</v>
      </c>
      <c r="G297" s="19">
        <f t="shared" si="56"/>
        <v>23.192561887790944</v>
      </c>
      <c r="H297" s="19">
        <f t="shared" si="57"/>
        <v>98.821360258733591</v>
      </c>
      <c r="I297" s="20">
        <f t="shared" si="58"/>
        <v>0</v>
      </c>
      <c r="J297" s="21">
        <f t="shared" si="59"/>
        <v>100.14339069950215</v>
      </c>
      <c r="K297" s="64">
        <f t="shared" si="60"/>
        <v>98.821360258733591</v>
      </c>
      <c r="L297" s="22">
        <f t="shared" si="53"/>
        <v>104.72557704663159</v>
      </c>
      <c r="M297" s="22">
        <f t="shared" si="54"/>
        <v>160.43790162542663</v>
      </c>
    </row>
    <row r="298" spans="1:13" x14ac:dyDescent="0.15">
      <c r="A298" s="34">
        <v>42979</v>
      </c>
      <c r="B298" t="s">
        <v>5</v>
      </c>
      <c r="C298" s="23">
        <v>150</v>
      </c>
      <c r="D298" s="17">
        <f>SOJA!D298</f>
        <v>15.829599999999999</v>
      </c>
      <c r="E298" s="18">
        <f>SOJA!E298</f>
        <v>23.63322056365897</v>
      </c>
      <c r="F298" s="19">
        <f t="shared" ref="F298:F304" si="61">+(C298*(D298/E298))/(AVERAGE(C$109)*AVERAGE(D$109)/AVERAGE(E$109))*100</f>
        <v>101.8145288573203</v>
      </c>
      <c r="G298" s="19">
        <f t="shared" ref="G298:G304" si="62">+E298/AVERAGE(E$2:E$13)</f>
        <v>23.633220563658973</v>
      </c>
      <c r="H298" s="19">
        <f t="shared" ref="H298:H304" si="63">+(C298*D298)/G298</f>
        <v>100.47043709528099</v>
      </c>
      <c r="I298" s="20">
        <f t="shared" si="58"/>
        <v>0</v>
      </c>
      <c r="J298" s="21">
        <f t="shared" ref="J298:J304" si="64">+F298*(1-I298)/(F$109*(1-I$109))*100</f>
        <v>101.8145288573203</v>
      </c>
      <c r="K298" s="64">
        <f t="shared" ref="K298:K304" si="65">+H298*(1-I298)</f>
        <v>100.47043709528099</v>
      </c>
      <c r="L298" s="22">
        <f t="shared" si="53"/>
        <v>104.72557704663159</v>
      </c>
      <c r="M298" s="22">
        <f t="shared" si="54"/>
        <v>160.43790162542663</v>
      </c>
    </row>
    <row r="299" spans="1:13" x14ac:dyDescent="0.15">
      <c r="A299" s="34">
        <v>43009</v>
      </c>
      <c r="B299" t="s">
        <v>6</v>
      </c>
      <c r="C299" s="23">
        <v>149</v>
      </c>
      <c r="D299" s="17">
        <f>SOJA!D299</f>
        <v>15.906499999999996</v>
      </c>
      <c r="E299" s="18">
        <f>SOJA!E299</f>
        <v>23.987718872113852</v>
      </c>
      <c r="F299" s="19">
        <f t="shared" si="61"/>
        <v>100.12520356869454</v>
      </c>
      <c r="G299" s="19">
        <f t="shared" si="62"/>
        <v>23.987718872113856</v>
      </c>
      <c r="H299" s="19">
        <f t="shared" si="63"/>
        <v>98.803413223057476</v>
      </c>
      <c r="I299" s="20">
        <f t="shared" si="58"/>
        <v>0</v>
      </c>
      <c r="J299" s="21">
        <f t="shared" si="64"/>
        <v>100.12520356869454</v>
      </c>
      <c r="K299" s="64">
        <f t="shared" si="65"/>
        <v>98.803413223057476</v>
      </c>
      <c r="L299" s="22">
        <f t="shared" si="53"/>
        <v>104.72557704663159</v>
      </c>
      <c r="M299" s="22">
        <f t="shared" si="54"/>
        <v>160.43790162542663</v>
      </c>
    </row>
    <row r="300" spans="1:13" x14ac:dyDescent="0.15">
      <c r="A300" s="34">
        <v>43040</v>
      </c>
      <c r="B300" t="s">
        <v>7</v>
      </c>
      <c r="C300" s="23">
        <v>150</v>
      </c>
      <c r="D300" s="17">
        <f>SOJA!D300</f>
        <v>15.5983</v>
      </c>
      <c r="E300" s="18">
        <f>SOJA!E300</f>
        <v>24.323546936323446</v>
      </c>
      <c r="F300" s="19">
        <f t="shared" si="61"/>
        <v>97.479453723174743</v>
      </c>
      <c r="G300" s="19">
        <f t="shared" si="62"/>
        <v>24.323546936323449</v>
      </c>
      <c r="H300" s="19">
        <f t="shared" si="63"/>
        <v>96.192590913044555</v>
      </c>
      <c r="I300" s="20">
        <f t="shared" si="58"/>
        <v>0</v>
      </c>
      <c r="J300" s="21">
        <f t="shared" si="64"/>
        <v>97.479453723174743</v>
      </c>
      <c r="K300" s="64">
        <f t="shared" si="65"/>
        <v>96.192590913044555</v>
      </c>
      <c r="L300" s="22">
        <f t="shared" si="53"/>
        <v>104.72557704663159</v>
      </c>
      <c r="M300" s="22">
        <f t="shared" si="54"/>
        <v>160.43790162542663</v>
      </c>
    </row>
    <row r="301" spans="1:13" x14ac:dyDescent="0.15">
      <c r="A301" s="34">
        <v>43070</v>
      </c>
      <c r="B301" t="s">
        <v>57</v>
      </c>
      <c r="C301" s="23">
        <v>158</v>
      </c>
      <c r="D301" s="17">
        <f>SOJA!D301</f>
        <v>15.5237</v>
      </c>
      <c r="E301" s="18">
        <f>SOJA!E301</f>
        <v>25.077576891349473</v>
      </c>
      <c r="F301" s="19">
        <f t="shared" si="61"/>
        <v>99.114734466467553</v>
      </c>
      <c r="G301" s="19">
        <f t="shared" si="62"/>
        <v>25.077576891349477</v>
      </c>
      <c r="H301" s="19">
        <f t="shared" si="63"/>
        <v>97.806283702237423</v>
      </c>
      <c r="I301" s="20">
        <f t="shared" si="58"/>
        <v>0</v>
      </c>
      <c r="J301" s="21">
        <f t="shared" si="64"/>
        <v>99.114734466467553</v>
      </c>
      <c r="K301" s="64">
        <f t="shared" si="65"/>
        <v>97.806283702237423</v>
      </c>
      <c r="L301" s="22">
        <f t="shared" si="53"/>
        <v>104.72557704663159</v>
      </c>
      <c r="M301" s="22">
        <f t="shared" si="54"/>
        <v>160.43790162542663</v>
      </c>
    </row>
    <row r="302" spans="1:13" x14ac:dyDescent="0.15">
      <c r="A302" s="34">
        <v>43101</v>
      </c>
      <c r="B302" s="16" t="s">
        <v>62</v>
      </c>
      <c r="C302" s="23">
        <v>164</v>
      </c>
      <c r="D302" s="17">
        <f>SOJA!D302</f>
        <v>19.029036363636365</v>
      </c>
      <c r="E302" s="18">
        <f>SOJA!E302</f>
        <v>25.528973275393767</v>
      </c>
      <c r="F302" s="19">
        <f t="shared" si="61"/>
        <v>123.87930485315277</v>
      </c>
      <c r="G302" s="19">
        <f t="shared" si="62"/>
        <v>25.528973275393771</v>
      </c>
      <c r="H302" s="19">
        <f t="shared" si="63"/>
        <v>122.24392771190395</v>
      </c>
      <c r="I302" s="20">
        <f t="shared" si="58"/>
        <v>0</v>
      </c>
      <c r="J302" s="21">
        <f t="shared" si="64"/>
        <v>123.87930485315277</v>
      </c>
      <c r="K302" s="64">
        <f t="shared" si="65"/>
        <v>122.24392771190395</v>
      </c>
      <c r="L302" s="22">
        <f t="shared" si="53"/>
        <v>104.72557704663159</v>
      </c>
      <c r="M302" s="22">
        <f t="shared" si="54"/>
        <v>160.43790162542663</v>
      </c>
    </row>
    <row r="303" spans="1:13" x14ac:dyDescent="0.15">
      <c r="A303" s="34">
        <v>43132</v>
      </c>
      <c r="B303" s="16" t="s">
        <v>1</v>
      </c>
      <c r="C303" s="23">
        <v>170</v>
      </c>
      <c r="D303" s="17">
        <f>SOJA!D303</f>
        <v>19.8409277777778</v>
      </c>
      <c r="E303" s="18">
        <f>SOJA!E303</f>
        <v>26.141668634003221</v>
      </c>
      <c r="F303" s="19">
        <f t="shared" si="61"/>
        <v>130.7522155486071</v>
      </c>
      <c r="G303" s="19">
        <f t="shared" si="62"/>
        <v>26.141668634003224</v>
      </c>
      <c r="H303" s="19">
        <f t="shared" si="63"/>
        <v>129.02610653686133</v>
      </c>
      <c r="I303" s="20">
        <f t="shared" si="58"/>
        <v>0</v>
      </c>
      <c r="J303" s="21">
        <f t="shared" si="64"/>
        <v>130.7522155486071</v>
      </c>
      <c r="K303" s="64">
        <f t="shared" si="65"/>
        <v>129.02610653686133</v>
      </c>
      <c r="L303" s="22">
        <f t="shared" si="53"/>
        <v>104.72557704663159</v>
      </c>
      <c r="M303" s="22">
        <f t="shared" si="54"/>
        <v>160.43790162542663</v>
      </c>
    </row>
    <row r="304" spans="1:13" x14ac:dyDescent="0.15">
      <c r="A304" s="34">
        <v>43160</v>
      </c>
      <c r="B304" s="16" t="s">
        <v>2</v>
      </c>
      <c r="C304" s="23">
        <v>188</v>
      </c>
      <c r="D304" s="17">
        <f>SOJA!D304</f>
        <v>20.237800000000004</v>
      </c>
      <c r="E304" s="18">
        <f>SOJA!E304</f>
        <v>26.742927012585291</v>
      </c>
      <c r="F304" s="19">
        <f t="shared" si="61"/>
        <v>144.17291324571653</v>
      </c>
      <c r="G304" s="19">
        <f t="shared" si="62"/>
        <v>26.742927012585294</v>
      </c>
      <c r="H304" s="19">
        <f t="shared" si="63"/>
        <v>142.26963257273579</v>
      </c>
      <c r="I304" s="20">
        <f t="shared" si="58"/>
        <v>0</v>
      </c>
      <c r="J304" s="21">
        <f t="shared" si="64"/>
        <v>144.17291324571653</v>
      </c>
      <c r="K304" s="64">
        <f t="shared" si="65"/>
        <v>142.26963257273579</v>
      </c>
      <c r="L304" s="22">
        <f t="shared" si="53"/>
        <v>104.72557704663159</v>
      </c>
      <c r="M304" s="22">
        <f t="shared" si="54"/>
        <v>160.43790162542663</v>
      </c>
    </row>
    <row r="305" spans="1:13" x14ac:dyDescent="0.15">
      <c r="A305" s="34">
        <v>43191</v>
      </c>
      <c r="B305" s="16" t="s">
        <v>3</v>
      </c>
      <c r="C305" s="23">
        <v>192</v>
      </c>
      <c r="D305" s="17">
        <f>SOJA!D305</f>
        <v>20.2349</v>
      </c>
      <c r="E305" s="18">
        <f>SOJA!E305</f>
        <v>27.464986041925087</v>
      </c>
      <c r="F305" s="19">
        <f>+(C305*(D305/E305))/(AVERAGE(C$109)*AVERAGE(D$109)/AVERAGE(E$109))*100</f>
        <v>143.34890267188271</v>
      </c>
      <c r="G305" s="19">
        <f>+E305/AVERAGE(E$2:E$13)</f>
        <v>27.464986041925091</v>
      </c>
      <c r="H305" s="19">
        <f>+(C305*D305)/G305</f>
        <v>141.45650007137903</v>
      </c>
      <c r="I305" s="20">
        <f t="shared" si="58"/>
        <v>0</v>
      </c>
      <c r="J305" s="21">
        <f>+F305*(1-I305)/(F$109*(1-I$109))*100</f>
        <v>143.34890267188271</v>
      </c>
      <c r="K305" s="64">
        <f>+H305*(1-I305)</f>
        <v>141.45650007137903</v>
      </c>
      <c r="L305" s="22">
        <f t="shared" si="53"/>
        <v>104.72557704663159</v>
      </c>
      <c r="M305" s="22">
        <f t="shared" si="54"/>
        <v>160.43790162542663</v>
      </c>
    </row>
    <row r="306" spans="1:13" x14ac:dyDescent="0.15">
      <c r="A306" s="34">
        <v>43221</v>
      </c>
      <c r="B306" s="16" t="s">
        <v>2</v>
      </c>
      <c r="C306" s="23">
        <v>197</v>
      </c>
      <c r="D306" s="17">
        <f>SOJA!D306</f>
        <v>23.668700000000001</v>
      </c>
      <c r="E306" s="18">
        <f>SOJA!E306</f>
        <v>28.041750748805516</v>
      </c>
      <c r="F306" s="19">
        <f t="shared" ref="F306:F313" si="66">+(C306*(D306/E306))/(AVERAGE(C$109)*AVERAGE(D$109)/AVERAGE(E$109))*100</f>
        <v>168.50274133872293</v>
      </c>
      <c r="G306" s="19">
        <f t="shared" ref="G306:G313" si="67">+E306/AVERAGE(E$2:E$13)</f>
        <v>28.041750748805519</v>
      </c>
      <c r="H306" s="19">
        <f t="shared" ref="H306:H313" si="68">+(C306*D306)/G306</f>
        <v>166.2782734847116</v>
      </c>
      <c r="I306" s="20">
        <f t="shared" si="58"/>
        <v>0</v>
      </c>
      <c r="J306" s="21">
        <f t="shared" ref="J306:J313" si="69">+F306*(1-I306)/(F$109*(1-I$109))*100</f>
        <v>168.50274133872293</v>
      </c>
      <c r="K306" s="64">
        <f t="shared" ref="K306:K313" si="70">+H306*(1-I306)</f>
        <v>166.2782734847116</v>
      </c>
      <c r="L306" s="22">
        <f t="shared" si="53"/>
        <v>104.72557704663159</v>
      </c>
      <c r="M306" s="22">
        <f t="shared" si="54"/>
        <v>160.43790162542663</v>
      </c>
    </row>
    <row r="307" spans="1:13" x14ac:dyDescent="0.15">
      <c r="A307" s="34">
        <v>43252</v>
      </c>
      <c r="B307" s="16" t="s">
        <v>4</v>
      </c>
      <c r="C307" s="23">
        <v>172</v>
      </c>
      <c r="D307" s="17">
        <f>SOJA!D307</f>
        <v>26.534199999999998</v>
      </c>
      <c r="E307" s="18">
        <f>SOJA!E307</f>
        <v>29.079295526511316</v>
      </c>
      <c r="F307" s="19">
        <f t="shared" si="66"/>
        <v>159.04573531517298</v>
      </c>
      <c r="G307" s="19">
        <f t="shared" si="67"/>
        <v>29.07929552651132</v>
      </c>
      <c r="H307" s="19">
        <f t="shared" si="68"/>
        <v>156.94611294276888</v>
      </c>
      <c r="I307" s="20">
        <v>0</v>
      </c>
      <c r="J307" s="21">
        <f t="shared" si="69"/>
        <v>159.04573531517298</v>
      </c>
      <c r="K307" s="64">
        <f t="shared" si="70"/>
        <v>156.94611294276888</v>
      </c>
      <c r="L307" s="22">
        <f t="shared" si="53"/>
        <v>104.72557704663159</v>
      </c>
      <c r="M307" s="22">
        <f t="shared" si="54"/>
        <v>160.43790162542663</v>
      </c>
    </row>
    <row r="308" spans="1:13" x14ac:dyDescent="0.15">
      <c r="A308" s="34">
        <v>43282</v>
      </c>
      <c r="B308" s="16" t="s">
        <v>4</v>
      </c>
      <c r="C308" s="23">
        <v>163</v>
      </c>
      <c r="D308" s="17">
        <f>SOJA!D308</f>
        <v>27.624700000000001</v>
      </c>
      <c r="E308" s="18">
        <f>SOJA!E308</f>
        <v>29.980753687833165</v>
      </c>
      <c r="F308" s="19">
        <f t="shared" si="66"/>
        <v>152.19980380921186</v>
      </c>
      <c r="G308" s="19">
        <f t="shared" si="67"/>
        <v>29.980753687833168</v>
      </c>
      <c r="H308" s="19">
        <f t="shared" si="68"/>
        <v>150.19055714491071</v>
      </c>
      <c r="I308" s="20">
        <f t="shared" si="58"/>
        <v>0</v>
      </c>
      <c r="J308" s="21">
        <f t="shared" si="69"/>
        <v>152.19980380921186</v>
      </c>
      <c r="K308" s="64">
        <f t="shared" si="70"/>
        <v>150.19055714491071</v>
      </c>
      <c r="L308" s="22">
        <f t="shared" si="53"/>
        <v>104.72557704663159</v>
      </c>
      <c r="M308" s="22">
        <f t="shared" si="54"/>
        <v>160.43790162542663</v>
      </c>
    </row>
    <row r="309" spans="1:13" x14ac:dyDescent="0.15">
      <c r="A309" s="34">
        <v>43313</v>
      </c>
      <c r="B309" s="16" t="s">
        <v>3</v>
      </c>
      <c r="C309" s="23">
        <v>169</v>
      </c>
      <c r="D309" s="17">
        <f>SOJA!D309</f>
        <v>30.124500000000001</v>
      </c>
      <c r="E309" s="18">
        <f>SOJA!E309</f>
        <v>31.150003081658657</v>
      </c>
      <c r="F309" s="19">
        <f t="shared" si="66"/>
        <v>165.62272362671797</v>
      </c>
      <c r="G309" s="19">
        <f t="shared" si="67"/>
        <v>31.15000308165866</v>
      </c>
      <c r="H309" s="19">
        <f t="shared" si="68"/>
        <v>163.43627596613754</v>
      </c>
      <c r="I309" s="20">
        <f t="shared" si="58"/>
        <v>0</v>
      </c>
      <c r="J309" s="21">
        <f t="shared" si="69"/>
        <v>165.62272362671797</v>
      </c>
      <c r="K309" s="64">
        <f t="shared" si="70"/>
        <v>163.43627596613754</v>
      </c>
      <c r="L309" s="22">
        <f t="shared" si="53"/>
        <v>104.72557704663159</v>
      </c>
      <c r="M309" s="22">
        <f t="shared" si="54"/>
        <v>160.43790162542663</v>
      </c>
    </row>
    <row r="310" spans="1:13" x14ac:dyDescent="0.15">
      <c r="A310" s="34">
        <v>43344</v>
      </c>
      <c r="B310" t="s">
        <v>5</v>
      </c>
      <c r="C310" s="23">
        <v>162</v>
      </c>
      <c r="D310" s="17">
        <f>SOJA!D310</f>
        <v>38.590000000000003</v>
      </c>
      <c r="E310" s="18">
        <f>SOJA!E310</f>
        <v>33.174753281966467</v>
      </c>
      <c r="F310" s="19">
        <f t="shared" si="66"/>
        <v>190.96490258085143</v>
      </c>
      <c r="G310" s="19">
        <f t="shared" si="67"/>
        <v>33.174753281966474</v>
      </c>
      <c r="H310" s="19">
        <f t="shared" si="68"/>
        <v>188.44390331602884</v>
      </c>
      <c r="I310" s="20">
        <f t="shared" ref="I310:I316" si="71">4/D310</f>
        <v>0.10365379632029022</v>
      </c>
      <c r="J310" s="21">
        <f t="shared" si="69"/>
        <v>171.1706654644118</v>
      </c>
      <c r="K310" s="64">
        <f t="shared" si="70"/>
        <v>168.91097734390871</v>
      </c>
      <c r="L310" s="22">
        <f t="shared" si="53"/>
        <v>104.72557704663159</v>
      </c>
      <c r="M310" s="22">
        <f t="shared" si="54"/>
        <v>160.43790162542663</v>
      </c>
    </row>
    <row r="311" spans="1:13" x14ac:dyDescent="0.15">
      <c r="A311" s="34">
        <v>43374</v>
      </c>
      <c r="B311" t="s">
        <v>6</v>
      </c>
      <c r="C311" s="23">
        <v>166</v>
      </c>
      <c r="D311" s="17">
        <f>SOJA!D311</f>
        <v>37.120199999999997</v>
      </c>
      <c r="E311" s="18">
        <f>SOJA!E311</f>
        <v>34.966189959192661</v>
      </c>
      <c r="F311" s="19">
        <f t="shared" si="66"/>
        <v>178.58358917996696</v>
      </c>
      <c r="G311" s="19">
        <f t="shared" si="67"/>
        <v>34.966189959192668</v>
      </c>
      <c r="H311" s="19">
        <f t="shared" si="68"/>
        <v>176.22604027465715</v>
      </c>
      <c r="I311" s="20">
        <f t="shared" si="71"/>
        <v>0.10775804009676673</v>
      </c>
      <c r="J311" s="21">
        <f t="shared" si="69"/>
        <v>159.33977161648758</v>
      </c>
      <c r="K311" s="64">
        <f t="shared" si="70"/>
        <v>157.23626756064621</v>
      </c>
      <c r="L311" s="22">
        <f t="shared" si="53"/>
        <v>104.72557704663159</v>
      </c>
      <c r="M311" s="22">
        <f t="shared" si="54"/>
        <v>160.43790162542663</v>
      </c>
    </row>
    <row r="312" spans="1:13" x14ac:dyDescent="0.15">
      <c r="A312" s="34">
        <v>43405</v>
      </c>
      <c r="B312" t="s">
        <v>7</v>
      </c>
      <c r="C312" s="23">
        <v>164</v>
      </c>
      <c r="D312" s="17">
        <f>SOJA!D312</f>
        <v>36.459000000000003</v>
      </c>
      <c r="E312" s="18">
        <f>SOJA!E312</f>
        <v>36.085108037886826</v>
      </c>
      <c r="F312" s="19">
        <f t="shared" si="66"/>
        <v>167.91599027752119</v>
      </c>
      <c r="G312" s="19">
        <f t="shared" si="67"/>
        <v>36.085108037886833</v>
      </c>
      <c r="H312" s="19">
        <f t="shared" si="68"/>
        <v>165.69926834422057</v>
      </c>
      <c r="I312" s="20">
        <f t="shared" si="71"/>
        <v>0.10971227954688828</v>
      </c>
      <c r="J312" s="21">
        <f t="shared" si="69"/>
        <v>149.49354421180121</v>
      </c>
      <c r="K312" s="64">
        <f t="shared" si="70"/>
        <v>147.52002389492458</v>
      </c>
      <c r="L312" s="22">
        <f t="shared" si="53"/>
        <v>104.72557704663159</v>
      </c>
      <c r="M312" s="22">
        <f t="shared" si="54"/>
        <v>160.43790162542663</v>
      </c>
    </row>
    <row r="313" spans="1:13" x14ac:dyDescent="0.15">
      <c r="A313" s="34">
        <v>43435</v>
      </c>
      <c r="B313" t="s">
        <v>64</v>
      </c>
      <c r="C313" s="23">
        <v>170</v>
      </c>
      <c r="D313" s="17">
        <f>SOJA!D313</f>
        <v>37.885199999999998</v>
      </c>
      <c r="E313" s="18">
        <f>SOJA!E313</f>
        <v>37.023320846871883</v>
      </c>
      <c r="F313" s="19">
        <f t="shared" si="66"/>
        <v>176.28469121014072</v>
      </c>
      <c r="G313" s="19">
        <f t="shared" si="67"/>
        <v>37.02332084687189</v>
      </c>
      <c r="H313" s="19">
        <f t="shared" si="68"/>
        <v>173.95749091870448</v>
      </c>
      <c r="I313" s="20">
        <f t="shared" si="71"/>
        <v>0.10558212705753171</v>
      </c>
      <c r="J313" s="21">
        <f t="shared" si="69"/>
        <v>157.6721785444939</v>
      </c>
      <c r="K313" s="64">
        <f t="shared" si="70"/>
        <v>155.59068900991642</v>
      </c>
      <c r="L313" s="22">
        <f t="shared" si="53"/>
        <v>104.72557704663159</v>
      </c>
      <c r="M313" s="22">
        <f t="shared" si="54"/>
        <v>160.43790162542663</v>
      </c>
    </row>
    <row r="314" spans="1:13" x14ac:dyDescent="0.15">
      <c r="A314" s="34">
        <v>43466</v>
      </c>
      <c r="B314" s="16" t="s">
        <v>65</v>
      </c>
      <c r="C314" s="23">
        <v>173</v>
      </c>
      <c r="D314" s="17">
        <f>SOJA!D314</f>
        <v>37.4069</v>
      </c>
      <c r="E314" s="18">
        <f>SOJA!E314</f>
        <v>38.096997151431168</v>
      </c>
      <c r="F314" s="19">
        <f t="shared" ref="F314:F325" si="72">+(C314*(D314/E314))/(AVERAGE(C$109)*AVERAGE(D$109)/AVERAGE(E$109))*100</f>
        <v>172.13870863436378</v>
      </c>
      <c r="G314" s="19">
        <f t="shared" ref="G314:G325" si="73">+E314/AVERAGE(E$2:E$13)</f>
        <v>38.096997151431175</v>
      </c>
      <c r="H314" s="19">
        <f t="shared" ref="H314:H325" si="74">+(C314*D314)/G314</f>
        <v>169.86624101308971</v>
      </c>
      <c r="I314" s="20">
        <f t="shared" si="71"/>
        <v>0.10693214353501626</v>
      </c>
      <c r="J314" s="21">
        <f t="shared" ref="J314:J325" si="75">+F314*(1-I314)/(F$109*(1-I$109))*100</f>
        <v>153.73154753474165</v>
      </c>
      <c r="K314" s="64">
        <f t="shared" ref="K314:K325" si="76">+H314*(1-I314)</f>
        <v>151.70207974732435</v>
      </c>
      <c r="L314" s="22">
        <f t="shared" si="53"/>
        <v>104.72557704663159</v>
      </c>
      <c r="M314" s="22">
        <f t="shared" si="54"/>
        <v>160.43790162542663</v>
      </c>
    </row>
    <row r="315" spans="1:13" x14ac:dyDescent="0.15">
      <c r="A315" s="34">
        <v>43497</v>
      </c>
      <c r="B315" s="16" t="s">
        <v>1</v>
      </c>
      <c r="C315" s="23">
        <v>170</v>
      </c>
      <c r="D315" s="17">
        <f>SOJA!D315</f>
        <v>38.4086</v>
      </c>
      <c r="E315" s="18">
        <f>SOJA!E315</f>
        <v>39.54468304318555</v>
      </c>
      <c r="F315" s="19">
        <f t="shared" si="72"/>
        <v>167.32497316964165</v>
      </c>
      <c r="G315" s="19">
        <f t="shared" si="73"/>
        <v>39.544683043185557</v>
      </c>
      <c r="H315" s="19">
        <f t="shared" si="74"/>
        <v>165.11605347473315</v>
      </c>
      <c r="I315" s="20">
        <f t="shared" si="71"/>
        <v>0.10414334289716366</v>
      </c>
      <c r="J315" s="21">
        <f t="shared" si="75"/>
        <v>149.89919111357696</v>
      </c>
      <c r="K315" s="64">
        <f t="shared" si="76"/>
        <v>147.9203156998876</v>
      </c>
      <c r="L315" s="22">
        <f t="shared" si="53"/>
        <v>104.72557704663159</v>
      </c>
      <c r="M315" s="22">
        <f t="shared" si="54"/>
        <v>160.43790162542663</v>
      </c>
    </row>
    <row r="316" spans="1:13" x14ac:dyDescent="0.15">
      <c r="A316" s="34">
        <v>43525</v>
      </c>
      <c r="B316" s="16" t="s">
        <v>2</v>
      </c>
      <c r="C316" s="23">
        <v>163</v>
      </c>
      <c r="D316" s="17">
        <f>SOJA!D316</f>
        <v>41.362400000000001</v>
      </c>
      <c r="E316" s="18">
        <f>SOJA!E316</f>
        <v>41.403283146215266</v>
      </c>
      <c r="F316" s="19">
        <f t="shared" si="72"/>
        <v>165.01750567120433</v>
      </c>
      <c r="G316" s="19">
        <f t="shared" si="73"/>
        <v>41.403283146215273</v>
      </c>
      <c r="H316" s="19">
        <f t="shared" si="74"/>
        <v>162.839047719729</v>
      </c>
      <c r="I316" s="20">
        <f t="shared" si="71"/>
        <v>9.6706187261861018E-2</v>
      </c>
      <c r="J316" s="21">
        <f t="shared" si="75"/>
        <v>149.05929186627964</v>
      </c>
      <c r="K316" s="64">
        <f t="shared" si="76"/>
        <v>147.09150427740175</v>
      </c>
      <c r="L316" s="22">
        <f t="shared" si="53"/>
        <v>104.72557704663159</v>
      </c>
      <c r="M316" s="22">
        <f t="shared" si="54"/>
        <v>160.43790162542663</v>
      </c>
    </row>
    <row r="317" spans="1:13" x14ac:dyDescent="0.15">
      <c r="A317" s="34">
        <v>43556</v>
      </c>
      <c r="B317" s="16" t="s">
        <v>3</v>
      </c>
      <c r="C317" s="23">
        <v>156</v>
      </c>
      <c r="D317" s="17">
        <f>SOJA!D317</f>
        <v>43.233800000000002</v>
      </c>
      <c r="E317" s="18">
        <f>SOJA!E317</f>
        <v>42.810994773186593</v>
      </c>
      <c r="F317" s="19">
        <f t="shared" si="72"/>
        <v>159.64824634794161</v>
      </c>
      <c r="G317" s="19">
        <f t="shared" si="73"/>
        <v>42.8109947731866</v>
      </c>
      <c r="H317" s="19">
        <f t="shared" si="74"/>
        <v>157.54067000153432</v>
      </c>
      <c r="I317" s="20">
        <f t="shared" ref="I317:I324" si="77">4/D317</f>
        <v>9.2520204099570236E-2</v>
      </c>
      <c r="J317" s="21">
        <f t="shared" si="75"/>
        <v>144.87755801169158</v>
      </c>
      <c r="K317" s="64">
        <f t="shared" si="76"/>
        <v>142.9649750590093</v>
      </c>
      <c r="L317" s="22">
        <f t="shared" si="53"/>
        <v>104.72557704663159</v>
      </c>
      <c r="M317" s="22">
        <f t="shared" si="54"/>
        <v>160.43790162542663</v>
      </c>
    </row>
    <row r="318" spans="1:13" x14ac:dyDescent="0.15">
      <c r="A318" s="34">
        <v>43586</v>
      </c>
      <c r="B318" s="16" t="s">
        <v>2</v>
      </c>
      <c r="C318" s="23">
        <v>165</v>
      </c>
      <c r="D318" s="17">
        <f>SOJA!D318</f>
        <v>44.933199999999999</v>
      </c>
      <c r="E318" s="18">
        <f>SOJA!E318</f>
        <v>44.138135611155377</v>
      </c>
      <c r="F318" s="19">
        <f t="shared" si="72"/>
        <v>170.21928916693761</v>
      </c>
      <c r="G318" s="19">
        <f t="shared" si="73"/>
        <v>44.138135611155384</v>
      </c>
      <c r="H318" s="19">
        <f t="shared" si="74"/>
        <v>167.97216052157415</v>
      </c>
      <c r="I318" s="20">
        <f t="shared" si="77"/>
        <v>8.9021035670728998E-2</v>
      </c>
      <c r="J318" s="21">
        <f t="shared" si="75"/>
        <v>155.06619175416151</v>
      </c>
      <c r="K318" s="64">
        <f t="shared" si="76"/>
        <v>153.01910482809367</v>
      </c>
      <c r="L318" s="22">
        <f t="shared" si="53"/>
        <v>104.72557704663159</v>
      </c>
      <c r="M318" s="22">
        <f t="shared" si="54"/>
        <v>160.43790162542663</v>
      </c>
    </row>
    <row r="319" spans="1:13" x14ac:dyDescent="0.15">
      <c r="A319" s="34">
        <v>43617</v>
      </c>
      <c r="B319" s="16" t="s">
        <v>4</v>
      </c>
      <c r="C319" s="23">
        <v>182</v>
      </c>
      <c r="D319" s="17">
        <f>SOJA!D319</f>
        <v>43.789400000000001</v>
      </c>
      <c r="E319" s="18">
        <f>SOJA!E319</f>
        <v>45.329865272656569</v>
      </c>
      <c r="F319" s="19">
        <f t="shared" si="72"/>
        <v>178.16706202259763</v>
      </c>
      <c r="G319" s="19">
        <f t="shared" si="73"/>
        <v>45.329865272656576</v>
      </c>
      <c r="H319" s="19">
        <f t="shared" si="74"/>
        <v>175.81501184843327</v>
      </c>
      <c r="I319" s="20">
        <f t="shared" si="77"/>
        <v>9.1346307553882899E-2</v>
      </c>
      <c r="J319" s="21">
        <f t="shared" si="75"/>
        <v>161.89215877910968</v>
      </c>
      <c r="K319" s="64">
        <f t="shared" si="76"/>
        <v>159.75495970353671</v>
      </c>
      <c r="L319" s="22">
        <f t="shared" si="53"/>
        <v>104.72557704663159</v>
      </c>
      <c r="M319" s="22">
        <f t="shared" si="54"/>
        <v>160.43790162542663</v>
      </c>
    </row>
    <row r="320" spans="1:13" x14ac:dyDescent="0.15">
      <c r="A320" s="34">
        <v>43647</v>
      </c>
      <c r="B320" s="16" t="s">
        <v>4</v>
      </c>
      <c r="C320" s="23">
        <v>175</v>
      </c>
      <c r="D320" s="17">
        <f>SOJA!D320</f>
        <v>42.543399999999998</v>
      </c>
      <c r="E320" s="18">
        <f>SOJA!E320</f>
        <v>46.327122308655014</v>
      </c>
      <c r="F320" s="19">
        <f t="shared" si="72"/>
        <v>162.85698259657829</v>
      </c>
      <c r="G320" s="19">
        <f t="shared" si="73"/>
        <v>46.327122308655021</v>
      </c>
      <c r="H320" s="19">
        <f t="shared" si="74"/>
        <v>160.70704652011327</v>
      </c>
      <c r="I320" s="20">
        <f t="shared" si="77"/>
        <v>9.4021634378070401E-2</v>
      </c>
      <c r="J320" s="21">
        <f t="shared" si="75"/>
        <v>147.54490292296703</v>
      </c>
      <c r="K320" s="64">
        <f t="shared" si="76"/>
        <v>145.59710735021963</v>
      </c>
      <c r="L320" s="22">
        <f t="shared" si="53"/>
        <v>104.72557704663159</v>
      </c>
      <c r="M320" s="22">
        <f t="shared" si="54"/>
        <v>160.43790162542663</v>
      </c>
    </row>
    <row r="321" spans="1:13" x14ac:dyDescent="0.15">
      <c r="A321" s="34">
        <v>43678</v>
      </c>
      <c r="B321" s="16" t="s">
        <v>3</v>
      </c>
      <c r="C321" s="23">
        <v>153</v>
      </c>
      <c r="D321" s="17">
        <f>SOJA!D321</f>
        <v>52.7271</v>
      </c>
      <c r="E321" s="18">
        <f>SOJA!E321</f>
        <v>48.180207201001217</v>
      </c>
      <c r="F321" s="19">
        <f t="shared" si="72"/>
        <v>169.67900836846925</v>
      </c>
      <c r="G321" s="19">
        <f t="shared" si="73"/>
        <v>48.180207201001224</v>
      </c>
      <c r="H321" s="19">
        <f t="shared" si="74"/>
        <v>167.43901217245815</v>
      </c>
      <c r="I321" s="20">
        <f t="shared" si="77"/>
        <v>7.5862317480005534E-2</v>
      </c>
      <c r="J321" s="21">
        <f t="shared" si="75"/>
        <v>156.80676556592792</v>
      </c>
      <c r="K321" s="64">
        <f t="shared" si="76"/>
        <v>154.73670067249262</v>
      </c>
      <c r="L321" s="22">
        <f t="shared" si="53"/>
        <v>104.72557704663159</v>
      </c>
      <c r="M321" s="22">
        <f t="shared" si="54"/>
        <v>160.43790162542663</v>
      </c>
    </row>
    <row r="322" spans="1:13" x14ac:dyDescent="0.15">
      <c r="A322" s="34">
        <v>43709</v>
      </c>
      <c r="B322" t="s">
        <v>5</v>
      </c>
      <c r="C322" s="23">
        <v>146</v>
      </c>
      <c r="D322" s="17">
        <f>SOJA!D322</f>
        <v>56.501399999999997</v>
      </c>
      <c r="E322" s="18">
        <f>SOJA!E322</f>
        <v>51.022839425860283</v>
      </c>
      <c r="F322" s="19">
        <f t="shared" si="72"/>
        <v>163.83961001035675</v>
      </c>
      <c r="G322" s="19">
        <f t="shared" si="73"/>
        <v>51.02283942586029</v>
      </c>
      <c r="H322" s="19">
        <f t="shared" si="74"/>
        <v>161.67670190105085</v>
      </c>
      <c r="I322" s="20">
        <f t="shared" si="77"/>
        <v>7.0794705971887431E-2</v>
      </c>
      <c r="J322" s="21">
        <f t="shared" si="75"/>
        <v>152.24063299312485</v>
      </c>
      <c r="K322" s="64">
        <f t="shared" si="76"/>
        <v>150.23084732746148</v>
      </c>
      <c r="L322" s="22">
        <f t="shared" si="53"/>
        <v>104.72557704663159</v>
      </c>
      <c r="M322" s="22">
        <f t="shared" si="54"/>
        <v>160.43790162542663</v>
      </c>
    </row>
    <row r="323" spans="1:13" x14ac:dyDescent="0.15">
      <c r="A323" s="34">
        <v>43739</v>
      </c>
      <c r="B323" t="s">
        <v>6</v>
      </c>
      <c r="C323" s="23">
        <v>155</v>
      </c>
      <c r="D323" s="17">
        <f>SOJA!D323</f>
        <v>58.530799999999999</v>
      </c>
      <c r="E323" s="18">
        <f>SOJA!E323</f>
        <v>52.706593126913674</v>
      </c>
      <c r="F323" s="19">
        <f t="shared" si="72"/>
        <v>174.43060115508527</v>
      </c>
      <c r="G323" s="19">
        <f t="shared" si="73"/>
        <v>52.706593126913681</v>
      </c>
      <c r="H323" s="19">
        <f t="shared" si="74"/>
        <v>172.12787740149733</v>
      </c>
      <c r="I323" s="20">
        <f t="shared" si="77"/>
        <v>6.8340087611992326E-2</v>
      </c>
      <c r="J323" s="21">
        <f t="shared" si="75"/>
        <v>162.50999858993427</v>
      </c>
      <c r="K323" s="64">
        <f t="shared" si="76"/>
        <v>160.36464317941272</v>
      </c>
      <c r="L323" s="22">
        <f t="shared" si="53"/>
        <v>104.72557704663159</v>
      </c>
      <c r="M323" s="22">
        <f t="shared" si="54"/>
        <v>160.43790162542663</v>
      </c>
    </row>
    <row r="324" spans="1:13" x14ac:dyDescent="0.15">
      <c r="A324" s="34">
        <v>43770</v>
      </c>
      <c r="B324" t="s">
        <v>7</v>
      </c>
      <c r="C324" s="23">
        <v>166</v>
      </c>
      <c r="D324" s="17">
        <f>SOJA!D324</f>
        <v>59.738100000000003</v>
      </c>
      <c r="E324" s="18">
        <f>SOJA!E324</f>
        <v>54.972976631370955</v>
      </c>
      <c r="F324" s="19">
        <f t="shared" si="72"/>
        <v>182.8023205148659</v>
      </c>
      <c r="G324" s="19">
        <f t="shared" si="73"/>
        <v>54.972976631370962</v>
      </c>
      <c r="H324" s="19">
        <f t="shared" si="74"/>
        <v>180.38907855575391</v>
      </c>
      <c r="I324" s="20">
        <f t="shared" si="77"/>
        <v>6.6958942450462938E-2</v>
      </c>
      <c r="J324" s="21">
        <f t="shared" si="75"/>
        <v>170.56207045569991</v>
      </c>
      <c r="K324" s="64">
        <f t="shared" si="76"/>
        <v>168.31041662604713</v>
      </c>
      <c r="L324" s="22">
        <f t="shared" si="53"/>
        <v>104.72557704663159</v>
      </c>
      <c r="M324" s="22">
        <f t="shared" si="54"/>
        <v>160.43790162542663</v>
      </c>
    </row>
    <row r="325" spans="1:13" x14ac:dyDescent="0.15">
      <c r="A325" s="34">
        <v>43800</v>
      </c>
      <c r="B325" t="s">
        <v>66</v>
      </c>
      <c r="C325" s="23">
        <v>193.57894736842104</v>
      </c>
      <c r="D325" s="17">
        <f>SOJA!D325</f>
        <v>59.883199999999988</v>
      </c>
      <c r="E325" s="18">
        <f>SOJA!E325</f>
        <v>57.006976766731668</v>
      </c>
      <c r="F325" s="19">
        <f t="shared" si="72"/>
        <v>206.06611258038288</v>
      </c>
      <c r="G325" s="19">
        <f t="shared" si="73"/>
        <v>57.006976766731675</v>
      </c>
      <c r="H325" s="19">
        <f t="shared" si="74"/>
        <v>203.34575658145761</v>
      </c>
      <c r="I325" s="20">
        <v>0.12</v>
      </c>
      <c r="J325" s="21">
        <f t="shared" si="75"/>
        <v>181.33817907073694</v>
      </c>
      <c r="K325" s="64">
        <f t="shared" si="76"/>
        <v>178.94426579168268</v>
      </c>
      <c r="L325" s="22">
        <f t="shared" si="53"/>
        <v>104.72557704663159</v>
      </c>
      <c r="M325" s="22">
        <f t="shared" si="54"/>
        <v>160.43790162542663</v>
      </c>
    </row>
    <row r="326" spans="1:13" x14ac:dyDescent="0.15">
      <c r="A326" s="34">
        <v>43831</v>
      </c>
      <c r="B326" s="16" t="s">
        <v>67</v>
      </c>
      <c r="C326" s="23">
        <v>184</v>
      </c>
      <c r="D326" s="17">
        <f>SOJA!D326</f>
        <v>60.011000000000003</v>
      </c>
      <c r="E326" s="18">
        <f>SOJA!E326</f>
        <v>58.318137232366489</v>
      </c>
      <c r="F326" s="19">
        <f>+(C326*(D326/E326))/(AVERAGE(C$109)*AVERAGE(D$109)/AVERAGE(E$109))*100</f>
        <v>191.87416704788524</v>
      </c>
      <c r="G326" s="19">
        <f>+E326/AVERAGE(E$2:E$13)</f>
        <v>58.318137232366496</v>
      </c>
      <c r="H326" s="19">
        <f>+(C326*D326)/G326</f>
        <v>189.34116424198288</v>
      </c>
      <c r="I326" s="20">
        <v>0.12</v>
      </c>
      <c r="J326" s="21">
        <f>+F326*(1-I326)/(F$109*(1-I$109))*100</f>
        <v>168.84926700213902</v>
      </c>
      <c r="K326" s="64">
        <f>+H326*(1-I326)</f>
        <v>166.62022453294495</v>
      </c>
      <c r="L326" s="22">
        <f t="shared" si="53"/>
        <v>104.72557704663159</v>
      </c>
      <c r="M326" s="22">
        <f t="shared" si="54"/>
        <v>160.43790162542663</v>
      </c>
    </row>
    <row r="327" spans="1:13" x14ac:dyDescent="0.15">
      <c r="A327" s="34">
        <v>43862</v>
      </c>
      <c r="B327" s="16" t="s">
        <v>1</v>
      </c>
      <c r="C327" s="23">
        <v>179</v>
      </c>
      <c r="D327" s="17">
        <f>SOJA!D327</f>
        <v>61.348399999999998</v>
      </c>
      <c r="E327" s="18">
        <f>SOJA!E327</f>
        <v>59.484499977013819</v>
      </c>
      <c r="F327" s="19">
        <f>+(C327*(D327/E327))/(AVERAGE(C$109)*AVERAGE(D$109)/AVERAGE(E$109))*100</f>
        <v>187.07851786208886</v>
      </c>
      <c r="G327" s="19">
        <f>+E327/AVERAGE(E$2:E$13)</f>
        <v>59.484499977013826</v>
      </c>
      <c r="H327" s="19">
        <f>+(C327*D327)/G327</f>
        <v>184.60882421880405</v>
      </c>
      <c r="I327" s="20">
        <v>0.12</v>
      </c>
      <c r="J327" s="21">
        <f>+F327*(1-I327)/(F$109*(1-I$109))*100</f>
        <v>164.62909571863818</v>
      </c>
      <c r="K327" s="64">
        <f>+H327*(1-I327)</f>
        <v>162.45576531254756</v>
      </c>
      <c r="L327" s="22">
        <f t="shared" si="53"/>
        <v>104.72557704663159</v>
      </c>
      <c r="M327" s="22">
        <f t="shared" si="54"/>
        <v>160.43790162542663</v>
      </c>
    </row>
    <row r="328" spans="1:13" x14ac:dyDescent="0.15">
      <c r="A328" s="34">
        <v>43891</v>
      </c>
      <c r="B328" s="16" t="s">
        <v>2</v>
      </c>
      <c r="C328" s="23">
        <v>167</v>
      </c>
      <c r="D328" s="17">
        <f>SOJA!D328</f>
        <v>63.122700000000002</v>
      </c>
      <c r="E328" s="18">
        <f>SOJA!E328</f>
        <v>61.447488476255266</v>
      </c>
      <c r="F328" s="19">
        <f t="shared" ref="F328:F345" si="78">+(C328*(D328/E328))/(AVERAGE(C$109)*AVERAGE(D$109)/AVERAGE(E$109))*100</f>
        <v>173.84786664236503</v>
      </c>
      <c r="G328" s="19">
        <f t="shared" ref="G328:G345" si="79">+E328/AVERAGE(E$2:E$13)</f>
        <v>61.447488476255273</v>
      </c>
      <c r="H328" s="19">
        <f t="shared" ref="H328:H345" si="80">+(C328*D328)/G328</f>
        <v>171.55283578552564</v>
      </c>
      <c r="I328" s="20">
        <v>0.12</v>
      </c>
      <c r="J328" s="21">
        <f t="shared" ref="J328:J345" si="81">+F328*(1-I328)/(F$109*(1-I$109))*100</f>
        <v>152.98612264528123</v>
      </c>
      <c r="K328" s="64">
        <f t="shared" ref="K328:K345" si="82">+H328*(1-I328)</f>
        <v>150.96649549126258</v>
      </c>
      <c r="L328" s="22">
        <f t="shared" si="53"/>
        <v>104.72557704663159</v>
      </c>
      <c r="M328" s="22">
        <f t="shared" si="54"/>
        <v>160.43790162542663</v>
      </c>
    </row>
    <row r="329" spans="1:13" x14ac:dyDescent="0.15">
      <c r="A329" s="34">
        <v>43922</v>
      </c>
      <c r="B329" s="16" t="s">
        <v>3</v>
      </c>
      <c r="C329" s="23">
        <v>157</v>
      </c>
      <c r="D329" s="17">
        <f>SOJA!D329</f>
        <v>65.762</v>
      </c>
      <c r="E329" s="18">
        <f>SOJA!E329</f>
        <v>62.369200803399096</v>
      </c>
      <c r="F329" s="19">
        <f t="shared" si="78"/>
        <v>167.75518428187419</v>
      </c>
      <c r="G329" s="19">
        <f t="shared" si="79"/>
        <v>62.369200803399103</v>
      </c>
      <c r="H329" s="19">
        <f t="shared" si="80"/>
        <v>165.54058520880247</v>
      </c>
      <c r="I329" s="20">
        <v>0.12</v>
      </c>
      <c r="J329" s="21">
        <f t="shared" si="81"/>
        <v>147.62456216804929</v>
      </c>
      <c r="K329" s="64">
        <f t="shared" si="82"/>
        <v>145.67571498374616</v>
      </c>
      <c r="L329" s="22">
        <f t="shared" si="53"/>
        <v>104.72557704663159</v>
      </c>
      <c r="M329" s="22">
        <f t="shared" si="54"/>
        <v>160.43790162542663</v>
      </c>
    </row>
    <row r="330" spans="1:13" x14ac:dyDescent="0.15">
      <c r="A330" s="34">
        <v>43952</v>
      </c>
      <c r="B330" s="16" t="s">
        <v>2</v>
      </c>
      <c r="C330" s="23">
        <v>146</v>
      </c>
      <c r="D330" s="17">
        <f>SOJA!D330</f>
        <v>67.725499999999997</v>
      </c>
      <c r="E330" s="18">
        <f>SOJA!E330</f>
        <v>63.304738815450079</v>
      </c>
      <c r="F330" s="19">
        <f t="shared" si="78"/>
        <v>158.28520343994637</v>
      </c>
      <c r="G330" s="19">
        <f t="shared" si="79"/>
        <v>63.304738815450087</v>
      </c>
      <c r="H330" s="19">
        <f t="shared" si="80"/>
        <v>156.19562113392311</v>
      </c>
      <c r="I330" s="20">
        <v>0.12</v>
      </c>
      <c r="J330" s="21">
        <f t="shared" si="81"/>
        <v>139.29097902715282</v>
      </c>
      <c r="K330" s="64">
        <f t="shared" si="82"/>
        <v>137.45214659785233</v>
      </c>
      <c r="L330" s="22">
        <f t="shared" si="53"/>
        <v>104.72557704663159</v>
      </c>
      <c r="M330" s="22">
        <f t="shared" si="54"/>
        <v>160.43790162542663</v>
      </c>
    </row>
    <row r="331" spans="1:13" x14ac:dyDescent="0.15">
      <c r="A331" s="34">
        <v>43983</v>
      </c>
      <c r="B331" s="16" t="s">
        <v>4</v>
      </c>
      <c r="C331" s="23">
        <v>148</v>
      </c>
      <c r="D331" s="17">
        <f>SOJA!D331</f>
        <v>69.540700000000001</v>
      </c>
      <c r="E331" s="18">
        <f>SOJA!E331</f>
        <v>64.69744306938999</v>
      </c>
      <c r="F331" s="19">
        <f t="shared" si="78"/>
        <v>161.20745454710737</v>
      </c>
      <c r="G331" s="19">
        <f t="shared" si="79"/>
        <v>64.697443069390005</v>
      </c>
      <c r="H331" s="19">
        <f t="shared" si="80"/>
        <v>159.07929450877197</v>
      </c>
      <c r="I331" s="20">
        <v>0.12</v>
      </c>
      <c r="J331" s="21">
        <f t="shared" si="81"/>
        <v>141.86256000145448</v>
      </c>
      <c r="K331" s="64">
        <f t="shared" si="82"/>
        <v>139.98977916771932</v>
      </c>
      <c r="L331" s="22">
        <f t="shared" si="53"/>
        <v>104.72557704663159</v>
      </c>
      <c r="M331" s="22">
        <f t="shared" si="54"/>
        <v>160.43790162542663</v>
      </c>
    </row>
    <row r="332" spans="1:13" x14ac:dyDescent="0.15">
      <c r="A332" s="34">
        <v>44013</v>
      </c>
      <c r="B332" s="16" t="s">
        <v>4</v>
      </c>
      <c r="C332" s="23">
        <v>155</v>
      </c>
      <c r="D332" s="17">
        <f>SOJA!D332</f>
        <v>71.474900000000005</v>
      </c>
      <c r="E332" s="18">
        <f>SOJA!E332</f>
        <v>65.926694487708389</v>
      </c>
      <c r="F332" s="19">
        <f t="shared" si="78"/>
        <v>170.29245941522473</v>
      </c>
      <c r="G332" s="19">
        <f t="shared" si="79"/>
        <v>65.926694487708403</v>
      </c>
      <c r="H332" s="19">
        <f t="shared" si="80"/>
        <v>168.04436482198471</v>
      </c>
      <c r="I332" s="20">
        <v>0.12</v>
      </c>
      <c r="J332" s="21">
        <f t="shared" si="81"/>
        <v>149.85736428539775</v>
      </c>
      <c r="K332" s="64">
        <f t="shared" si="82"/>
        <v>147.87904104334655</v>
      </c>
      <c r="L332" s="22">
        <f t="shared" si="53"/>
        <v>104.72557704663159</v>
      </c>
      <c r="M332" s="22">
        <f t="shared" si="54"/>
        <v>160.43790162542663</v>
      </c>
    </row>
    <row r="333" spans="1:13" x14ac:dyDescent="0.15">
      <c r="A333" s="34">
        <v>44044</v>
      </c>
      <c r="B333" s="16" t="s">
        <v>3</v>
      </c>
      <c r="C333" s="23">
        <v>165</v>
      </c>
      <c r="D333" s="17">
        <f>SOJA!D333</f>
        <v>73.293000000000006</v>
      </c>
      <c r="E333" s="18">
        <f>SOJA!E333</f>
        <v>67.706715238876498</v>
      </c>
      <c r="F333" s="19">
        <f t="shared" si="78"/>
        <v>181.00316218385609</v>
      </c>
      <c r="G333" s="19">
        <f t="shared" si="79"/>
        <v>67.706715238876512</v>
      </c>
      <c r="H333" s="19">
        <f t="shared" si="80"/>
        <v>178.61367158831129</v>
      </c>
      <c r="I333" s="20">
        <v>0.12</v>
      </c>
      <c r="J333" s="21">
        <f t="shared" si="81"/>
        <v>159.28278272179335</v>
      </c>
      <c r="K333" s="64">
        <f t="shared" si="82"/>
        <v>157.18003099771394</v>
      </c>
      <c r="L333" s="22">
        <f t="shared" si="53"/>
        <v>104.72557704663159</v>
      </c>
      <c r="M333" s="22">
        <f t="shared" si="54"/>
        <v>160.43790162542663</v>
      </c>
    </row>
    <row r="334" spans="1:13" x14ac:dyDescent="0.15">
      <c r="A334" s="34">
        <v>44075</v>
      </c>
      <c r="B334" t="s">
        <v>5</v>
      </c>
      <c r="C334" s="23">
        <v>186</v>
      </c>
      <c r="D334" s="17">
        <f>SOJA!D334</f>
        <v>75.198599999999999</v>
      </c>
      <c r="E334" s="18">
        <f>SOJA!E334</f>
        <v>69.602503265565048</v>
      </c>
      <c r="F334" s="19">
        <f t="shared" si="78"/>
        <v>203.64291469374939</v>
      </c>
      <c r="G334" s="19">
        <f t="shared" si="79"/>
        <v>69.602503265565062</v>
      </c>
      <c r="H334" s="19">
        <f t="shared" si="80"/>
        <v>200.95454823849499</v>
      </c>
      <c r="I334" s="20">
        <v>0.12</v>
      </c>
      <c r="J334" s="21">
        <f t="shared" si="81"/>
        <v>179.20576493049947</v>
      </c>
      <c r="K334" s="64">
        <f t="shared" si="82"/>
        <v>176.84000244987558</v>
      </c>
      <c r="L334" s="22">
        <f t="shared" si="53"/>
        <v>104.72557704663159</v>
      </c>
      <c r="M334" s="22">
        <f t="shared" si="54"/>
        <v>160.43790162542663</v>
      </c>
    </row>
    <row r="335" spans="1:13" x14ac:dyDescent="0.15">
      <c r="A335" s="34">
        <v>44105</v>
      </c>
      <c r="B335" t="s">
        <v>6</v>
      </c>
      <c r="C335" s="23">
        <v>217</v>
      </c>
      <c r="D335" s="17">
        <f>SOJA!D335</f>
        <v>77.569299999999998</v>
      </c>
      <c r="E335" s="18">
        <f>SOJA!E335</f>
        <v>72.247398389656524</v>
      </c>
      <c r="F335" s="19">
        <f t="shared" si="78"/>
        <v>236.10156050575321</v>
      </c>
      <c r="G335" s="19">
        <f t="shared" si="79"/>
        <v>72.247398389656539</v>
      </c>
      <c r="H335" s="19">
        <f t="shared" si="80"/>
        <v>232.98469529955926</v>
      </c>
      <c r="I335" s="20">
        <v>0.12</v>
      </c>
      <c r="J335" s="21">
        <f t="shared" si="81"/>
        <v>207.76937324506281</v>
      </c>
      <c r="K335" s="64">
        <f t="shared" si="82"/>
        <v>205.02653186361215</v>
      </c>
      <c r="L335" s="22">
        <f t="shared" si="53"/>
        <v>104.72557704663159</v>
      </c>
      <c r="M335" s="22">
        <f t="shared" si="54"/>
        <v>160.43790162542663</v>
      </c>
    </row>
    <row r="336" spans="1:13" x14ac:dyDescent="0.15">
      <c r="A336" s="34">
        <v>44136</v>
      </c>
      <c r="B336" t="s">
        <v>7</v>
      </c>
      <c r="C336" s="23">
        <v>226</v>
      </c>
      <c r="D336" s="17">
        <f>SOJA!D336</f>
        <v>79.933199999999999</v>
      </c>
      <c r="E336" s="18">
        <f>SOJA!E336</f>
        <v>74.559315138125527</v>
      </c>
      <c r="F336" s="19">
        <f t="shared" si="78"/>
        <v>245.53035562710431</v>
      </c>
      <c r="G336" s="19">
        <f t="shared" si="79"/>
        <v>74.559315138125541</v>
      </c>
      <c r="H336" s="19">
        <f t="shared" si="80"/>
        <v>242.28901736199828</v>
      </c>
      <c r="I336" s="20">
        <v>0.12</v>
      </c>
      <c r="J336" s="21">
        <f t="shared" si="81"/>
        <v>216.06671295185177</v>
      </c>
      <c r="K336" s="64">
        <f t="shared" si="82"/>
        <v>213.21433527855848</v>
      </c>
      <c r="L336" s="22">
        <f t="shared" si="53"/>
        <v>104.72557704663159</v>
      </c>
      <c r="M336" s="22">
        <f t="shared" si="54"/>
        <v>160.43790162542663</v>
      </c>
    </row>
    <row r="337" spans="1:13" x14ac:dyDescent="0.15">
      <c r="A337" s="34">
        <v>44166</v>
      </c>
      <c r="B337" t="s">
        <v>69</v>
      </c>
      <c r="C337" s="23">
        <v>231</v>
      </c>
      <c r="D337" s="17">
        <f>SOJA!D337</f>
        <v>82.637900000000002</v>
      </c>
      <c r="E337" s="18">
        <f>SOJA!E337</f>
        <v>77.541687743650556</v>
      </c>
      <c r="F337" s="19">
        <f t="shared" si="78"/>
        <v>249.47525029601456</v>
      </c>
      <c r="G337" s="19">
        <f t="shared" si="79"/>
        <v>77.54168774365057</v>
      </c>
      <c r="H337" s="19">
        <f t="shared" si="80"/>
        <v>246.18183399758558</v>
      </c>
      <c r="I337" s="20">
        <v>0.12</v>
      </c>
      <c r="J337" s="21">
        <f t="shared" si="81"/>
        <v>219.53822026049278</v>
      </c>
      <c r="K337" s="64">
        <f t="shared" si="82"/>
        <v>216.64001391787531</v>
      </c>
      <c r="L337" s="22">
        <f t="shared" si="53"/>
        <v>104.72557704663159</v>
      </c>
      <c r="M337" s="22">
        <f t="shared" si="54"/>
        <v>160.43790162542663</v>
      </c>
    </row>
    <row r="338" spans="1:13" x14ac:dyDescent="0.15">
      <c r="A338" s="34">
        <v>44197</v>
      </c>
      <c r="B338" s="16" t="s">
        <v>68</v>
      </c>
      <c r="C338" s="23">
        <v>255</v>
      </c>
      <c r="D338" s="17">
        <f>SOJA!D338</f>
        <v>85.970799999999997</v>
      </c>
      <c r="E338" s="18">
        <f>SOJA!E338</f>
        <v>80.643355253396578</v>
      </c>
      <c r="F338" s="19">
        <f t="shared" si="78"/>
        <v>275.48250536893454</v>
      </c>
      <c r="G338" s="19">
        <f t="shared" si="79"/>
        <v>80.643355253396592</v>
      </c>
      <c r="H338" s="19">
        <f t="shared" si="80"/>
        <v>271.84575754710619</v>
      </c>
      <c r="I338" s="20">
        <v>0.12</v>
      </c>
      <c r="J338" s="21">
        <f t="shared" si="81"/>
        <v>242.4246047246624</v>
      </c>
      <c r="K338" s="64">
        <f t="shared" si="82"/>
        <v>239.22426664145345</v>
      </c>
      <c r="L338" s="22">
        <f t="shared" si="53"/>
        <v>104.72557704663159</v>
      </c>
      <c r="M338" s="22">
        <f t="shared" si="54"/>
        <v>160.43790162542663</v>
      </c>
    </row>
    <row r="339" spans="1:13" x14ac:dyDescent="0.15">
      <c r="A339" s="34">
        <v>44228</v>
      </c>
      <c r="B339" s="16" t="s">
        <v>1</v>
      </c>
      <c r="C339" s="23">
        <v>247</v>
      </c>
      <c r="D339" s="17">
        <f>SOJA!D339</f>
        <v>88.674599999999998</v>
      </c>
      <c r="E339" s="18">
        <f>SOJA!E339</f>
        <v>83.54651604251886</v>
      </c>
      <c r="F339" s="19">
        <f t="shared" si="78"/>
        <v>265.66803984387099</v>
      </c>
      <c r="G339" s="19">
        <f t="shared" si="79"/>
        <v>83.546516042518874</v>
      </c>
      <c r="H339" s="19">
        <f t="shared" si="80"/>
        <v>262.16085646052812</v>
      </c>
      <c r="I339" s="20">
        <v>0.12</v>
      </c>
      <c r="J339" s="21">
        <f t="shared" si="81"/>
        <v>233.78787506260647</v>
      </c>
      <c r="K339" s="64">
        <f t="shared" si="82"/>
        <v>230.70155368526474</v>
      </c>
      <c r="L339" s="22">
        <f t="shared" si="53"/>
        <v>104.72557704663159</v>
      </c>
      <c r="M339" s="22">
        <f t="shared" si="54"/>
        <v>160.43790162542663</v>
      </c>
    </row>
    <row r="340" spans="1:13" x14ac:dyDescent="0.15">
      <c r="A340" s="34">
        <v>44256</v>
      </c>
      <c r="B340" s="16" t="s">
        <v>2</v>
      </c>
      <c r="C340" s="23">
        <v>235</v>
      </c>
      <c r="D340" s="17">
        <f>SOJA!D340</f>
        <v>91.066400000000002</v>
      </c>
      <c r="E340" s="18">
        <f>SOJA!E340</f>
        <v>87.556748812559761</v>
      </c>
      <c r="F340" s="19">
        <f t="shared" si="78"/>
        <v>247.68965502542008</v>
      </c>
      <c r="G340" s="19">
        <f t="shared" si="79"/>
        <v>87.556748812559775</v>
      </c>
      <c r="H340" s="19">
        <f t="shared" si="80"/>
        <v>244.41981103951341</v>
      </c>
      <c r="I340" s="20">
        <v>0.12</v>
      </c>
      <c r="J340" s="21">
        <f t="shared" si="81"/>
        <v>217.96689642236967</v>
      </c>
      <c r="K340" s="64">
        <f t="shared" si="82"/>
        <v>215.08943371477179</v>
      </c>
      <c r="L340" s="22">
        <f t="shared" si="53"/>
        <v>104.72557704663159</v>
      </c>
      <c r="M340" s="22">
        <f t="shared" si="54"/>
        <v>160.43790162542663</v>
      </c>
    </row>
    <row r="341" spans="1:13" x14ac:dyDescent="0.15">
      <c r="A341" s="34">
        <v>44287</v>
      </c>
      <c r="B341" s="16" t="s">
        <v>3</v>
      </c>
      <c r="C341" s="23">
        <v>256</v>
      </c>
      <c r="D341" s="17">
        <f>SOJA!D341</f>
        <v>92.863799999999998</v>
      </c>
      <c r="E341" s="18">
        <f>SOJA!E341</f>
        <v>91.146575513874723</v>
      </c>
      <c r="F341" s="19">
        <f t="shared" si="78"/>
        <v>264.31239157123014</v>
      </c>
      <c r="G341" s="19">
        <f t="shared" si="79"/>
        <v>91.146575513874737</v>
      </c>
      <c r="H341" s="19">
        <f t="shared" si="80"/>
        <v>260.82310460891807</v>
      </c>
      <c r="I341" s="20">
        <v>0.12</v>
      </c>
      <c r="J341" s="21">
        <f t="shared" si="81"/>
        <v>232.59490458268252</v>
      </c>
      <c r="K341" s="64">
        <f t="shared" si="82"/>
        <v>229.52433205584791</v>
      </c>
      <c r="L341" s="22">
        <f t="shared" si="53"/>
        <v>104.72557704663159</v>
      </c>
      <c r="M341" s="22">
        <f t="shared" si="54"/>
        <v>160.43790162542663</v>
      </c>
    </row>
    <row r="342" spans="1:13" x14ac:dyDescent="0.15">
      <c r="A342" s="34">
        <v>44317</v>
      </c>
      <c r="B342" s="16" t="s">
        <v>2</v>
      </c>
      <c r="C342" s="23">
        <v>270</v>
      </c>
      <c r="D342" s="17">
        <f>SOJA!D342</f>
        <v>94.104799999999997</v>
      </c>
      <c r="E342" s="18">
        <f>SOJA!E342</f>
        <v>94.154412505832582</v>
      </c>
      <c r="F342" s="19">
        <f t="shared" si="78"/>
        <v>273.46788171916722</v>
      </c>
      <c r="G342" s="19">
        <f t="shared" si="79"/>
        <v>94.154412505832596</v>
      </c>
      <c r="H342" s="19">
        <f t="shared" si="80"/>
        <v>269.85772969934919</v>
      </c>
      <c r="I342" s="20">
        <v>0.12</v>
      </c>
      <c r="J342" s="21">
        <f t="shared" si="81"/>
        <v>240.65173591286717</v>
      </c>
      <c r="K342" s="64">
        <f t="shared" si="82"/>
        <v>237.4748021354273</v>
      </c>
      <c r="L342" s="22">
        <f t="shared" si="53"/>
        <v>104.72557704663159</v>
      </c>
      <c r="M342" s="22">
        <f t="shared" si="54"/>
        <v>160.43790162542663</v>
      </c>
    </row>
    <row r="343" spans="1:13" x14ac:dyDescent="0.15">
      <c r="A343" s="34">
        <v>44348</v>
      </c>
      <c r="B343" s="16" t="s">
        <v>4</v>
      </c>
      <c r="C343" s="23">
        <v>248</v>
      </c>
      <c r="D343" s="17">
        <f>SOJA!D343</f>
        <v>95.254300000000001</v>
      </c>
      <c r="E343" s="18">
        <f>SOJA!E343</f>
        <v>97.167353706019227</v>
      </c>
      <c r="F343" s="19">
        <f t="shared" si="78"/>
        <v>246.36973694205722</v>
      </c>
      <c r="G343" s="19">
        <f t="shared" si="79"/>
        <v>97.167353706019242</v>
      </c>
      <c r="H343" s="19">
        <f t="shared" si="80"/>
        <v>243.11731768955872</v>
      </c>
      <c r="I343" s="20">
        <v>0.12</v>
      </c>
      <c r="J343" s="21">
        <f t="shared" si="81"/>
        <v>216.80536850901032</v>
      </c>
      <c r="K343" s="64">
        <f t="shared" si="82"/>
        <v>213.94323956681168</v>
      </c>
      <c r="L343" s="22">
        <f t="shared" si="53"/>
        <v>104.72557704663159</v>
      </c>
      <c r="M343" s="22">
        <f t="shared" si="54"/>
        <v>160.43790162542663</v>
      </c>
    </row>
    <row r="344" spans="1:13" x14ac:dyDescent="0.15">
      <c r="A344" s="34">
        <v>44378</v>
      </c>
      <c r="B344" s="16" t="s">
        <v>4</v>
      </c>
      <c r="C344" s="23">
        <v>237</v>
      </c>
      <c r="D344" s="17">
        <f>SOJA!D344</f>
        <v>96.237799999999993</v>
      </c>
      <c r="E344" s="18">
        <f>SOJA!E344</f>
        <v>100.08237431719981</v>
      </c>
      <c r="F344" s="19">
        <f t="shared" si="78"/>
        <v>230.94464517655516</v>
      </c>
      <c r="G344" s="19">
        <f t="shared" si="79"/>
        <v>100.08237431719982</v>
      </c>
      <c r="H344" s="19">
        <f t="shared" si="80"/>
        <v>227.89585834276346</v>
      </c>
      <c r="I344" s="20">
        <v>0.12</v>
      </c>
      <c r="J344" s="21">
        <f t="shared" si="81"/>
        <v>203.23128775536853</v>
      </c>
      <c r="K344" s="64">
        <f t="shared" si="82"/>
        <v>200.54835534163183</v>
      </c>
      <c r="L344" s="22">
        <f t="shared" si="53"/>
        <v>104.72557704663159</v>
      </c>
      <c r="M344" s="22">
        <f t="shared" si="54"/>
        <v>160.43790162542663</v>
      </c>
    </row>
    <row r="345" spans="1:13" x14ac:dyDescent="0.15">
      <c r="A345" s="34">
        <v>44409</v>
      </c>
      <c r="B345" s="16" t="s">
        <v>3</v>
      </c>
      <c r="C345" s="23">
        <v>238</v>
      </c>
      <c r="D345" s="17">
        <f>SOJA!D345</f>
        <v>97.213800000000006</v>
      </c>
      <c r="E345" s="18">
        <f>SOJA!E345</f>
        <v>102.58443367512979</v>
      </c>
      <c r="F345" s="19">
        <f t="shared" si="78"/>
        <v>228.55718355680938</v>
      </c>
      <c r="G345" s="19">
        <f t="shared" si="79"/>
        <v>102.5844336751298</v>
      </c>
      <c r="H345" s="19">
        <f t="shared" si="80"/>
        <v>225.53991449883321</v>
      </c>
      <c r="I345" s="20">
        <v>0.12</v>
      </c>
      <c r="J345" s="21">
        <f t="shared" si="81"/>
        <v>201.13032152999227</v>
      </c>
      <c r="K345" s="64">
        <f t="shared" si="82"/>
        <v>198.47512475897324</v>
      </c>
      <c r="L345" s="22">
        <f t="shared" si="53"/>
        <v>104.72557704663159</v>
      </c>
      <c r="M345" s="22">
        <f t="shared" si="54"/>
        <v>160.43790162542663</v>
      </c>
    </row>
    <row r="346" spans="1:13" x14ac:dyDescent="0.15">
      <c r="A346" s="34">
        <v>44440</v>
      </c>
      <c r="B346" t="s">
        <v>5</v>
      </c>
      <c r="C346" s="23">
        <v>240</v>
      </c>
      <c r="D346" s="17">
        <f>SOJA!D346</f>
        <v>98.284999999999997</v>
      </c>
      <c r="E346" s="18">
        <f>SOJA!E346</f>
        <v>106.17488885375933</v>
      </c>
      <c r="F346" s="19">
        <f t="shared" ref="F346:F377" si="83">+(C346*(D346/E346))/(AVERAGE(C$109)*AVERAGE(D$109)/AVERAGE(E$109))*100</f>
        <v>225.13765225914301</v>
      </c>
      <c r="G346" s="19">
        <f>+E346/AVERAGE(E$2:E$13)</f>
        <v>106.17488885375934</v>
      </c>
      <c r="H346" s="19">
        <f>+(C346*D346)/G346</f>
        <v>222.16552571568621</v>
      </c>
      <c r="I346" s="20">
        <v>0.12</v>
      </c>
      <c r="J346" s="21">
        <f t="shared" ref="J346:J377" si="84">+F346*(1-I346)/(F$109*(1-I$109))*100</f>
        <v>198.12113398804584</v>
      </c>
      <c r="K346" s="64">
        <f>+H346*(1-I346)</f>
        <v>195.50566262980388</v>
      </c>
      <c r="L346" s="22">
        <f t="shared" si="53"/>
        <v>104.72557704663159</v>
      </c>
      <c r="M346" s="22">
        <f t="shared" si="54"/>
        <v>160.43790162542663</v>
      </c>
    </row>
    <row r="347" spans="1:13" x14ac:dyDescent="0.15">
      <c r="A347" s="34">
        <v>44470</v>
      </c>
      <c r="B347" t="s">
        <v>6</v>
      </c>
      <c r="C347" s="23">
        <v>247</v>
      </c>
      <c r="D347" s="17">
        <f>SOJA!D347</f>
        <v>99.249099999999999</v>
      </c>
      <c r="E347" s="18">
        <f>SOJA!E347</f>
        <v>109.89100996364088</v>
      </c>
      <c r="F347" s="19">
        <f t="shared" si="83"/>
        <v>226.06474027230979</v>
      </c>
      <c r="G347" s="19">
        <f>+E347/AVERAGE(E$2:E$13)</f>
        <v>109.8910099636409</v>
      </c>
      <c r="H347" s="19">
        <f>+(C347*D347)/G347</f>
        <v>223.08037489245936</v>
      </c>
      <c r="I347" s="20">
        <v>0.12</v>
      </c>
      <c r="J347" s="21">
        <f t="shared" si="84"/>
        <v>198.93697143963263</v>
      </c>
      <c r="K347" s="64">
        <f>+H347*(1-I347)</f>
        <v>196.31072990536424</v>
      </c>
      <c r="L347" s="22">
        <f t="shared" si="53"/>
        <v>104.72557704663159</v>
      </c>
      <c r="M347" s="22">
        <f t="shared" si="54"/>
        <v>160.43790162542663</v>
      </c>
    </row>
    <row r="348" spans="1:13" x14ac:dyDescent="0.15">
      <c r="A348" s="34">
        <v>44501</v>
      </c>
      <c r="B348" t="s">
        <v>7</v>
      </c>
      <c r="C348" s="9">
        <v>251</v>
      </c>
      <c r="D348" s="17">
        <f>SOJA!D348</f>
        <v>100.31010000000001</v>
      </c>
      <c r="E348" s="18">
        <f>SOJA!E348</f>
        <v>112.63828521273189</v>
      </c>
      <c r="F348" s="19">
        <f t="shared" si="83"/>
        <v>226.51857396779849</v>
      </c>
      <c r="G348" s="19">
        <f t="shared" ref="G348:G409" si="85">+E348/AVERAGE(E$2:E$13)</f>
        <v>112.6382852127319</v>
      </c>
      <c r="H348" s="19">
        <f t="shared" ref="H348:H406" si="86">+(C348*D348)/G348</f>
        <v>223.52821735920799</v>
      </c>
      <c r="I348" s="20">
        <v>0.12</v>
      </c>
      <c r="J348" s="21">
        <f t="shared" si="84"/>
        <v>199.33634509166268</v>
      </c>
      <c r="K348" s="64">
        <f t="shared" ref="K348:K406" si="87">+H348*(1-I348)</f>
        <v>196.70483127610302</v>
      </c>
      <c r="L348" s="22">
        <f t="shared" si="53"/>
        <v>104.72557704663159</v>
      </c>
      <c r="M348" s="22">
        <f t="shared" si="54"/>
        <v>160.43790162542663</v>
      </c>
    </row>
    <row r="349" spans="1:13" x14ac:dyDescent="0.15">
      <c r="A349" s="34">
        <v>44531</v>
      </c>
      <c r="B349" t="s">
        <v>73</v>
      </c>
      <c r="C349" s="23">
        <v>259</v>
      </c>
      <c r="D349" s="17">
        <f>SOJA!D349</f>
        <v>101.88849999999999</v>
      </c>
      <c r="E349" s="18">
        <f>SOJA!E349</f>
        <v>116.91854005081572</v>
      </c>
      <c r="F349" s="19">
        <f t="shared" si="83"/>
        <v>228.72467187290843</v>
      </c>
      <c r="G349" s="19">
        <f t="shared" si="85"/>
        <v>116.91854005081574</v>
      </c>
      <c r="H349" s="19">
        <f t="shared" si="86"/>
        <v>225.70519173888607</v>
      </c>
      <c r="I349" s="20">
        <v>0.12</v>
      </c>
      <c r="J349" s="21">
        <f t="shared" si="84"/>
        <v>201.27771124815942</v>
      </c>
      <c r="K349" s="64">
        <f t="shared" si="87"/>
        <v>198.62056873021973</v>
      </c>
      <c r="L349" s="22">
        <f t="shared" si="53"/>
        <v>104.72557704663159</v>
      </c>
      <c r="M349" s="22">
        <f t="shared" si="54"/>
        <v>160.43790162542663</v>
      </c>
    </row>
    <row r="350" spans="1:13" x14ac:dyDescent="0.15">
      <c r="A350" s="34">
        <v>44562</v>
      </c>
      <c r="B350" s="16" t="s">
        <v>70</v>
      </c>
      <c r="C350" s="23">
        <v>272</v>
      </c>
      <c r="D350" s="17">
        <f>SOJA!D350</f>
        <v>103.9846</v>
      </c>
      <c r="E350" s="18">
        <f>SOJA!E350</f>
        <v>121.47836311279751</v>
      </c>
      <c r="F350" s="19">
        <f t="shared" si="83"/>
        <v>235.94482836634424</v>
      </c>
      <c r="G350" s="19">
        <f t="shared" si="85"/>
        <v>121.47836311279752</v>
      </c>
      <c r="H350" s="19">
        <f t="shared" si="86"/>
        <v>232.83003223987592</v>
      </c>
      <c r="I350" s="20">
        <v>0.12</v>
      </c>
      <c r="J350" s="21">
        <f t="shared" si="84"/>
        <v>207.63144896238293</v>
      </c>
      <c r="K350" s="64">
        <f t="shared" si="87"/>
        <v>204.89042837109082</v>
      </c>
      <c r="L350" s="22">
        <f t="shared" si="53"/>
        <v>104.72557704663159</v>
      </c>
      <c r="M350" s="22">
        <f t="shared" si="54"/>
        <v>160.43790162542663</v>
      </c>
    </row>
    <row r="351" spans="1:13" x14ac:dyDescent="0.15">
      <c r="A351" s="34">
        <v>44593</v>
      </c>
      <c r="B351" s="16" t="s">
        <v>1</v>
      </c>
      <c r="C351" s="23">
        <v>287</v>
      </c>
      <c r="D351" s="17">
        <f>SOJA!D351</f>
        <v>106.30710000000001</v>
      </c>
      <c r="E351" s="18">
        <f>SOJA!E351</f>
        <v>127.18784617909898</v>
      </c>
      <c r="F351" s="19">
        <f t="shared" si="83"/>
        <v>243.0916374554858</v>
      </c>
      <c r="G351" s="19">
        <f t="shared" si="85"/>
        <v>127.187846179099</v>
      </c>
      <c r="H351" s="19">
        <f t="shared" si="86"/>
        <v>239.88249362315082</v>
      </c>
      <c r="I351" s="20">
        <v>0.12</v>
      </c>
      <c r="J351" s="21">
        <f t="shared" si="84"/>
        <v>213.92064096082751</v>
      </c>
      <c r="K351" s="64">
        <f t="shared" si="87"/>
        <v>211.09659438837272</v>
      </c>
      <c r="L351" s="22">
        <f t="shared" ref="L351:M366" si="88">+L350</f>
        <v>104.72557704663159</v>
      </c>
      <c r="M351" s="22">
        <f t="shared" si="54"/>
        <v>160.43790162542663</v>
      </c>
    </row>
    <row r="352" spans="1:13" x14ac:dyDescent="0.15">
      <c r="A352" s="34">
        <v>44621</v>
      </c>
      <c r="B352" s="16" t="s">
        <v>2</v>
      </c>
      <c r="C352" s="23">
        <v>335</v>
      </c>
      <c r="D352" s="17">
        <f>SOJA!D352</f>
        <v>109.4585</v>
      </c>
      <c r="E352" s="18">
        <f>SOJA!E352</f>
        <v>135.70943187309862</v>
      </c>
      <c r="F352" s="19">
        <f t="shared" si="83"/>
        <v>273.81405144395302</v>
      </c>
      <c r="G352" s="19">
        <f t="shared" si="85"/>
        <v>135.70943187309865</v>
      </c>
      <c r="H352" s="19">
        <f t="shared" si="86"/>
        <v>270.19932950783158</v>
      </c>
      <c r="I352" s="20">
        <v>0.12</v>
      </c>
      <c r="J352" s="21">
        <f t="shared" si="84"/>
        <v>240.95636527067862</v>
      </c>
      <c r="K352" s="64">
        <f t="shared" si="87"/>
        <v>237.7754099668918</v>
      </c>
      <c r="L352" s="22">
        <f t="shared" si="88"/>
        <v>104.72557704663159</v>
      </c>
      <c r="M352" s="22">
        <f t="shared" si="54"/>
        <v>160.43790162542663</v>
      </c>
    </row>
    <row r="353" spans="1:13" x14ac:dyDescent="0.15">
      <c r="A353" s="34">
        <v>44652</v>
      </c>
      <c r="B353" s="16" t="s">
        <v>3</v>
      </c>
      <c r="C353" s="23">
        <v>316</v>
      </c>
      <c r="D353" s="17">
        <f>SOJA!D353</f>
        <v>113.33450000000001</v>
      </c>
      <c r="E353" s="18">
        <f>SOJA!E353</f>
        <v>143.85199778548454</v>
      </c>
      <c r="F353" s="19">
        <f t="shared" si="83"/>
        <v>252.29275673531922</v>
      </c>
      <c r="G353" s="19">
        <f t="shared" si="85"/>
        <v>143.85199778548457</v>
      </c>
      <c r="H353" s="19">
        <f t="shared" si="86"/>
        <v>248.96214547820341</v>
      </c>
      <c r="I353" s="20">
        <v>0.12</v>
      </c>
      <c r="J353" s="21">
        <f t="shared" si="84"/>
        <v>222.01762592708093</v>
      </c>
      <c r="K353" s="64">
        <f t="shared" si="87"/>
        <v>219.086688020819</v>
      </c>
      <c r="L353" s="22">
        <f t="shared" si="88"/>
        <v>104.72557704663159</v>
      </c>
      <c r="M353" s="22">
        <f t="shared" si="54"/>
        <v>160.43790162542663</v>
      </c>
    </row>
    <row r="354" spans="1:13" x14ac:dyDescent="0.15">
      <c r="A354" s="34">
        <v>44682</v>
      </c>
      <c r="B354" s="16" t="s">
        <v>2</v>
      </c>
      <c r="C354" s="23">
        <v>314</v>
      </c>
      <c r="D354" s="17">
        <f>SOJA!D354</f>
        <v>117.77370000000001</v>
      </c>
      <c r="E354" s="18">
        <f>SOJA!E354</f>
        <v>151.18844967254424</v>
      </c>
      <c r="F354" s="19">
        <f t="shared" si="83"/>
        <v>247.87391019695758</v>
      </c>
      <c r="G354" s="19">
        <f t="shared" si="85"/>
        <v>151.18844967254427</v>
      </c>
      <c r="H354" s="19">
        <f t="shared" si="86"/>
        <v>244.60163378946083</v>
      </c>
      <c r="I354" s="20">
        <v>0.12</v>
      </c>
      <c r="J354" s="21">
        <f t="shared" si="84"/>
        <v>218.12904097332267</v>
      </c>
      <c r="K354" s="64">
        <f t="shared" si="87"/>
        <v>215.24943773472555</v>
      </c>
      <c r="L354" s="22">
        <f t="shared" si="88"/>
        <v>104.72557704663159</v>
      </c>
      <c r="M354" s="22">
        <f t="shared" si="88"/>
        <v>160.43790162542663</v>
      </c>
    </row>
    <row r="355" spans="1:13" x14ac:dyDescent="0.15">
      <c r="A355" s="34">
        <v>44713</v>
      </c>
      <c r="B355" s="16" t="s">
        <v>4</v>
      </c>
      <c r="C355" s="23">
        <v>298</v>
      </c>
      <c r="D355" s="17">
        <f>SOJA!D355</f>
        <v>122.73569999999999</v>
      </c>
      <c r="E355" s="18">
        <f>SOJA!E355</f>
        <v>159.20143750518906</v>
      </c>
      <c r="F355" s="19">
        <f t="shared" si="83"/>
        <v>232.81536955581728</v>
      </c>
      <c r="G355" s="19">
        <f t="shared" si="85"/>
        <v>159.20143750518909</v>
      </c>
      <c r="H355" s="19">
        <f t="shared" si="86"/>
        <v>229.74188658822786</v>
      </c>
      <c r="I355" s="20">
        <v>0.12</v>
      </c>
      <c r="J355" s="21">
        <f t="shared" si="84"/>
        <v>204.8775252091192</v>
      </c>
      <c r="K355" s="64">
        <f t="shared" si="87"/>
        <v>202.17286019764052</v>
      </c>
      <c r="L355" s="22">
        <f t="shared" si="88"/>
        <v>104.72557704663159</v>
      </c>
      <c r="M355" s="22">
        <f t="shared" si="88"/>
        <v>160.43790162542663</v>
      </c>
    </row>
    <row r="356" spans="1:13" x14ac:dyDescent="0.15">
      <c r="A356" s="34">
        <v>44743</v>
      </c>
      <c r="B356" s="16" t="s">
        <v>4</v>
      </c>
      <c r="C356" s="23">
        <v>270</v>
      </c>
      <c r="D356" s="17">
        <f>SOJA!D356</f>
        <v>128.44540000000001</v>
      </c>
      <c r="E356" s="18">
        <f>SOJA!E356</f>
        <v>170.98234388057307</v>
      </c>
      <c r="F356" s="19">
        <f t="shared" si="83"/>
        <v>205.5429180078911</v>
      </c>
      <c r="G356" s="19">
        <f t="shared" si="85"/>
        <v>170.9823438805731</v>
      </c>
      <c r="H356" s="19">
        <f t="shared" si="86"/>
        <v>202.82946889664407</v>
      </c>
      <c r="I356" s="20">
        <v>0.12</v>
      </c>
      <c r="J356" s="21">
        <f t="shared" si="84"/>
        <v>180.87776784694418</v>
      </c>
      <c r="K356" s="64">
        <f t="shared" si="87"/>
        <v>178.48993262904679</v>
      </c>
      <c r="L356" s="22">
        <f t="shared" si="88"/>
        <v>104.72557704663159</v>
      </c>
      <c r="M356" s="22">
        <f t="shared" si="88"/>
        <v>160.43790162542663</v>
      </c>
    </row>
    <row r="357" spans="1:13" x14ac:dyDescent="0.15">
      <c r="A357" s="34">
        <v>44774</v>
      </c>
      <c r="B357" s="16" t="s">
        <v>3</v>
      </c>
      <c r="C357" s="23">
        <v>280</v>
      </c>
      <c r="D357" s="17">
        <f>SOJA!D357</f>
        <v>135.2903</v>
      </c>
      <c r="E357" s="18">
        <f>SOJA!E357</f>
        <v>182.95110795221316</v>
      </c>
      <c r="F357" s="19">
        <f t="shared" si="83"/>
        <v>209.82687445263707</v>
      </c>
      <c r="G357" s="19">
        <f t="shared" si="85"/>
        <v>182.95110795221319</v>
      </c>
      <c r="H357" s="19">
        <f t="shared" si="86"/>
        <v>207.05687122646225</v>
      </c>
      <c r="I357" s="20">
        <v>0.12</v>
      </c>
      <c r="J357" s="21">
        <f t="shared" si="84"/>
        <v>184.64764951832063</v>
      </c>
      <c r="K357" s="64">
        <f t="shared" si="87"/>
        <v>182.21004667928679</v>
      </c>
      <c r="L357" s="22">
        <f t="shared" si="88"/>
        <v>104.72557704663159</v>
      </c>
      <c r="M357" s="22">
        <f t="shared" si="88"/>
        <v>160.43790162542663</v>
      </c>
    </row>
    <row r="358" spans="1:13" x14ac:dyDescent="0.15">
      <c r="A358" s="34">
        <v>44805</v>
      </c>
      <c r="B358" t="s">
        <v>5</v>
      </c>
      <c r="C358" s="23">
        <v>294</v>
      </c>
      <c r="D358" s="17">
        <f>SOJA!D358</f>
        <v>200</v>
      </c>
      <c r="E358" s="18">
        <f>SOJA!E358</f>
        <v>194.29407664525039</v>
      </c>
      <c r="F358" s="19">
        <f t="shared" si="83"/>
        <v>306.68266581946972</v>
      </c>
      <c r="G358" s="19">
        <f t="shared" si="85"/>
        <v>194.29407664525041</v>
      </c>
      <c r="H358" s="19">
        <f t="shared" si="86"/>
        <v>302.63403298371929</v>
      </c>
      <c r="I358" s="20">
        <v>0.12</v>
      </c>
      <c r="J358" s="21">
        <f t="shared" si="84"/>
        <v>269.88074592113338</v>
      </c>
      <c r="K358" s="64">
        <f t="shared" si="87"/>
        <v>266.31794902567299</v>
      </c>
      <c r="L358" s="22">
        <f t="shared" si="88"/>
        <v>104.72557704663159</v>
      </c>
      <c r="M358" s="22">
        <f t="shared" si="88"/>
        <v>160.43790162542663</v>
      </c>
    </row>
    <row r="359" spans="1:13" x14ac:dyDescent="0.15">
      <c r="A359" s="34">
        <v>44835</v>
      </c>
      <c r="B359" t="s">
        <v>6</v>
      </c>
      <c r="C359" s="23">
        <v>308</v>
      </c>
      <c r="D359" s="17">
        <f>SOJA!D359</f>
        <v>152.59289999999999</v>
      </c>
      <c r="E359" s="18">
        <f>SOJA!E359</f>
        <v>206.53460347390114</v>
      </c>
      <c r="F359" s="19">
        <f t="shared" si="83"/>
        <v>230.60232537219969</v>
      </c>
      <c r="G359" s="19">
        <f t="shared" si="85"/>
        <v>206.53460347390117</v>
      </c>
      <c r="H359" s="19">
        <f t="shared" si="86"/>
        <v>227.55805763046865</v>
      </c>
      <c r="I359" s="20">
        <v>0.12</v>
      </c>
      <c r="J359" s="21">
        <f t="shared" si="84"/>
        <v>202.93004632753573</v>
      </c>
      <c r="K359" s="64">
        <f t="shared" si="87"/>
        <v>200.25109071481242</v>
      </c>
      <c r="L359" s="22">
        <f t="shared" si="88"/>
        <v>104.72557704663159</v>
      </c>
      <c r="M359" s="22">
        <f t="shared" si="88"/>
        <v>160.43790162542663</v>
      </c>
    </row>
    <row r="360" spans="1:13" x14ac:dyDescent="0.15">
      <c r="A360" s="34">
        <v>44866</v>
      </c>
      <c r="B360" t="s">
        <v>7</v>
      </c>
      <c r="C360" s="23">
        <v>300</v>
      </c>
      <c r="D360" s="17">
        <f>SOJA!D360</f>
        <v>162.1183</v>
      </c>
      <c r="E360" s="18">
        <f>SOJA!E360</f>
        <v>216.65479904412229</v>
      </c>
      <c r="F360" s="19">
        <f t="shared" si="83"/>
        <v>227.48692831984462</v>
      </c>
      <c r="G360" s="19">
        <f t="shared" si="85"/>
        <v>216.65479904412231</v>
      </c>
      <c r="H360" s="19">
        <f t="shared" si="86"/>
        <v>224.48378810245165</v>
      </c>
      <c r="I360" s="20">
        <v>0.12</v>
      </c>
      <c r="J360" s="21">
        <f t="shared" si="84"/>
        <v>200.18849692146324</v>
      </c>
      <c r="K360" s="64">
        <f t="shared" si="87"/>
        <v>197.54573353015746</v>
      </c>
      <c r="L360" s="22">
        <f t="shared" si="88"/>
        <v>104.72557704663159</v>
      </c>
      <c r="M360" s="22">
        <f t="shared" si="88"/>
        <v>160.43790162542663</v>
      </c>
    </row>
    <row r="361" spans="1:13" x14ac:dyDescent="0.15">
      <c r="A361" s="34">
        <v>44896</v>
      </c>
      <c r="B361" t="s">
        <v>74</v>
      </c>
      <c r="C361" s="23">
        <v>311</v>
      </c>
      <c r="D361" s="17">
        <f>SOJA!D361</f>
        <v>230</v>
      </c>
      <c r="E361" s="18">
        <f>SOJA!E361</f>
        <v>227.7041937953725</v>
      </c>
      <c r="F361" s="19">
        <f t="shared" si="83"/>
        <v>318.33812934726507</v>
      </c>
      <c r="G361" s="19">
        <f t="shared" si="85"/>
        <v>227.70419379537253</v>
      </c>
      <c r="H361" s="19">
        <f t="shared" si="86"/>
        <v>314.1356283682714</v>
      </c>
      <c r="I361" s="20">
        <v>0.12</v>
      </c>
      <c r="J361" s="21">
        <f t="shared" si="84"/>
        <v>280.13755382559327</v>
      </c>
      <c r="K361" s="64">
        <f t="shared" si="87"/>
        <v>276.43935296407881</v>
      </c>
      <c r="L361" s="22">
        <f t="shared" si="88"/>
        <v>104.72557704663159</v>
      </c>
      <c r="M361" s="22">
        <f t="shared" si="88"/>
        <v>160.43790162542663</v>
      </c>
    </row>
    <row r="362" spans="1:13" x14ac:dyDescent="0.15">
      <c r="A362" s="34">
        <v>44927</v>
      </c>
      <c r="B362" s="16" t="s">
        <v>71</v>
      </c>
      <c r="C362" s="23">
        <v>310</v>
      </c>
      <c r="D362" s="17">
        <f>SOJA!D362</f>
        <v>182.2441</v>
      </c>
      <c r="E362" s="18">
        <f>SOJA!E362</f>
        <v>241.36644542309489</v>
      </c>
      <c r="F362" s="19">
        <f t="shared" si="83"/>
        <v>237.19729975229461</v>
      </c>
      <c r="G362" s="19">
        <f t="shared" si="85"/>
        <v>241.36644542309492</v>
      </c>
      <c r="H362" s="19">
        <f t="shared" si="86"/>
        <v>234.06596928155395</v>
      </c>
      <c r="I362" s="20">
        <v>0.12</v>
      </c>
      <c r="J362" s="21">
        <f t="shared" si="84"/>
        <v>208.73362378201927</v>
      </c>
      <c r="K362" s="64">
        <f t="shared" si="87"/>
        <v>205.97805296776747</v>
      </c>
      <c r="L362" s="22">
        <f t="shared" si="88"/>
        <v>104.72557704663159</v>
      </c>
      <c r="M362" s="22">
        <f t="shared" si="88"/>
        <v>160.43790162542663</v>
      </c>
    </row>
    <row r="363" spans="1:13" x14ac:dyDescent="0.15">
      <c r="A363" s="34">
        <v>44958</v>
      </c>
      <c r="B363" s="16" t="s">
        <v>1</v>
      </c>
      <c r="C363" s="23">
        <v>312</v>
      </c>
      <c r="D363" s="17">
        <f>SOJA!D363</f>
        <v>191.89240000000001</v>
      </c>
      <c r="E363" s="18">
        <f>SOJA!E363</f>
        <v>257.29663082101916</v>
      </c>
      <c r="F363" s="19">
        <f t="shared" si="83"/>
        <v>235.80322121898445</v>
      </c>
      <c r="G363" s="19">
        <f t="shared" si="85"/>
        <v>257.29663082101922</v>
      </c>
      <c r="H363" s="19">
        <f t="shared" si="86"/>
        <v>232.69029450155176</v>
      </c>
      <c r="I363" s="20">
        <v>0.12</v>
      </c>
      <c r="J363" s="21">
        <f t="shared" si="84"/>
        <v>207.5068346727063</v>
      </c>
      <c r="K363" s="64">
        <f t="shared" si="87"/>
        <v>204.76745916136557</v>
      </c>
      <c r="L363" s="22">
        <f t="shared" si="88"/>
        <v>104.72557704663159</v>
      </c>
      <c r="M363" s="22">
        <f t="shared" si="88"/>
        <v>160.43790162542663</v>
      </c>
    </row>
    <row r="364" spans="1:13" x14ac:dyDescent="0.15">
      <c r="A364" s="34">
        <v>44986</v>
      </c>
      <c r="B364" s="16" t="s">
        <v>2</v>
      </c>
      <c r="C364" s="23">
        <v>298</v>
      </c>
      <c r="D364" s="17">
        <f>SOJA!D364</f>
        <v>203.10550000000001</v>
      </c>
      <c r="E364" s="18">
        <f>SOJA!E364</f>
        <v>277.10847139423765</v>
      </c>
      <c r="F364" s="19">
        <f t="shared" si="83"/>
        <v>221.33984920368636</v>
      </c>
      <c r="G364" s="19">
        <f t="shared" si="85"/>
        <v>277.10847139423771</v>
      </c>
      <c r="H364" s="19">
        <f t="shared" si="86"/>
        <v>218.41785888202401</v>
      </c>
      <c r="I364" s="20">
        <v>0.12</v>
      </c>
      <c r="J364" s="21">
        <f t="shared" si="84"/>
        <v>194.77906729924399</v>
      </c>
      <c r="K364" s="64">
        <f t="shared" si="87"/>
        <v>192.20771581618112</v>
      </c>
      <c r="L364" s="22">
        <f t="shared" si="88"/>
        <v>104.72557704663159</v>
      </c>
      <c r="M364" s="22">
        <f t="shared" si="88"/>
        <v>160.43790162542663</v>
      </c>
    </row>
    <row r="365" spans="1:13" x14ac:dyDescent="0.15">
      <c r="A365" s="34">
        <v>45017</v>
      </c>
      <c r="B365" s="16" t="s">
        <v>3</v>
      </c>
      <c r="C365" s="23">
        <v>281</v>
      </c>
      <c r="D365" s="17">
        <f>SOJA!D365</f>
        <v>300</v>
      </c>
      <c r="E365" s="18">
        <f>SOJA!E365</f>
        <v>300.3855829913536</v>
      </c>
      <c r="F365" s="19">
        <f t="shared" si="83"/>
        <v>284.3936885544814</v>
      </c>
      <c r="G365" s="19">
        <f t="shared" si="85"/>
        <v>300.38558299135366</v>
      </c>
      <c r="H365" s="19">
        <f t="shared" si="86"/>
        <v>280.63930086293954</v>
      </c>
      <c r="I365" s="20">
        <v>0.12</v>
      </c>
      <c r="J365" s="21">
        <f t="shared" si="84"/>
        <v>250.26644592794364</v>
      </c>
      <c r="K365" s="64">
        <f t="shared" si="87"/>
        <v>246.9625847593868</v>
      </c>
      <c r="L365" s="22">
        <f t="shared" si="88"/>
        <v>104.72557704663159</v>
      </c>
      <c r="M365" s="22">
        <f t="shared" si="88"/>
        <v>160.43790162542663</v>
      </c>
    </row>
    <row r="366" spans="1:13" x14ac:dyDescent="0.15">
      <c r="A366" s="34">
        <v>45047</v>
      </c>
      <c r="B366" s="16" t="s">
        <v>2</v>
      </c>
      <c r="C366" s="23">
        <v>253</v>
      </c>
      <c r="D366" s="17">
        <f>SOJA!D366</f>
        <v>300</v>
      </c>
      <c r="E366" s="18">
        <f>SOJA!E366</f>
        <v>323.81565846467925</v>
      </c>
      <c r="F366" s="19">
        <f t="shared" si="83"/>
        <v>237.52831856899817</v>
      </c>
      <c r="G366" s="19">
        <f t="shared" si="85"/>
        <v>323.8156584646793</v>
      </c>
      <c r="H366" s="19">
        <f t="shared" si="86"/>
        <v>234.39261819477119</v>
      </c>
      <c r="I366" s="20">
        <v>0.12</v>
      </c>
      <c r="J366" s="21">
        <f t="shared" si="84"/>
        <v>209.02492034071841</v>
      </c>
      <c r="K366" s="64">
        <f t="shared" si="87"/>
        <v>206.26550401139863</v>
      </c>
      <c r="L366" s="22">
        <f t="shared" si="88"/>
        <v>104.72557704663159</v>
      </c>
      <c r="M366" s="22">
        <f t="shared" si="88"/>
        <v>160.43790162542663</v>
      </c>
    </row>
    <row r="367" spans="1:13" x14ac:dyDescent="0.15">
      <c r="A367" s="34">
        <v>45078</v>
      </c>
      <c r="B367" s="16" t="s">
        <v>4</v>
      </c>
      <c r="C367" s="23">
        <v>237</v>
      </c>
      <c r="D367" s="17">
        <f>SOJA!D367</f>
        <v>266.46469999999999</v>
      </c>
      <c r="E367" s="18">
        <f>SOJA!E367</f>
        <v>343.24459797255997</v>
      </c>
      <c r="F367" s="19">
        <f t="shared" si="83"/>
        <v>186.44716458238534</v>
      </c>
      <c r="G367" s="19">
        <f t="shared" si="85"/>
        <v>343.24459797256003</v>
      </c>
      <c r="H367" s="19">
        <f t="shared" si="86"/>
        <v>183.98580567041748</v>
      </c>
      <c r="I367" s="20">
        <v>0.12</v>
      </c>
      <c r="J367" s="21">
        <f t="shared" si="84"/>
        <v>164.07350483249911</v>
      </c>
      <c r="K367" s="64">
        <f t="shared" si="87"/>
        <v>161.90750898996737</v>
      </c>
      <c r="L367" s="22">
        <f t="shared" ref="L367:M382" si="89">+L366</f>
        <v>104.72557704663159</v>
      </c>
      <c r="M367" s="22">
        <f t="shared" si="89"/>
        <v>160.43790162542663</v>
      </c>
    </row>
    <row r="368" spans="1:13" x14ac:dyDescent="0.15">
      <c r="A368" s="34">
        <v>45108</v>
      </c>
      <c r="B368" s="16" t="s">
        <v>4</v>
      </c>
      <c r="C368" s="23">
        <v>228</v>
      </c>
      <c r="D368" s="17">
        <f>SOJA!D368</f>
        <v>340</v>
      </c>
      <c r="E368" s="18">
        <f>SOJA!E368</f>
        <v>364.8690076448313</v>
      </c>
      <c r="F368" s="19">
        <f t="shared" si="83"/>
        <v>215.30209353860323</v>
      </c>
      <c r="G368" s="19">
        <f t="shared" si="85"/>
        <v>364.86900764483136</v>
      </c>
      <c r="H368" s="19">
        <f t="shared" si="86"/>
        <v>212.45980989281244</v>
      </c>
      <c r="I368" s="20">
        <v>0.12</v>
      </c>
      <c r="J368" s="21">
        <f t="shared" si="84"/>
        <v>189.46584231397085</v>
      </c>
      <c r="K368" s="64">
        <f t="shared" si="87"/>
        <v>186.96463270567494</v>
      </c>
      <c r="L368" s="22">
        <f t="shared" si="89"/>
        <v>104.72557704663159</v>
      </c>
      <c r="M368" s="22">
        <f t="shared" si="89"/>
        <v>160.43790162542663</v>
      </c>
    </row>
    <row r="369" spans="1:13" x14ac:dyDescent="0.15">
      <c r="A369" s="34">
        <v>45139</v>
      </c>
      <c r="B369" s="16" t="s">
        <v>3</v>
      </c>
      <c r="C369" s="23">
        <v>219</v>
      </c>
      <c r="D369" s="17">
        <f>SOJA!D369</f>
        <v>340</v>
      </c>
      <c r="E369" s="18">
        <f>SOJA!E369</f>
        <v>410.11276459279043</v>
      </c>
      <c r="F369" s="19">
        <f t="shared" si="83"/>
        <v>183.9887248117395</v>
      </c>
      <c r="G369" s="19">
        <f t="shared" si="85"/>
        <v>410.11276459279048</v>
      </c>
      <c r="H369" s="19">
        <f t="shared" si="86"/>
        <v>181.5598206847643</v>
      </c>
      <c r="I369" s="20">
        <v>0.12</v>
      </c>
      <c r="J369" s="21">
        <f t="shared" si="84"/>
        <v>161.91007783433076</v>
      </c>
      <c r="K369" s="64">
        <f t="shared" si="87"/>
        <v>159.77264220259258</v>
      </c>
      <c r="L369" s="22">
        <f t="shared" si="89"/>
        <v>104.72557704663159</v>
      </c>
      <c r="M369" s="22">
        <f t="shared" si="89"/>
        <v>160.43790162542663</v>
      </c>
    </row>
    <row r="370" spans="1:13" x14ac:dyDescent="0.15">
      <c r="A370" s="34">
        <v>45170</v>
      </c>
      <c r="B370" t="s">
        <v>5</v>
      </c>
      <c r="C370" s="23">
        <v>236</v>
      </c>
      <c r="D370" s="17">
        <f>SOJA!D370</f>
        <v>451.97881124999992</v>
      </c>
      <c r="E370" s="18">
        <f>SOJA!E370</f>
        <v>462.19708569607479</v>
      </c>
      <c r="F370" s="19">
        <f t="shared" si="83"/>
        <v>233.86990542756664</v>
      </c>
      <c r="G370" s="19">
        <f t="shared" si="85"/>
        <v>462.19708569607485</v>
      </c>
      <c r="H370" s="19">
        <f t="shared" si="86"/>
        <v>230.78250113662679</v>
      </c>
      <c r="I370" s="20">
        <v>0.12</v>
      </c>
      <c r="J370" s="21">
        <f t="shared" si="84"/>
        <v>205.80551677625866</v>
      </c>
      <c r="K370" s="64">
        <f t="shared" si="87"/>
        <v>203.08860100023159</v>
      </c>
      <c r="L370" s="22">
        <f t="shared" si="89"/>
        <v>104.72557704663159</v>
      </c>
      <c r="M370" s="22">
        <f t="shared" si="89"/>
        <v>160.43790162542663</v>
      </c>
    </row>
    <row r="371" spans="1:13" x14ac:dyDescent="0.15">
      <c r="A371" s="34">
        <v>45200</v>
      </c>
      <c r="B371" t="s">
        <v>6</v>
      </c>
      <c r="C371" s="23">
        <v>245</v>
      </c>
      <c r="D371" s="17">
        <f>SOJA!D371</f>
        <v>496.54014022727279</v>
      </c>
      <c r="E371" s="18">
        <f>SOJA!E371</f>
        <v>500.55944380884898</v>
      </c>
      <c r="F371" s="19">
        <f t="shared" si="83"/>
        <v>246.28403019075992</v>
      </c>
      <c r="G371" s="19">
        <f t="shared" si="85"/>
        <v>500.55944380884904</v>
      </c>
      <c r="H371" s="19">
        <f t="shared" si="86"/>
        <v>243.03274238521362</v>
      </c>
      <c r="I371" s="20">
        <v>0.12</v>
      </c>
      <c r="J371" s="21">
        <f t="shared" si="84"/>
        <v>216.72994656786869</v>
      </c>
      <c r="K371" s="64">
        <f t="shared" si="87"/>
        <v>213.86881329898799</v>
      </c>
      <c r="L371" s="22">
        <f t="shared" si="89"/>
        <v>104.72557704663159</v>
      </c>
      <c r="M371" s="22">
        <f t="shared" si="89"/>
        <v>160.43790162542663</v>
      </c>
    </row>
    <row r="372" spans="1:13" x14ac:dyDescent="0.15">
      <c r="A372" s="34">
        <v>45231</v>
      </c>
      <c r="B372" t="s">
        <v>7</v>
      </c>
      <c r="C372" s="23">
        <v>213</v>
      </c>
      <c r="D372" s="17">
        <f>SOJA!D372</f>
        <v>551.27921761904781</v>
      </c>
      <c r="E372" s="18">
        <f>SOJA!E372</f>
        <v>564.63105261638168</v>
      </c>
      <c r="F372" s="19">
        <f t="shared" si="83"/>
        <v>210.74531521081093</v>
      </c>
      <c r="G372" s="19">
        <f t="shared" si="85"/>
        <v>564.63105261638179</v>
      </c>
      <c r="H372" s="19">
        <f t="shared" si="86"/>
        <v>207.96318730389709</v>
      </c>
      <c r="I372" s="20">
        <v>0.12</v>
      </c>
      <c r="J372" s="21">
        <f t="shared" si="84"/>
        <v>185.45587738551362</v>
      </c>
      <c r="K372" s="64">
        <f t="shared" si="87"/>
        <v>183.00760482742945</v>
      </c>
      <c r="L372" s="22">
        <f t="shared" si="89"/>
        <v>104.72557704663159</v>
      </c>
      <c r="M372" s="22">
        <f t="shared" si="89"/>
        <v>160.43790162542663</v>
      </c>
    </row>
    <row r="373" spans="1:13" x14ac:dyDescent="0.15">
      <c r="A373" s="34">
        <v>45261</v>
      </c>
      <c r="B373" t="s">
        <v>75</v>
      </c>
      <c r="C373" s="23">
        <v>216</v>
      </c>
      <c r="D373" s="17">
        <f>SOJA!D373</f>
        <v>769.27910157894735</v>
      </c>
      <c r="E373" s="18">
        <f>SOJA!E373</f>
        <v>708.61197103355903</v>
      </c>
      <c r="F373" s="19">
        <f t="shared" si="83"/>
        <v>237.62967005211729</v>
      </c>
      <c r="G373" s="19">
        <f t="shared" si="85"/>
        <v>708.61197103355914</v>
      </c>
      <c r="H373" s="19">
        <f t="shared" si="86"/>
        <v>234.49263169896867</v>
      </c>
      <c r="I373" s="20">
        <v>0.12</v>
      </c>
      <c r="J373" s="21">
        <f t="shared" si="84"/>
        <v>209.11410964586321</v>
      </c>
      <c r="K373" s="64">
        <f t="shared" si="87"/>
        <v>206.35351589509241</v>
      </c>
      <c r="L373" s="22">
        <f t="shared" si="89"/>
        <v>104.72557704663159</v>
      </c>
      <c r="M373" s="22">
        <f t="shared" si="89"/>
        <v>160.43790162542663</v>
      </c>
    </row>
    <row r="374" spans="1:13" x14ac:dyDescent="0.15">
      <c r="A374" s="34">
        <v>45292</v>
      </c>
      <c r="B374" s="16" t="s">
        <v>72</v>
      </c>
      <c r="C374" s="23">
        <v>208</v>
      </c>
      <c r="D374" s="17">
        <f>SOJA!D374</f>
        <v>896.13454545454545</v>
      </c>
      <c r="E374" s="18">
        <f>SOJA!E374</f>
        <v>854.58603706647216</v>
      </c>
      <c r="F374" s="19">
        <f t="shared" si="83"/>
        <v>221.03051011480792</v>
      </c>
      <c r="G374" s="19">
        <f t="shared" si="85"/>
        <v>854.58603706647227</v>
      </c>
      <c r="H374" s="19">
        <f t="shared" si="86"/>
        <v>218.11260349441798</v>
      </c>
      <c r="I374" s="20">
        <v>0.12</v>
      </c>
      <c r="J374" s="21">
        <f t="shared" si="84"/>
        <v>194.50684890103096</v>
      </c>
      <c r="K374" s="64">
        <f t="shared" si="87"/>
        <v>191.93909107508782</v>
      </c>
      <c r="L374" s="22">
        <f t="shared" si="89"/>
        <v>104.72557704663159</v>
      </c>
      <c r="M374" s="22">
        <f t="shared" si="89"/>
        <v>160.43790162542663</v>
      </c>
    </row>
    <row r="375" spans="1:13" x14ac:dyDescent="0.15">
      <c r="A375" s="34">
        <v>45323</v>
      </c>
      <c r="B375" s="16" t="s">
        <v>1</v>
      </c>
      <c r="C375" s="23">
        <v>190</v>
      </c>
      <c r="D375" s="17">
        <f>SOJA!D375</f>
        <v>901.89291368421038</v>
      </c>
      <c r="E375" s="18">
        <f>SOJA!E375</f>
        <v>967.39139395924656</v>
      </c>
      <c r="F375" s="19">
        <f t="shared" si="83"/>
        <v>179.50552501631296</v>
      </c>
      <c r="G375" s="19">
        <f t="shared" si="85"/>
        <v>967.39139395924667</v>
      </c>
      <c r="H375" s="19">
        <f t="shared" si="86"/>
        <v>177.1358052904271</v>
      </c>
      <c r="I375" s="20">
        <v>0.12</v>
      </c>
      <c r="J375" s="21">
        <f t="shared" si="84"/>
        <v>157.96486201435542</v>
      </c>
      <c r="K375" s="64">
        <f t="shared" si="87"/>
        <v>155.87950865557585</v>
      </c>
      <c r="L375" s="22">
        <f t="shared" si="89"/>
        <v>104.72557704663159</v>
      </c>
      <c r="M375" s="22">
        <f t="shared" si="89"/>
        <v>160.43790162542663</v>
      </c>
    </row>
    <row r="376" spans="1:13" x14ac:dyDescent="0.15">
      <c r="A376" s="34">
        <v>45352</v>
      </c>
      <c r="B376" s="16" t="s">
        <v>2</v>
      </c>
      <c r="C376" s="23">
        <v>189</v>
      </c>
      <c r="D376" s="17">
        <f>SOJA!D376</f>
        <v>898.08868848484838</v>
      </c>
      <c r="E376" s="18">
        <f>SOJA!E376</f>
        <v>1073.8044472947638</v>
      </c>
      <c r="F376" s="19">
        <f t="shared" si="83"/>
        <v>160.18701055661074</v>
      </c>
      <c r="G376" s="19">
        <f t="shared" si="85"/>
        <v>1073.804447294764</v>
      </c>
      <c r="H376" s="19">
        <f t="shared" si="86"/>
        <v>158.07232178192154</v>
      </c>
      <c r="I376" s="20">
        <v>0.12</v>
      </c>
      <c r="J376" s="21">
        <f t="shared" si="84"/>
        <v>140.96456928981746</v>
      </c>
      <c r="K376" s="64">
        <f t="shared" si="87"/>
        <v>139.10364316809097</v>
      </c>
      <c r="L376" s="22">
        <f t="shared" si="89"/>
        <v>104.72557704663159</v>
      </c>
      <c r="M376" s="22">
        <f t="shared" si="89"/>
        <v>160.43790162542663</v>
      </c>
    </row>
    <row r="377" spans="1:13" x14ac:dyDescent="0.15">
      <c r="A377" s="34">
        <v>45383</v>
      </c>
      <c r="B377" s="16" t="s">
        <v>3</v>
      </c>
      <c r="C377" s="23">
        <v>194</v>
      </c>
      <c r="D377" s="17">
        <f>SOJA!D377</f>
        <v>906.32509440000013</v>
      </c>
      <c r="E377" s="18">
        <f>SOJA!E377</f>
        <v>1168.299238656703</v>
      </c>
      <c r="F377" s="19">
        <f t="shared" si="83"/>
        <v>152.51168012727149</v>
      </c>
      <c r="G377" s="19">
        <f t="shared" si="85"/>
        <v>1168.2992386567032</v>
      </c>
      <c r="H377" s="19">
        <f t="shared" si="86"/>
        <v>150.49831626678449</v>
      </c>
      <c r="I377" s="20">
        <v>0.12</v>
      </c>
      <c r="J377" s="21">
        <f t="shared" si="84"/>
        <v>134.21027851199892</v>
      </c>
      <c r="K377" s="64">
        <f t="shared" si="87"/>
        <v>132.43851831477033</v>
      </c>
      <c r="L377" s="22">
        <f t="shared" si="89"/>
        <v>104.72557704663159</v>
      </c>
      <c r="M377" s="22">
        <f t="shared" si="89"/>
        <v>160.43790162542663</v>
      </c>
    </row>
    <row r="378" spans="1:13" x14ac:dyDescent="0.15">
      <c r="A378" s="34">
        <v>45413</v>
      </c>
      <c r="B378" s="16" t="s">
        <v>2</v>
      </c>
      <c r="C378" s="23">
        <v>197</v>
      </c>
      <c r="D378" s="17">
        <f>SOJA!D378</f>
        <v>939.59747826086971</v>
      </c>
      <c r="E378" s="18">
        <f>SOJA!E378</f>
        <v>1217.3678066802847</v>
      </c>
      <c r="F378" s="19">
        <f t="shared" ref="F378:F409" si="90">+(C378*(D378/E378))/(AVERAGE(C$109)*AVERAGE(D$109)/AVERAGE(E$109))*100</f>
        <v>154.08406249947518</v>
      </c>
      <c r="G378" s="19">
        <f t="shared" si="85"/>
        <v>1217.367806680285</v>
      </c>
      <c r="H378" s="19">
        <f t="shared" si="86"/>
        <v>152.04994102986328</v>
      </c>
      <c r="I378" s="20">
        <v>0.12</v>
      </c>
      <c r="J378" s="21">
        <f t="shared" ref="J378:J409" si="91">+F378*(1-I378)/(F$109*(1-I$109))*100</f>
        <v>135.59397499953815</v>
      </c>
      <c r="K378" s="64">
        <f t="shared" si="87"/>
        <v>133.80394810627968</v>
      </c>
      <c r="L378" s="22">
        <f t="shared" si="89"/>
        <v>104.72557704663159</v>
      </c>
      <c r="M378" s="22">
        <f t="shared" si="89"/>
        <v>160.43790162542663</v>
      </c>
    </row>
    <row r="379" spans="1:13" x14ac:dyDescent="0.15">
      <c r="A379" s="34">
        <v>45444</v>
      </c>
      <c r="B379" s="16" t="s">
        <v>4</v>
      </c>
      <c r="C379" s="23">
        <v>192</v>
      </c>
      <c r="D379" s="17">
        <f>SOJA!D379</f>
        <v>983.64050400000031</v>
      </c>
      <c r="E379" s="18">
        <f>SOJA!E379</f>
        <v>1273.3667257875779</v>
      </c>
      <c r="F379" s="19">
        <f t="shared" si="90"/>
        <v>150.29882986763315</v>
      </c>
      <c r="G379" s="19">
        <f t="shared" si="85"/>
        <v>1273.3667257875782</v>
      </c>
      <c r="H379" s="19">
        <f t="shared" si="86"/>
        <v>148.31467867294134</v>
      </c>
      <c r="I379" s="20">
        <v>0.12</v>
      </c>
      <c r="J379" s="21">
        <f t="shared" si="91"/>
        <v>132.26297028351718</v>
      </c>
      <c r="K379" s="64">
        <f t="shared" si="87"/>
        <v>130.51691723218838</v>
      </c>
      <c r="L379" s="22">
        <f t="shared" si="89"/>
        <v>104.72557704663159</v>
      </c>
      <c r="M379" s="22">
        <f t="shared" si="89"/>
        <v>160.43790162542663</v>
      </c>
    </row>
    <row r="380" spans="1:13" x14ac:dyDescent="0.15">
      <c r="A380" s="34">
        <v>45474</v>
      </c>
      <c r="B380" s="16" t="s">
        <v>4</v>
      </c>
      <c r="C380" s="23">
        <v>183</v>
      </c>
      <c r="D380" s="17">
        <f>SOJA!D380</f>
        <v>1009.0267600000002</v>
      </c>
      <c r="E380" s="18">
        <f>SOJA!E380</f>
        <v>1324.301394819081</v>
      </c>
      <c r="F380" s="19">
        <f t="shared" si="90"/>
        <v>141.29877661031779</v>
      </c>
      <c r="G380" s="19">
        <f t="shared" si="85"/>
        <v>1324.3013948190812</v>
      </c>
      <c r="H380" s="19">
        <f t="shared" si="86"/>
        <v>139.43343849247108</v>
      </c>
      <c r="I380" s="20">
        <v>0.12</v>
      </c>
      <c r="J380" s="21">
        <f t="shared" si="91"/>
        <v>124.34292341707966</v>
      </c>
      <c r="K380" s="64">
        <f t="shared" si="87"/>
        <v>122.70142587337456</v>
      </c>
      <c r="L380" s="22">
        <f t="shared" si="89"/>
        <v>104.72557704663159</v>
      </c>
      <c r="M380" s="22">
        <f t="shared" si="89"/>
        <v>160.43790162542663</v>
      </c>
    </row>
    <row r="381" spans="1:13" x14ac:dyDescent="0.15">
      <c r="A381" s="34">
        <v>45505</v>
      </c>
      <c r="B381" s="16" t="s">
        <v>3</v>
      </c>
      <c r="C381" s="23">
        <v>185</v>
      </c>
      <c r="D381" s="17">
        <f>SOJA!D381</f>
        <v>1013.6240836363636</v>
      </c>
      <c r="E381" s="18">
        <f>SOJA!E381</f>
        <v>1379.9220534014826</v>
      </c>
      <c r="F381" s="19">
        <f t="shared" si="90"/>
        <v>137.71002528724466</v>
      </c>
      <c r="G381" s="19">
        <f t="shared" si="85"/>
        <v>1379.9220534014828</v>
      </c>
      <c r="H381" s="19">
        <f t="shared" si="86"/>
        <v>135.89206362090727</v>
      </c>
      <c r="I381" s="20">
        <v>0.12</v>
      </c>
      <c r="J381" s="21">
        <f t="shared" si="91"/>
        <v>121.18482225277532</v>
      </c>
      <c r="K381" s="64">
        <f t="shared" si="87"/>
        <v>119.58501598639839</v>
      </c>
      <c r="L381" s="22">
        <f t="shared" si="89"/>
        <v>104.72557704663159</v>
      </c>
      <c r="M381" s="22">
        <f t="shared" si="89"/>
        <v>160.43790162542663</v>
      </c>
    </row>
    <row r="382" spans="1:13" x14ac:dyDescent="0.15">
      <c r="A382" s="34">
        <v>45536</v>
      </c>
      <c r="B382" t="s">
        <v>5</v>
      </c>
      <c r="C382" s="23">
        <v>194</v>
      </c>
      <c r="D382" s="17">
        <f>SOJA!D382</f>
        <v>1019.0886095238096</v>
      </c>
      <c r="E382" s="18">
        <f>SOJA!E382</f>
        <v>1428.2193252705342</v>
      </c>
      <c r="F382" s="19">
        <f t="shared" si="90"/>
        <v>140.27821676072443</v>
      </c>
      <c r="G382" s="19">
        <f t="shared" si="85"/>
        <v>1428.2193252705345</v>
      </c>
      <c r="H382" s="19">
        <f t="shared" si="86"/>
        <v>138.42635143602328</v>
      </c>
      <c r="I382" s="20">
        <v>0.12</v>
      </c>
      <c r="J382" s="21">
        <f t="shared" si="91"/>
        <v>123.4448307494375</v>
      </c>
      <c r="K382" s="64">
        <f t="shared" si="87"/>
        <v>121.81518926370049</v>
      </c>
      <c r="L382" s="22">
        <f t="shared" si="89"/>
        <v>104.72557704663159</v>
      </c>
      <c r="M382" s="22">
        <f t="shared" si="89"/>
        <v>160.43790162542663</v>
      </c>
    </row>
    <row r="383" spans="1:13" x14ac:dyDescent="0.15">
      <c r="A383" s="34">
        <v>45566</v>
      </c>
      <c r="B383" t="s">
        <v>6</v>
      </c>
      <c r="C383" s="23">
        <v>208</v>
      </c>
      <c r="D383" s="17">
        <f>SOJA!D383</f>
        <v>1023.4686330434783</v>
      </c>
      <c r="E383" s="18">
        <f>SOJA!E383</f>
        <v>1466.7812470528386</v>
      </c>
      <c r="F383" s="19">
        <f t="shared" si="90"/>
        <v>147.07673744109812</v>
      </c>
      <c r="G383" s="19">
        <f t="shared" si="85"/>
        <v>1466.7812470528388</v>
      </c>
      <c r="H383" s="19">
        <f t="shared" si="86"/>
        <v>145.13512229637522</v>
      </c>
      <c r="I383" s="20">
        <v>0.12</v>
      </c>
      <c r="J383" s="21">
        <f t="shared" si="91"/>
        <v>129.42752894816635</v>
      </c>
      <c r="K383" s="64">
        <f t="shared" si="87"/>
        <v>127.71890762081019</v>
      </c>
      <c r="L383" s="22">
        <f t="shared" ref="L383:M398" si="92">+L382</f>
        <v>104.72557704663159</v>
      </c>
      <c r="M383" s="22">
        <f t="shared" si="92"/>
        <v>160.43790162542663</v>
      </c>
    </row>
    <row r="384" spans="1:13" x14ac:dyDescent="0.15">
      <c r="A384" s="34">
        <v>45597</v>
      </c>
      <c r="B384" t="s">
        <v>7</v>
      </c>
      <c r="C384" s="23">
        <v>209</v>
      </c>
      <c r="D384" s="17">
        <f>SOJA!D384</f>
        <v>1028.9941640000002</v>
      </c>
      <c r="E384" s="18">
        <f>SOJA!E384</f>
        <v>1501.9839969821066</v>
      </c>
      <c r="F384" s="19">
        <f t="shared" si="90"/>
        <v>145.09931312071461</v>
      </c>
      <c r="G384" s="19">
        <f t="shared" si="85"/>
        <v>1501.9839969821069</v>
      </c>
      <c r="H384" s="19">
        <f t="shared" si="86"/>
        <v>143.18380269571011</v>
      </c>
      <c r="I384" s="20">
        <v>0.12</v>
      </c>
      <c r="J384" s="21">
        <f t="shared" si="91"/>
        <v>127.68739554622886</v>
      </c>
      <c r="K384" s="64">
        <f t="shared" si="87"/>
        <v>126.0017463722249</v>
      </c>
      <c r="L384" s="22">
        <f t="shared" si="92"/>
        <v>104.72557704663159</v>
      </c>
      <c r="M384" s="22">
        <f t="shared" si="92"/>
        <v>160.43790162542663</v>
      </c>
    </row>
    <row r="385" spans="1:13" x14ac:dyDescent="0.15">
      <c r="A385" s="34">
        <v>45627</v>
      </c>
      <c r="B385" t="s">
        <v>76</v>
      </c>
      <c r="C385" s="23">
        <v>209</v>
      </c>
      <c r="D385" s="17">
        <f>SOJA!D385</f>
        <v>1042.001268</v>
      </c>
      <c r="E385" s="18">
        <f>SOJA!E385</f>
        <v>1542.5375649006232</v>
      </c>
      <c r="F385" s="19">
        <f t="shared" si="90"/>
        <v>143.07055068198505</v>
      </c>
      <c r="G385" s="19">
        <f t="shared" si="85"/>
        <v>1542.5375649006235</v>
      </c>
      <c r="H385" s="19">
        <f t="shared" si="86"/>
        <v>141.1818227104441</v>
      </c>
      <c r="I385" s="20">
        <v>0.12</v>
      </c>
      <c r="J385" s="21">
        <f t="shared" si="91"/>
        <v>125.90208460014685</v>
      </c>
      <c r="K385" s="64">
        <f t="shared" si="87"/>
        <v>124.24000398519081</v>
      </c>
      <c r="L385" s="22">
        <f t="shared" si="92"/>
        <v>104.72557704663159</v>
      </c>
      <c r="M385" s="22">
        <f t="shared" si="92"/>
        <v>160.43790162542663</v>
      </c>
    </row>
    <row r="386" spans="1:13" x14ac:dyDescent="0.15">
      <c r="A386" s="34">
        <v>45658</v>
      </c>
      <c r="B386" s="16" t="s">
        <v>77</v>
      </c>
      <c r="C386" s="23">
        <v>224</v>
      </c>
      <c r="D386" s="17">
        <f>SOJA!D386</f>
        <v>1043.5644</v>
      </c>
      <c r="E386" s="18">
        <f>SOJA!E386</f>
        <v>1576.4733913284369</v>
      </c>
      <c r="F386" s="19">
        <f t="shared" si="90"/>
        <v>150.2630130389303</v>
      </c>
      <c r="G386" s="19">
        <f t="shared" si="85"/>
        <v>1576.4733913284372</v>
      </c>
      <c r="H386" s="19">
        <f t="shared" si="86"/>
        <v>148.27933467562062</v>
      </c>
      <c r="I386" s="20">
        <v>0.12</v>
      </c>
      <c r="J386" s="21">
        <f t="shared" si="91"/>
        <v>132.23145147425865</v>
      </c>
      <c r="K386" s="64">
        <f t="shared" si="87"/>
        <v>130.48581451454615</v>
      </c>
      <c r="L386" s="22">
        <f t="shared" si="92"/>
        <v>104.72557704663159</v>
      </c>
      <c r="M386" s="22">
        <f t="shared" si="92"/>
        <v>160.43790162542663</v>
      </c>
    </row>
    <row r="387" spans="1:13" x14ac:dyDescent="0.15">
      <c r="A387" s="34">
        <v>45689</v>
      </c>
      <c r="B387" s="16" t="s">
        <v>1</v>
      </c>
      <c r="C387" s="23">
        <v>228</v>
      </c>
      <c r="D387" s="17">
        <f>SOJA!D387</f>
        <v>1058.4625000000001</v>
      </c>
      <c r="E387" s="18">
        <f>SOJA!E387</f>
        <v>1614.3087527203195</v>
      </c>
      <c r="F387" s="19">
        <f t="shared" si="90"/>
        <v>151.49391389812851</v>
      </c>
      <c r="G387" s="19">
        <f t="shared" si="85"/>
        <v>1614.3087527203197</v>
      </c>
      <c r="H387" s="19">
        <f t="shared" si="86"/>
        <v>149.49398595115622</v>
      </c>
      <c r="I387" s="20">
        <v>9.5000000000000001E-2</v>
      </c>
      <c r="J387" s="21">
        <f t="shared" si="91"/>
        <v>137.1019920778063</v>
      </c>
      <c r="K387" s="64">
        <f t="shared" si="87"/>
        <v>135.29205728579637</v>
      </c>
      <c r="L387" s="22">
        <f t="shared" si="92"/>
        <v>104.72557704663159</v>
      </c>
      <c r="M387" s="22">
        <f t="shared" si="92"/>
        <v>160.43790162542663</v>
      </c>
    </row>
    <row r="388" spans="1:13" x14ac:dyDescent="0.15">
      <c r="A388" s="34">
        <v>45717</v>
      </c>
      <c r="B388" s="16" t="s">
        <v>2</v>
      </c>
      <c r="C388" s="23">
        <v>217</v>
      </c>
      <c r="D388" s="17">
        <f>SOJA!D388</f>
        <v>1069.0346999999999</v>
      </c>
      <c r="E388" s="18">
        <f>SOJA!E388</f>
        <v>1674.038176570971</v>
      </c>
      <c r="F388" s="19">
        <f t="shared" si="90"/>
        <v>140.42927138045292</v>
      </c>
      <c r="G388" s="19">
        <f t="shared" si="85"/>
        <v>1674.0381765709712</v>
      </c>
      <c r="H388" s="19">
        <f t="shared" si="86"/>
        <v>138.57541192709181</v>
      </c>
      <c r="I388" s="20">
        <v>9.5000000000000001E-2</v>
      </c>
      <c r="J388" s="21">
        <f t="shared" si="91"/>
        <v>127.08849059930989</v>
      </c>
      <c r="K388" s="64">
        <f t="shared" si="87"/>
        <v>125.41074779401809</v>
      </c>
      <c r="L388" s="22">
        <f t="shared" si="92"/>
        <v>104.72557704663159</v>
      </c>
      <c r="M388" s="22">
        <f t="shared" si="92"/>
        <v>160.43790162542663</v>
      </c>
    </row>
    <row r="389" spans="1:13" x14ac:dyDescent="0.15">
      <c r="A389" s="34">
        <v>45748</v>
      </c>
      <c r="B389" s="16" t="s">
        <v>3</v>
      </c>
      <c r="C389" s="23">
        <v>222</v>
      </c>
      <c r="D389" s="17">
        <f>SOJA!D389</f>
        <v>1121.568</v>
      </c>
      <c r="E389" s="18">
        <f>SOJA!E389</f>
        <v>1720.9112455149584</v>
      </c>
      <c r="F389" s="19">
        <f t="shared" si="90"/>
        <v>146.61944657537677</v>
      </c>
      <c r="G389" s="19">
        <f t="shared" si="85"/>
        <v>1720.9112455149586</v>
      </c>
      <c r="H389" s="19">
        <f t="shared" si="86"/>
        <v>144.6838682987941</v>
      </c>
      <c r="I389" s="20">
        <v>9.5000000000000001E-2</v>
      </c>
      <c r="J389" s="21">
        <f t="shared" si="91"/>
        <v>132.69059915071597</v>
      </c>
      <c r="K389" s="64">
        <f t="shared" si="87"/>
        <v>130.93890081040865</v>
      </c>
      <c r="L389" s="22">
        <f t="shared" si="92"/>
        <v>104.72557704663159</v>
      </c>
      <c r="M389" s="22">
        <f t="shared" si="92"/>
        <v>160.43790162542663</v>
      </c>
    </row>
    <row r="390" spans="1:13" x14ac:dyDescent="0.15">
      <c r="A390" s="34">
        <v>45778</v>
      </c>
      <c r="B390" s="16" t="s">
        <v>2</v>
      </c>
      <c r="C390" s="23">
        <v>205</v>
      </c>
      <c r="D390" s="17">
        <f>SOJA!D390</f>
        <v>1147.5291999999999</v>
      </c>
      <c r="E390" s="18">
        <f>SOJA!E390</f>
        <v>1746.7249141976827</v>
      </c>
      <c r="F390" s="19">
        <f t="shared" si="90"/>
        <v>136.47859908063583</v>
      </c>
      <c r="G390" s="19">
        <f t="shared" si="85"/>
        <v>1746.7249141976829</v>
      </c>
      <c r="H390" s="19">
        <f t="shared" si="86"/>
        <v>134.67689393326913</v>
      </c>
      <c r="I390" s="20">
        <v>9.5000000000000001E-2</v>
      </c>
      <c r="J390" s="21">
        <f t="shared" si="91"/>
        <v>123.51313216797544</v>
      </c>
      <c r="K390" s="64">
        <f t="shared" si="87"/>
        <v>121.88258900960857</v>
      </c>
      <c r="L390" s="22">
        <f t="shared" si="92"/>
        <v>104.72557704663159</v>
      </c>
      <c r="M390" s="22">
        <f t="shared" si="92"/>
        <v>160.43790162542663</v>
      </c>
    </row>
    <row r="391" spans="1:13" x14ac:dyDescent="0.15">
      <c r="A391" s="34">
        <v>45809</v>
      </c>
      <c r="B391" s="16" t="s">
        <v>4</v>
      </c>
      <c r="C391" s="23">
        <v>192</v>
      </c>
      <c r="D391" s="17">
        <f>SOJA!D391</f>
        <v>1181.3552999999999</v>
      </c>
      <c r="E391" s="18">
        <f>SOJA!E391</f>
        <v>1774.6725128248456</v>
      </c>
      <c r="F391" s="19">
        <f t="shared" si="90"/>
        <v>129.51945379756239</v>
      </c>
      <c r="G391" s="19">
        <f t="shared" si="85"/>
        <v>1774.6725128248459</v>
      </c>
      <c r="H391" s="19">
        <f t="shared" si="86"/>
        <v>127.80961893581002</v>
      </c>
      <c r="I391" s="20">
        <v>9.5000000000000001E-2</v>
      </c>
      <c r="J391" s="21">
        <f t="shared" si="91"/>
        <v>117.21510568679396</v>
      </c>
      <c r="K391" s="64">
        <f t="shared" si="87"/>
        <v>115.66770513690807</v>
      </c>
      <c r="L391" s="22">
        <f t="shared" si="92"/>
        <v>104.72557704663159</v>
      </c>
      <c r="M391" s="22">
        <f t="shared" si="92"/>
        <v>160.43790162542663</v>
      </c>
    </row>
    <row r="392" spans="1:13" x14ac:dyDescent="0.15">
      <c r="A392" s="34">
        <v>45839</v>
      </c>
      <c r="B392" s="16" t="s">
        <v>4</v>
      </c>
      <c r="C392" s="23">
        <v>197</v>
      </c>
      <c r="D392" s="17">
        <f>SOJA!D392</f>
        <v>1267.0227</v>
      </c>
      <c r="E392" s="18">
        <f>SOJA!E392</f>
        <v>1808.3912905685177</v>
      </c>
      <c r="F392" s="19">
        <f t="shared" si="90"/>
        <v>139.87164400207081</v>
      </c>
      <c r="G392" s="19">
        <f t="shared" si="85"/>
        <v>1808.3912905685179</v>
      </c>
      <c r="H392" s="19">
        <f t="shared" si="86"/>
        <v>138.02514599676613</v>
      </c>
      <c r="I392" s="20">
        <v>0.12</v>
      </c>
      <c r="J392" s="21">
        <f t="shared" si="91"/>
        <v>123.08704672182232</v>
      </c>
      <c r="K392" s="64">
        <f t="shared" si="87"/>
        <v>121.4621284771542</v>
      </c>
      <c r="L392" s="22">
        <f t="shared" si="92"/>
        <v>104.72557704663159</v>
      </c>
      <c r="M392" s="22">
        <f t="shared" si="92"/>
        <v>160.43790162542663</v>
      </c>
    </row>
    <row r="393" spans="1:13" x14ac:dyDescent="0.15">
      <c r="A393" s="34">
        <v>45870</v>
      </c>
      <c r="B393" s="16" t="s">
        <v>3</v>
      </c>
      <c r="C393" s="23">
        <v>200</v>
      </c>
      <c r="D393" s="17">
        <f>SOJA!D393</f>
        <v>1329.5374999999999</v>
      </c>
      <c r="E393" s="18">
        <f>SOJA!E393</f>
        <v>1842.7507250893193</v>
      </c>
      <c r="F393" s="19">
        <f t="shared" si="90"/>
        <v>146.22965670110605</v>
      </c>
      <c r="G393" s="19">
        <f t="shared" si="85"/>
        <v>1842.7507250893195</v>
      </c>
      <c r="H393" s="19">
        <f t="shared" si="86"/>
        <v>144.2992241867718</v>
      </c>
      <c r="I393" s="20">
        <v>9.5000000000000001E-2</v>
      </c>
      <c r="J393" s="21">
        <f t="shared" si="91"/>
        <v>132.33783931450097</v>
      </c>
      <c r="K393" s="64">
        <f t="shared" si="87"/>
        <v>130.59079788902847</v>
      </c>
      <c r="L393" s="22">
        <f t="shared" si="92"/>
        <v>104.72557704663159</v>
      </c>
      <c r="M393" s="22">
        <f t="shared" si="92"/>
        <v>160.43790162542663</v>
      </c>
    </row>
    <row r="394" spans="1:13" x14ac:dyDescent="0.15">
      <c r="A394" s="34">
        <v>45901</v>
      </c>
      <c r="B394" t="s">
        <v>5</v>
      </c>
      <c r="C394" s="23">
        <v>200</v>
      </c>
      <c r="D394" s="17">
        <f>SOJA!D394</f>
        <v>1399.8977</v>
      </c>
      <c r="E394" s="18">
        <f>SOJA!E394</f>
        <v>1881.4484903161949</v>
      </c>
      <c r="F394" s="19">
        <f t="shared" si="90"/>
        <v>150.80141863171414</v>
      </c>
      <c r="G394" s="19">
        <f t="shared" si="85"/>
        <v>1881.4484903161951</v>
      </c>
      <c r="H394" s="19">
        <f t="shared" si="86"/>
        <v>148.81063257434531</v>
      </c>
      <c r="I394" s="20">
        <v>0</v>
      </c>
      <c r="J394" s="21">
        <f t="shared" si="91"/>
        <v>150.80141863171414</v>
      </c>
      <c r="K394" s="64">
        <f t="shared" si="87"/>
        <v>148.81063257434531</v>
      </c>
      <c r="L394" s="22">
        <f t="shared" si="92"/>
        <v>104.72557704663159</v>
      </c>
      <c r="M394" s="22">
        <f t="shared" si="92"/>
        <v>160.43790162542663</v>
      </c>
    </row>
    <row r="395" spans="1:13" x14ac:dyDescent="0.15">
      <c r="A395" s="34">
        <v>45931</v>
      </c>
      <c r="B395" t="s">
        <v>6</v>
      </c>
      <c r="C395" s="23">
        <v>202</v>
      </c>
      <c r="D395" s="17">
        <f>SOJA!D395</f>
        <v>1432.0227</v>
      </c>
      <c r="E395" s="18">
        <f>SOJA!E395</f>
        <v>1922.8403571031513</v>
      </c>
      <c r="F395" s="19">
        <f t="shared" si="90"/>
        <v>152.45072968605317</v>
      </c>
      <c r="G395" s="19">
        <f t="shared" si="85"/>
        <v>1922.8403571031515</v>
      </c>
      <c r="H395" s="19">
        <f t="shared" si="86"/>
        <v>150.43817045518878</v>
      </c>
      <c r="I395" s="20">
        <v>9.5000000000000001E-2</v>
      </c>
      <c r="J395" s="21">
        <f t="shared" si="91"/>
        <v>137.96791036587811</v>
      </c>
      <c r="K395" s="64">
        <f t="shared" si="87"/>
        <v>136.14654426194585</v>
      </c>
      <c r="L395" s="22">
        <f t="shared" si="92"/>
        <v>104.72557704663159</v>
      </c>
      <c r="M395" s="22">
        <f t="shared" si="92"/>
        <v>160.43790162542663</v>
      </c>
    </row>
    <row r="396" spans="1:13" x14ac:dyDescent="0.15">
      <c r="A396" s="34">
        <v>45962</v>
      </c>
      <c r="B396" t="s">
        <v>7</v>
      </c>
      <c r="C396" s="23">
        <v>208</v>
      </c>
      <c r="D396" s="17">
        <f>SOJA!D396</f>
        <v>1427.6176</v>
      </c>
      <c r="E396" s="18">
        <f>SOJA!E396</f>
        <v>1970.9113660307298</v>
      </c>
      <c r="F396" s="19">
        <f t="shared" si="90"/>
        <v>152.67910258386871</v>
      </c>
      <c r="G396" s="19">
        <f t="shared" si="85"/>
        <v>1970.9113660307301</v>
      </c>
      <c r="H396" s="19">
        <f t="shared" si="86"/>
        <v>150.66352851677152</v>
      </c>
      <c r="I396" s="20">
        <v>9.5000000000000001E-2</v>
      </c>
      <c r="J396" s="21">
        <f t="shared" si="91"/>
        <v>138.17458783840118</v>
      </c>
      <c r="K396" s="64">
        <f t="shared" si="87"/>
        <v>136.35049330767822</v>
      </c>
      <c r="L396" s="22">
        <f t="shared" si="92"/>
        <v>104.72557704663159</v>
      </c>
      <c r="M396" s="22">
        <f t="shared" si="92"/>
        <v>160.43790162542663</v>
      </c>
    </row>
    <row r="397" spans="1:13" x14ac:dyDescent="0.15">
      <c r="A397" s="34">
        <v>45992</v>
      </c>
      <c r="B397" t="s">
        <v>79</v>
      </c>
      <c r="C397" s="23">
        <v>216</v>
      </c>
      <c r="D397" s="17">
        <f>SOJA!D397</f>
        <v>1447.8377</v>
      </c>
      <c r="E397" s="18">
        <f>SOJA!E397</f>
        <v>2026.0968842795903</v>
      </c>
      <c r="F397" s="19">
        <f t="shared" si="90"/>
        <v>156.41733696948313</v>
      </c>
      <c r="G397" s="19">
        <f t="shared" si="85"/>
        <v>2026.0968842795905</v>
      </c>
      <c r="H397" s="19">
        <f t="shared" si="86"/>
        <v>154.35241306893224</v>
      </c>
      <c r="I397" s="20">
        <v>8.5000000000000006E-2</v>
      </c>
      <c r="J397" s="21">
        <f t="shared" si="91"/>
        <v>143.12186332707708</v>
      </c>
      <c r="K397" s="64">
        <f t="shared" si="87"/>
        <v>141.23245795807301</v>
      </c>
      <c r="L397" s="22">
        <f t="shared" si="92"/>
        <v>104.72557704663159</v>
      </c>
      <c r="M397" s="22">
        <f t="shared" si="92"/>
        <v>160.43790162542663</v>
      </c>
    </row>
    <row r="398" spans="1:13" x14ac:dyDescent="0.15">
      <c r="A398" s="34">
        <v>46023</v>
      </c>
      <c r="B398" s="16" t="s">
        <v>78</v>
      </c>
      <c r="C398" s="23">
        <v>216</v>
      </c>
      <c r="D398" s="17">
        <f>SOJA!D398</f>
        <v>1449.3347000000001</v>
      </c>
      <c r="E398" s="18">
        <f>SOJA!E398</f>
        <v>2084.8536939236983</v>
      </c>
      <c r="F398" s="19">
        <f t="shared" si="90"/>
        <v>152.166244472323</v>
      </c>
      <c r="G398" s="19">
        <f t="shared" si="85"/>
        <v>2084.8536939236988</v>
      </c>
      <c r="H398" s="19">
        <f t="shared" si="86"/>
        <v>150.15744083740836</v>
      </c>
      <c r="I398" s="20">
        <v>8.5000000000000006E-2</v>
      </c>
      <c r="J398" s="21">
        <f t="shared" si="91"/>
        <v>139.23211369217555</v>
      </c>
      <c r="K398" s="64">
        <f t="shared" si="87"/>
        <v>137.39405836622865</v>
      </c>
      <c r="L398" s="22">
        <f t="shared" si="92"/>
        <v>104.72557704663159</v>
      </c>
      <c r="M398" s="22">
        <f t="shared" si="92"/>
        <v>160.43790162542663</v>
      </c>
    </row>
    <row r="399" spans="1:13" x14ac:dyDescent="0.15">
      <c r="A399" s="34">
        <v>46054</v>
      </c>
      <c r="B399" s="16" t="s">
        <v>1</v>
      </c>
      <c r="C399" s="23">
        <v>210</v>
      </c>
      <c r="D399" s="17">
        <f>SOJA!D399</f>
        <v>1409.6570999999999</v>
      </c>
      <c r="E399" s="18">
        <f>SOJA!E399</f>
        <v>2145.3144510474854</v>
      </c>
      <c r="F399" s="19">
        <f t="shared" si="90"/>
        <v>139.83416192175528</v>
      </c>
      <c r="G399" s="19">
        <f t="shared" si="85"/>
        <v>2145.3144510474858</v>
      </c>
      <c r="H399" s="19">
        <f t="shared" si="86"/>
        <v>137.98815873144346</v>
      </c>
      <c r="I399" s="20">
        <v>8.5000000000000006E-2</v>
      </c>
      <c r="J399" s="21">
        <f t="shared" si="91"/>
        <v>127.94825815840609</v>
      </c>
      <c r="K399" s="64">
        <f t="shared" si="87"/>
        <v>126.25916523927077</v>
      </c>
      <c r="L399" s="22">
        <f t="shared" ref="L399:M406" si="93">+L398</f>
        <v>104.72557704663159</v>
      </c>
      <c r="M399" s="22">
        <f t="shared" si="93"/>
        <v>160.43790162542663</v>
      </c>
    </row>
    <row r="400" spans="1:13" x14ac:dyDescent="0.15">
      <c r="A400" s="34">
        <v>46082</v>
      </c>
      <c r="B400" s="16" t="s">
        <v>2</v>
      </c>
      <c r="C400" s="23">
        <v>207</v>
      </c>
      <c r="D400" s="17">
        <f>SOJA!D400</f>
        <v>1396.3387</v>
      </c>
      <c r="E400" s="18">
        <f>SOJA!E400</f>
        <v>2218.2551423831001</v>
      </c>
      <c r="F400" s="19">
        <f t="shared" si="90"/>
        <v>132.04473445897847</v>
      </c>
      <c r="G400" s="19">
        <f t="shared" si="85"/>
        <v>2218.2551423831005</v>
      </c>
      <c r="H400" s="19">
        <f t="shared" si="86"/>
        <v>130.30156242057814</v>
      </c>
      <c r="I400" s="20">
        <v>8.5000000000000006E-2</v>
      </c>
      <c r="J400" s="21">
        <f t="shared" si="91"/>
        <v>120.82093202996531</v>
      </c>
      <c r="K400" s="64">
        <f t="shared" si="87"/>
        <v>119.225929614829</v>
      </c>
      <c r="L400" s="22">
        <f t="shared" si="93"/>
        <v>104.72557704663159</v>
      </c>
      <c r="M400" s="22">
        <f t="shared" si="93"/>
        <v>160.43790162542663</v>
      </c>
    </row>
    <row r="401" spans="1:13" x14ac:dyDescent="0.15">
      <c r="A401" s="34">
        <v>46113</v>
      </c>
      <c r="B401" s="16" t="s">
        <v>3</v>
      </c>
      <c r="C401" s="23">
        <v>211</v>
      </c>
      <c r="D401" s="17">
        <f>SOJA!D401</f>
        <v>1381.4522999999999</v>
      </c>
      <c r="E401" s="18">
        <f>SOJA!E401</f>
        <v>2275.9297760850604</v>
      </c>
      <c r="F401" s="19">
        <f t="shared" si="90"/>
        <v>129.7869287846425</v>
      </c>
      <c r="G401" s="19">
        <f t="shared" si="85"/>
        <v>2275.9297760850609</v>
      </c>
      <c r="H401" s="19">
        <f t="shared" si="86"/>
        <v>128.07356288531898</v>
      </c>
      <c r="I401" s="20">
        <v>8.5000000000000006E-2</v>
      </c>
      <c r="J401" s="21">
        <f t="shared" si="91"/>
        <v>118.75503983794789</v>
      </c>
      <c r="K401" s="64">
        <f t="shared" si="87"/>
        <v>117.18731004006688</v>
      </c>
      <c r="L401" s="22">
        <f t="shared" si="93"/>
        <v>104.72557704663159</v>
      </c>
      <c r="M401" s="22">
        <f t="shared" si="93"/>
        <v>160.43790162542663</v>
      </c>
    </row>
    <row r="402" spans="1:13" x14ac:dyDescent="0.15">
      <c r="A402" s="34">
        <v>46143</v>
      </c>
      <c r="B402" s="16" t="s">
        <v>2</v>
      </c>
      <c r="C402" s="23">
        <v>210</v>
      </c>
      <c r="D402" s="17">
        <f>SOJA!D402</f>
        <v>1397.2372</v>
      </c>
      <c r="E402" s="18">
        <f>SOJA!E402</f>
        <v>2323.7243013828465</v>
      </c>
      <c r="F402" s="19">
        <f t="shared" si="90"/>
        <v>127.96060916975142</v>
      </c>
      <c r="G402" s="19">
        <f t="shared" si="85"/>
        <v>2323.724301382847</v>
      </c>
      <c r="H402" s="19">
        <f t="shared" si="86"/>
        <v>126.27135320028545</v>
      </c>
      <c r="I402" s="20">
        <v>8.5000000000000006E-2</v>
      </c>
      <c r="J402" s="21">
        <f t="shared" si="91"/>
        <v>117.08395739032255</v>
      </c>
      <c r="K402" s="64">
        <f t="shared" si="87"/>
        <v>115.53828817826118</v>
      </c>
      <c r="L402" s="22">
        <f t="shared" si="93"/>
        <v>104.72557704663159</v>
      </c>
      <c r="M402" s="22">
        <f t="shared" si="93"/>
        <v>160.43790162542663</v>
      </c>
    </row>
    <row r="403" spans="1:13" x14ac:dyDescent="0.15">
      <c r="A403" s="34">
        <v>46174</v>
      </c>
      <c r="B403" s="16" t="s">
        <v>4</v>
      </c>
      <c r="C403" s="23">
        <v>197</v>
      </c>
      <c r="D403" s="17">
        <f>SOJA!D403</f>
        <v>1450.2728</v>
      </c>
      <c r="E403" s="18">
        <f>SOJA!E403</f>
        <v>2367.8750631091202</v>
      </c>
      <c r="F403" s="19">
        <f t="shared" si="90"/>
        <v>122.27244832401777</v>
      </c>
      <c r="G403" s="19">
        <f t="shared" si="85"/>
        <v>2367.8750631091207</v>
      </c>
      <c r="H403" s="19">
        <f t="shared" si="86"/>
        <v>120.65828389816262</v>
      </c>
      <c r="I403" s="20">
        <v>8.5000000000000006E-2</v>
      </c>
      <c r="J403" s="21">
        <f t="shared" si="91"/>
        <v>111.87929021647626</v>
      </c>
      <c r="K403" s="64">
        <f t="shared" si="87"/>
        <v>110.40232976681881</v>
      </c>
      <c r="L403" s="22">
        <f t="shared" si="93"/>
        <v>104.72557704663159</v>
      </c>
      <c r="M403" s="22">
        <f t="shared" si="93"/>
        <v>160.43790162542663</v>
      </c>
    </row>
    <row r="404" spans="1:13" x14ac:dyDescent="0.15">
      <c r="A404" s="34">
        <v>46204</v>
      </c>
      <c r="B404" s="16" t="s">
        <v>4</v>
      </c>
      <c r="C404" s="23">
        <v>207</v>
      </c>
      <c r="D404" s="17">
        <f>SOJA!D404</f>
        <v>1487.0038</v>
      </c>
      <c r="E404" s="18">
        <f>SOJA!E404</f>
        <v>2417.6004394344118</v>
      </c>
      <c r="F404" s="19">
        <f t="shared" si="90"/>
        <v>129.02366143294032</v>
      </c>
      <c r="G404" s="19">
        <f t="shared" si="85"/>
        <v>2417.6004394344122</v>
      </c>
      <c r="H404" s="19">
        <f t="shared" si="86"/>
        <v>127.32037171204801</v>
      </c>
      <c r="I404" s="20">
        <v>8.5000000000000006E-2</v>
      </c>
      <c r="J404" s="21">
        <f t="shared" si="91"/>
        <v>118.05665021114041</v>
      </c>
      <c r="K404" s="64">
        <f t="shared" si="87"/>
        <v>116.49814011652394</v>
      </c>
      <c r="L404" s="22">
        <f t="shared" si="93"/>
        <v>104.72557704663159</v>
      </c>
      <c r="M404" s="22">
        <f t="shared" si="93"/>
        <v>160.43790162542663</v>
      </c>
    </row>
    <row r="405" spans="1:13" x14ac:dyDescent="0.15">
      <c r="A405" s="34">
        <v>46235</v>
      </c>
      <c r="B405" s="16" t="s">
        <v>3</v>
      </c>
      <c r="C405" s="23">
        <v>214</v>
      </c>
      <c r="D405" s="17">
        <f>SOJA!D405</f>
        <v>1499.9629</v>
      </c>
      <c r="E405" s="18">
        <f>SOJA!E405</f>
        <v>2461.1172473442311</v>
      </c>
      <c r="F405" s="19">
        <f t="shared" si="90"/>
        <v>132.17017074716364</v>
      </c>
      <c r="G405" s="19">
        <f t="shared" si="85"/>
        <v>2461.1172473442316</v>
      </c>
      <c r="H405" s="19">
        <f t="shared" si="86"/>
        <v>130.42534277730147</v>
      </c>
      <c r="I405" s="20">
        <v>8.5000000000000006E-2</v>
      </c>
      <c r="J405" s="21">
        <f t="shared" si="91"/>
        <v>120.93570623365473</v>
      </c>
      <c r="K405" s="64">
        <f t="shared" si="87"/>
        <v>119.33918864123085</v>
      </c>
      <c r="L405" s="22">
        <f t="shared" si="93"/>
        <v>104.72557704663159</v>
      </c>
      <c r="M405" s="22">
        <f t="shared" si="93"/>
        <v>160.43790162542663</v>
      </c>
    </row>
    <row r="406" spans="1:13" x14ac:dyDescent="0.15">
      <c r="A406" s="34">
        <v>46266</v>
      </c>
      <c r="B406" t="s">
        <v>5</v>
      </c>
      <c r="C406" s="23">
        <v>219</v>
      </c>
      <c r="D406" s="17">
        <f>SOJA!D406</f>
        <v>1515</v>
      </c>
      <c r="E406" s="18">
        <f>SOJA!E406</f>
        <v>2502.9562405490828</v>
      </c>
      <c r="F406" s="19">
        <f t="shared" si="90"/>
        <v>134.33060015955803</v>
      </c>
      <c r="G406" s="19">
        <f t="shared" si="85"/>
        <v>2502.9562405490833</v>
      </c>
      <c r="H406" s="19">
        <f t="shared" si="86"/>
        <v>132.55725155115579</v>
      </c>
      <c r="I406" s="20">
        <v>8.5000000000000006E-2</v>
      </c>
      <c r="J406" s="21">
        <f t="shared" si="91"/>
        <v>122.9124991459956</v>
      </c>
      <c r="K406" s="64">
        <f t="shared" si="87"/>
        <v>121.28988516930755</v>
      </c>
      <c r="L406" s="22">
        <f t="shared" si="93"/>
        <v>104.72557704663159</v>
      </c>
      <c r="M406" s="22">
        <f t="shared" si="93"/>
        <v>160.43790162542663</v>
      </c>
    </row>
    <row r="407" spans="1:13" x14ac:dyDescent="0.15">
      <c r="A407" s="34">
        <v>46296</v>
      </c>
      <c r="B407" t="s">
        <v>6</v>
      </c>
      <c r="C407" s="23"/>
      <c r="D407" s="17">
        <f>SOJA!D407</f>
        <v>0</v>
      </c>
      <c r="E407" s="18">
        <f>SOJA!E407</f>
        <v>0</v>
      </c>
      <c r="F407" s="19"/>
      <c r="G407" s="19">
        <f t="shared" si="85"/>
        <v>0</v>
      </c>
      <c r="H407" s="19"/>
      <c r="I407" s="20">
        <v>8.5000000000000006E-2</v>
      </c>
      <c r="J407" s="21"/>
      <c r="K407" s="18"/>
      <c r="L407" s="22"/>
      <c r="M407" s="22"/>
    </row>
    <row r="408" spans="1:13" x14ac:dyDescent="0.15">
      <c r="A408" s="34">
        <v>46327</v>
      </c>
      <c r="B408" t="s">
        <v>7</v>
      </c>
      <c r="C408" s="23"/>
      <c r="D408" s="17">
        <f>SOJA!D408</f>
        <v>0</v>
      </c>
      <c r="E408" s="18">
        <f>SOJA!E408</f>
        <v>0</v>
      </c>
      <c r="F408" s="19"/>
      <c r="G408" s="19">
        <f t="shared" si="85"/>
        <v>0</v>
      </c>
      <c r="H408" s="19"/>
      <c r="I408" s="20">
        <v>8.5000000000000006E-2</v>
      </c>
      <c r="J408" s="21"/>
      <c r="K408" s="18"/>
      <c r="L408" s="22"/>
      <c r="M408" s="22"/>
    </row>
    <row r="409" spans="1:13" x14ac:dyDescent="0.15">
      <c r="A409" s="34">
        <v>46357</v>
      </c>
      <c r="B409" t="s">
        <v>80</v>
      </c>
      <c r="C409" s="23"/>
      <c r="D409" s="17">
        <f>SOJA!D409</f>
        <v>0</v>
      </c>
      <c r="E409" s="18">
        <f>SOJA!E409</f>
        <v>0</v>
      </c>
      <c r="F409" s="19"/>
      <c r="G409" s="19">
        <f t="shared" si="85"/>
        <v>0</v>
      </c>
      <c r="H409" s="19"/>
      <c r="I409" s="20">
        <v>8.5000000000000006E-2</v>
      </c>
      <c r="J409" s="21"/>
      <c r="K409" s="18"/>
      <c r="L409" s="22"/>
      <c r="M409" s="22"/>
    </row>
    <row r="410" spans="1:13" x14ac:dyDescent="0.15">
      <c r="C410"/>
      <c r="I410"/>
    </row>
    <row r="411" spans="1:13" x14ac:dyDescent="0.15">
      <c r="C411"/>
      <c r="I411"/>
    </row>
    <row r="412" spans="1:13" x14ac:dyDescent="0.15">
      <c r="C412"/>
      <c r="I412"/>
    </row>
    <row r="413" spans="1:13" x14ac:dyDescent="0.15">
      <c r="C413"/>
      <c r="I413"/>
    </row>
    <row r="414" spans="1:13" x14ac:dyDescent="0.15">
      <c r="C414"/>
      <c r="I414"/>
    </row>
    <row r="415" spans="1:13" x14ac:dyDescent="0.15">
      <c r="C415"/>
      <c r="I415"/>
    </row>
    <row r="416" spans="1:13" x14ac:dyDescent="0.15">
      <c r="C416"/>
      <c r="I416"/>
    </row>
    <row r="417" customFormat="1" x14ac:dyDescent="0.15"/>
    <row r="418" customFormat="1" x14ac:dyDescent="0.15"/>
    <row r="419" customFormat="1" x14ac:dyDescent="0.15"/>
    <row r="420" customFormat="1" x14ac:dyDescent="0.15"/>
    <row r="421" customFormat="1" x14ac:dyDescent="0.15"/>
    <row r="422" customFormat="1" x14ac:dyDescent="0.15"/>
    <row r="423" customFormat="1" x14ac:dyDescent="0.15"/>
    <row r="424" customFormat="1" x14ac:dyDescent="0.15"/>
    <row r="425" customFormat="1" x14ac:dyDescent="0.15"/>
    <row r="426" customFormat="1" x14ac:dyDescent="0.15"/>
    <row r="427" customFormat="1" x14ac:dyDescent="0.15"/>
    <row r="428" customFormat="1" x14ac:dyDescent="0.15"/>
    <row r="429" customFormat="1" x14ac:dyDescent="0.15"/>
    <row r="430" customFormat="1" x14ac:dyDescent="0.15"/>
    <row r="431" customFormat="1" x14ac:dyDescent="0.15"/>
    <row r="432" customFormat="1" x14ac:dyDescent="0.15"/>
    <row r="433" customFormat="1" x14ac:dyDescent="0.15"/>
    <row r="434" customFormat="1" x14ac:dyDescent="0.15"/>
    <row r="435" customFormat="1" x14ac:dyDescent="0.15"/>
    <row r="436" customFormat="1" x14ac:dyDescent="0.15"/>
    <row r="437" customFormat="1" x14ac:dyDescent="0.15"/>
    <row r="438" customFormat="1" x14ac:dyDescent="0.15"/>
    <row r="439" customFormat="1" x14ac:dyDescent="0.15"/>
    <row r="440" customFormat="1" x14ac:dyDescent="0.15"/>
    <row r="441" customFormat="1" x14ac:dyDescent="0.15"/>
    <row r="442" customFormat="1" x14ac:dyDescent="0.15"/>
    <row r="443" customFormat="1" x14ac:dyDescent="0.15"/>
    <row r="444" customFormat="1" x14ac:dyDescent="0.15"/>
    <row r="445" customFormat="1" x14ac:dyDescent="0.15"/>
    <row r="446" customFormat="1" x14ac:dyDescent="0.15"/>
    <row r="447" customFormat="1" x14ac:dyDescent="0.15"/>
    <row r="448" customFormat="1" x14ac:dyDescent="0.15"/>
    <row r="449" customFormat="1" x14ac:dyDescent="0.15"/>
    <row r="450" customFormat="1" x14ac:dyDescent="0.15"/>
    <row r="451" customFormat="1" x14ac:dyDescent="0.15"/>
    <row r="452" customFormat="1" x14ac:dyDescent="0.15"/>
    <row r="453" customFormat="1" x14ac:dyDescent="0.15"/>
    <row r="454" customFormat="1" x14ac:dyDescent="0.15"/>
    <row r="455" customFormat="1" x14ac:dyDescent="0.15"/>
    <row r="456" customFormat="1" x14ac:dyDescent="0.15"/>
    <row r="457" customFormat="1" x14ac:dyDescent="0.15"/>
    <row r="458" customFormat="1" x14ac:dyDescent="0.15"/>
    <row r="459" customFormat="1" x14ac:dyDescent="0.15"/>
    <row r="460" customFormat="1" x14ac:dyDescent="0.15"/>
    <row r="461" customFormat="1" x14ac:dyDescent="0.15"/>
    <row r="462" customFormat="1" x14ac:dyDescent="0.15"/>
    <row r="463" customFormat="1" x14ac:dyDescent="0.15"/>
    <row r="464" customFormat="1" x14ac:dyDescent="0.15"/>
    <row r="465" customFormat="1" x14ac:dyDescent="0.15"/>
    <row r="466" customFormat="1" x14ac:dyDescent="0.15"/>
    <row r="467" customFormat="1" x14ac:dyDescent="0.15"/>
    <row r="468" customFormat="1" x14ac:dyDescent="0.15"/>
    <row r="469" customFormat="1" x14ac:dyDescent="0.15"/>
    <row r="470" customFormat="1" x14ac:dyDescent="0.15"/>
    <row r="471" customFormat="1" x14ac:dyDescent="0.15"/>
    <row r="472" customFormat="1" x14ac:dyDescent="0.15"/>
    <row r="473" customFormat="1" x14ac:dyDescent="0.15"/>
    <row r="474" customFormat="1" x14ac:dyDescent="0.15"/>
    <row r="475" customFormat="1" x14ac:dyDescent="0.15"/>
    <row r="476" customFormat="1" x14ac:dyDescent="0.15"/>
    <row r="477" customFormat="1" x14ac:dyDescent="0.15"/>
    <row r="478" customFormat="1" x14ac:dyDescent="0.15"/>
    <row r="479" customFormat="1" x14ac:dyDescent="0.15"/>
    <row r="480" customFormat="1" x14ac:dyDescent="0.15"/>
    <row r="481" customFormat="1" x14ac:dyDescent="0.15"/>
    <row r="482" customFormat="1" x14ac:dyDescent="0.15"/>
    <row r="483" customFormat="1" x14ac:dyDescent="0.15"/>
    <row r="484" customFormat="1" x14ac:dyDescent="0.15"/>
    <row r="485" customFormat="1" x14ac:dyDescent="0.15"/>
    <row r="486" customFormat="1" x14ac:dyDescent="0.15"/>
    <row r="487" customFormat="1" x14ac:dyDescent="0.15"/>
    <row r="488" customFormat="1" x14ac:dyDescent="0.15"/>
    <row r="489" customFormat="1" x14ac:dyDescent="0.15"/>
    <row r="490" customFormat="1" x14ac:dyDescent="0.15"/>
    <row r="491" customFormat="1" x14ac:dyDescent="0.15"/>
    <row r="492" customFormat="1" x14ac:dyDescent="0.15"/>
    <row r="493" customFormat="1" x14ac:dyDescent="0.15"/>
    <row r="494" customFormat="1" x14ac:dyDescent="0.15"/>
    <row r="495" customFormat="1" x14ac:dyDescent="0.15"/>
    <row r="496" customFormat="1" x14ac:dyDescent="0.15"/>
    <row r="497" customFormat="1" x14ac:dyDescent="0.15"/>
    <row r="498" customFormat="1" x14ac:dyDescent="0.15"/>
    <row r="499" customFormat="1" x14ac:dyDescent="0.15"/>
    <row r="500" customFormat="1" x14ac:dyDescent="0.15"/>
    <row r="501" customFormat="1" x14ac:dyDescent="0.15"/>
    <row r="502" customFormat="1" x14ac:dyDescent="0.15"/>
    <row r="503" customFormat="1" x14ac:dyDescent="0.15"/>
    <row r="504" customFormat="1" x14ac:dyDescent="0.15"/>
    <row r="505" customFormat="1" x14ac:dyDescent="0.15"/>
    <row r="506" customFormat="1" x14ac:dyDescent="0.15"/>
    <row r="507" customFormat="1" x14ac:dyDescent="0.15"/>
    <row r="508" customFormat="1" x14ac:dyDescent="0.15"/>
    <row r="509" customFormat="1" x14ac:dyDescent="0.15"/>
    <row r="510" customFormat="1" x14ac:dyDescent="0.15"/>
    <row r="511" customFormat="1" x14ac:dyDescent="0.15"/>
    <row r="512" customFormat="1" x14ac:dyDescent="0.15"/>
    <row r="513" customFormat="1" x14ac:dyDescent="0.15"/>
    <row r="514" customFormat="1" x14ac:dyDescent="0.15"/>
    <row r="515" customFormat="1" x14ac:dyDescent="0.15"/>
    <row r="516" customFormat="1" x14ac:dyDescent="0.15"/>
    <row r="517" customFormat="1" x14ac:dyDescent="0.15"/>
    <row r="518" customFormat="1" x14ac:dyDescent="0.15"/>
    <row r="519" customFormat="1" x14ac:dyDescent="0.15"/>
    <row r="520" customFormat="1" x14ac:dyDescent="0.15"/>
    <row r="521" customFormat="1" x14ac:dyDescent="0.15"/>
    <row r="522" customFormat="1" x14ac:dyDescent="0.15"/>
    <row r="523" customFormat="1" x14ac:dyDescent="0.15"/>
    <row r="524" customFormat="1" x14ac:dyDescent="0.15"/>
    <row r="525" customFormat="1" x14ac:dyDescent="0.15"/>
    <row r="526" customFormat="1" x14ac:dyDescent="0.15"/>
    <row r="527" customFormat="1" x14ac:dyDescent="0.15"/>
    <row r="528" customFormat="1" x14ac:dyDescent="0.15"/>
    <row r="529" customFormat="1" x14ac:dyDescent="0.15"/>
    <row r="530" customFormat="1" x14ac:dyDescent="0.15"/>
    <row r="531" customFormat="1" x14ac:dyDescent="0.15"/>
    <row r="532" customFormat="1" x14ac:dyDescent="0.15"/>
    <row r="533" customFormat="1" x14ac:dyDescent="0.15"/>
    <row r="534" customFormat="1" x14ac:dyDescent="0.15"/>
    <row r="535" customFormat="1" x14ac:dyDescent="0.15"/>
    <row r="536" customFormat="1" x14ac:dyDescent="0.15"/>
    <row r="537" customFormat="1" x14ac:dyDescent="0.15"/>
    <row r="538" customFormat="1" x14ac:dyDescent="0.15"/>
    <row r="539" customFormat="1" x14ac:dyDescent="0.15"/>
    <row r="540" customFormat="1" x14ac:dyDescent="0.15"/>
    <row r="541" customFormat="1" x14ac:dyDescent="0.15"/>
    <row r="542" customFormat="1" x14ac:dyDescent="0.15"/>
    <row r="543" customFormat="1" x14ac:dyDescent="0.15"/>
    <row r="544" customFormat="1" x14ac:dyDescent="0.15"/>
    <row r="545" customFormat="1" x14ac:dyDescent="0.15"/>
    <row r="546" customFormat="1" x14ac:dyDescent="0.15"/>
    <row r="547" customFormat="1" x14ac:dyDescent="0.15"/>
    <row r="548" customFormat="1" x14ac:dyDescent="0.15"/>
    <row r="549" customFormat="1" x14ac:dyDescent="0.15"/>
    <row r="550" customFormat="1" x14ac:dyDescent="0.15"/>
    <row r="551" customFormat="1" x14ac:dyDescent="0.15"/>
    <row r="552" customFormat="1" x14ac:dyDescent="0.15"/>
    <row r="553" customFormat="1" x14ac:dyDescent="0.15"/>
    <row r="554" customFormat="1" x14ac:dyDescent="0.15"/>
    <row r="555" customFormat="1" x14ac:dyDescent="0.15"/>
    <row r="556" customFormat="1" x14ac:dyDescent="0.15"/>
    <row r="557" customFormat="1" x14ac:dyDescent="0.15"/>
    <row r="558" customFormat="1" x14ac:dyDescent="0.15"/>
    <row r="559" customFormat="1" x14ac:dyDescent="0.15"/>
    <row r="560" customFormat="1" x14ac:dyDescent="0.15"/>
    <row r="561" customFormat="1" x14ac:dyDescent="0.15"/>
    <row r="562" customFormat="1" x14ac:dyDescent="0.15"/>
    <row r="563" customFormat="1" x14ac:dyDescent="0.15"/>
    <row r="564" customFormat="1" x14ac:dyDescent="0.15"/>
    <row r="565" customFormat="1" x14ac:dyDescent="0.15"/>
    <row r="566" customFormat="1" x14ac:dyDescent="0.15"/>
    <row r="567" customFormat="1" x14ac:dyDescent="0.15"/>
    <row r="568" customFormat="1" x14ac:dyDescent="0.15"/>
    <row r="569" customFormat="1" x14ac:dyDescent="0.15"/>
    <row r="570" customFormat="1" x14ac:dyDescent="0.15"/>
    <row r="571" customFormat="1" x14ac:dyDescent="0.15"/>
    <row r="572" customFormat="1" x14ac:dyDescent="0.15"/>
    <row r="573" customFormat="1" x14ac:dyDescent="0.15"/>
    <row r="574" customFormat="1" x14ac:dyDescent="0.15"/>
    <row r="575" customFormat="1" x14ac:dyDescent="0.15"/>
    <row r="576" customFormat="1" x14ac:dyDescent="0.15"/>
    <row r="577" customFormat="1" x14ac:dyDescent="0.15"/>
    <row r="578" customFormat="1" x14ac:dyDescent="0.15"/>
    <row r="579" customFormat="1" x14ac:dyDescent="0.15"/>
    <row r="580" customFormat="1" x14ac:dyDescent="0.15"/>
    <row r="581" customFormat="1" x14ac:dyDescent="0.15"/>
    <row r="582" customFormat="1" x14ac:dyDescent="0.15"/>
    <row r="583" customFormat="1" x14ac:dyDescent="0.15"/>
    <row r="584" customFormat="1" x14ac:dyDescent="0.15"/>
    <row r="585" customFormat="1" x14ac:dyDescent="0.15"/>
    <row r="586" customFormat="1" x14ac:dyDescent="0.15"/>
    <row r="587" customFormat="1" x14ac:dyDescent="0.15"/>
    <row r="588" customFormat="1" x14ac:dyDescent="0.15"/>
    <row r="589" customFormat="1" x14ac:dyDescent="0.15"/>
    <row r="590" customFormat="1" x14ac:dyDescent="0.15"/>
    <row r="591" customFormat="1" x14ac:dyDescent="0.15"/>
    <row r="592" customFormat="1" x14ac:dyDescent="0.15"/>
    <row r="593" customFormat="1" x14ac:dyDescent="0.15"/>
    <row r="594" customFormat="1" x14ac:dyDescent="0.15"/>
    <row r="595" customFormat="1" x14ac:dyDescent="0.15"/>
    <row r="596" customFormat="1" x14ac:dyDescent="0.15"/>
    <row r="597" customFormat="1" x14ac:dyDescent="0.15"/>
    <row r="598" customFormat="1" x14ac:dyDescent="0.15"/>
    <row r="599" customFormat="1" x14ac:dyDescent="0.15"/>
    <row r="600" customFormat="1" x14ac:dyDescent="0.15"/>
    <row r="601" customFormat="1" x14ac:dyDescent="0.15"/>
    <row r="602" customFormat="1" x14ac:dyDescent="0.15"/>
    <row r="603" customFormat="1" x14ac:dyDescent="0.15"/>
    <row r="604" customFormat="1" x14ac:dyDescent="0.15"/>
    <row r="605" customFormat="1" x14ac:dyDescent="0.15"/>
    <row r="606" customFormat="1" x14ac:dyDescent="0.15"/>
    <row r="607" customFormat="1" x14ac:dyDescent="0.15"/>
    <row r="608" customFormat="1" x14ac:dyDescent="0.15"/>
    <row r="609" customFormat="1" x14ac:dyDescent="0.15"/>
    <row r="610" customFormat="1" x14ac:dyDescent="0.15"/>
    <row r="611" customFormat="1" x14ac:dyDescent="0.15"/>
    <row r="612" customFormat="1" x14ac:dyDescent="0.15"/>
    <row r="613" customFormat="1" x14ac:dyDescent="0.15"/>
    <row r="614" customFormat="1" x14ac:dyDescent="0.15"/>
    <row r="615" customFormat="1" x14ac:dyDescent="0.15"/>
    <row r="616" customFormat="1" x14ac:dyDescent="0.15"/>
    <row r="617" customFormat="1" x14ac:dyDescent="0.15"/>
    <row r="618" customFormat="1" x14ac:dyDescent="0.15"/>
    <row r="619" customFormat="1" x14ac:dyDescent="0.15"/>
    <row r="620" customFormat="1" x14ac:dyDescent="0.15"/>
    <row r="621" customFormat="1" x14ac:dyDescent="0.15"/>
    <row r="622" customFormat="1" x14ac:dyDescent="0.15"/>
    <row r="623" customFormat="1" x14ac:dyDescent="0.15"/>
    <row r="624" customFormat="1" x14ac:dyDescent="0.15"/>
    <row r="625" customFormat="1" x14ac:dyDescent="0.15"/>
    <row r="626" customFormat="1" x14ac:dyDescent="0.15"/>
    <row r="627" customFormat="1" x14ac:dyDescent="0.15"/>
    <row r="628" customFormat="1" x14ac:dyDescent="0.15"/>
    <row r="629" customFormat="1" x14ac:dyDescent="0.15"/>
    <row r="630" customFormat="1" x14ac:dyDescent="0.15"/>
    <row r="631" customFormat="1" x14ac:dyDescent="0.15"/>
    <row r="632" customFormat="1" x14ac:dyDescent="0.15"/>
    <row r="633" customFormat="1" x14ac:dyDescent="0.15"/>
    <row r="634" customFormat="1" x14ac:dyDescent="0.15"/>
    <row r="635" customFormat="1" x14ac:dyDescent="0.15"/>
    <row r="636" customFormat="1" x14ac:dyDescent="0.15"/>
    <row r="637" customFormat="1" x14ac:dyDescent="0.15"/>
    <row r="638" customFormat="1" x14ac:dyDescent="0.15"/>
    <row r="639" customFormat="1" x14ac:dyDescent="0.15"/>
    <row r="640" customFormat="1" x14ac:dyDescent="0.15"/>
    <row r="641" customFormat="1" x14ac:dyDescent="0.15"/>
    <row r="642" customFormat="1" x14ac:dyDescent="0.15"/>
    <row r="643" customFormat="1" x14ac:dyDescent="0.15"/>
    <row r="644" customFormat="1" x14ac:dyDescent="0.15"/>
    <row r="645" customFormat="1" x14ac:dyDescent="0.15"/>
    <row r="646" customFormat="1" x14ac:dyDescent="0.15"/>
    <row r="647" customFormat="1" x14ac:dyDescent="0.15"/>
    <row r="648" customFormat="1" x14ac:dyDescent="0.15"/>
    <row r="649" customFormat="1" x14ac:dyDescent="0.15"/>
    <row r="650" customFormat="1" x14ac:dyDescent="0.15"/>
    <row r="651" customFormat="1" x14ac:dyDescent="0.15"/>
    <row r="652" customFormat="1" x14ac:dyDescent="0.15"/>
    <row r="653" customFormat="1" x14ac:dyDescent="0.15"/>
    <row r="654" customFormat="1" x14ac:dyDescent="0.15"/>
    <row r="655" customFormat="1" x14ac:dyDescent="0.15"/>
    <row r="656" customFormat="1" x14ac:dyDescent="0.15"/>
    <row r="657" customFormat="1" x14ac:dyDescent="0.15"/>
    <row r="658" customFormat="1" x14ac:dyDescent="0.15"/>
    <row r="659" customFormat="1" x14ac:dyDescent="0.15"/>
    <row r="660" customFormat="1" x14ac:dyDescent="0.15"/>
    <row r="661" customFormat="1" x14ac:dyDescent="0.15"/>
    <row r="662" customFormat="1" x14ac:dyDescent="0.15"/>
    <row r="663" customFormat="1" x14ac:dyDescent="0.15"/>
    <row r="664" customFormat="1" x14ac:dyDescent="0.15"/>
    <row r="665" customFormat="1" x14ac:dyDescent="0.15"/>
    <row r="666" customFormat="1" x14ac:dyDescent="0.15"/>
    <row r="667" customFormat="1" x14ac:dyDescent="0.15"/>
    <row r="668" customFormat="1" x14ac:dyDescent="0.15"/>
    <row r="669" customFormat="1" x14ac:dyDescent="0.15"/>
    <row r="670" customFormat="1" x14ac:dyDescent="0.15"/>
    <row r="671" customFormat="1" x14ac:dyDescent="0.15"/>
    <row r="672" customFormat="1" x14ac:dyDescent="0.15"/>
    <row r="673" customFormat="1" x14ac:dyDescent="0.15"/>
    <row r="674" customFormat="1" x14ac:dyDescent="0.15"/>
    <row r="675" customFormat="1" x14ac:dyDescent="0.15"/>
    <row r="676" customFormat="1" x14ac:dyDescent="0.15"/>
    <row r="677" customFormat="1" x14ac:dyDescent="0.15"/>
    <row r="678" customFormat="1" x14ac:dyDescent="0.15"/>
    <row r="679" customFormat="1" x14ac:dyDescent="0.15"/>
    <row r="680" customFormat="1" x14ac:dyDescent="0.15"/>
    <row r="681" customFormat="1" x14ac:dyDescent="0.15"/>
    <row r="682" customFormat="1" x14ac:dyDescent="0.15"/>
    <row r="683" customFormat="1" x14ac:dyDescent="0.15"/>
    <row r="684" customFormat="1" x14ac:dyDescent="0.15"/>
    <row r="685" customFormat="1" x14ac:dyDescent="0.15"/>
    <row r="686" customFormat="1" x14ac:dyDescent="0.15"/>
    <row r="687" customFormat="1" x14ac:dyDescent="0.15"/>
    <row r="688" customFormat="1" x14ac:dyDescent="0.15"/>
    <row r="689" customFormat="1" x14ac:dyDescent="0.15"/>
    <row r="690" customFormat="1" x14ac:dyDescent="0.15"/>
    <row r="691" customFormat="1" x14ac:dyDescent="0.15"/>
    <row r="692" customFormat="1" x14ac:dyDescent="0.15"/>
    <row r="693" customFormat="1" x14ac:dyDescent="0.15"/>
    <row r="694" customFormat="1" x14ac:dyDescent="0.15"/>
    <row r="695" customFormat="1" x14ac:dyDescent="0.15"/>
    <row r="696" customFormat="1" x14ac:dyDescent="0.15"/>
    <row r="697" customFormat="1" x14ac:dyDescent="0.15"/>
    <row r="698" customFormat="1" x14ac:dyDescent="0.15"/>
    <row r="699" customFormat="1" x14ac:dyDescent="0.15"/>
    <row r="700" customFormat="1" x14ac:dyDescent="0.15"/>
    <row r="701" customFormat="1" x14ac:dyDescent="0.15"/>
    <row r="702" customFormat="1" x14ac:dyDescent="0.15"/>
    <row r="703" customFormat="1" x14ac:dyDescent="0.15"/>
    <row r="704" customFormat="1" x14ac:dyDescent="0.15"/>
    <row r="705" customFormat="1" x14ac:dyDescent="0.15"/>
    <row r="706" customFormat="1" x14ac:dyDescent="0.15"/>
    <row r="707" customFormat="1" x14ac:dyDescent="0.15"/>
    <row r="708" customFormat="1" x14ac:dyDescent="0.15"/>
    <row r="709" customFormat="1" x14ac:dyDescent="0.15"/>
    <row r="710" customFormat="1" x14ac:dyDescent="0.15"/>
    <row r="711" customFormat="1" x14ac:dyDescent="0.15"/>
    <row r="712" customFormat="1" x14ac:dyDescent="0.15"/>
    <row r="713" customFormat="1" x14ac:dyDescent="0.15"/>
    <row r="714" customFormat="1" x14ac:dyDescent="0.15"/>
    <row r="715" customFormat="1" x14ac:dyDescent="0.15"/>
    <row r="716" customFormat="1" x14ac:dyDescent="0.15"/>
    <row r="717" customFormat="1" x14ac:dyDescent="0.15"/>
    <row r="718" customFormat="1" x14ac:dyDescent="0.15"/>
    <row r="719" customFormat="1" x14ac:dyDescent="0.15"/>
    <row r="720" customFormat="1" x14ac:dyDescent="0.15"/>
    <row r="721" customFormat="1" x14ac:dyDescent="0.15"/>
    <row r="722" customFormat="1" x14ac:dyDescent="0.15"/>
    <row r="723" customFormat="1" x14ac:dyDescent="0.15"/>
    <row r="724" customFormat="1" x14ac:dyDescent="0.15"/>
    <row r="725" customFormat="1" x14ac:dyDescent="0.15"/>
    <row r="726" customFormat="1" x14ac:dyDescent="0.15"/>
    <row r="727" customFormat="1" x14ac:dyDescent="0.15"/>
    <row r="728" customFormat="1" x14ac:dyDescent="0.15"/>
    <row r="729" customFormat="1" x14ac:dyDescent="0.15"/>
    <row r="730" customFormat="1" x14ac:dyDescent="0.15"/>
    <row r="731" customFormat="1" x14ac:dyDescent="0.15"/>
    <row r="732" customFormat="1" x14ac:dyDescent="0.15"/>
    <row r="733" customFormat="1" x14ac:dyDescent="0.15"/>
    <row r="734" customFormat="1" x14ac:dyDescent="0.15"/>
    <row r="735" customFormat="1" x14ac:dyDescent="0.15"/>
    <row r="736" customFormat="1" x14ac:dyDescent="0.15"/>
    <row r="737" customFormat="1" x14ac:dyDescent="0.15"/>
    <row r="738" customFormat="1" x14ac:dyDescent="0.15"/>
    <row r="739" customFormat="1" x14ac:dyDescent="0.15"/>
    <row r="740" customFormat="1" x14ac:dyDescent="0.15"/>
    <row r="741" customFormat="1" x14ac:dyDescent="0.15"/>
    <row r="742" customFormat="1" x14ac:dyDescent="0.15"/>
    <row r="743" customFormat="1" x14ac:dyDescent="0.15"/>
    <row r="744" customFormat="1" x14ac:dyDescent="0.15"/>
    <row r="745" customFormat="1" x14ac:dyDescent="0.15"/>
    <row r="746" customFormat="1" x14ac:dyDescent="0.15"/>
    <row r="747" customFormat="1" x14ac:dyDescent="0.15"/>
    <row r="748" customFormat="1" x14ac:dyDescent="0.15"/>
    <row r="749" customFormat="1" x14ac:dyDescent="0.15"/>
    <row r="750" customFormat="1" x14ac:dyDescent="0.15"/>
    <row r="751" customFormat="1" x14ac:dyDescent="0.15"/>
    <row r="752" customFormat="1" x14ac:dyDescent="0.15"/>
    <row r="753" customFormat="1" x14ac:dyDescent="0.15"/>
    <row r="754" customFormat="1" x14ac:dyDescent="0.15"/>
    <row r="755" customFormat="1" x14ac:dyDescent="0.15"/>
    <row r="756" customFormat="1" x14ac:dyDescent="0.15"/>
    <row r="757" customFormat="1" x14ac:dyDescent="0.15"/>
    <row r="758" customFormat="1" x14ac:dyDescent="0.15"/>
    <row r="759" customFormat="1" x14ac:dyDescent="0.15"/>
    <row r="760" customFormat="1" x14ac:dyDescent="0.15"/>
    <row r="761" customFormat="1" x14ac:dyDescent="0.15"/>
    <row r="762" customFormat="1" x14ac:dyDescent="0.15"/>
    <row r="763" customFormat="1" x14ac:dyDescent="0.15"/>
    <row r="764" customFormat="1" x14ac:dyDescent="0.15"/>
    <row r="765" customFormat="1" x14ac:dyDescent="0.15"/>
    <row r="766" customFormat="1" x14ac:dyDescent="0.15"/>
    <row r="767" customFormat="1" x14ac:dyDescent="0.15"/>
    <row r="768" customFormat="1" x14ac:dyDescent="0.15"/>
    <row r="769" customFormat="1" x14ac:dyDescent="0.15"/>
    <row r="770" customFormat="1" x14ac:dyDescent="0.15"/>
    <row r="771" customFormat="1" x14ac:dyDescent="0.15"/>
    <row r="772" customFormat="1" x14ac:dyDescent="0.15"/>
    <row r="773" customFormat="1" x14ac:dyDescent="0.15"/>
    <row r="774" customFormat="1" x14ac:dyDescent="0.15"/>
    <row r="775" customFormat="1" x14ac:dyDescent="0.15"/>
    <row r="776" customFormat="1" x14ac:dyDescent="0.15"/>
    <row r="777" customFormat="1" x14ac:dyDescent="0.15"/>
    <row r="778" customFormat="1" x14ac:dyDescent="0.15"/>
    <row r="779" customFormat="1" x14ac:dyDescent="0.15"/>
    <row r="780" customFormat="1" x14ac:dyDescent="0.15"/>
    <row r="781" customFormat="1" x14ac:dyDescent="0.15"/>
    <row r="782" customFormat="1" x14ac:dyDescent="0.15"/>
    <row r="783" customFormat="1" x14ac:dyDescent="0.15"/>
    <row r="784" customFormat="1" x14ac:dyDescent="0.15"/>
    <row r="785" customFormat="1" x14ac:dyDescent="0.15"/>
    <row r="786" customFormat="1" x14ac:dyDescent="0.15"/>
    <row r="787" customFormat="1" x14ac:dyDescent="0.15"/>
    <row r="788" customFormat="1" x14ac:dyDescent="0.15"/>
    <row r="789" customFormat="1" x14ac:dyDescent="0.15"/>
    <row r="790" customFormat="1" x14ac:dyDescent="0.15"/>
    <row r="791" customFormat="1" x14ac:dyDescent="0.15"/>
    <row r="792" customFormat="1" x14ac:dyDescent="0.15"/>
    <row r="793" customFormat="1" x14ac:dyDescent="0.15"/>
    <row r="794" customFormat="1" x14ac:dyDescent="0.15"/>
    <row r="795" customFormat="1" x14ac:dyDescent="0.15"/>
    <row r="796" customFormat="1" x14ac:dyDescent="0.15"/>
    <row r="797" customFormat="1" x14ac:dyDescent="0.15"/>
    <row r="798" customFormat="1" x14ac:dyDescent="0.15"/>
    <row r="799" customFormat="1" x14ac:dyDescent="0.15"/>
    <row r="800" customFormat="1" x14ac:dyDescent="0.15"/>
    <row r="801" customFormat="1" x14ac:dyDescent="0.15"/>
    <row r="802" customFormat="1" x14ac:dyDescent="0.15"/>
    <row r="803" customFormat="1" x14ac:dyDescent="0.15"/>
    <row r="804" customFormat="1" x14ac:dyDescent="0.15"/>
    <row r="805" customFormat="1" x14ac:dyDescent="0.15"/>
    <row r="806" customFormat="1" x14ac:dyDescent="0.15"/>
    <row r="807" customFormat="1" x14ac:dyDescent="0.15"/>
    <row r="808" customFormat="1" x14ac:dyDescent="0.15"/>
    <row r="809" customFormat="1" x14ac:dyDescent="0.15"/>
    <row r="810" customFormat="1" x14ac:dyDescent="0.15"/>
    <row r="811" customFormat="1" x14ac:dyDescent="0.15"/>
    <row r="812" customFormat="1" x14ac:dyDescent="0.15"/>
    <row r="813" customFormat="1" x14ac:dyDescent="0.15"/>
    <row r="814" customFormat="1" x14ac:dyDescent="0.15"/>
    <row r="815" customFormat="1" x14ac:dyDescent="0.15"/>
    <row r="816" customFormat="1" x14ac:dyDescent="0.15"/>
    <row r="817" customFormat="1" x14ac:dyDescent="0.15"/>
    <row r="818" customFormat="1" x14ac:dyDescent="0.15"/>
    <row r="819" customFormat="1" x14ac:dyDescent="0.15"/>
    <row r="820" customFormat="1" x14ac:dyDescent="0.15"/>
    <row r="821" customFormat="1" x14ac:dyDescent="0.15"/>
    <row r="822" customFormat="1" x14ac:dyDescent="0.15"/>
    <row r="823" customFormat="1" x14ac:dyDescent="0.15"/>
    <row r="824" customFormat="1" x14ac:dyDescent="0.15"/>
    <row r="825" customFormat="1" x14ac:dyDescent="0.15"/>
    <row r="826" customFormat="1" x14ac:dyDescent="0.15"/>
    <row r="827" customFormat="1" x14ac:dyDescent="0.15"/>
    <row r="828" customFormat="1" x14ac:dyDescent="0.15"/>
    <row r="829" customFormat="1" x14ac:dyDescent="0.15"/>
    <row r="830" customFormat="1" x14ac:dyDescent="0.15"/>
    <row r="831" customFormat="1" x14ac:dyDescent="0.15"/>
    <row r="832" customFormat="1" x14ac:dyDescent="0.15"/>
    <row r="833" customFormat="1" x14ac:dyDescent="0.15"/>
    <row r="834" customFormat="1" x14ac:dyDescent="0.15"/>
    <row r="835" customFormat="1" x14ac:dyDescent="0.15"/>
    <row r="836" customFormat="1" x14ac:dyDescent="0.15"/>
    <row r="837" customFormat="1" x14ac:dyDescent="0.15"/>
    <row r="838" customFormat="1" x14ac:dyDescent="0.15"/>
    <row r="839" customFormat="1" x14ac:dyDescent="0.15"/>
    <row r="840" customFormat="1" x14ac:dyDescent="0.15"/>
    <row r="841" customFormat="1" x14ac:dyDescent="0.15"/>
    <row r="842" customFormat="1" x14ac:dyDescent="0.15"/>
    <row r="843" customFormat="1" x14ac:dyDescent="0.15"/>
    <row r="844" customFormat="1" x14ac:dyDescent="0.15"/>
    <row r="845" customFormat="1" x14ac:dyDescent="0.15"/>
    <row r="846" customFormat="1" x14ac:dyDescent="0.15"/>
    <row r="847" customFormat="1" x14ac:dyDescent="0.15"/>
    <row r="848" customFormat="1" x14ac:dyDescent="0.15"/>
    <row r="849" customFormat="1" x14ac:dyDescent="0.15"/>
    <row r="850" customFormat="1" x14ac:dyDescent="0.15"/>
    <row r="851" customFormat="1" x14ac:dyDescent="0.15"/>
    <row r="852" customFormat="1" x14ac:dyDescent="0.15"/>
    <row r="853" customFormat="1" x14ac:dyDescent="0.15"/>
    <row r="854" customFormat="1" x14ac:dyDescent="0.15"/>
    <row r="855" customFormat="1" x14ac:dyDescent="0.15"/>
    <row r="856" customFormat="1" x14ac:dyDescent="0.15"/>
    <row r="857" customFormat="1" x14ac:dyDescent="0.15"/>
    <row r="858" customFormat="1" x14ac:dyDescent="0.15"/>
    <row r="859" customFormat="1" x14ac:dyDescent="0.15"/>
    <row r="860" customFormat="1" x14ac:dyDescent="0.15"/>
    <row r="861" customFormat="1" x14ac:dyDescent="0.15"/>
    <row r="862" customFormat="1" x14ac:dyDescent="0.15"/>
    <row r="863" customFormat="1" x14ac:dyDescent="0.15"/>
    <row r="864" customFormat="1" x14ac:dyDescent="0.15"/>
    <row r="865" customFormat="1" x14ac:dyDescent="0.15"/>
    <row r="866" customFormat="1" x14ac:dyDescent="0.15"/>
    <row r="867" customFormat="1" x14ac:dyDescent="0.15"/>
    <row r="868" customFormat="1" x14ac:dyDescent="0.15"/>
    <row r="869" customFormat="1" x14ac:dyDescent="0.15"/>
    <row r="870" customFormat="1" x14ac:dyDescent="0.15"/>
    <row r="871" customFormat="1" x14ac:dyDescent="0.15"/>
    <row r="872" customFormat="1" x14ac:dyDescent="0.15"/>
    <row r="873" customFormat="1" x14ac:dyDescent="0.15"/>
    <row r="874" customFormat="1" x14ac:dyDescent="0.15"/>
    <row r="875" customFormat="1" x14ac:dyDescent="0.15"/>
    <row r="876" customFormat="1" x14ac:dyDescent="0.15"/>
    <row r="877" customFormat="1" x14ac:dyDescent="0.15"/>
    <row r="878" customFormat="1" x14ac:dyDescent="0.15"/>
    <row r="879" customFormat="1" x14ac:dyDescent="0.15"/>
    <row r="880" customFormat="1" x14ac:dyDescent="0.15"/>
    <row r="881" customFormat="1" x14ac:dyDescent="0.15"/>
    <row r="882" customFormat="1" x14ac:dyDescent="0.15"/>
    <row r="883" customFormat="1" x14ac:dyDescent="0.15"/>
    <row r="884" customFormat="1" x14ac:dyDescent="0.15"/>
    <row r="885" customFormat="1" x14ac:dyDescent="0.15"/>
    <row r="886" customFormat="1" x14ac:dyDescent="0.15"/>
    <row r="887" customFormat="1" x14ac:dyDescent="0.15"/>
    <row r="888" customFormat="1" x14ac:dyDescent="0.15"/>
    <row r="889" customFormat="1" x14ac:dyDescent="0.15"/>
    <row r="890" customFormat="1" x14ac:dyDescent="0.15"/>
    <row r="891" customFormat="1" x14ac:dyDescent="0.15"/>
    <row r="892" customFormat="1" x14ac:dyDescent="0.15"/>
    <row r="893" customFormat="1" x14ac:dyDescent="0.15"/>
    <row r="894" customFormat="1" x14ac:dyDescent="0.15"/>
    <row r="895" customFormat="1" x14ac:dyDescent="0.15"/>
    <row r="896" customFormat="1" x14ac:dyDescent="0.15"/>
    <row r="897" customFormat="1" x14ac:dyDescent="0.15"/>
    <row r="898" customFormat="1" x14ac:dyDescent="0.15"/>
    <row r="899" customFormat="1" x14ac:dyDescent="0.15"/>
    <row r="900" customFormat="1" x14ac:dyDescent="0.15"/>
    <row r="901" customFormat="1" x14ac:dyDescent="0.15"/>
    <row r="902" customFormat="1" x14ac:dyDescent="0.15"/>
    <row r="903" customFormat="1" x14ac:dyDescent="0.15"/>
    <row r="904" customFormat="1" x14ac:dyDescent="0.15"/>
    <row r="905" customFormat="1" x14ac:dyDescent="0.15"/>
    <row r="906" customFormat="1" x14ac:dyDescent="0.15"/>
    <row r="907" customFormat="1" x14ac:dyDescent="0.15"/>
    <row r="908" customFormat="1" x14ac:dyDescent="0.15"/>
    <row r="909" customFormat="1" x14ac:dyDescent="0.15"/>
    <row r="910" customFormat="1" x14ac:dyDescent="0.15"/>
    <row r="911" customFormat="1" x14ac:dyDescent="0.15"/>
    <row r="912" customFormat="1" x14ac:dyDescent="0.15"/>
    <row r="913" customFormat="1" x14ac:dyDescent="0.15"/>
    <row r="914" customFormat="1" x14ac:dyDescent="0.15"/>
    <row r="915" customFormat="1" x14ac:dyDescent="0.15"/>
    <row r="916" customFormat="1" x14ac:dyDescent="0.15"/>
    <row r="917" customFormat="1" x14ac:dyDescent="0.15"/>
    <row r="918" customFormat="1" x14ac:dyDescent="0.15"/>
    <row r="919" customFormat="1" x14ac:dyDescent="0.15"/>
    <row r="920" customFormat="1" x14ac:dyDescent="0.15"/>
    <row r="921" customFormat="1" x14ac:dyDescent="0.15"/>
    <row r="922" customFormat="1" x14ac:dyDescent="0.15"/>
    <row r="923" customFormat="1" x14ac:dyDescent="0.15"/>
    <row r="924" customFormat="1" x14ac:dyDescent="0.15"/>
    <row r="925" customFormat="1" x14ac:dyDescent="0.15"/>
    <row r="926" customFormat="1" x14ac:dyDescent="0.15"/>
    <row r="927" customFormat="1" x14ac:dyDescent="0.15"/>
    <row r="928" customFormat="1" x14ac:dyDescent="0.15"/>
    <row r="929" customFormat="1" x14ac:dyDescent="0.15"/>
    <row r="930" customFormat="1" x14ac:dyDescent="0.15"/>
    <row r="931" customFormat="1" x14ac:dyDescent="0.15"/>
    <row r="932" customFormat="1" x14ac:dyDescent="0.15"/>
    <row r="933" customFormat="1" x14ac:dyDescent="0.15"/>
    <row r="934" customFormat="1" x14ac:dyDescent="0.15"/>
    <row r="935" customFormat="1" x14ac:dyDescent="0.15"/>
    <row r="936" customFormat="1" x14ac:dyDescent="0.15"/>
    <row r="937" customFormat="1" x14ac:dyDescent="0.15"/>
    <row r="938" customFormat="1" x14ac:dyDescent="0.15"/>
    <row r="939" customFormat="1" x14ac:dyDescent="0.15"/>
    <row r="940" customFormat="1" x14ac:dyDescent="0.15"/>
    <row r="941" customFormat="1" x14ac:dyDescent="0.15"/>
    <row r="942" customFormat="1" x14ac:dyDescent="0.15"/>
    <row r="943" customFormat="1" x14ac:dyDescent="0.15"/>
    <row r="944" customFormat="1" x14ac:dyDescent="0.15"/>
    <row r="945" customFormat="1" x14ac:dyDescent="0.15"/>
    <row r="946" customFormat="1" x14ac:dyDescent="0.15"/>
    <row r="947" customFormat="1" x14ac:dyDescent="0.15"/>
    <row r="948" customFormat="1" x14ac:dyDescent="0.15"/>
    <row r="949" customFormat="1" x14ac:dyDescent="0.15"/>
    <row r="950" customFormat="1" x14ac:dyDescent="0.15"/>
    <row r="951" customFormat="1" x14ac:dyDescent="0.15"/>
    <row r="952" customFormat="1" x14ac:dyDescent="0.15"/>
    <row r="953" customFormat="1" x14ac:dyDescent="0.15"/>
    <row r="954" customFormat="1" x14ac:dyDescent="0.15"/>
    <row r="955" customFormat="1" x14ac:dyDescent="0.15"/>
    <row r="956" customFormat="1" x14ac:dyDescent="0.15"/>
    <row r="957" customFormat="1" x14ac:dyDescent="0.15"/>
    <row r="958" customFormat="1" x14ac:dyDescent="0.15"/>
    <row r="959" customFormat="1" x14ac:dyDescent="0.15"/>
    <row r="960" customFormat="1" x14ac:dyDescent="0.15"/>
    <row r="961" customFormat="1" x14ac:dyDescent="0.15"/>
    <row r="962" customFormat="1" x14ac:dyDescent="0.15"/>
    <row r="963" customFormat="1" x14ac:dyDescent="0.15"/>
    <row r="964" customFormat="1" x14ac:dyDescent="0.15"/>
    <row r="965" customFormat="1" x14ac:dyDescent="0.15"/>
    <row r="966" customFormat="1" x14ac:dyDescent="0.15"/>
    <row r="967" customFormat="1" x14ac:dyDescent="0.15"/>
    <row r="968" customFormat="1" x14ac:dyDescent="0.15"/>
    <row r="969" customFormat="1" x14ac:dyDescent="0.15"/>
    <row r="970" customFormat="1" x14ac:dyDescent="0.15"/>
    <row r="971" customFormat="1" x14ac:dyDescent="0.15"/>
    <row r="972" customFormat="1" x14ac:dyDescent="0.15"/>
    <row r="973" customFormat="1" x14ac:dyDescent="0.15"/>
    <row r="974" customFormat="1" x14ac:dyDescent="0.15"/>
    <row r="975" customFormat="1" x14ac:dyDescent="0.15"/>
    <row r="976" customFormat="1" x14ac:dyDescent="0.15"/>
    <row r="977" customFormat="1" x14ac:dyDescent="0.15"/>
    <row r="978" customFormat="1" x14ac:dyDescent="0.15"/>
    <row r="979" customFormat="1" x14ac:dyDescent="0.15"/>
    <row r="980" customFormat="1" x14ac:dyDescent="0.15"/>
    <row r="981" customFormat="1" x14ac:dyDescent="0.15"/>
    <row r="982" customFormat="1" x14ac:dyDescent="0.15"/>
    <row r="983" customFormat="1" x14ac:dyDescent="0.15"/>
    <row r="984" customFormat="1" x14ac:dyDescent="0.15"/>
    <row r="985" customFormat="1" x14ac:dyDescent="0.15"/>
    <row r="986" customFormat="1" x14ac:dyDescent="0.15"/>
    <row r="987" customFormat="1" x14ac:dyDescent="0.15"/>
    <row r="988" customFormat="1" x14ac:dyDescent="0.15"/>
    <row r="989" customFormat="1" x14ac:dyDescent="0.15"/>
    <row r="990" customFormat="1" x14ac:dyDescent="0.15"/>
    <row r="991" customFormat="1" x14ac:dyDescent="0.15"/>
    <row r="992" customFormat="1" x14ac:dyDescent="0.15"/>
    <row r="993" customFormat="1" x14ac:dyDescent="0.15"/>
    <row r="994" customFormat="1" x14ac:dyDescent="0.15"/>
    <row r="995" customFormat="1" x14ac:dyDescent="0.15"/>
    <row r="996" customFormat="1" x14ac:dyDescent="0.15"/>
    <row r="997" customFormat="1" x14ac:dyDescent="0.15"/>
    <row r="998" customFormat="1" x14ac:dyDescent="0.15"/>
    <row r="999" customFormat="1" x14ac:dyDescent="0.15"/>
    <row r="1000" customFormat="1" x14ac:dyDescent="0.15"/>
    <row r="1001" customFormat="1" x14ac:dyDescent="0.15"/>
    <row r="1002" customFormat="1" x14ac:dyDescent="0.15"/>
    <row r="1003" customFormat="1" x14ac:dyDescent="0.15"/>
    <row r="1004" customFormat="1" x14ac:dyDescent="0.15"/>
    <row r="1005" customFormat="1" x14ac:dyDescent="0.15"/>
    <row r="1006" customFormat="1" x14ac:dyDescent="0.15"/>
    <row r="1007" customFormat="1" x14ac:dyDescent="0.15"/>
    <row r="1008" customFormat="1" x14ac:dyDescent="0.15"/>
    <row r="1009" customFormat="1" x14ac:dyDescent="0.15"/>
    <row r="1010" customFormat="1" x14ac:dyDescent="0.15"/>
    <row r="1011" customFormat="1" x14ac:dyDescent="0.15"/>
    <row r="1012" customFormat="1" x14ac:dyDescent="0.15"/>
    <row r="1013" customFormat="1" x14ac:dyDescent="0.15"/>
    <row r="1014" customFormat="1" x14ac:dyDescent="0.15"/>
    <row r="1015" customFormat="1" x14ac:dyDescent="0.15"/>
    <row r="1016" customFormat="1" x14ac:dyDescent="0.15"/>
    <row r="1017" customFormat="1" x14ac:dyDescent="0.15"/>
    <row r="1018" customFormat="1" x14ac:dyDescent="0.15"/>
    <row r="1019" customFormat="1" x14ac:dyDescent="0.15"/>
    <row r="1020" customFormat="1" x14ac:dyDescent="0.15"/>
    <row r="1021" customFormat="1" x14ac:dyDescent="0.15"/>
    <row r="1022" customFormat="1" x14ac:dyDescent="0.15"/>
    <row r="1023" customFormat="1" x14ac:dyDescent="0.15"/>
    <row r="1024" customFormat="1" x14ac:dyDescent="0.15"/>
    <row r="1025" customFormat="1" x14ac:dyDescent="0.15"/>
    <row r="1026" customFormat="1" x14ac:dyDescent="0.15"/>
    <row r="1027" customFormat="1" x14ac:dyDescent="0.15"/>
    <row r="1028" customFormat="1" x14ac:dyDescent="0.15"/>
    <row r="1029" customFormat="1" x14ac:dyDescent="0.15"/>
    <row r="1030" customFormat="1" x14ac:dyDescent="0.15"/>
    <row r="1031" customFormat="1" x14ac:dyDescent="0.15"/>
    <row r="1032" customFormat="1" x14ac:dyDescent="0.15"/>
    <row r="1033" customFormat="1" x14ac:dyDescent="0.15"/>
    <row r="1034" customFormat="1" x14ac:dyDescent="0.15"/>
    <row r="1035" customFormat="1" x14ac:dyDescent="0.15"/>
    <row r="1036" customFormat="1" x14ac:dyDescent="0.15"/>
    <row r="1037" customFormat="1" x14ac:dyDescent="0.15"/>
    <row r="1038" customFormat="1" x14ac:dyDescent="0.15"/>
    <row r="1039" customFormat="1" x14ac:dyDescent="0.15"/>
    <row r="1040" customFormat="1" x14ac:dyDescent="0.15"/>
    <row r="1041" customFormat="1" x14ac:dyDescent="0.15"/>
    <row r="1042" customFormat="1" x14ac:dyDescent="0.15"/>
    <row r="1043" customFormat="1" x14ac:dyDescent="0.15"/>
    <row r="1044" customFormat="1" x14ac:dyDescent="0.15"/>
    <row r="1045" customFormat="1" x14ac:dyDescent="0.15"/>
    <row r="1046" customFormat="1" x14ac:dyDescent="0.15"/>
    <row r="1047" customFormat="1" x14ac:dyDescent="0.15"/>
    <row r="1048" customFormat="1" x14ac:dyDescent="0.15"/>
    <row r="1049" customFormat="1" x14ac:dyDescent="0.15"/>
    <row r="1050" customFormat="1" x14ac:dyDescent="0.15"/>
    <row r="1051" customFormat="1" x14ac:dyDescent="0.15"/>
    <row r="1052" customFormat="1" x14ac:dyDescent="0.15"/>
    <row r="1053" customFormat="1" x14ac:dyDescent="0.15"/>
    <row r="1054" customFormat="1" x14ac:dyDescent="0.15"/>
    <row r="1055" customFormat="1" x14ac:dyDescent="0.15"/>
    <row r="1056" customFormat="1" x14ac:dyDescent="0.15"/>
    <row r="1057" customFormat="1" x14ac:dyDescent="0.15"/>
    <row r="1058" customFormat="1" x14ac:dyDescent="0.15"/>
    <row r="1059" customFormat="1" x14ac:dyDescent="0.15"/>
    <row r="1060" customFormat="1" x14ac:dyDescent="0.15"/>
    <row r="1061" customFormat="1" x14ac:dyDescent="0.15"/>
    <row r="1062" customFormat="1" x14ac:dyDescent="0.15"/>
    <row r="1063" customFormat="1" x14ac:dyDescent="0.15"/>
    <row r="1064" customFormat="1" x14ac:dyDescent="0.15"/>
    <row r="1065" customFormat="1" x14ac:dyDescent="0.15"/>
    <row r="1066" customFormat="1" x14ac:dyDescent="0.15"/>
    <row r="1067" customFormat="1" x14ac:dyDescent="0.15"/>
    <row r="1068" customFormat="1" x14ac:dyDescent="0.15"/>
    <row r="1069" customFormat="1" x14ac:dyDescent="0.15"/>
    <row r="1070" customFormat="1" x14ac:dyDescent="0.15"/>
    <row r="1071" customFormat="1" x14ac:dyDescent="0.15"/>
    <row r="1072" customFormat="1" x14ac:dyDescent="0.15"/>
    <row r="1073" customFormat="1" x14ac:dyDescent="0.15"/>
    <row r="1074" customFormat="1" x14ac:dyDescent="0.15"/>
    <row r="1075" customFormat="1" x14ac:dyDescent="0.15"/>
    <row r="1076" customFormat="1" x14ac:dyDescent="0.15"/>
    <row r="1077" customFormat="1" x14ac:dyDescent="0.15"/>
    <row r="1078" customFormat="1" x14ac:dyDescent="0.15"/>
    <row r="1079" customFormat="1" x14ac:dyDescent="0.15"/>
    <row r="1080" customFormat="1" x14ac:dyDescent="0.15"/>
    <row r="1081" customFormat="1" x14ac:dyDescent="0.15"/>
    <row r="1082" customFormat="1" x14ac:dyDescent="0.15"/>
    <row r="1083" customFormat="1" x14ac:dyDescent="0.15"/>
    <row r="1084" customFormat="1" x14ac:dyDescent="0.15"/>
    <row r="1085" customFormat="1" x14ac:dyDescent="0.15"/>
    <row r="1086" customFormat="1" x14ac:dyDescent="0.15"/>
    <row r="1087" customFormat="1" x14ac:dyDescent="0.15"/>
    <row r="1088" customFormat="1" x14ac:dyDescent="0.15"/>
    <row r="1089" customFormat="1" x14ac:dyDescent="0.15"/>
    <row r="1090" customFormat="1" x14ac:dyDescent="0.15"/>
    <row r="1091" customFormat="1" x14ac:dyDescent="0.15"/>
    <row r="1092" customFormat="1" x14ac:dyDescent="0.15"/>
    <row r="1093" customFormat="1" x14ac:dyDescent="0.15"/>
    <row r="1094" customFormat="1" x14ac:dyDescent="0.15"/>
    <row r="1095" customFormat="1" x14ac:dyDescent="0.15"/>
    <row r="1096" customFormat="1" x14ac:dyDescent="0.15"/>
    <row r="1097" customFormat="1" x14ac:dyDescent="0.15"/>
    <row r="1098" customFormat="1" x14ac:dyDescent="0.15"/>
    <row r="1099" customFormat="1" x14ac:dyDescent="0.15"/>
    <row r="1100" customFormat="1" x14ac:dyDescent="0.15"/>
    <row r="1101" customFormat="1" x14ac:dyDescent="0.15"/>
    <row r="1102" customFormat="1" x14ac:dyDescent="0.15"/>
    <row r="1103" customFormat="1" x14ac:dyDescent="0.15"/>
    <row r="1104" customFormat="1" x14ac:dyDescent="0.15"/>
    <row r="1105" customFormat="1" x14ac:dyDescent="0.15"/>
    <row r="1106" customFormat="1" x14ac:dyDescent="0.15"/>
    <row r="1107" customFormat="1" x14ac:dyDescent="0.15"/>
    <row r="1108" customFormat="1" x14ac:dyDescent="0.15"/>
    <row r="1109" customFormat="1" x14ac:dyDescent="0.15"/>
    <row r="1110" customFormat="1" x14ac:dyDescent="0.15"/>
    <row r="1111" customFormat="1" x14ac:dyDescent="0.15"/>
    <row r="1112" customFormat="1" x14ac:dyDescent="0.15"/>
    <row r="1113" customFormat="1" x14ac:dyDescent="0.15"/>
    <row r="1114" customFormat="1" x14ac:dyDescent="0.15"/>
    <row r="1115" customFormat="1" x14ac:dyDescent="0.15"/>
    <row r="1116" customFormat="1" x14ac:dyDescent="0.15"/>
    <row r="1117" customFormat="1" x14ac:dyDescent="0.15"/>
    <row r="1118" customFormat="1" x14ac:dyDescent="0.15"/>
    <row r="1119" customFormat="1" x14ac:dyDescent="0.15"/>
    <row r="1120" customFormat="1" x14ac:dyDescent="0.15"/>
    <row r="1121" customFormat="1" x14ac:dyDescent="0.15"/>
    <row r="1122" customFormat="1" x14ac:dyDescent="0.15"/>
    <row r="1123" customFormat="1" x14ac:dyDescent="0.15"/>
    <row r="1124" customFormat="1" x14ac:dyDescent="0.15"/>
    <row r="1125" customFormat="1" x14ac:dyDescent="0.15"/>
    <row r="1126" customFormat="1" x14ac:dyDescent="0.15"/>
    <row r="1127" customFormat="1" x14ac:dyDescent="0.15"/>
    <row r="1128" customFormat="1" x14ac:dyDescent="0.15"/>
    <row r="1129" customFormat="1" x14ac:dyDescent="0.15"/>
    <row r="1130" customFormat="1" x14ac:dyDescent="0.15"/>
    <row r="1131" customFormat="1" x14ac:dyDescent="0.15"/>
    <row r="1132" customFormat="1" x14ac:dyDescent="0.15"/>
    <row r="1133" customFormat="1" x14ac:dyDescent="0.15"/>
    <row r="1134" customFormat="1" x14ac:dyDescent="0.15"/>
    <row r="1135" customFormat="1" x14ac:dyDescent="0.15"/>
    <row r="1136" customFormat="1" x14ac:dyDescent="0.15"/>
    <row r="1137" customFormat="1" x14ac:dyDescent="0.15"/>
    <row r="1138" customFormat="1" x14ac:dyDescent="0.15"/>
    <row r="1139" customFormat="1" x14ac:dyDescent="0.15"/>
    <row r="1140" customFormat="1" x14ac:dyDescent="0.15"/>
    <row r="1141" customFormat="1" x14ac:dyDescent="0.15"/>
    <row r="1142" customFormat="1" x14ac:dyDescent="0.15"/>
    <row r="1143" customFormat="1" x14ac:dyDescent="0.15"/>
    <row r="1144" customFormat="1" x14ac:dyDescent="0.15"/>
    <row r="1145" customFormat="1" x14ac:dyDescent="0.15"/>
    <row r="1146" customFormat="1" x14ac:dyDescent="0.15"/>
    <row r="1147" customFormat="1" x14ac:dyDescent="0.15"/>
    <row r="1148" customFormat="1" x14ac:dyDescent="0.15"/>
    <row r="1149" customFormat="1" x14ac:dyDescent="0.15"/>
    <row r="1150" customFormat="1" x14ac:dyDescent="0.15"/>
    <row r="1151" customFormat="1" x14ac:dyDescent="0.15"/>
    <row r="1152" customFormat="1" x14ac:dyDescent="0.15"/>
    <row r="1153" customFormat="1" x14ac:dyDescent="0.15"/>
    <row r="1154" customFormat="1" x14ac:dyDescent="0.15"/>
    <row r="1155" customFormat="1" x14ac:dyDescent="0.15"/>
    <row r="1156" customFormat="1" x14ac:dyDescent="0.15"/>
    <row r="1157" customFormat="1" x14ac:dyDescent="0.15"/>
    <row r="1158" customFormat="1" x14ac:dyDescent="0.15"/>
    <row r="1159" customFormat="1" x14ac:dyDescent="0.15"/>
    <row r="1160" customFormat="1" x14ac:dyDescent="0.15"/>
    <row r="1161" customFormat="1" x14ac:dyDescent="0.15"/>
    <row r="1162" customFormat="1" x14ac:dyDescent="0.15"/>
    <row r="1163" customFormat="1" x14ac:dyDescent="0.15"/>
    <row r="1164" customFormat="1" x14ac:dyDescent="0.15"/>
    <row r="1165" customFormat="1" x14ac:dyDescent="0.15"/>
    <row r="1166" customFormat="1" x14ac:dyDescent="0.15"/>
    <row r="1167" customFormat="1" x14ac:dyDescent="0.15"/>
    <row r="1168" customFormat="1" x14ac:dyDescent="0.15"/>
    <row r="1169" customFormat="1" x14ac:dyDescent="0.15"/>
    <row r="1170" customFormat="1" x14ac:dyDescent="0.15"/>
    <row r="1171" customFormat="1" x14ac:dyDescent="0.15"/>
    <row r="1172" customFormat="1" x14ac:dyDescent="0.15"/>
    <row r="1173" customFormat="1" x14ac:dyDescent="0.15"/>
    <row r="1174" customFormat="1" x14ac:dyDescent="0.15"/>
    <row r="1175" customFormat="1" x14ac:dyDescent="0.15"/>
    <row r="1176" customFormat="1" x14ac:dyDescent="0.15"/>
    <row r="1177" customFormat="1" x14ac:dyDescent="0.15"/>
    <row r="1178" customFormat="1" x14ac:dyDescent="0.15"/>
    <row r="1179" customFormat="1" x14ac:dyDescent="0.15"/>
    <row r="1180" customFormat="1" x14ac:dyDescent="0.15"/>
    <row r="1181" customFormat="1" x14ac:dyDescent="0.15"/>
    <row r="1182" customFormat="1" x14ac:dyDescent="0.15"/>
    <row r="1183" customFormat="1" x14ac:dyDescent="0.15"/>
    <row r="1184" customFormat="1" x14ac:dyDescent="0.15"/>
    <row r="1185" customFormat="1" x14ac:dyDescent="0.15"/>
    <row r="1186" customFormat="1" x14ac:dyDescent="0.15"/>
    <row r="1187" customFormat="1" x14ac:dyDescent="0.15"/>
    <row r="1188" customFormat="1" x14ac:dyDescent="0.15"/>
    <row r="1189" customFormat="1" x14ac:dyDescent="0.15"/>
    <row r="1190" customFormat="1" x14ac:dyDescent="0.15"/>
    <row r="1191" customFormat="1" x14ac:dyDescent="0.15"/>
    <row r="1192" customFormat="1" x14ac:dyDescent="0.15"/>
    <row r="1193" customFormat="1" x14ac:dyDescent="0.15"/>
    <row r="1194" customFormat="1" x14ac:dyDescent="0.15"/>
    <row r="1195" customFormat="1" x14ac:dyDescent="0.15"/>
    <row r="1196" customFormat="1" x14ac:dyDescent="0.15"/>
    <row r="1197" customFormat="1" x14ac:dyDescent="0.15"/>
    <row r="1198" customFormat="1" x14ac:dyDescent="0.15"/>
    <row r="1199" customFormat="1" x14ac:dyDescent="0.15"/>
    <row r="1200" customFormat="1" x14ac:dyDescent="0.15"/>
    <row r="1201" customFormat="1" x14ac:dyDescent="0.15"/>
    <row r="1202" customFormat="1" x14ac:dyDescent="0.15"/>
    <row r="1203" customFormat="1" x14ac:dyDescent="0.15"/>
    <row r="1204" customFormat="1" x14ac:dyDescent="0.15"/>
    <row r="1205" customFormat="1" x14ac:dyDescent="0.15"/>
    <row r="1206" customFormat="1" x14ac:dyDescent="0.15"/>
    <row r="1207" customFormat="1" x14ac:dyDescent="0.15"/>
    <row r="1208" customFormat="1" x14ac:dyDescent="0.15"/>
    <row r="1209" customFormat="1" x14ac:dyDescent="0.15"/>
    <row r="1210" customFormat="1" x14ac:dyDescent="0.15"/>
    <row r="1211" customFormat="1" x14ac:dyDescent="0.15"/>
    <row r="1212" customFormat="1" x14ac:dyDescent="0.15"/>
    <row r="1213" customFormat="1" x14ac:dyDescent="0.15"/>
    <row r="1214" customFormat="1" x14ac:dyDescent="0.15"/>
    <row r="1215" customFormat="1" x14ac:dyDescent="0.15"/>
    <row r="1216" customFormat="1" x14ac:dyDescent="0.15"/>
    <row r="1217" customFormat="1" x14ac:dyDescent="0.15"/>
    <row r="1218" customFormat="1" x14ac:dyDescent="0.15"/>
    <row r="1219" customFormat="1" x14ac:dyDescent="0.15"/>
    <row r="1220" customFormat="1" x14ac:dyDescent="0.15"/>
    <row r="1221" customFormat="1" x14ac:dyDescent="0.15"/>
    <row r="1222" customFormat="1" x14ac:dyDescent="0.15"/>
    <row r="1223" customFormat="1" x14ac:dyDescent="0.15"/>
    <row r="1224" customFormat="1" x14ac:dyDescent="0.15"/>
    <row r="1225" customFormat="1" x14ac:dyDescent="0.15"/>
    <row r="1226" customFormat="1" x14ac:dyDescent="0.15"/>
    <row r="1227" customFormat="1" x14ac:dyDescent="0.15"/>
    <row r="1228" customFormat="1" x14ac:dyDescent="0.15"/>
    <row r="1229" customFormat="1" x14ac:dyDescent="0.15"/>
    <row r="1230" customFormat="1" x14ac:dyDescent="0.15"/>
    <row r="1231" customFormat="1" x14ac:dyDescent="0.15"/>
    <row r="1232" customFormat="1" x14ac:dyDescent="0.15"/>
    <row r="1233" customFormat="1" x14ac:dyDescent="0.15"/>
    <row r="1234" customFormat="1" x14ac:dyDescent="0.15"/>
    <row r="1235" customFormat="1" x14ac:dyDescent="0.15"/>
  </sheetData>
  <phoneticPr fontId="2" type="noConversion"/>
  <hyperlinks>
    <hyperlink ref="C279" r:id="rId1" display="https://twitter.com/EcoLedesma/status/703290377281867776" xr:uid="{00000000-0004-0000-0700-000000000000}"/>
  </hyperlinks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/>
  <dimension ref="A1:M409"/>
  <sheetViews>
    <sheetView workbookViewId="0">
      <selection activeCell="K2" sqref="K2:K406"/>
    </sheetView>
  </sheetViews>
  <sheetFormatPr baseColWidth="10" defaultRowHeight="13" x14ac:dyDescent="0.15"/>
  <cols>
    <col min="2" max="2" width="6.5" bestFit="1" customWidth="1"/>
    <col min="3" max="3" width="12.6640625" style="9" customWidth="1"/>
    <col min="4" max="8" width="12.6640625" customWidth="1"/>
    <col min="9" max="9" width="12.6640625" style="4" customWidth="1"/>
    <col min="10" max="11" width="12.6640625" customWidth="1"/>
    <col min="12" max="13" width="8.1640625" bestFit="1" customWidth="1"/>
  </cols>
  <sheetData>
    <row r="1" spans="1:13" ht="56" x14ac:dyDescent="0.15">
      <c r="C1" s="37" t="s">
        <v>88</v>
      </c>
      <c r="D1" s="37" t="s">
        <v>86</v>
      </c>
      <c r="E1" s="37" t="s">
        <v>82</v>
      </c>
      <c r="F1" s="37" t="s">
        <v>81</v>
      </c>
      <c r="G1" s="37" t="s">
        <v>83</v>
      </c>
      <c r="H1" s="37" t="s">
        <v>84</v>
      </c>
      <c r="I1" s="38" t="s">
        <v>54</v>
      </c>
      <c r="J1" s="37" t="s">
        <v>87</v>
      </c>
      <c r="K1" s="62" t="s">
        <v>85</v>
      </c>
    </row>
    <row r="2" spans="1:13" x14ac:dyDescent="0.15">
      <c r="A2" s="34">
        <v>33970</v>
      </c>
      <c r="B2" s="6" t="s">
        <v>36</v>
      </c>
      <c r="C2" s="2">
        <v>210</v>
      </c>
      <c r="D2" s="7">
        <f>MAIZ!D2</f>
        <v>0.99873999999999996</v>
      </c>
      <c r="E2" s="2">
        <f>MAIZ!E2</f>
        <v>0.96122510905381364</v>
      </c>
      <c r="F2" s="3">
        <f t="shared" ref="F2:F65" si="0">+(C2*(D2/E2))/(AVERAGE(C$109)*AVERAGE(D$109)/AVERAGE(E$109))*100</f>
        <v>85.312065159497948</v>
      </c>
      <c r="G2" s="3">
        <f>+E2/AVERAGE(E$2:E$13)</f>
        <v>0.96122510905381375</v>
      </c>
      <c r="H2" s="3">
        <f t="shared" ref="H2:H65" si="1">+(C2*D2)/G2</f>
        <v>218.19592312403697</v>
      </c>
      <c r="I2" s="4">
        <v>3.5000000000000003E-2</v>
      </c>
      <c r="J2" s="5">
        <f t="shared" ref="J2:J65" si="2">+F2*(1-I2)/(F$109*(1-I$109))*100</f>
        <v>85.312065159497948</v>
      </c>
      <c r="K2" s="63">
        <f t="shared" ref="K2:K65" si="3">+H2*(1-I2)</f>
        <v>210.55906581469566</v>
      </c>
      <c r="L2" s="10">
        <f>+AVERAGE(K2:K109)</f>
        <v>209.55182751295348</v>
      </c>
      <c r="M2" s="10">
        <f>+AVERAGE(K110:K277)</f>
        <v>324.6150744475849</v>
      </c>
    </row>
    <row r="3" spans="1:13" x14ac:dyDescent="0.15">
      <c r="A3" s="34">
        <v>34001</v>
      </c>
      <c r="B3" t="s">
        <v>1</v>
      </c>
      <c r="C3" s="2">
        <v>211</v>
      </c>
      <c r="D3" s="7">
        <f>MAIZ!D3</f>
        <v>0.99915500000000002</v>
      </c>
      <c r="E3" s="2">
        <f>MAIZ!E3</f>
        <v>0.96824627318915923</v>
      </c>
      <c r="F3" s="3">
        <f t="shared" si="0"/>
        <v>85.132092964910925</v>
      </c>
      <c r="G3" s="3">
        <f t="shared" ref="G3:G66" si="4">+E3/AVERAGE(E$2:E$13)</f>
        <v>0.96824627318915935</v>
      </c>
      <c r="H3" s="3">
        <f t="shared" si="1"/>
        <v>217.73562247299586</v>
      </c>
      <c r="I3" s="4">
        <f>+I2</f>
        <v>3.5000000000000003E-2</v>
      </c>
      <c r="J3" s="5">
        <f t="shared" si="2"/>
        <v>85.13209296491091</v>
      </c>
      <c r="K3" s="63">
        <f t="shared" si="3"/>
        <v>210.114875686441</v>
      </c>
      <c r="L3" s="10">
        <f>+L2</f>
        <v>209.55182751295348</v>
      </c>
      <c r="M3" s="10">
        <f>+M2</f>
        <v>324.6150744475849</v>
      </c>
    </row>
    <row r="4" spans="1:13" x14ac:dyDescent="0.15">
      <c r="A4" s="34">
        <v>34029</v>
      </c>
      <c r="B4" t="s">
        <v>2</v>
      </c>
      <c r="C4" s="2">
        <v>210</v>
      </c>
      <c r="D4" s="7">
        <f>MAIZ!D4</f>
        <v>0.99968699999999999</v>
      </c>
      <c r="E4" s="2">
        <f>MAIZ!E4</f>
        <v>0.97552606594901525</v>
      </c>
      <c r="F4" s="3">
        <f t="shared" si="0"/>
        <v>84.141119192906388</v>
      </c>
      <c r="G4" s="3">
        <f t="shared" si="4"/>
        <v>0.97552606594901536</v>
      </c>
      <c r="H4" s="3">
        <f t="shared" si="1"/>
        <v>215.20108721623021</v>
      </c>
      <c r="I4" s="4">
        <f t="shared" ref="I4:I67" si="5">+I3</f>
        <v>3.5000000000000003E-2</v>
      </c>
      <c r="J4" s="5">
        <f t="shared" si="2"/>
        <v>84.141119192906388</v>
      </c>
      <c r="K4" s="63">
        <f t="shared" si="3"/>
        <v>207.66904916366215</v>
      </c>
      <c r="L4" s="10">
        <f t="shared" ref="L4:M19" si="6">+L3</f>
        <v>209.55182751295348</v>
      </c>
      <c r="M4" s="10">
        <f t="shared" si="6"/>
        <v>324.6150744475849</v>
      </c>
    </row>
    <row r="5" spans="1:13" x14ac:dyDescent="0.15">
      <c r="A5" s="34">
        <v>34060</v>
      </c>
      <c r="B5" t="s">
        <v>3</v>
      </c>
      <c r="C5" s="2">
        <v>225</v>
      </c>
      <c r="D5" s="7">
        <f>MAIZ!D5</f>
        <v>0.99916000000000005</v>
      </c>
      <c r="E5" s="2">
        <f>MAIZ!E5</f>
        <v>0.98572347100273094</v>
      </c>
      <c r="F5" s="3">
        <f t="shared" si="0"/>
        <v>89.171543312583069</v>
      </c>
      <c r="G5" s="3">
        <f t="shared" si="4"/>
        <v>0.98572347100273106</v>
      </c>
      <c r="H5" s="3">
        <f t="shared" si="1"/>
        <v>228.06700521324723</v>
      </c>
      <c r="I5" s="4">
        <f t="shared" si="5"/>
        <v>3.5000000000000003E-2</v>
      </c>
      <c r="J5" s="5">
        <f t="shared" si="2"/>
        <v>89.171543312583054</v>
      </c>
      <c r="K5" s="63">
        <f t="shared" si="3"/>
        <v>220.08466003078357</v>
      </c>
      <c r="L5" s="10">
        <f t="shared" si="6"/>
        <v>209.55182751295348</v>
      </c>
      <c r="M5" s="10">
        <f t="shared" si="6"/>
        <v>324.6150744475849</v>
      </c>
    </row>
    <row r="6" spans="1:13" x14ac:dyDescent="0.15">
      <c r="A6" s="34">
        <v>34090</v>
      </c>
      <c r="B6" t="s">
        <v>2</v>
      </c>
      <c r="C6" s="2">
        <v>245</v>
      </c>
      <c r="D6" s="7">
        <f>MAIZ!D6</f>
        <v>0.99939500000000003</v>
      </c>
      <c r="E6" s="2">
        <f>MAIZ!E6</f>
        <v>0.99840531890536988</v>
      </c>
      <c r="F6" s="3">
        <f t="shared" si="0"/>
        <v>95.887102198078537</v>
      </c>
      <c r="G6" s="3">
        <f t="shared" si="4"/>
        <v>0.99840531890536999</v>
      </c>
      <c r="H6" s="3">
        <f t="shared" si="1"/>
        <v>245.24285915108123</v>
      </c>
      <c r="I6" s="4">
        <f t="shared" si="5"/>
        <v>3.5000000000000003E-2</v>
      </c>
      <c r="J6" s="5">
        <f t="shared" si="2"/>
        <v>95.887102198078537</v>
      </c>
      <c r="K6" s="63">
        <f t="shared" si="3"/>
        <v>236.65935908079339</v>
      </c>
      <c r="L6" s="10">
        <f t="shared" si="6"/>
        <v>209.55182751295348</v>
      </c>
      <c r="M6" s="10">
        <f t="shared" si="6"/>
        <v>324.6150744475849</v>
      </c>
    </row>
    <row r="7" spans="1:13" x14ac:dyDescent="0.15">
      <c r="A7" s="34">
        <v>34121</v>
      </c>
      <c r="B7" t="s">
        <v>4</v>
      </c>
      <c r="C7" s="2">
        <v>248</v>
      </c>
      <c r="D7" s="7">
        <f>MAIZ!D7</f>
        <v>0.99928570000000005</v>
      </c>
      <c r="E7" s="2">
        <f>MAIZ!E7</f>
        <v>1.0055869533919335</v>
      </c>
      <c r="F7" s="3">
        <f t="shared" si="0"/>
        <v>96.357505094937039</v>
      </c>
      <c r="G7" s="3">
        <f t="shared" si="4"/>
        <v>1.0055869533919337</v>
      </c>
      <c r="H7" s="3">
        <f t="shared" si="1"/>
        <v>246.44597144391304</v>
      </c>
      <c r="I7" s="4">
        <f t="shared" si="5"/>
        <v>3.5000000000000003E-2</v>
      </c>
      <c r="J7" s="5">
        <f t="shared" si="2"/>
        <v>96.357505094937025</v>
      </c>
      <c r="K7" s="63">
        <f t="shared" si="3"/>
        <v>237.82036244337607</v>
      </c>
      <c r="L7" s="10">
        <f t="shared" si="6"/>
        <v>209.55182751295348</v>
      </c>
      <c r="M7" s="10">
        <f t="shared" si="6"/>
        <v>324.6150744475849</v>
      </c>
    </row>
    <row r="8" spans="1:13" x14ac:dyDescent="0.15">
      <c r="A8" s="34">
        <v>34151</v>
      </c>
      <c r="B8" t="s">
        <v>4</v>
      </c>
      <c r="C8" s="2">
        <v>255</v>
      </c>
      <c r="D8" s="7">
        <f>MAIZ!D8</f>
        <v>0.99892380000000003</v>
      </c>
      <c r="E8" s="2">
        <f>MAIZ!E8</f>
        <v>1.0088218212653428</v>
      </c>
      <c r="F8" s="3">
        <f t="shared" si="0"/>
        <v>98.723807542832489</v>
      </c>
      <c r="G8" s="3">
        <f t="shared" si="4"/>
        <v>1.008821821265343</v>
      </c>
      <c r="H8" s="3">
        <f t="shared" si="1"/>
        <v>252.49807610277833</v>
      </c>
      <c r="I8" s="4">
        <f t="shared" si="5"/>
        <v>3.5000000000000003E-2</v>
      </c>
      <c r="J8" s="5">
        <f t="shared" si="2"/>
        <v>98.723807542832489</v>
      </c>
      <c r="K8" s="63">
        <f t="shared" si="3"/>
        <v>243.66064343918109</v>
      </c>
      <c r="L8" s="10">
        <f t="shared" si="6"/>
        <v>209.55182751295348</v>
      </c>
      <c r="M8" s="10">
        <f t="shared" si="6"/>
        <v>324.6150744475849</v>
      </c>
    </row>
    <row r="9" spans="1:13" x14ac:dyDescent="0.15">
      <c r="A9" s="34">
        <v>34182</v>
      </c>
      <c r="B9" t="s">
        <v>3</v>
      </c>
      <c r="C9" s="2">
        <v>250</v>
      </c>
      <c r="D9" s="7">
        <f>MAIZ!D9</f>
        <v>1.000175</v>
      </c>
      <c r="E9" s="2">
        <f>MAIZ!E9</f>
        <v>1.0089836316612475</v>
      </c>
      <c r="F9" s="3">
        <f t="shared" si="0"/>
        <v>96.893736972796262</v>
      </c>
      <c r="G9" s="3">
        <f t="shared" si="4"/>
        <v>1.0089836316612477</v>
      </c>
      <c r="H9" s="3">
        <f t="shared" si="1"/>
        <v>247.81744931611414</v>
      </c>
      <c r="I9" s="4">
        <f t="shared" si="5"/>
        <v>3.5000000000000003E-2</v>
      </c>
      <c r="J9" s="5">
        <f t="shared" si="2"/>
        <v>96.893736972796262</v>
      </c>
      <c r="K9" s="63">
        <f t="shared" si="3"/>
        <v>239.14383859005014</v>
      </c>
      <c r="L9" s="10">
        <f t="shared" si="6"/>
        <v>209.55182751295348</v>
      </c>
      <c r="M9" s="10">
        <f t="shared" si="6"/>
        <v>324.6150744475849</v>
      </c>
    </row>
    <row r="10" spans="1:13" x14ac:dyDescent="0.15">
      <c r="A10" s="34">
        <v>34213</v>
      </c>
      <c r="B10" t="s">
        <v>5</v>
      </c>
      <c r="C10" s="2">
        <v>258</v>
      </c>
      <c r="D10" s="7">
        <f>MAIZ!D10</f>
        <v>1.0010095000000001</v>
      </c>
      <c r="E10" s="2">
        <f>MAIZ!E10</f>
        <v>1.0172986089414868</v>
      </c>
      <c r="F10" s="3">
        <f t="shared" si="0"/>
        <v>99.259773030409136</v>
      </c>
      <c r="G10" s="3">
        <f t="shared" si="4"/>
        <v>1.017298608941487</v>
      </c>
      <c r="H10" s="3">
        <f t="shared" si="1"/>
        <v>253.86887264961811</v>
      </c>
      <c r="I10" s="4">
        <f t="shared" si="5"/>
        <v>3.5000000000000003E-2</v>
      </c>
      <c r="J10" s="5">
        <f t="shared" si="2"/>
        <v>99.259773030409136</v>
      </c>
      <c r="K10" s="63">
        <f t="shared" si="3"/>
        <v>244.98346210688146</v>
      </c>
      <c r="L10" s="10">
        <f t="shared" si="6"/>
        <v>209.55182751295348</v>
      </c>
      <c r="M10" s="10">
        <f t="shared" si="6"/>
        <v>324.6150744475849</v>
      </c>
    </row>
    <row r="11" spans="1:13" x14ac:dyDescent="0.15">
      <c r="A11" s="34">
        <v>34243</v>
      </c>
      <c r="B11" t="s">
        <v>6</v>
      </c>
      <c r="C11" s="2">
        <v>255</v>
      </c>
      <c r="D11" s="7">
        <f>MAIZ!D11</f>
        <v>0.99951500000000004</v>
      </c>
      <c r="E11" s="2">
        <f>MAIZ!E11</f>
        <v>1.023049075702781</v>
      </c>
      <c r="F11" s="3">
        <f t="shared" si="0"/>
        <v>97.408499293814103</v>
      </c>
      <c r="G11" s="3">
        <f t="shared" si="4"/>
        <v>1.0230490757027813</v>
      </c>
      <c r="H11" s="3">
        <f t="shared" si="1"/>
        <v>249.13401620045772</v>
      </c>
      <c r="I11" s="4">
        <f t="shared" si="5"/>
        <v>3.5000000000000003E-2</v>
      </c>
      <c r="J11" s="5">
        <f t="shared" si="2"/>
        <v>97.408499293814103</v>
      </c>
      <c r="K11" s="63">
        <f t="shared" si="3"/>
        <v>240.41432563344171</v>
      </c>
      <c r="L11" s="10">
        <f t="shared" si="6"/>
        <v>209.55182751295348</v>
      </c>
      <c r="M11" s="10">
        <f t="shared" si="6"/>
        <v>324.6150744475849</v>
      </c>
    </row>
    <row r="12" spans="1:13" x14ac:dyDescent="0.15">
      <c r="A12" s="34">
        <v>34274</v>
      </c>
      <c r="B12" t="s">
        <v>7</v>
      </c>
      <c r="C12" s="2">
        <v>261</v>
      </c>
      <c r="D12" s="7">
        <f>MAIZ!D12</f>
        <v>0.99851900000000005</v>
      </c>
      <c r="E12" s="2">
        <f>MAIZ!E12</f>
        <v>1.023634005208474</v>
      </c>
      <c r="F12" s="3">
        <f t="shared" si="0"/>
        <v>99.544199623705836</v>
      </c>
      <c r="G12" s="3">
        <f t="shared" si="4"/>
        <v>1.0236340052084743</v>
      </c>
      <c r="H12" s="3">
        <f t="shared" si="1"/>
        <v>254.59632805665072</v>
      </c>
      <c r="I12" s="4">
        <f t="shared" si="5"/>
        <v>3.5000000000000003E-2</v>
      </c>
      <c r="J12" s="5">
        <f t="shared" si="2"/>
        <v>99.544199623705836</v>
      </c>
      <c r="K12" s="63">
        <f t="shared" si="3"/>
        <v>245.68545657466794</v>
      </c>
      <c r="L12" s="10">
        <f t="shared" si="6"/>
        <v>209.55182751295348</v>
      </c>
      <c r="M12" s="10">
        <f t="shared" si="6"/>
        <v>324.6150744475849</v>
      </c>
    </row>
    <row r="13" spans="1:13" x14ac:dyDescent="0.15">
      <c r="A13" s="34">
        <v>34304</v>
      </c>
      <c r="B13" s="6" t="s">
        <v>37</v>
      </c>
      <c r="C13" s="2">
        <v>308</v>
      </c>
      <c r="D13" s="7">
        <f>MAIZ!D13</f>
        <v>0.99859520000000002</v>
      </c>
      <c r="E13" s="2">
        <f>MAIZ!E13</f>
        <v>1.0234996657286446</v>
      </c>
      <c r="F13" s="3">
        <f t="shared" si="0"/>
        <v>117.49416761451805</v>
      </c>
      <c r="G13" s="3">
        <f t="shared" si="4"/>
        <v>1.0234996657286448</v>
      </c>
      <c r="H13" s="3">
        <f t="shared" si="1"/>
        <v>300.50554181767927</v>
      </c>
      <c r="I13" s="4">
        <f t="shared" si="5"/>
        <v>3.5000000000000003E-2</v>
      </c>
      <c r="J13" s="5">
        <f t="shared" si="2"/>
        <v>117.49416761451805</v>
      </c>
      <c r="K13" s="63">
        <f t="shared" si="3"/>
        <v>289.98784785406048</v>
      </c>
      <c r="L13" s="10">
        <f t="shared" si="6"/>
        <v>209.55182751295348</v>
      </c>
      <c r="M13" s="10">
        <f t="shared" si="6"/>
        <v>324.6150744475849</v>
      </c>
    </row>
    <row r="14" spans="1:13" x14ac:dyDescent="0.15">
      <c r="A14" s="34">
        <v>34335</v>
      </c>
      <c r="B14" s="6" t="s">
        <v>38</v>
      </c>
      <c r="C14" s="2">
        <v>290</v>
      </c>
      <c r="D14" s="7">
        <f>MAIZ!D14</f>
        <v>0.9985714</v>
      </c>
      <c r="E14" s="2">
        <f>MAIZ!E14</f>
        <v>1.0245301600926262</v>
      </c>
      <c r="F14" s="3">
        <f t="shared" si="0"/>
        <v>110.51371972844197</v>
      </c>
      <c r="G14" s="3">
        <f t="shared" si="4"/>
        <v>1.0245301600926264</v>
      </c>
      <c r="H14" s="3">
        <f t="shared" si="1"/>
        <v>282.65220222879429</v>
      </c>
      <c r="I14" s="4">
        <f t="shared" si="5"/>
        <v>3.5000000000000003E-2</v>
      </c>
      <c r="J14" s="5">
        <f t="shared" si="2"/>
        <v>110.51371972844197</v>
      </c>
      <c r="K14" s="63">
        <f t="shared" si="3"/>
        <v>272.75937515078647</v>
      </c>
      <c r="L14" s="10">
        <f t="shared" si="6"/>
        <v>209.55182751295348</v>
      </c>
      <c r="M14" s="10">
        <f t="shared" si="6"/>
        <v>324.6150744475849</v>
      </c>
    </row>
    <row r="15" spans="1:13" x14ac:dyDescent="0.15">
      <c r="A15" s="34">
        <v>34366</v>
      </c>
      <c r="B15" t="s">
        <v>1</v>
      </c>
      <c r="C15" s="2">
        <v>273</v>
      </c>
      <c r="D15" s="7">
        <f>MAIZ!D15</f>
        <v>0.99899499999999997</v>
      </c>
      <c r="E15" s="2">
        <f>MAIZ!E15</f>
        <v>1.0244939788860881</v>
      </c>
      <c r="F15" s="3">
        <f t="shared" si="0"/>
        <v>104.08313736291115</v>
      </c>
      <c r="G15" s="3">
        <f t="shared" si="4"/>
        <v>1.0244939788860883</v>
      </c>
      <c r="H15" s="3">
        <f t="shared" si="1"/>
        <v>266.20521020194684</v>
      </c>
      <c r="I15" s="4">
        <f t="shared" si="5"/>
        <v>3.5000000000000003E-2</v>
      </c>
      <c r="J15" s="5">
        <f t="shared" si="2"/>
        <v>104.08313736291113</v>
      </c>
      <c r="K15" s="63">
        <f t="shared" si="3"/>
        <v>256.88802784487871</v>
      </c>
      <c r="L15" s="10">
        <f t="shared" si="6"/>
        <v>209.55182751295348</v>
      </c>
      <c r="M15" s="10">
        <f t="shared" si="6"/>
        <v>324.6150744475849</v>
      </c>
    </row>
    <row r="16" spans="1:13" x14ac:dyDescent="0.15">
      <c r="A16" s="34">
        <v>34394</v>
      </c>
      <c r="B16" t="s">
        <v>2</v>
      </c>
      <c r="C16" s="2">
        <v>269</v>
      </c>
      <c r="D16" s="7">
        <f>MAIZ!D16</f>
        <v>1.0005272999999999</v>
      </c>
      <c r="E16" s="2">
        <f>MAIZ!E16</f>
        <v>1.0259221315108125</v>
      </c>
      <c r="F16" s="3">
        <f t="shared" si="0"/>
        <v>102.5724308238279</v>
      </c>
      <c r="G16" s="3">
        <f t="shared" si="4"/>
        <v>1.0259221315108127</v>
      </c>
      <c r="H16" s="3">
        <f t="shared" si="1"/>
        <v>262.34139554397882</v>
      </c>
      <c r="I16" s="4">
        <f t="shared" si="5"/>
        <v>3.5000000000000003E-2</v>
      </c>
      <c r="J16" s="5">
        <f t="shared" si="2"/>
        <v>102.5724308238279</v>
      </c>
      <c r="K16" s="63">
        <f t="shared" si="3"/>
        <v>253.15944669993956</v>
      </c>
      <c r="L16" s="10">
        <f t="shared" si="6"/>
        <v>209.55182751295348</v>
      </c>
      <c r="M16" s="10">
        <f t="shared" si="6"/>
        <v>324.6150744475849</v>
      </c>
    </row>
    <row r="17" spans="1:13" x14ac:dyDescent="0.15">
      <c r="A17" s="34">
        <v>34425</v>
      </c>
      <c r="B17" t="s">
        <v>3</v>
      </c>
      <c r="C17" s="2">
        <v>252</v>
      </c>
      <c r="D17" s="7">
        <f>MAIZ!D17</f>
        <v>1.0004249999999999</v>
      </c>
      <c r="E17" s="2">
        <f>MAIZ!E17</f>
        <v>1.0284193047842578</v>
      </c>
      <c r="F17" s="3">
        <f t="shared" si="0"/>
        <v>95.847034357299293</v>
      </c>
      <c r="G17" s="3">
        <f t="shared" si="4"/>
        <v>1.028419304784258</v>
      </c>
      <c r="H17" s="3">
        <f t="shared" si="1"/>
        <v>245.14038080302961</v>
      </c>
      <c r="I17" s="4">
        <f t="shared" si="5"/>
        <v>3.5000000000000003E-2</v>
      </c>
      <c r="J17" s="5">
        <f t="shared" si="2"/>
        <v>95.847034357299293</v>
      </c>
      <c r="K17" s="63">
        <f t="shared" si="3"/>
        <v>236.56046747492357</v>
      </c>
      <c r="L17" s="10">
        <f t="shared" si="6"/>
        <v>209.55182751295348</v>
      </c>
      <c r="M17" s="10">
        <f t="shared" si="6"/>
        <v>324.6150744475849</v>
      </c>
    </row>
    <row r="18" spans="1:13" x14ac:dyDescent="0.15">
      <c r="A18" s="34">
        <v>34455</v>
      </c>
      <c r="B18" t="s">
        <v>2</v>
      </c>
      <c r="C18" s="2">
        <v>265</v>
      </c>
      <c r="D18" s="7">
        <f>MAIZ!D18</f>
        <v>0.998919</v>
      </c>
      <c r="E18" s="2">
        <f>MAIZ!E18</f>
        <v>1.0319838236505658</v>
      </c>
      <c r="F18" s="3">
        <f t="shared" si="0"/>
        <v>100.29218225789205</v>
      </c>
      <c r="G18" s="3">
        <f t="shared" si="4"/>
        <v>1.0319838236505661</v>
      </c>
      <c r="H18" s="3">
        <f t="shared" si="1"/>
        <v>256.50938409440909</v>
      </c>
      <c r="I18" s="4">
        <f t="shared" si="5"/>
        <v>3.5000000000000003E-2</v>
      </c>
      <c r="J18" s="5">
        <f t="shared" si="2"/>
        <v>100.29218225789205</v>
      </c>
      <c r="K18" s="63">
        <f t="shared" si="3"/>
        <v>247.53155565110475</v>
      </c>
      <c r="L18" s="10">
        <f t="shared" si="6"/>
        <v>209.55182751295348</v>
      </c>
      <c r="M18" s="10">
        <f t="shared" si="6"/>
        <v>324.6150744475849</v>
      </c>
    </row>
    <row r="19" spans="1:13" x14ac:dyDescent="0.15">
      <c r="A19" s="34">
        <v>34486</v>
      </c>
      <c r="B19" t="s">
        <v>4</v>
      </c>
      <c r="C19" s="2">
        <v>265</v>
      </c>
      <c r="D19" s="7">
        <f>MAIZ!D19</f>
        <v>0.99789499999999998</v>
      </c>
      <c r="E19" s="2">
        <f>MAIZ!E19</f>
        <v>1.0359774918277516</v>
      </c>
      <c r="F19" s="3">
        <f t="shared" si="0"/>
        <v>99.803144319472153</v>
      </c>
      <c r="G19" s="3">
        <f t="shared" si="4"/>
        <v>1.0359774918277518</v>
      </c>
      <c r="H19" s="3">
        <f t="shared" si="1"/>
        <v>255.25861042931604</v>
      </c>
      <c r="I19" s="4">
        <f t="shared" si="5"/>
        <v>3.5000000000000003E-2</v>
      </c>
      <c r="J19" s="5">
        <f t="shared" si="2"/>
        <v>99.803144319472153</v>
      </c>
      <c r="K19" s="63">
        <f t="shared" si="3"/>
        <v>246.32455906428996</v>
      </c>
      <c r="L19" s="10">
        <f t="shared" si="6"/>
        <v>209.55182751295348</v>
      </c>
      <c r="M19" s="10">
        <f t="shared" si="6"/>
        <v>324.6150744475849</v>
      </c>
    </row>
    <row r="20" spans="1:13" x14ac:dyDescent="0.15">
      <c r="A20" s="34">
        <v>34516</v>
      </c>
      <c r="B20" t="s">
        <v>4</v>
      </c>
      <c r="C20" s="2">
        <v>250</v>
      </c>
      <c r="D20" s="7">
        <f>MAIZ!D20</f>
        <v>0.99826199999999998</v>
      </c>
      <c r="E20" s="2">
        <f>MAIZ!E20</f>
        <v>1.0455420607782286</v>
      </c>
      <c r="F20" s="3">
        <f t="shared" si="0"/>
        <v>93.326904861573126</v>
      </c>
      <c r="G20" s="3">
        <f t="shared" si="4"/>
        <v>1.0455420607782289</v>
      </c>
      <c r="H20" s="3">
        <f t="shared" si="1"/>
        <v>238.69484486759029</v>
      </c>
      <c r="I20" s="4">
        <f t="shared" si="5"/>
        <v>3.5000000000000003E-2</v>
      </c>
      <c r="J20" s="5">
        <f t="shared" si="2"/>
        <v>93.326904861573126</v>
      </c>
      <c r="K20" s="63">
        <f t="shared" si="3"/>
        <v>230.34052529722462</v>
      </c>
      <c r="L20" s="10">
        <f t="shared" ref="L20:M35" si="7">+L19</f>
        <v>209.55182751295348</v>
      </c>
      <c r="M20" s="10">
        <f t="shared" si="7"/>
        <v>324.6150744475849</v>
      </c>
    </row>
    <row r="21" spans="1:13" x14ac:dyDescent="0.15">
      <c r="A21" s="34">
        <v>34547</v>
      </c>
      <c r="B21" t="s">
        <v>3</v>
      </c>
      <c r="C21" s="2">
        <v>245</v>
      </c>
      <c r="D21" s="7">
        <f>MAIZ!D21</f>
        <v>0.99566189999999999</v>
      </c>
      <c r="E21" s="2">
        <f>MAIZ!E21</f>
        <v>1.0476991977124539</v>
      </c>
      <c r="F21" s="3">
        <f t="shared" si="0"/>
        <v>91.034326830542739</v>
      </c>
      <c r="G21" s="3">
        <f t="shared" si="4"/>
        <v>1.0476991977124541</v>
      </c>
      <c r="H21" s="3">
        <f t="shared" si="1"/>
        <v>232.83129932008373</v>
      </c>
      <c r="I21" s="4">
        <f t="shared" si="5"/>
        <v>3.5000000000000003E-2</v>
      </c>
      <c r="J21" s="5">
        <f t="shared" si="2"/>
        <v>91.034326830542739</v>
      </c>
      <c r="K21" s="63">
        <f t="shared" si="3"/>
        <v>224.68220384388079</v>
      </c>
      <c r="L21" s="10">
        <f t="shared" si="7"/>
        <v>209.55182751295348</v>
      </c>
      <c r="M21" s="10">
        <f t="shared" si="7"/>
        <v>324.6150744475849</v>
      </c>
    </row>
    <row r="22" spans="1:13" x14ac:dyDescent="0.15">
      <c r="A22" s="34">
        <v>34578</v>
      </c>
      <c r="B22" t="s">
        <v>5</v>
      </c>
      <c r="C22" s="2">
        <v>245</v>
      </c>
      <c r="D22" s="7">
        <f>MAIZ!D22</f>
        <v>0.99885239999999997</v>
      </c>
      <c r="E22" s="2">
        <f>MAIZ!E22</f>
        <v>1.054869776830353</v>
      </c>
      <c r="F22" s="3">
        <f t="shared" si="0"/>
        <v>90.70523976663037</v>
      </c>
      <c r="G22" s="3">
        <f t="shared" si="4"/>
        <v>1.0548697768303532</v>
      </c>
      <c r="H22" s="3">
        <f t="shared" si="1"/>
        <v>231.98961935882281</v>
      </c>
      <c r="I22" s="4">
        <f t="shared" si="5"/>
        <v>3.5000000000000003E-2</v>
      </c>
      <c r="J22" s="5">
        <f t="shared" si="2"/>
        <v>90.70523976663037</v>
      </c>
      <c r="K22" s="63">
        <f t="shared" si="3"/>
        <v>223.86998268126399</v>
      </c>
      <c r="L22" s="10">
        <f t="shared" si="7"/>
        <v>209.55182751295348</v>
      </c>
      <c r="M22" s="10">
        <f t="shared" si="7"/>
        <v>324.6150744475849</v>
      </c>
    </row>
    <row r="23" spans="1:13" x14ac:dyDescent="0.15">
      <c r="A23" s="34">
        <v>34608</v>
      </c>
      <c r="B23" t="s">
        <v>6</v>
      </c>
      <c r="C23" s="2">
        <v>240</v>
      </c>
      <c r="D23" s="7">
        <f>MAIZ!D23</f>
        <v>0.99868999999999997</v>
      </c>
      <c r="E23" s="2">
        <f>MAIZ!E23</f>
        <v>1.0582500395522563</v>
      </c>
      <c r="F23" s="3">
        <f t="shared" si="0"/>
        <v>88.555894239464834</v>
      </c>
      <c r="G23" s="3">
        <f t="shared" si="4"/>
        <v>1.0582500395522565</v>
      </c>
      <c r="H23" s="3">
        <f t="shared" si="1"/>
        <v>226.49240826053784</v>
      </c>
      <c r="I23" s="4">
        <f t="shared" si="5"/>
        <v>3.5000000000000003E-2</v>
      </c>
      <c r="J23" s="5">
        <f t="shared" si="2"/>
        <v>88.555894239464834</v>
      </c>
      <c r="K23" s="63">
        <f t="shared" si="3"/>
        <v>218.565173971419</v>
      </c>
      <c r="L23" s="10">
        <f t="shared" si="7"/>
        <v>209.55182751295348</v>
      </c>
      <c r="M23" s="10">
        <f t="shared" si="7"/>
        <v>324.6150744475849</v>
      </c>
    </row>
    <row r="24" spans="1:13" x14ac:dyDescent="0.15">
      <c r="A24" s="34">
        <v>34639</v>
      </c>
      <c r="B24" t="s">
        <v>7</v>
      </c>
      <c r="C24" s="2">
        <v>250</v>
      </c>
      <c r="D24" s="7">
        <f>MAIZ!D24</f>
        <v>1.0008330000000001</v>
      </c>
      <c r="E24" s="2">
        <f>MAIZ!E24</f>
        <v>1.0606426893401475</v>
      </c>
      <c r="F24" s="3">
        <f t="shared" si="0"/>
        <v>92.235126102064896</v>
      </c>
      <c r="G24" s="3">
        <f t="shared" si="4"/>
        <v>1.0606426893401477</v>
      </c>
      <c r="H24" s="3">
        <f t="shared" si="1"/>
        <v>235.90248866530237</v>
      </c>
      <c r="I24" s="4">
        <f t="shared" si="5"/>
        <v>3.5000000000000003E-2</v>
      </c>
      <c r="J24" s="5">
        <f t="shared" si="2"/>
        <v>92.235126102064896</v>
      </c>
      <c r="K24" s="63">
        <f t="shared" si="3"/>
        <v>227.64590156201677</v>
      </c>
      <c r="L24" s="10">
        <f t="shared" si="7"/>
        <v>209.55182751295348</v>
      </c>
      <c r="M24" s="10">
        <f t="shared" si="7"/>
        <v>324.6150744475849</v>
      </c>
    </row>
    <row r="25" spans="1:13" x14ac:dyDescent="0.15">
      <c r="A25" s="34">
        <v>34669</v>
      </c>
      <c r="B25" s="6" t="s">
        <v>39</v>
      </c>
      <c r="C25" s="2">
        <v>247</v>
      </c>
      <c r="D25" s="7">
        <f>MAIZ!D25</f>
        <v>1.0018499999999999</v>
      </c>
      <c r="E25" s="2">
        <f>MAIZ!E25</f>
        <v>1.0629492412569266</v>
      </c>
      <c r="F25" s="3">
        <f t="shared" si="0"/>
        <v>91.022959688667754</v>
      </c>
      <c r="G25" s="3">
        <f t="shared" si="4"/>
        <v>1.0629492412569268</v>
      </c>
      <c r="H25" s="3">
        <f t="shared" si="1"/>
        <v>232.80222648015123</v>
      </c>
      <c r="I25" s="4">
        <f t="shared" si="5"/>
        <v>3.5000000000000003E-2</v>
      </c>
      <c r="J25" s="5">
        <f t="shared" si="2"/>
        <v>91.022959688667754</v>
      </c>
      <c r="K25" s="63">
        <f t="shared" si="3"/>
        <v>224.65414855334592</v>
      </c>
      <c r="L25" s="10">
        <f t="shared" si="7"/>
        <v>209.55182751295348</v>
      </c>
      <c r="M25" s="10">
        <f t="shared" si="7"/>
        <v>324.6150744475849</v>
      </c>
    </row>
    <row r="26" spans="1:13" x14ac:dyDescent="0.15">
      <c r="A26" s="34">
        <v>34700</v>
      </c>
      <c r="B26" s="6" t="s">
        <v>40</v>
      </c>
      <c r="C26" s="2">
        <v>238</v>
      </c>
      <c r="D26" s="7">
        <f>MAIZ!D26</f>
        <v>1.0019181818181999</v>
      </c>
      <c r="E26" s="2">
        <f>MAIZ!E26</f>
        <v>1.0761932379055892</v>
      </c>
      <c r="F26" s="3">
        <f t="shared" si="0"/>
        <v>86.632885408680849</v>
      </c>
      <c r="G26" s="3">
        <f t="shared" si="4"/>
        <v>1.0761932379055894</v>
      </c>
      <c r="H26" s="3">
        <f t="shared" si="1"/>
        <v>221.57408063332446</v>
      </c>
      <c r="I26" s="4">
        <f t="shared" si="5"/>
        <v>3.5000000000000003E-2</v>
      </c>
      <c r="J26" s="5">
        <f t="shared" si="2"/>
        <v>86.632885408680849</v>
      </c>
      <c r="K26" s="63">
        <f t="shared" si="3"/>
        <v>213.81898781115808</v>
      </c>
      <c r="L26" s="10">
        <f t="shared" si="7"/>
        <v>209.55182751295348</v>
      </c>
      <c r="M26" s="10">
        <f t="shared" si="7"/>
        <v>324.6150744475849</v>
      </c>
    </row>
    <row r="27" spans="1:13" x14ac:dyDescent="0.15">
      <c r="A27" s="34">
        <v>34731</v>
      </c>
      <c r="B27" t="s">
        <v>1</v>
      </c>
      <c r="C27" s="2">
        <v>229</v>
      </c>
      <c r="D27" s="7">
        <f>MAIZ!D27</f>
        <v>1.001935</v>
      </c>
      <c r="E27" s="2">
        <f>MAIZ!E27</f>
        <v>1.0761637569224829</v>
      </c>
      <c r="F27" s="3">
        <f t="shared" si="0"/>
        <v>83.360534712337042</v>
      </c>
      <c r="G27" s="3">
        <f t="shared" si="4"/>
        <v>1.0761637569224831</v>
      </c>
      <c r="H27" s="3">
        <f t="shared" si="1"/>
        <v>213.20464801392393</v>
      </c>
      <c r="I27" s="4">
        <f t="shared" si="5"/>
        <v>3.5000000000000003E-2</v>
      </c>
      <c r="J27" s="5">
        <f t="shared" si="2"/>
        <v>83.360534712337028</v>
      </c>
      <c r="K27" s="63">
        <f t="shared" si="3"/>
        <v>205.74248533343658</v>
      </c>
      <c r="L27" s="10">
        <f t="shared" si="7"/>
        <v>209.55182751295348</v>
      </c>
      <c r="M27" s="10">
        <f t="shared" si="7"/>
        <v>324.6150744475849</v>
      </c>
    </row>
    <row r="28" spans="1:13" x14ac:dyDescent="0.15">
      <c r="A28" s="34">
        <v>34759</v>
      </c>
      <c r="B28" t="s">
        <v>2</v>
      </c>
      <c r="C28" s="2">
        <v>227</v>
      </c>
      <c r="D28" s="7">
        <f>MAIZ!D28</f>
        <v>1.0037499999999999</v>
      </c>
      <c r="E28" s="2">
        <f>MAIZ!E28</f>
        <v>1.0713288756932946</v>
      </c>
      <c r="F28" s="3">
        <f t="shared" si="0"/>
        <v>83.155777425408317</v>
      </c>
      <c r="G28" s="3">
        <f t="shared" si="4"/>
        <v>1.0713288756932948</v>
      </c>
      <c r="H28" s="3">
        <f t="shared" si="1"/>
        <v>212.68095649204767</v>
      </c>
      <c r="I28" s="4">
        <f t="shared" si="5"/>
        <v>3.5000000000000003E-2</v>
      </c>
      <c r="J28" s="5">
        <f t="shared" si="2"/>
        <v>83.155777425408303</v>
      </c>
      <c r="K28" s="63">
        <f t="shared" si="3"/>
        <v>205.23712301482598</v>
      </c>
      <c r="L28" s="10">
        <f t="shared" si="7"/>
        <v>209.55182751295348</v>
      </c>
      <c r="M28" s="10">
        <f t="shared" si="7"/>
        <v>324.6150744475849</v>
      </c>
    </row>
    <row r="29" spans="1:13" x14ac:dyDescent="0.15">
      <c r="A29" s="34">
        <v>34790</v>
      </c>
      <c r="B29" t="s">
        <v>3</v>
      </c>
      <c r="C29" s="2">
        <v>231</v>
      </c>
      <c r="D29" s="7">
        <f>MAIZ!D29</f>
        <v>1.0014944444444445</v>
      </c>
      <c r="E29" s="2">
        <f>MAIZ!E29</f>
        <v>1.0762284140786083</v>
      </c>
      <c r="F29" s="3">
        <f t="shared" si="0"/>
        <v>84.046550559792635</v>
      </c>
      <c r="G29" s="3">
        <f t="shared" si="4"/>
        <v>1.0762284140786085</v>
      </c>
      <c r="H29" s="3">
        <f t="shared" si="1"/>
        <v>214.95921650119993</v>
      </c>
      <c r="I29" s="4">
        <f t="shared" si="5"/>
        <v>3.5000000000000003E-2</v>
      </c>
      <c r="J29" s="5">
        <f t="shared" si="2"/>
        <v>84.046550559792649</v>
      </c>
      <c r="K29" s="63">
        <f t="shared" si="3"/>
        <v>207.43564392365792</v>
      </c>
      <c r="L29" s="10">
        <f t="shared" si="7"/>
        <v>209.55182751295348</v>
      </c>
      <c r="M29" s="10">
        <f t="shared" si="7"/>
        <v>324.6150744475849</v>
      </c>
    </row>
    <row r="30" spans="1:13" x14ac:dyDescent="0.15">
      <c r="A30" s="34">
        <v>34820</v>
      </c>
      <c r="B30" t="s">
        <v>2</v>
      </c>
      <c r="C30" s="2">
        <v>239</v>
      </c>
      <c r="D30" s="7">
        <f>MAIZ!D30</f>
        <v>1.0003952380952383</v>
      </c>
      <c r="E30" s="2">
        <f>MAIZ!E30</f>
        <v>1.0764545466194664</v>
      </c>
      <c r="F30" s="3">
        <f t="shared" si="0"/>
        <v>86.843565075130215</v>
      </c>
      <c r="G30" s="3">
        <f t="shared" si="4"/>
        <v>1.0764545466194666</v>
      </c>
      <c r="H30" s="3">
        <f t="shared" si="1"/>
        <v>222.11291935699666</v>
      </c>
      <c r="I30" s="4">
        <f t="shared" si="5"/>
        <v>3.5000000000000003E-2</v>
      </c>
      <c r="J30" s="5">
        <f t="shared" si="2"/>
        <v>86.843565075130201</v>
      </c>
      <c r="K30" s="63">
        <f t="shared" si="3"/>
        <v>214.33896717950176</v>
      </c>
      <c r="L30" s="10">
        <f t="shared" si="7"/>
        <v>209.55182751295348</v>
      </c>
      <c r="M30" s="10">
        <f t="shared" si="7"/>
        <v>324.6150744475849</v>
      </c>
    </row>
    <row r="31" spans="1:13" x14ac:dyDescent="0.15">
      <c r="A31" s="34">
        <v>34851</v>
      </c>
      <c r="B31" t="s">
        <v>4</v>
      </c>
      <c r="C31" s="2">
        <v>264</v>
      </c>
      <c r="D31" s="7">
        <f>MAIZ!D31</f>
        <v>0.99933809523809547</v>
      </c>
      <c r="E31" s="2">
        <f>MAIZ!E31</f>
        <v>1.074236772663173</v>
      </c>
      <c r="F31" s="3">
        <f t="shared" si="0"/>
        <v>96.02408524373736</v>
      </c>
      <c r="G31" s="3">
        <f t="shared" si="4"/>
        <v>1.0742367726631732</v>
      </c>
      <c r="H31" s="3">
        <f t="shared" si="1"/>
        <v>245.59320985521651</v>
      </c>
      <c r="I31" s="4">
        <f t="shared" si="5"/>
        <v>3.5000000000000003E-2</v>
      </c>
      <c r="J31" s="5">
        <f t="shared" si="2"/>
        <v>96.02408524373736</v>
      </c>
      <c r="K31" s="63">
        <f t="shared" si="3"/>
        <v>236.99744751028393</v>
      </c>
      <c r="L31" s="10">
        <f t="shared" si="7"/>
        <v>209.55182751295348</v>
      </c>
      <c r="M31" s="10">
        <f t="shared" si="7"/>
        <v>324.6150744475849</v>
      </c>
    </row>
    <row r="32" spans="1:13" x14ac:dyDescent="0.15">
      <c r="A32" s="34">
        <v>34881</v>
      </c>
      <c r="B32" t="s">
        <v>4</v>
      </c>
      <c r="C32" s="2">
        <v>298</v>
      </c>
      <c r="D32" s="7">
        <f>MAIZ!D32</f>
        <v>0.99941000000000013</v>
      </c>
      <c r="E32" s="2">
        <f>MAIZ!E32</f>
        <v>1.0785959380286243</v>
      </c>
      <c r="F32" s="3">
        <f t="shared" si="0"/>
        <v>107.96052744250888</v>
      </c>
      <c r="G32" s="3">
        <f t="shared" si="4"/>
        <v>1.0785959380286245</v>
      </c>
      <c r="H32" s="3">
        <f t="shared" si="1"/>
        <v>276.12210420923736</v>
      </c>
      <c r="I32" s="4">
        <f t="shared" si="5"/>
        <v>3.5000000000000003E-2</v>
      </c>
      <c r="J32" s="5">
        <f t="shared" si="2"/>
        <v>107.96052744250886</v>
      </c>
      <c r="K32" s="63">
        <f t="shared" si="3"/>
        <v>266.45783056191402</v>
      </c>
      <c r="L32" s="10">
        <f t="shared" si="7"/>
        <v>209.55182751295348</v>
      </c>
      <c r="M32" s="10">
        <f t="shared" si="7"/>
        <v>324.6150744475849</v>
      </c>
    </row>
    <row r="33" spans="1:13" x14ac:dyDescent="0.15">
      <c r="A33" s="34">
        <v>34912</v>
      </c>
      <c r="B33" t="s">
        <v>3</v>
      </c>
      <c r="C33" s="2">
        <v>283</v>
      </c>
      <c r="D33" s="7">
        <f>MAIZ!D33</f>
        <v>0.99987000000000004</v>
      </c>
      <c r="E33" s="2">
        <f>MAIZ!E33</f>
        <v>1.0759821808674521</v>
      </c>
      <c r="F33" s="3">
        <f t="shared" si="0"/>
        <v>102.82263230071366</v>
      </c>
      <c r="G33" s="3">
        <f t="shared" si="4"/>
        <v>1.0759821808674523</v>
      </c>
      <c r="H33" s="3">
        <f t="shared" si="1"/>
        <v>262.98131607707131</v>
      </c>
      <c r="I33" s="4">
        <f t="shared" si="5"/>
        <v>3.5000000000000003E-2</v>
      </c>
      <c r="J33" s="5">
        <f t="shared" si="2"/>
        <v>102.82263230071366</v>
      </c>
      <c r="K33" s="63">
        <f t="shared" si="3"/>
        <v>253.7769700143738</v>
      </c>
      <c r="L33" s="10">
        <f t="shared" si="7"/>
        <v>209.55182751295348</v>
      </c>
      <c r="M33" s="10">
        <f t="shared" si="7"/>
        <v>324.6150744475849</v>
      </c>
    </row>
    <row r="34" spans="1:13" x14ac:dyDescent="0.15">
      <c r="A34" s="34">
        <v>34943</v>
      </c>
      <c r="B34" t="s">
        <v>5</v>
      </c>
      <c r="C34" s="2">
        <v>275</v>
      </c>
      <c r="D34" s="7">
        <f>MAIZ!D34</f>
        <v>0.99904285714285712</v>
      </c>
      <c r="E34" s="2">
        <f>MAIZ!E34</f>
        <v>1.0777513748649139</v>
      </c>
      <c r="F34" s="3">
        <f t="shared" si="0"/>
        <v>99.669447469538326</v>
      </c>
      <c r="G34" s="3">
        <f t="shared" si="4"/>
        <v>1.0777513748649141</v>
      </c>
      <c r="H34" s="3">
        <f t="shared" si="1"/>
        <v>254.91666456813505</v>
      </c>
      <c r="I34" s="4">
        <f t="shared" si="5"/>
        <v>3.5000000000000003E-2</v>
      </c>
      <c r="J34" s="5">
        <f t="shared" si="2"/>
        <v>99.669447469538326</v>
      </c>
      <c r="K34" s="63">
        <f t="shared" si="3"/>
        <v>245.9945813082503</v>
      </c>
      <c r="L34" s="10">
        <f t="shared" si="7"/>
        <v>209.55182751295348</v>
      </c>
      <c r="M34" s="10">
        <f t="shared" si="7"/>
        <v>324.6150744475849</v>
      </c>
    </row>
    <row r="35" spans="1:13" x14ac:dyDescent="0.15">
      <c r="A35" s="34">
        <v>34973</v>
      </c>
      <c r="B35" t="s">
        <v>6</v>
      </c>
      <c r="C35" s="2">
        <v>275</v>
      </c>
      <c r="D35" s="7">
        <f>MAIZ!D35</f>
        <v>0.99944</v>
      </c>
      <c r="E35" s="2">
        <f>MAIZ!E35</f>
        <v>1.0814153920491933</v>
      </c>
      <c r="F35" s="3">
        <f t="shared" si="0"/>
        <v>99.371237312111049</v>
      </c>
      <c r="G35" s="3">
        <f t="shared" si="4"/>
        <v>1.0814153920491936</v>
      </c>
      <c r="H35" s="3">
        <f t="shared" si="1"/>
        <v>254.15395602904204</v>
      </c>
      <c r="I35" s="4">
        <f t="shared" si="5"/>
        <v>3.5000000000000003E-2</v>
      </c>
      <c r="J35" s="5">
        <f t="shared" si="2"/>
        <v>99.371237312111049</v>
      </c>
      <c r="K35" s="63">
        <f t="shared" si="3"/>
        <v>245.25856756802557</v>
      </c>
      <c r="L35" s="10">
        <f t="shared" si="7"/>
        <v>209.55182751295348</v>
      </c>
      <c r="M35" s="10">
        <f t="shared" si="7"/>
        <v>324.6150744475849</v>
      </c>
    </row>
    <row r="36" spans="1:13" x14ac:dyDescent="0.15">
      <c r="A36" s="34">
        <v>35004</v>
      </c>
      <c r="B36" t="s">
        <v>7</v>
      </c>
      <c r="C36" s="2">
        <v>273</v>
      </c>
      <c r="D36" s="7">
        <f>MAIZ!D36</f>
        <v>0.99969523809523808</v>
      </c>
      <c r="E36" s="2">
        <f>MAIZ!E36</f>
        <v>1.0789453546806578</v>
      </c>
      <c r="F36" s="3">
        <f t="shared" si="0"/>
        <v>98.89962485860876</v>
      </c>
      <c r="G36" s="3">
        <f t="shared" si="4"/>
        <v>1.078945354680658</v>
      </c>
      <c r="H36" s="3">
        <f t="shared" si="1"/>
        <v>252.94775014882646</v>
      </c>
      <c r="I36" s="4">
        <f t="shared" si="5"/>
        <v>3.5000000000000003E-2</v>
      </c>
      <c r="J36" s="5">
        <f t="shared" si="2"/>
        <v>98.89962485860876</v>
      </c>
      <c r="K36" s="63">
        <f t="shared" si="3"/>
        <v>244.09457889361752</v>
      </c>
      <c r="L36" s="10">
        <f t="shared" ref="L36:M51" si="8">+L35</f>
        <v>209.55182751295348</v>
      </c>
      <c r="M36" s="10">
        <f t="shared" si="8"/>
        <v>324.6150744475849</v>
      </c>
    </row>
    <row r="37" spans="1:13" x14ac:dyDescent="0.15">
      <c r="A37" s="34">
        <v>35034</v>
      </c>
      <c r="B37" s="6" t="s">
        <v>41</v>
      </c>
      <c r="C37" s="2">
        <v>247</v>
      </c>
      <c r="D37" s="7">
        <f>MAIZ!D37</f>
        <v>1.0001166666666699</v>
      </c>
      <c r="E37" s="2">
        <f>MAIZ!E37</f>
        <v>1.0800388311449101</v>
      </c>
      <c r="F37" s="3">
        <f t="shared" si="0"/>
        <v>89.427702046330381</v>
      </c>
      <c r="G37" s="3">
        <f t="shared" si="4"/>
        <v>1.0800388311449103</v>
      </c>
      <c r="H37" s="3">
        <f t="shared" si="1"/>
        <v>228.72216215115259</v>
      </c>
      <c r="I37" s="4">
        <f t="shared" si="5"/>
        <v>3.5000000000000003E-2</v>
      </c>
      <c r="J37" s="5">
        <f t="shared" si="2"/>
        <v>89.427702046330367</v>
      </c>
      <c r="K37" s="63">
        <f t="shared" si="3"/>
        <v>220.71688647586225</v>
      </c>
      <c r="L37" s="10">
        <f t="shared" si="8"/>
        <v>209.55182751295348</v>
      </c>
      <c r="M37" s="10">
        <f t="shared" si="8"/>
        <v>324.6150744475849</v>
      </c>
    </row>
    <row r="38" spans="1:13" x14ac:dyDescent="0.15">
      <c r="A38" s="34">
        <v>35065</v>
      </c>
      <c r="B38" s="6" t="s">
        <v>42</v>
      </c>
      <c r="C38" s="2">
        <v>245</v>
      </c>
      <c r="D38" s="7">
        <f>MAIZ!D38</f>
        <v>0.99921818181818201</v>
      </c>
      <c r="E38" s="2">
        <f>MAIZ!E38</f>
        <v>1.0832767141188584</v>
      </c>
      <c r="F38" s="3">
        <f t="shared" si="0"/>
        <v>88.359007267648039</v>
      </c>
      <c r="G38" s="3">
        <f t="shared" si="4"/>
        <v>1.0832767141188586</v>
      </c>
      <c r="H38" s="3">
        <f t="shared" si="1"/>
        <v>225.98884602128896</v>
      </c>
      <c r="I38" s="4">
        <f t="shared" si="5"/>
        <v>3.5000000000000003E-2</v>
      </c>
      <c r="J38" s="5">
        <f t="shared" si="2"/>
        <v>88.359007267648039</v>
      </c>
      <c r="K38" s="63">
        <f t="shared" si="3"/>
        <v>218.07923641054384</v>
      </c>
      <c r="L38" s="10">
        <f t="shared" si="8"/>
        <v>209.55182751295348</v>
      </c>
      <c r="M38" s="10">
        <f t="shared" si="8"/>
        <v>324.6150744475849</v>
      </c>
    </row>
    <row r="39" spans="1:13" x14ac:dyDescent="0.15">
      <c r="A39" s="34">
        <v>35096</v>
      </c>
      <c r="B39" t="s">
        <v>1</v>
      </c>
      <c r="C39" s="2">
        <v>237</v>
      </c>
      <c r="D39" s="7">
        <f>MAIZ!D39</f>
        <v>0.99939523809523845</v>
      </c>
      <c r="E39" s="2">
        <f>MAIZ!E39</f>
        <v>1.0797564167272042</v>
      </c>
      <c r="F39" s="3">
        <f t="shared" si="0"/>
        <v>85.76767779924279</v>
      </c>
      <c r="G39" s="3">
        <f t="shared" si="4"/>
        <v>1.0797564167272045</v>
      </c>
      <c r="H39" s="3">
        <f t="shared" si="1"/>
        <v>219.36120754576842</v>
      </c>
      <c r="I39" s="4">
        <f t="shared" si="5"/>
        <v>3.5000000000000003E-2</v>
      </c>
      <c r="J39" s="5">
        <f t="shared" si="2"/>
        <v>85.76767779924279</v>
      </c>
      <c r="K39" s="63">
        <f t="shared" si="3"/>
        <v>211.68356528166652</v>
      </c>
      <c r="L39" s="10">
        <f t="shared" si="8"/>
        <v>209.55182751295348</v>
      </c>
      <c r="M39" s="10">
        <f t="shared" si="8"/>
        <v>324.6150744475849</v>
      </c>
    </row>
    <row r="40" spans="1:13" x14ac:dyDescent="0.15">
      <c r="A40" s="34">
        <v>35125</v>
      </c>
      <c r="B40" t="s">
        <v>2</v>
      </c>
      <c r="C40" s="2">
        <v>233</v>
      </c>
      <c r="D40" s="7">
        <f>MAIZ!D40</f>
        <v>0.9999714285714284</v>
      </c>
      <c r="E40" s="2">
        <f>MAIZ!E40</f>
        <v>1.073931242474631</v>
      </c>
      <c r="F40" s="3">
        <f t="shared" si="0"/>
        <v>84.826365379503443</v>
      </c>
      <c r="G40" s="3">
        <f t="shared" si="4"/>
        <v>1.0739312424746312</v>
      </c>
      <c r="H40" s="3">
        <f t="shared" si="1"/>
        <v>216.95368720278819</v>
      </c>
      <c r="I40" s="4">
        <f t="shared" si="5"/>
        <v>3.5000000000000003E-2</v>
      </c>
      <c r="J40" s="5">
        <f t="shared" si="2"/>
        <v>84.826365379503429</v>
      </c>
      <c r="K40" s="63">
        <f t="shared" si="3"/>
        <v>209.3603081506906</v>
      </c>
      <c r="L40" s="10">
        <f t="shared" si="8"/>
        <v>209.55182751295348</v>
      </c>
      <c r="M40" s="10">
        <f t="shared" si="8"/>
        <v>324.6150744475849</v>
      </c>
    </row>
    <row r="41" spans="1:13" x14ac:dyDescent="0.15">
      <c r="A41" s="34">
        <v>35156</v>
      </c>
      <c r="B41" t="s">
        <v>3</v>
      </c>
      <c r="C41" s="2">
        <v>247</v>
      </c>
      <c r="D41" s="7">
        <f>MAIZ!D41</f>
        <v>0.99930000000000019</v>
      </c>
      <c r="E41" s="2">
        <f>MAIZ!E41</f>
        <v>1.0739476580220451</v>
      </c>
      <c r="F41" s="3">
        <f t="shared" si="0"/>
        <v>89.861476210170494</v>
      </c>
      <c r="G41" s="3">
        <f t="shared" si="4"/>
        <v>1.0739476580220453</v>
      </c>
      <c r="H41" s="3">
        <f t="shared" si="1"/>
        <v>229.83159202991004</v>
      </c>
      <c r="I41" s="4">
        <f t="shared" si="5"/>
        <v>3.5000000000000003E-2</v>
      </c>
      <c r="J41" s="5">
        <f t="shared" si="2"/>
        <v>89.861476210170494</v>
      </c>
      <c r="K41" s="63">
        <f t="shared" si="3"/>
        <v>221.78748630886318</v>
      </c>
      <c r="L41" s="10">
        <f t="shared" si="8"/>
        <v>209.55182751295348</v>
      </c>
      <c r="M41" s="10">
        <f t="shared" si="8"/>
        <v>324.6150744475849</v>
      </c>
    </row>
    <row r="42" spans="1:13" x14ac:dyDescent="0.15">
      <c r="A42" s="34">
        <v>35186</v>
      </c>
      <c r="B42" t="s">
        <v>2</v>
      </c>
      <c r="C42" s="2">
        <v>263</v>
      </c>
      <c r="D42" s="7">
        <f>MAIZ!D42</f>
        <v>1.0001</v>
      </c>
      <c r="E42" s="2">
        <f>MAIZ!E42</f>
        <v>1.0729898610823128</v>
      </c>
      <c r="F42" s="3">
        <f t="shared" si="0"/>
        <v>95.844540774159583</v>
      </c>
      <c r="G42" s="3">
        <f t="shared" si="4"/>
        <v>1.072989861082313</v>
      </c>
      <c r="H42" s="3">
        <f t="shared" si="1"/>
        <v>245.13400316260984</v>
      </c>
      <c r="I42" s="4">
        <f t="shared" si="5"/>
        <v>3.5000000000000003E-2</v>
      </c>
      <c r="J42" s="5">
        <f t="shared" si="2"/>
        <v>95.844540774159597</v>
      </c>
      <c r="K42" s="63">
        <f t="shared" si="3"/>
        <v>236.55431305191848</v>
      </c>
      <c r="L42" s="10">
        <f t="shared" si="8"/>
        <v>209.55182751295348</v>
      </c>
      <c r="M42" s="10">
        <f t="shared" si="8"/>
        <v>324.6150744475849</v>
      </c>
    </row>
    <row r="43" spans="1:13" x14ac:dyDescent="0.15">
      <c r="A43" s="34">
        <v>35217</v>
      </c>
      <c r="B43" t="s">
        <v>4</v>
      </c>
      <c r="C43" s="2">
        <v>266</v>
      </c>
      <c r="D43" s="7">
        <f>MAIZ!D43</f>
        <v>1.0006999999999999</v>
      </c>
      <c r="E43" s="2">
        <f>MAIZ!E43</f>
        <v>1.073017667009559</v>
      </c>
      <c r="F43" s="3">
        <f t="shared" si="0"/>
        <v>96.993467857213773</v>
      </c>
      <c r="G43" s="3">
        <f t="shared" si="4"/>
        <v>1.0730176670095593</v>
      </c>
      <c r="H43" s="3">
        <f t="shared" si="1"/>
        <v>248.07252311310603</v>
      </c>
      <c r="I43" s="4">
        <f t="shared" si="5"/>
        <v>3.5000000000000003E-2</v>
      </c>
      <c r="J43" s="5">
        <f t="shared" si="2"/>
        <v>96.993467857213773</v>
      </c>
      <c r="K43" s="63">
        <f t="shared" si="3"/>
        <v>239.3899848041473</v>
      </c>
      <c r="L43" s="10">
        <f t="shared" si="8"/>
        <v>209.55182751295348</v>
      </c>
      <c r="M43" s="10">
        <f t="shared" si="8"/>
        <v>324.6150744475849</v>
      </c>
    </row>
    <row r="44" spans="1:13" x14ac:dyDescent="0.15">
      <c r="A44" s="34">
        <v>35247</v>
      </c>
      <c r="B44" t="s">
        <v>4</v>
      </c>
      <c r="C44" s="2">
        <v>258</v>
      </c>
      <c r="D44" s="7">
        <f>MAIZ!D44</f>
        <v>1.0014357142857147</v>
      </c>
      <c r="E44" s="2">
        <f>MAIZ!E44</f>
        <v>1.0788354710163586</v>
      </c>
      <c r="F44" s="3">
        <f t="shared" si="0"/>
        <v>93.637840158110805</v>
      </c>
      <c r="G44" s="3">
        <f t="shared" si="4"/>
        <v>1.0788354710163588</v>
      </c>
      <c r="H44" s="3">
        <f t="shared" si="1"/>
        <v>239.49009948876312</v>
      </c>
      <c r="I44" s="4">
        <f t="shared" si="5"/>
        <v>3.5000000000000003E-2</v>
      </c>
      <c r="J44" s="5">
        <f t="shared" si="2"/>
        <v>93.637840158110805</v>
      </c>
      <c r="K44" s="63">
        <f t="shared" si="3"/>
        <v>231.10794600665639</v>
      </c>
      <c r="L44" s="10">
        <f t="shared" si="8"/>
        <v>209.55182751295348</v>
      </c>
      <c r="M44" s="10">
        <f t="shared" si="8"/>
        <v>324.6150744475849</v>
      </c>
    </row>
    <row r="45" spans="1:13" x14ac:dyDescent="0.15">
      <c r="A45" s="34">
        <v>35278</v>
      </c>
      <c r="B45" t="s">
        <v>3</v>
      </c>
      <c r="C45" s="2">
        <v>261</v>
      </c>
      <c r="D45" s="7">
        <f>MAIZ!D45</f>
        <v>1.001195238095238</v>
      </c>
      <c r="E45" s="2">
        <f>MAIZ!E45</f>
        <v>1.0779999531542721</v>
      </c>
      <c r="F45" s="3">
        <f t="shared" si="0"/>
        <v>94.777306898139756</v>
      </c>
      <c r="G45" s="3">
        <f t="shared" si="4"/>
        <v>1.0779999531542723</v>
      </c>
      <c r="H45" s="3">
        <f t="shared" si="1"/>
        <v>242.40442346796729</v>
      </c>
      <c r="I45" s="4">
        <f t="shared" si="5"/>
        <v>3.5000000000000003E-2</v>
      </c>
      <c r="J45" s="5">
        <f t="shared" si="2"/>
        <v>94.777306898139756</v>
      </c>
      <c r="K45" s="63">
        <f t="shared" si="3"/>
        <v>233.92026864658843</v>
      </c>
      <c r="L45" s="10">
        <f t="shared" si="8"/>
        <v>209.55182751295348</v>
      </c>
      <c r="M45" s="10">
        <f t="shared" si="8"/>
        <v>324.6150744475849</v>
      </c>
    </row>
    <row r="46" spans="1:13" x14ac:dyDescent="0.15">
      <c r="A46" s="34">
        <v>35309</v>
      </c>
      <c r="B46" t="s">
        <v>5</v>
      </c>
      <c r="C46" s="2">
        <v>263</v>
      </c>
      <c r="D46" s="7">
        <f>MAIZ!D46</f>
        <v>1.0002714285714285</v>
      </c>
      <c r="E46" s="2">
        <f>MAIZ!E46</f>
        <v>1.0799574234301974</v>
      </c>
      <c r="F46" s="3">
        <f t="shared" si="0"/>
        <v>95.242503314017839</v>
      </c>
      <c r="G46" s="3">
        <f t="shared" si="4"/>
        <v>1.0799574234301976</v>
      </c>
      <c r="H46" s="3">
        <f t="shared" si="1"/>
        <v>243.59421955609079</v>
      </c>
      <c r="I46" s="4">
        <f t="shared" si="5"/>
        <v>3.5000000000000003E-2</v>
      </c>
      <c r="J46" s="5">
        <f t="shared" si="2"/>
        <v>95.242503314017824</v>
      </c>
      <c r="K46" s="63">
        <f t="shared" si="3"/>
        <v>235.06842187162761</v>
      </c>
      <c r="L46" s="10">
        <f t="shared" si="8"/>
        <v>209.55182751295348</v>
      </c>
      <c r="M46" s="10">
        <f t="shared" si="8"/>
        <v>324.6150744475849</v>
      </c>
    </row>
    <row r="47" spans="1:13" x14ac:dyDescent="0.15">
      <c r="A47" s="34">
        <v>35339</v>
      </c>
      <c r="B47" t="s">
        <v>6</v>
      </c>
      <c r="C47" s="2">
        <v>244</v>
      </c>
      <c r="D47" s="7">
        <f>MAIZ!D47</f>
        <v>0.99967391304347852</v>
      </c>
      <c r="E47" s="2">
        <f>MAIZ!E47</f>
        <v>1.085401354969429</v>
      </c>
      <c r="F47" s="3">
        <f t="shared" si="0"/>
        <v>87.866160505815785</v>
      </c>
      <c r="G47" s="3">
        <f t="shared" si="4"/>
        <v>1.0854013549694292</v>
      </c>
      <c r="H47" s="3">
        <f t="shared" si="1"/>
        <v>224.72833082973153</v>
      </c>
      <c r="I47" s="4">
        <f t="shared" si="5"/>
        <v>3.5000000000000003E-2</v>
      </c>
      <c r="J47" s="5">
        <f t="shared" si="2"/>
        <v>87.866160505815785</v>
      </c>
      <c r="K47" s="63">
        <f t="shared" si="3"/>
        <v>216.86283925069091</v>
      </c>
      <c r="L47" s="10">
        <f t="shared" si="8"/>
        <v>209.55182751295348</v>
      </c>
      <c r="M47" s="10">
        <f t="shared" si="8"/>
        <v>324.6150744475849</v>
      </c>
    </row>
    <row r="48" spans="1:13" x14ac:dyDescent="0.15">
      <c r="A48" s="34">
        <v>35370</v>
      </c>
      <c r="B48" t="s">
        <v>7</v>
      </c>
      <c r="C48" s="2">
        <v>236</v>
      </c>
      <c r="D48" s="7">
        <f>MAIZ!D48</f>
        <v>0.99930952380952409</v>
      </c>
      <c r="E48" s="2">
        <f>MAIZ!E48</f>
        <v>1.0837155787537085</v>
      </c>
      <c r="F48" s="3">
        <f t="shared" si="0"/>
        <v>85.086475845488891</v>
      </c>
      <c r="G48" s="3">
        <f t="shared" si="4"/>
        <v>1.0837155787537087</v>
      </c>
      <c r="H48" s="3">
        <f t="shared" si="1"/>
        <v>217.61895117376119</v>
      </c>
      <c r="I48" s="4">
        <f t="shared" si="5"/>
        <v>3.5000000000000003E-2</v>
      </c>
      <c r="J48" s="5">
        <f t="shared" si="2"/>
        <v>85.086475845488891</v>
      </c>
      <c r="K48" s="63">
        <f t="shared" si="3"/>
        <v>210.00228788267955</v>
      </c>
      <c r="L48" s="10">
        <f t="shared" si="8"/>
        <v>209.55182751295348</v>
      </c>
      <c r="M48" s="10">
        <f t="shared" si="8"/>
        <v>324.6150744475849</v>
      </c>
    </row>
    <row r="49" spans="1:13" x14ac:dyDescent="0.15">
      <c r="A49" s="34">
        <v>35400</v>
      </c>
      <c r="B49" s="6" t="s">
        <v>43</v>
      </c>
      <c r="C49" s="2">
        <v>235</v>
      </c>
      <c r="D49" s="7">
        <f>MAIZ!D49</f>
        <v>1.0002000000000002</v>
      </c>
      <c r="E49" s="2">
        <f>MAIZ!E49</f>
        <v>1.0806254357064542</v>
      </c>
      <c r="F49" s="3">
        <f t="shared" si="0"/>
        <v>85.04393563120982</v>
      </c>
      <c r="G49" s="3">
        <f t="shared" si="4"/>
        <v>1.0806254357064544</v>
      </c>
      <c r="H49" s="3">
        <f t="shared" si="1"/>
        <v>217.51014943150867</v>
      </c>
      <c r="I49" s="4">
        <f t="shared" si="5"/>
        <v>3.5000000000000003E-2</v>
      </c>
      <c r="J49" s="5">
        <f t="shared" si="2"/>
        <v>85.043935631209806</v>
      </c>
      <c r="K49" s="63">
        <f t="shared" si="3"/>
        <v>209.89729420140586</v>
      </c>
      <c r="L49" s="10">
        <f t="shared" si="8"/>
        <v>209.55182751295348</v>
      </c>
      <c r="M49" s="10">
        <f t="shared" si="8"/>
        <v>324.6150744475849</v>
      </c>
    </row>
    <row r="50" spans="1:13" x14ac:dyDescent="0.15">
      <c r="A50" s="34">
        <v>35431</v>
      </c>
      <c r="B50" s="6" t="s">
        <v>44</v>
      </c>
      <c r="C50" s="2">
        <v>234</v>
      </c>
      <c r="D50" s="7">
        <f>MAIZ!D50</f>
        <v>0.999</v>
      </c>
      <c r="E50" s="2">
        <f>MAIZ!E50</f>
        <v>1.0856727140184714</v>
      </c>
      <c r="F50" s="3">
        <f t="shared" si="0"/>
        <v>84.18723500378465</v>
      </c>
      <c r="G50" s="3">
        <f t="shared" si="4"/>
        <v>1.0856727140184717</v>
      </c>
      <c r="H50" s="3">
        <f t="shared" si="1"/>
        <v>215.31903397916906</v>
      </c>
      <c r="I50" s="4">
        <f t="shared" si="5"/>
        <v>3.5000000000000003E-2</v>
      </c>
      <c r="J50" s="5">
        <f t="shared" si="2"/>
        <v>84.18723500378465</v>
      </c>
      <c r="K50" s="63">
        <f t="shared" si="3"/>
        <v>207.78286778989815</v>
      </c>
      <c r="L50" s="10">
        <f t="shared" si="8"/>
        <v>209.55182751295348</v>
      </c>
      <c r="M50" s="10">
        <f t="shared" si="8"/>
        <v>324.6150744475849</v>
      </c>
    </row>
    <row r="51" spans="1:13" x14ac:dyDescent="0.15">
      <c r="A51" s="34">
        <v>35462</v>
      </c>
      <c r="B51" t="s">
        <v>1</v>
      </c>
      <c r="C51" s="2">
        <v>224</v>
      </c>
      <c r="D51" s="7">
        <f>MAIZ!D51</f>
        <v>0.99919999999999998</v>
      </c>
      <c r="E51" s="2">
        <f>MAIZ!E51</f>
        <v>1.0898472882283434</v>
      </c>
      <c r="F51" s="3">
        <f t="shared" si="0"/>
        <v>80.296870455483898</v>
      </c>
      <c r="G51" s="3">
        <f t="shared" si="4"/>
        <v>1.0898472882283436</v>
      </c>
      <c r="H51" s="3">
        <f t="shared" si="1"/>
        <v>205.36895619921503</v>
      </c>
      <c r="I51" s="4">
        <f t="shared" si="5"/>
        <v>3.5000000000000003E-2</v>
      </c>
      <c r="J51" s="5">
        <f t="shared" si="2"/>
        <v>80.296870455483898</v>
      </c>
      <c r="K51" s="63">
        <f t="shared" si="3"/>
        <v>198.1810427322425</v>
      </c>
      <c r="L51" s="10">
        <f t="shared" si="8"/>
        <v>209.55182751295348</v>
      </c>
      <c r="M51" s="10">
        <f t="shared" si="8"/>
        <v>324.6150744475849</v>
      </c>
    </row>
    <row r="52" spans="1:13" x14ac:dyDescent="0.15">
      <c r="A52" s="34">
        <v>35490</v>
      </c>
      <c r="B52" t="s">
        <v>2</v>
      </c>
      <c r="C52" s="2">
        <v>238</v>
      </c>
      <c r="D52" s="7">
        <f>MAIZ!D52</f>
        <v>0.99929999999999997</v>
      </c>
      <c r="E52" s="2">
        <f>MAIZ!E52</f>
        <v>1.0844747140686595</v>
      </c>
      <c r="F52" s="3">
        <f t="shared" si="0"/>
        <v>85.746664945800717</v>
      </c>
      <c r="G52" s="3">
        <f t="shared" si="4"/>
        <v>1.0844747140686597</v>
      </c>
      <c r="H52" s="3">
        <f t="shared" si="1"/>
        <v>219.30746463208214</v>
      </c>
      <c r="I52" s="4">
        <f t="shared" si="5"/>
        <v>3.5000000000000003E-2</v>
      </c>
      <c r="J52" s="5">
        <f t="shared" si="2"/>
        <v>85.746664945800717</v>
      </c>
      <c r="K52" s="63">
        <f t="shared" si="3"/>
        <v>211.63170336995927</v>
      </c>
      <c r="L52" s="10">
        <f t="shared" ref="L52:M67" si="9">+L51</f>
        <v>209.55182751295348</v>
      </c>
      <c r="M52" s="10">
        <f t="shared" si="9"/>
        <v>324.6150744475849</v>
      </c>
    </row>
    <row r="53" spans="1:13" x14ac:dyDescent="0.15">
      <c r="A53" s="34">
        <v>35521</v>
      </c>
      <c r="B53" t="s">
        <v>3</v>
      </c>
      <c r="C53" s="2">
        <v>253</v>
      </c>
      <c r="D53" s="7">
        <f>MAIZ!D53</f>
        <v>0.99919999999999998</v>
      </c>
      <c r="E53" s="2">
        <f>MAIZ!E53</f>
        <v>1.0808904295432264</v>
      </c>
      <c r="F53" s="3">
        <f t="shared" si="0"/>
        <v>91.443975445882984</v>
      </c>
      <c r="G53" s="3">
        <f t="shared" si="4"/>
        <v>1.0808904295432267</v>
      </c>
      <c r="H53" s="3">
        <f t="shared" si="1"/>
        <v>233.87902519113771</v>
      </c>
      <c r="I53" s="4">
        <f t="shared" si="5"/>
        <v>3.5000000000000003E-2</v>
      </c>
      <c r="J53" s="5">
        <f t="shared" si="2"/>
        <v>91.44397544588297</v>
      </c>
      <c r="K53" s="63">
        <f t="shared" si="3"/>
        <v>225.69325930944788</v>
      </c>
      <c r="L53" s="10">
        <f t="shared" si="9"/>
        <v>209.55182751295348</v>
      </c>
      <c r="M53" s="10">
        <f t="shared" si="9"/>
        <v>324.6150744475849</v>
      </c>
    </row>
    <row r="54" spans="1:13" x14ac:dyDescent="0.15">
      <c r="A54" s="34">
        <v>35551</v>
      </c>
      <c r="B54" t="s">
        <v>2</v>
      </c>
      <c r="C54" s="2">
        <v>267</v>
      </c>
      <c r="D54" s="7">
        <f>MAIZ!D54</f>
        <v>0.99929999999999997</v>
      </c>
      <c r="E54" s="2">
        <f>MAIZ!E54</f>
        <v>1.0799936046367364</v>
      </c>
      <c r="F54" s="3">
        <f t="shared" si="0"/>
        <v>96.593919396835133</v>
      </c>
      <c r="G54" s="3">
        <f t="shared" si="4"/>
        <v>1.0799936046367367</v>
      </c>
      <c r="H54" s="3">
        <f t="shared" si="1"/>
        <v>247.05062960974143</v>
      </c>
      <c r="I54" s="4">
        <f t="shared" si="5"/>
        <v>3.5000000000000003E-2</v>
      </c>
      <c r="J54" s="5">
        <f t="shared" si="2"/>
        <v>96.593919396835133</v>
      </c>
      <c r="K54" s="63">
        <f t="shared" si="3"/>
        <v>238.40385757340047</v>
      </c>
      <c r="L54" s="10">
        <f t="shared" si="9"/>
        <v>209.55182751295348</v>
      </c>
      <c r="M54" s="10">
        <f t="shared" si="9"/>
        <v>324.6150744475849</v>
      </c>
    </row>
    <row r="55" spans="1:13" x14ac:dyDescent="0.15">
      <c r="A55" s="34">
        <v>35582</v>
      </c>
      <c r="B55" t="s">
        <v>4</v>
      </c>
      <c r="C55" s="2">
        <v>263</v>
      </c>
      <c r="D55" s="7">
        <f>MAIZ!D55</f>
        <v>0.99939999999999996</v>
      </c>
      <c r="E55" s="2">
        <f>MAIZ!E55</f>
        <v>1.0824525866366088</v>
      </c>
      <c r="F55" s="3">
        <f t="shared" si="0"/>
        <v>94.94017641348762</v>
      </c>
      <c r="G55" s="3">
        <f t="shared" si="4"/>
        <v>1.082452586636609</v>
      </c>
      <c r="H55" s="3">
        <f t="shared" si="1"/>
        <v>242.82098194868922</v>
      </c>
      <c r="I55" s="4">
        <f t="shared" si="5"/>
        <v>3.5000000000000003E-2</v>
      </c>
      <c r="J55" s="5">
        <f t="shared" si="2"/>
        <v>94.94017641348762</v>
      </c>
      <c r="K55" s="63">
        <f t="shared" si="3"/>
        <v>234.32224758048508</v>
      </c>
      <c r="L55" s="10">
        <f t="shared" si="9"/>
        <v>209.55182751295348</v>
      </c>
      <c r="M55" s="10">
        <f t="shared" si="9"/>
        <v>324.6150744475849</v>
      </c>
    </row>
    <row r="56" spans="1:13" x14ac:dyDescent="0.15">
      <c r="A56" s="34">
        <v>35612</v>
      </c>
      <c r="B56" t="s">
        <v>4</v>
      </c>
      <c r="C56" s="2">
        <v>252</v>
      </c>
      <c r="D56" s="7">
        <f>MAIZ!D56</f>
        <v>0.99980000000000002</v>
      </c>
      <c r="E56" s="2">
        <f>MAIZ!E56</f>
        <v>1.0848579668490297</v>
      </c>
      <c r="F56" s="3">
        <f t="shared" si="0"/>
        <v>90.803923447689215</v>
      </c>
      <c r="G56" s="3">
        <f t="shared" si="4"/>
        <v>1.0848579668490299</v>
      </c>
      <c r="H56" s="3">
        <f t="shared" si="1"/>
        <v>232.24201480659045</v>
      </c>
      <c r="I56" s="4">
        <f t="shared" si="5"/>
        <v>3.5000000000000003E-2</v>
      </c>
      <c r="J56" s="5">
        <f t="shared" si="2"/>
        <v>90.803923447689215</v>
      </c>
      <c r="K56" s="63">
        <f t="shared" si="3"/>
        <v>224.11354428835978</v>
      </c>
      <c r="L56" s="10">
        <f t="shared" si="9"/>
        <v>209.55182751295348</v>
      </c>
      <c r="M56" s="10">
        <f t="shared" si="9"/>
        <v>324.6150744475849</v>
      </c>
    </row>
    <row r="57" spans="1:13" x14ac:dyDescent="0.15">
      <c r="A57" s="34">
        <v>35643</v>
      </c>
      <c r="B57" t="s">
        <v>3</v>
      </c>
      <c r="C57" s="2">
        <v>250</v>
      </c>
      <c r="D57" s="7">
        <f>MAIZ!D57</f>
        <v>0.99970000000000003</v>
      </c>
      <c r="E57" s="2">
        <f>MAIZ!E57</f>
        <v>1.0866432413827216</v>
      </c>
      <c r="F57" s="3">
        <f t="shared" si="0"/>
        <v>89.926261929796595</v>
      </c>
      <c r="G57" s="3">
        <f t="shared" si="4"/>
        <v>1.0866432413827218</v>
      </c>
      <c r="H57" s="3">
        <f t="shared" si="1"/>
        <v>229.99728934215588</v>
      </c>
      <c r="I57" s="4">
        <f t="shared" si="5"/>
        <v>3.5000000000000003E-2</v>
      </c>
      <c r="J57" s="5">
        <f t="shared" si="2"/>
        <v>89.926261929796595</v>
      </c>
      <c r="K57" s="63">
        <f t="shared" si="3"/>
        <v>221.94738421518042</v>
      </c>
      <c r="L57" s="10">
        <f t="shared" si="9"/>
        <v>209.55182751295348</v>
      </c>
      <c r="M57" s="10">
        <f t="shared" si="9"/>
        <v>324.6150744475849</v>
      </c>
    </row>
    <row r="58" spans="1:13" x14ac:dyDescent="0.15">
      <c r="A58" s="34">
        <v>35674</v>
      </c>
      <c r="B58" t="s">
        <v>5</v>
      </c>
      <c r="C58" s="2">
        <v>250</v>
      </c>
      <c r="D58" s="7">
        <f>MAIZ!D58</f>
        <v>0.99970000000000003</v>
      </c>
      <c r="E58" s="2">
        <f>MAIZ!E58</f>
        <v>1.0861229690331584</v>
      </c>
      <c r="F58" s="3">
        <f t="shared" si="0"/>
        <v>89.969338219420862</v>
      </c>
      <c r="G58" s="3">
        <f t="shared" si="4"/>
        <v>1.0861229690331586</v>
      </c>
      <c r="H58" s="3">
        <f t="shared" si="1"/>
        <v>230.10746216192945</v>
      </c>
      <c r="I58" s="4">
        <f t="shared" si="5"/>
        <v>3.5000000000000003E-2</v>
      </c>
      <c r="J58" s="5">
        <f t="shared" si="2"/>
        <v>89.969338219420862</v>
      </c>
      <c r="K58" s="63">
        <f t="shared" si="3"/>
        <v>222.0537009862619</v>
      </c>
      <c r="L58" s="10">
        <f t="shared" si="9"/>
        <v>209.55182751295348</v>
      </c>
      <c r="M58" s="10">
        <f t="shared" si="9"/>
        <v>324.6150744475849</v>
      </c>
    </row>
    <row r="59" spans="1:13" x14ac:dyDescent="0.15">
      <c r="A59" s="34">
        <v>35704</v>
      </c>
      <c r="B59" t="s">
        <v>6</v>
      </c>
      <c r="C59" s="2">
        <v>245</v>
      </c>
      <c r="D59" s="7">
        <f>MAIZ!D59</f>
        <v>1.0004</v>
      </c>
      <c r="E59" s="2">
        <f>MAIZ!E59</f>
        <v>1.0844214472923708</v>
      </c>
      <c r="F59" s="3">
        <f t="shared" si="0"/>
        <v>88.370129709340787</v>
      </c>
      <c r="G59" s="3">
        <f t="shared" si="4"/>
        <v>1.084421447292371</v>
      </c>
      <c r="H59" s="3">
        <f t="shared" si="1"/>
        <v>226.01729301091467</v>
      </c>
      <c r="I59" s="4">
        <f t="shared" si="5"/>
        <v>3.5000000000000003E-2</v>
      </c>
      <c r="J59" s="5">
        <f t="shared" si="2"/>
        <v>88.370129709340787</v>
      </c>
      <c r="K59" s="63">
        <f t="shared" si="3"/>
        <v>218.10668775553265</v>
      </c>
      <c r="L59" s="10">
        <f t="shared" si="9"/>
        <v>209.55182751295348</v>
      </c>
      <c r="M59" s="10">
        <f t="shared" si="9"/>
        <v>324.6150744475849</v>
      </c>
    </row>
    <row r="60" spans="1:13" x14ac:dyDescent="0.15">
      <c r="A60" s="34">
        <v>35735</v>
      </c>
      <c r="B60" t="s">
        <v>7</v>
      </c>
      <c r="C60" s="2">
        <v>261</v>
      </c>
      <c r="D60" s="7">
        <f>MAIZ!D60</f>
        <v>1.0011000000000001</v>
      </c>
      <c r="E60" s="2">
        <f>MAIZ!E60</f>
        <v>1.0823256174025597</v>
      </c>
      <c r="F60" s="3">
        <f t="shared" si="0"/>
        <v>94.389536660922573</v>
      </c>
      <c r="G60" s="3">
        <f t="shared" si="4"/>
        <v>1.0823256174025599</v>
      </c>
      <c r="H60" s="3">
        <f t="shared" si="1"/>
        <v>241.41265419463591</v>
      </c>
      <c r="I60" s="4">
        <f t="shared" si="5"/>
        <v>3.5000000000000003E-2</v>
      </c>
      <c r="J60" s="5">
        <f t="shared" si="2"/>
        <v>94.389536660922573</v>
      </c>
      <c r="K60" s="63">
        <f t="shared" si="3"/>
        <v>232.96321129782365</v>
      </c>
      <c r="L60" s="10">
        <f t="shared" si="9"/>
        <v>209.55182751295348</v>
      </c>
      <c r="M60" s="10">
        <f t="shared" si="9"/>
        <v>324.6150744475849</v>
      </c>
    </row>
    <row r="61" spans="1:13" x14ac:dyDescent="0.15">
      <c r="A61" s="34">
        <v>35765</v>
      </c>
      <c r="B61" s="6" t="s">
        <v>45</v>
      </c>
      <c r="C61" s="2">
        <v>261</v>
      </c>
      <c r="D61" s="7">
        <f>MAIZ!D61</f>
        <v>1.0006999999999999</v>
      </c>
      <c r="E61" s="2">
        <f>MAIZ!E61</f>
        <v>1.084169853902464</v>
      </c>
      <c r="F61" s="3">
        <f t="shared" si="0"/>
        <v>94.191324349207733</v>
      </c>
      <c r="G61" s="3">
        <f t="shared" si="4"/>
        <v>1.0841698539024642</v>
      </c>
      <c r="H61" s="3">
        <f t="shared" si="1"/>
        <v>240.90570223832924</v>
      </c>
      <c r="I61" s="4">
        <f t="shared" si="5"/>
        <v>3.5000000000000003E-2</v>
      </c>
      <c r="J61" s="5">
        <f t="shared" si="2"/>
        <v>94.191324349207733</v>
      </c>
      <c r="K61" s="63">
        <f t="shared" si="3"/>
        <v>232.47400265998772</v>
      </c>
      <c r="L61" s="10">
        <f t="shared" si="9"/>
        <v>209.55182751295348</v>
      </c>
      <c r="M61" s="10">
        <f t="shared" si="9"/>
        <v>324.6150744475849</v>
      </c>
    </row>
    <row r="62" spans="1:13" x14ac:dyDescent="0.15">
      <c r="A62" s="34">
        <v>35796</v>
      </c>
      <c r="B62" s="6" t="s">
        <v>46</v>
      </c>
      <c r="C62" s="2">
        <v>255</v>
      </c>
      <c r="D62" s="7">
        <f>MAIZ!D62</f>
        <v>0.99939999999999996</v>
      </c>
      <c r="E62" s="2">
        <f>MAIZ!E62</f>
        <v>1.0909846511560766</v>
      </c>
      <c r="F62" s="3">
        <f t="shared" si="0"/>
        <v>91.33236597693579</v>
      </c>
      <c r="G62" s="3">
        <f t="shared" si="4"/>
        <v>1.0909846511560768</v>
      </c>
      <c r="H62" s="3">
        <f t="shared" si="1"/>
        <v>233.59357047777701</v>
      </c>
      <c r="I62" s="4">
        <f t="shared" si="5"/>
        <v>3.5000000000000003E-2</v>
      </c>
      <c r="J62" s="5">
        <f t="shared" si="2"/>
        <v>91.33236597693579</v>
      </c>
      <c r="K62" s="63">
        <f t="shared" si="3"/>
        <v>225.41779551105481</v>
      </c>
      <c r="L62" s="10">
        <f t="shared" si="9"/>
        <v>209.55182751295348</v>
      </c>
      <c r="M62" s="10">
        <f t="shared" si="9"/>
        <v>324.6150744475849</v>
      </c>
    </row>
    <row r="63" spans="1:13" x14ac:dyDescent="0.15">
      <c r="A63" s="34">
        <v>35827</v>
      </c>
      <c r="B63" t="s">
        <v>1</v>
      </c>
      <c r="C63" s="2">
        <v>269</v>
      </c>
      <c r="D63" s="7">
        <f>MAIZ!D63</f>
        <v>0.99909999999999999</v>
      </c>
      <c r="E63" s="2">
        <f>MAIZ!E63</f>
        <v>1.0896342211231778</v>
      </c>
      <c r="F63" s="3">
        <f t="shared" si="0"/>
        <v>96.437141301273101</v>
      </c>
      <c r="G63" s="3">
        <f t="shared" si="4"/>
        <v>1.089634221123178</v>
      </c>
      <c r="H63" s="3">
        <f t="shared" si="1"/>
        <v>246.64965067173509</v>
      </c>
      <c r="I63" s="4">
        <f t="shared" si="5"/>
        <v>3.5000000000000003E-2</v>
      </c>
      <c r="J63" s="5">
        <f t="shared" si="2"/>
        <v>96.437141301273115</v>
      </c>
      <c r="K63" s="63">
        <f t="shared" si="3"/>
        <v>238.01691289822435</v>
      </c>
      <c r="L63" s="10">
        <f t="shared" si="9"/>
        <v>209.55182751295348</v>
      </c>
      <c r="M63" s="10">
        <f t="shared" si="9"/>
        <v>324.6150744475849</v>
      </c>
    </row>
    <row r="64" spans="1:13" x14ac:dyDescent="0.15">
      <c r="A64" s="34">
        <v>35855</v>
      </c>
      <c r="B64" t="s">
        <v>2</v>
      </c>
      <c r="C64" s="2">
        <v>290</v>
      </c>
      <c r="D64" s="7">
        <f>MAIZ!D64</f>
        <v>0.99990000000000001</v>
      </c>
      <c r="E64" s="2">
        <f>MAIZ!E64</f>
        <v>1.093413482150507</v>
      </c>
      <c r="F64" s="3">
        <f t="shared" si="0"/>
        <v>103.68930535799912</v>
      </c>
      <c r="G64" s="3">
        <f t="shared" si="4"/>
        <v>1.0934134821505073</v>
      </c>
      <c r="H64" s="3">
        <f t="shared" si="1"/>
        <v>265.19793722470837</v>
      </c>
      <c r="I64" s="4">
        <f t="shared" si="5"/>
        <v>3.5000000000000003E-2</v>
      </c>
      <c r="J64" s="5">
        <f t="shared" si="2"/>
        <v>103.68930535799912</v>
      </c>
      <c r="K64" s="63">
        <f t="shared" si="3"/>
        <v>255.91600942184357</v>
      </c>
      <c r="L64" s="10">
        <f t="shared" si="9"/>
        <v>209.55182751295348</v>
      </c>
      <c r="M64" s="10">
        <f t="shared" si="9"/>
        <v>324.6150744475849</v>
      </c>
    </row>
    <row r="65" spans="1:13" x14ac:dyDescent="0.15">
      <c r="A65" s="34">
        <v>35886</v>
      </c>
      <c r="B65" t="s">
        <v>3</v>
      </c>
      <c r="C65" s="2">
        <v>304</v>
      </c>
      <c r="D65" s="7">
        <f>MAIZ!D65</f>
        <v>1.0006999999999999</v>
      </c>
      <c r="E65" s="2">
        <f>MAIZ!E65</f>
        <v>1.0935367662616717</v>
      </c>
      <c r="F65" s="3">
        <f t="shared" si="0"/>
        <v>108.76969669822955</v>
      </c>
      <c r="G65" s="3">
        <f t="shared" si="4"/>
        <v>1.093536766261672</v>
      </c>
      <c r="H65" s="3">
        <f t="shared" si="1"/>
        <v>278.19165243064629</v>
      </c>
      <c r="I65" s="4">
        <f t="shared" si="5"/>
        <v>3.5000000000000003E-2</v>
      </c>
      <c r="J65" s="5">
        <f t="shared" si="2"/>
        <v>108.76969669822955</v>
      </c>
      <c r="K65" s="63">
        <f t="shared" si="3"/>
        <v>268.45494459557364</v>
      </c>
      <c r="L65" s="10">
        <f t="shared" si="9"/>
        <v>209.55182751295348</v>
      </c>
      <c r="M65" s="10">
        <f t="shared" si="9"/>
        <v>324.6150744475849</v>
      </c>
    </row>
    <row r="66" spans="1:13" x14ac:dyDescent="0.15">
      <c r="A66" s="34">
        <v>35916</v>
      </c>
      <c r="B66" t="s">
        <v>2</v>
      </c>
      <c r="C66" s="2">
        <v>314</v>
      </c>
      <c r="D66" s="7">
        <f>MAIZ!D66</f>
        <v>0.99990000000000001</v>
      </c>
      <c r="E66" s="2">
        <f>MAIZ!E66</f>
        <v>1.0927471449301058</v>
      </c>
      <c r="F66" s="3">
        <f t="shared" ref="F66:F108" si="10">+(C66*(D66/E66))/(AVERAGE(C$109)*AVERAGE(D$109)/AVERAGE(E$109))*100</f>
        <v>112.3389497403835</v>
      </c>
      <c r="G66" s="3">
        <f t="shared" si="4"/>
        <v>1.0927471449301061</v>
      </c>
      <c r="H66" s="3">
        <f t="shared" ref="H66:H129" si="11">+(C66*D66)/G66</f>
        <v>287.32044870278014</v>
      </c>
      <c r="I66" s="4">
        <f t="shared" si="5"/>
        <v>3.5000000000000003E-2</v>
      </c>
      <c r="J66" s="5">
        <f t="shared" ref="J66:J108" si="12">+F66*(1-I66)/(F$109*(1-I$109))*100</f>
        <v>112.3389497403835</v>
      </c>
      <c r="K66" s="63">
        <f t="shared" ref="K66:K129" si="13">+H66*(1-I66)</f>
        <v>277.26423299818282</v>
      </c>
      <c r="L66" s="10">
        <f t="shared" si="9"/>
        <v>209.55182751295348</v>
      </c>
      <c r="M66" s="10">
        <f t="shared" si="9"/>
        <v>324.6150744475849</v>
      </c>
    </row>
    <row r="67" spans="1:13" x14ac:dyDescent="0.15">
      <c r="A67" s="34">
        <v>35947</v>
      </c>
      <c r="B67" t="s">
        <v>4</v>
      </c>
      <c r="C67" s="2">
        <v>315</v>
      </c>
      <c r="D67" s="7">
        <f>MAIZ!D67</f>
        <v>0.99990000000000001</v>
      </c>
      <c r="E67" s="2">
        <f>MAIZ!E67</f>
        <v>1.0948332594959354</v>
      </c>
      <c r="F67" s="3">
        <f t="shared" si="10"/>
        <v>112.48198278760304</v>
      </c>
      <c r="G67" s="3">
        <f t="shared" ref="G67:G130" si="14">+E67/AVERAGE(E$2:E$13)</f>
        <v>1.0948332594959356</v>
      </c>
      <c r="H67" s="3">
        <f t="shared" si="11"/>
        <v>287.68627301751172</v>
      </c>
      <c r="I67" s="4">
        <f t="shared" si="5"/>
        <v>3.5000000000000003E-2</v>
      </c>
      <c r="J67" s="5">
        <f t="shared" si="12"/>
        <v>112.48198278760304</v>
      </c>
      <c r="K67" s="63">
        <f t="shared" si="13"/>
        <v>277.61725346189883</v>
      </c>
      <c r="L67" s="10">
        <f t="shared" si="9"/>
        <v>209.55182751295348</v>
      </c>
      <c r="M67" s="10">
        <f t="shared" si="9"/>
        <v>324.6150744475849</v>
      </c>
    </row>
    <row r="68" spans="1:13" x14ac:dyDescent="0.15">
      <c r="A68" s="34">
        <v>35977</v>
      </c>
      <c r="B68" t="s">
        <v>4</v>
      </c>
      <c r="C68" s="2">
        <v>315</v>
      </c>
      <c r="D68" s="7">
        <f>MAIZ!D68</f>
        <v>0.99990000000000001</v>
      </c>
      <c r="E68" s="2">
        <f>MAIZ!E68</f>
        <v>1.098255063603127</v>
      </c>
      <c r="F68" s="3">
        <f t="shared" si="10"/>
        <v>112.13152566389543</v>
      </c>
      <c r="G68" s="3">
        <f t="shared" si="14"/>
        <v>1.0982550636031272</v>
      </c>
      <c r="H68" s="3">
        <f t="shared" si="11"/>
        <v>286.78993654412062</v>
      </c>
      <c r="I68" s="4">
        <f t="shared" ref="I68:I110" si="15">+I67</f>
        <v>3.5000000000000003E-2</v>
      </c>
      <c r="J68" s="5">
        <f t="shared" si="12"/>
        <v>112.13152566389543</v>
      </c>
      <c r="K68" s="63">
        <f t="shared" si="13"/>
        <v>276.7522887650764</v>
      </c>
      <c r="L68" s="10">
        <f t="shared" ref="L68:M83" si="16">+L67</f>
        <v>209.55182751295348</v>
      </c>
      <c r="M68" s="10">
        <f t="shared" si="16"/>
        <v>324.6150744475849</v>
      </c>
    </row>
    <row r="69" spans="1:13" x14ac:dyDescent="0.15">
      <c r="A69" s="34">
        <v>36008</v>
      </c>
      <c r="B69" t="s">
        <v>3</v>
      </c>
      <c r="C69" s="2">
        <v>278</v>
      </c>
      <c r="D69" s="7">
        <f>MAIZ!D69</f>
        <v>0.99990000000000001</v>
      </c>
      <c r="E69" s="2">
        <f>MAIZ!E69</f>
        <v>1.0984768409987542</v>
      </c>
      <c r="F69" s="3">
        <f t="shared" si="10"/>
        <v>98.940541390424684</v>
      </c>
      <c r="G69" s="3">
        <f t="shared" si="14"/>
        <v>1.0984768409987544</v>
      </c>
      <c r="H69" s="3">
        <f t="shared" si="11"/>
        <v>253.05239912683348</v>
      </c>
      <c r="I69" s="4">
        <f t="shared" si="15"/>
        <v>3.5000000000000003E-2</v>
      </c>
      <c r="J69" s="5">
        <f t="shared" si="12"/>
        <v>98.940541390424684</v>
      </c>
      <c r="K69" s="63">
        <f t="shared" si="13"/>
        <v>244.1955651573943</v>
      </c>
      <c r="L69" s="10">
        <f t="shared" si="16"/>
        <v>209.55182751295348</v>
      </c>
      <c r="M69" s="10">
        <f t="shared" si="16"/>
        <v>324.6150744475849</v>
      </c>
    </row>
    <row r="70" spans="1:13" x14ac:dyDescent="0.15">
      <c r="A70" s="34">
        <v>36039</v>
      </c>
      <c r="B70" t="s">
        <v>5</v>
      </c>
      <c r="C70" s="2">
        <v>246</v>
      </c>
      <c r="D70" s="7">
        <f>MAIZ!D70</f>
        <v>0.99990000000000001</v>
      </c>
      <c r="E70" s="2">
        <f>MAIZ!E70</f>
        <v>1.098137139670702</v>
      </c>
      <c r="F70" s="3">
        <f t="shared" si="10"/>
        <v>87.578785623055069</v>
      </c>
      <c r="G70" s="3">
        <f t="shared" si="14"/>
        <v>1.0981371396707023</v>
      </c>
      <c r="H70" s="3">
        <f t="shared" si="11"/>
        <v>223.99333481586874</v>
      </c>
      <c r="I70" s="4">
        <f t="shared" si="15"/>
        <v>3.5000000000000003E-2</v>
      </c>
      <c r="J70" s="5">
        <f t="shared" si="12"/>
        <v>87.578785623055055</v>
      </c>
      <c r="K70" s="63">
        <f t="shared" si="13"/>
        <v>216.15356809731333</v>
      </c>
      <c r="L70" s="10">
        <f t="shared" si="16"/>
        <v>209.55182751295348</v>
      </c>
      <c r="M70" s="10">
        <f t="shared" si="16"/>
        <v>324.6150744475849</v>
      </c>
    </row>
    <row r="71" spans="1:13" x14ac:dyDescent="0.15">
      <c r="A71" s="34">
        <v>36069</v>
      </c>
      <c r="B71" t="s">
        <v>6</v>
      </c>
      <c r="C71" s="2">
        <v>239</v>
      </c>
      <c r="D71" s="7">
        <f>MAIZ!D71</f>
        <v>0.99990000000000001</v>
      </c>
      <c r="E71" s="2">
        <f>MAIZ!E71</f>
        <v>1.0941196857003317</v>
      </c>
      <c r="F71" s="3">
        <f t="shared" si="10"/>
        <v>85.399132804618858</v>
      </c>
      <c r="G71" s="3">
        <f t="shared" si="14"/>
        <v>1.0941196857003319</v>
      </c>
      <c r="H71" s="3">
        <f t="shared" si="11"/>
        <v>218.41860915520817</v>
      </c>
      <c r="I71" s="4">
        <f t="shared" si="15"/>
        <v>3.5000000000000003E-2</v>
      </c>
      <c r="J71" s="5">
        <f t="shared" si="12"/>
        <v>85.399132804618858</v>
      </c>
      <c r="K71" s="63">
        <f t="shared" si="13"/>
        <v>210.77395783477587</v>
      </c>
      <c r="L71" s="10">
        <f t="shared" si="16"/>
        <v>209.55182751295348</v>
      </c>
      <c r="M71" s="10">
        <f t="shared" si="16"/>
        <v>324.6150744475849</v>
      </c>
    </row>
    <row r="72" spans="1:13" x14ac:dyDescent="0.15">
      <c r="A72" s="34">
        <v>36100</v>
      </c>
      <c r="B72" t="s">
        <v>7</v>
      </c>
      <c r="C72" s="2">
        <v>239</v>
      </c>
      <c r="D72" s="7">
        <f>MAIZ!D72</f>
        <v>1.0002</v>
      </c>
      <c r="E72" s="2">
        <f>MAIZ!E72</f>
        <v>1.0915216740642271</v>
      </c>
      <c r="F72" s="3">
        <f t="shared" si="10"/>
        <v>85.628080897695781</v>
      </c>
      <c r="G72" s="3">
        <f t="shared" si="14"/>
        <v>1.0915216740642273</v>
      </c>
      <c r="H72" s="3">
        <f t="shared" si="11"/>
        <v>219.00417158911492</v>
      </c>
      <c r="I72" s="4">
        <f t="shared" si="15"/>
        <v>3.5000000000000003E-2</v>
      </c>
      <c r="J72" s="5">
        <f t="shared" si="12"/>
        <v>85.628080897695781</v>
      </c>
      <c r="K72" s="63">
        <f t="shared" si="13"/>
        <v>211.3390255834959</v>
      </c>
      <c r="L72" s="10">
        <f t="shared" si="16"/>
        <v>209.55182751295348</v>
      </c>
      <c r="M72" s="10">
        <f t="shared" si="16"/>
        <v>324.6150744475849</v>
      </c>
    </row>
    <row r="73" spans="1:13" x14ac:dyDescent="0.15">
      <c r="A73" s="34">
        <v>36130</v>
      </c>
      <c r="B73" s="6" t="s">
        <v>47</v>
      </c>
      <c r="C73" s="2">
        <v>239</v>
      </c>
      <c r="D73" s="7">
        <f>MAIZ!D73</f>
        <v>0.99980000000000002</v>
      </c>
      <c r="E73" s="2">
        <f>MAIZ!E73</f>
        <v>1.0913739341375333</v>
      </c>
      <c r="F73" s="3">
        <f t="shared" si="10"/>
        <v>85.605423401838706</v>
      </c>
      <c r="G73" s="3">
        <f t="shared" si="14"/>
        <v>1.0913739341375335</v>
      </c>
      <c r="H73" s="3">
        <f t="shared" si="11"/>
        <v>218.94622230357169</v>
      </c>
      <c r="I73" s="4">
        <f t="shared" si="15"/>
        <v>3.5000000000000003E-2</v>
      </c>
      <c r="J73" s="5">
        <f t="shared" si="12"/>
        <v>85.605423401838706</v>
      </c>
      <c r="K73" s="63">
        <f t="shared" si="13"/>
        <v>211.28310452294667</v>
      </c>
      <c r="L73" s="10">
        <f t="shared" si="16"/>
        <v>209.55182751295348</v>
      </c>
      <c r="M73" s="10">
        <f t="shared" si="16"/>
        <v>324.6150744475849</v>
      </c>
    </row>
    <row r="74" spans="1:13" x14ac:dyDescent="0.15">
      <c r="A74" s="34">
        <v>36161</v>
      </c>
      <c r="B74" s="6" t="s">
        <v>34</v>
      </c>
      <c r="C74" s="2">
        <v>222</v>
      </c>
      <c r="D74" s="7">
        <f>MAIZ!D74</f>
        <v>0.99994499999999997</v>
      </c>
      <c r="E74" s="2">
        <f>MAIZ!E74</f>
        <v>1.0965187007004931</v>
      </c>
      <c r="F74" s="3">
        <f t="shared" si="10"/>
        <v>79.154729324876755</v>
      </c>
      <c r="G74" s="3">
        <f t="shared" si="14"/>
        <v>1.0965187007004933</v>
      </c>
      <c r="H74" s="3">
        <f t="shared" si="11"/>
        <v>202.44779214270278</v>
      </c>
      <c r="I74" s="4">
        <f t="shared" si="15"/>
        <v>3.5000000000000003E-2</v>
      </c>
      <c r="J74" s="5">
        <f t="shared" si="12"/>
        <v>79.154729324876755</v>
      </c>
      <c r="K74" s="63">
        <f t="shared" si="13"/>
        <v>195.36211941770819</v>
      </c>
      <c r="L74" s="10">
        <f t="shared" si="16"/>
        <v>209.55182751295348</v>
      </c>
      <c r="M74" s="10">
        <f t="shared" si="16"/>
        <v>324.6150744475849</v>
      </c>
    </row>
    <row r="75" spans="1:13" x14ac:dyDescent="0.15">
      <c r="A75" s="34">
        <v>36192</v>
      </c>
      <c r="B75" t="s">
        <v>1</v>
      </c>
      <c r="C75" s="2">
        <v>199</v>
      </c>
      <c r="D75" s="7">
        <f>MAIZ!D75</f>
        <v>1.00024</v>
      </c>
      <c r="E75" s="2">
        <f>MAIZ!E75</f>
        <v>1.0947572119599731</v>
      </c>
      <c r="F75" s="3">
        <f t="shared" si="10"/>
        <v>71.089146980283203</v>
      </c>
      <c r="G75" s="3">
        <f t="shared" si="14"/>
        <v>1.0947572119599733</v>
      </c>
      <c r="H75" s="3">
        <f t="shared" si="11"/>
        <v>181.819089954785</v>
      </c>
      <c r="I75" s="4">
        <f t="shared" si="15"/>
        <v>3.5000000000000003E-2</v>
      </c>
      <c r="J75" s="5">
        <f t="shared" si="12"/>
        <v>71.089146980283203</v>
      </c>
      <c r="K75" s="63">
        <f t="shared" si="13"/>
        <v>175.45542180636753</v>
      </c>
      <c r="L75" s="10">
        <f t="shared" si="16"/>
        <v>209.55182751295348</v>
      </c>
      <c r="M75" s="10">
        <f t="shared" si="16"/>
        <v>324.6150744475849</v>
      </c>
    </row>
    <row r="76" spans="1:13" x14ac:dyDescent="0.15">
      <c r="A76" s="34">
        <v>36220</v>
      </c>
      <c r="B76" t="s">
        <v>2</v>
      </c>
      <c r="C76" s="2">
        <v>180</v>
      </c>
      <c r="D76" s="7">
        <f>MAIZ!D76</f>
        <v>0.99968695652173911</v>
      </c>
      <c r="E76" s="2">
        <f>MAIZ!E76</f>
        <v>1.0865377128636531</v>
      </c>
      <c r="F76" s="3">
        <f t="shared" si="10"/>
        <v>64.752352185793498</v>
      </c>
      <c r="G76" s="3">
        <f t="shared" si="14"/>
        <v>1.0865377128636533</v>
      </c>
      <c r="H76" s="3">
        <f t="shared" si="11"/>
        <v>165.61197098226603</v>
      </c>
      <c r="I76" s="4">
        <f t="shared" si="15"/>
        <v>3.5000000000000003E-2</v>
      </c>
      <c r="J76" s="5">
        <f t="shared" si="12"/>
        <v>64.752352185793498</v>
      </c>
      <c r="K76" s="63">
        <f t="shared" si="13"/>
        <v>159.8155519978867</v>
      </c>
      <c r="L76" s="10">
        <f t="shared" si="16"/>
        <v>209.55182751295348</v>
      </c>
      <c r="M76" s="10">
        <f t="shared" si="16"/>
        <v>324.6150744475849</v>
      </c>
    </row>
    <row r="77" spans="1:13" x14ac:dyDescent="0.15">
      <c r="A77" s="34">
        <v>36251</v>
      </c>
      <c r="B77" t="s">
        <v>3</v>
      </c>
      <c r="C77" s="2">
        <v>194</v>
      </c>
      <c r="D77" s="7">
        <f>MAIZ!D77</f>
        <v>0.99941499999999994</v>
      </c>
      <c r="E77" s="2">
        <f>MAIZ!E77</f>
        <v>1.0854737173825069</v>
      </c>
      <c r="F77" s="3">
        <f t="shared" si="10"/>
        <v>69.838049954552318</v>
      </c>
      <c r="G77" s="3">
        <f t="shared" si="14"/>
        <v>1.0854737173825071</v>
      </c>
      <c r="H77" s="3">
        <f t="shared" si="11"/>
        <v>178.61925802085253</v>
      </c>
      <c r="I77" s="4">
        <f t="shared" si="15"/>
        <v>3.5000000000000003E-2</v>
      </c>
      <c r="J77" s="5">
        <f t="shared" si="12"/>
        <v>69.838049954552304</v>
      </c>
      <c r="K77" s="63">
        <f t="shared" si="13"/>
        <v>172.36758399012268</v>
      </c>
      <c r="L77" s="10">
        <f t="shared" si="16"/>
        <v>209.55182751295348</v>
      </c>
      <c r="M77" s="10">
        <f t="shared" si="16"/>
        <v>324.6150744475849</v>
      </c>
    </row>
    <row r="78" spans="1:13" x14ac:dyDescent="0.15">
      <c r="A78" s="34">
        <v>36281</v>
      </c>
      <c r="B78" t="s">
        <v>2</v>
      </c>
      <c r="C78" s="2">
        <v>210</v>
      </c>
      <c r="D78" s="7">
        <f>MAIZ!D78</f>
        <v>1.00017</v>
      </c>
      <c r="E78" s="2">
        <f>MAIZ!E78</f>
        <v>1.0801292841612469</v>
      </c>
      <c r="F78" s="3">
        <f t="shared" si="10"/>
        <v>76.029336621006038</v>
      </c>
      <c r="G78" s="3">
        <f t="shared" si="14"/>
        <v>1.0801292841612471</v>
      </c>
      <c r="H78" s="3">
        <f t="shared" si="11"/>
        <v>194.45422236014926</v>
      </c>
      <c r="I78" s="4">
        <f t="shared" si="15"/>
        <v>3.5000000000000003E-2</v>
      </c>
      <c r="J78" s="5">
        <f t="shared" si="12"/>
        <v>76.029336621006038</v>
      </c>
      <c r="K78" s="63">
        <f t="shared" si="13"/>
        <v>187.64832457754403</v>
      </c>
      <c r="L78" s="10">
        <f t="shared" si="16"/>
        <v>209.55182751295348</v>
      </c>
      <c r="M78" s="10">
        <f t="shared" si="16"/>
        <v>324.6150744475849</v>
      </c>
    </row>
    <row r="79" spans="1:13" x14ac:dyDescent="0.15">
      <c r="A79" s="34">
        <v>36312</v>
      </c>
      <c r="B79" t="s">
        <v>4</v>
      </c>
      <c r="C79" s="2">
        <v>201</v>
      </c>
      <c r="D79" s="7">
        <f>MAIZ!D79</f>
        <v>1.0001150000000001</v>
      </c>
      <c r="E79" s="2">
        <f>MAIZ!E79</f>
        <v>1.0800636219716016</v>
      </c>
      <c r="F79" s="3">
        <f t="shared" si="10"/>
        <v>72.771358605944002</v>
      </c>
      <c r="G79" s="3">
        <f t="shared" si="14"/>
        <v>1.0800636219716018</v>
      </c>
      <c r="H79" s="3">
        <f t="shared" si="11"/>
        <v>186.12154961116312</v>
      </c>
      <c r="I79" s="4">
        <f t="shared" si="15"/>
        <v>3.5000000000000003E-2</v>
      </c>
      <c r="J79" s="5">
        <f t="shared" si="12"/>
        <v>72.771358605944002</v>
      </c>
      <c r="K79" s="63">
        <f t="shared" si="13"/>
        <v>179.60729537477241</v>
      </c>
      <c r="L79" s="10">
        <f t="shared" si="16"/>
        <v>209.55182751295348</v>
      </c>
      <c r="M79" s="10">
        <f t="shared" si="16"/>
        <v>324.6150744475849</v>
      </c>
    </row>
    <row r="80" spans="1:13" x14ac:dyDescent="0.15">
      <c r="A80" s="34">
        <v>36342</v>
      </c>
      <c r="B80" t="s">
        <v>4</v>
      </c>
      <c r="C80" s="2">
        <v>195</v>
      </c>
      <c r="D80" s="7">
        <f>MAIZ!D80</f>
        <v>1.0003142857142857</v>
      </c>
      <c r="E80" s="2">
        <f>MAIZ!E80</f>
        <v>1.0820710089121046</v>
      </c>
      <c r="F80" s="3">
        <f t="shared" si="10"/>
        <v>70.482150150388492</v>
      </c>
      <c r="G80" s="3">
        <f t="shared" si="14"/>
        <v>1.0820710089121048</v>
      </c>
      <c r="H80" s="3">
        <f t="shared" si="11"/>
        <v>180.26662216040413</v>
      </c>
      <c r="I80" s="4">
        <f t="shared" si="15"/>
        <v>3.5000000000000003E-2</v>
      </c>
      <c r="J80" s="5">
        <f t="shared" si="12"/>
        <v>70.482150150388492</v>
      </c>
      <c r="K80" s="63">
        <f t="shared" si="13"/>
        <v>173.95729038478999</v>
      </c>
      <c r="L80" s="10">
        <f t="shared" si="16"/>
        <v>209.55182751295348</v>
      </c>
      <c r="M80" s="10">
        <f t="shared" si="16"/>
        <v>324.6150744475849</v>
      </c>
    </row>
    <row r="81" spans="1:13" x14ac:dyDescent="0.15">
      <c r="A81" s="34">
        <v>36373</v>
      </c>
      <c r="B81" t="s">
        <v>3</v>
      </c>
      <c r="C81" s="2">
        <v>196</v>
      </c>
      <c r="D81" s="7">
        <f>MAIZ!D81</f>
        <v>1.0001666666666666</v>
      </c>
      <c r="E81" s="2">
        <f>MAIZ!E81</f>
        <v>1.0779979430872435</v>
      </c>
      <c r="F81" s="3">
        <f t="shared" si="10"/>
        <v>71.100775707565134</v>
      </c>
      <c r="G81" s="3">
        <f t="shared" si="14"/>
        <v>1.0779979430872437</v>
      </c>
      <c r="H81" s="3">
        <f t="shared" si="11"/>
        <v>181.84883183102838</v>
      </c>
      <c r="I81" s="4">
        <f t="shared" si="15"/>
        <v>3.5000000000000003E-2</v>
      </c>
      <c r="J81" s="5">
        <f t="shared" si="12"/>
        <v>71.100775707565134</v>
      </c>
      <c r="K81" s="63">
        <f t="shared" si="13"/>
        <v>175.48412271694238</v>
      </c>
      <c r="L81" s="10">
        <f t="shared" si="16"/>
        <v>209.55182751295348</v>
      </c>
      <c r="M81" s="10">
        <f t="shared" si="16"/>
        <v>324.6150744475849</v>
      </c>
    </row>
    <row r="82" spans="1:13" x14ac:dyDescent="0.15">
      <c r="A82" s="34">
        <v>36404</v>
      </c>
      <c r="B82" t="s">
        <v>5</v>
      </c>
      <c r="C82" s="2">
        <v>196</v>
      </c>
      <c r="D82" s="7">
        <f>MAIZ!D82</f>
        <v>1.0004045454545454</v>
      </c>
      <c r="E82" s="2">
        <f>MAIZ!E82</f>
        <v>1.0758501864658259</v>
      </c>
      <c r="F82" s="3">
        <f t="shared" si="10"/>
        <v>71.259660931396681</v>
      </c>
      <c r="G82" s="3">
        <f t="shared" si="14"/>
        <v>1.0758501864658261</v>
      </c>
      <c r="H82" s="3">
        <f t="shared" si="11"/>
        <v>182.25520000439138</v>
      </c>
      <c r="I82" s="4">
        <f t="shared" si="15"/>
        <v>3.5000000000000003E-2</v>
      </c>
      <c r="J82" s="5">
        <f t="shared" si="12"/>
        <v>71.259660931396667</v>
      </c>
      <c r="K82" s="63">
        <f t="shared" si="13"/>
        <v>175.87626800423769</v>
      </c>
      <c r="L82" s="10">
        <f t="shared" si="16"/>
        <v>209.55182751295348</v>
      </c>
      <c r="M82" s="10">
        <f t="shared" si="16"/>
        <v>324.6150744475849</v>
      </c>
    </row>
    <row r="83" spans="1:13" x14ac:dyDescent="0.15">
      <c r="A83" s="34">
        <v>36434</v>
      </c>
      <c r="B83" t="s">
        <v>6</v>
      </c>
      <c r="C83" s="2">
        <v>199</v>
      </c>
      <c r="D83" s="7">
        <f>MAIZ!D83</f>
        <v>1.0013399999999999</v>
      </c>
      <c r="E83" s="2">
        <f>MAIZ!E83</f>
        <v>1.0756820108576608</v>
      </c>
      <c r="F83" s="3">
        <f t="shared" si="10"/>
        <v>72.429345209228842</v>
      </c>
      <c r="G83" s="3">
        <f t="shared" si="14"/>
        <v>1.075682010857661</v>
      </c>
      <c r="H83" s="3">
        <f t="shared" si="11"/>
        <v>185.24680899062449</v>
      </c>
      <c r="I83" s="4">
        <f t="shared" si="15"/>
        <v>3.5000000000000003E-2</v>
      </c>
      <c r="J83" s="5">
        <f t="shared" si="12"/>
        <v>72.429345209228842</v>
      </c>
      <c r="K83" s="63">
        <f t="shared" si="13"/>
        <v>178.76317067595264</v>
      </c>
      <c r="L83" s="10">
        <f t="shared" si="16"/>
        <v>209.55182751295348</v>
      </c>
      <c r="M83" s="10">
        <f t="shared" si="16"/>
        <v>324.6150744475849</v>
      </c>
    </row>
    <row r="84" spans="1:13" x14ac:dyDescent="0.15">
      <c r="A84" s="34">
        <v>36465</v>
      </c>
      <c r="B84" t="s">
        <v>7</v>
      </c>
      <c r="C84" s="2">
        <v>189</v>
      </c>
      <c r="D84" s="7">
        <f>MAIZ!D84</f>
        <v>1.0006636363636363</v>
      </c>
      <c r="E84" s="2">
        <f>MAIZ!E84</f>
        <v>1.0722819824766263</v>
      </c>
      <c r="F84" s="3">
        <f t="shared" si="10"/>
        <v>68.961188382720835</v>
      </c>
      <c r="G84" s="3">
        <f t="shared" si="14"/>
        <v>1.0722819824766265</v>
      </c>
      <c r="H84" s="3">
        <f t="shared" si="11"/>
        <v>176.37657851520393</v>
      </c>
      <c r="I84" s="4">
        <f t="shared" si="15"/>
        <v>3.5000000000000003E-2</v>
      </c>
      <c r="J84" s="5">
        <f t="shared" si="12"/>
        <v>68.961188382720835</v>
      </c>
      <c r="K84" s="63">
        <f t="shared" si="13"/>
        <v>170.20339826717179</v>
      </c>
      <c r="L84" s="10">
        <f t="shared" ref="L84:M99" si="17">+L83</f>
        <v>209.55182751295348</v>
      </c>
      <c r="M84" s="10">
        <f t="shared" si="17"/>
        <v>324.6150744475849</v>
      </c>
    </row>
    <row r="85" spans="1:13" x14ac:dyDescent="0.15">
      <c r="A85" s="34">
        <v>36495</v>
      </c>
      <c r="B85" s="6" t="s">
        <v>35</v>
      </c>
      <c r="C85" s="2">
        <v>177</v>
      </c>
      <c r="D85" s="7">
        <f>MAIZ!D85</f>
        <v>1.0015428571428571</v>
      </c>
      <c r="E85" s="2">
        <f>MAIZ!E85</f>
        <v>1.0716149752338795</v>
      </c>
      <c r="F85" s="3">
        <f t="shared" si="10"/>
        <v>64.679678671957902</v>
      </c>
      <c r="G85" s="3">
        <f t="shared" si="14"/>
        <v>1.0716149752338797</v>
      </c>
      <c r="H85" s="3">
        <f t="shared" si="11"/>
        <v>165.42609968248709</v>
      </c>
      <c r="I85" s="4">
        <f t="shared" si="15"/>
        <v>3.5000000000000003E-2</v>
      </c>
      <c r="J85" s="5">
        <f t="shared" si="12"/>
        <v>64.679678671957902</v>
      </c>
      <c r="K85" s="63">
        <f t="shared" si="13"/>
        <v>159.63618619360003</v>
      </c>
      <c r="L85" s="10">
        <f t="shared" si="17"/>
        <v>209.55182751295348</v>
      </c>
      <c r="M85" s="10">
        <f t="shared" si="17"/>
        <v>324.6150744475849</v>
      </c>
    </row>
    <row r="86" spans="1:13" x14ac:dyDescent="0.15">
      <c r="A86" s="34">
        <v>36526</v>
      </c>
      <c r="B86" t="s">
        <v>32</v>
      </c>
      <c r="C86" s="2">
        <v>174</v>
      </c>
      <c r="D86" s="7">
        <f>MAIZ!D86</f>
        <v>0.99966666666666681</v>
      </c>
      <c r="E86" s="2">
        <f>MAIZ!E86</f>
        <v>1.0806726722816566</v>
      </c>
      <c r="F86" s="3">
        <f t="shared" si="10"/>
        <v>62.932373767841085</v>
      </c>
      <c r="G86" s="3">
        <f t="shared" si="14"/>
        <v>1.0806726722816569</v>
      </c>
      <c r="H86" s="3">
        <f t="shared" si="11"/>
        <v>160.95715609496355</v>
      </c>
      <c r="I86" s="4">
        <f t="shared" si="15"/>
        <v>3.5000000000000003E-2</v>
      </c>
      <c r="J86" s="5">
        <f t="shared" si="12"/>
        <v>62.932373767841085</v>
      </c>
      <c r="K86" s="63">
        <f t="shared" si="13"/>
        <v>155.32365563163981</v>
      </c>
      <c r="L86" s="10">
        <f t="shared" si="17"/>
        <v>209.55182751295348</v>
      </c>
      <c r="M86" s="10">
        <f t="shared" si="17"/>
        <v>324.6150744475849</v>
      </c>
    </row>
    <row r="87" spans="1:13" x14ac:dyDescent="0.15">
      <c r="A87" s="34">
        <v>36557</v>
      </c>
      <c r="B87" t="s">
        <v>1</v>
      </c>
      <c r="C87" s="2">
        <v>166</v>
      </c>
      <c r="D87" s="7">
        <f>MAIZ!D87</f>
        <v>0.99908095238095229</v>
      </c>
      <c r="E87" s="2">
        <f>MAIZ!E87</f>
        <v>1.0807168937563107</v>
      </c>
      <c r="F87" s="3">
        <f t="shared" si="10"/>
        <v>60.001298637690113</v>
      </c>
      <c r="G87" s="3">
        <f t="shared" si="14"/>
        <v>1.080716893756311</v>
      </c>
      <c r="H87" s="3">
        <f t="shared" si="11"/>
        <v>153.46057700531767</v>
      </c>
      <c r="I87" s="4">
        <f t="shared" si="15"/>
        <v>3.5000000000000003E-2</v>
      </c>
      <c r="J87" s="5">
        <f t="shared" si="12"/>
        <v>60.001298637690105</v>
      </c>
      <c r="K87" s="63">
        <f t="shared" si="13"/>
        <v>148.08945681013154</v>
      </c>
      <c r="L87" s="10">
        <f t="shared" si="17"/>
        <v>209.55182751295348</v>
      </c>
      <c r="M87" s="10">
        <f t="shared" si="17"/>
        <v>324.6150744475849</v>
      </c>
    </row>
    <row r="88" spans="1:13" x14ac:dyDescent="0.15">
      <c r="A88" s="34">
        <v>36586</v>
      </c>
      <c r="B88" t="s">
        <v>2</v>
      </c>
      <c r="C88" s="2">
        <v>162</v>
      </c>
      <c r="D88" s="7">
        <f>MAIZ!D88</f>
        <v>0.99908260869565213</v>
      </c>
      <c r="E88" s="2">
        <f>MAIZ!E88</f>
        <v>1.0750069633467871</v>
      </c>
      <c r="F88" s="3">
        <f t="shared" si="10"/>
        <v>58.866600942637113</v>
      </c>
      <c r="G88" s="3">
        <f t="shared" si="14"/>
        <v>1.0750069633467874</v>
      </c>
      <c r="H88" s="3">
        <f t="shared" si="11"/>
        <v>150.55845043534279</v>
      </c>
      <c r="I88" s="4">
        <f t="shared" si="15"/>
        <v>3.5000000000000003E-2</v>
      </c>
      <c r="J88" s="5">
        <f t="shared" si="12"/>
        <v>58.866600942637113</v>
      </c>
      <c r="K88" s="63">
        <f t="shared" si="13"/>
        <v>145.28890467010578</v>
      </c>
      <c r="L88" s="10">
        <f t="shared" si="17"/>
        <v>209.55182751295348</v>
      </c>
      <c r="M88" s="10">
        <f t="shared" si="17"/>
        <v>324.6150744475849</v>
      </c>
    </row>
    <row r="89" spans="1:13" x14ac:dyDescent="0.15">
      <c r="A89" s="34">
        <v>36617</v>
      </c>
      <c r="B89" t="s">
        <v>3</v>
      </c>
      <c r="C89" s="2">
        <v>167</v>
      </c>
      <c r="D89" s="7">
        <f>MAIZ!D89</f>
        <v>0.99903888888888892</v>
      </c>
      <c r="E89" s="2">
        <f>MAIZ!E89</f>
        <v>1.0737982430394957</v>
      </c>
      <c r="F89" s="3">
        <f t="shared" si="10"/>
        <v>60.749121157959806</v>
      </c>
      <c r="G89" s="3">
        <f t="shared" si="14"/>
        <v>1.0737982430394959</v>
      </c>
      <c r="H89" s="3">
        <f t="shared" si="11"/>
        <v>155.37322353237249</v>
      </c>
      <c r="I89" s="4">
        <f t="shared" si="15"/>
        <v>3.5000000000000003E-2</v>
      </c>
      <c r="J89" s="5">
        <f t="shared" si="12"/>
        <v>60.749121157959806</v>
      </c>
      <c r="K89" s="63">
        <f t="shared" si="13"/>
        <v>149.93516070873946</v>
      </c>
      <c r="L89" s="10">
        <f t="shared" si="17"/>
        <v>209.55182751295348</v>
      </c>
      <c r="M89" s="10">
        <f t="shared" si="17"/>
        <v>324.6150744475849</v>
      </c>
    </row>
    <row r="90" spans="1:13" x14ac:dyDescent="0.15">
      <c r="A90" s="34">
        <v>36647</v>
      </c>
      <c r="B90" t="s">
        <v>2</v>
      </c>
      <c r="C90" s="2">
        <v>170</v>
      </c>
      <c r="D90" s="7">
        <f>MAIZ!D90</f>
        <v>0.99982857142857151</v>
      </c>
      <c r="E90" s="2">
        <f>MAIZ!E90</f>
        <v>1.0696243388519626</v>
      </c>
      <c r="F90" s="3">
        <f t="shared" si="10"/>
        <v>62.130809391334282</v>
      </c>
      <c r="G90" s="3">
        <f t="shared" si="14"/>
        <v>1.0696243388519628</v>
      </c>
      <c r="H90" s="3">
        <f t="shared" si="11"/>
        <v>158.90705827177453</v>
      </c>
      <c r="I90" s="4">
        <f t="shared" si="15"/>
        <v>3.5000000000000003E-2</v>
      </c>
      <c r="J90" s="5">
        <f t="shared" si="12"/>
        <v>62.130809391334274</v>
      </c>
      <c r="K90" s="63">
        <f t="shared" si="13"/>
        <v>153.34531123226242</v>
      </c>
      <c r="L90" s="10">
        <f t="shared" si="17"/>
        <v>209.55182751295348</v>
      </c>
      <c r="M90" s="10">
        <f t="shared" si="17"/>
        <v>324.6150744475849</v>
      </c>
    </row>
    <row r="91" spans="1:13" x14ac:dyDescent="0.15">
      <c r="A91" s="34">
        <v>36678</v>
      </c>
      <c r="B91" t="s">
        <v>4</v>
      </c>
      <c r="C91" s="2">
        <v>150</v>
      </c>
      <c r="D91" s="7">
        <f>MAIZ!D91</f>
        <v>0.99959999999999993</v>
      </c>
      <c r="E91" s="2">
        <f>MAIZ!E91</f>
        <v>1.0676467679057393</v>
      </c>
      <c r="F91" s="3">
        <f t="shared" si="10"/>
        <v>54.910290356574961</v>
      </c>
      <c r="G91" s="3">
        <f t="shared" si="14"/>
        <v>1.0676467679057395</v>
      </c>
      <c r="H91" s="3">
        <f t="shared" si="11"/>
        <v>140.43970768919885</v>
      </c>
      <c r="I91" s="4">
        <f t="shared" si="15"/>
        <v>3.5000000000000003E-2</v>
      </c>
      <c r="J91" s="5">
        <f t="shared" si="12"/>
        <v>54.910290356574961</v>
      </c>
      <c r="K91" s="63">
        <f t="shared" si="13"/>
        <v>135.5243179200769</v>
      </c>
      <c r="L91" s="10">
        <f t="shared" si="17"/>
        <v>209.55182751295348</v>
      </c>
      <c r="M91" s="10">
        <f t="shared" si="17"/>
        <v>324.6150744475849</v>
      </c>
    </row>
    <row r="92" spans="1:13" x14ac:dyDescent="0.15">
      <c r="A92" s="34">
        <v>36708</v>
      </c>
      <c r="B92" t="s">
        <v>4</v>
      </c>
      <c r="C92" s="2">
        <v>150</v>
      </c>
      <c r="D92" s="7">
        <f>MAIZ!D92</f>
        <v>0.9984571428571426</v>
      </c>
      <c r="E92" s="2">
        <f>MAIZ!E92</f>
        <v>1.0722836575324839</v>
      </c>
      <c r="F92" s="3">
        <f t="shared" si="10"/>
        <v>54.610332851184083</v>
      </c>
      <c r="G92" s="3">
        <f t="shared" si="14"/>
        <v>1.0722836575324841</v>
      </c>
      <c r="H92" s="3">
        <f t="shared" si="11"/>
        <v>139.67253009638847</v>
      </c>
      <c r="I92" s="4">
        <f t="shared" si="15"/>
        <v>3.5000000000000003E-2</v>
      </c>
      <c r="J92" s="5">
        <f t="shared" si="12"/>
        <v>54.610332851184083</v>
      </c>
      <c r="K92" s="63">
        <f t="shared" si="13"/>
        <v>134.78399154301488</v>
      </c>
      <c r="L92" s="10">
        <f t="shared" si="17"/>
        <v>209.55182751295348</v>
      </c>
      <c r="M92" s="10">
        <f t="shared" si="17"/>
        <v>324.6150744475849</v>
      </c>
    </row>
    <row r="93" spans="1:13" x14ac:dyDescent="0.15">
      <c r="A93" s="34">
        <v>36739</v>
      </c>
      <c r="B93" t="s">
        <v>3</v>
      </c>
      <c r="C93" s="2">
        <v>150</v>
      </c>
      <c r="D93" s="7">
        <f>MAIZ!D93</f>
        <v>0.99904090909090904</v>
      </c>
      <c r="E93" s="2">
        <f>MAIZ!E93</f>
        <v>1.0699767706045338</v>
      </c>
      <c r="F93" s="3">
        <f t="shared" si="10"/>
        <v>54.760071366400233</v>
      </c>
      <c r="G93" s="3">
        <f t="shared" si="14"/>
        <v>1.069976770604534</v>
      </c>
      <c r="H93" s="3">
        <f t="shared" si="11"/>
        <v>140.05550445638931</v>
      </c>
      <c r="I93" s="4">
        <f t="shared" si="15"/>
        <v>3.5000000000000003E-2</v>
      </c>
      <c r="J93" s="5">
        <f t="shared" si="12"/>
        <v>54.760071366400233</v>
      </c>
      <c r="K93" s="63">
        <f t="shared" si="13"/>
        <v>135.15356180041567</v>
      </c>
      <c r="L93" s="10">
        <f t="shared" si="17"/>
        <v>209.55182751295348</v>
      </c>
      <c r="M93" s="10">
        <f t="shared" si="17"/>
        <v>324.6150744475849</v>
      </c>
    </row>
    <row r="94" spans="1:13" x14ac:dyDescent="0.15">
      <c r="A94" s="34">
        <v>36770</v>
      </c>
      <c r="B94" t="s">
        <v>5</v>
      </c>
      <c r="C94" s="2">
        <v>153</v>
      </c>
      <c r="D94" s="7">
        <f>MAIZ!D94</f>
        <v>0.99883333333333335</v>
      </c>
      <c r="E94" s="2">
        <f>MAIZ!E94</f>
        <v>1.0683335408076131</v>
      </c>
      <c r="F94" s="3">
        <f t="shared" si="10"/>
        <v>55.929561965425513</v>
      </c>
      <c r="G94" s="3">
        <f t="shared" si="14"/>
        <v>1.0683335408076133</v>
      </c>
      <c r="H94" s="3">
        <f t="shared" si="11"/>
        <v>143.04661808565297</v>
      </c>
      <c r="I94" s="4">
        <f t="shared" si="15"/>
        <v>3.5000000000000003E-2</v>
      </c>
      <c r="J94" s="5">
        <f t="shared" si="12"/>
        <v>55.929561965425513</v>
      </c>
      <c r="K94" s="63">
        <f t="shared" si="13"/>
        <v>138.03998645265511</v>
      </c>
      <c r="L94" s="10">
        <f t="shared" si="17"/>
        <v>209.55182751295348</v>
      </c>
      <c r="M94" s="10">
        <f t="shared" si="17"/>
        <v>324.6150744475849</v>
      </c>
    </row>
    <row r="95" spans="1:13" x14ac:dyDescent="0.15">
      <c r="A95" s="34">
        <v>36800</v>
      </c>
      <c r="B95" t="s">
        <v>6</v>
      </c>
      <c r="C95" s="2">
        <v>160</v>
      </c>
      <c r="D95" s="7">
        <f>MAIZ!D95</f>
        <v>0.99912857142857125</v>
      </c>
      <c r="E95" s="2">
        <f>MAIZ!E95</f>
        <v>1.0702983813293132</v>
      </c>
      <c r="F95" s="3">
        <f t="shared" si="10"/>
        <v>58.398314921143857</v>
      </c>
      <c r="G95" s="3">
        <f t="shared" si="14"/>
        <v>1.0702983813293134</v>
      </c>
      <c r="H95" s="3">
        <f t="shared" si="11"/>
        <v>149.36075230724367</v>
      </c>
      <c r="I95" s="4">
        <f t="shared" si="15"/>
        <v>3.5000000000000003E-2</v>
      </c>
      <c r="J95" s="5">
        <f t="shared" si="12"/>
        <v>58.398314921143857</v>
      </c>
      <c r="K95" s="63">
        <f t="shared" si="13"/>
        <v>144.13312597649013</v>
      </c>
      <c r="L95" s="10">
        <f t="shared" si="17"/>
        <v>209.55182751295348</v>
      </c>
      <c r="M95" s="10">
        <f t="shared" si="17"/>
        <v>324.6150744475849</v>
      </c>
    </row>
    <row r="96" spans="1:13" x14ac:dyDescent="0.15">
      <c r="A96" s="34">
        <v>36831</v>
      </c>
      <c r="B96" t="s">
        <v>7</v>
      </c>
      <c r="C96" s="2">
        <v>160</v>
      </c>
      <c r="D96" s="7">
        <f>MAIZ!D96</f>
        <v>0.99982272727272725</v>
      </c>
      <c r="E96" s="2">
        <f>MAIZ!E96</f>
        <v>1.065040248114441</v>
      </c>
      <c r="F96" s="3">
        <f t="shared" si="10"/>
        <v>58.727402217436108</v>
      </c>
      <c r="G96" s="3">
        <f t="shared" si="14"/>
        <v>1.0650402481144412</v>
      </c>
      <c r="H96" s="3">
        <f t="shared" si="11"/>
        <v>150.20243286284426</v>
      </c>
      <c r="I96" s="4">
        <f t="shared" si="15"/>
        <v>3.5000000000000003E-2</v>
      </c>
      <c r="J96" s="5">
        <f t="shared" si="12"/>
        <v>58.727402217436108</v>
      </c>
      <c r="K96" s="63">
        <f t="shared" si="13"/>
        <v>144.94534771264472</v>
      </c>
      <c r="L96" s="10">
        <f t="shared" si="17"/>
        <v>209.55182751295348</v>
      </c>
      <c r="M96" s="10">
        <f t="shared" si="17"/>
        <v>324.6150744475849</v>
      </c>
    </row>
    <row r="97" spans="1:13" x14ac:dyDescent="0.15">
      <c r="A97" s="34">
        <v>36861</v>
      </c>
      <c r="B97" t="s">
        <v>33</v>
      </c>
      <c r="C97" s="2">
        <v>168</v>
      </c>
      <c r="D97" s="7">
        <f>MAIZ!D97</f>
        <v>1.0004277777777777</v>
      </c>
      <c r="E97" s="2">
        <f>MAIZ!E97</f>
        <v>1.0637525420210028</v>
      </c>
      <c r="F97" s="3">
        <f t="shared" si="10"/>
        <v>61.775779759167129</v>
      </c>
      <c r="G97" s="3">
        <f t="shared" si="14"/>
        <v>1.063752542021003</v>
      </c>
      <c r="H97" s="3">
        <f t="shared" si="11"/>
        <v>157.99902705506128</v>
      </c>
      <c r="I97" s="4">
        <f t="shared" si="15"/>
        <v>3.5000000000000003E-2</v>
      </c>
      <c r="J97" s="5">
        <f t="shared" si="12"/>
        <v>61.775779759167129</v>
      </c>
      <c r="K97" s="63">
        <f t="shared" si="13"/>
        <v>152.46906110813413</v>
      </c>
      <c r="L97" s="10">
        <f t="shared" si="17"/>
        <v>209.55182751295348</v>
      </c>
      <c r="M97" s="10">
        <f t="shared" si="17"/>
        <v>324.6150744475849</v>
      </c>
    </row>
    <row r="98" spans="1:13" x14ac:dyDescent="0.15">
      <c r="A98" s="34">
        <v>36892</v>
      </c>
      <c r="B98" t="s">
        <v>0</v>
      </c>
      <c r="C98" s="9">
        <v>170</v>
      </c>
      <c r="D98" s="7">
        <f>MAIZ!D98</f>
        <v>0.99966818181818196</v>
      </c>
      <c r="E98" s="2">
        <f>MAIZ!E98</f>
        <v>1.0646110127499615</v>
      </c>
      <c r="F98" s="3">
        <f t="shared" si="10"/>
        <v>62.413373844412781</v>
      </c>
      <c r="G98" s="3">
        <f t="shared" si="14"/>
        <v>1.0646110127499617</v>
      </c>
      <c r="H98" s="3">
        <f t="shared" si="11"/>
        <v>159.62975103001727</v>
      </c>
      <c r="I98" s="4">
        <f t="shared" si="15"/>
        <v>3.5000000000000003E-2</v>
      </c>
      <c r="J98" s="5">
        <f t="shared" si="12"/>
        <v>62.413373844412781</v>
      </c>
      <c r="K98" s="63">
        <f t="shared" si="13"/>
        <v>154.04270974396667</v>
      </c>
      <c r="L98" s="10">
        <f t="shared" si="17"/>
        <v>209.55182751295348</v>
      </c>
      <c r="M98" s="10">
        <f t="shared" si="17"/>
        <v>324.6150744475849</v>
      </c>
    </row>
    <row r="99" spans="1:13" x14ac:dyDescent="0.15">
      <c r="A99" s="34">
        <v>36923</v>
      </c>
      <c r="B99" t="s">
        <v>1</v>
      </c>
      <c r="C99" s="9">
        <v>165</v>
      </c>
      <c r="D99" s="7">
        <f>MAIZ!D99</f>
        <v>0.99899000000000027</v>
      </c>
      <c r="E99" s="2">
        <f>MAIZ!E99</f>
        <v>1.0622502182453251</v>
      </c>
      <c r="F99" s="3">
        <f t="shared" si="10"/>
        <v>60.671129401918222</v>
      </c>
      <c r="G99" s="3">
        <f t="shared" si="14"/>
        <v>1.0622502182453253</v>
      </c>
      <c r="H99" s="3">
        <f t="shared" si="11"/>
        <v>155.17375018503597</v>
      </c>
      <c r="I99" s="4">
        <f t="shared" si="15"/>
        <v>3.5000000000000003E-2</v>
      </c>
      <c r="J99" s="5">
        <f t="shared" si="12"/>
        <v>60.671129401918208</v>
      </c>
      <c r="K99" s="63">
        <f t="shared" si="13"/>
        <v>149.74266892855971</v>
      </c>
      <c r="L99" s="10">
        <f t="shared" si="17"/>
        <v>209.55182751295348</v>
      </c>
      <c r="M99" s="10">
        <f t="shared" si="17"/>
        <v>324.6150744475849</v>
      </c>
    </row>
    <row r="100" spans="1:13" x14ac:dyDescent="0.15">
      <c r="A100" s="34">
        <v>36951</v>
      </c>
      <c r="B100" t="s">
        <v>2</v>
      </c>
      <c r="C100" s="9">
        <v>161</v>
      </c>
      <c r="D100" s="7">
        <f>MAIZ!D100</f>
        <v>1.0034999999999998</v>
      </c>
      <c r="E100" s="2">
        <f>MAIZ!E100</f>
        <v>1.0642890862266021</v>
      </c>
      <c r="F100" s="3">
        <f t="shared" si="10"/>
        <v>59.353654934210454</v>
      </c>
      <c r="G100" s="3">
        <f t="shared" si="14"/>
        <v>1.0642890862266023</v>
      </c>
      <c r="H100" s="3">
        <f t="shared" si="11"/>
        <v>151.80414991646433</v>
      </c>
      <c r="I100" s="4">
        <f t="shared" si="15"/>
        <v>3.5000000000000003E-2</v>
      </c>
      <c r="J100" s="5">
        <f t="shared" si="12"/>
        <v>59.353654934210454</v>
      </c>
      <c r="K100" s="63">
        <f t="shared" si="13"/>
        <v>146.49100466938808</v>
      </c>
      <c r="L100" s="10">
        <f t="shared" ref="L100:M115" si="18">+L99</f>
        <v>209.55182751295348</v>
      </c>
      <c r="M100" s="10">
        <f t="shared" si="18"/>
        <v>324.6150744475849</v>
      </c>
    </row>
    <row r="101" spans="1:13" x14ac:dyDescent="0.15">
      <c r="A101" s="34">
        <v>36982</v>
      </c>
      <c r="B101" t="s">
        <v>3</v>
      </c>
      <c r="C101" s="9">
        <v>165</v>
      </c>
      <c r="D101" s="7">
        <f>MAIZ!D101</f>
        <v>1.0000222222222221</v>
      </c>
      <c r="E101" s="2">
        <f>MAIZ!E101</f>
        <v>1.0713714697405117</v>
      </c>
      <c r="F101" s="3">
        <f t="shared" si="10"/>
        <v>60.216754042758012</v>
      </c>
      <c r="G101" s="3">
        <f t="shared" si="14"/>
        <v>1.0713714697405119</v>
      </c>
      <c r="H101" s="3">
        <f t="shared" si="11"/>
        <v>154.01163025801949</v>
      </c>
      <c r="I101" s="4">
        <f t="shared" si="15"/>
        <v>3.5000000000000003E-2</v>
      </c>
      <c r="J101" s="5">
        <f t="shared" si="12"/>
        <v>60.216754042758012</v>
      </c>
      <c r="K101" s="63">
        <f t="shared" si="13"/>
        <v>148.62122319898882</v>
      </c>
      <c r="L101" s="10">
        <f t="shared" si="18"/>
        <v>209.55182751295348</v>
      </c>
      <c r="M101" s="10">
        <f t="shared" si="18"/>
        <v>324.6150744475849</v>
      </c>
    </row>
    <row r="102" spans="1:13" x14ac:dyDescent="0.15">
      <c r="A102" s="34">
        <v>37012</v>
      </c>
      <c r="B102" t="s">
        <v>2</v>
      </c>
      <c r="C102" s="9">
        <v>165</v>
      </c>
      <c r="D102" s="7">
        <f>MAIZ!D102</f>
        <v>0.99949523809523821</v>
      </c>
      <c r="E102" s="2">
        <f>MAIZ!E102</f>
        <v>1.0720153227872309</v>
      </c>
      <c r="F102" s="3">
        <f t="shared" si="10"/>
        <v>60.148874314322484</v>
      </c>
      <c r="G102" s="3">
        <f t="shared" si="14"/>
        <v>1.0720153227872311</v>
      </c>
      <c r="H102" s="3">
        <f t="shared" si="11"/>
        <v>153.83801964409631</v>
      </c>
      <c r="I102" s="4">
        <f t="shared" si="15"/>
        <v>3.5000000000000003E-2</v>
      </c>
      <c r="J102" s="5">
        <f t="shared" si="12"/>
        <v>60.148874314322484</v>
      </c>
      <c r="K102" s="63">
        <f t="shared" si="13"/>
        <v>148.45368895655292</v>
      </c>
      <c r="L102" s="10">
        <f t="shared" si="18"/>
        <v>209.55182751295348</v>
      </c>
      <c r="M102" s="10">
        <f t="shared" si="18"/>
        <v>324.6150744475849</v>
      </c>
    </row>
    <row r="103" spans="1:13" x14ac:dyDescent="0.15">
      <c r="A103" s="34">
        <v>37043</v>
      </c>
      <c r="B103" t="s">
        <v>4</v>
      </c>
      <c r="C103" s="9">
        <v>171</v>
      </c>
      <c r="D103" s="7">
        <f>MAIZ!D103</f>
        <v>0.99988999999999995</v>
      </c>
      <c r="E103" s="2">
        <f>MAIZ!E103</f>
        <v>1.0642890862266021</v>
      </c>
      <c r="F103" s="3">
        <f t="shared" si="10"/>
        <v>62.81343590291543</v>
      </c>
      <c r="G103" s="3">
        <f t="shared" si="14"/>
        <v>1.0642890862266023</v>
      </c>
      <c r="H103" s="3">
        <f t="shared" si="11"/>
        <v>160.65295812269156</v>
      </c>
      <c r="I103" s="4">
        <f t="shared" si="15"/>
        <v>3.5000000000000003E-2</v>
      </c>
      <c r="J103" s="5">
        <f t="shared" si="12"/>
        <v>62.81343590291543</v>
      </c>
      <c r="K103" s="63">
        <f t="shared" si="13"/>
        <v>155.03010458839734</v>
      </c>
      <c r="L103" s="10">
        <f t="shared" si="18"/>
        <v>209.55182751295348</v>
      </c>
      <c r="M103" s="10">
        <f t="shared" si="18"/>
        <v>324.6150744475849</v>
      </c>
    </row>
    <row r="104" spans="1:13" x14ac:dyDescent="0.15">
      <c r="A104" s="34">
        <v>37073</v>
      </c>
      <c r="B104" t="s">
        <v>4</v>
      </c>
      <c r="C104" s="9">
        <v>184</v>
      </c>
      <c r="D104" s="7">
        <f>MAIZ!D104</f>
        <v>1.0063952380952383</v>
      </c>
      <c r="E104" s="2">
        <f>MAIZ!E104</f>
        <v>1.060855203310767</v>
      </c>
      <c r="F104" s="3">
        <f t="shared" si="10"/>
        <v>68.248656832308328</v>
      </c>
      <c r="G104" s="3">
        <f t="shared" si="14"/>
        <v>1.0608552033107672</v>
      </c>
      <c r="H104" s="3">
        <f t="shared" si="11"/>
        <v>174.55419291116786</v>
      </c>
      <c r="I104" s="4">
        <f t="shared" si="15"/>
        <v>3.5000000000000003E-2</v>
      </c>
      <c r="J104" s="5">
        <f t="shared" si="12"/>
        <v>68.248656832308328</v>
      </c>
      <c r="K104" s="63">
        <f t="shared" si="13"/>
        <v>168.44479615927699</v>
      </c>
      <c r="L104" s="10">
        <f t="shared" si="18"/>
        <v>209.55182751295348</v>
      </c>
      <c r="M104" s="10">
        <f t="shared" si="18"/>
        <v>324.6150744475849</v>
      </c>
    </row>
    <row r="105" spans="1:13" x14ac:dyDescent="0.15">
      <c r="A105" s="34">
        <v>37104</v>
      </c>
      <c r="B105" t="s">
        <v>3</v>
      </c>
      <c r="C105" s="9">
        <v>190</v>
      </c>
      <c r="D105" s="7">
        <f>MAIZ!D105</f>
        <v>1.0005391304347824</v>
      </c>
      <c r="E105" s="2">
        <f>MAIZ!E105</f>
        <v>1.0570993938715727</v>
      </c>
      <c r="F105" s="3">
        <f t="shared" si="10"/>
        <v>70.313008202897237</v>
      </c>
      <c r="G105" s="3">
        <f t="shared" si="14"/>
        <v>1.0570993938715729</v>
      </c>
      <c r="H105" s="3">
        <f t="shared" si="11"/>
        <v>179.83402117597296</v>
      </c>
      <c r="I105" s="4">
        <f t="shared" si="15"/>
        <v>3.5000000000000003E-2</v>
      </c>
      <c r="J105" s="5">
        <f t="shared" si="12"/>
        <v>70.313008202897237</v>
      </c>
      <c r="K105" s="63">
        <f t="shared" si="13"/>
        <v>173.53983043481389</v>
      </c>
      <c r="L105" s="10">
        <f t="shared" si="18"/>
        <v>209.55182751295348</v>
      </c>
      <c r="M105" s="10">
        <f t="shared" si="18"/>
        <v>324.6150744475849</v>
      </c>
    </row>
    <row r="106" spans="1:13" x14ac:dyDescent="0.15">
      <c r="A106" s="34">
        <v>37135</v>
      </c>
      <c r="B106" t="s">
        <v>5</v>
      </c>
      <c r="C106" s="9">
        <v>191</v>
      </c>
      <c r="D106" s="7">
        <f>MAIZ!D106</f>
        <v>0.99980499999999972</v>
      </c>
      <c r="E106" s="2">
        <f>MAIZ!E106</f>
        <v>1.056240923142614</v>
      </c>
      <c r="F106" s="3">
        <f t="shared" si="10"/>
        <v>70.68862027938232</v>
      </c>
      <c r="G106" s="3">
        <f t="shared" si="14"/>
        <v>1.0562409231426142</v>
      </c>
      <c r="H106" s="3">
        <f t="shared" si="11"/>
        <v>180.79469448298971</v>
      </c>
      <c r="I106" s="4">
        <f t="shared" si="15"/>
        <v>3.5000000000000003E-2</v>
      </c>
      <c r="J106" s="5">
        <f t="shared" si="12"/>
        <v>70.68862027938232</v>
      </c>
      <c r="K106" s="63">
        <f t="shared" si="13"/>
        <v>174.46688017608506</v>
      </c>
      <c r="L106" s="10">
        <f t="shared" si="18"/>
        <v>209.55182751295348</v>
      </c>
      <c r="M106" s="10">
        <f t="shared" si="18"/>
        <v>324.6150744475849</v>
      </c>
    </row>
    <row r="107" spans="1:13" x14ac:dyDescent="0.15">
      <c r="A107" s="34">
        <v>37165</v>
      </c>
      <c r="B107" t="s">
        <v>6</v>
      </c>
      <c r="C107" s="9">
        <v>209</v>
      </c>
      <c r="D107" s="7">
        <f>MAIZ!D107</f>
        <v>1.002413043478261</v>
      </c>
      <c r="E107" s="2">
        <f>MAIZ!E107</f>
        <v>1.0516266429744605</v>
      </c>
      <c r="F107" s="3">
        <f t="shared" si="10"/>
        <v>77.892427388104451</v>
      </c>
      <c r="G107" s="3">
        <f t="shared" si="14"/>
        <v>1.0516266429744607</v>
      </c>
      <c r="H107" s="3">
        <f t="shared" si="11"/>
        <v>199.21930229381272</v>
      </c>
      <c r="I107" s="4">
        <f t="shared" si="15"/>
        <v>3.5000000000000003E-2</v>
      </c>
      <c r="J107" s="5">
        <f t="shared" si="12"/>
        <v>77.892427388104451</v>
      </c>
      <c r="K107" s="63">
        <f t="shared" si="13"/>
        <v>192.24662671352925</v>
      </c>
      <c r="L107" s="10">
        <f t="shared" si="18"/>
        <v>209.55182751295348</v>
      </c>
      <c r="M107" s="10">
        <f t="shared" si="18"/>
        <v>324.6150744475849</v>
      </c>
    </row>
    <row r="108" spans="1:13" x14ac:dyDescent="0.15">
      <c r="A108" s="34">
        <v>37196</v>
      </c>
      <c r="B108" t="s">
        <v>7</v>
      </c>
      <c r="C108" s="9">
        <v>247</v>
      </c>
      <c r="D108" s="7">
        <f>MAIZ!D108</f>
        <v>1.0039409090909091</v>
      </c>
      <c r="E108" s="2">
        <f>MAIZ!E108</f>
        <v>1.0481927600586256</v>
      </c>
      <c r="F108" s="3">
        <f t="shared" si="10"/>
        <v>92.497026640429453</v>
      </c>
      <c r="G108" s="3">
        <f t="shared" si="14"/>
        <v>1.0481927600586258</v>
      </c>
      <c r="H108" s="3">
        <f t="shared" si="11"/>
        <v>236.57233096285199</v>
      </c>
      <c r="I108" s="4">
        <f t="shared" si="15"/>
        <v>3.5000000000000003E-2</v>
      </c>
      <c r="J108" s="5">
        <f t="shared" si="12"/>
        <v>92.497026640429453</v>
      </c>
      <c r="K108" s="63">
        <f t="shared" si="13"/>
        <v>228.29229937915215</v>
      </c>
      <c r="L108" s="10">
        <f t="shared" si="18"/>
        <v>209.55182751295348</v>
      </c>
      <c r="M108" s="10">
        <f t="shared" si="18"/>
        <v>324.6150744475849</v>
      </c>
    </row>
    <row r="109" spans="1:13" x14ac:dyDescent="0.15">
      <c r="A109" s="34">
        <v>37226</v>
      </c>
      <c r="B109" t="s">
        <v>20</v>
      </c>
      <c r="C109" s="9">
        <v>254</v>
      </c>
      <c r="D109" s="7">
        <f>MAIZ!D109</f>
        <v>1.0546000375187596</v>
      </c>
      <c r="E109" s="2">
        <f>MAIZ!E109</f>
        <v>1.0473342893296669</v>
      </c>
      <c r="F109" s="3">
        <f>+(C109*(D109/E109))/(AVERAGE(C$109)*AVERAGE(D$109)/AVERAGE(E$109))*100</f>
        <v>100</v>
      </c>
      <c r="G109" s="3">
        <f t="shared" si="14"/>
        <v>1.0473342893296671</v>
      </c>
      <c r="H109" s="3">
        <f t="shared" si="11"/>
        <v>255.76209263730942</v>
      </c>
      <c r="I109" s="4">
        <f t="shared" si="15"/>
        <v>3.5000000000000003E-2</v>
      </c>
      <c r="J109" s="5">
        <f>+F109*(1-I109)/(F$109*(1-I$109))*100</f>
        <v>100</v>
      </c>
      <c r="K109" s="63">
        <f t="shared" si="13"/>
        <v>246.81041939500358</v>
      </c>
      <c r="L109" s="10">
        <f t="shared" si="18"/>
        <v>209.55182751295348</v>
      </c>
      <c r="M109" s="10">
        <f t="shared" si="18"/>
        <v>324.6150744475849</v>
      </c>
    </row>
    <row r="110" spans="1:13" x14ac:dyDescent="0.15">
      <c r="A110" s="34">
        <v>37257</v>
      </c>
      <c r="B110" t="s">
        <v>8</v>
      </c>
      <c r="C110" s="9">
        <v>245</v>
      </c>
      <c r="D110" s="7">
        <f>MAIZ!D110</f>
        <v>1.6072727272727272</v>
      </c>
      <c r="E110" s="2">
        <f>MAIZ!E110</f>
        <v>1.0713714697405117</v>
      </c>
      <c r="F110" s="3">
        <f t="shared" ref="F110:F173" si="19">+(C110*(D110/E110))/(AVERAGE(C$109)*AVERAGE(D$109)/AVERAGE(E$109))*100</f>
        <v>143.70749069393162</v>
      </c>
      <c r="G110" s="3">
        <f t="shared" si="14"/>
        <v>1.0713714697405119</v>
      </c>
      <c r="H110" s="3">
        <f t="shared" si="11"/>
        <v>367.54928547536628</v>
      </c>
      <c r="I110" s="4">
        <f t="shared" si="15"/>
        <v>3.5000000000000003E-2</v>
      </c>
      <c r="J110" s="5">
        <f t="shared" ref="J110:J173" si="20">+F110*(1-I110)/(F$109*(1-I$109))*100</f>
        <v>143.70749069393162</v>
      </c>
      <c r="K110" s="63">
        <f t="shared" si="13"/>
        <v>354.68506048372842</v>
      </c>
      <c r="L110" s="10">
        <f t="shared" si="18"/>
        <v>209.55182751295348</v>
      </c>
      <c r="M110" s="10">
        <f t="shared" si="18"/>
        <v>324.6150744475849</v>
      </c>
    </row>
    <row r="111" spans="1:13" x14ac:dyDescent="0.15">
      <c r="A111" s="34">
        <v>37288</v>
      </c>
      <c r="B111" t="s">
        <v>1</v>
      </c>
      <c r="C111" s="9">
        <v>241</v>
      </c>
      <c r="D111" s="7">
        <f>MAIZ!D111</f>
        <v>2.1280000000000006</v>
      </c>
      <c r="E111" s="2">
        <f>MAIZ!E111</f>
        <v>1.1049591370110226</v>
      </c>
      <c r="F111" s="3">
        <f t="shared" si="19"/>
        <v>181.47059870908672</v>
      </c>
      <c r="G111" s="3">
        <f t="shared" si="14"/>
        <v>1.1049591370110228</v>
      </c>
      <c r="H111" s="3">
        <f t="shared" si="11"/>
        <v>464.13300077981449</v>
      </c>
      <c r="I111" s="4">
        <v>0.13500000000000001</v>
      </c>
      <c r="J111" s="5">
        <f t="shared" si="20"/>
        <v>162.66535531954403</v>
      </c>
      <c r="K111" s="63">
        <f t="shared" si="13"/>
        <v>401.47504567453956</v>
      </c>
      <c r="L111" s="10">
        <f t="shared" si="18"/>
        <v>209.55182751295348</v>
      </c>
      <c r="M111" s="10">
        <f t="shared" si="18"/>
        <v>324.6150744475849</v>
      </c>
    </row>
    <row r="112" spans="1:13" x14ac:dyDescent="0.15">
      <c r="A112" s="34">
        <v>37316</v>
      </c>
      <c r="B112" t="s">
        <v>2</v>
      </c>
      <c r="C112" s="9">
        <v>232</v>
      </c>
      <c r="D112" s="7">
        <f>MAIZ!D112</f>
        <v>2.5452631578947367</v>
      </c>
      <c r="E112" s="2">
        <f>MAIZ!E112</f>
        <v>1.1487411441879183</v>
      </c>
      <c r="F112" s="3">
        <f t="shared" si="19"/>
        <v>200.98438770016327</v>
      </c>
      <c r="G112" s="3">
        <f t="shared" si="14"/>
        <v>1.1487411441879185</v>
      </c>
      <c r="H112" s="3">
        <f t="shared" si="11"/>
        <v>514.04187585622071</v>
      </c>
      <c r="I112" s="4">
        <f>+I111</f>
        <v>0.13500000000000001</v>
      </c>
      <c r="J112" s="5">
        <f t="shared" si="20"/>
        <v>180.15699001102718</v>
      </c>
      <c r="K112" s="63">
        <f t="shared" si="13"/>
        <v>444.6462226156309</v>
      </c>
      <c r="L112" s="10">
        <f t="shared" si="18"/>
        <v>209.55182751295348</v>
      </c>
      <c r="M112" s="10">
        <f t="shared" si="18"/>
        <v>324.6150744475849</v>
      </c>
    </row>
    <row r="113" spans="1:13" x14ac:dyDescent="0.15">
      <c r="A113" s="34">
        <v>37347</v>
      </c>
      <c r="B113" t="s">
        <v>3</v>
      </c>
      <c r="C113" s="9">
        <v>230</v>
      </c>
      <c r="D113" s="7">
        <f>MAIZ!D113</f>
        <v>3.0331818181818182</v>
      </c>
      <c r="E113" s="2">
        <f>MAIZ!E113</f>
        <v>1.2680685755131837</v>
      </c>
      <c r="F113" s="3">
        <f t="shared" si="19"/>
        <v>215.10344361807054</v>
      </c>
      <c r="G113" s="3">
        <f t="shared" si="14"/>
        <v>1.268068575513184</v>
      </c>
      <c r="H113" s="3">
        <f t="shared" si="11"/>
        <v>550.15306873249222</v>
      </c>
      <c r="I113" s="4">
        <v>0.23499999999999999</v>
      </c>
      <c r="J113" s="5">
        <f t="shared" si="20"/>
        <v>170.52241903401446</v>
      </c>
      <c r="K113" s="63">
        <f t="shared" si="13"/>
        <v>420.86709758035653</v>
      </c>
      <c r="L113" s="10">
        <f t="shared" si="18"/>
        <v>209.55182751295348</v>
      </c>
      <c r="M113" s="10">
        <f t="shared" si="18"/>
        <v>324.6150744475849</v>
      </c>
    </row>
    <row r="114" spans="1:13" x14ac:dyDescent="0.15">
      <c r="A114" s="34">
        <v>37377</v>
      </c>
      <c r="B114" t="s">
        <v>2</v>
      </c>
      <c r="C114" s="9">
        <v>228</v>
      </c>
      <c r="D114" s="7">
        <f>MAIZ!D114</f>
        <v>3.4422727272727283</v>
      </c>
      <c r="E114" s="2">
        <f>MAIZ!E114</f>
        <v>1.3189329662039893</v>
      </c>
      <c r="F114" s="3">
        <f t="shared" si="19"/>
        <v>232.6597316976717</v>
      </c>
      <c r="G114" s="3">
        <f t="shared" si="14"/>
        <v>1.3189329662039895</v>
      </c>
      <c r="H114" s="3">
        <f t="shared" si="11"/>
        <v>595.05539851431467</v>
      </c>
      <c r="I114" s="4">
        <f>+I113</f>
        <v>0.23499999999999999</v>
      </c>
      <c r="J114" s="5">
        <f t="shared" si="20"/>
        <v>184.4400981852009</v>
      </c>
      <c r="K114" s="63">
        <f t="shared" si="13"/>
        <v>455.21737986345073</v>
      </c>
      <c r="L114" s="10">
        <f t="shared" si="18"/>
        <v>209.55182751295348</v>
      </c>
      <c r="M114" s="10">
        <f t="shared" si="18"/>
        <v>324.6150744475849</v>
      </c>
    </row>
    <row r="115" spans="1:13" x14ac:dyDescent="0.15">
      <c r="A115" s="34">
        <v>37408</v>
      </c>
      <c r="B115" t="s">
        <v>4</v>
      </c>
      <c r="C115" s="9">
        <v>230</v>
      </c>
      <c r="D115" s="7">
        <f>MAIZ!D115</f>
        <v>3.7165000000000008</v>
      </c>
      <c r="E115" s="2">
        <f>MAIZ!E115</f>
        <v>1.3666854005023195</v>
      </c>
      <c r="F115" s="3">
        <f t="shared" si="19"/>
        <v>244.54412933543699</v>
      </c>
      <c r="G115" s="3">
        <f t="shared" si="14"/>
        <v>1.3666854005023197</v>
      </c>
      <c r="H115" s="3">
        <f t="shared" si="11"/>
        <v>625.45118261000209</v>
      </c>
      <c r="I115" s="4">
        <f t="shared" ref="I115:I178" si="21">+I114</f>
        <v>0.23499999999999999</v>
      </c>
      <c r="J115" s="5">
        <f t="shared" si="20"/>
        <v>193.86140822964694</v>
      </c>
      <c r="K115" s="63">
        <f t="shared" si="13"/>
        <v>478.4701546966516</v>
      </c>
      <c r="L115" s="10">
        <f t="shared" si="18"/>
        <v>209.55182751295348</v>
      </c>
      <c r="M115" s="10">
        <f t="shared" si="18"/>
        <v>324.6150744475849</v>
      </c>
    </row>
    <row r="116" spans="1:13" x14ac:dyDescent="0.15">
      <c r="A116" s="34">
        <v>37438</v>
      </c>
      <c r="B116" t="s">
        <v>4</v>
      </c>
      <c r="C116" s="9">
        <v>230</v>
      </c>
      <c r="D116" s="7">
        <f>MAIZ!D116</f>
        <v>3.6730434782608699</v>
      </c>
      <c r="E116" s="2">
        <f>MAIZ!E116</f>
        <v>1.4102527899969755</v>
      </c>
      <c r="F116" s="3">
        <f t="shared" si="19"/>
        <v>234.21826573997348</v>
      </c>
      <c r="G116" s="3">
        <f t="shared" si="14"/>
        <v>1.4102527899969757</v>
      </c>
      <c r="H116" s="3">
        <f t="shared" si="11"/>
        <v>599.04153779537057</v>
      </c>
      <c r="I116" s="4">
        <f t="shared" si="21"/>
        <v>0.23499999999999999</v>
      </c>
      <c r="J116" s="5">
        <f t="shared" si="20"/>
        <v>185.67561999075619</v>
      </c>
      <c r="K116" s="63">
        <f t="shared" si="13"/>
        <v>458.2667764134585</v>
      </c>
      <c r="L116" s="10">
        <f t="shared" ref="L116:M131" si="22">+L115</f>
        <v>209.55182751295348</v>
      </c>
      <c r="M116" s="10">
        <f t="shared" si="22"/>
        <v>324.6150744475849</v>
      </c>
    </row>
    <row r="117" spans="1:13" x14ac:dyDescent="0.15">
      <c r="A117" s="34">
        <v>37469</v>
      </c>
      <c r="B117" t="s">
        <v>3</v>
      </c>
      <c r="C117" s="9">
        <v>233</v>
      </c>
      <c r="D117" s="7">
        <f>MAIZ!D117</f>
        <v>3.6519047619047624</v>
      </c>
      <c r="E117" s="2">
        <f>MAIZ!E117</f>
        <v>1.4433039130618872</v>
      </c>
      <c r="F117" s="3">
        <f t="shared" si="19"/>
        <v>230.50555623224568</v>
      </c>
      <c r="G117" s="3">
        <f t="shared" si="14"/>
        <v>1.4433039130618874</v>
      </c>
      <c r="H117" s="3">
        <f t="shared" si="11"/>
        <v>589.54583426486158</v>
      </c>
      <c r="I117" s="4">
        <f t="shared" si="21"/>
        <v>0.23499999999999999</v>
      </c>
      <c r="J117" s="5">
        <f t="shared" si="20"/>
        <v>182.73238395613259</v>
      </c>
      <c r="K117" s="63">
        <f t="shared" si="13"/>
        <v>451.00256321261912</v>
      </c>
      <c r="L117" s="10">
        <f t="shared" si="22"/>
        <v>209.55182751295348</v>
      </c>
      <c r="M117" s="10">
        <f t="shared" si="22"/>
        <v>324.6150744475849</v>
      </c>
    </row>
    <row r="118" spans="1:13" x14ac:dyDescent="0.15">
      <c r="A118" s="34">
        <v>37500</v>
      </c>
      <c r="B118" t="s">
        <v>5</v>
      </c>
      <c r="C118" s="9">
        <v>235</v>
      </c>
      <c r="D118" s="7">
        <f>MAIZ!D118</f>
        <v>3.6776190476190478</v>
      </c>
      <c r="E118" s="2">
        <f>MAIZ!E118</f>
        <v>1.4627268133045788</v>
      </c>
      <c r="F118" s="3">
        <f t="shared" si="19"/>
        <v>231.01235273081596</v>
      </c>
      <c r="G118" s="3">
        <f t="shared" si="14"/>
        <v>1.462726813304579</v>
      </c>
      <c r="H118" s="3">
        <f t="shared" si="11"/>
        <v>590.84202759501761</v>
      </c>
      <c r="I118" s="4">
        <f t="shared" si="21"/>
        <v>0.23499999999999999</v>
      </c>
      <c r="J118" s="5">
        <f t="shared" si="20"/>
        <v>183.13414491095773</v>
      </c>
      <c r="K118" s="63">
        <f t="shared" si="13"/>
        <v>451.99415111018845</v>
      </c>
      <c r="L118" s="10">
        <f t="shared" si="22"/>
        <v>209.55182751295348</v>
      </c>
      <c r="M118" s="10">
        <f t="shared" si="22"/>
        <v>324.6150744475849</v>
      </c>
    </row>
    <row r="119" spans="1:13" x14ac:dyDescent="0.15">
      <c r="A119" s="34">
        <v>37530</v>
      </c>
      <c r="B119" t="s">
        <v>6</v>
      </c>
      <c r="C119" s="9">
        <v>234</v>
      </c>
      <c r="D119" s="7">
        <f>MAIZ!D119</f>
        <v>3.683913043478261</v>
      </c>
      <c r="E119" s="2">
        <f>MAIZ!E119</f>
        <v>1.4659460785381742</v>
      </c>
      <c r="F119" s="3">
        <f t="shared" si="19"/>
        <v>229.9169846435492</v>
      </c>
      <c r="G119" s="3">
        <f t="shared" si="14"/>
        <v>1.4659460785381744</v>
      </c>
      <c r="H119" s="3">
        <f t="shared" si="11"/>
        <v>588.04049125294273</v>
      </c>
      <c r="I119" s="4">
        <f t="shared" si="21"/>
        <v>0.23499999999999999</v>
      </c>
      <c r="J119" s="5">
        <f t="shared" si="20"/>
        <v>182.26579611638874</v>
      </c>
      <c r="K119" s="63">
        <f t="shared" si="13"/>
        <v>449.85097580850118</v>
      </c>
      <c r="L119" s="10">
        <f t="shared" si="22"/>
        <v>209.55182751295348</v>
      </c>
      <c r="M119" s="10">
        <f t="shared" si="22"/>
        <v>324.6150744475849</v>
      </c>
    </row>
    <row r="120" spans="1:13" x14ac:dyDescent="0.15">
      <c r="A120" s="34">
        <v>37561</v>
      </c>
      <c r="B120" t="s">
        <v>7</v>
      </c>
      <c r="C120" s="9">
        <v>250</v>
      </c>
      <c r="D120" s="7">
        <f>MAIZ!D120</f>
        <v>3.5647619047619039</v>
      </c>
      <c r="E120" s="2">
        <f>MAIZ!E120</f>
        <v>1.4734576974165632</v>
      </c>
      <c r="F120" s="3">
        <f t="shared" si="19"/>
        <v>236.4812368455855</v>
      </c>
      <c r="G120" s="3">
        <f t="shared" si="14"/>
        <v>1.4734576974165634</v>
      </c>
      <c r="H120" s="3">
        <f t="shared" si="11"/>
        <v>604.82936005086151</v>
      </c>
      <c r="I120" s="4">
        <f t="shared" si="21"/>
        <v>0.23499999999999999</v>
      </c>
      <c r="J120" s="5">
        <f t="shared" si="20"/>
        <v>187.46958154080093</v>
      </c>
      <c r="K120" s="63">
        <f t="shared" si="13"/>
        <v>462.69446043890906</v>
      </c>
      <c r="L120" s="10">
        <f t="shared" si="22"/>
        <v>209.55182751295348</v>
      </c>
      <c r="M120" s="10">
        <f t="shared" si="22"/>
        <v>324.6150744475849</v>
      </c>
    </row>
    <row r="121" spans="1:13" x14ac:dyDescent="0.15">
      <c r="A121" s="34">
        <v>37591</v>
      </c>
      <c r="B121" t="s">
        <v>21</v>
      </c>
      <c r="C121" s="9">
        <v>254</v>
      </c>
      <c r="D121" s="7">
        <f>MAIZ!D121</f>
        <v>3.5261904761904765</v>
      </c>
      <c r="E121" s="2">
        <f>MAIZ!E121</f>
        <v>1.4762477272856789</v>
      </c>
      <c r="F121" s="3">
        <f t="shared" si="19"/>
        <v>237.2160478606537</v>
      </c>
      <c r="G121" s="3">
        <f t="shared" si="14"/>
        <v>1.4762477272856791</v>
      </c>
      <c r="H121" s="3">
        <f t="shared" si="11"/>
        <v>606.70872807992953</v>
      </c>
      <c r="I121" s="4">
        <f t="shared" si="21"/>
        <v>0.23499999999999999</v>
      </c>
      <c r="J121" s="5">
        <f t="shared" si="20"/>
        <v>188.05210011751302</v>
      </c>
      <c r="K121" s="63">
        <f t="shared" si="13"/>
        <v>464.13217698114607</v>
      </c>
      <c r="L121" s="10">
        <f t="shared" si="22"/>
        <v>209.55182751295348</v>
      </c>
      <c r="M121" s="10">
        <f t="shared" si="22"/>
        <v>324.6150744475849</v>
      </c>
    </row>
    <row r="122" spans="1:13" x14ac:dyDescent="0.15">
      <c r="A122" s="34">
        <v>37622</v>
      </c>
      <c r="B122" t="s">
        <v>9</v>
      </c>
      <c r="C122" s="9">
        <v>253</v>
      </c>
      <c r="D122" s="7">
        <f>MAIZ!D122</f>
        <v>3.2840909090909096</v>
      </c>
      <c r="E122" s="2">
        <f>MAIZ!E122</f>
        <v>1.4956706275283704</v>
      </c>
      <c r="F122" s="3">
        <f t="shared" si="19"/>
        <v>217.20186510216388</v>
      </c>
      <c r="G122" s="3">
        <f t="shared" si="14"/>
        <v>1.4956706275283707</v>
      </c>
      <c r="H122" s="3">
        <f t="shared" si="11"/>
        <v>555.52003543256023</v>
      </c>
      <c r="I122" s="4">
        <f t="shared" si="21"/>
        <v>0.23499999999999999</v>
      </c>
      <c r="J122" s="5">
        <f t="shared" si="20"/>
        <v>172.18593451104184</v>
      </c>
      <c r="K122" s="63">
        <f t="shared" si="13"/>
        <v>424.97282710590861</v>
      </c>
      <c r="L122" s="10">
        <f t="shared" si="22"/>
        <v>209.55182751295348</v>
      </c>
      <c r="M122" s="10">
        <f t="shared" si="22"/>
        <v>324.6150744475849</v>
      </c>
    </row>
    <row r="123" spans="1:13" x14ac:dyDescent="0.15">
      <c r="A123" s="34">
        <v>37653</v>
      </c>
      <c r="B123" t="s">
        <v>1</v>
      </c>
      <c r="C123" s="9">
        <v>246</v>
      </c>
      <c r="D123" s="7">
        <f>MAIZ!D123</f>
        <v>3.1924999999999999</v>
      </c>
      <c r="E123" s="2">
        <f>MAIZ!E123</f>
        <v>1.5041480259768381</v>
      </c>
      <c r="F123" s="3">
        <f t="shared" si="19"/>
        <v>204.14524011745462</v>
      </c>
      <c r="G123" s="3">
        <f t="shared" si="14"/>
        <v>1.5041480259768383</v>
      </c>
      <c r="H123" s="3">
        <f t="shared" si="11"/>
        <v>522.12613814386202</v>
      </c>
      <c r="I123" s="4">
        <f t="shared" si="21"/>
        <v>0.23499999999999999</v>
      </c>
      <c r="J123" s="5">
        <f t="shared" si="20"/>
        <v>161.83534579259356</v>
      </c>
      <c r="K123" s="63">
        <f t="shared" si="13"/>
        <v>399.42649568005447</v>
      </c>
      <c r="L123" s="10">
        <f t="shared" si="22"/>
        <v>209.55182751295348</v>
      </c>
      <c r="M123" s="10">
        <f t="shared" si="22"/>
        <v>324.6150744475849</v>
      </c>
    </row>
    <row r="124" spans="1:13" x14ac:dyDescent="0.15">
      <c r="A124" s="34">
        <v>37681</v>
      </c>
      <c r="B124" t="s">
        <v>2</v>
      </c>
      <c r="C124" s="9">
        <v>234</v>
      </c>
      <c r="D124" s="7">
        <f>MAIZ!D124</f>
        <v>3.0976190476190473</v>
      </c>
      <c r="E124" s="2">
        <f>MAIZ!E124</f>
        <v>1.5129473509486653</v>
      </c>
      <c r="F124" s="3">
        <f t="shared" si="19"/>
        <v>187.31988032096388</v>
      </c>
      <c r="G124" s="3">
        <f t="shared" si="14"/>
        <v>1.5129473509486655</v>
      </c>
      <c r="H124" s="3">
        <f t="shared" si="11"/>
        <v>479.09324583460079</v>
      </c>
      <c r="I124" s="4">
        <f t="shared" si="21"/>
        <v>0.23499999999999999</v>
      </c>
      <c r="J124" s="5">
        <f t="shared" si="20"/>
        <v>148.49710719744803</v>
      </c>
      <c r="K124" s="63">
        <f t="shared" si="13"/>
        <v>366.50633306346964</v>
      </c>
      <c r="L124" s="10">
        <f t="shared" si="22"/>
        <v>209.55182751295348</v>
      </c>
      <c r="M124" s="10">
        <f t="shared" si="22"/>
        <v>324.6150744475849</v>
      </c>
    </row>
    <row r="125" spans="1:13" x14ac:dyDescent="0.15">
      <c r="A125" s="34">
        <v>37712</v>
      </c>
      <c r="B125" t="s">
        <v>3</v>
      </c>
      <c r="C125" s="9">
        <v>230</v>
      </c>
      <c r="D125" s="7">
        <f>MAIZ!D125</f>
        <v>2.9180952380952379</v>
      </c>
      <c r="E125" s="2">
        <f>MAIZ!E125</f>
        <v>1.513805821677624</v>
      </c>
      <c r="F125" s="3">
        <f t="shared" si="19"/>
        <v>173.34884412559722</v>
      </c>
      <c r="G125" s="3">
        <f t="shared" si="14"/>
        <v>1.5138058216776242</v>
      </c>
      <c r="H125" s="3">
        <f t="shared" si="11"/>
        <v>443.36063129821508</v>
      </c>
      <c r="I125" s="4">
        <f t="shared" si="21"/>
        <v>0.23499999999999999</v>
      </c>
      <c r="J125" s="5">
        <f t="shared" si="20"/>
        <v>137.42162254516256</v>
      </c>
      <c r="K125" s="63">
        <f t="shared" si="13"/>
        <v>339.17088294313453</v>
      </c>
      <c r="L125" s="10">
        <f t="shared" si="22"/>
        <v>209.55182751295348</v>
      </c>
      <c r="M125" s="10">
        <f t="shared" si="22"/>
        <v>324.6150744475849</v>
      </c>
    </row>
    <row r="126" spans="1:13" x14ac:dyDescent="0.15">
      <c r="A126" s="34">
        <v>37742</v>
      </c>
      <c r="B126" t="s">
        <v>2</v>
      </c>
      <c r="C126" s="9">
        <v>235</v>
      </c>
      <c r="D126" s="7">
        <f>MAIZ!D126</f>
        <v>2.8590909090909089</v>
      </c>
      <c r="E126" s="2">
        <f>MAIZ!E126</f>
        <v>1.5079038354160328</v>
      </c>
      <c r="F126" s="3">
        <f t="shared" si="19"/>
        <v>174.21518417312754</v>
      </c>
      <c r="G126" s="3">
        <f t="shared" si="14"/>
        <v>1.507903835416033</v>
      </c>
      <c r="H126" s="3">
        <f t="shared" si="11"/>
        <v>445.57640073313371</v>
      </c>
      <c r="I126" s="4">
        <f t="shared" si="21"/>
        <v>0.23499999999999999</v>
      </c>
      <c r="J126" s="5">
        <f t="shared" si="20"/>
        <v>138.10841025123582</v>
      </c>
      <c r="K126" s="63">
        <f t="shared" si="13"/>
        <v>340.86594656084731</v>
      </c>
      <c r="L126" s="10">
        <f t="shared" si="22"/>
        <v>209.55182751295348</v>
      </c>
      <c r="M126" s="10">
        <f t="shared" si="22"/>
        <v>324.6150744475849</v>
      </c>
    </row>
    <row r="127" spans="1:13" x14ac:dyDescent="0.15">
      <c r="A127" s="34">
        <v>37773</v>
      </c>
      <c r="B127" t="s">
        <v>4</v>
      </c>
      <c r="C127" s="9">
        <v>248</v>
      </c>
      <c r="D127" s="7">
        <f>MAIZ!D127</f>
        <v>2.8273809523809526</v>
      </c>
      <c r="E127" s="2">
        <f>MAIZ!E127</f>
        <v>1.5066161293225946</v>
      </c>
      <c r="F127" s="3">
        <f t="shared" si="19"/>
        <v>181.96892084423183</v>
      </c>
      <c r="G127" s="3">
        <f t="shared" si="14"/>
        <v>1.5066161293225948</v>
      </c>
      <c r="H127" s="3">
        <f t="shared" si="11"/>
        <v>465.40751990073659</v>
      </c>
      <c r="I127" s="4">
        <f t="shared" si="21"/>
        <v>0.23499999999999999</v>
      </c>
      <c r="J127" s="5">
        <f t="shared" si="20"/>
        <v>144.25515486615271</v>
      </c>
      <c r="K127" s="63">
        <f t="shared" si="13"/>
        <v>356.03675272406349</v>
      </c>
      <c r="L127" s="10">
        <f t="shared" si="22"/>
        <v>209.55182751295348</v>
      </c>
      <c r="M127" s="10">
        <f t="shared" si="22"/>
        <v>324.6150744475849</v>
      </c>
    </row>
    <row r="128" spans="1:13" x14ac:dyDescent="0.15">
      <c r="A128" s="34">
        <v>37803</v>
      </c>
      <c r="B128" t="s">
        <v>4</v>
      </c>
      <c r="C128" s="9">
        <v>255</v>
      </c>
      <c r="D128" s="7">
        <f>MAIZ!D128</f>
        <v>2.8204347826086953</v>
      </c>
      <c r="E128" s="2">
        <f>MAIZ!E128</f>
        <v>1.5133765863131448</v>
      </c>
      <c r="F128" s="3">
        <f t="shared" si="19"/>
        <v>185.81169927803322</v>
      </c>
      <c r="G128" s="3">
        <f t="shared" si="14"/>
        <v>1.513376586313145</v>
      </c>
      <c r="H128" s="3">
        <f t="shared" si="11"/>
        <v>475.23589043844214</v>
      </c>
      <c r="I128" s="4">
        <f t="shared" si="21"/>
        <v>0.23499999999999999</v>
      </c>
      <c r="J128" s="5">
        <f t="shared" si="20"/>
        <v>147.30150253647193</v>
      </c>
      <c r="K128" s="63">
        <f t="shared" si="13"/>
        <v>363.55545618540822</v>
      </c>
      <c r="L128" s="10">
        <f t="shared" si="22"/>
        <v>209.55182751295348</v>
      </c>
      <c r="M128" s="10">
        <f t="shared" si="22"/>
        <v>324.6150744475849</v>
      </c>
    </row>
    <row r="129" spans="1:13" x14ac:dyDescent="0.15">
      <c r="A129" s="34">
        <v>37834</v>
      </c>
      <c r="B129" t="s">
        <v>3</v>
      </c>
      <c r="C129" s="9">
        <v>255</v>
      </c>
      <c r="D129" s="7">
        <f>MAIZ!D129</f>
        <v>2.9476190476190474</v>
      </c>
      <c r="E129" s="2">
        <f>MAIZ!E129</f>
        <v>1.5136985128365041</v>
      </c>
      <c r="F129" s="3">
        <f t="shared" si="19"/>
        <v>194.14936471620771</v>
      </c>
      <c r="G129" s="3">
        <f t="shared" si="14"/>
        <v>1.5136985128365044</v>
      </c>
      <c r="H129" s="3">
        <f t="shared" si="11"/>
        <v>496.560478040215</v>
      </c>
      <c r="I129" s="4">
        <f t="shared" si="21"/>
        <v>0.23499999999999999</v>
      </c>
      <c r="J129" s="5">
        <f t="shared" si="20"/>
        <v>153.91115441233046</v>
      </c>
      <c r="K129" s="63">
        <f t="shared" si="13"/>
        <v>379.86876570076447</v>
      </c>
      <c r="L129" s="10">
        <f t="shared" si="22"/>
        <v>209.55182751295348</v>
      </c>
      <c r="M129" s="10">
        <f t="shared" si="22"/>
        <v>324.6150744475849</v>
      </c>
    </row>
    <row r="130" spans="1:13" x14ac:dyDescent="0.15">
      <c r="A130" s="34">
        <v>37865</v>
      </c>
      <c r="B130" t="s">
        <v>5</v>
      </c>
      <c r="C130" s="9">
        <v>242</v>
      </c>
      <c r="D130" s="7">
        <f>MAIZ!D130</f>
        <v>2.9427272727272733</v>
      </c>
      <c r="E130" s="2">
        <f>MAIZ!E130</f>
        <v>1.5143423658832234</v>
      </c>
      <c r="F130" s="3">
        <f t="shared" si="19"/>
        <v>183.86756770472132</v>
      </c>
      <c r="G130" s="3">
        <f t="shared" si="14"/>
        <v>1.5143423658832236</v>
      </c>
      <c r="H130" s="3">
        <f t="shared" ref="H130:H193" si="23">+(C130*D130)/G130</f>
        <v>470.263538842917</v>
      </c>
      <c r="I130" s="4">
        <f t="shared" si="21"/>
        <v>0.23499999999999999</v>
      </c>
      <c r="J130" s="5">
        <f t="shared" si="20"/>
        <v>145.76029978664437</v>
      </c>
      <c r="K130" s="63">
        <f t="shared" ref="K130:K193" si="24">+H130*(1-I130)</f>
        <v>359.75160721483149</v>
      </c>
      <c r="L130" s="10">
        <f t="shared" si="22"/>
        <v>209.55182751295348</v>
      </c>
      <c r="M130" s="10">
        <f t="shared" si="22"/>
        <v>324.6150744475849</v>
      </c>
    </row>
    <row r="131" spans="1:13" x14ac:dyDescent="0.15">
      <c r="A131" s="34">
        <v>37895</v>
      </c>
      <c r="B131" t="s">
        <v>6</v>
      </c>
      <c r="C131" s="9">
        <v>238</v>
      </c>
      <c r="D131" s="7">
        <f>MAIZ!D131</f>
        <v>2.8752173913043468</v>
      </c>
      <c r="E131" s="2">
        <f>MAIZ!E131</f>
        <v>1.52324899969617</v>
      </c>
      <c r="F131" s="3">
        <f t="shared" si="19"/>
        <v>175.64693080586457</v>
      </c>
      <c r="G131" s="3">
        <f t="shared" ref="G131:G194" si="25">+E131/AVERAGE(E$2:E$13)</f>
        <v>1.5232489996961702</v>
      </c>
      <c r="H131" s="3">
        <f t="shared" si="23"/>
        <v>449.2382658822861</v>
      </c>
      <c r="I131" s="4">
        <f t="shared" si="21"/>
        <v>0.23499999999999999</v>
      </c>
      <c r="J131" s="5">
        <f t="shared" si="20"/>
        <v>139.24342183055586</v>
      </c>
      <c r="K131" s="63">
        <f t="shared" si="24"/>
        <v>343.6672733999489</v>
      </c>
      <c r="L131" s="10">
        <f t="shared" si="22"/>
        <v>209.55182751295348</v>
      </c>
      <c r="M131" s="10">
        <f t="shared" si="22"/>
        <v>324.6150744475849</v>
      </c>
    </row>
    <row r="132" spans="1:13" x14ac:dyDescent="0.15">
      <c r="A132" s="34">
        <v>37926</v>
      </c>
      <c r="B132" t="s">
        <v>7</v>
      </c>
      <c r="C132" s="9">
        <v>259</v>
      </c>
      <c r="D132" s="7">
        <f>MAIZ!D132</f>
        <v>2.8965000000000001</v>
      </c>
      <c r="E132" s="2">
        <f>MAIZ!E132</f>
        <v>1.5270048091353647</v>
      </c>
      <c r="F132" s="3">
        <f t="shared" si="19"/>
        <v>192.08644342079035</v>
      </c>
      <c r="G132" s="3">
        <f t="shared" si="25"/>
        <v>1.527004809135365</v>
      </c>
      <c r="H132" s="3">
        <f t="shared" si="23"/>
        <v>491.28430736559471</v>
      </c>
      <c r="I132" s="4">
        <f t="shared" si="21"/>
        <v>0.23499999999999999</v>
      </c>
      <c r="J132" s="5">
        <f t="shared" si="20"/>
        <v>152.27578157192187</v>
      </c>
      <c r="K132" s="63">
        <f t="shared" si="24"/>
        <v>375.83249513467996</v>
      </c>
      <c r="L132" s="10">
        <f t="shared" ref="L132:M147" si="26">+L131</f>
        <v>209.55182751295348</v>
      </c>
      <c r="M132" s="10">
        <f t="shared" si="26"/>
        <v>324.6150744475849</v>
      </c>
    </row>
    <row r="133" spans="1:13" x14ac:dyDescent="0.15">
      <c r="A133" s="34">
        <v>37956</v>
      </c>
      <c r="B133" t="s">
        <v>22</v>
      </c>
      <c r="C133" s="9">
        <v>268</v>
      </c>
      <c r="D133" s="7">
        <f>MAIZ!D133</f>
        <v>2.9747727272727271</v>
      </c>
      <c r="E133" s="2">
        <f>MAIZ!E133</f>
        <v>1.5302240743689599</v>
      </c>
      <c r="F133" s="3">
        <f t="shared" si="19"/>
        <v>203.70297809159931</v>
      </c>
      <c r="G133" s="3">
        <f t="shared" si="25"/>
        <v>1.5302240743689601</v>
      </c>
      <c r="H133" s="3">
        <f t="shared" si="23"/>
        <v>520.99499953159443</v>
      </c>
      <c r="I133" s="4">
        <f t="shared" si="21"/>
        <v>0.23499999999999999</v>
      </c>
      <c r="J133" s="5">
        <f t="shared" si="20"/>
        <v>161.48474429023159</v>
      </c>
      <c r="K133" s="63">
        <f t="shared" si="24"/>
        <v>398.56117464166977</v>
      </c>
      <c r="L133" s="10">
        <f t="shared" si="26"/>
        <v>209.55182751295348</v>
      </c>
      <c r="M133" s="10">
        <f t="shared" si="26"/>
        <v>324.6150744475849</v>
      </c>
    </row>
    <row r="134" spans="1:13" x14ac:dyDescent="0.15">
      <c r="A134" s="34">
        <v>37987</v>
      </c>
      <c r="B134" t="s">
        <v>10</v>
      </c>
      <c r="C134" s="9">
        <v>271</v>
      </c>
      <c r="D134" s="7">
        <f>MAIZ!D134</f>
        <v>2.9223809523809523</v>
      </c>
      <c r="E134" s="2">
        <f>MAIZ!E134</f>
        <v>1.5366626048361505</v>
      </c>
      <c r="F134" s="3">
        <f t="shared" si="19"/>
        <v>201.50759515006703</v>
      </c>
      <c r="G134" s="3">
        <f t="shared" si="25"/>
        <v>1.5366626048361507</v>
      </c>
      <c r="H134" s="3">
        <f t="shared" si="23"/>
        <v>515.38004217892887</v>
      </c>
      <c r="I134" s="4">
        <f t="shared" si="21"/>
        <v>0.23499999999999999</v>
      </c>
      <c r="J134" s="5">
        <f t="shared" si="20"/>
        <v>159.74436299461271</v>
      </c>
      <c r="K134" s="63">
        <f t="shared" si="24"/>
        <v>394.2657322668806</v>
      </c>
      <c r="L134" s="10">
        <f t="shared" si="26"/>
        <v>209.55182751295348</v>
      </c>
      <c r="M134" s="10">
        <f t="shared" si="26"/>
        <v>324.6150744475849</v>
      </c>
    </row>
    <row r="135" spans="1:13" x14ac:dyDescent="0.15">
      <c r="A135" s="34">
        <v>38018</v>
      </c>
      <c r="B135" t="s">
        <v>1</v>
      </c>
      <c r="C135" s="9">
        <v>275</v>
      </c>
      <c r="D135" s="7">
        <f>MAIZ!D135</f>
        <v>2.9474999999999998</v>
      </c>
      <c r="E135" s="2">
        <f>MAIZ!E135</f>
        <v>1.5381649286118284</v>
      </c>
      <c r="F135" s="3">
        <f t="shared" si="19"/>
        <v>206.03804768359174</v>
      </c>
      <c r="G135" s="3">
        <f t="shared" si="25"/>
        <v>1.5381649286118286</v>
      </c>
      <c r="H135" s="3">
        <f t="shared" si="23"/>
        <v>526.96722238461166</v>
      </c>
      <c r="I135" s="4">
        <f t="shared" si="21"/>
        <v>0.23499999999999999</v>
      </c>
      <c r="J135" s="5">
        <f t="shared" si="20"/>
        <v>163.33586163517896</v>
      </c>
      <c r="K135" s="63">
        <f t="shared" si="24"/>
        <v>403.12992512422795</v>
      </c>
      <c r="L135" s="10">
        <f t="shared" si="26"/>
        <v>209.55182751295348</v>
      </c>
      <c r="M135" s="10">
        <f t="shared" si="26"/>
        <v>324.6150744475849</v>
      </c>
    </row>
    <row r="136" spans="1:13" x14ac:dyDescent="0.15">
      <c r="A136" s="34">
        <v>38047</v>
      </c>
      <c r="B136" t="s">
        <v>2</v>
      </c>
      <c r="C136" s="9">
        <v>271</v>
      </c>
      <c r="D136" s="7">
        <f>MAIZ!D136</f>
        <v>2.9184782608695654</v>
      </c>
      <c r="E136" s="2">
        <f>MAIZ!E136</f>
        <v>1.5473934889481347</v>
      </c>
      <c r="F136" s="3">
        <f t="shared" si="19"/>
        <v>199.84294071710465</v>
      </c>
      <c r="G136" s="3">
        <f t="shared" si="25"/>
        <v>1.5473934889481349</v>
      </c>
      <c r="H136" s="3">
        <f t="shared" si="23"/>
        <v>511.12248716600465</v>
      </c>
      <c r="I136" s="4">
        <f t="shared" si="21"/>
        <v>0.23499999999999999</v>
      </c>
      <c r="J136" s="5">
        <f t="shared" si="20"/>
        <v>158.42471466174618</v>
      </c>
      <c r="K136" s="63">
        <f t="shared" si="24"/>
        <v>391.00870268199355</v>
      </c>
      <c r="L136" s="10">
        <f t="shared" si="26"/>
        <v>209.55182751295348</v>
      </c>
      <c r="M136" s="10">
        <f t="shared" si="26"/>
        <v>324.6150744475849</v>
      </c>
    </row>
    <row r="137" spans="1:13" x14ac:dyDescent="0.15">
      <c r="A137" s="34">
        <v>38078</v>
      </c>
      <c r="B137" t="s">
        <v>3</v>
      </c>
      <c r="C137" s="9">
        <v>270</v>
      </c>
      <c r="D137" s="7">
        <f>MAIZ!D137</f>
        <v>2.8497999999999992</v>
      </c>
      <c r="E137" s="2">
        <f>MAIZ!E137</f>
        <v>1.5605924764058756</v>
      </c>
      <c r="F137" s="3">
        <f t="shared" si="19"/>
        <v>192.77577633875075</v>
      </c>
      <c r="G137" s="3">
        <f t="shared" si="25"/>
        <v>1.5605924764058758</v>
      </c>
      <c r="H137" s="3">
        <f t="shared" si="23"/>
        <v>493.04735966180823</v>
      </c>
      <c r="I137" s="4">
        <f t="shared" si="21"/>
        <v>0.23499999999999999</v>
      </c>
      <c r="J137" s="5">
        <f t="shared" si="20"/>
        <v>152.82224756388015</v>
      </c>
      <c r="K137" s="63">
        <f t="shared" si="24"/>
        <v>377.18123014128332</v>
      </c>
      <c r="L137" s="10">
        <f t="shared" si="26"/>
        <v>209.55182751295348</v>
      </c>
      <c r="M137" s="10">
        <f t="shared" si="26"/>
        <v>324.6150744475849</v>
      </c>
    </row>
    <row r="138" spans="1:13" x14ac:dyDescent="0.15">
      <c r="A138" s="34">
        <v>38108</v>
      </c>
      <c r="B138" t="s">
        <v>2</v>
      </c>
      <c r="C138" s="9">
        <v>268</v>
      </c>
      <c r="D138" s="7">
        <f>MAIZ!D138</f>
        <v>2.9346666666666659</v>
      </c>
      <c r="E138" s="2">
        <f>MAIZ!E138</f>
        <v>1.5720745224056987</v>
      </c>
      <c r="F138" s="3">
        <f t="shared" si="19"/>
        <v>195.60694356083317</v>
      </c>
      <c r="G138" s="3">
        <f t="shared" si="25"/>
        <v>1.5720745224056989</v>
      </c>
      <c r="H138" s="3">
        <f t="shared" si="23"/>
        <v>500.28841219506768</v>
      </c>
      <c r="I138" s="4">
        <f t="shared" si="21"/>
        <v>0.23499999999999999</v>
      </c>
      <c r="J138" s="5">
        <f t="shared" si="20"/>
        <v>155.06664437724081</v>
      </c>
      <c r="K138" s="63">
        <f t="shared" si="24"/>
        <v>382.72063532922681</v>
      </c>
      <c r="L138" s="10">
        <f t="shared" si="26"/>
        <v>209.55182751295348</v>
      </c>
      <c r="M138" s="10">
        <f t="shared" si="26"/>
        <v>324.6150744475849</v>
      </c>
    </row>
    <row r="139" spans="1:13" x14ac:dyDescent="0.15">
      <c r="A139" s="34">
        <v>38139</v>
      </c>
      <c r="B139" t="s">
        <v>4</v>
      </c>
      <c r="C139" s="9">
        <v>264</v>
      </c>
      <c r="D139" s="7">
        <f>MAIZ!D139</f>
        <v>2.9745227272727273</v>
      </c>
      <c r="E139" s="2">
        <f>MAIZ!E139</f>
        <v>1.5808738473775257</v>
      </c>
      <c r="F139" s="3">
        <f t="shared" si="19"/>
        <v>194.21726179338791</v>
      </c>
      <c r="G139" s="3">
        <f t="shared" si="25"/>
        <v>1.5808738473775259</v>
      </c>
      <c r="H139" s="3">
        <f t="shared" si="23"/>
        <v>496.73413302565058</v>
      </c>
      <c r="I139" s="4">
        <f t="shared" si="21"/>
        <v>0.23499999999999999</v>
      </c>
      <c r="J139" s="5">
        <f t="shared" si="20"/>
        <v>153.96497955641632</v>
      </c>
      <c r="K139" s="63">
        <f t="shared" si="24"/>
        <v>380.00161176462268</v>
      </c>
      <c r="L139" s="10">
        <f t="shared" si="26"/>
        <v>209.55182751295348</v>
      </c>
      <c r="M139" s="10">
        <f t="shared" si="26"/>
        <v>324.6150744475849</v>
      </c>
    </row>
    <row r="140" spans="1:13" x14ac:dyDescent="0.15">
      <c r="A140" s="34">
        <v>38169</v>
      </c>
      <c r="B140" t="s">
        <v>4</v>
      </c>
      <c r="C140" s="9">
        <v>245</v>
      </c>
      <c r="D140" s="7">
        <f>MAIZ!D140</f>
        <v>2.9705909090909088</v>
      </c>
      <c r="E140" s="2">
        <f>MAIZ!E140</f>
        <v>1.5881708485736752</v>
      </c>
      <c r="F140" s="3">
        <f t="shared" si="19"/>
        <v>179.17422523345974</v>
      </c>
      <c r="G140" s="3">
        <f t="shared" si="25"/>
        <v>1.5881708485736754</v>
      </c>
      <c r="H140" s="3">
        <f t="shared" si="23"/>
        <v>458.25974792378275</v>
      </c>
      <c r="I140" s="4">
        <f t="shared" si="21"/>
        <v>0.23499999999999999</v>
      </c>
      <c r="J140" s="5">
        <f t="shared" si="20"/>
        <v>142.03967078092921</v>
      </c>
      <c r="K140" s="63">
        <f t="shared" si="24"/>
        <v>350.56870716169379</v>
      </c>
      <c r="L140" s="10">
        <f t="shared" si="26"/>
        <v>209.55182751295348</v>
      </c>
      <c r="M140" s="10">
        <f t="shared" si="26"/>
        <v>324.6150744475849</v>
      </c>
    </row>
    <row r="141" spans="1:13" x14ac:dyDescent="0.15">
      <c r="A141" s="34">
        <v>38200</v>
      </c>
      <c r="B141" t="s">
        <v>3</v>
      </c>
      <c r="C141" s="9">
        <v>230</v>
      </c>
      <c r="D141" s="7">
        <f>MAIZ!D141</f>
        <v>3.0304545454545462</v>
      </c>
      <c r="E141" s="2">
        <f>MAIZ!E141</f>
        <v>1.5936435994707872</v>
      </c>
      <c r="F141" s="3">
        <f t="shared" si="19"/>
        <v>171.00477239400175</v>
      </c>
      <c r="G141" s="3">
        <f t="shared" si="25"/>
        <v>1.5936435994707874</v>
      </c>
      <c r="H141" s="3">
        <f t="shared" si="23"/>
        <v>437.36538438456688</v>
      </c>
      <c r="I141" s="4">
        <f t="shared" si="21"/>
        <v>0.23499999999999999</v>
      </c>
      <c r="J141" s="5">
        <f t="shared" si="20"/>
        <v>135.56336878902729</v>
      </c>
      <c r="K141" s="63">
        <f t="shared" si="24"/>
        <v>334.58451905419366</v>
      </c>
      <c r="L141" s="10">
        <f t="shared" si="26"/>
        <v>209.55182751295348</v>
      </c>
      <c r="M141" s="10">
        <f t="shared" si="26"/>
        <v>324.6150744475849</v>
      </c>
    </row>
    <row r="142" spans="1:13" x14ac:dyDescent="0.15">
      <c r="A142" s="34">
        <v>38231</v>
      </c>
      <c r="B142" t="s">
        <v>5</v>
      </c>
      <c r="C142" s="9">
        <v>223</v>
      </c>
      <c r="D142" s="7">
        <f>MAIZ!D142</f>
        <v>3.0143181818181817</v>
      </c>
      <c r="E142" s="2">
        <f>MAIZ!E142</f>
        <v>1.6037306305360524</v>
      </c>
      <c r="F142" s="3">
        <f t="shared" si="19"/>
        <v>163.8801509888718</v>
      </c>
      <c r="G142" s="3">
        <f t="shared" si="25"/>
        <v>1.6037306305360526</v>
      </c>
      <c r="H142" s="3">
        <f t="shared" si="23"/>
        <v>419.14330358632088</v>
      </c>
      <c r="I142" s="4">
        <f t="shared" si="21"/>
        <v>0.23499999999999999</v>
      </c>
      <c r="J142" s="5">
        <f t="shared" si="20"/>
        <v>129.91535285646313</v>
      </c>
      <c r="K142" s="63">
        <f t="shared" si="24"/>
        <v>320.64462724353547</v>
      </c>
      <c r="L142" s="10">
        <f t="shared" si="26"/>
        <v>209.55182751295348</v>
      </c>
      <c r="M142" s="10">
        <f t="shared" si="26"/>
        <v>324.6150744475849</v>
      </c>
    </row>
    <row r="143" spans="1:13" x14ac:dyDescent="0.15">
      <c r="A143" s="34">
        <v>38261</v>
      </c>
      <c r="B143" t="s">
        <v>6</v>
      </c>
      <c r="C143" s="9">
        <v>229</v>
      </c>
      <c r="D143" s="7">
        <f>MAIZ!D143</f>
        <v>2.9866666666666668</v>
      </c>
      <c r="E143" s="2">
        <f>MAIZ!E143</f>
        <v>1.6100618521621231</v>
      </c>
      <c r="F143" s="3">
        <f t="shared" si="19"/>
        <v>166.09000585408316</v>
      </c>
      <c r="G143" s="3">
        <f t="shared" si="25"/>
        <v>1.6100618521621233</v>
      </c>
      <c r="H143" s="3">
        <f t="shared" si="23"/>
        <v>424.79527463383283</v>
      </c>
      <c r="I143" s="4">
        <f t="shared" si="21"/>
        <v>0.23499999999999999</v>
      </c>
      <c r="J143" s="5">
        <f t="shared" si="20"/>
        <v>131.66720671334053</v>
      </c>
      <c r="K143" s="63">
        <f t="shared" si="24"/>
        <v>324.96838509488214</v>
      </c>
      <c r="L143" s="10">
        <f t="shared" si="26"/>
        <v>209.55182751295348</v>
      </c>
      <c r="M143" s="10">
        <f t="shared" si="26"/>
        <v>324.6150744475849</v>
      </c>
    </row>
    <row r="144" spans="1:13" x14ac:dyDescent="0.15">
      <c r="A144" s="34">
        <v>38292</v>
      </c>
      <c r="B144" t="s">
        <v>7</v>
      </c>
      <c r="C144" s="9">
        <v>234</v>
      </c>
      <c r="D144" s="7">
        <f>MAIZ!D144</f>
        <v>2.9686363636363637</v>
      </c>
      <c r="E144" s="2">
        <f>MAIZ!E144</f>
        <v>1.6100618521621231</v>
      </c>
      <c r="F144" s="3">
        <f t="shared" si="19"/>
        <v>168.6918587085423</v>
      </c>
      <c r="G144" s="3">
        <f t="shared" si="25"/>
        <v>1.6100618521621233</v>
      </c>
      <c r="H144" s="3">
        <f t="shared" si="23"/>
        <v>431.44982794174115</v>
      </c>
      <c r="I144" s="4">
        <f t="shared" si="21"/>
        <v>0.23499999999999999</v>
      </c>
      <c r="J144" s="5">
        <f t="shared" si="20"/>
        <v>133.72981545288587</v>
      </c>
      <c r="K144" s="63">
        <f t="shared" si="24"/>
        <v>330.05911837543198</v>
      </c>
      <c r="L144" s="10">
        <f t="shared" si="26"/>
        <v>209.55182751295348</v>
      </c>
      <c r="M144" s="10">
        <f t="shared" si="26"/>
        <v>324.6150744475849</v>
      </c>
    </row>
    <row r="145" spans="1:13" x14ac:dyDescent="0.15">
      <c r="A145" s="34">
        <v>38322</v>
      </c>
      <c r="B145" t="s">
        <v>23</v>
      </c>
      <c r="C145" s="9">
        <v>242</v>
      </c>
      <c r="D145" s="7">
        <f>MAIZ!D145</f>
        <v>2.9841304347826076</v>
      </c>
      <c r="E145" s="2">
        <f>MAIZ!E145</f>
        <v>1.6235827661432234</v>
      </c>
      <c r="F145" s="3">
        <f t="shared" si="19"/>
        <v>173.90920050542456</v>
      </c>
      <c r="G145" s="3">
        <f t="shared" si="25"/>
        <v>1.6235827661432236</v>
      </c>
      <c r="H145" s="3">
        <f t="shared" si="23"/>
        <v>444.79381050148822</v>
      </c>
      <c r="I145" s="4">
        <f t="shared" si="21"/>
        <v>0.23499999999999999</v>
      </c>
      <c r="J145" s="5">
        <f t="shared" si="20"/>
        <v>137.86584288771999</v>
      </c>
      <c r="K145" s="63">
        <f t="shared" si="24"/>
        <v>340.26726503363852</v>
      </c>
      <c r="L145" s="10">
        <f t="shared" si="26"/>
        <v>209.55182751295348</v>
      </c>
      <c r="M145" s="10">
        <f t="shared" si="26"/>
        <v>324.6150744475849</v>
      </c>
    </row>
    <row r="146" spans="1:13" x14ac:dyDescent="0.15">
      <c r="A146" s="34">
        <v>38353</v>
      </c>
      <c r="B146" t="s">
        <v>11</v>
      </c>
      <c r="C146" s="9">
        <v>238</v>
      </c>
      <c r="D146" s="7">
        <f>MAIZ!D146</f>
        <v>2.9614285714285717</v>
      </c>
      <c r="E146" s="2">
        <f>MAIZ!E146</f>
        <v>1.647619946554068</v>
      </c>
      <c r="F146" s="3">
        <f t="shared" si="19"/>
        <v>167.25726906938962</v>
      </c>
      <c r="G146" s="3">
        <f t="shared" si="25"/>
        <v>1.6476199465540682</v>
      </c>
      <c r="H146" s="3">
        <f t="shared" si="23"/>
        <v>427.78069145988621</v>
      </c>
      <c r="I146" s="4">
        <f t="shared" si="21"/>
        <v>0.23499999999999999</v>
      </c>
      <c r="J146" s="5">
        <f t="shared" si="20"/>
        <v>132.59255009127779</v>
      </c>
      <c r="K146" s="63">
        <f t="shared" si="24"/>
        <v>327.25222896681294</v>
      </c>
      <c r="L146" s="10">
        <f t="shared" si="26"/>
        <v>209.55182751295348</v>
      </c>
      <c r="M146" s="10">
        <f t="shared" si="26"/>
        <v>324.6150744475849</v>
      </c>
    </row>
    <row r="147" spans="1:13" x14ac:dyDescent="0.15">
      <c r="A147" s="34">
        <v>38384</v>
      </c>
      <c r="B147" t="s">
        <v>1</v>
      </c>
      <c r="C147" s="9">
        <v>240</v>
      </c>
      <c r="D147" s="7">
        <f>MAIZ!D147</f>
        <v>2.9319999999999995</v>
      </c>
      <c r="E147" s="2">
        <f>MAIZ!E147</f>
        <v>1.6632870373575652</v>
      </c>
      <c r="F147" s="3">
        <f t="shared" si="19"/>
        <v>165.41383406481063</v>
      </c>
      <c r="G147" s="3">
        <f t="shared" si="25"/>
        <v>1.6632870373575654</v>
      </c>
      <c r="H147" s="3">
        <f t="shared" si="23"/>
        <v>423.0658835157663</v>
      </c>
      <c r="I147" s="4">
        <f t="shared" si="21"/>
        <v>0.23499999999999999</v>
      </c>
      <c r="J147" s="5">
        <f t="shared" si="20"/>
        <v>131.13117415500534</v>
      </c>
      <c r="K147" s="63">
        <f t="shared" si="24"/>
        <v>323.64540088956124</v>
      </c>
      <c r="L147" s="10">
        <f t="shared" si="26"/>
        <v>209.55182751295348</v>
      </c>
      <c r="M147" s="10">
        <f t="shared" si="26"/>
        <v>324.6150744475849</v>
      </c>
    </row>
    <row r="148" spans="1:13" x14ac:dyDescent="0.15">
      <c r="A148" s="34">
        <v>38412</v>
      </c>
      <c r="B148" t="s">
        <v>2</v>
      </c>
      <c r="C148" s="9">
        <v>261</v>
      </c>
      <c r="D148" s="7">
        <f>MAIZ!D148</f>
        <v>2.9368695652173913</v>
      </c>
      <c r="E148" s="2">
        <f>MAIZ!E148</f>
        <v>1.6889338503852076</v>
      </c>
      <c r="F148" s="3">
        <f t="shared" si="19"/>
        <v>177.45014119799615</v>
      </c>
      <c r="G148" s="3">
        <f t="shared" si="25"/>
        <v>1.6889338503852078</v>
      </c>
      <c r="H148" s="3">
        <f t="shared" si="23"/>
        <v>453.85019451585538</v>
      </c>
      <c r="I148" s="4">
        <f t="shared" si="21"/>
        <v>0.23499999999999999</v>
      </c>
      <c r="J148" s="5">
        <f t="shared" si="20"/>
        <v>140.67290986162388</v>
      </c>
      <c r="K148" s="63">
        <f t="shared" si="24"/>
        <v>347.19539880462935</v>
      </c>
      <c r="L148" s="10">
        <f t="shared" ref="L148:M163" si="27">+L147</f>
        <v>209.55182751295348</v>
      </c>
      <c r="M148" s="10">
        <f t="shared" si="27"/>
        <v>324.6150744475849</v>
      </c>
    </row>
    <row r="149" spans="1:13" x14ac:dyDescent="0.15">
      <c r="A149" s="34">
        <v>38443</v>
      </c>
      <c r="B149" t="s">
        <v>3</v>
      </c>
      <c r="C149" s="9">
        <v>268</v>
      </c>
      <c r="D149" s="7">
        <f>MAIZ!D149</f>
        <v>2.9180952380952387</v>
      </c>
      <c r="E149" s="2">
        <f>MAIZ!E149</f>
        <v>1.6971966311514355</v>
      </c>
      <c r="F149" s="3">
        <f t="shared" si="19"/>
        <v>180.16312996563374</v>
      </c>
      <c r="G149" s="3">
        <f t="shared" si="25"/>
        <v>1.6971966311514357</v>
      </c>
      <c r="H149" s="3">
        <f t="shared" si="23"/>
        <v>460.78899136098039</v>
      </c>
      <c r="I149" s="4">
        <f t="shared" si="21"/>
        <v>0.23499999999999999</v>
      </c>
      <c r="J149" s="5">
        <f t="shared" si="20"/>
        <v>142.82362116446615</v>
      </c>
      <c r="K149" s="63">
        <f t="shared" si="24"/>
        <v>352.50357839115003</v>
      </c>
      <c r="L149" s="10">
        <f t="shared" si="27"/>
        <v>209.55182751295348</v>
      </c>
      <c r="M149" s="10">
        <f t="shared" si="27"/>
        <v>324.6150744475849</v>
      </c>
    </row>
    <row r="150" spans="1:13" x14ac:dyDescent="0.15">
      <c r="A150" s="34">
        <v>38473</v>
      </c>
      <c r="B150" t="s">
        <v>2</v>
      </c>
      <c r="C150" s="9">
        <v>269</v>
      </c>
      <c r="D150" s="7">
        <f>MAIZ!D150</f>
        <v>2.9028636363636369</v>
      </c>
      <c r="E150" s="2">
        <f>MAIZ!E150</f>
        <v>1.7073909710578208</v>
      </c>
      <c r="F150" s="3">
        <f t="shared" si="19"/>
        <v>178.81739258410144</v>
      </c>
      <c r="G150" s="3">
        <f t="shared" si="25"/>
        <v>1.707390971057821</v>
      </c>
      <c r="H150" s="3">
        <f t="shared" si="23"/>
        <v>457.3471052725709</v>
      </c>
      <c r="I150" s="4">
        <f t="shared" si="21"/>
        <v>0.23499999999999999</v>
      </c>
      <c r="J150" s="5">
        <f t="shared" si="20"/>
        <v>141.75679308480579</v>
      </c>
      <c r="K150" s="63">
        <f t="shared" si="24"/>
        <v>349.87053553351677</v>
      </c>
      <c r="L150" s="10">
        <f t="shared" si="27"/>
        <v>209.55182751295348</v>
      </c>
      <c r="M150" s="10">
        <f t="shared" si="27"/>
        <v>324.6150744475849</v>
      </c>
    </row>
    <row r="151" spans="1:13" x14ac:dyDescent="0.15">
      <c r="A151" s="34">
        <v>38504</v>
      </c>
      <c r="B151" t="s">
        <v>4</v>
      </c>
      <c r="C151" s="9">
        <v>271</v>
      </c>
      <c r="D151" s="7">
        <f>MAIZ!D151</f>
        <v>2.894090909090909</v>
      </c>
      <c r="E151" s="2">
        <f>MAIZ!E151</f>
        <v>1.7230580618613176</v>
      </c>
      <c r="F151" s="3">
        <f t="shared" si="19"/>
        <v>177.96941428832955</v>
      </c>
      <c r="G151" s="3">
        <f t="shared" si="25"/>
        <v>1.7230580618613178</v>
      </c>
      <c r="H151" s="3">
        <f t="shared" si="23"/>
        <v>455.17829823819449</v>
      </c>
      <c r="I151" s="4">
        <f t="shared" si="21"/>
        <v>0.23499999999999999</v>
      </c>
      <c r="J151" s="5">
        <f t="shared" si="20"/>
        <v>141.0845615860851</v>
      </c>
      <c r="K151" s="63">
        <f t="shared" si="24"/>
        <v>348.21139815221881</v>
      </c>
      <c r="L151" s="10">
        <f t="shared" si="27"/>
        <v>209.55182751295348</v>
      </c>
      <c r="M151" s="10">
        <f t="shared" si="27"/>
        <v>324.6150744475849</v>
      </c>
    </row>
    <row r="152" spans="1:13" x14ac:dyDescent="0.15">
      <c r="A152" s="34">
        <v>38534</v>
      </c>
      <c r="B152" t="s">
        <v>4</v>
      </c>
      <c r="C152" s="9">
        <v>275</v>
      </c>
      <c r="D152" s="7">
        <f>MAIZ!D152</f>
        <v>2.885714285714287</v>
      </c>
      <c r="E152" s="2">
        <f>MAIZ!E152</f>
        <v>1.7403347852816125</v>
      </c>
      <c r="F152" s="3">
        <f t="shared" si="19"/>
        <v>178.28591972910067</v>
      </c>
      <c r="G152" s="3">
        <f t="shared" si="25"/>
        <v>1.7403347852816127</v>
      </c>
      <c r="H152" s="3">
        <f t="shared" si="23"/>
        <v>455.98779917682157</v>
      </c>
      <c r="I152" s="4">
        <f t="shared" si="21"/>
        <v>0.23499999999999999</v>
      </c>
      <c r="J152" s="5">
        <f t="shared" si="20"/>
        <v>141.33547004431298</v>
      </c>
      <c r="K152" s="63">
        <f t="shared" si="24"/>
        <v>348.83066637026849</v>
      </c>
      <c r="L152" s="10">
        <f t="shared" si="27"/>
        <v>209.55182751295348</v>
      </c>
      <c r="M152" s="10">
        <f t="shared" si="27"/>
        <v>324.6150744475849</v>
      </c>
    </row>
    <row r="153" spans="1:13" x14ac:dyDescent="0.15">
      <c r="A153" s="34">
        <v>38565</v>
      </c>
      <c r="B153" t="s">
        <v>3</v>
      </c>
      <c r="C153" s="9">
        <v>271</v>
      </c>
      <c r="D153" s="7">
        <f>MAIZ!D153</f>
        <v>2.8975</v>
      </c>
      <c r="E153" s="2">
        <f>MAIZ!E153</f>
        <v>1.7479537130011211</v>
      </c>
      <c r="F153" s="3">
        <f t="shared" si="19"/>
        <v>175.64129512961307</v>
      </c>
      <c r="G153" s="3">
        <f t="shared" si="25"/>
        <v>1.7479537130011213</v>
      </c>
      <c r="H153" s="3">
        <f t="shared" si="23"/>
        <v>449.22385195877109</v>
      </c>
      <c r="I153" s="4">
        <f t="shared" si="21"/>
        <v>0.23499999999999999</v>
      </c>
      <c r="J153" s="5">
        <f t="shared" si="20"/>
        <v>139.23895417010777</v>
      </c>
      <c r="K153" s="63">
        <f t="shared" si="24"/>
        <v>343.65624674845986</v>
      </c>
      <c r="L153" s="10">
        <f t="shared" si="27"/>
        <v>209.55182751295348</v>
      </c>
      <c r="M153" s="10">
        <f t="shared" si="27"/>
        <v>324.6150744475849</v>
      </c>
    </row>
    <row r="154" spans="1:13" x14ac:dyDescent="0.15">
      <c r="A154" s="34">
        <v>38596</v>
      </c>
      <c r="B154" t="s">
        <v>5</v>
      </c>
      <c r="C154" s="9">
        <v>265</v>
      </c>
      <c r="D154" s="7">
        <f>MAIZ!D154</f>
        <v>2.918545454545455</v>
      </c>
      <c r="E154" s="2">
        <f>MAIZ!E154</f>
        <v>1.7683423928138913</v>
      </c>
      <c r="F154" s="3">
        <f t="shared" si="19"/>
        <v>171.00539040257544</v>
      </c>
      <c r="G154" s="3">
        <f t="shared" si="25"/>
        <v>1.7683423928138915</v>
      </c>
      <c r="H154" s="3">
        <f t="shared" si="23"/>
        <v>437.36696501622765</v>
      </c>
      <c r="I154" s="4">
        <f t="shared" si="21"/>
        <v>0.23499999999999999</v>
      </c>
      <c r="J154" s="5">
        <f t="shared" si="20"/>
        <v>135.5638587129225</v>
      </c>
      <c r="K154" s="63">
        <f t="shared" si="24"/>
        <v>334.58572823741417</v>
      </c>
      <c r="L154" s="10">
        <f t="shared" si="27"/>
        <v>209.55182751295348</v>
      </c>
      <c r="M154" s="10">
        <f t="shared" si="27"/>
        <v>324.6150744475849</v>
      </c>
    </row>
    <row r="155" spans="1:13" x14ac:dyDescent="0.15">
      <c r="A155" s="34">
        <v>38626</v>
      </c>
      <c r="B155" t="s">
        <v>6</v>
      </c>
      <c r="C155" s="9">
        <v>264</v>
      </c>
      <c r="D155" s="7">
        <f>MAIZ!D155</f>
        <v>2.9751428571428575</v>
      </c>
      <c r="E155" s="2">
        <f>MAIZ!E155</f>
        <v>1.7820779244772313</v>
      </c>
      <c r="F155" s="3">
        <f t="shared" si="19"/>
        <v>172.32523675858403</v>
      </c>
      <c r="G155" s="3">
        <f t="shared" si="25"/>
        <v>1.7820779244772316</v>
      </c>
      <c r="H155" s="3">
        <f t="shared" si="23"/>
        <v>440.74263167595251</v>
      </c>
      <c r="I155" s="4">
        <f t="shared" si="21"/>
        <v>0.23499999999999999</v>
      </c>
      <c r="J155" s="5">
        <f t="shared" si="20"/>
        <v>136.61016178271171</v>
      </c>
      <c r="K155" s="63">
        <f t="shared" si="24"/>
        <v>337.16811323210368</v>
      </c>
      <c r="L155" s="10">
        <f t="shared" si="27"/>
        <v>209.55182751295348</v>
      </c>
      <c r="M155" s="10">
        <f t="shared" si="27"/>
        <v>324.6150744475849</v>
      </c>
    </row>
    <row r="156" spans="1:13" x14ac:dyDescent="0.15">
      <c r="A156" s="34">
        <v>38657</v>
      </c>
      <c r="B156" t="s">
        <v>7</v>
      </c>
      <c r="C156" s="9">
        <v>259</v>
      </c>
      <c r="D156" s="7">
        <f>MAIZ!D156</f>
        <v>2.9837272727272723</v>
      </c>
      <c r="E156" s="2">
        <f>MAIZ!E156</f>
        <v>1.8036470015423198</v>
      </c>
      <c r="F156" s="3">
        <f t="shared" si="19"/>
        <v>167.52173691736189</v>
      </c>
      <c r="G156" s="3">
        <f t="shared" si="25"/>
        <v>1.80364700154232</v>
      </c>
      <c r="H156" s="3">
        <f t="shared" si="23"/>
        <v>428.45709996221296</v>
      </c>
      <c r="I156" s="4">
        <f t="shared" si="21"/>
        <v>0.23499999999999999</v>
      </c>
      <c r="J156" s="5">
        <f t="shared" si="20"/>
        <v>132.802205950033</v>
      </c>
      <c r="K156" s="63">
        <f t="shared" si="24"/>
        <v>327.76968147109295</v>
      </c>
      <c r="L156" s="10">
        <f t="shared" si="27"/>
        <v>209.55182751295348</v>
      </c>
      <c r="M156" s="10">
        <f t="shared" si="27"/>
        <v>324.6150744475849</v>
      </c>
    </row>
    <row r="157" spans="1:13" x14ac:dyDescent="0.15">
      <c r="A157" s="34">
        <v>38687</v>
      </c>
      <c r="B157" t="s">
        <v>24</v>
      </c>
      <c r="C157" s="9">
        <v>239</v>
      </c>
      <c r="D157" s="7">
        <f>MAIZ!D157</f>
        <v>3.031931818181818</v>
      </c>
      <c r="E157" s="2">
        <f>MAIZ!E157</f>
        <v>1.8237137548317301</v>
      </c>
      <c r="F157" s="3">
        <f t="shared" si="19"/>
        <v>155.35473028822247</v>
      </c>
      <c r="G157" s="3">
        <f t="shared" si="25"/>
        <v>1.8237137548317304</v>
      </c>
      <c r="H157" s="3">
        <f t="shared" si="23"/>
        <v>397.33850919620579</v>
      </c>
      <c r="I157" s="4">
        <f t="shared" si="21"/>
        <v>0.23499999999999999</v>
      </c>
      <c r="J157" s="5">
        <f t="shared" si="20"/>
        <v>123.15685872589657</v>
      </c>
      <c r="K157" s="63">
        <f t="shared" si="24"/>
        <v>303.96395953509744</v>
      </c>
      <c r="L157" s="10">
        <f t="shared" si="27"/>
        <v>209.55182751295348</v>
      </c>
      <c r="M157" s="10">
        <f t="shared" si="27"/>
        <v>324.6150744475849</v>
      </c>
    </row>
    <row r="158" spans="1:13" x14ac:dyDescent="0.15">
      <c r="A158" s="34">
        <v>38718</v>
      </c>
      <c r="B158" t="s">
        <v>12</v>
      </c>
      <c r="C158" s="9">
        <v>230</v>
      </c>
      <c r="D158" s="7">
        <f>MAIZ!D158</f>
        <v>3.0668181818181823</v>
      </c>
      <c r="E158" s="2">
        <f>MAIZ!E158</f>
        <v>1.8469997733547363</v>
      </c>
      <c r="F158" s="3">
        <f t="shared" si="19"/>
        <v>149.31823458298038</v>
      </c>
      <c r="G158" s="3">
        <f t="shared" si="25"/>
        <v>1.8469997733547365</v>
      </c>
      <c r="H158" s="3">
        <f t="shared" si="23"/>
        <v>381.89944145851729</v>
      </c>
      <c r="I158" s="4">
        <f t="shared" si="21"/>
        <v>0.23499999999999999</v>
      </c>
      <c r="J158" s="5">
        <f t="shared" si="20"/>
        <v>118.37145021345077</v>
      </c>
      <c r="K158" s="63">
        <f t="shared" si="24"/>
        <v>292.15307271576575</v>
      </c>
      <c r="L158" s="10">
        <f t="shared" si="27"/>
        <v>209.55182751295348</v>
      </c>
      <c r="M158" s="10">
        <f t="shared" si="27"/>
        <v>324.6150744475849</v>
      </c>
    </row>
    <row r="159" spans="1:13" x14ac:dyDescent="0.15">
      <c r="A159" s="34">
        <v>38749</v>
      </c>
      <c r="B159" t="s">
        <v>1</v>
      </c>
      <c r="C159" s="9">
        <v>229</v>
      </c>
      <c r="D159" s="7">
        <f>MAIZ!D159</f>
        <v>3.0855000000000006</v>
      </c>
      <c r="E159" s="2">
        <f>MAIZ!E159</f>
        <v>1.8542967745508858</v>
      </c>
      <c r="F159" s="3">
        <f t="shared" si="19"/>
        <v>148.98605257149549</v>
      </c>
      <c r="G159" s="3">
        <f t="shared" si="25"/>
        <v>1.854296774550886</v>
      </c>
      <c r="H159" s="3">
        <f t="shared" si="23"/>
        <v>381.04984579457891</v>
      </c>
      <c r="I159" s="4">
        <f t="shared" si="21"/>
        <v>0.23499999999999999</v>
      </c>
      <c r="J159" s="5">
        <f t="shared" si="20"/>
        <v>118.10811421470886</v>
      </c>
      <c r="K159" s="63">
        <f t="shared" si="24"/>
        <v>291.50313203285287</v>
      </c>
      <c r="L159" s="10">
        <f t="shared" si="27"/>
        <v>209.55182751295348</v>
      </c>
      <c r="M159" s="10">
        <f t="shared" si="27"/>
        <v>324.6150744475849</v>
      </c>
    </row>
    <row r="160" spans="1:13" x14ac:dyDescent="0.15">
      <c r="A160" s="34">
        <v>38777</v>
      </c>
      <c r="B160" t="s">
        <v>2</v>
      </c>
      <c r="C160" s="9">
        <v>225</v>
      </c>
      <c r="D160" s="7">
        <f>MAIZ!D160</f>
        <v>3.0910869565217411</v>
      </c>
      <c r="E160" s="2">
        <f>MAIZ!E160</f>
        <v>1.8766170135038129</v>
      </c>
      <c r="F160" s="3">
        <f t="shared" si="19"/>
        <v>144.90451400479208</v>
      </c>
      <c r="G160" s="3">
        <f t="shared" si="25"/>
        <v>1.8766170135038132</v>
      </c>
      <c r="H160" s="3">
        <f t="shared" si="23"/>
        <v>370.61081734457935</v>
      </c>
      <c r="I160" s="4">
        <f t="shared" si="21"/>
        <v>0.23499999999999999</v>
      </c>
      <c r="J160" s="5">
        <f t="shared" si="20"/>
        <v>114.87249037685589</v>
      </c>
      <c r="K160" s="63">
        <f t="shared" si="24"/>
        <v>283.51727526860321</v>
      </c>
      <c r="L160" s="10">
        <f t="shared" si="27"/>
        <v>209.55182751295348</v>
      </c>
      <c r="M160" s="10">
        <f t="shared" si="27"/>
        <v>324.6150744475849</v>
      </c>
    </row>
    <row r="161" spans="1:13" x14ac:dyDescent="0.15">
      <c r="A161" s="34">
        <v>38808</v>
      </c>
      <c r="B161" t="s">
        <v>3</v>
      </c>
      <c r="C161" s="9">
        <v>229</v>
      </c>
      <c r="D161" s="7">
        <f>MAIZ!D161</f>
        <v>3.0870000000000006</v>
      </c>
      <c r="E161" s="2">
        <f>MAIZ!E161</f>
        <v>1.8948595164941864</v>
      </c>
      <c r="F161" s="3">
        <f t="shared" si="19"/>
        <v>145.86762703542922</v>
      </c>
      <c r="G161" s="3">
        <f t="shared" si="25"/>
        <v>1.8948595164941866</v>
      </c>
      <c r="H161" s="3">
        <f t="shared" si="23"/>
        <v>373.07409538619953</v>
      </c>
      <c r="I161" s="4">
        <f t="shared" si="21"/>
        <v>0.23499999999999999</v>
      </c>
      <c r="J161" s="5">
        <f t="shared" si="20"/>
        <v>115.63599448922628</v>
      </c>
      <c r="K161" s="63">
        <f t="shared" si="24"/>
        <v>285.40168297044266</v>
      </c>
      <c r="L161" s="10">
        <f t="shared" si="27"/>
        <v>209.55182751295348</v>
      </c>
      <c r="M161" s="10">
        <f t="shared" si="27"/>
        <v>324.6150744475849</v>
      </c>
    </row>
    <row r="162" spans="1:13" x14ac:dyDescent="0.15">
      <c r="A162" s="34">
        <v>38838</v>
      </c>
      <c r="B162" t="s">
        <v>2</v>
      </c>
      <c r="C162" s="9">
        <v>224</v>
      </c>
      <c r="D162" s="7">
        <f>MAIZ!D162</f>
        <v>3.0743478260869561</v>
      </c>
      <c r="E162" s="2">
        <f>MAIZ!E162</f>
        <v>1.9037661503071333</v>
      </c>
      <c r="F162" s="3">
        <f t="shared" si="19"/>
        <v>141.43315917630756</v>
      </c>
      <c r="G162" s="3">
        <f t="shared" si="25"/>
        <v>1.9037661503071335</v>
      </c>
      <c r="H162" s="3">
        <f t="shared" si="23"/>
        <v>361.73240759238104</v>
      </c>
      <c r="I162" s="4">
        <f t="shared" si="21"/>
        <v>0.23499999999999999</v>
      </c>
      <c r="J162" s="5">
        <f t="shared" si="20"/>
        <v>112.12058732629563</v>
      </c>
      <c r="K162" s="63">
        <f t="shared" si="24"/>
        <v>276.72529180817151</v>
      </c>
      <c r="L162" s="10">
        <f t="shared" si="27"/>
        <v>209.55182751295348</v>
      </c>
      <c r="M162" s="10">
        <f t="shared" si="27"/>
        <v>324.6150744475849</v>
      </c>
    </row>
    <row r="163" spans="1:13" x14ac:dyDescent="0.15">
      <c r="A163" s="34">
        <v>38869</v>
      </c>
      <c r="B163" t="s">
        <v>4</v>
      </c>
      <c r="C163" s="9">
        <v>225</v>
      </c>
      <c r="D163" s="7">
        <f>MAIZ!D163</f>
        <v>3.100454545454546</v>
      </c>
      <c r="E163" s="2">
        <f>MAIZ!E163</f>
        <v>1.9129947106434397</v>
      </c>
      <c r="F163" s="3">
        <f t="shared" si="19"/>
        <v>142.5797802213057</v>
      </c>
      <c r="G163" s="3">
        <f t="shared" si="25"/>
        <v>1.91299471064344</v>
      </c>
      <c r="H163" s="3">
        <f t="shared" si="23"/>
        <v>364.66502957168808</v>
      </c>
      <c r="I163" s="4">
        <f t="shared" si="21"/>
        <v>0.23499999999999999</v>
      </c>
      <c r="J163" s="5">
        <f t="shared" si="20"/>
        <v>113.02956670393665</v>
      </c>
      <c r="K163" s="63">
        <f t="shared" si="24"/>
        <v>278.96874762234137</v>
      </c>
      <c r="L163" s="10">
        <f t="shared" si="27"/>
        <v>209.55182751295348</v>
      </c>
      <c r="M163" s="10">
        <f t="shared" si="27"/>
        <v>324.6150744475849</v>
      </c>
    </row>
    <row r="164" spans="1:13" x14ac:dyDescent="0.15">
      <c r="A164" s="34">
        <v>38899</v>
      </c>
      <c r="B164" t="s">
        <v>4</v>
      </c>
      <c r="C164" s="9">
        <v>225</v>
      </c>
      <c r="D164" s="7">
        <f>MAIZ!D164</f>
        <v>3.1014285714285719</v>
      </c>
      <c r="E164" s="2">
        <f>MAIZ!E164</f>
        <v>1.9247986831666224</v>
      </c>
      <c r="F164" s="3">
        <f t="shared" si="19"/>
        <v>141.74991658987349</v>
      </c>
      <c r="G164" s="3">
        <f t="shared" si="25"/>
        <v>1.9247986831666226</v>
      </c>
      <c r="H164" s="3">
        <f t="shared" si="23"/>
        <v>362.54255298190105</v>
      </c>
      <c r="I164" s="4">
        <f t="shared" si="21"/>
        <v>0.23499999999999999</v>
      </c>
      <c r="J164" s="5">
        <f t="shared" si="20"/>
        <v>112.37169553497743</v>
      </c>
      <c r="K164" s="63">
        <f t="shared" si="24"/>
        <v>277.34505303115429</v>
      </c>
      <c r="L164" s="10">
        <f t="shared" ref="L164:M179" si="28">+L163</f>
        <v>209.55182751295348</v>
      </c>
      <c r="M164" s="10">
        <f t="shared" si="28"/>
        <v>324.6150744475849</v>
      </c>
    </row>
    <row r="165" spans="1:13" x14ac:dyDescent="0.15">
      <c r="A165" s="34">
        <v>38930</v>
      </c>
      <c r="B165" t="s">
        <v>3</v>
      </c>
      <c r="C165" s="9">
        <v>223</v>
      </c>
      <c r="D165" s="7">
        <f>MAIZ!D165</f>
        <v>3.0960869565217393</v>
      </c>
      <c r="E165" s="2">
        <f>MAIZ!E165</f>
        <v>1.9356368761197265</v>
      </c>
      <c r="F165" s="3">
        <f t="shared" si="19"/>
        <v>139.46266143717216</v>
      </c>
      <c r="G165" s="3">
        <f t="shared" si="25"/>
        <v>1.9356368761197267</v>
      </c>
      <c r="H165" s="3">
        <f t="shared" si="23"/>
        <v>356.69262133939748</v>
      </c>
      <c r="I165" s="4">
        <f t="shared" si="21"/>
        <v>0.23499999999999999</v>
      </c>
      <c r="J165" s="5">
        <f t="shared" si="20"/>
        <v>110.55848290097067</v>
      </c>
      <c r="K165" s="63">
        <f t="shared" si="24"/>
        <v>272.86985532463905</v>
      </c>
      <c r="L165" s="10">
        <f t="shared" si="28"/>
        <v>209.55182751295348</v>
      </c>
      <c r="M165" s="10">
        <f t="shared" si="28"/>
        <v>324.6150744475849</v>
      </c>
    </row>
    <row r="166" spans="1:13" x14ac:dyDescent="0.15">
      <c r="A166" s="34">
        <v>38961</v>
      </c>
      <c r="B166" t="s">
        <v>5</v>
      </c>
      <c r="C166" s="9">
        <v>227</v>
      </c>
      <c r="D166" s="7">
        <f>MAIZ!D166</f>
        <v>3.1157619047619041</v>
      </c>
      <c r="E166" s="2">
        <f>MAIZ!E166</f>
        <v>1.9530209083811412</v>
      </c>
      <c r="F166" s="3">
        <f t="shared" si="19"/>
        <v>141.59471734147462</v>
      </c>
      <c r="G166" s="3">
        <f t="shared" si="25"/>
        <v>1.9530209083811414</v>
      </c>
      <c r="H166" s="3">
        <f t="shared" si="23"/>
        <v>362.14561213643879</v>
      </c>
      <c r="I166" s="4">
        <f t="shared" si="21"/>
        <v>0.23499999999999999</v>
      </c>
      <c r="J166" s="5">
        <f t="shared" si="20"/>
        <v>112.24866193391512</v>
      </c>
      <c r="K166" s="63">
        <f t="shared" si="24"/>
        <v>277.04139328437566</v>
      </c>
      <c r="L166" s="10">
        <f t="shared" si="28"/>
        <v>209.55182751295348</v>
      </c>
      <c r="M166" s="10">
        <f t="shared" si="28"/>
        <v>324.6150744475849</v>
      </c>
    </row>
    <row r="167" spans="1:13" x14ac:dyDescent="0.15">
      <c r="A167" s="34">
        <v>38991</v>
      </c>
      <c r="B167" t="s">
        <v>6</v>
      </c>
      <c r="C167" s="9">
        <v>230</v>
      </c>
      <c r="D167" s="7">
        <f>MAIZ!D167</f>
        <v>3.1163636363636367</v>
      </c>
      <c r="E167" s="2">
        <f>MAIZ!E167</f>
        <v>1.9693607475488095</v>
      </c>
      <c r="F167" s="3">
        <f t="shared" si="19"/>
        <v>142.30314878278691</v>
      </c>
      <c r="G167" s="3">
        <f t="shared" si="25"/>
        <v>1.9693607475488097</v>
      </c>
      <c r="H167" s="3">
        <f t="shared" si="23"/>
        <v>363.95751121563967</v>
      </c>
      <c r="I167" s="4">
        <f t="shared" si="21"/>
        <v>0.23499999999999999</v>
      </c>
      <c r="J167" s="5">
        <f t="shared" si="20"/>
        <v>112.8102682060435</v>
      </c>
      <c r="K167" s="63">
        <f t="shared" si="24"/>
        <v>278.42749607996433</v>
      </c>
      <c r="L167" s="10">
        <f t="shared" si="28"/>
        <v>209.55182751295348</v>
      </c>
      <c r="M167" s="10">
        <f t="shared" si="28"/>
        <v>324.6150744475849</v>
      </c>
    </row>
    <row r="168" spans="1:13" x14ac:dyDescent="0.15">
      <c r="A168" s="34">
        <v>39022</v>
      </c>
      <c r="B168" t="s">
        <v>7</v>
      </c>
      <c r="C168" s="9">
        <v>250</v>
      </c>
      <c r="D168" s="7">
        <f>MAIZ!D168</f>
        <v>3.095454545454547</v>
      </c>
      <c r="E168" s="2">
        <f>MAIZ!E168</f>
        <v>1.9836733563010711</v>
      </c>
      <c r="F168" s="3">
        <f t="shared" si="19"/>
        <v>152.53099488555998</v>
      </c>
      <c r="G168" s="3">
        <f t="shared" si="25"/>
        <v>1.9836733563010713</v>
      </c>
      <c r="H168" s="3">
        <f t="shared" si="23"/>
        <v>390.11646443981567</v>
      </c>
      <c r="I168" s="4">
        <f t="shared" si="21"/>
        <v>0.23499999999999999</v>
      </c>
      <c r="J168" s="5">
        <f t="shared" si="20"/>
        <v>120.91835345850093</v>
      </c>
      <c r="K168" s="63">
        <f t="shared" si="24"/>
        <v>298.43909529645902</v>
      </c>
      <c r="L168" s="10">
        <f t="shared" si="28"/>
        <v>209.55182751295348</v>
      </c>
      <c r="M168" s="10">
        <f t="shared" si="28"/>
        <v>324.6150744475849</v>
      </c>
    </row>
    <row r="169" spans="1:13" x14ac:dyDescent="0.15">
      <c r="A169" s="34">
        <v>39052</v>
      </c>
      <c r="B169" t="s">
        <v>25</v>
      </c>
      <c r="C169" s="9">
        <v>270</v>
      </c>
      <c r="D169" s="7">
        <f>MAIZ!D169</f>
        <v>3.0812499999999998</v>
      </c>
      <c r="E169" s="2">
        <f>MAIZ!E169</f>
        <v>2.0031102056057049</v>
      </c>
      <c r="F169" s="3">
        <f t="shared" si="19"/>
        <v>162.38640994145823</v>
      </c>
      <c r="G169" s="3">
        <f t="shared" si="25"/>
        <v>2.0031102056057053</v>
      </c>
      <c r="H169" s="3">
        <f t="shared" si="23"/>
        <v>415.32288022487347</v>
      </c>
      <c r="I169" s="4">
        <f t="shared" si="21"/>
        <v>0.23499999999999999</v>
      </c>
      <c r="J169" s="5">
        <f t="shared" si="20"/>
        <v>128.73119544581922</v>
      </c>
      <c r="K169" s="63">
        <f t="shared" si="24"/>
        <v>317.72200337202821</v>
      </c>
      <c r="L169" s="10">
        <f t="shared" si="28"/>
        <v>209.55182751295348</v>
      </c>
      <c r="M169" s="10">
        <f t="shared" si="28"/>
        <v>324.6150744475849</v>
      </c>
    </row>
    <row r="170" spans="1:13" x14ac:dyDescent="0.15">
      <c r="A170" s="34">
        <v>39083</v>
      </c>
      <c r="B170" t="s">
        <v>13</v>
      </c>
      <c r="C170" s="9">
        <v>270</v>
      </c>
      <c r="D170" s="7">
        <f>MAIZ!D170</f>
        <v>3.101818181818182</v>
      </c>
      <c r="E170" s="2">
        <f>MAIZ!E170</f>
        <v>2.0560169817915055</v>
      </c>
      <c r="F170" s="3">
        <f t="shared" si="19"/>
        <v>159.26385637533443</v>
      </c>
      <c r="G170" s="3">
        <f t="shared" si="25"/>
        <v>2.0560169817915059</v>
      </c>
      <c r="H170" s="3">
        <f t="shared" si="23"/>
        <v>407.33657188043418</v>
      </c>
      <c r="I170" s="4">
        <f t="shared" si="21"/>
        <v>0.23499999999999999</v>
      </c>
      <c r="J170" s="5">
        <f t="shared" si="20"/>
        <v>126.25580324055011</v>
      </c>
      <c r="K170" s="63">
        <f t="shared" si="24"/>
        <v>311.61247748853214</v>
      </c>
      <c r="L170" s="10">
        <f t="shared" si="28"/>
        <v>209.55182751295348</v>
      </c>
      <c r="M170" s="10">
        <f t="shared" si="28"/>
        <v>324.6150744475849</v>
      </c>
    </row>
    <row r="171" spans="1:13" x14ac:dyDescent="0.15">
      <c r="A171" s="34">
        <v>39114</v>
      </c>
      <c r="B171" t="s">
        <v>1</v>
      </c>
      <c r="C171" s="9">
        <v>270</v>
      </c>
      <c r="D171" s="7">
        <f>MAIZ!D171</f>
        <v>3.12</v>
      </c>
      <c r="E171" s="2">
        <f>MAIZ!E171</f>
        <v>2.0636076270593779</v>
      </c>
      <c r="F171" s="3">
        <f t="shared" si="19"/>
        <v>159.60814757415542</v>
      </c>
      <c r="G171" s="3">
        <f t="shared" si="25"/>
        <v>2.0636076270593784</v>
      </c>
      <c r="H171" s="3">
        <f t="shared" si="23"/>
        <v>408.21713825530492</v>
      </c>
      <c r="I171" s="4">
        <f t="shared" si="21"/>
        <v>0.23499999999999999</v>
      </c>
      <c r="J171" s="5">
        <f t="shared" si="20"/>
        <v>126.52873875049626</v>
      </c>
      <c r="K171" s="63">
        <f t="shared" si="24"/>
        <v>312.28611076530825</v>
      </c>
      <c r="L171" s="10">
        <f t="shared" si="28"/>
        <v>209.55182751295348</v>
      </c>
      <c r="M171" s="10">
        <f t="shared" si="28"/>
        <v>324.6150744475849</v>
      </c>
    </row>
    <row r="172" spans="1:13" x14ac:dyDescent="0.15">
      <c r="A172" s="34">
        <v>39142</v>
      </c>
      <c r="B172" t="s">
        <v>2</v>
      </c>
      <c r="C172" s="9">
        <v>277</v>
      </c>
      <c r="D172" s="7">
        <f>MAIZ!D172</f>
        <v>3.1197727272727267</v>
      </c>
      <c r="E172" s="2">
        <f>MAIZ!E172</f>
        <v>2.0817824498126796</v>
      </c>
      <c r="F172" s="3">
        <f t="shared" si="19"/>
        <v>162.30474125440571</v>
      </c>
      <c r="G172" s="3">
        <f t="shared" si="25"/>
        <v>2.08178244981268</v>
      </c>
      <c r="H172" s="3">
        <f t="shared" si="23"/>
        <v>415.1140026818386</v>
      </c>
      <c r="I172" s="4">
        <f t="shared" si="21"/>
        <v>0.23499999999999999</v>
      </c>
      <c r="J172" s="5">
        <f t="shared" si="20"/>
        <v>128.66645291152369</v>
      </c>
      <c r="K172" s="63">
        <f t="shared" si="24"/>
        <v>317.56221205160654</v>
      </c>
      <c r="L172" s="10">
        <f t="shared" si="28"/>
        <v>209.55182751295348</v>
      </c>
      <c r="M172" s="10">
        <f t="shared" si="28"/>
        <v>324.6150744475849</v>
      </c>
    </row>
    <row r="173" spans="1:13" x14ac:dyDescent="0.15">
      <c r="A173" s="34">
        <v>39173</v>
      </c>
      <c r="B173" t="s">
        <v>3</v>
      </c>
      <c r="C173" s="9">
        <v>295</v>
      </c>
      <c r="D173" s="7">
        <f>MAIZ!D173</f>
        <v>3.1123809523809522</v>
      </c>
      <c r="E173" s="2">
        <f>MAIZ!E173</f>
        <v>2.1018101805124889</v>
      </c>
      <c r="F173" s="3">
        <f t="shared" si="19"/>
        <v>170.79891079471426</v>
      </c>
      <c r="G173" s="3">
        <f t="shared" si="25"/>
        <v>2.1018101805124894</v>
      </c>
      <c r="H173" s="3">
        <f t="shared" si="23"/>
        <v>436.83886845029252</v>
      </c>
      <c r="I173" s="4">
        <f t="shared" si="21"/>
        <v>0.23499999999999999</v>
      </c>
      <c r="J173" s="5">
        <f t="shared" si="20"/>
        <v>135.40017280617244</v>
      </c>
      <c r="K173" s="63">
        <f t="shared" si="24"/>
        <v>334.18173436447381</v>
      </c>
      <c r="L173" s="10">
        <f t="shared" si="28"/>
        <v>209.55182751295348</v>
      </c>
      <c r="M173" s="10">
        <f t="shared" si="28"/>
        <v>324.6150744475849</v>
      </c>
    </row>
    <row r="174" spans="1:13" x14ac:dyDescent="0.15">
      <c r="A174" s="34">
        <v>39203</v>
      </c>
      <c r="B174" t="s">
        <v>2</v>
      </c>
      <c r="C174" s="9">
        <v>295</v>
      </c>
      <c r="D174" s="7">
        <f>MAIZ!D174</f>
        <v>3.1021739130434787</v>
      </c>
      <c r="E174" s="2">
        <f>MAIZ!E174</f>
        <v>2.1211122506298321</v>
      </c>
      <c r="F174" s="3">
        <f t="shared" ref="F174:F233" si="29">+(C174*(D174/E174))/(AVERAGE(C$109)*AVERAGE(D$109)/AVERAGE(E$109))*100</f>
        <v>168.68960779073501</v>
      </c>
      <c r="G174" s="3">
        <f t="shared" si="25"/>
        <v>2.1211122506298326</v>
      </c>
      <c r="H174" s="3">
        <f t="shared" si="23"/>
        <v>431.44407094725358</v>
      </c>
      <c r="I174" s="4">
        <f t="shared" si="21"/>
        <v>0.23499999999999999</v>
      </c>
      <c r="J174" s="5">
        <f t="shared" ref="J174:J237" si="30">+F174*(1-I174)/(F$109*(1-I$109))*100</f>
        <v>133.72803104654122</v>
      </c>
      <c r="K174" s="63">
        <f t="shared" si="24"/>
        <v>330.05471427464897</v>
      </c>
      <c r="L174" s="10">
        <f t="shared" si="28"/>
        <v>209.55182751295348</v>
      </c>
      <c r="M174" s="10">
        <f t="shared" si="28"/>
        <v>324.6150744475849</v>
      </c>
    </row>
    <row r="175" spans="1:13" x14ac:dyDescent="0.15">
      <c r="A175" s="34">
        <v>39234</v>
      </c>
      <c r="B175" t="s">
        <v>4</v>
      </c>
      <c r="C175" s="9">
        <v>295</v>
      </c>
      <c r="D175" s="7">
        <f>MAIZ!D175</f>
        <v>3.0959523809523817</v>
      </c>
      <c r="E175" s="2">
        <f>MAIZ!E175</f>
        <v>2.1406162494635268</v>
      </c>
      <c r="F175" s="3">
        <f t="shared" si="29"/>
        <v>166.81737909869062</v>
      </c>
      <c r="G175" s="3">
        <f t="shared" si="25"/>
        <v>2.1406162494635272</v>
      </c>
      <c r="H175" s="3">
        <f t="shared" si="23"/>
        <v>426.65561966552468</v>
      </c>
      <c r="I175" s="4">
        <f t="shared" si="21"/>
        <v>0.23499999999999999</v>
      </c>
      <c r="J175" s="5">
        <f t="shared" si="30"/>
        <v>132.24382902642313</v>
      </c>
      <c r="K175" s="63">
        <f t="shared" si="24"/>
        <v>326.39154904412641</v>
      </c>
      <c r="L175" s="10">
        <f t="shared" si="28"/>
        <v>209.55182751295348</v>
      </c>
      <c r="M175" s="10">
        <f t="shared" si="28"/>
        <v>324.6150744475849</v>
      </c>
    </row>
    <row r="176" spans="1:13" x14ac:dyDescent="0.15">
      <c r="A176" s="34">
        <v>39264</v>
      </c>
      <c r="B176" t="s">
        <v>4</v>
      </c>
      <c r="C176" s="9">
        <v>295</v>
      </c>
      <c r="D176" s="7">
        <f>MAIZ!D176</f>
        <v>3.1336363636363642</v>
      </c>
      <c r="E176" s="2">
        <f>MAIZ!E176</f>
        <v>2.166428097870829</v>
      </c>
      <c r="F176" s="3">
        <f t="shared" si="29"/>
        <v>166.83614945735678</v>
      </c>
      <c r="G176" s="3">
        <f t="shared" si="25"/>
        <v>2.1664280978708295</v>
      </c>
      <c r="H176" s="3">
        <f t="shared" si="23"/>
        <v>426.70362712764495</v>
      </c>
      <c r="I176" s="4">
        <f t="shared" si="21"/>
        <v>0.23499999999999999</v>
      </c>
      <c r="J176" s="5">
        <f t="shared" si="30"/>
        <v>132.25870915531394</v>
      </c>
      <c r="K176" s="63">
        <f t="shared" si="24"/>
        <v>326.42827475264841</v>
      </c>
      <c r="L176" s="10">
        <f t="shared" si="28"/>
        <v>209.55182751295348</v>
      </c>
      <c r="M176" s="10">
        <f t="shared" si="28"/>
        <v>324.6150744475849</v>
      </c>
    </row>
    <row r="177" spans="1:13" x14ac:dyDescent="0.15">
      <c r="A177" s="34">
        <v>39295</v>
      </c>
      <c r="B177" t="s">
        <v>3</v>
      </c>
      <c r="C177" s="9">
        <v>298</v>
      </c>
      <c r="D177" s="7">
        <f>MAIZ!D177</f>
        <v>3.1830434782608701</v>
      </c>
      <c r="E177" s="2">
        <f>MAIZ!E177</f>
        <v>2.1975934684989458</v>
      </c>
      <c r="F177" s="3">
        <f t="shared" si="29"/>
        <v>168.76224832436338</v>
      </c>
      <c r="G177" s="3">
        <f t="shared" si="25"/>
        <v>2.1975934684989462</v>
      </c>
      <c r="H177" s="3">
        <f t="shared" si="23"/>
        <v>431.62985789616442</v>
      </c>
      <c r="I177" s="4">
        <f t="shared" si="21"/>
        <v>0.23499999999999999</v>
      </c>
      <c r="J177" s="5">
        <f t="shared" si="30"/>
        <v>133.78561654729327</v>
      </c>
      <c r="K177" s="63">
        <f t="shared" si="24"/>
        <v>330.19684129056577</v>
      </c>
      <c r="L177" s="10">
        <f t="shared" si="28"/>
        <v>209.55182751295348</v>
      </c>
      <c r="M177" s="10">
        <f t="shared" si="28"/>
        <v>324.6150744475849</v>
      </c>
    </row>
    <row r="178" spans="1:13" x14ac:dyDescent="0.15">
      <c r="A178" s="34">
        <v>39326</v>
      </c>
      <c r="B178" t="s">
        <v>5</v>
      </c>
      <c r="C178" s="9">
        <v>404</v>
      </c>
      <c r="D178" s="7">
        <f>MAIZ!D178</f>
        <v>3.1775000000000002</v>
      </c>
      <c r="E178" s="2">
        <f>MAIZ!E178</f>
        <v>2.2307164301432154</v>
      </c>
      <c r="F178" s="3">
        <f t="shared" si="29"/>
        <v>225.00200162563439</v>
      </c>
      <c r="G178" s="3">
        <f t="shared" si="25"/>
        <v>2.2307164301432159</v>
      </c>
      <c r="H178" s="3">
        <f t="shared" si="23"/>
        <v>575.46982783355554</v>
      </c>
      <c r="I178" s="4">
        <f t="shared" si="21"/>
        <v>0.23499999999999999</v>
      </c>
      <c r="J178" s="5">
        <f t="shared" si="30"/>
        <v>178.36946242861174</v>
      </c>
      <c r="K178" s="63">
        <f t="shared" si="24"/>
        <v>440.23441829267</v>
      </c>
      <c r="L178" s="10">
        <f t="shared" si="28"/>
        <v>209.55182751295348</v>
      </c>
      <c r="M178" s="10">
        <f t="shared" si="28"/>
        <v>324.6150744475849</v>
      </c>
    </row>
    <row r="179" spans="1:13" x14ac:dyDescent="0.15">
      <c r="A179" s="34">
        <v>39356</v>
      </c>
      <c r="B179" t="s">
        <v>6</v>
      </c>
      <c r="C179" s="9">
        <v>430</v>
      </c>
      <c r="D179" s="7">
        <f>MAIZ!D179</f>
        <v>3.1804347826086961</v>
      </c>
      <c r="E179" s="2">
        <f>MAIZ!E179</f>
        <v>2.265917165216802</v>
      </c>
      <c r="F179" s="3">
        <f t="shared" si="29"/>
        <v>235.97975395768538</v>
      </c>
      <c r="G179" s="3">
        <f t="shared" si="25"/>
        <v>2.2659171652168024</v>
      </c>
      <c r="H179" s="3">
        <f t="shared" si="23"/>
        <v>603.54675692255012</v>
      </c>
      <c r="I179" s="4">
        <f>+I178</f>
        <v>0.23499999999999999</v>
      </c>
      <c r="J179" s="5">
        <f t="shared" si="30"/>
        <v>187.07203293018583</v>
      </c>
      <c r="K179" s="63">
        <f t="shared" si="24"/>
        <v>461.71326904575085</v>
      </c>
      <c r="L179" s="10">
        <f t="shared" si="28"/>
        <v>209.55182751295348</v>
      </c>
      <c r="M179" s="10">
        <f t="shared" si="28"/>
        <v>324.6150744475849</v>
      </c>
    </row>
    <row r="180" spans="1:13" x14ac:dyDescent="0.15">
      <c r="A180" s="34">
        <v>39387</v>
      </c>
      <c r="B180" t="s">
        <v>7</v>
      </c>
      <c r="C180" s="9">
        <v>430</v>
      </c>
      <c r="D180" s="7">
        <f>MAIZ!D180</f>
        <v>3.1514772727272713</v>
      </c>
      <c r="E180" s="2">
        <f>MAIZ!E180</f>
        <v>2.3177439173822187</v>
      </c>
      <c r="F180" s="3">
        <f t="shared" si="29"/>
        <v>228.60251731026491</v>
      </c>
      <c r="G180" s="3">
        <f t="shared" si="25"/>
        <v>2.3177439173822192</v>
      </c>
      <c r="H180" s="3">
        <f t="shared" si="23"/>
        <v>584.67858209430108</v>
      </c>
      <c r="I180" s="4">
        <v>0.32</v>
      </c>
      <c r="J180" s="5">
        <f t="shared" si="30"/>
        <v>161.08778421863224</v>
      </c>
      <c r="K180" s="63">
        <f t="shared" si="24"/>
        <v>397.5814358241247</v>
      </c>
      <c r="L180" s="10">
        <f t="shared" ref="L180:M195" si="31">+L179</f>
        <v>209.55182751295348</v>
      </c>
      <c r="M180" s="10">
        <f t="shared" si="31"/>
        <v>324.6150744475849</v>
      </c>
    </row>
    <row r="181" spans="1:13" x14ac:dyDescent="0.15">
      <c r="A181" s="34">
        <v>39417</v>
      </c>
      <c r="B181" t="s">
        <v>26</v>
      </c>
      <c r="C181" s="9">
        <v>477</v>
      </c>
      <c r="D181" s="7">
        <f>MAIZ!D181</f>
        <v>3.1575000000000002</v>
      </c>
      <c r="E181" s="2">
        <f>MAIZ!E181</f>
        <v>2.3923771130598572</v>
      </c>
      <c r="F181" s="3">
        <f t="shared" si="29"/>
        <v>246.14777962329356</v>
      </c>
      <c r="G181" s="3">
        <f t="shared" si="25"/>
        <v>2.3923771130598577</v>
      </c>
      <c r="H181" s="3">
        <f t="shared" si="23"/>
        <v>629.55271214480831</v>
      </c>
      <c r="I181" s="4">
        <f>+I180</f>
        <v>0.32</v>
      </c>
      <c r="J181" s="5">
        <f t="shared" si="30"/>
        <v>173.45128512314986</v>
      </c>
      <c r="K181" s="63">
        <f t="shared" si="24"/>
        <v>428.09584425846964</v>
      </c>
      <c r="L181" s="10">
        <f t="shared" si="31"/>
        <v>209.55182751295348</v>
      </c>
      <c r="M181" s="10">
        <f t="shared" si="31"/>
        <v>324.6150744475849</v>
      </c>
    </row>
    <row r="182" spans="1:13" x14ac:dyDescent="0.15">
      <c r="A182" s="34">
        <v>39448</v>
      </c>
      <c r="B182" t="s">
        <v>14</v>
      </c>
      <c r="C182" s="9">
        <v>514</v>
      </c>
      <c r="D182" s="7">
        <f>MAIZ!D182</f>
        <v>3.1640476190476194</v>
      </c>
      <c r="E182" s="2">
        <f>MAIZ!E182</f>
        <v>2.446922891556957</v>
      </c>
      <c r="F182" s="3">
        <f t="shared" si="29"/>
        <v>259.8661243878708</v>
      </c>
      <c r="G182" s="3">
        <f t="shared" si="25"/>
        <v>2.4469228915569574</v>
      </c>
      <c r="H182" s="3">
        <f t="shared" si="23"/>
        <v>664.63903778989197</v>
      </c>
      <c r="I182" s="4">
        <f t="shared" ref="I182:I245" si="32">+I181</f>
        <v>0.32</v>
      </c>
      <c r="J182" s="5">
        <f t="shared" si="30"/>
        <v>183.1180980142509</v>
      </c>
      <c r="K182" s="63">
        <f t="shared" si="24"/>
        <v>451.95454569712649</v>
      </c>
      <c r="L182" s="10">
        <f t="shared" si="31"/>
        <v>209.55182751295348</v>
      </c>
      <c r="M182" s="10">
        <f t="shared" si="31"/>
        <v>324.6150744475849</v>
      </c>
    </row>
    <row r="183" spans="1:13" x14ac:dyDescent="0.15">
      <c r="A183" s="34">
        <v>39479</v>
      </c>
      <c r="B183" t="s">
        <v>1</v>
      </c>
      <c r="C183" s="9">
        <v>569</v>
      </c>
      <c r="D183" s="7">
        <f>MAIZ!D183</f>
        <v>3.1728571428571435</v>
      </c>
      <c r="E183" s="2">
        <f>MAIZ!E183</f>
        <v>2.4730875485779258</v>
      </c>
      <c r="F183" s="3">
        <f t="shared" si="29"/>
        <v>285.42178469602413</v>
      </c>
      <c r="G183" s="3">
        <f t="shared" si="25"/>
        <v>2.4730875485779262</v>
      </c>
      <c r="H183" s="3">
        <f t="shared" si="23"/>
        <v>730.000729381307</v>
      </c>
      <c r="I183" s="4">
        <f t="shared" si="32"/>
        <v>0.32</v>
      </c>
      <c r="J183" s="5">
        <f t="shared" si="30"/>
        <v>201.1262317028978</v>
      </c>
      <c r="K183" s="63">
        <f t="shared" si="24"/>
        <v>496.40049597928873</v>
      </c>
      <c r="L183" s="10">
        <f t="shared" si="31"/>
        <v>209.55182751295348</v>
      </c>
      <c r="M183" s="10">
        <f t="shared" si="31"/>
        <v>324.6150744475849</v>
      </c>
    </row>
    <row r="184" spans="1:13" x14ac:dyDescent="0.15">
      <c r="A184" s="34">
        <v>39508</v>
      </c>
      <c r="B184" t="s">
        <v>2</v>
      </c>
      <c r="C184" s="9">
        <v>591</v>
      </c>
      <c r="D184" s="7">
        <f>MAIZ!D184</f>
        <v>3.1726666666666676</v>
      </c>
      <c r="E184" s="2">
        <f>MAIZ!E184</f>
        <v>2.5477943374637815</v>
      </c>
      <c r="F184" s="3">
        <f t="shared" si="29"/>
        <v>287.74738260871834</v>
      </c>
      <c r="G184" s="3">
        <f t="shared" si="25"/>
        <v>2.5477943374637819</v>
      </c>
      <c r="H184" s="3">
        <f t="shared" si="23"/>
        <v>735.94872726914332</v>
      </c>
      <c r="I184" s="4">
        <f t="shared" si="32"/>
        <v>0.32</v>
      </c>
      <c r="J184" s="5">
        <f t="shared" si="30"/>
        <v>202.76499499888959</v>
      </c>
      <c r="K184" s="63">
        <f t="shared" si="24"/>
        <v>500.44513454301739</v>
      </c>
      <c r="L184" s="10">
        <f t="shared" si="31"/>
        <v>209.55182751295348</v>
      </c>
      <c r="M184" s="10">
        <f t="shared" si="31"/>
        <v>324.6150744475849</v>
      </c>
    </row>
    <row r="185" spans="1:13" x14ac:dyDescent="0.15">
      <c r="A185" s="34">
        <v>39539</v>
      </c>
      <c r="B185" t="s">
        <v>3</v>
      </c>
      <c r="C185" s="9">
        <v>600</v>
      </c>
      <c r="D185" s="7">
        <f>MAIZ!D185</f>
        <v>3.186818181818182</v>
      </c>
      <c r="E185" s="2">
        <f>MAIZ!E185</f>
        <v>2.6050694411765645</v>
      </c>
      <c r="F185" s="3">
        <f t="shared" si="29"/>
        <v>286.98094119826567</v>
      </c>
      <c r="G185" s="3">
        <f t="shared" si="25"/>
        <v>2.6050694411765649</v>
      </c>
      <c r="H185" s="3">
        <f t="shared" si="23"/>
        <v>733.98846067893078</v>
      </c>
      <c r="I185" s="4">
        <f t="shared" si="32"/>
        <v>0.32</v>
      </c>
      <c r="J185" s="5">
        <f t="shared" si="30"/>
        <v>202.22491193245662</v>
      </c>
      <c r="K185" s="63">
        <f t="shared" si="24"/>
        <v>499.11215326167286</v>
      </c>
      <c r="L185" s="10">
        <f t="shared" si="31"/>
        <v>209.55182751295348</v>
      </c>
      <c r="M185" s="10">
        <f t="shared" si="31"/>
        <v>324.6150744475849</v>
      </c>
    </row>
    <row r="186" spans="1:13" x14ac:dyDescent="0.15">
      <c r="A186" s="34">
        <v>39569</v>
      </c>
      <c r="B186" t="s">
        <v>2</v>
      </c>
      <c r="C186" s="9">
        <v>600</v>
      </c>
      <c r="D186" s="7">
        <f>MAIZ!D186</f>
        <v>3.1829999999999994</v>
      </c>
      <c r="E186" s="2">
        <f>MAIZ!E186</f>
        <v>2.6614640183563356</v>
      </c>
      <c r="F186" s="3">
        <f t="shared" si="29"/>
        <v>280.56346288640918</v>
      </c>
      <c r="G186" s="3">
        <f t="shared" si="25"/>
        <v>2.6614640183563361</v>
      </c>
      <c r="H186" s="3">
        <f t="shared" si="23"/>
        <v>717.57498385398117</v>
      </c>
      <c r="I186" s="4">
        <f t="shared" si="32"/>
        <v>0.32</v>
      </c>
      <c r="J186" s="5">
        <f t="shared" si="30"/>
        <v>197.70275104949039</v>
      </c>
      <c r="K186" s="63">
        <f t="shared" si="24"/>
        <v>487.95098902070714</v>
      </c>
      <c r="L186" s="10">
        <f t="shared" si="31"/>
        <v>209.55182751295348</v>
      </c>
      <c r="M186" s="10">
        <f t="shared" si="31"/>
        <v>324.6150744475849</v>
      </c>
    </row>
    <row r="187" spans="1:13" x14ac:dyDescent="0.15">
      <c r="A187" s="34">
        <v>39600</v>
      </c>
      <c r="B187" t="s">
        <v>4</v>
      </c>
      <c r="C187" s="9">
        <v>600</v>
      </c>
      <c r="D187" s="7">
        <f>MAIZ!D187</f>
        <v>3.0738095238095235</v>
      </c>
      <c r="E187" s="2">
        <f>MAIZ!E187</f>
        <v>2.6904331128688721</v>
      </c>
      <c r="F187" s="3">
        <f t="shared" si="29"/>
        <v>268.02161891896947</v>
      </c>
      <c r="G187" s="3">
        <f t="shared" si="25"/>
        <v>2.6904331128688725</v>
      </c>
      <c r="H187" s="3">
        <f t="shared" si="23"/>
        <v>685.49770126755118</v>
      </c>
      <c r="I187" s="4">
        <f t="shared" si="32"/>
        <v>0.32</v>
      </c>
      <c r="J187" s="5">
        <f t="shared" si="30"/>
        <v>188.86497498953284</v>
      </c>
      <c r="K187" s="63">
        <f t="shared" si="24"/>
        <v>466.13843686193474</v>
      </c>
      <c r="L187" s="10">
        <f t="shared" si="31"/>
        <v>209.55182751295348</v>
      </c>
      <c r="M187" s="10">
        <f t="shared" si="31"/>
        <v>324.6150744475849</v>
      </c>
    </row>
    <row r="188" spans="1:13" x14ac:dyDescent="0.15">
      <c r="A188" s="34">
        <v>39630</v>
      </c>
      <c r="B188" t="s">
        <v>4</v>
      </c>
      <c r="C188" s="9">
        <v>600</v>
      </c>
      <c r="D188" s="7">
        <f>MAIZ!D188</f>
        <v>3.046521739130434</v>
      </c>
      <c r="E188" s="2">
        <f>MAIZ!E188</f>
        <v>2.7219237102945608</v>
      </c>
      <c r="F188" s="3">
        <f t="shared" si="29"/>
        <v>262.56897361491218</v>
      </c>
      <c r="G188" s="3">
        <f t="shared" si="25"/>
        <v>2.7219237102945613</v>
      </c>
      <c r="H188" s="3">
        <f t="shared" si="23"/>
        <v>671.5519015338042</v>
      </c>
      <c r="I188" s="4">
        <f t="shared" si="32"/>
        <v>0.32</v>
      </c>
      <c r="J188" s="5">
        <f t="shared" si="30"/>
        <v>185.02269643330598</v>
      </c>
      <c r="K188" s="63">
        <f t="shared" si="24"/>
        <v>456.65529304298684</v>
      </c>
      <c r="L188" s="10">
        <f t="shared" si="31"/>
        <v>209.55182751295348</v>
      </c>
      <c r="M188" s="10">
        <f t="shared" si="31"/>
        <v>324.6150744475849</v>
      </c>
    </row>
    <row r="189" spans="1:13" x14ac:dyDescent="0.15">
      <c r="A189" s="34">
        <v>39661</v>
      </c>
      <c r="B189" t="s">
        <v>3</v>
      </c>
      <c r="C189" s="9">
        <v>584</v>
      </c>
      <c r="D189" s="7">
        <f>MAIZ!D189</f>
        <v>3.0538095238095231</v>
      </c>
      <c r="E189" s="2">
        <f>MAIZ!E189</f>
        <v>2.7654872347125723</v>
      </c>
      <c r="F189" s="3">
        <f t="shared" si="29"/>
        <v>252.14302422592061</v>
      </c>
      <c r="G189" s="3">
        <f t="shared" si="25"/>
        <v>2.7654872347125727</v>
      </c>
      <c r="H189" s="3">
        <f t="shared" si="23"/>
        <v>644.88627519921249</v>
      </c>
      <c r="I189" s="4">
        <f t="shared" si="32"/>
        <v>0.32</v>
      </c>
      <c r="J189" s="5">
        <f t="shared" si="30"/>
        <v>177.67591344417201</v>
      </c>
      <c r="K189" s="63">
        <f t="shared" si="24"/>
        <v>438.52266713546447</v>
      </c>
      <c r="L189" s="10">
        <f t="shared" si="31"/>
        <v>209.55182751295348</v>
      </c>
      <c r="M189" s="10">
        <f t="shared" si="31"/>
        <v>324.6150744475849</v>
      </c>
    </row>
    <row r="190" spans="1:13" x14ac:dyDescent="0.15">
      <c r="A190" s="34">
        <v>39692</v>
      </c>
      <c r="B190" t="s">
        <v>5</v>
      </c>
      <c r="C190" s="9">
        <v>520</v>
      </c>
      <c r="D190" s="7">
        <f>MAIZ!D190</f>
        <v>3.0990909090909096</v>
      </c>
      <c r="E190" s="2">
        <f>MAIZ!E190</f>
        <v>2.7850998521060863</v>
      </c>
      <c r="F190" s="3">
        <f t="shared" si="29"/>
        <v>226.23547867905475</v>
      </c>
      <c r="G190" s="3">
        <f t="shared" si="25"/>
        <v>2.7850998521060868</v>
      </c>
      <c r="H190" s="3">
        <f t="shared" si="23"/>
        <v>578.62459455758449</v>
      </c>
      <c r="I190" s="4">
        <f t="shared" si="32"/>
        <v>0.32</v>
      </c>
      <c r="J190" s="5">
        <f t="shared" si="30"/>
        <v>159.4198191728054</v>
      </c>
      <c r="K190" s="63">
        <f t="shared" si="24"/>
        <v>393.46472429915741</v>
      </c>
      <c r="L190" s="10">
        <f t="shared" si="31"/>
        <v>209.55182751295348</v>
      </c>
      <c r="M190" s="10">
        <f t="shared" si="31"/>
        <v>324.6150744475849</v>
      </c>
    </row>
    <row r="191" spans="1:13" x14ac:dyDescent="0.15">
      <c r="A191" s="34">
        <v>39722</v>
      </c>
      <c r="B191" t="s">
        <v>6</v>
      </c>
      <c r="C191" s="9">
        <v>453</v>
      </c>
      <c r="D191" s="7">
        <f>MAIZ!D191</f>
        <v>3.2601956521739135</v>
      </c>
      <c r="E191" s="2">
        <f>MAIZ!E191</f>
        <v>2.8078337794407497</v>
      </c>
      <c r="F191" s="3">
        <f t="shared" si="29"/>
        <v>205.6526427362555</v>
      </c>
      <c r="G191" s="3">
        <f t="shared" si="25"/>
        <v>2.8078337794407502</v>
      </c>
      <c r="H191" s="3">
        <f t="shared" si="23"/>
        <v>525.98150262617673</v>
      </c>
      <c r="I191" s="4">
        <f t="shared" si="32"/>
        <v>0.32</v>
      </c>
      <c r="J191" s="5">
        <f t="shared" si="30"/>
        <v>144.91585187632512</v>
      </c>
      <c r="K191" s="63">
        <f t="shared" si="24"/>
        <v>357.66742178580017</v>
      </c>
      <c r="L191" s="10">
        <f t="shared" si="31"/>
        <v>209.55182751295348</v>
      </c>
      <c r="M191" s="10">
        <f t="shared" si="31"/>
        <v>324.6150744475849</v>
      </c>
    </row>
    <row r="192" spans="1:13" x14ac:dyDescent="0.15">
      <c r="A192" s="34">
        <v>39753</v>
      </c>
      <c r="B192" t="s">
        <v>7</v>
      </c>
      <c r="C192" s="9">
        <v>400</v>
      </c>
      <c r="D192" s="7">
        <f>MAIZ!D192</f>
        <v>3.3424999999999998</v>
      </c>
      <c r="E192" s="2">
        <f>MAIZ!E192</f>
        <v>2.8257058004116025</v>
      </c>
      <c r="F192" s="3">
        <f t="shared" si="29"/>
        <v>184.99853425291704</v>
      </c>
      <c r="G192" s="3">
        <f t="shared" si="25"/>
        <v>2.8257058004116029</v>
      </c>
      <c r="H192" s="3">
        <f t="shared" si="23"/>
        <v>473.15612255361037</v>
      </c>
      <c r="I192" s="4">
        <f t="shared" si="32"/>
        <v>0.32</v>
      </c>
      <c r="J192" s="5">
        <f t="shared" si="30"/>
        <v>130.36166144247002</v>
      </c>
      <c r="K192" s="63">
        <f t="shared" si="24"/>
        <v>321.74616333645503</v>
      </c>
      <c r="L192" s="10">
        <f t="shared" si="31"/>
        <v>209.55182751295348</v>
      </c>
      <c r="M192" s="10">
        <f t="shared" si="31"/>
        <v>324.6150744475849</v>
      </c>
    </row>
    <row r="193" spans="1:13" x14ac:dyDescent="0.15">
      <c r="A193" s="34">
        <v>39783</v>
      </c>
      <c r="B193" t="s">
        <v>27</v>
      </c>
      <c r="C193" s="9">
        <v>306</v>
      </c>
      <c r="D193" s="7">
        <f>MAIZ!D193</f>
        <v>3.441363636363636</v>
      </c>
      <c r="E193" s="2">
        <f>MAIZ!E193</f>
        <v>2.8498370439172263</v>
      </c>
      <c r="F193" s="3">
        <f t="shared" si="29"/>
        <v>144.47602616150414</v>
      </c>
      <c r="G193" s="3">
        <f t="shared" si="25"/>
        <v>2.8498370439172267</v>
      </c>
      <c r="H193" s="3">
        <f t="shared" si="23"/>
        <v>369.51490786988967</v>
      </c>
      <c r="I193" s="4">
        <f t="shared" si="32"/>
        <v>0.32</v>
      </c>
      <c r="J193" s="5">
        <f t="shared" si="30"/>
        <v>101.80694071484228</v>
      </c>
      <c r="K193" s="63">
        <f t="shared" si="24"/>
        <v>251.27013735152497</v>
      </c>
      <c r="L193" s="10">
        <f t="shared" si="31"/>
        <v>209.55182751295348</v>
      </c>
      <c r="M193" s="10">
        <f t="shared" si="31"/>
        <v>324.6150744475849</v>
      </c>
    </row>
    <row r="194" spans="1:13" x14ac:dyDescent="0.15">
      <c r="A194" s="34">
        <v>39814</v>
      </c>
      <c r="B194" t="s">
        <v>15</v>
      </c>
      <c r="C194" s="9">
        <v>300</v>
      </c>
      <c r="D194" s="7">
        <f>MAIZ!D194</f>
        <v>3.4767476190476185</v>
      </c>
      <c r="E194" s="2">
        <f>MAIZ!E194</f>
        <v>2.8934660063598896</v>
      </c>
      <c r="F194" s="3">
        <f t="shared" si="29"/>
        <v>140.94181487657161</v>
      </c>
      <c r="G194" s="3">
        <f t="shared" si="25"/>
        <v>2.89346600635989</v>
      </c>
      <c r="H194" s="3">
        <f t="shared" ref="H194:H257" si="33">+(C194*D194)/G194</f>
        <v>360.47573512932223</v>
      </c>
      <c r="I194" s="4">
        <f t="shared" si="32"/>
        <v>0.32</v>
      </c>
      <c r="J194" s="5">
        <f t="shared" si="30"/>
        <v>99.316512037376881</v>
      </c>
      <c r="K194" s="63">
        <f t="shared" ref="K194:K257" si="34">+H194*(1-I194)</f>
        <v>245.12349988793909</v>
      </c>
      <c r="L194" s="10">
        <f t="shared" si="31"/>
        <v>209.55182751295348</v>
      </c>
      <c r="M194" s="10">
        <f t="shared" si="31"/>
        <v>324.6150744475849</v>
      </c>
    </row>
    <row r="195" spans="1:13" x14ac:dyDescent="0.15">
      <c r="A195" s="34">
        <v>39845</v>
      </c>
      <c r="B195" t="s">
        <v>1</v>
      </c>
      <c r="C195" s="9">
        <v>300</v>
      </c>
      <c r="D195" s="7">
        <f>MAIZ!D195</f>
        <v>3.5269999999999997</v>
      </c>
      <c r="E195" s="2">
        <f>MAIZ!E195</f>
        <v>2.9176817522478338</v>
      </c>
      <c r="F195" s="3">
        <f t="shared" si="29"/>
        <v>141.79229062178965</v>
      </c>
      <c r="G195" s="3">
        <f t="shared" ref="G195:G258" si="35">+E195/AVERAGE(E$2:E$13)</f>
        <v>2.9176817522478342</v>
      </c>
      <c r="H195" s="3">
        <f t="shared" si="33"/>
        <v>362.65092969266465</v>
      </c>
      <c r="I195" s="4">
        <f t="shared" si="32"/>
        <v>0.32</v>
      </c>
      <c r="J195" s="5">
        <f t="shared" si="30"/>
        <v>99.915811008100476</v>
      </c>
      <c r="K195" s="63">
        <f t="shared" si="34"/>
        <v>246.60263219101193</v>
      </c>
      <c r="L195" s="10">
        <f t="shared" si="31"/>
        <v>209.55182751295348</v>
      </c>
      <c r="M195" s="10">
        <f t="shared" si="31"/>
        <v>324.6150744475849</v>
      </c>
    </row>
    <row r="196" spans="1:13" x14ac:dyDescent="0.15">
      <c r="A196" s="34">
        <v>39873</v>
      </c>
      <c r="B196" t="s">
        <v>2</v>
      </c>
      <c r="C196" s="9">
        <v>300</v>
      </c>
      <c r="D196" s="7">
        <f>MAIZ!D196</f>
        <v>3.6718181818181819</v>
      </c>
      <c r="E196" s="2">
        <f>MAIZ!E196</f>
        <v>2.9546179892047939</v>
      </c>
      <c r="F196" s="3">
        <f t="shared" si="29"/>
        <v>145.76891068726479</v>
      </c>
      <c r="G196" s="3">
        <f t="shared" si="35"/>
        <v>2.9546179892047943</v>
      </c>
      <c r="H196" s="3">
        <f t="shared" si="33"/>
        <v>372.82161638835902</v>
      </c>
      <c r="I196" s="4">
        <f t="shared" si="32"/>
        <v>0.32</v>
      </c>
      <c r="J196" s="5">
        <f t="shared" si="30"/>
        <v>102.7179888780726</v>
      </c>
      <c r="K196" s="63">
        <f t="shared" si="34"/>
        <v>253.51869914408411</v>
      </c>
      <c r="L196" s="10">
        <f t="shared" ref="L196:M211" si="36">+L195</f>
        <v>209.55182751295348</v>
      </c>
      <c r="M196" s="10">
        <f t="shared" si="36"/>
        <v>324.6150744475849</v>
      </c>
    </row>
    <row r="197" spans="1:13" x14ac:dyDescent="0.15">
      <c r="A197" s="34">
        <v>39904</v>
      </c>
      <c r="B197" t="s">
        <v>3</v>
      </c>
      <c r="C197" s="9">
        <v>300</v>
      </c>
      <c r="D197" s="7">
        <f>MAIZ!D197</f>
        <v>3.7109523809523819</v>
      </c>
      <c r="E197" s="2">
        <f>MAIZ!E197</f>
        <v>2.9905863274524642</v>
      </c>
      <c r="F197" s="3">
        <f t="shared" si="29"/>
        <v>145.55063889534497</v>
      </c>
      <c r="G197" s="3">
        <f t="shared" si="35"/>
        <v>2.9905863274524647</v>
      </c>
      <c r="H197" s="3">
        <f t="shared" si="33"/>
        <v>372.26335988570798</v>
      </c>
      <c r="I197" s="4">
        <f t="shared" si="32"/>
        <v>0.32</v>
      </c>
      <c r="J197" s="5">
        <f t="shared" si="30"/>
        <v>102.56418077599439</v>
      </c>
      <c r="K197" s="63">
        <f t="shared" si="34"/>
        <v>253.13908472228141</v>
      </c>
      <c r="L197" s="10">
        <f t="shared" si="36"/>
        <v>209.55182751295348</v>
      </c>
      <c r="M197" s="10">
        <f t="shared" si="36"/>
        <v>324.6150744475849</v>
      </c>
    </row>
    <row r="198" spans="1:13" x14ac:dyDescent="0.15">
      <c r="A198" s="34">
        <v>39934</v>
      </c>
      <c r="B198" t="s">
        <v>2</v>
      </c>
      <c r="C198" s="9">
        <v>320</v>
      </c>
      <c r="D198" s="7">
        <f>MAIZ!D198</f>
        <v>3.738500000000001</v>
      </c>
      <c r="E198" s="2">
        <f>MAIZ!E198</f>
        <v>3.016321328786232</v>
      </c>
      <c r="F198" s="3">
        <f t="shared" si="29"/>
        <v>155.07206907638019</v>
      </c>
      <c r="G198" s="3">
        <f t="shared" si="35"/>
        <v>3.0163213287862325</v>
      </c>
      <c r="H198" s="3">
        <f t="shared" si="33"/>
        <v>396.61556896572404</v>
      </c>
      <c r="I198" s="4">
        <f t="shared" si="32"/>
        <v>0.32</v>
      </c>
      <c r="J198" s="5">
        <f t="shared" si="30"/>
        <v>109.27358235434043</v>
      </c>
      <c r="K198" s="63">
        <f t="shared" si="34"/>
        <v>269.69858689669235</v>
      </c>
      <c r="L198" s="10">
        <f t="shared" si="36"/>
        <v>209.55182751295348</v>
      </c>
      <c r="M198" s="10">
        <f t="shared" si="36"/>
        <v>324.6150744475849</v>
      </c>
    </row>
    <row r="199" spans="1:13" x14ac:dyDescent="0.15">
      <c r="A199" s="34">
        <v>39965</v>
      </c>
      <c r="B199" t="s">
        <v>4</v>
      </c>
      <c r="C199" s="9">
        <v>343</v>
      </c>
      <c r="D199" s="7">
        <f>MAIZ!D199</f>
        <v>3.7813636363636363</v>
      </c>
      <c r="E199" s="2">
        <f>MAIZ!E199</f>
        <v>3.0373021831118563</v>
      </c>
      <c r="F199" s="3">
        <f t="shared" si="29"/>
        <v>166.96228685422651</v>
      </c>
      <c r="G199" s="3">
        <f t="shared" si="35"/>
        <v>3.0373021831118567</v>
      </c>
      <c r="H199" s="3">
        <f t="shared" si="33"/>
        <v>427.02623877347713</v>
      </c>
      <c r="I199" s="4">
        <f t="shared" si="32"/>
        <v>0.32</v>
      </c>
      <c r="J199" s="5">
        <f t="shared" si="30"/>
        <v>117.65218141023215</v>
      </c>
      <c r="K199" s="63">
        <f t="shared" si="34"/>
        <v>290.3778423659644</v>
      </c>
      <c r="L199" s="10">
        <f t="shared" si="36"/>
        <v>209.55182751295348</v>
      </c>
      <c r="M199" s="10">
        <f t="shared" si="36"/>
        <v>324.6150744475849</v>
      </c>
    </row>
    <row r="200" spans="1:13" x14ac:dyDescent="0.15">
      <c r="A200" s="34">
        <v>39995</v>
      </c>
      <c r="B200" t="s">
        <v>4</v>
      </c>
      <c r="C200" s="9">
        <v>350</v>
      </c>
      <c r="D200" s="7">
        <f>MAIZ!D200</f>
        <v>3.8213043478260862</v>
      </c>
      <c r="E200" s="2">
        <f>MAIZ!E200</f>
        <v>3.0741214084616399</v>
      </c>
      <c r="F200" s="3">
        <f t="shared" si="29"/>
        <v>170.10711566262816</v>
      </c>
      <c r="G200" s="3">
        <f t="shared" si="35"/>
        <v>3.0741214084616404</v>
      </c>
      <c r="H200" s="3">
        <f t="shared" si="33"/>
        <v>435.06951874370623</v>
      </c>
      <c r="I200" s="4">
        <f t="shared" si="32"/>
        <v>0.32</v>
      </c>
      <c r="J200" s="5">
        <f t="shared" si="30"/>
        <v>119.86822658091931</v>
      </c>
      <c r="K200" s="63">
        <f t="shared" si="34"/>
        <v>295.8472727457202</v>
      </c>
      <c r="L200" s="10">
        <f t="shared" si="36"/>
        <v>209.55182751295348</v>
      </c>
      <c r="M200" s="10">
        <f t="shared" si="36"/>
        <v>324.6150744475849</v>
      </c>
    </row>
    <row r="201" spans="1:13" x14ac:dyDescent="0.15">
      <c r="A201" s="34">
        <v>40026</v>
      </c>
      <c r="B201" t="s">
        <v>3</v>
      </c>
      <c r="C201" s="9">
        <v>350</v>
      </c>
      <c r="D201" s="7">
        <f>MAIZ!D201</f>
        <v>3.8514285714285714</v>
      </c>
      <c r="E201" s="2">
        <f>MAIZ!E201</f>
        <v>3.1148324411634105</v>
      </c>
      <c r="F201" s="3">
        <f t="shared" si="29"/>
        <v>169.20727299853607</v>
      </c>
      <c r="G201" s="3">
        <f t="shared" si="35"/>
        <v>3.114832441163411</v>
      </c>
      <c r="H201" s="3">
        <f t="shared" si="33"/>
        <v>432.76806231558089</v>
      </c>
      <c r="I201" s="4">
        <f t="shared" si="32"/>
        <v>0.32</v>
      </c>
      <c r="J201" s="5">
        <f t="shared" si="30"/>
        <v>119.2341405585539</v>
      </c>
      <c r="K201" s="63">
        <f t="shared" si="34"/>
        <v>294.28228237459496</v>
      </c>
      <c r="L201" s="10">
        <f t="shared" si="36"/>
        <v>209.55182751295348</v>
      </c>
      <c r="M201" s="10">
        <f t="shared" si="36"/>
        <v>324.6150744475849</v>
      </c>
    </row>
    <row r="202" spans="1:13" x14ac:dyDescent="0.15">
      <c r="A202" s="34">
        <v>40057</v>
      </c>
      <c r="B202" t="s">
        <v>5</v>
      </c>
      <c r="C202" s="9">
        <v>344</v>
      </c>
      <c r="D202" s="7">
        <f>MAIZ!D202</f>
        <v>3.8545454545454536</v>
      </c>
      <c r="E202" s="2">
        <f>MAIZ!E202</f>
        <v>3.1536928413654786</v>
      </c>
      <c r="F202" s="3">
        <f t="shared" si="29"/>
        <v>164.39024588480132</v>
      </c>
      <c r="G202" s="3">
        <f t="shared" si="35"/>
        <v>3.153692841365479</v>
      </c>
      <c r="H202" s="3">
        <f t="shared" si="33"/>
        <v>420.44793296658628</v>
      </c>
      <c r="I202" s="4">
        <f t="shared" si="32"/>
        <v>0.32</v>
      </c>
      <c r="J202" s="5">
        <f t="shared" si="30"/>
        <v>115.83975875820197</v>
      </c>
      <c r="K202" s="63">
        <f t="shared" si="34"/>
        <v>285.90459441727864</v>
      </c>
      <c r="L202" s="10">
        <f t="shared" si="36"/>
        <v>209.55182751295348</v>
      </c>
      <c r="M202" s="10">
        <f t="shared" si="36"/>
        <v>324.6150744475849</v>
      </c>
    </row>
    <row r="203" spans="1:13" x14ac:dyDescent="0.15">
      <c r="A203" s="34">
        <v>40087</v>
      </c>
      <c r="B203" t="s">
        <v>6</v>
      </c>
      <c r="C203" s="9">
        <v>312</v>
      </c>
      <c r="D203" s="7">
        <f>MAIZ!D203</f>
        <v>3.8388636363636364</v>
      </c>
      <c r="E203" s="2">
        <f>MAIZ!E203</f>
        <v>3.1887722501758722</v>
      </c>
      <c r="F203" s="3">
        <f t="shared" si="29"/>
        <v>146.85799708327528</v>
      </c>
      <c r="G203" s="3">
        <f t="shared" si="35"/>
        <v>3.1887722501758726</v>
      </c>
      <c r="H203" s="3">
        <f t="shared" si="33"/>
        <v>375.60708654542373</v>
      </c>
      <c r="I203" s="4">
        <f t="shared" si="32"/>
        <v>0.32</v>
      </c>
      <c r="J203" s="5">
        <f t="shared" si="30"/>
        <v>103.48542799650487</v>
      </c>
      <c r="K203" s="63">
        <f t="shared" si="34"/>
        <v>255.4128188508881</v>
      </c>
      <c r="L203" s="10">
        <f t="shared" si="36"/>
        <v>209.55182751295348</v>
      </c>
      <c r="M203" s="10">
        <f t="shared" si="36"/>
        <v>324.6150744475849</v>
      </c>
    </row>
    <row r="204" spans="1:13" x14ac:dyDescent="0.15">
      <c r="A204" s="34">
        <v>40118</v>
      </c>
      <c r="B204" t="s">
        <v>7</v>
      </c>
      <c r="C204" s="9">
        <v>327</v>
      </c>
      <c r="D204" s="7">
        <f>MAIZ!D204</f>
        <v>3.8219047619047606</v>
      </c>
      <c r="E204" s="2">
        <f>MAIZ!E204</f>
        <v>3.2279681982824964</v>
      </c>
      <c r="F204" s="3">
        <f t="shared" si="29"/>
        <v>151.37779998628881</v>
      </c>
      <c r="G204" s="3">
        <f t="shared" si="35"/>
        <v>3.2279681982824968</v>
      </c>
      <c r="H204" s="3">
        <f t="shared" si="33"/>
        <v>387.16702903325296</v>
      </c>
      <c r="I204" s="4">
        <f t="shared" si="32"/>
        <v>0.32</v>
      </c>
      <c r="J204" s="5">
        <f t="shared" si="30"/>
        <v>106.67036682971647</v>
      </c>
      <c r="K204" s="63">
        <f t="shared" si="34"/>
        <v>263.27357974261201</v>
      </c>
      <c r="L204" s="10">
        <f t="shared" si="36"/>
        <v>209.55182751295348</v>
      </c>
      <c r="M204" s="10">
        <f t="shared" si="36"/>
        <v>324.6150744475849</v>
      </c>
    </row>
    <row r="205" spans="1:13" x14ac:dyDescent="0.15">
      <c r="A205" s="34">
        <v>40148</v>
      </c>
      <c r="B205" t="s">
        <v>28</v>
      </c>
      <c r="C205" s="9">
        <v>370</v>
      </c>
      <c r="D205" s="7">
        <f>MAIZ!D205</f>
        <v>3.8243478260869557</v>
      </c>
      <c r="E205" s="2">
        <f>MAIZ!E205</f>
        <v>3.2924590840370964</v>
      </c>
      <c r="F205" s="3">
        <f t="shared" si="29"/>
        <v>168.03608148582674</v>
      </c>
      <c r="G205" s="3">
        <f t="shared" si="35"/>
        <v>3.2924590840370969</v>
      </c>
      <c r="H205" s="3">
        <f t="shared" si="33"/>
        <v>429.772598393885</v>
      </c>
      <c r="I205" s="4">
        <f t="shared" si="32"/>
        <v>0.32</v>
      </c>
      <c r="J205" s="5">
        <f t="shared" si="30"/>
        <v>118.40884498483126</v>
      </c>
      <c r="K205" s="63">
        <f t="shared" si="34"/>
        <v>292.2453669078418</v>
      </c>
      <c r="L205" s="10">
        <f t="shared" si="36"/>
        <v>209.55182751295348</v>
      </c>
      <c r="M205" s="10">
        <f t="shared" si="36"/>
        <v>324.6150744475849</v>
      </c>
    </row>
    <row r="206" spans="1:13" x14ac:dyDescent="0.15">
      <c r="A206" s="34">
        <v>40179</v>
      </c>
      <c r="B206" t="s">
        <v>16</v>
      </c>
      <c r="C206" s="9">
        <v>370</v>
      </c>
      <c r="D206" s="7">
        <f>MAIZ!D206</f>
        <v>3.829047619047619</v>
      </c>
      <c r="E206" s="2">
        <f>MAIZ!E206</f>
        <v>3.3745532753699323</v>
      </c>
      <c r="F206" s="3">
        <f t="shared" si="29"/>
        <v>164.14967449936401</v>
      </c>
      <c r="G206" s="3">
        <f t="shared" si="35"/>
        <v>3.3745532753699328</v>
      </c>
      <c r="H206" s="3">
        <f t="shared" si="33"/>
        <v>419.83264255690534</v>
      </c>
      <c r="I206" s="4">
        <f t="shared" si="32"/>
        <v>0.32</v>
      </c>
      <c r="J206" s="5">
        <f t="shared" si="30"/>
        <v>115.67023695291969</v>
      </c>
      <c r="K206" s="63">
        <f t="shared" si="34"/>
        <v>285.48619693869563</v>
      </c>
      <c r="L206" s="10">
        <f t="shared" si="36"/>
        <v>209.55182751295348</v>
      </c>
      <c r="M206" s="10">
        <f t="shared" si="36"/>
        <v>324.6150744475849</v>
      </c>
    </row>
    <row r="207" spans="1:13" x14ac:dyDescent="0.15">
      <c r="A207" s="34">
        <v>40210</v>
      </c>
      <c r="B207" t="s">
        <v>1</v>
      </c>
      <c r="C207" s="9">
        <v>378</v>
      </c>
      <c r="D207" s="7">
        <f>MAIZ!D207</f>
        <v>3.8731578947368432</v>
      </c>
      <c r="E207" s="2">
        <f>MAIZ!E207</f>
        <v>3.4527698770150042</v>
      </c>
      <c r="F207" s="3">
        <f t="shared" si="29"/>
        <v>165.78803764672764</v>
      </c>
      <c r="G207" s="3">
        <f t="shared" si="35"/>
        <v>3.4527698770150046</v>
      </c>
      <c r="H207" s="3">
        <f t="shared" si="33"/>
        <v>424.02295442760101</v>
      </c>
      <c r="I207" s="4">
        <f t="shared" si="32"/>
        <v>0.32</v>
      </c>
      <c r="J207" s="5">
        <f t="shared" si="30"/>
        <v>116.82473119147645</v>
      </c>
      <c r="K207" s="63">
        <f t="shared" si="34"/>
        <v>288.33560901076868</v>
      </c>
      <c r="L207" s="10">
        <f t="shared" si="36"/>
        <v>209.55182751295348</v>
      </c>
      <c r="M207" s="10">
        <f t="shared" si="36"/>
        <v>324.6150744475849</v>
      </c>
    </row>
    <row r="208" spans="1:13" x14ac:dyDescent="0.15">
      <c r="A208" s="34">
        <v>40238</v>
      </c>
      <c r="B208" t="s">
        <v>2</v>
      </c>
      <c r="C208" s="9">
        <v>398</v>
      </c>
      <c r="D208" s="7">
        <f>MAIZ!D208</f>
        <v>3.8808695652173908</v>
      </c>
      <c r="E208" s="2">
        <f>MAIZ!E208</f>
        <v>3.5439095697738785</v>
      </c>
      <c r="F208" s="3">
        <f t="shared" si="29"/>
        <v>170.4093070605245</v>
      </c>
      <c r="G208" s="3">
        <f t="shared" si="35"/>
        <v>3.5439095697738789</v>
      </c>
      <c r="H208" s="3">
        <f t="shared" si="33"/>
        <v>435.8424097867358</v>
      </c>
      <c r="I208" s="4">
        <f t="shared" si="32"/>
        <v>0.32</v>
      </c>
      <c r="J208" s="5">
        <f t="shared" si="30"/>
        <v>120.08116974213124</v>
      </c>
      <c r="K208" s="63">
        <f t="shared" si="34"/>
        <v>296.37283865498034</v>
      </c>
      <c r="L208" s="10">
        <f t="shared" si="36"/>
        <v>209.55182751295348</v>
      </c>
      <c r="M208" s="10">
        <f t="shared" si="36"/>
        <v>324.6150744475849</v>
      </c>
    </row>
    <row r="209" spans="1:13" x14ac:dyDescent="0.15">
      <c r="A209" s="34">
        <v>40269</v>
      </c>
      <c r="B209" t="s">
        <v>3</v>
      </c>
      <c r="C209" s="9">
        <v>409</v>
      </c>
      <c r="D209" s="7">
        <f>MAIZ!D209</f>
        <v>3.8927272727272735</v>
      </c>
      <c r="E209" s="2">
        <f>MAIZ!E209</f>
        <v>3.6045967842793014</v>
      </c>
      <c r="F209" s="3">
        <f t="shared" si="29"/>
        <v>172.69685084901678</v>
      </c>
      <c r="G209" s="3">
        <f t="shared" si="35"/>
        <v>3.6045967842793019</v>
      </c>
      <c r="H209" s="3">
        <f t="shared" si="33"/>
        <v>441.6930796501785</v>
      </c>
      <c r="I209" s="4">
        <f t="shared" si="32"/>
        <v>0.32</v>
      </c>
      <c r="J209" s="5">
        <f t="shared" si="30"/>
        <v>121.69311769671648</v>
      </c>
      <c r="K209" s="63">
        <f t="shared" si="34"/>
        <v>300.35129416212135</v>
      </c>
      <c r="L209" s="10">
        <f t="shared" si="36"/>
        <v>209.55182751295348</v>
      </c>
      <c r="M209" s="10">
        <f t="shared" si="36"/>
        <v>324.6150744475849</v>
      </c>
    </row>
    <row r="210" spans="1:13" x14ac:dyDescent="0.15">
      <c r="A210" s="34">
        <v>40299</v>
      </c>
      <c r="B210" t="s">
        <v>2</v>
      </c>
      <c r="C210" s="9">
        <v>420</v>
      </c>
      <c r="D210" s="7">
        <f>MAIZ!D210</f>
        <v>3.9185000000000016</v>
      </c>
      <c r="E210" s="2">
        <f>MAIZ!E210</f>
        <v>3.652207036722086</v>
      </c>
      <c r="F210" s="3">
        <f t="shared" si="29"/>
        <v>176.18850721343048</v>
      </c>
      <c r="G210" s="3">
        <f t="shared" si="35"/>
        <v>3.6522070367220865</v>
      </c>
      <c r="H210" s="3">
        <f t="shared" si="33"/>
        <v>450.6234130355067</v>
      </c>
      <c r="I210" s="4">
        <f t="shared" si="32"/>
        <v>0.32</v>
      </c>
      <c r="J210" s="5">
        <f t="shared" si="30"/>
        <v>124.15355948718417</v>
      </c>
      <c r="K210" s="63">
        <f t="shared" si="34"/>
        <v>306.42392086414452</v>
      </c>
      <c r="L210" s="10">
        <f t="shared" si="36"/>
        <v>209.55182751295348</v>
      </c>
      <c r="M210" s="10">
        <f t="shared" si="36"/>
        <v>324.6150744475849</v>
      </c>
    </row>
    <row r="211" spans="1:13" x14ac:dyDescent="0.15">
      <c r="A211" s="34">
        <v>40330</v>
      </c>
      <c r="B211" t="s">
        <v>4</v>
      </c>
      <c r="C211" s="9">
        <v>414</v>
      </c>
      <c r="D211" s="7">
        <f>MAIZ!D211</f>
        <v>3.9459090909090917</v>
      </c>
      <c r="E211" s="2">
        <f>MAIZ!E211</f>
        <v>3.7083609801231829</v>
      </c>
      <c r="F211" s="3">
        <f t="shared" si="29"/>
        <v>172.23810440225586</v>
      </c>
      <c r="G211" s="3">
        <f t="shared" si="35"/>
        <v>3.7083609801231834</v>
      </c>
      <c r="H211" s="3">
        <f t="shared" si="33"/>
        <v>440.51978013804342</v>
      </c>
      <c r="I211" s="4">
        <f t="shared" si="32"/>
        <v>0.32</v>
      </c>
      <c r="J211" s="5">
        <f t="shared" si="30"/>
        <v>121.36985595184868</v>
      </c>
      <c r="K211" s="63">
        <f t="shared" si="34"/>
        <v>299.55345049386949</v>
      </c>
      <c r="L211" s="10">
        <f t="shared" si="36"/>
        <v>209.55182751295348</v>
      </c>
      <c r="M211" s="10">
        <f t="shared" si="36"/>
        <v>324.6150744475849</v>
      </c>
    </row>
    <row r="212" spans="1:13" x14ac:dyDescent="0.15">
      <c r="A212" s="34">
        <v>40360</v>
      </c>
      <c r="B212" t="s">
        <v>4</v>
      </c>
      <c r="C212" s="9">
        <v>380</v>
      </c>
      <c r="D212" s="7">
        <f>MAIZ!D212</f>
        <v>3.9540909090909078</v>
      </c>
      <c r="E212" s="2">
        <f>MAIZ!E212</f>
        <v>3.7746286156846667</v>
      </c>
      <c r="F212" s="3">
        <f t="shared" si="29"/>
        <v>155.63950539083621</v>
      </c>
      <c r="G212" s="3">
        <f t="shared" si="35"/>
        <v>3.7746286156846671</v>
      </c>
      <c r="H212" s="3">
        <f t="shared" si="33"/>
        <v>398.06685595796068</v>
      </c>
      <c r="I212" s="4">
        <f t="shared" si="32"/>
        <v>0.32</v>
      </c>
      <c r="J212" s="5">
        <f t="shared" si="30"/>
        <v>109.67343385053742</v>
      </c>
      <c r="K212" s="63">
        <f t="shared" si="34"/>
        <v>270.68546205141325</v>
      </c>
      <c r="L212" s="10">
        <f t="shared" ref="L212:M227" si="37">+L211</f>
        <v>209.55182751295348</v>
      </c>
      <c r="M212" s="10">
        <f t="shared" si="37"/>
        <v>324.6150744475849</v>
      </c>
    </row>
    <row r="213" spans="1:13" x14ac:dyDescent="0.15">
      <c r="A213" s="34">
        <v>40391</v>
      </c>
      <c r="B213" t="s">
        <v>3</v>
      </c>
      <c r="C213" s="9">
        <v>425</v>
      </c>
      <c r="D213" s="7">
        <f>MAIZ!D213</f>
        <v>3.9588636363636365</v>
      </c>
      <c r="E213" s="2">
        <f>MAIZ!E213</f>
        <v>3.8355438350078437</v>
      </c>
      <c r="F213" s="3">
        <f t="shared" si="29"/>
        <v>171.51272440220555</v>
      </c>
      <c r="G213" s="3">
        <f t="shared" si="35"/>
        <v>3.8355438350078441</v>
      </c>
      <c r="H213" s="3">
        <f t="shared" si="33"/>
        <v>438.6645330703422</v>
      </c>
      <c r="I213" s="4">
        <f t="shared" si="32"/>
        <v>0.32</v>
      </c>
      <c r="J213" s="5">
        <f t="shared" si="30"/>
        <v>120.85870735077695</v>
      </c>
      <c r="K213" s="63">
        <f t="shared" si="34"/>
        <v>298.29188248783265</v>
      </c>
      <c r="L213" s="10">
        <f t="shared" si="37"/>
        <v>209.55182751295348</v>
      </c>
      <c r="M213" s="10">
        <f t="shared" si="37"/>
        <v>324.6150744475849</v>
      </c>
    </row>
    <row r="214" spans="1:13" x14ac:dyDescent="0.15">
      <c r="A214" s="34">
        <v>40422</v>
      </c>
      <c r="B214" t="s">
        <v>5</v>
      </c>
      <c r="C214" s="9">
        <v>462</v>
      </c>
      <c r="D214" s="7">
        <f>MAIZ!D214</f>
        <v>3.9720454545454533</v>
      </c>
      <c r="E214" s="2">
        <f>MAIZ!E214</f>
        <v>3.9011879927864554</v>
      </c>
      <c r="F214" s="3">
        <f t="shared" si="29"/>
        <v>183.91753170649554</v>
      </c>
      <c r="G214" s="3">
        <f t="shared" si="35"/>
        <v>3.9011879927864559</v>
      </c>
      <c r="H214" s="3">
        <f t="shared" si="33"/>
        <v>470.3913278194201</v>
      </c>
      <c r="I214" s="4">
        <f t="shared" si="32"/>
        <v>0.32</v>
      </c>
      <c r="J214" s="5">
        <f t="shared" si="30"/>
        <v>129.59991871545799</v>
      </c>
      <c r="K214" s="63">
        <f t="shared" si="34"/>
        <v>319.86610291720564</v>
      </c>
      <c r="L214" s="10">
        <f t="shared" si="37"/>
        <v>209.55182751295348</v>
      </c>
      <c r="M214" s="10">
        <f t="shared" si="37"/>
        <v>324.6150744475849</v>
      </c>
    </row>
    <row r="215" spans="1:13" x14ac:dyDescent="0.15">
      <c r="A215" s="34">
        <v>40452</v>
      </c>
      <c r="B215" t="s">
        <v>6</v>
      </c>
      <c r="C215" s="9">
        <v>553</v>
      </c>
      <c r="D215" s="7">
        <f>MAIZ!D215</f>
        <v>3.9762499999999998</v>
      </c>
      <c r="E215" s="2">
        <f>MAIZ!E215</f>
        <v>3.9856148223013856</v>
      </c>
      <c r="F215" s="3">
        <f t="shared" si="29"/>
        <v>215.70852613394774</v>
      </c>
      <c r="G215" s="3">
        <f t="shared" si="35"/>
        <v>3.9856148223013861</v>
      </c>
      <c r="H215" s="3">
        <f t="shared" si="33"/>
        <v>551.70064043728235</v>
      </c>
      <c r="I215" s="4">
        <f t="shared" si="32"/>
        <v>0.32</v>
      </c>
      <c r="J215" s="5">
        <f t="shared" si="30"/>
        <v>152.00186297521705</v>
      </c>
      <c r="K215" s="63">
        <f t="shared" si="34"/>
        <v>375.15643549735194</v>
      </c>
      <c r="L215" s="10">
        <f t="shared" si="37"/>
        <v>209.55182751295348</v>
      </c>
      <c r="M215" s="10">
        <f t="shared" si="37"/>
        <v>324.6150744475849</v>
      </c>
    </row>
    <row r="216" spans="1:13" x14ac:dyDescent="0.15">
      <c r="A216" s="34">
        <v>40483</v>
      </c>
      <c r="B216" t="s">
        <v>7</v>
      </c>
      <c r="C216" s="9">
        <v>612</v>
      </c>
      <c r="D216" s="7">
        <f>MAIZ!D216</f>
        <v>3.9885227272727275</v>
      </c>
      <c r="E216" s="2">
        <f>MAIZ!E216</f>
        <v>4.0533007857478616</v>
      </c>
      <c r="F216" s="3">
        <f t="shared" si="29"/>
        <v>235.46072866616763</v>
      </c>
      <c r="G216" s="3">
        <f t="shared" si="35"/>
        <v>4.0533007857478625</v>
      </c>
      <c r="H216" s="3">
        <f t="shared" si="33"/>
        <v>602.21928697564749</v>
      </c>
      <c r="I216" s="4">
        <f t="shared" si="32"/>
        <v>0.32</v>
      </c>
      <c r="J216" s="5">
        <f t="shared" si="30"/>
        <v>165.92051346424248</v>
      </c>
      <c r="K216" s="63">
        <f t="shared" si="34"/>
        <v>409.50911514344028</v>
      </c>
      <c r="L216" s="10">
        <f t="shared" si="37"/>
        <v>209.55182751295348</v>
      </c>
      <c r="M216" s="10">
        <f t="shared" si="37"/>
        <v>324.6150744475849</v>
      </c>
    </row>
    <row r="217" spans="1:13" x14ac:dyDescent="0.15">
      <c r="A217" s="34">
        <v>40513</v>
      </c>
      <c r="B217" t="s">
        <v>29</v>
      </c>
      <c r="C217" s="9">
        <v>618</v>
      </c>
      <c r="D217" s="7">
        <f>MAIZ!D217</f>
        <v>4.0023</v>
      </c>
      <c r="E217" s="2">
        <f>MAIZ!E217</f>
        <v>4.1175779395066838</v>
      </c>
      <c r="F217" s="3">
        <f t="shared" si="29"/>
        <v>234.86597700326794</v>
      </c>
      <c r="G217" s="3">
        <f t="shared" si="35"/>
        <v>4.1175779395066847</v>
      </c>
      <c r="H217" s="3">
        <f t="shared" si="33"/>
        <v>600.69813767662015</v>
      </c>
      <c r="I217" s="4">
        <f t="shared" si="32"/>
        <v>0.32</v>
      </c>
      <c r="J217" s="5">
        <f t="shared" si="30"/>
        <v>165.50141384686236</v>
      </c>
      <c r="K217" s="63">
        <f t="shared" si="34"/>
        <v>408.47473362010169</v>
      </c>
      <c r="L217" s="10">
        <f t="shared" si="37"/>
        <v>209.55182751295348</v>
      </c>
      <c r="M217" s="10">
        <f t="shared" si="37"/>
        <v>324.6150744475849</v>
      </c>
    </row>
    <row r="218" spans="1:13" x14ac:dyDescent="0.15">
      <c r="A218" s="34">
        <v>40544</v>
      </c>
      <c r="B218" t="s">
        <v>17</v>
      </c>
      <c r="C218" s="9">
        <v>649</v>
      </c>
      <c r="D218" s="7">
        <f>MAIZ!D218</f>
        <v>4.0171428571428578</v>
      </c>
      <c r="E218" s="2">
        <f>MAIZ!E218</f>
        <v>4.1989893003904371</v>
      </c>
      <c r="F218" s="3">
        <f t="shared" si="29"/>
        <v>242.76217982280758</v>
      </c>
      <c r="G218" s="3">
        <f t="shared" si="35"/>
        <v>4.1989893003904379</v>
      </c>
      <c r="H218" s="3">
        <f t="shared" si="33"/>
        <v>620.89363124676083</v>
      </c>
      <c r="I218" s="4">
        <f t="shared" si="32"/>
        <v>0.32</v>
      </c>
      <c r="J218" s="5">
        <f t="shared" si="30"/>
        <v>171.06557749171932</v>
      </c>
      <c r="K218" s="63">
        <f t="shared" si="34"/>
        <v>422.20766924779736</v>
      </c>
      <c r="L218" s="10">
        <f t="shared" si="37"/>
        <v>209.55182751295348</v>
      </c>
      <c r="M218" s="10">
        <f t="shared" si="37"/>
        <v>324.6150744475849</v>
      </c>
    </row>
    <row r="219" spans="1:13" x14ac:dyDescent="0.15">
      <c r="A219" s="34">
        <v>40575</v>
      </c>
      <c r="B219" t="s">
        <v>1</v>
      </c>
      <c r="C219" s="9">
        <v>680</v>
      </c>
      <c r="D219" s="7">
        <f>MAIZ!D219</f>
        <v>4.0461904761904766</v>
      </c>
      <c r="E219" s="2">
        <f>MAIZ!E219</f>
        <v>4.2693255250399886</v>
      </c>
      <c r="F219" s="3">
        <f t="shared" si="29"/>
        <v>251.97635521517734</v>
      </c>
      <c r="G219" s="3">
        <f t="shared" si="35"/>
        <v>4.2693255250399895</v>
      </c>
      <c r="H219" s="3">
        <f t="shared" si="33"/>
        <v>644.45999904955772</v>
      </c>
      <c r="I219" s="4">
        <f t="shared" si="32"/>
        <v>0.32</v>
      </c>
      <c r="J219" s="5">
        <f t="shared" si="30"/>
        <v>177.55846792364824</v>
      </c>
      <c r="K219" s="63">
        <f t="shared" si="34"/>
        <v>438.23279935369919</v>
      </c>
      <c r="L219" s="10">
        <f t="shared" si="37"/>
        <v>209.55182751295348</v>
      </c>
      <c r="M219" s="10">
        <f t="shared" si="37"/>
        <v>324.6150744475849</v>
      </c>
    </row>
    <row r="220" spans="1:13" x14ac:dyDescent="0.15">
      <c r="A220" s="34">
        <v>40603</v>
      </c>
      <c r="B220" t="s">
        <v>2</v>
      </c>
      <c r="C220" s="9">
        <v>651</v>
      </c>
      <c r="D220" s="7">
        <f>MAIZ!D220</f>
        <v>4.0627173913043473</v>
      </c>
      <c r="E220" s="2">
        <f>MAIZ!E220</f>
        <v>4.3547120355407953</v>
      </c>
      <c r="F220" s="3">
        <f t="shared" si="29"/>
        <v>237.46629888586952</v>
      </c>
      <c r="G220" s="3">
        <f t="shared" si="35"/>
        <v>4.3547120355407962</v>
      </c>
      <c r="H220" s="3">
        <f t="shared" si="33"/>
        <v>607.34877533886765</v>
      </c>
      <c r="I220" s="4">
        <f t="shared" si="32"/>
        <v>0.32</v>
      </c>
      <c r="J220" s="5">
        <f t="shared" si="30"/>
        <v>167.33376501802201</v>
      </c>
      <c r="K220" s="63">
        <f t="shared" si="34"/>
        <v>412.99716723042997</v>
      </c>
      <c r="L220" s="10">
        <f t="shared" si="37"/>
        <v>209.55182751295348</v>
      </c>
      <c r="M220" s="10">
        <f t="shared" si="37"/>
        <v>324.6150744475849</v>
      </c>
    </row>
    <row r="221" spans="1:13" x14ac:dyDescent="0.15">
      <c r="A221" s="34">
        <v>40634</v>
      </c>
      <c r="B221" t="s">
        <v>3</v>
      </c>
      <c r="C221" s="9">
        <v>622</v>
      </c>
      <c r="D221" s="7">
        <f>MAIZ!D221</f>
        <v>4.0891071428571424</v>
      </c>
      <c r="E221" s="2">
        <f>MAIZ!E221</f>
        <v>4.4548704123582246</v>
      </c>
      <c r="F221" s="3">
        <f t="shared" si="29"/>
        <v>223.22746262049807</v>
      </c>
      <c r="G221" s="3">
        <f t="shared" si="35"/>
        <v>4.4548704123582255</v>
      </c>
      <c r="H221" s="3">
        <f t="shared" si="33"/>
        <v>570.93122973935351</v>
      </c>
      <c r="I221" s="4">
        <f t="shared" si="32"/>
        <v>0.32</v>
      </c>
      <c r="J221" s="5">
        <f t="shared" si="30"/>
        <v>157.30018091392608</v>
      </c>
      <c r="K221" s="63">
        <f t="shared" si="34"/>
        <v>388.23323622276035</v>
      </c>
      <c r="L221" s="10">
        <f t="shared" si="37"/>
        <v>209.55182751295348</v>
      </c>
      <c r="M221" s="10">
        <f t="shared" si="37"/>
        <v>324.6150744475849</v>
      </c>
    </row>
    <row r="222" spans="1:13" x14ac:dyDescent="0.15">
      <c r="A222" s="34">
        <v>40664</v>
      </c>
      <c r="B222" t="s">
        <v>2</v>
      </c>
      <c r="C222" s="9">
        <v>632</v>
      </c>
      <c r="D222" s="7">
        <f>MAIZ!D222</f>
        <v>4.1158333333333355</v>
      </c>
      <c r="E222" s="2">
        <f>MAIZ!E222</f>
        <v>4.5216934685436012</v>
      </c>
      <c r="F222" s="3">
        <f t="shared" si="29"/>
        <v>224.92491452506616</v>
      </c>
      <c r="G222" s="3">
        <f t="shared" si="35"/>
        <v>4.5216934685436021</v>
      </c>
      <c r="H222" s="3">
        <f t="shared" si="33"/>
        <v>575.27266825198876</v>
      </c>
      <c r="I222" s="4">
        <f t="shared" si="32"/>
        <v>0.32</v>
      </c>
      <c r="J222" s="5">
        <f t="shared" si="30"/>
        <v>158.49631282595334</v>
      </c>
      <c r="K222" s="63">
        <f t="shared" si="34"/>
        <v>391.18541441135233</v>
      </c>
      <c r="L222" s="10">
        <f t="shared" si="37"/>
        <v>209.55182751295348</v>
      </c>
      <c r="M222" s="10">
        <f t="shared" si="37"/>
        <v>324.6150744475849</v>
      </c>
    </row>
    <row r="223" spans="1:13" x14ac:dyDescent="0.15">
      <c r="A223" s="34">
        <v>40695</v>
      </c>
      <c r="B223" t="s">
        <v>4</v>
      </c>
      <c r="C223" s="9">
        <v>666</v>
      </c>
      <c r="D223" s="7">
        <f>MAIZ!D223</f>
        <v>4.1289204545454554</v>
      </c>
      <c r="E223" s="2">
        <f>MAIZ!E223</f>
        <v>4.603083950977382</v>
      </c>
      <c r="F223" s="3">
        <f t="shared" si="29"/>
        <v>233.57463183063732</v>
      </c>
      <c r="G223" s="3">
        <f t="shared" si="35"/>
        <v>4.6030839509773829</v>
      </c>
      <c r="H223" s="3">
        <f t="shared" si="33"/>
        <v>597.3953662399291</v>
      </c>
      <c r="I223" s="4">
        <f t="shared" si="32"/>
        <v>0.32</v>
      </c>
      <c r="J223" s="5">
        <f t="shared" si="30"/>
        <v>164.59145040915374</v>
      </c>
      <c r="K223" s="63">
        <f t="shared" si="34"/>
        <v>406.22884904315174</v>
      </c>
      <c r="L223" s="10">
        <f t="shared" si="37"/>
        <v>209.55182751295348</v>
      </c>
      <c r="M223" s="10">
        <f t="shared" si="37"/>
        <v>324.6150744475849</v>
      </c>
    </row>
    <row r="224" spans="1:13" x14ac:dyDescent="0.15">
      <c r="A224" s="34">
        <v>40725</v>
      </c>
      <c r="B224" t="s">
        <v>4</v>
      </c>
      <c r="C224" s="9">
        <v>663</v>
      </c>
      <c r="D224" s="7">
        <f>MAIZ!D224</f>
        <v>4.15452380952381</v>
      </c>
      <c r="E224" s="2">
        <f>MAIZ!E224</f>
        <v>4.6859394620949795</v>
      </c>
      <c r="F224" s="3">
        <f t="shared" si="29"/>
        <v>229.82746688184403</v>
      </c>
      <c r="G224" s="3">
        <f t="shared" si="35"/>
        <v>4.6859394620949804</v>
      </c>
      <c r="H224" s="3">
        <f t="shared" si="33"/>
        <v>587.8115387523236</v>
      </c>
      <c r="I224" s="4">
        <f t="shared" si="32"/>
        <v>0.32</v>
      </c>
      <c r="J224" s="5">
        <f t="shared" si="30"/>
        <v>161.95096111881236</v>
      </c>
      <c r="K224" s="63">
        <f t="shared" si="34"/>
        <v>399.71184635157999</v>
      </c>
      <c r="L224" s="10">
        <f t="shared" si="37"/>
        <v>209.55182751295348</v>
      </c>
      <c r="M224" s="10">
        <f t="shared" si="37"/>
        <v>324.6150744475849</v>
      </c>
    </row>
    <row r="225" spans="1:13" x14ac:dyDescent="0.15">
      <c r="A225" s="34">
        <v>40756</v>
      </c>
      <c r="B225" t="s">
        <v>3</v>
      </c>
      <c r="C225" s="9">
        <v>589</v>
      </c>
      <c r="D225" s="7">
        <f>MAIZ!D225</f>
        <v>4.1941304347826085</v>
      </c>
      <c r="E225" s="2">
        <f>MAIZ!E225</f>
        <v>4.7735665300361525</v>
      </c>
      <c r="F225" s="3">
        <f t="shared" si="29"/>
        <v>202.33828794892128</v>
      </c>
      <c r="G225" s="3">
        <f t="shared" si="35"/>
        <v>4.7735665300361534</v>
      </c>
      <c r="H225" s="3">
        <f t="shared" si="33"/>
        <v>517.50463946466607</v>
      </c>
      <c r="I225" s="4">
        <f t="shared" si="32"/>
        <v>0.32</v>
      </c>
      <c r="J225" s="5">
        <f t="shared" si="30"/>
        <v>142.5803479847321</v>
      </c>
      <c r="K225" s="63">
        <f t="shared" si="34"/>
        <v>351.90315483597288</v>
      </c>
      <c r="L225" s="10">
        <f t="shared" si="37"/>
        <v>209.55182751295348</v>
      </c>
      <c r="M225" s="10">
        <f t="shared" si="37"/>
        <v>324.6150744475849</v>
      </c>
    </row>
    <row r="226" spans="1:13" x14ac:dyDescent="0.15">
      <c r="A226" s="34">
        <v>40787</v>
      </c>
      <c r="B226" t="s">
        <v>5</v>
      </c>
      <c r="C226" s="9">
        <v>528</v>
      </c>
      <c r="D226" s="7">
        <f>MAIZ!D226</f>
        <v>4.2370454545454557</v>
      </c>
      <c r="E226" s="2">
        <f>MAIZ!E226</f>
        <v>4.8637869374538338</v>
      </c>
      <c r="F226" s="3">
        <f t="shared" si="29"/>
        <v>179.84001368543784</v>
      </c>
      <c r="G226" s="3">
        <f t="shared" si="35"/>
        <v>4.8637869374538347</v>
      </c>
      <c r="H226" s="3">
        <f t="shared" si="33"/>
        <v>459.9625824010995</v>
      </c>
      <c r="I226" s="4">
        <f t="shared" si="32"/>
        <v>0.32</v>
      </c>
      <c r="J226" s="5">
        <f t="shared" si="30"/>
        <v>126.7266417679769</v>
      </c>
      <c r="K226" s="63">
        <f t="shared" si="34"/>
        <v>312.77455603274763</v>
      </c>
      <c r="L226" s="10">
        <f t="shared" si="37"/>
        <v>209.55182751295348</v>
      </c>
      <c r="M226" s="10">
        <f t="shared" si="37"/>
        <v>324.6150744475849</v>
      </c>
    </row>
    <row r="227" spans="1:13" x14ac:dyDescent="0.15">
      <c r="A227" s="34">
        <v>40817</v>
      </c>
      <c r="B227" t="s">
        <v>6</v>
      </c>
      <c r="C227" s="9">
        <v>505</v>
      </c>
      <c r="D227" s="7">
        <f>MAIZ!D227</f>
        <v>4.2511904761904766</v>
      </c>
      <c r="E227" s="2">
        <f>MAIZ!E227</f>
        <v>4.9362573628219053</v>
      </c>
      <c r="F227" s="3">
        <f t="shared" si="29"/>
        <v>170.04660713067889</v>
      </c>
      <c r="G227" s="3">
        <f t="shared" si="35"/>
        <v>4.9362573628219062</v>
      </c>
      <c r="H227" s="3">
        <f t="shared" si="33"/>
        <v>434.91476085616858</v>
      </c>
      <c r="I227" s="4">
        <f t="shared" si="32"/>
        <v>0.32</v>
      </c>
      <c r="J227" s="5">
        <f t="shared" si="30"/>
        <v>119.8255884444162</v>
      </c>
      <c r="K227" s="63">
        <f t="shared" si="34"/>
        <v>295.74203738219461</v>
      </c>
      <c r="L227" s="10">
        <f t="shared" si="37"/>
        <v>209.55182751295348</v>
      </c>
      <c r="M227" s="10">
        <f t="shared" si="37"/>
        <v>324.6150744475849</v>
      </c>
    </row>
    <row r="228" spans="1:13" x14ac:dyDescent="0.15">
      <c r="A228" s="34">
        <v>40848</v>
      </c>
      <c r="B228" t="s">
        <v>7</v>
      </c>
      <c r="C228" s="9">
        <v>505</v>
      </c>
      <c r="D228" s="7">
        <f>MAIZ!D228</f>
        <v>4.2813636363636363</v>
      </c>
      <c r="E228" s="2">
        <f>MAIZ!E228</f>
        <v>5.0073394688465322</v>
      </c>
      <c r="F228" s="3">
        <f t="shared" si="29"/>
        <v>168.82248260591993</v>
      </c>
      <c r="G228" s="3">
        <f t="shared" si="35"/>
        <v>5.0073394688465331</v>
      </c>
      <c r="H228" s="3">
        <f t="shared" si="33"/>
        <v>431.78391435515852</v>
      </c>
      <c r="I228" s="4">
        <f t="shared" si="32"/>
        <v>0.32</v>
      </c>
      <c r="J228" s="5">
        <f t="shared" si="30"/>
        <v>118.9629929243788</v>
      </c>
      <c r="K228" s="63">
        <f t="shared" si="34"/>
        <v>293.61306176150777</v>
      </c>
      <c r="L228" s="10">
        <f t="shared" ref="L228:M243" si="38">+L227</f>
        <v>209.55182751295348</v>
      </c>
      <c r="M228" s="10">
        <f t="shared" si="38"/>
        <v>324.6150744475849</v>
      </c>
    </row>
    <row r="229" spans="1:13" x14ac:dyDescent="0.15">
      <c r="A229" s="34">
        <v>40878</v>
      </c>
      <c r="B229" t="s">
        <v>30</v>
      </c>
      <c r="C229" s="9">
        <v>499</v>
      </c>
      <c r="D229" s="7">
        <f>MAIZ!D229</f>
        <v>4.3081818181818186</v>
      </c>
      <c r="E229" s="2">
        <f>MAIZ!E229</f>
        <v>5.1024789187546196</v>
      </c>
      <c r="F229" s="3">
        <f t="shared" si="29"/>
        <v>164.73169739778615</v>
      </c>
      <c r="G229" s="3">
        <f t="shared" si="35"/>
        <v>5.1024789187546205</v>
      </c>
      <c r="H229" s="3">
        <f t="shared" si="33"/>
        <v>421.32123650153795</v>
      </c>
      <c r="I229" s="4">
        <f t="shared" si="32"/>
        <v>0.32</v>
      </c>
      <c r="J229" s="5">
        <f t="shared" si="30"/>
        <v>116.08036707823271</v>
      </c>
      <c r="K229" s="63">
        <f t="shared" si="34"/>
        <v>286.49844082104579</v>
      </c>
      <c r="L229" s="10">
        <f t="shared" si="38"/>
        <v>209.55182751295348</v>
      </c>
      <c r="M229" s="10">
        <f t="shared" si="38"/>
        <v>324.6150744475849</v>
      </c>
    </row>
    <row r="230" spans="1:13" x14ac:dyDescent="0.15">
      <c r="A230" s="34">
        <v>40909</v>
      </c>
      <c r="B230" t="s">
        <v>18</v>
      </c>
      <c r="C230" s="9">
        <v>497</v>
      </c>
      <c r="D230" s="7">
        <f>MAIZ!D230</f>
        <v>4.3385227272727285</v>
      </c>
      <c r="E230" s="2">
        <f>MAIZ!E230</f>
        <v>5.2045284971297114</v>
      </c>
      <c r="F230" s="3">
        <f t="shared" si="29"/>
        <v>161.98719981795185</v>
      </c>
      <c r="G230" s="3">
        <f t="shared" si="35"/>
        <v>5.2045284971297123</v>
      </c>
      <c r="H230" s="3">
        <f t="shared" si="33"/>
        <v>414.30185205897357</v>
      </c>
      <c r="I230" s="4">
        <f t="shared" si="32"/>
        <v>0.32</v>
      </c>
      <c r="J230" s="5">
        <f t="shared" si="30"/>
        <v>114.14642059710596</v>
      </c>
      <c r="K230" s="63">
        <f t="shared" si="34"/>
        <v>281.725259400102</v>
      </c>
      <c r="L230" s="10">
        <f t="shared" si="38"/>
        <v>209.55182751295348</v>
      </c>
      <c r="M230" s="10">
        <f t="shared" si="38"/>
        <v>324.6150744475849</v>
      </c>
    </row>
    <row r="231" spans="1:13" x14ac:dyDescent="0.15">
      <c r="A231" s="34">
        <v>40940</v>
      </c>
      <c r="B231" t="s">
        <v>1</v>
      </c>
      <c r="C231" s="9">
        <v>510</v>
      </c>
      <c r="D231" s="7">
        <f>MAIZ!D231</f>
        <v>4.3640476190476205</v>
      </c>
      <c r="E231" s="2">
        <f>MAIZ!E231</f>
        <v>5.2930054815809164</v>
      </c>
      <c r="F231" s="3">
        <f t="shared" si="29"/>
        <v>164.40731489870765</v>
      </c>
      <c r="G231" s="3">
        <f t="shared" si="35"/>
        <v>5.2930054815809173</v>
      </c>
      <c r="H231" s="3">
        <f t="shared" si="33"/>
        <v>420.49158903374575</v>
      </c>
      <c r="I231" s="4">
        <f t="shared" si="32"/>
        <v>0.32</v>
      </c>
      <c r="J231" s="5">
        <f t="shared" si="30"/>
        <v>115.85178666437427</v>
      </c>
      <c r="K231" s="63">
        <f t="shared" si="34"/>
        <v>285.93428054294708</v>
      </c>
      <c r="L231" s="10">
        <f t="shared" si="38"/>
        <v>209.55182751295348</v>
      </c>
      <c r="M231" s="10">
        <f t="shared" si="38"/>
        <v>324.6150744475849</v>
      </c>
    </row>
    <row r="232" spans="1:13" x14ac:dyDescent="0.15">
      <c r="A232" s="34">
        <v>40969</v>
      </c>
      <c r="B232" t="s">
        <v>2</v>
      </c>
      <c r="C232" s="9">
        <v>517</v>
      </c>
      <c r="D232" s="7">
        <f>MAIZ!D232</f>
        <v>4.3734090909090906</v>
      </c>
      <c r="E232" s="2">
        <f>MAIZ!E232</f>
        <v>5.4147446076572772</v>
      </c>
      <c r="F232" s="3">
        <f t="shared" si="29"/>
        <v>163.26627804908955</v>
      </c>
      <c r="G232" s="3">
        <f t="shared" si="35"/>
        <v>5.4147446076572781</v>
      </c>
      <c r="H232" s="3">
        <f t="shared" si="33"/>
        <v>417.57324930939961</v>
      </c>
      <c r="I232" s="4">
        <f t="shared" si="32"/>
        <v>0.32</v>
      </c>
      <c r="J232" s="5">
        <f t="shared" si="30"/>
        <v>115.04773997241541</v>
      </c>
      <c r="K232" s="63">
        <f t="shared" si="34"/>
        <v>283.94980953039169</v>
      </c>
      <c r="L232" s="10">
        <f t="shared" si="38"/>
        <v>209.55182751295348</v>
      </c>
      <c r="M232" s="10">
        <f t="shared" si="38"/>
        <v>324.6150744475849</v>
      </c>
    </row>
    <row r="233" spans="1:13" x14ac:dyDescent="0.15">
      <c r="A233" s="34">
        <v>41000</v>
      </c>
      <c r="B233" t="s">
        <v>3</v>
      </c>
      <c r="C233" s="9">
        <v>566</v>
      </c>
      <c r="D233" s="7">
        <f>MAIZ!D233</f>
        <v>4.4112150000000003</v>
      </c>
      <c r="E233" s="2">
        <f>MAIZ!E233</f>
        <v>5.5230394998104204</v>
      </c>
      <c r="F233" s="3">
        <f t="shared" si="29"/>
        <v>176.75036969225195</v>
      </c>
      <c r="G233" s="3">
        <f t="shared" si="35"/>
        <v>5.5230394998104213</v>
      </c>
      <c r="H233" s="3">
        <f t="shared" si="33"/>
        <v>452.06044426908431</v>
      </c>
      <c r="I233" s="4">
        <f t="shared" si="32"/>
        <v>0.32</v>
      </c>
      <c r="J233" s="5">
        <f t="shared" si="30"/>
        <v>124.54948330645732</v>
      </c>
      <c r="K233" s="63">
        <f t="shared" si="34"/>
        <v>307.40110210297729</v>
      </c>
      <c r="L233" s="10">
        <f t="shared" si="38"/>
        <v>209.55182751295348</v>
      </c>
      <c r="M233" s="10">
        <f t="shared" si="38"/>
        <v>324.6150744475849</v>
      </c>
    </row>
    <row r="234" spans="1:13" x14ac:dyDescent="0.15">
      <c r="A234" s="34">
        <v>41030</v>
      </c>
      <c r="B234" t="s">
        <v>2</v>
      </c>
      <c r="C234" s="9">
        <v>606</v>
      </c>
      <c r="D234" s="7">
        <f>MAIZ!D234</f>
        <v>4.4620833333333341</v>
      </c>
      <c r="E234" s="2">
        <f>MAIZ!E234</f>
        <v>5.622454210807005</v>
      </c>
      <c r="F234" s="3">
        <f>+(C234*(D234/E234))/(AVERAGE(C$109)*AVERAGE(D$109)/AVERAGE(E$109))*100</f>
        <v>188.03911439298918</v>
      </c>
      <c r="G234" s="3">
        <f t="shared" si="35"/>
        <v>5.6224542108070059</v>
      </c>
      <c r="H234" s="3">
        <f t="shared" si="33"/>
        <v>480.93277394817324</v>
      </c>
      <c r="I234" s="4">
        <f t="shared" si="32"/>
        <v>0.32</v>
      </c>
      <c r="J234" s="5">
        <f t="shared" si="30"/>
        <v>132.50424641164003</v>
      </c>
      <c r="K234" s="63">
        <f t="shared" si="34"/>
        <v>327.0342862847578</v>
      </c>
      <c r="L234" s="10">
        <f t="shared" si="38"/>
        <v>209.55182751295348</v>
      </c>
      <c r="M234" s="10">
        <f t="shared" si="38"/>
        <v>324.6150744475849</v>
      </c>
    </row>
    <row r="235" spans="1:13" x14ac:dyDescent="0.15">
      <c r="A235" s="34">
        <v>41061</v>
      </c>
      <c r="B235" t="s">
        <v>4</v>
      </c>
      <c r="C235" s="9">
        <v>607</v>
      </c>
      <c r="D235" s="7">
        <f>MAIZ!D235</f>
        <v>4.512083333333333</v>
      </c>
      <c r="E235" s="2">
        <f>MAIZ!E235</f>
        <v>5.7180359323907322</v>
      </c>
      <c r="F235" s="3">
        <f t="shared" ref="F235:F284" si="39">+(C235*(D235/E235))/(AVERAGE(C$109)*AVERAGE(D$109)/AVERAGE(E$109))*100</f>
        <v>187.27626800373244</v>
      </c>
      <c r="G235" s="3">
        <f t="shared" si="35"/>
        <v>5.718035932390733</v>
      </c>
      <c r="H235" s="3">
        <f t="shared" si="33"/>
        <v>478.98170205940204</v>
      </c>
      <c r="I235" s="4">
        <f t="shared" si="32"/>
        <v>0.32</v>
      </c>
      <c r="J235" s="5">
        <f t="shared" si="30"/>
        <v>131.96669662439174</v>
      </c>
      <c r="K235" s="63">
        <f t="shared" si="34"/>
        <v>325.70755740039334</v>
      </c>
      <c r="L235" s="10">
        <f t="shared" si="38"/>
        <v>209.55182751295348</v>
      </c>
      <c r="M235" s="10">
        <f t="shared" si="38"/>
        <v>324.6150744475849</v>
      </c>
    </row>
    <row r="236" spans="1:13" x14ac:dyDescent="0.15">
      <c r="A236" s="34">
        <v>41091</v>
      </c>
      <c r="B236" t="s">
        <v>4</v>
      </c>
      <c r="C236" s="9">
        <v>588</v>
      </c>
      <c r="D236" s="7">
        <f>MAIZ!D236</f>
        <v>4.5718181818181813</v>
      </c>
      <c r="E236" s="2">
        <f>MAIZ!E236</f>
        <v>5.8209605791737591</v>
      </c>
      <c r="F236" s="3">
        <f t="shared" si="39"/>
        <v>180.56577727524285</v>
      </c>
      <c r="G236" s="3">
        <f t="shared" si="35"/>
        <v>5.82096057917376</v>
      </c>
      <c r="H236" s="3">
        <f t="shared" si="33"/>
        <v>461.81881054598449</v>
      </c>
      <c r="I236" s="4">
        <f t="shared" si="32"/>
        <v>0.32</v>
      </c>
      <c r="J236" s="5">
        <f t="shared" si="30"/>
        <v>127.23806067063744</v>
      </c>
      <c r="K236" s="63">
        <f t="shared" si="34"/>
        <v>314.03679117126944</v>
      </c>
      <c r="L236" s="10">
        <f t="shared" si="38"/>
        <v>209.55182751295348</v>
      </c>
      <c r="M236" s="10">
        <f t="shared" si="38"/>
        <v>324.6150744475849</v>
      </c>
    </row>
    <row r="237" spans="1:13" x14ac:dyDescent="0.15">
      <c r="A237" s="34">
        <v>41122</v>
      </c>
      <c r="B237" t="s">
        <v>3</v>
      </c>
      <c r="C237" s="9">
        <v>605</v>
      </c>
      <c r="D237" s="7">
        <f>MAIZ!D237</f>
        <v>4.624305555555555</v>
      </c>
      <c r="E237" s="2">
        <f>MAIZ!E237</f>
        <v>5.9373797907572339</v>
      </c>
      <c r="F237" s="3">
        <f t="shared" si="39"/>
        <v>184.23447065462975</v>
      </c>
      <c r="G237" s="3">
        <f t="shared" si="35"/>
        <v>5.9373797907572348</v>
      </c>
      <c r="H237" s="3">
        <f t="shared" si="33"/>
        <v>471.2019375055508</v>
      </c>
      <c r="I237" s="4">
        <f t="shared" si="32"/>
        <v>0.32</v>
      </c>
      <c r="J237" s="5">
        <f t="shared" si="30"/>
        <v>129.82325393279609</v>
      </c>
      <c r="K237" s="63">
        <f t="shared" si="34"/>
        <v>320.41731750377454</v>
      </c>
      <c r="L237" s="10">
        <f t="shared" si="38"/>
        <v>209.55182751295348</v>
      </c>
      <c r="M237" s="10">
        <f t="shared" si="38"/>
        <v>324.6150744475849</v>
      </c>
    </row>
    <row r="238" spans="1:13" x14ac:dyDescent="0.15">
      <c r="A238" s="34">
        <v>41153</v>
      </c>
      <c r="B238" t="s">
        <v>5</v>
      </c>
      <c r="C238" s="9">
        <v>623</v>
      </c>
      <c r="D238" s="7">
        <f>MAIZ!D238</f>
        <v>4.6888749999999995</v>
      </c>
      <c r="E238" s="2">
        <f>MAIZ!E238</f>
        <v>6.0561273865723866</v>
      </c>
      <c r="F238" s="3">
        <f t="shared" si="39"/>
        <v>188.59298020368342</v>
      </c>
      <c r="G238" s="3">
        <f t="shared" si="35"/>
        <v>6.0561273865723875</v>
      </c>
      <c r="H238" s="3">
        <f t="shared" si="33"/>
        <v>482.34935273600746</v>
      </c>
      <c r="I238" s="4">
        <f t="shared" si="32"/>
        <v>0.32</v>
      </c>
      <c r="J238" s="5">
        <f t="shared" ref="J238:J285" si="40">+F238*(1-I238)/(F$109*(1-I$109))*100</f>
        <v>132.8945352730619</v>
      </c>
      <c r="K238" s="63">
        <f t="shared" si="34"/>
        <v>327.99755986048507</v>
      </c>
      <c r="L238" s="10">
        <f t="shared" si="38"/>
        <v>209.55182751295348</v>
      </c>
      <c r="M238" s="10">
        <f t="shared" si="38"/>
        <v>324.6150744475849</v>
      </c>
    </row>
    <row r="239" spans="1:13" x14ac:dyDescent="0.15">
      <c r="A239" s="34">
        <v>41183</v>
      </c>
      <c r="B239" t="s">
        <v>6</v>
      </c>
      <c r="C239" s="9">
        <v>638</v>
      </c>
      <c r="D239" s="7">
        <f>MAIZ!D239</f>
        <v>4.7443478260869565</v>
      </c>
      <c r="E239" s="2">
        <f>MAIZ!E239</f>
        <v>6.1590815521441096</v>
      </c>
      <c r="F239" s="3">
        <f t="shared" si="39"/>
        <v>192.15207061639711</v>
      </c>
      <c r="G239" s="3">
        <f t="shared" si="35"/>
        <v>6.1590815521441105</v>
      </c>
      <c r="H239" s="3">
        <f t="shared" si="33"/>
        <v>491.45215685441775</v>
      </c>
      <c r="I239" s="4">
        <f t="shared" si="32"/>
        <v>0.32</v>
      </c>
      <c r="J239" s="5">
        <f t="shared" si="40"/>
        <v>135.40249535663213</v>
      </c>
      <c r="K239" s="63">
        <f t="shared" si="34"/>
        <v>334.18746666100407</v>
      </c>
      <c r="L239" s="10">
        <f t="shared" si="38"/>
        <v>209.55182751295348</v>
      </c>
      <c r="M239" s="10">
        <f t="shared" si="38"/>
        <v>324.6150744475849</v>
      </c>
    </row>
    <row r="240" spans="1:13" x14ac:dyDescent="0.15">
      <c r="A240" s="34">
        <v>41214</v>
      </c>
      <c r="B240" t="s">
        <v>7</v>
      </c>
      <c r="C240" s="9">
        <v>617</v>
      </c>
      <c r="D240" s="7">
        <f>MAIZ!D240</f>
        <v>4.8156499999999998</v>
      </c>
      <c r="E240" s="2">
        <f>MAIZ!E240</f>
        <v>6.2761041016348518</v>
      </c>
      <c r="F240" s="3">
        <f t="shared" si="39"/>
        <v>185.10313053317819</v>
      </c>
      <c r="G240" s="3">
        <f t="shared" si="35"/>
        <v>6.2761041016348527</v>
      </c>
      <c r="H240" s="3">
        <f t="shared" si="33"/>
        <v>473.42364018882705</v>
      </c>
      <c r="I240" s="4">
        <f t="shared" si="32"/>
        <v>0.32</v>
      </c>
      <c r="J240" s="5">
        <f t="shared" si="40"/>
        <v>130.43536659332761</v>
      </c>
      <c r="K240" s="63">
        <f t="shared" si="34"/>
        <v>321.92807532840237</v>
      </c>
      <c r="L240" s="10">
        <f t="shared" si="38"/>
        <v>209.55182751295348</v>
      </c>
      <c r="M240" s="10">
        <f t="shared" si="38"/>
        <v>324.6150744475849</v>
      </c>
    </row>
    <row r="241" spans="1:13" x14ac:dyDescent="0.15">
      <c r="A241" s="34">
        <v>41244</v>
      </c>
      <c r="B241" t="s">
        <v>31</v>
      </c>
      <c r="C241" s="9">
        <v>615</v>
      </c>
      <c r="D241" s="7">
        <f>MAIZ!D241</f>
        <v>4.8899999999999997</v>
      </c>
      <c r="E241" s="2">
        <f>MAIZ!E241</f>
        <v>6.4016261836675454</v>
      </c>
      <c r="F241" s="3">
        <f t="shared" si="39"/>
        <v>183.67814633080505</v>
      </c>
      <c r="G241" s="3">
        <f t="shared" si="35"/>
        <v>6.4016261836675463</v>
      </c>
      <c r="H241" s="3">
        <f t="shared" si="33"/>
        <v>469.77907077308652</v>
      </c>
      <c r="I241" s="4">
        <f t="shared" si="32"/>
        <v>0.32</v>
      </c>
      <c r="J241" s="5">
        <f t="shared" si="40"/>
        <v>129.43123264761391</v>
      </c>
      <c r="K241" s="63">
        <f t="shared" si="34"/>
        <v>319.44976812569882</v>
      </c>
      <c r="L241" s="10">
        <f t="shared" si="38"/>
        <v>209.55182751295348</v>
      </c>
      <c r="M241" s="10">
        <f t="shared" si="38"/>
        <v>324.6150744475849</v>
      </c>
    </row>
    <row r="242" spans="1:13" x14ac:dyDescent="0.15">
      <c r="A242" s="34">
        <v>41275</v>
      </c>
      <c r="B242" t="s">
        <v>19</v>
      </c>
      <c r="C242" s="9">
        <v>620</v>
      </c>
      <c r="D242" s="7">
        <f>MAIZ!D242</f>
        <v>4.9594886363636368</v>
      </c>
      <c r="E242" s="2">
        <f>MAIZ!E242</f>
        <v>6.5808717168102415</v>
      </c>
      <c r="F242" s="3">
        <f t="shared" si="39"/>
        <v>182.68756503605658</v>
      </c>
      <c r="G242" s="3">
        <f t="shared" si="35"/>
        <v>6.5808717168102424</v>
      </c>
      <c r="H242" s="3">
        <f t="shared" si="33"/>
        <v>467.24553932436396</v>
      </c>
      <c r="I242" s="4">
        <f t="shared" si="32"/>
        <v>0.32</v>
      </c>
      <c r="J242" s="5">
        <f t="shared" si="40"/>
        <v>128.7332064502782</v>
      </c>
      <c r="K242" s="63">
        <f t="shared" si="34"/>
        <v>317.72696674056749</v>
      </c>
      <c r="L242" s="10">
        <f t="shared" si="38"/>
        <v>209.55182751295348</v>
      </c>
      <c r="M242" s="10">
        <f t="shared" si="38"/>
        <v>324.6150744475849</v>
      </c>
    </row>
    <row r="243" spans="1:13" x14ac:dyDescent="0.15">
      <c r="A243" s="34">
        <v>41306</v>
      </c>
      <c r="B243" t="s">
        <v>1</v>
      </c>
      <c r="C243" s="9">
        <v>620</v>
      </c>
      <c r="D243" s="7">
        <f>MAIZ!D243</f>
        <v>5.0190789473684205</v>
      </c>
      <c r="E243" s="2">
        <f>MAIZ!E243</f>
        <v>6.6795847925623946</v>
      </c>
      <c r="F243" s="3">
        <f t="shared" si="39"/>
        <v>182.15037618651345</v>
      </c>
      <c r="G243" s="3">
        <f t="shared" si="35"/>
        <v>6.6795847925623955</v>
      </c>
      <c r="H243" s="3">
        <f t="shared" si="33"/>
        <v>465.87161388135826</v>
      </c>
      <c r="I243" s="4">
        <f t="shared" si="32"/>
        <v>0.32</v>
      </c>
      <c r="J243" s="5">
        <f t="shared" si="40"/>
        <v>128.35466922987476</v>
      </c>
      <c r="K243" s="63">
        <f t="shared" si="34"/>
        <v>316.7926974393236</v>
      </c>
      <c r="L243" s="10">
        <f t="shared" si="38"/>
        <v>209.55182751295348</v>
      </c>
      <c r="M243" s="10">
        <f t="shared" si="38"/>
        <v>324.6150744475849</v>
      </c>
    </row>
    <row r="244" spans="1:13" x14ac:dyDescent="0.15">
      <c r="A244" s="34">
        <v>41334</v>
      </c>
      <c r="B244" t="s">
        <v>2</v>
      </c>
      <c r="C244" s="9">
        <v>620</v>
      </c>
      <c r="D244" s="7">
        <f>MAIZ!D244</f>
        <v>5.0958571428571426</v>
      </c>
      <c r="E244" s="2">
        <f>MAIZ!E244</f>
        <v>6.7864581492433924</v>
      </c>
      <c r="F244" s="3">
        <f t="shared" si="39"/>
        <v>182.02438907194212</v>
      </c>
      <c r="G244" s="3">
        <f t="shared" si="35"/>
        <v>6.7864581492433933</v>
      </c>
      <c r="H244" s="3">
        <f t="shared" si="33"/>
        <v>465.54938660067717</v>
      </c>
      <c r="I244" s="4">
        <f t="shared" si="32"/>
        <v>0.32</v>
      </c>
      <c r="J244" s="5">
        <f t="shared" si="40"/>
        <v>128.26589074499549</v>
      </c>
      <c r="K244" s="63">
        <f t="shared" si="34"/>
        <v>316.57358288846046</v>
      </c>
      <c r="L244" s="10">
        <f t="shared" ref="L244:M259" si="41">+L243</f>
        <v>209.55182751295348</v>
      </c>
      <c r="M244" s="10">
        <f t="shared" si="41"/>
        <v>324.6150744475849</v>
      </c>
    </row>
    <row r="245" spans="1:13" x14ac:dyDescent="0.15">
      <c r="A245" s="34">
        <v>41365</v>
      </c>
      <c r="B245" t="s">
        <v>3</v>
      </c>
      <c r="C245" s="9">
        <v>598</v>
      </c>
      <c r="D245" s="7">
        <f>MAIZ!D245</f>
        <v>5.1615909090909096</v>
      </c>
      <c r="E245" s="2">
        <f>MAIZ!E245</f>
        <v>6.8896123131118925</v>
      </c>
      <c r="F245" s="3">
        <f t="shared" si="39"/>
        <v>175.16760973794655</v>
      </c>
      <c r="G245" s="3">
        <f t="shared" si="35"/>
        <v>6.8896123131118934</v>
      </c>
      <c r="H245" s="3">
        <f t="shared" si="33"/>
        <v>448.01234428852752</v>
      </c>
      <c r="I245" s="4">
        <f t="shared" si="32"/>
        <v>0.32</v>
      </c>
      <c r="J245" s="5">
        <f t="shared" si="40"/>
        <v>123.43417059254264</v>
      </c>
      <c r="K245" s="63">
        <f t="shared" si="34"/>
        <v>304.64839411619869</v>
      </c>
      <c r="L245" s="10">
        <f t="shared" si="41"/>
        <v>209.55182751295348</v>
      </c>
      <c r="M245" s="10">
        <f t="shared" si="41"/>
        <v>324.6150744475849</v>
      </c>
    </row>
    <row r="246" spans="1:13" x14ac:dyDescent="0.15">
      <c r="A246" s="34">
        <v>41395</v>
      </c>
      <c r="B246" t="s">
        <v>2</v>
      </c>
      <c r="C246" s="9">
        <v>576</v>
      </c>
      <c r="D246" s="7">
        <f>MAIZ!D246</f>
        <v>5.2468478260869569</v>
      </c>
      <c r="E246" s="2">
        <f>MAIZ!E246</f>
        <v>7.0067357224347946</v>
      </c>
      <c r="F246" s="3">
        <f t="shared" si="39"/>
        <v>168.6432791230857</v>
      </c>
      <c r="G246" s="3">
        <f t="shared" si="35"/>
        <v>7.0067357224347955</v>
      </c>
      <c r="H246" s="3">
        <f t="shared" si="33"/>
        <v>431.32557977738276</v>
      </c>
      <c r="I246" s="4">
        <f t="shared" ref="I246:I276" si="42">+I245</f>
        <v>0.32</v>
      </c>
      <c r="J246" s="5">
        <f t="shared" si="40"/>
        <v>118.83671482248526</v>
      </c>
      <c r="K246" s="63">
        <f t="shared" si="34"/>
        <v>293.30139424862023</v>
      </c>
      <c r="L246" s="10">
        <f t="shared" si="41"/>
        <v>209.55182751295348</v>
      </c>
      <c r="M246" s="10">
        <f t="shared" si="41"/>
        <v>324.6150744475849</v>
      </c>
    </row>
    <row r="247" spans="1:13" x14ac:dyDescent="0.15">
      <c r="A247" s="34">
        <v>41426</v>
      </c>
      <c r="B247" t="s">
        <v>4</v>
      </c>
      <c r="C247" s="9">
        <v>570</v>
      </c>
      <c r="D247" s="8">
        <f>MAIZ!D247</f>
        <v>5.3396625000000011</v>
      </c>
      <c r="E247" s="9">
        <f>MAIZ!E247</f>
        <v>7.1398637011610555</v>
      </c>
      <c r="F247" s="3">
        <f t="shared" si="39"/>
        <v>166.67196880781384</v>
      </c>
      <c r="G247" s="3">
        <f t="shared" si="35"/>
        <v>7.1398637011610564</v>
      </c>
      <c r="H247" s="3">
        <f t="shared" si="33"/>
        <v>426.28371526266824</v>
      </c>
      <c r="I247" s="4">
        <f t="shared" si="42"/>
        <v>0.32</v>
      </c>
      <c r="J247" s="5">
        <f t="shared" si="40"/>
        <v>117.44760496301907</v>
      </c>
      <c r="K247" s="63">
        <f t="shared" si="34"/>
        <v>289.87292637861435</v>
      </c>
      <c r="L247" s="10">
        <f t="shared" si="41"/>
        <v>209.55182751295348</v>
      </c>
      <c r="M247" s="10">
        <f t="shared" si="41"/>
        <v>324.6150744475849</v>
      </c>
    </row>
    <row r="248" spans="1:13" x14ac:dyDescent="0.15">
      <c r="A248" s="34">
        <v>41456</v>
      </c>
      <c r="B248" t="s">
        <v>4</v>
      </c>
      <c r="C248" s="9">
        <v>512</v>
      </c>
      <c r="D248" s="8">
        <f>MAIZ!D248</f>
        <v>5.447869565217391</v>
      </c>
      <c r="E248" s="9">
        <f>MAIZ!E248</f>
        <v>7.3469197484947255</v>
      </c>
      <c r="F248" s="3">
        <f t="shared" si="39"/>
        <v>148.44145046197258</v>
      </c>
      <c r="G248" s="3">
        <f t="shared" si="35"/>
        <v>7.3469197484947264</v>
      </c>
      <c r="H248" s="3">
        <f t="shared" si="33"/>
        <v>379.65696004271609</v>
      </c>
      <c r="I248" s="4">
        <f t="shared" si="42"/>
        <v>0.32</v>
      </c>
      <c r="J248" s="5">
        <f t="shared" si="40"/>
        <v>104.60122934107912</v>
      </c>
      <c r="K248" s="63">
        <f t="shared" si="34"/>
        <v>258.16673282904691</v>
      </c>
      <c r="L248" s="10">
        <f t="shared" si="41"/>
        <v>209.55182751295348</v>
      </c>
      <c r="M248" s="10">
        <f t="shared" si="41"/>
        <v>324.6150744475849</v>
      </c>
    </row>
    <row r="249" spans="1:13" x14ac:dyDescent="0.15">
      <c r="A249" s="34">
        <v>41487</v>
      </c>
      <c r="B249" t="s">
        <v>3</v>
      </c>
      <c r="C249" s="9">
        <v>447</v>
      </c>
      <c r="D249" s="7">
        <f>MAIZ!D249</f>
        <v>5.5756454545454543</v>
      </c>
      <c r="E249" s="2">
        <f>MAIZ!E249</f>
        <v>7.4938581434646201</v>
      </c>
      <c r="F249" s="3">
        <f t="shared" si="39"/>
        <v>130.03522954581513</v>
      </c>
      <c r="G249" s="3">
        <f t="shared" si="35"/>
        <v>7.493858143464621</v>
      </c>
      <c r="H249" s="3">
        <f t="shared" si="33"/>
        <v>332.58082425210569</v>
      </c>
      <c r="I249" s="4">
        <f t="shared" si="42"/>
        <v>0.32</v>
      </c>
      <c r="J249" s="5">
        <f t="shared" si="40"/>
        <v>91.631042581507032</v>
      </c>
      <c r="K249" s="63">
        <f t="shared" si="34"/>
        <v>226.15496049143184</v>
      </c>
      <c r="L249" s="10">
        <f t="shared" si="41"/>
        <v>209.55182751295348</v>
      </c>
      <c r="M249" s="10">
        <f t="shared" si="41"/>
        <v>324.6150744475849</v>
      </c>
    </row>
    <row r="250" spans="1:13" x14ac:dyDescent="0.15">
      <c r="A250" s="34">
        <v>41518</v>
      </c>
      <c r="B250" t="s">
        <v>5</v>
      </c>
      <c r="C250" s="9">
        <v>391</v>
      </c>
      <c r="D250" s="7">
        <f>MAIZ!D250</f>
        <v>5.7471428571428573</v>
      </c>
      <c r="E250" s="2">
        <f>MAIZ!E250</f>
        <v>7.6512291644773764</v>
      </c>
      <c r="F250" s="3">
        <f t="shared" si="39"/>
        <v>114.83158607871945</v>
      </c>
      <c r="G250" s="3">
        <f t="shared" si="35"/>
        <v>7.6512291644773773</v>
      </c>
      <c r="H250" s="3">
        <f t="shared" si="33"/>
        <v>293.69566756354618</v>
      </c>
      <c r="I250" s="4">
        <f t="shared" si="42"/>
        <v>0.32</v>
      </c>
      <c r="J250" s="5">
        <f t="shared" si="40"/>
        <v>80.917594335263445</v>
      </c>
      <c r="K250" s="63">
        <f t="shared" si="34"/>
        <v>199.71305394321138</v>
      </c>
      <c r="L250" s="10">
        <f t="shared" si="41"/>
        <v>209.55182751295348</v>
      </c>
      <c r="M250" s="10">
        <f t="shared" si="41"/>
        <v>324.6150744475849</v>
      </c>
    </row>
    <row r="251" spans="1:13" x14ac:dyDescent="0.15">
      <c r="A251" s="34">
        <v>41548</v>
      </c>
      <c r="B251" t="s">
        <v>6</v>
      </c>
      <c r="C251" s="9">
        <v>410</v>
      </c>
      <c r="D251" s="7">
        <f>MAIZ!D251</f>
        <v>5.8590869565217396</v>
      </c>
      <c r="E251" s="2">
        <f>MAIZ!E251</f>
        <v>7.8195562060958785</v>
      </c>
      <c r="F251" s="3">
        <f t="shared" si="39"/>
        <v>120.11452217146072</v>
      </c>
      <c r="G251" s="3">
        <f t="shared" si="35"/>
        <v>7.8195562060958794</v>
      </c>
      <c r="H251" s="3">
        <f t="shared" si="33"/>
        <v>307.207415467033</v>
      </c>
      <c r="I251" s="4">
        <f t="shared" si="42"/>
        <v>0.32</v>
      </c>
      <c r="J251" s="5">
        <f t="shared" si="40"/>
        <v>84.640285053464538</v>
      </c>
      <c r="K251" s="63">
        <f t="shared" si="34"/>
        <v>208.90104251758243</v>
      </c>
      <c r="L251" s="10">
        <f t="shared" si="41"/>
        <v>209.55182751295348</v>
      </c>
      <c r="M251" s="10">
        <f t="shared" si="41"/>
        <v>324.6150744475849</v>
      </c>
    </row>
    <row r="252" spans="1:13" x14ac:dyDescent="0.15">
      <c r="A252" s="34">
        <v>41579</v>
      </c>
      <c r="B252" t="s">
        <v>7</v>
      </c>
      <c r="C252" s="9">
        <v>429</v>
      </c>
      <c r="D252" s="7">
        <f>MAIZ!D252</f>
        <v>6.0250000000000012</v>
      </c>
      <c r="E252" s="2">
        <f>MAIZ!E252</f>
        <v>8.0072255550421794</v>
      </c>
      <c r="F252" s="3">
        <f t="shared" si="39"/>
        <v>126.21067937051065</v>
      </c>
      <c r="G252" s="3">
        <f t="shared" si="35"/>
        <v>8.0072255550421811</v>
      </c>
      <c r="H252" s="3">
        <f t="shared" si="33"/>
        <v>322.79907468978303</v>
      </c>
      <c r="I252" s="4">
        <f t="shared" si="42"/>
        <v>0.32</v>
      </c>
      <c r="J252" s="5">
        <f t="shared" si="40"/>
        <v>88.936022768857242</v>
      </c>
      <c r="K252" s="63">
        <f t="shared" si="34"/>
        <v>219.50337078905244</v>
      </c>
      <c r="L252" s="10">
        <f t="shared" si="41"/>
        <v>209.55182751295348</v>
      </c>
      <c r="M252" s="10">
        <f t="shared" si="41"/>
        <v>324.6150744475849</v>
      </c>
    </row>
    <row r="253" spans="1:13" x14ac:dyDescent="0.15">
      <c r="A253" s="34">
        <v>41609</v>
      </c>
      <c r="B253" t="s">
        <v>48</v>
      </c>
      <c r="C253" s="9">
        <v>430</v>
      </c>
      <c r="D253" s="7">
        <f>MAIZ!D253</f>
        <v>6.3483333333333345</v>
      </c>
      <c r="E253" s="2">
        <f>MAIZ!E253</f>
        <v>8.2634567728035293</v>
      </c>
      <c r="F253" s="3">
        <f t="shared" si="39"/>
        <v>129.16065585159907</v>
      </c>
      <c r="G253" s="3">
        <f t="shared" si="35"/>
        <v>8.2634567728035311</v>
      </c>
      <c r="H253" s="3">
        <f t="shared" si="33"/>
        <v>330.34399627012317</v>
      </c>
      <c r="I253" s="4">
        <f t="shared" si="42"/>
        <v>0.32</v>
      </c>
      <c r="J253" s="5">
        <f t="shared" si="40"/>
        <v>91.014762672629388</v>
      </c>
      <c r="K253" s="63">
        <f t="shared" si="34"/>
        <v>224.63391746368373</v>
      </c>
      <c r="L253" s="10">
        <f t="shared" si="41"/>
        <v>209.55182751295348</v>
      </c>
      <c r="M253" s="10">
        <f t="shared" si="41"/>
        <v>324.6150744475849</v>
      </c>
    </row>
    <row r="254" spans="1:13" x14ac:dyDescent="0.15">
      <c r="A254" s="34">
        <v>41640</v>
      </c>
      <c r="B254" t="s">
        <v>49</v>
      </c>
      <c r="C254" s="9">
        <v>430</v>
      </c>
      <c r="D254" s="7">
        <f>MAIZ!D254</f>
        <v>7.1343181818181822</v>
      </c>
      <c r="E254" s="2">
        <f>MAIZ!E254</f>
        <v>8.6518392411252965</v>
      </c>
      <c r="F254" s="3">
        <f t="shared" si="39"/>
        <v>138.63609343541253</v>
      </c>
      <c r="G254" s="3">
        <f t="shared" si="35"/>
        <v>8.6518392411252982</v>
      </c>
      <c r="H254" s="3">
        <f t="shared" si="33"/>
        <v>354.57857372102671</v>
      </c>
      <c r="I254" s="4">
        <f t="shared" si="42"/>
        <v>0.32</v>
      </c>
      <c r="J254" s="5">
        <f t="shared" si="40"/>
        <v>97.691754959668927</v>
      </c>
      <c r="K254" s="63">
        <f t="shared" si="34"/>
        <v>241.11343013029816</v>
      </c>
      <c r="L254" s="10">
        <f t="shared" si="41"/>
        <v>209.55182751295348</v>
      </c>
      <c r="M254" s="10">
        <f t="shared" si="41"/>
        <v>324.6150744475849</v>
      </c>
    </row>
    <row r="255" spans="1:13" x14ac:dyDescent="0.15">
      <c r="A255" s="34">
        <v>41671</v>
      </c>
      <c r="B255" t="s">
        <v>1</v>
      </c>
      <c r="C255" s="9">
        <v>430</v>
      </c>
      <c r="D255" s="7">
        <f>MAIZ!D255</f>
        <v>7.8588649999999998</v>
      </c>
      <c r="E255" s="2">
        <f>MAIZ!E255</f>
        <v>8.9979128107703072</v>
      </c>
      <c r="F255" s="3">
        <f t="shared" si="39"/>
        <v>146.84201212497493</v>
      </c>
      <c r="G255" s="3">
        <f t="shared" si="35"/>
        <v>8.997912810770309</v>
      </c>
      <c r="H255" s="3">
        <f t="shared" si="33"/>
        <v>375.56620308156749</v>
      </c>
      <c r="I255" s="4">
        <f t="shared" si="42"/>
        <v>0.32</v>
      </c>
      <c r="J255" s="5">
        <f t="shared" si="40"/>
        <v>103.47416398443829</v>
      </c>
      <c r="K255" s="63">
        <f t="shared" si="34"/>
        <v>255.38501809546588</v>
      </c>
      <c r="L255" s="10">
        <f t="shared" si="41"/>
        <v>209.55182751295348</v>
      </c>
      <c r="M255" s="10">
        <f t="shared" si="41"/>
        <v>324.6150744475849</v>
      </c>
    </row>
    <row r="256" spans="1:13" x14ac:dyDescent="0.15">
      <c r="A256" s="34">
        <v>41699</v>
      </c>
      <c r="B256" t="s">
        <v>2</v>
      </c>
      <c r="C256" s="9">
        <v>452</v>
      </c>
      <c r="D256" s="7">
        <f>MAIZ!D256</f>
        <v>7.9392857142857123</v>
      </c>
      <c r="E256" s="2">
        <f>MAIZ!E256</f>
        <v>9.2678501950934162</v>
      </c>
      <c r="F256" s="3">
        <f t="shared" si="39"/>
        <v>151.39261278233914</v>
      </c>
      <c r="G256" s="3">
        <f t="shared" si="35"/>
        <v>9.267850195093418</v>
      </c>
      <c r="H256" s="3">
        <f t="shared" si="33"/>
        <v>387.2049145504094</v>
      </c>
      <c r="I256" s="4">
        <f t="shared" si="42"/>
        <v>0.32</v>
      </c>
      <c r="J256" s="5">
        <f t="shared" si="40"/>
        <v>106.68080486216644</v>
      </c>
      <c r="K256" s="63">
        <f t="shared" si="34"/>
        <v>263.29934189427837</v>
      </c>
      <c r="L256" s="10">
        <f t="shared" si="41"/>
        <v>209.55182751295348</v>
      </c>
      <c r="M256" s="10">
        <f t="shared" si="41"/>
        <v>324.6150744475849</v>
      </c>
    </row>
    <row r="257" spans="1:13" x14ac:dyDescent="0.15">
      <c r="A257" s="34">
        <v>41730</v>
      </c>
      <c r="B257" t="s">
        <v>3</v>
      </c>
      <c r="C257" s="9">
        <v>460</v>
      </c>
      <c r="D257" s="7">
        <f>MAIZ!D257</f>
        <v>8.01</v>
      </c>
      <c r="E257" s="2">
        <f>MAIZ!E257</f>
        <v>9.4717428993854718</v>
      </c>
      <c r="F257" s="3">
        <f t="shared" si="39"/>
        <v>152.09826850092898</v>
      </c>
      <c r="G257" s="3">
        <f t="shared" si="35"/>
        <v>9.4717428993854735</v>
      </c>
      <c r="H257" s="3">
        <f t="shared" si="33"/>
        <v>389.0097143830896</v>
      </c>
      <c r="I257" s="4">
        <f t="shared" si="42"/>
        <v>0.32</v>
      </c>
      <c r="J257" s="5">
        <f t="shared" si="40"/>
        <v>107.17805448770123</v>
      </c>
      <c r="K257" s="63">
        <f t="shared" si="34"/>
        <v>264.52660578050092</v>
      </c>
      <c r="L257" s="10">
        <f t="shared" si="41"/>
        <v>209.55182751295348</v>
      </c>
      <c r="M257" s="10">
        <f t="shared" si="41"/>
        <v>324.6150744475849</v>
      </c>
    </row>
    <row r="258" spans="1:13" x14ac:dyDescent="0.15">
      <c r="A258" s="34">
        <v>41760</v>
      </c>
      <c r="B258" t="s">
        <v>2</v>
      </c>
      <c r="C258" s="9">
        <v>460</v>
      </c>
      <c r="D258" s="7">
        <f>MAIZ!D258</f>
        <v>8.0527272727272745</v>
      </c>
      <c r="E258" s="2">
        <f>MAIZ!E258</f>
        <v>9.6801212431719517</v>
      </c>
      <c r="F258" s="3">
        <f t="shared" si="39"/>
        <v>149.61800133541811</v>
      </c>
      <c r="G258" s="3">
        <f t="shared" si="35"/>
        <v>9.6801212431719534</v>
      </c>
      <c r="H258" s="3">
        <f t="shared" ref="H258:H285" si="43">+(C258*D258)/G258</f>
        <v>382.66613117758294</v>
      </c>
      <c r="I258" s="4">
        <f t="shared" si="42"/>
        <v>0.32</v>
      </c>
      <c r="J258" s="5">
        <f t="shared" si="40"/>
        <v>105.43030145915471</v>
      </c>
      <c r="K258" s="63">
        <f t="shared" ref="K258:K285" si="44">+H258*(1-I258)</f>
        <v>260.21296920075639</v>
      </c>
      <c r="L258" s="10">
        <f t="shared" si="41"/>
        <v>209.55182751295348</v>
      </c>
      <c r="M258" s="10">
        <f t="shared" si="41"/>
        <v>324.6150744475849</v>
      </c>
    </row>
    <row r="259" spans="1:13" x14ac:dyDescent="0.15">
      <c r="A259" s="34">
        <v>41791</v>
      </c>
      <c r="B259" t="s">
        <v>4</v>
      </c>
      <c r="C259" s="9">
        <v>460</v>
      </c>
      <c r="D259" s="7">
        <f>MAIZ!D259</f>
        <v>8.1405452380952408</v>
      </c>
      <c r="E259" s="2">
        <f>MAIZ!E259</f>
        <v>9.883403789278562</v>
      </c>
      <c r="F259" s="3">
        <f t="shared" si="39"/>
        <v>148.13872762469092</v>
      </c>
      <c r="G259" s="3">
        <f t="shared" ref="G259:G285" si="45">+E259/AVERAGE(E$2:E$13)</f>
        <v>9.8834037892785638</v>
      </c>
      <c r="H259" s="3">
        <f t="shared" si="43"/>
        <v>378.88270977919348</v>
      </c>
      <c r="I259" s="4">
        <f t="shared" si="42"/>
        <v>0.32</v>
      </c>
      <c r="J259" s="5">
        <f t="shared" si="40"/>
        <v>104.3879116940827</v>
      </c>
      <c r="K259" s="63">
        <f t="shared" si="44"/>
        <v>257.64024264985153</v>
      </c>
      <c r="L259" s="10">
        <f t="shared" si="41"/>
        <v>209.55182751295348</v>
      </c>
      <c r="M259" s="10">
        <f t="shared" si="41"/>
        <v>324.6150744475849</v>
      </c>
    </row>
    <row r="260" spans="1:13" x14ac:dyDescent="0.15">
      <c r="A260" s="34">
        <v>41821</v>
      </c>
      <c r="B260" t="s">
        <v>4</v>
      </c>
      <c r="C260" s="9">
        <v>460</v>
      </c>
      <c r="D260" s="7">
        <f>MAIZ!D260</f>
        <v>8.1747826086956525</v>
      </c>
      <c r="E260" s="2">
        <f>MAIZ!E260</f>
        <v>10.130488884010525</v>
      </c>
      <c r="F260" s="3">
        <f t="shared" si="39"/>
        <v>145.13343125524324</v>
      </c>
      <c r="G260" s="3">
        <f t="shared" si="45"/>
        <v>10.130488884010527</v>
      </c>
      <c r="H260" s="3">
        <f t="shared" si="43"/>
        <v>371.19630089474094</v>
      </c>
      <c r="I260" s="4">
        <f t="shared" si="42"/>
        <v>0.32</v>
      </c>
      <c r="J260" s="5">
        <f t="shared" si="40"/>
        <v>102.27018990006778</v>
      </c>
      <c r="K260" s="63">
        <f t="shared" si="44"/>
        <v>252.41348460842383</v>
      </c>
      <c r="L260" s="10">
        <f t="shared" ref="L260:M275" si="46">+L259</f>
        <v>209.55182751295348</v>
      </c>
      <c r="M260" s="10">
        <f t="shared" si="46"/>
        <v>324.6150744475849</v>
      </c>
    </row>
    <row r="261" spans="1:13" x14ac:dyDescent="0.15">
      <c r="A261" s="34">
        <v>41852</v>
      </c>
      <c r="B261" t="s">
        <v>3</v>
      </c>
      <c r="C261" s="9">
        <v>425</v>
      </c>
      <c r="D261" s="7">
        <f>MAIZ!D261</f>
        <v>8.3311904761904714</v>
      </c>
      <c r="E261" s="2">
        <f>MAIZ!E261</f>
        <v>10.363490128342766</v>
      </c>
      <c r="F261" s="3">
        <f t="shared" si="39"/>
        <v>133.58379560463399</v>
      </c>
      <c r="G261" s="3">
        <f t="shared" si="45"/>
        <v>10.363490128342768</v>
      </c>
      <c r="H261" s="3">
        <f t="shared" si="43"/>
        <v>341.65671106275806</v>
      </c>
      <c r="I261" s="4">
        <f t="shared" si="42"/>
        <v>0.32</v>
      </c>
      <c r="J261" s="5">
        <f t="shared" si="40"/>
        <v>94.131586540052965</v>
      </c>
      <c r="K261" s="63">
        <f t="shared" si="44"/>
        <v>232.32656352267546</v>
      </c>
      <c r="L261" s="10">
        <f t="shared" si="46"/>
        <v>209.55182751295348</v>
      </c>
      <c r="M261" s="10">
        <f t="shared" si="46"/>
        <v>324.6150744475849</v>
      </c>
    </row>
    <row r="262" spans="1:13" x14ac:dyDescent="0.15">
      <c r="A262" s="34">
        <v>41883</v>
      </c>
      <c r="B262" t="s">
        <v>5</v>
      </c>
      <c r="C262" s="9">
        <v>395</v>
      </c>
      <c r="D262" s="7">
        <f>MAIZ!D262</f>
        <v>8.4328011363636364</v>
      </c>
      <c r="E262" s="2">
        <f>MAIZ!E262</f>
        <v>10.632940871679677</v>
      </c>
      <c r="F262" s="3">
        <f t="shared" si="39"/>
        <v>122.48400512210196</v>
      </c>
      <c r="G262" s="3">
        <f t="shared" si="45"/>
        <v>10.632940871679679</v>
      </c>
      <c r="H262" s="3">
        <f t="shared" si="43"/>
        <v>313.26765464627732</v>
      </c>
      <c r="I262" s="4">
        <f t="shared" si="42"/>
        <v>0.32</v>
      </c>
      <c r="J262" s="5">
        <f t="shared" si="40"/>
        <v>86.30997252127392</v>
      </c>
      <c r="K262" s="63">
        <f t="shared" si="44"/>
        <v>213.02200515946856</v>
      </c>
      <c r="L262" s="10">
        <f t="shared" si="46"/>
        <v>209.55182751295348</v>
      </c>
      <c r="M262" s="10">
        <f t="shared" si="46"/>
        <v>324.6150744475849</v>
      </c>
    </row>
    <row r="263" spans="1:13" x14ac:dyDescent="0.15">
      <c r="A263" s="34">
        <v>41913</v>
      </c>
      <c r="B263" t="s">
        <v>6</v>
      </c>
      <c r="C263" s="9">
        <v>370</v>
      </c>
      <c r="D263" s="7">
        <f>MAIZ!D263</f>
        <v>8.4918478260869534</v>
      </c>
      <c r="E263" s="2">
        <f>MAIZ!E263</f>
        <v>10.877498511728311</v>
      </c>
      <c r="F263" s="3">
        <f t="shared" si="39"/>
        <v>112.93764249679525</v>
      </c>
      <c r="G263" s="3">
        <f t="shared" si="45"/>
        <v>10.877498511728312</v>
      </c>
      <c r="H263" s="3">
        <f t="shared" si="43"/>
        <v>288.85167782504681</v>
      </c>
      <c r="I263" s="4">
        <f t="shared" si="42"/>
        <v>0.32</v>
      </c>
      <c r="J263" s="5">
        <f t="shared" si="40"/>
        <v>79.58300196665364</v>
      </c>
      <c r="K263" s="63">
        <f t="shared" si="44"/>
        <v>196.41914092103181</v>
      </c>
      <c r="L263" s="10">
        <f t="shared" si="46"/>
        <v>209.55182751295348</v>
      </c>
      <c r="M263" s="10">
        <f t="shared" si="46"/>
        <v>324.6150744475849</v>
      </c>
    </row>
    <row r="264" spans="1:13" x14ac:dyDescent="0.15">
      <c r="A264" s="34">
        <v>41944</v>
      </c>
      <c r="B264" t="s">
        <v>7</v>
      </c>
      <c r="C264" s="9">
        <v>374</v>
      </c>
      <c r="D264" s="7">
        <f>MAIZ!D264</f>
        <v>8.5269841097830259</v>
      </c>
      <c r="E264" s="2">
        <f>MAIZ!E264</f>
        <v>11.084170983451147</v>
      </c>
      <c r="F264" s="3">
        <f t="shared" si="39"/>
        <v>112.49356048327139</v>
      </c>
      <c r="G264" s="3">
        <f t="shared" si="45"/>
        <v>11.084170983451148</v>
      </c>
      <c r="H264" s="3">
        <f t="shared" si="43"/>
        <v>287.71588437423236</v>
      </c>
      <c r="I264" s="4">
        <f t="shared" si="42"/>
        <v>0.32</v>
      </c>
      <c r="J264" s="5">
        <f t="shared" si="40"/>
        <v>79.270073708419204</v>
      </c>
      <c r="K264" s="63">
        <f t="shared" si="44"/>
        <v>195.64680137447797</v>
      </c>
      <c r="L264" s="10">
        <f t="shared" si="46"/>
        <v>209.55182751295348</v>
      </c>
      <c r="M264" s="10">
        <f t="shared" si="46"/>
        <v>324.6150744475849</v>
      </c>
    </row>
    <row r="265" spans="1:13" x14ac:dyDescent="0.15">
      <c r="A265" s="34">
        <v>41974</v>
      </c>
      <c r="B265" t="s">
        <v>50</v>
      </c>
      <c r="C265" s="9">
        <v>390</v>
      </c>
      <c r="D265" s="7">
        <f>MAIZ!D265</f>
        <v>8.5620347826086949</v>
      </c>
      <c r="E265" s="2">
        <f>MAIZ!E265</f>
        <v>11.35816649166286</v>
      </c>
      <c r="F265" s="3">
        <f t="shared" si="39"/>
        <v>114.94688000262914</v>
      </c>
      <c r="G265" s="3">
        <f t="shared" si="45"/>
        <v>11.358166491662862</v>
      </c>
      <c r="H265" s="3">
        <f t="shared" si="43"/>
        <v>293.99054571602124</v>
      </c>
      <c r="I265" s="4">
        <f t="shared" si="42"/>
        <v>0.32</v>
      </c>
      <c r="J265" s="5">
        <f t="shared" si="40"/>
        <v>80.998837722059918</v>
      </c>
      <c r="K265" s="63">
        <f t="shared" si="44"/>
        <v>199.91357108689442</v>
      </c>
      <c r="L265" s="10">
        <f t="shared" si="46"/>
        <v>209.55182751295348</v>
      </c>
      <c r="M265" s="10">
        <f t="shared" si="46"/>
        <v>324.6150744475849</v>
      </c>
    </row>
    <row r="266" spans="1:13" x14ac:dyDescent="0.15">
      <c r="A266" s="34">
        <v>42005</v>
      </c>
      <c r="B266" t="s">
        <v>51</v>
      </c>
      <c r="C266" s="9">
        <v>390</v>
      </c>
      <c r="D266" s="7">
        <f>MAIZ!D266</f>
        <v>8.6109966565766225</v>
      </c>
      <c r="E266" s="2">
        <f>MAIZ!E266</f>
        <v>11.580511462696627</v>
      </c>
      <c r="F266" s="3">
        <f t="shared" si="39"/>
        <v>113.38460989437624</v>
      </c>
      <c r="G266" s="3">
        <f t="shared" si="45"/>
        <v>11.580511462696629</v>
      </c>
      <c r="H266" s="3">
        <f t="shared" si="43"/>
        <v>289.99485099450646</v>
      </c>
      <c r="I266" s="4">
        <f t="shared" si="42"/>
        <v>0.32</v>
      </c>
      <c r="J266" s="5">
        <f t="shared" si="40"/>
        <v>79.897963448886884</v>
      </c>
      <c r="K266" s="63">
        <f t="shared" si="44"/>
        <v>197.19649867626438</v>
      </c>
      <c r="L266" s="10">
        <f t="shared" si="46"/>
        <v>209.55182751295348</v>
      </c>
      <c r="M266" s="10">
        <f t="shared" si="46"/>
        <v>324.6150744475849</v>
      </c>
    </row>
    <row r="267" spans="1:13" x14ac:dyDescent="0.15">
      <c r="A267" s="34">
        <v>42036</v>
      </c>
      <c r="B267" t="s">
        <v>1</v>
      </c>
      <c r="C267" s="9">
        <v>390</v>
      </c>
      <c r="D267" s="7">
        <f>MAIZ!D267</f>
        <v>8.6939970523682319</v>
      </c>
      <c r="E267" s="2">
        <f>MAIZ!E267</f>
        <v>11.748729495674439</v>
      </c>
      <c r="F267" s="3">
        <f t="shared" si="39"/>
        <v>112.83842465547973</v>
      </c>
      <c r="G267" s="3">
        <f t="shared" si="45"/>
        <v>11.748729495674441</v>
      </c>
      <c r="H267" s="3">
        <f t="shared" si="43"/>
        <v>288.59791619782868</v>
      </c>
      <c r="I267" s="4">
        <f t="shared" si="42"/>
        <v>0.32</v>
      </c>
      <c r="J267" s="5">
        <f t="shared" si="40"/>
        <v>79.513086803861356</v>
      </c>
      <c r="K267" s="63">
        <f t="shared" si="44"/>
        <v>196.24658301452348</v>
      </c>
      <c r="L267" s="10">
        <f t="shared" si="46"/>
        <v>209.55182751295348</v>
      </c>
      <c r="M267" s="10">
        <f t="shared" si="46"/>
        <v>324.6150744475849</v>
      </c>
    </row>
    <row r="268" spans="1:13" x14ac:dyDescent="0.15">
      <c r="A268" s="34">
        <v>42064</v>
      </c>
      <c r="B268" t="s">
        <v>2</v>
      </c>
      <c r="C268" s="9">
        <v>390</v>
      </c>
      <c r="D268" s="7">
        <f>MAIZ!D268</f>
        <v>8.7922075377180153</v>
      </c>
      <c r="E268" s="2">
        <f>MAIZ!E268</f>
        <v>11.944010997680232</v>
      </c>
      <c r="F268" s="3">
        <f t="shared" si="39"/>
        <v>112.2473680874913</v>
      </c>
      <c r="G268" s="3">
        <f t="shared" si="45"/>
        <v>11.944010997680234</v>
      </c>
      <c r="H268" s="3">
        <f t="shared" si="43"/>
        <v>287.08621755087125</v>
      </c>
      <c r="I268" s="4">
        <f t="shared" si="42"/>
        <v>0.32</v>
      </c>
      <c r="J268" s="5">
        <f t="shared" si="40"/>
        <v>79.096590983931677</v>
      </c>
      <c r="K268" s="63">
        <f t="shared" si="44"/>
        <v>195.21862793459243</v>
      </c>
      <c r="L268" s="10">
        <f t="shared" si="46"/>
        <v>209.55182751295348</v>
      </c>
      <c r="M268" s="10">
        <f t="shared" si="46"/>
        <v>324.6150744475849</v>
      </c>
    </row>
    <row r="269" spans="1:13" x14ac:dyDescent="0.15">
      <c r="A269" s="34">
        <v>42095</v>
      </c>
      <c r="B269" t="s">
        <v>3</v>
      </c>
      <c r="C269" s="9">
        <v>390</v>
      </c>
      <c r="D269" s="7">
        <f>MAIZ!D269</f>
        <v>8.8757954545454538</v>
      </c>
      <c r="E269" s="2">
        <f>MAIZ!E269</f>
        <v>12.226850781835356</v>
      </c>
      <c r="F269" s="3">
        <f t="shared" si="39"/>
        <v>110.69324103824316</v>
      </c>
      <c r="G269" s="3">
        <f t="shared" si="45"/>
        <v>12.226850781835358</v>
      </c>
      <c r="H269" s="3">
        <f t="shared" si="43"/>
        <v>283.11134968747172</v>
      </c>
      <c r="I269" s="4">
        <f t="shared" si="42"/>
        <v>0.32</v>
      </c>
      <c r="J269" s="5">
        <f t="shared" si="40"/>
        <v>78.001454824876006</v>
      </c>
      <c r="K269" s="63">
        <f t="shared" si="44"/>
        <v>192.51571778748075</v>
      </c>
      <c r="L269" s="10">
        <f t="shared" si="46"/>
        <v>209.55182751295348</v>
      </c>
      <c r="M269" s="10">
        <f t="shared" si="46"/>
        <v>324.6150744475849</v>
      </c>
    </row>
    <row r="270" spans="1:13" x14ac:dyDescent="0.15">
      <c r="A270" s="34">
        <v>42125</v>
      </c>
      <c r="B270" t="s">
        <v>2</v>
      </c>
      <c r="C270" s="9">
        <v>390</v>
      </c>
      <c r="D270" s="7">
        <f>MAIZ!D270</f>
        <v>8.961666666666666</v>
      </c>
      <c r="E270" s="2">
        <f>MAIZ!E270</f>
        <v>12.49748547211512</v>
      </c>
      <c r="F270" s="3">
        <f t="shared" si="39"/>
        <v>109.34390401542335</v>
      </c>
      <c r="G270" s="3">
        <f t="shared" si="45"/>
        <v>12.497485472115121</v>
      </c>
      <c r="H270" s="3">
        <f t="shared" si="43"/>
        <v>279.6602570811778</v>
      </c>
      <c r="I270" s="4">
        <f t="shared" si="42"/>
        <v>0.32</v>
      </c>
      <c r="J270" s="5">
        <f t="shared" si="40"/>
        <v>77.050626663718006</v>
      </c>
      <c r="K270" s="63">
        <f t="shared" si="44"/>
        <v>190.1689748152009</v>
      </c>
      <c r="L270" s="10">
        <f t="shared" si="46"/>
        <v>209.55182751295348</v>
      </c>
      <c r="M270" s="10">
        <f t="shared" si="46"/>
        <v>324.6150744475849</v>
      </c>
    </row>
    <row r="271" spans="1:13" x14ac:dyDescent="0.15">
      <c r="A271" s="34">
        <v>42156</v>
      </c>
      <c r="B271" t="s">
        <v>4</v>
      </c>
      <c r="C271" s="9">
        <v>390</v>
      </c>
      <c r="D271" s="7">
        <f>MAIZ!D271</f>
        <v>9.0500000000000007</v>
      </c>
      <c r="E271" s="2">
        <f>MAIZ!E271</f>
        <v>12.666234161348385</v>
      </c>
      <c r="F271" s="3">
        <f t="shared" si="39"/>
        <v>108.95056756137205</v>
      </c>
      <c r="G271" s="3">
        <f t="shared" si="45"/>
        <v>12.666234161348386</v>
      </c>
      <c r="H271" s="3">
        <f t="shared" si="43"/>
        <v>278.65425153519084</v>
      </c>
      <c r="I271" s="4">
        <f t="shared" si="42"/>
        <v>0.32</v>
      </c>
      <c r="J271" s="5">
        <f t="shared" si="40"/>
        <v>76.773456934438329</v>
      </c>
      <c r="K271" s="63">
        <f t="shared" si="44"/>
        <v>189.48489104392976</v>
      </c>
      <c r="L271" s="10">
        <f t="shared" si="46"/>
        <v>209.55182751295348</v>
      </c>
      <c r="M271" s="10">
        <f t="shared" si="46"/>
        <v>324.6150744475849</v>
      </c>
    </row>
    <row r="272" spans="1:13" x14ac:dyDescent="0.15">
      <c r="A272" s="34">
        <v>42186</v>
      </c>
      <c r="B272" t="s">
        <v>4</v>
      </c>
      <c r="C272" s="9">
        <v>383</v>
      </c>
      <c r="D272" s="7">
        <f>MAIZ!D272</f>
        <v>9.1413869565217389</v>
      </c>
      <c r="E272" s="2">
        <f>MAIZ!E272</f>
        <v>12.924663757752787</v>
      </c>
      <c r="F272" s="3">
        <f t="shared" si="39"/>
        <v>105.91450403733008</v>
      </c>
      <c r="G272" s="3">
        <f t="shared" si="45"/>
        <v>12.924663757752789</v>
      </c>
      <c r="H272" s="3">
        <f t="shared" si="43"/>
        <v>270.88915193230304</v>
      </c>
      <c r="I272" s="4">
        <f t="shared" si="42"/>
        <v>0.32</v>
      </c>
      <c r="J272" s="5">
        <f t="shared" si="40"/>
        <v>74.634054658429477</v>
      </c>
      <c r="K272" s="63">
        <f t="shared" si="44"/>
        <v>184.20462331396604</v>
      </c>
      <c r="L272" s="10">
        <f t="shared" si="46"/>
        <v>209.55182751295348</v>
      </c>
      <c r="M272" s="10">
        <f t="shared" si="46"/>
        <v>324.6150744475849</v>
      </c>
    </row>
    <row r="273" spans="1:13" x14ac:dyDescent="0.15">
      <c r="A273" s="34">
        <v>42217</v>
      </c>
      <c r="B273" t="s">
        <v>3</v>
      </c>
      <c r="C273" s="9">
        <v>363</v>
      </c>
      <c r="D273" s="7">
        <f>MAIZ!D273</f>
        <v>9.2501161904761915</v>
      </c>
      <c r="E273" s="2">
        <f>MAIZ!E273</f>
        <v>13.16133644768372</v>
      </c>
      <c r="F273" s="3">
        <f t="shared" si="39"/>
        <v>99.751088856136832</v>
      </c>
      <c r="G273" s="3">
        <f t="shared" si="45"/>
        <v>13.161336447683722</v>
      </c>
      <c r="H273" s="3">
        <f t="shared" si="43"/>
        <v>255.12547228695752</v>
      </c>
      <c r="I273" s="4">
        <f t="shared" si="42"/>
        <v>0.32</v>
      </c>
      <c r="J273" s="5">
        <f t="shared" si="40"/>
        <v>70.290922717277766</v>
      </c>
      <c r="K273" s="63">
        <f t="shared" si="44"/>
        <v>173.48532115513109</v>
      </c>
      <c r="L273" s="10">
        <f t="shared" si="46"/>
        <v>209.55182751295348</v>
      </c>
      <c r="M273" s="10">
        <f t="shared" si="46"/>
        <v>324.6150744475849</v>
      </c>
    </row>
    <row r="274" spans="1:13" x14ac:dyDescent="0.15">
      <c r="A274" s="34">
        <v>42248</v>
      </c>
      <c r="B274" t="s">
        <v>5</v>
      </c>
      <c r="C274" s="9">
        <v>351</v>
      </c>
      <c r="D274" s="7">
        <f>MAIZ!D274</f>
        <v>9.3753409090909088</v>
      </c>
      <c r="E274" s="2">
        <f>MAIZ!E274</f>
        <v>13.379436168673882</v>
      </c>
      <c r="F274" s="3">
        <f t="shared" si="39"/>
        <v>96.165699840721999</v>
      </c>
      <c r="G274" s="3">
        <f t="shared" si="45"/>
        <v>13.379436168673884</v>
      </c>
      <c r="H274" s="3">
        <f t="shared" si="43"/>
        <v>245.95540631194433</v>
      </c>
      <c r="I274" s="4">
        <f t="shared" si="42"/>
        <v>0.32</v>
      </c>
      <c r="J274" s="5">
        <f t="shared" si="40"/>
        <v>67.764430975845542</v>
      </c>
      <c r="K274" s="63">
        <f t="shared" si="44"/>
        <v>167.24967629212213</v>
      </c>
      <c r="L274" s="10">
        <f t="shared" si="46"/>
        <v>209.55182751295348</v>
      </c>
      <c r="M274" s="10">
        <f t="shared" si="46"/>
        <v>324.6150744475849</v>
      </c>
    </row>
    <row r="275" spans="1:13" x14ac:dyDescent="0.15">
      <c r="A275" s="34">
        <v>42278</v>
      </c>
      <c r="B275" t="s">
        <v>6</v>
      </c>
      <c r="C275" s="9">
        <v>365</v>
      </c>
      <c r="D275" s="7">
        <f>MAIZ!D275</f>
        <v>9.4996797405650941</v>
      </c>
      <c r="E275" s="2">
        <f>MAIZ!E275</f>
        <v>13.607087702262156</v>
      </c>
      <c r="F275" s="3">
        <f t="shared" si="39"/>
        <v>99.632371592164304</v>
      </c>
      <c r="G275" s="3">
        <f t="shared" si="45"/>
        <v>13.607087702262158</v>
      </c>
      <c r="H275" s="3">
        <f t="shared" si="43"/>
        <v>254.82183852829965</v>
      </c>
      <c r="I275" s="4">
        <f t="shared" si="42"/>
        <v>0.32</v>
      </c>
      <c r="J275" s="5">
        <f t="shared" si="40"/>
        <v>70.207267028675361</v>
      </c>
      <c r="K275" s="63">
        <f t="shared" si="44"/>
        <v>173.27885019924375</v>
      </c>
      <c r="L275" s="10">
        <f t="shared" si="46"/>
        <v>209.55182751295348</v>
      </c>
      <c r="M275" s="10">
        <f t="shared" si="46"/>
        <v>324.6150744475849</v>
      </c>
    </row>
    <row r="276" spans="1:13" x14ac:dyDescent="0.15">
      <c r="A276" s="34">
        <v>42309</v>
      </c>
      <c r="B276" t="s">
        <v>7</v>
      </c>
      <c r="C276" s="9">
        <v>369</v>
      </c>
      <c r="D276" s="7">
        <f>MAIZ!D276</f>
        <v>9.6595714285714269</v>
      </c>
      <c r="E276" s="2">
        <f>MAIZ!E276</f>
        <v>13.872946486242865</v>
      </c>
      <c r="F276" s="3">
        <f>+(C276*(D276/E276))/(AVERAGE(C$109)*AVERAGE(D$109)/AVERAGE(E$109))*100</f>
        <v>100.45679928826101</v>
      </c>
      <c r="G276" s="3">
        <f t="shared" si="45"/>
        <v>13.872946486242867</v>
      </c>
      <c r="H276" s="3">
        <f t="shared" si="43"/>
        <v>256.93041205611814</v>
      </c>
      <c r="I276" s="4">
        <f t="shared" si="42"/>
        <v>0.32</v>
      </c>
      <c r="J276" s="5">
        <f t="shared" si="40"/>
        <v>70.788210897427447</v>
      </c>
      <c r="K276" s="63">
        <f t="shared" si="44"/>
        <v>174.71268019816031</v>
      </c>
      <c r="L276" s="10">
        <f t="shared" ref="L276:M289" si="47">+L275</f>
        <v>209.55182751295348</v>
      </c>
      <c r="M276" s="10">
        <f t="shared" si="47"/>
        <v>324.6150744475849</v>
      </c>
    </row>
    <row r="277" spans="1:13" x14ac:dyDescent="0.15">
      <c r="A277" s="34">
        <v>42339</v>
      </c>
      <c r="B277" t="s">
        <v>52</v>
      </c>
      <c r="C277" s="9">
        <v>385</v>
      </c>
      <c r="D277" s="7">
        <f>MAIZ!D277</f>
        <v>11.468809157142855</v>
      </c>
      <c r="E277" s="2">
        <f>MAIZ!E277</f>
        <v>14.416338491824195</v>
      </c>
      <c r="F277" s="3">
        <f t="shared" si="39"/>
        <v>119.75341528413324</v>
      </c>
      <c r="G277" s="3">
        <f t="shared" si="45"/>
        <v>14.416338491824197</v>
      </c>
      <c r="H277" s="3">
        <f t="shared" si="43"/>
        <v>306.2838409353468</v>
      </c>
      <c r="I277" s="4">
        <v>0.16</v>
      </c>
      <c r="J277" s="5">
        <f t="shared" si="40"/>
        <v>104.24131485872738</v>
      </c>
      <c r="K277" s="63">
        <f t="shared" si="44"/>
        <v>257.27842638569132</v>
      </c>
      <c r="L277" s="10">
        <f t="shared" si="47"/>
        <v>209.55182751295348</v>
      </c>
      <c r="M277" s="10">
        <f t="shared" si="47"/>
        <v>324.6150744475849</v>
      </c>
    </row>
    <row r="278" spans="1:13" x14ac:dyDescent="0.15">
      <c r="A278" s="34">
        <v>42370</v>
      </c>
      <c r="B278" t="s">
        <v>53</v>
      </c>
      <c r="C278" s="9">
        <v>385</v>
      </c>
      <c r="D278" s="7">
        <f>MAIZ!D278</f>
        <v>13.6548</v>
      </c>
      <c r="E278" s="2">
        <f>MAIZ!E278</f>
        <v>15.012796122950578</v>
      </c>
      <c r="F278" s="3">
        <f t="shared" si="39"/>
        <v>136.91414210243963</v>
      </c>
      <c r="G278" s="3">
        <f t="shared" si="45"/>
        <v>15.012796122950579</v>
      </c>
      <c r="H278" s="3">
        <f t="shared" si="43"/>
        <v>350.17447495761917</v>
      </c>
      <c r="I278" s="4">
        <v>0</v>
      </c>
      <c r="J278" s="5">
        <f t="shared" si="40"/>
        <v>141.87994000252812</v>
      </c>
      <c r="K278" s="63">
        <f t="shared" si="44"/>
        <v>350.17447495761917</v>
      </c>
      <c r="L278" s="10">
        <f t="shared" si="47"/>
        <v>209.55182751295348</v>
      </c>
      <c r="M278" s="10">
        <f t="shared" si="47"/>
        <v>324.6150744475849</v>
      </c>
    </row>
    <row r="279" spans="1:13" x14ac:dyDescent="0.15">
      <c r="A279" s="34">
        <v>42401</v>
      </c>
      <c r="B279" t="s">
        <v>1</v>
      </c>
      <c r="C279" s="9">
        <v>380</v>
      </c>
      <c r="D279" s="7">
        <f>MAIZ!D279</f>
        <v>14.8146</v>
      </c>
      <c r="E279" s="2">
        <f>MAIZ!E279</f>
        <v>15.608723097821507</v>
      </c>
      <c r="F279" s="3">
        <f t="shared" si="39"/>
        <v>141.01651371126681</v>
      </c>
      <c r="G279" s="3">
        <f t="shared" si="45"/>
        <v>15.608723097821509</v>
      </c>
      <c r="H279" s="3">
        <f t="shared" si="43"/>
        <v>360.66678643211429</v>
      </c>
      <c r="I279" s="4">
        <v>0</v>
      </c>
      <c r="J279" s="5">
        <f t="shared" si="40"/>
        <v>146.13110229146821</v>
      </c>
      <c r="K279" s="63">
        <f t="shared" si="44"/>
        <v>360.66678643211429</v>
      </c>
      <c r="L279" s="10">
        <f t="shared" si="47"/>
        <v>209.55182751295348</v>
      </c>
      <c r="M279" s="10">
        <f t="shared" si="47"/>
        <v>324.6150744475849</v>
      </c>
    </row>
    <row r="280" spans="1:13" x14ac:dyDescent="0.15">
      <c r="A280" s="34">
        <v>42430</v>
      </c>
      <c r="B280" t="s">
        <v>2</v>
      </c>
      <c r="C280" s="9">
        <v>381</v>
      </c>
      <c r="D280" s="7">
        <f>MAIZ!D280</f>
        <v>14.961499999999999</v>
      </c>
      <c r="E280" s="2">
        <f>MAIZ!E280</f>
        <v>16.126643603141211</v>
      </c>
      <c r="F280" s="3">
        <f t="shared" si="39"/>
        <v>138.20378832994476</v>
      </c>
      <c r="G280" s="3">
        <f t="shared" si="45"/>
        <v>16.126643603141215</v>
      </c>
      <c r="H280" s="3">
        <f t="shared" si="43"/>
        <v>353.47290113670431</v>
      </c>
      <c r="I280" s="4">
        <v>0</v>
      </c>
      <c r="J280" s="5">
        <f t="shared" si="40"/>
        <v>143.21636096367331</v>
      </c>
      <c r="K280" s="63">
        <f t="shared" si="44"/>
        <v>353.47290113670431</v>
      </c>
      <c r="L280" s="10">
        <f t="shared" si="47"/>
        <v>209.55182751295348</v>
      </c>
      <c r="M280" s="10">
        <f t="shared" si="47"/>
        <v>324.6150744475849</v>
      </c>
    </row>
    <row r="281" spans="1:13" x14ac:dyDescent="0.15">
      <c r="A281" s="34">
        <v>42461</v>
      </c>
      <c r="B281" t="s">
        <v>3</v>
      </c>
      <c r="C281" s="9">
        <v>380</v>
      </c>
      <c r="D281" s="7">
        <f>MAIZ!D281</f>
        <v>14.4095</v>
      </c>
      <c r="E281" s="2">
        <f>MAIZ!E281</f>
        <v>17.182118895232289</v>
      </c>
      <c r="F281" s="3">
        <f t="shared" si="39"/>
        <v>124.60045017288945</v>
      </c>
      <c r="G281" s="3">
        <f t="shared" si="45"/>
        <v>17.182118895232293</v>
      </c>
      <c r="H281" s="3">
        <f t="shared" si="43"/>
        <v>318.68071879769008</v>
      </c>
      <c r="I281" s="4">
        <v>0</v>
      </c>
      <c r="J281" s="5">
        <f t="shared" si="40"/>
        <v>129.11963748485954</v>
      </c>
      <c r="K281" s="63">
        <f t="shared" si="44"/>
        <v>318.68071879769008</v>
      </c>
      <c r="L281" s="10">
        <f t="shared" si="47"/>
        <v>209.55182751295348</v>
      </c>
      <c r="M281" s="10">
        <f t="shared" si="47"/>
        <v>324.6150744475849</v>
      </c>
    </row>
    <row r="282" spans="1:13" x14ac:dyDescent="0.15">
      <c r="A282" s="34">
        <v>42491</v>
      </c>
      <c r="B282" t="s">
        <v>2</v>
      </c>
      <c r="C282" s="9">
        <v>380</v>
      </c>
      <c r="D282" s="7">
        <f>MAIZ!D282</f>
        <v>14.137723809523809</v>
      </c>
      <c r="E282" s="2">
        <f>MAIZ!E282</f>
        <v>17.90263386898496</v>
      </c>
      <c r="F282" s="3">
        <f t="shared" si="39"/>
        <v>117.33024653501319</v>
      </c>
      <c r="G282" s="3">
        <f t="shared" si="45"/>
        <v>17.902633868984964</v>
      </c>
      <c r="H282" s="3">
        <f t="shared" si="43"/>
        <v>300.0862938344639</v>
      </c>
      <c r="I282" s="4">
        <v>0</v>
      </c>
      <c r="J282" s="5">
        <f t="shared" si="40"/>
        <v>121.58574770467688</v>
      </c>
      <c r="K282" s="63">
        <f t="shared" si="44"/>
        <v>300.0862938344639</v>
      </c>
      <c r="L282" s="10">
        <f t="shared" si="47"/>
        <v>209.55182751295348</v>
      </c>
      <c r="M282" s="10">
        <f t="shared" si="47"/>
        <v>324.6150744475849</v>
      </c>
    </row>
    <row r="283" spans="1:13" x14ac:dyDescent="0.15">
      <c r="A283" s="34">
        <v>42522</v>
      </c>
      <c r="B283" t="s">
        <v>4</v>
      </c>
      <c r="C283" s="9">
        <v>380</v>
      </c>
      <c r="D283" s="7">
        <f>MAIZ!D283</f>
        <v>14.1408</v>
      </c>
      <c r="E283" s="2">
        <f>MAIZ!E283</f>
        <v>18.453286415339367</v>
      </c>
      <c r="F283" s="3">
        <f t="shared" si="39"/>
        <v>113.85383854968647</v>
      </c>
      <c r="G283" s="3">
        <f t="shared" si="45"/>
        <v>18.45328641533937</v>
      </c>
      <c r="H283" s="3">
        <f t="shared" si="43"/>
        <v>291.19496002258182</v>
      </c>
      <c r="I283" s="4">
        <v>0</v>
      </c>
      <c r="J283" s="5">
        <f t="shared" si="40"/>
        <v>117.98325238309479</v>
      </c>
      <c r="K283" s="63">
        <f t="shared" si="44"/>
        <v>291.19496002258182</v>
      </c>
      <c r="L283" s="10">
        <f t="shared" si="47"/>
        <v>209.55182751295348</v>
      </c>
      <c r="M283" s="10">
        <f t="shared" si="47"/>
        <v>324.6150744475849</v>
      </c>
    </row>
    <row r="284" spans="1:13" x14ac:dyDescent="0.15">
      <c r="A284" s="34">
        <v>42552</v>
      </c>
      <c r="B284" t="s">
        <v>4</v>
      </c>
      <c r="C284" s="9">
        <v>380</v>
      </c>
      <c r="D284" s="7">
        <f>MAIZ!D284</f>
        <v>14.909384999999997</v>
      </c>
      <c r="E284" s="2">
        <f>MAIZ!E284</f>
        <v>18.830983752894365</v>
      </c>
      <c r="F284" s="3">
        <f t="shared" si="39"/>
        <v>117.63434559194562</v>
      </c>
      <c r="G284" s="3">
        <f t="shared" si="45"/>
        <v>18.830983752894369</v>
      </c>
      <c r="H284" s="3">
        <f t="shared" si="43"/>
        <v>300.86406394616461</v>
      </c>
      <c r="I284" s="4">
        <v>0</v>
      </c>
      <c r="J284" s="5">
        <f t="shared" si="40"/>
        <v>121.90087626108354</v>
      </c>
      <c r="K284" s="63">
        <f t="shared" si="44"/>
        <v>300.86406394616461</v>
      </c>
      <c r="L284" s="10">
        <f t="shared" si="47"/>
        <v>209.55182751295348</v>
      </c>
      <c r="M284" s="10">
        <f t="shared" si="47"/>
        <v>324.6150744475849</v>
      </c>
    </row>
    <row r="285" spans="1:13" x14ac:dyDescent="0.15">
      <c r="A285" s="34">
        <v>42583</v>
      </c>
      <c r="B285" t="s">
        <v>3</v>
      </c>
      <c r="C285" s="9">
        <v>380</v>
      </c>
      <c r="D285" s="7">
        <f>MAIZ!D285</f>
        <v>14.849809090909089</v>
      </c>
      <c r="E285" s="2">
        <f>MAIZ!E285</f>
        <v>18.86902496412841</v>
      </c>
      <c r="F285" s="3">
        <f t="shared" ref="F285:F291" si="48">+(C285*(D285/E285))/(AVERAGE(C$109)*AVERAGE(D$109)/AVERAGE(E$109))*100</f>
        <v>116.92808345232196</v>
      </c>
      <c r="G285" s="3">
        <f t="shared" si="45"/>
        <v>18.869024964128414</v>
      </c>
      <c r="H285" s="3">
        <f t="shared" si="43"/>
        <v>299.05771311835815</v>
      </c>
      <c r="I285" s="4">
        <v>0</v>
      </c>
      <c r="J285" s="5">
        <f t="shared" si="40"/>
        <v>121.16899839618856</v>
      </c>
      <c r="K285" s="63">
        <f t="shared" si="44"/>
        <v>299.05771311835815</v>
      </c>
      <c r="L285" s="10">
        <f t="shared" si="47"/>
        <v>209.55182751295348</v>
      </c>
      <c r="M285" s="10">
        <f t="shared" si="47"/>
        <v>324.6150744475849</v>
      </c>
    </row>
    <row r="286" spans="1:13" s="16" customFormat="1" x14ac:dyDescent="0.15">
      <c r="A286" s="34">
        <v>42614</v>
      </c>
      <c r="B286" s="16" t="s">
        <v>5</v>
      </c>
      <c r="C286" s="23">
        <v>380</v>
      </c>
      <c r="D286" s="7">
        <f>MAIZ!D286</f>
        <v>15.100736363636367</v>
      </c>
      <c r="E286" s="18">
        <f>MAIZ!E286</f>
        <v>19.085846122467348</v>
      </c>
      <c r="F286" s="19">
        <f t="shared" si="48"/>
        <v>117.55311109209107</v>
      </c>
      <c r="G286" s="19">
        <f t="shared" ref="G286:G291" si="49">+E286/AVERAGE(E$2:E$13)</f>
        <v>19.085846122467352</v>
      </c>
      <c r="H286" s="19">
        <f t="shared" ref="H286:H291" si="50">+(C286*D286)/G286</f>
        <v>300.65629688939327</v>
      </c>
      <c r="I286" s="4">
        <v>0</v>
      </c>
      <c r="J286" s="21">
        <f t="shared" ref="J286:J291" si="51">+F286*(1-I286)/(F$109*(1-I$109))*100</f>
        <v>121.81669543221874</v>
      </c>
      <c r="K286" s="64">
        <f t="shared" ref="K286:K291" si="52">+H286*(1-I286)</f>
        <v>300.65629688939327</v>
      </c>
      <c r="L286" s="22">
        <f t="shared" si="47"/>
        <v>209.55182751295348</v>
      </c>
      <c r="M286" s="22">
        <f t="shared" si="47"/>
        <v>324.6150744475849</v>
      </c>
    </row>
    <row r="287" spans="1:13" s="16" customFormat="1" x14ac:dyDescent="0.15">
      <c r="A287" s="34">
        <v>42644</v>
      </c>
      <c r="B287" s="16" t="s">
        <v>6</v>
      </c>
      <c r="C287" s="23">
        <v>380</v>
      </c>
      <c r="D287" s="17">
        <f>MAIZ!D287</f>
        <v>15.180999999999999</v>
      </c>
      <c r="E287" s="18">
        <f>MAIZ!E287</f>
        <v>19.536155094473596</v>
      </c>
      <c r="F287" s="19">
        <f t="shared" si="48"/>
        <v>115.45392604354406</v>
      </c>
      <c r="G287" s="19">
        <f t="shared" si="49"/>
        <v>19.5361550944736</v>
      </c>
      <c r="H287" s="19">
        <f t="shared" si="50"/>
        <v>295.28737728089988</v>
      </c>
      <c r="I287" s="4">
        <v>0</v>
      </c>
      <c r="J287" s="21">
        <f t="shared" si="51"/>
        <v>119.64137413838762</v>
      </c>
      <c r="K287" s="64">
        <f t="shared" si="52"/>
        <v>295.28737728089988</v>
      </c>
      <c r="L287" s="22">
        <f t="shared" ref="L287:L350" si="53">+L286</f>
        <v>209.55182751295348</v>
      </c>
      <c r="M287" s="22">
        <f t="shared" si="47"/>
        <v>324.6150744475849</v>
      </c>
    </row>
    <row r="288" spans="1:13" x14ac:dyDescent="0.15">
      <c r="A288" s="34">
        <v>42675</v>
      </c>
      <c r="B288" t="s">
        <v>7</v>
      </c>
      <c r="C288" s="23">
        <v>380</v>
      </c>
      <c r="D288" s="17">
        <f>MAIZ!D288</f>
        <v>15.3399</v>
      </c>
      <c r="E288" s="18">
        <f>MAIZ!E288</f>
        <v>19.852340446383657</v>
      </c>
      <c r="F288" s="19">
        <f t="shared" si="48"/>
        <v>114.80432095600355</v>
      </c>
      <c r="G288" s="19">
        <f t="shared" si="49"/>
        <v>19.852340446383661</v>
      </c>
      <c r="H288" s="19">
        <f t="shared" si="50"/>
        <v>293.62593371512787</v>
      </c>
      <c r="I288" s="4">
        <v>0</v>
      </c>
      <c r="J288" s="21">
        <f t="shared" si="51"/>
        <v>118.96820824456327</v>
      </c>
      <c r="K288" s="64">
        <f t="shared" si="52"/>
        <v>293.62593371512787</v>
      </c>
      <c r="L288" s="22">
        <f t="shared" si="53"/>
        <v>209.55182751295348</v>
      </c>
      <c r="M288" s="22">
        <f t="shared" si="47"/>
        <v>324.6150744475849</v>
      </c>
    </row>
    <row r="289" spans="1:13" s="16" customFormat="1" x14ac:dyDescent="0.15">
      <c r="A289" s="34">
        <v>42705</v>
      </c>
      <c r="B289" s="16" t="s">
        <v>55</v>
      </c>
      <c r="C289" s="23">
        <v>379</v>
      </c>
      <c r="D289" s="17">
        <f>MAIZ!D289</f>
        <v>15.829599999999999</v>
      </c>
      <c r="E289" s="18">
        <f>MAIZ!E289</f>
        <v>20.090072243418092</v>
      </c>
      <c r="F289" s="19">
        <f t="shared" si="48"/>
        <v>116.75929811315943</v>
      </c>
      <c r="G289" s="19">
        <f t="shared" si="49"/>
        <v>20.090072243418096</v>
      </c>
      <c r="H289" s="19">
        <f t="shared" si="50"/>
        <v>298.62602420285111</v>
      </c>
      <c r="I289" s="4">
        <v>0</v>
      </c>
      <c r="J289" s="21">
        <f t="shared" si="51"/>
        <v>120.99409130897349</v>
      </c>
      <c r="K289" s="64">
        <f t="shared" si="52"/>
        <v>298.62602420285111</v>
      </c>
      <c r="L289" s="22">
        <f t="shared" si="53"/>
        <v>209.55182751295348</v>
      </c>
      <c r="M289" s="22">
        <f t="shared" si="47"/>
        <v>324.6150744475849</v>
      </c>
    </row>
    <row r="290" spans="1:13" s="16" customFormat="1" x14ac:dyDescent="0.15">
      <c r="A290" s="34">
        <v>42736</v>
      </c>
      <c r="B290" s="16" t="s">
        <v>56</v>
      </c>
      <c r="C290" s="23">
        <v>365</v>
      </c>
      <c r="D290" s="17">
        <f>MAIZ!D290</f>
        <v>14.4095</v>
      </c>
      <c r="E290" s="18">
        <f>MAIZ!E290</f>
        <v>20.411513399312785</v>
      </c>
      <c r="F290" s="19">
        <f t="shared" si="48"/>
        <v>100.74659866770128</v>
      </c>
      <c r="G290" s="19">
        <f t="shared" si="49"/>
        <v>20.411513399312788</v>
      </c>
      <c r="H290" s="19">
        <f t="shared" si="50"/>
        <v>257.67160901342447</v>
      </c>
      <c r="I290" s="20">
        <v>0</v>
      </c>
      <c r="J290" s="21">
        <f t="shared" si="51"/>
        <v>104.40062038103758</v>
      </c>
      <c r="K290" s="64">
        <f t="shared" si="52"/>
        <v>257.67160901342447</v>
      </c>
      <c r="L290" s="22">
        <f t="shared" si="53"/>
        <v>209.55182751295348</v>
      </c>
      <c r="M290" s="22">
        <f t="shared" ref="M290:M353" si="54">+M289</f>
        <v>324.6150744475849</v>
      </c>
    </row>
    <row r="291" spans="1:13" s="16" customFormat="1" x14ac:dyDescent="0.15">
      <c r="A291" s="34">
        <v>42767</v>
      </c>
      <c r="B291" s="16" t="s">
        <v>1</v>
      </c>
      <c r="C291" s="23">
        <v>368.9</v>
      </c>
      <c r="D291" s="17">
        <f>MAIZ!D291</f>
        <v>14.137723809523809</v>
      </c>
      <c r="E291" s="18">
        <f>MAIZ!E291</f>
        <v>20.84015518069835</v>
      </c>
      <c r="F291" s="19">
        <f t="shared" si="48"/>
        <v>97.847790481585832</v>
      </c>
      <c r="G291" s="19">
        <f t="shared" si="49"/>
        <v>20.840155180698353</v>
      </c>
      <c r="H291" s="19">
        <f t="shared" si="50"/>
        <v>250.25755653507397</v>
      </c>
      <c r="I291" s="20">
        <v>0</v>
      </c>
      <c r="J291" s="21">
        <f t="shared" si="51"/>
        <v>101.3966740741822</v>
      </c>
      <c r="K291" s="64">
        <f t="shared" si="52"/>
        <v>250.25755653507397</v>
      </c>
      <c r="L291" s="22">
        <f t="shared" si="53"/>
        <v>209.55182751295348</v>
      </c>
      <c r="M291" s="22">
        <f t="shared" si="54"/>
        <v>324.6150744475849</v>
      </c>
    </row>
    <row r="292" spans="1:13" s="16" customFormat="1" x14ac:dyDescent="0.15">
      <c r="A292" s="34">
        <v>42795</v>
      </c>
      <c r="B292" s="16" t="s">
        <v>2</v>
      </c>
      <c r="C292" s="23">
        <v>370</v>
      </c>
      <c r="D292" s="17">
        <f>MAIZ!D292</f>
        <v>14.1408</v>
      </c>
      <c r="E292" s="18">
        <f>MAIZ!E292</f>
        <v>21.340318905035112</v>
      </c>
      <c r="F292" s="19">
        <f t="shared" ref="F292:F297" si="55">+(C292*(D292/E292))/(AVERAGE(C$109)*AVERAGE(D$109)/AVERAGE(E$109))*100</f>
        <v>95.860264318059635</v>
      </c>
      <c r="G292" s="19">
        <f t="shared" ref="G292:G297" si="56">+E292/AVERAGE(E$2:E$13)</f>
        <v>21.340318905035115</v>
      </c>
      <c r="H292" s="19">
        <f t="shared" ref="H292:H297" si="57">+(C292*D292)/G292</f>
        <v>245.17421802752534</v>
      </c>
      <c r="I292" s="20">
        <v>0</v>
      </c>
      <c r="J292" s="21">
        <f t="shared" ref="J292:J297" si="58">+F292*(1-I292)/(F$109*(1-I$109))*100</f>
        <v>99.337061469491843</v>
      </c>
      <c r="K292" s="64">
        <f t="shared" ref="K292:K297" si="59">+H292*(1-I292)</f>
        <v>245.17421802752534</v>
      </c>
      <c r="L292" s="22">
        <f t="shared" si="53"/>
        <v>209.55182751295348</v>
      </c>
      <c r="M292" s="22">
        <f t="shared" si="54"/>
        <v>324.6150744475849</v>
      </c>
    </row>
    <row r="293" spans="1:13" s="16" customFormat="1" x14ac:dyDescent="0.15">
      <c r="A293" s="34">
        <v>42826</v>
      </c>
      <c r="B293" s="16" t="s">
        <v>3</v>
      </c>
      <c r="C293" s="23">
        <v>370</v>
      </c>
      <c r="D293" s="17">
        <f>MAIZ!D293</f>
        <v>14.909384999999997</v>
      </c>
      <c r="E293" s="18">
        <f>MAIZ!E293</f>
        <v>21.916507515471057</v>
      </c>
      <c r="F293" s="19">
        <f t="shared" si="55"/>
        <v>98.413330220372728</v>
      </c>
      <c r="G293" s="19">
        <f t="shared" si="56"/>
        <v>21.916507515471061</v>
      </c>
      <c r="H293" s="19">
        <f t="shared" si="57"/>
        <v>251.70399280569089</v>
      </c>
      <c r="I293" s="20">
        <v>0</v>
      </c>
      <c r="J293" s="21">
        <f t="shared" si="58"/>
        <v>101.98272561696655</v>
      </c>
      <c r="K293" s="64">
        <f t="shared" si="59"/>
        <v>251.70399280569089</v>
      </c>
      <c r="L293" s="22">
        <f t="shared" si="53"/>
        <v>209.55182751295348</v>
      </c>
      <c r="M293" s="22">
        <f t="shared" si="54"/>
        <v>324.6150744475849</v>
      </c>
    </row>
    <row r="294" spans="1:13" s="16" customFormat="1" x14ac:dyDescent="0.15">
      <c r="A294" s="34">
        <v>42856</v>
      </c>
      <c r="B294" s="16" t="s">
        <v>2</v>
      </c>
      <c r="C294" s="23">
        <v>370</v>
      </c>
      <c r="D294" s="17">
        <f>MAIZ!D294</f>
        <v>14.849809090909089</v>
      </c>
      <c r="E294" s="18">
        <f>MAIZ!E294</f>
        <v>22.223338620687652</v>
      </c>
      <c r="F294" s="19">
        <f t="shared" si="55"/>
        <v>96.666749221470269</v>
      </c>
      <c r="G294" s="19">
        <f t="shared" si="56"/>
        <v>22.223338620687656</v>
      </c>
      <c r="H294" s="19">
        <f t="shared" si="57"/>
        <v>247.23690069329237</v>
      </c>
      <c r="I294" s="20">
        <v>0</v>
      </c>
      <c r="J294" s="21">
        <f t="shared" si="58"/>
        <v>100.17279712069458</v>
      </c>
      <c r="K294" s="64">
        <f t="shared" si="59"/>
        <v>247.23690069329237</v>
      </c>
      <c r="L294" s="22">
        <f t="shared" si="53"/>
        <v>209.55182751295348</v>
      </c>
      <c r="M294" s="22">
        <f t="shared" si="54"/>
        <v>324.6150744475849</v>
      </c>
    </row>
    <row r="295" spans="1:13" s="16" customFormat="1" x14ac:dyDescent="0.15">
      <c r="A295" s="34">
        <v>42887</v>
      </c>
      <c r="B295" s="16" t="s">
        <v>4</v>
      </c>
      <c r="C295" s="23">
        <v>370</v>
      </c>
      <c r="D295" s="17">
        <f>MAIZ!D295</f>
        <v>15.100736363636367</v>
      </c>
      <c r="E295" s="18">
        <f>MAIZ!E295</f>
        <v>22.490018684135904</v>
      </c>
      <c r="F295" s="19">
        <f t="shared" si="55"/>
        <v>97.134577762047158</v>
      </c>
      <c r="G295" s="19">
        <f t="shared" si="56"/>
        <v>22.490018684135908</v>
      </c>
      <c r="H295" s="19">
        <f t="shared" si="57"/>
        <v>248.43342875862643</v>
      </c>
      <c r="I295" s="20">
        <v>0</v>
      </c>
      <c r="J295" s="21">
        <f t="shared" si="58"/>
        <v>100.65759353580017</v>
      </c>
      <c r="K295" s="64">
        <f t="shared" si="59"/>
        <v>248.43342875862643</v>
      </c>
      <c r="L295" s="22">
        <f t="shared" si="53"/>
        <v>209.55182751295348</v>
      </c>
      <c r="M295" s="22">
        <f t="shared" si="54"/>
        <v>324.6150744475849</v>
      </c>
    </row>
    <row r="296" spans="1:13" s="16" customFormat="1" x14ac:dyDescent="0.15">
      <c r="A296" s="34">
        <v>42917</v>
      </c>
      <c r="B296" s="16" t="s">
        <v>4</v>
      </c>
      <c r="C296" s="23">
        <v>370</v>
      </c>
      <c r="D296" s="33">
        <f>MAIZ!D296</f>
        <v>15.180999999999999</v>
      </c>
      <c r="E296" s="18">
        <f>MAIZ!E296</f>
        <v>22.872349001766214</v>
      </c>
      <c r="F296" s="19">
        <f t="shared" si="55"/>
        <v>96.018553364773339</v>
      </c>
      <c r="G296" s="19">
        <f t="shared" si="56"/>
        <v>22.872349001766217</v>
      </c>
      <c r="H296" s="19">
        <f t="shared" si="57"/>
        <v>245.57906140581596</v>
      </c>
      <c r="I296" s="20">
        <v>0</v>
      </c>
      <c r="J296" s="21">
        <f t="shared" si="58"/>
        <v>99.50109156971331</v>
      </c>
      <c r="K296" s="64">
        <f t="shared" si="59"/>
        <v>245.57906140581596</v>
      </c>
      <c r="L296" s="22">
        <f t="shared" si="53"/>
        <v>209.55182751295348</v>
      </c>
      <c r="M296" s="22">
        <f t="shared" si="54"/>
        <v>324.6150744475849</v>
      </c>
    </row>
    <row r="297" spans="1:13" s="16" customFormat="1" x14ac:dyDescent="0.15">
      <c r="A297" s="34">
        <v>42948</v>
      </c>
      <c r="B297" s="16" t="s">
        <v>3</v>
      </c>
      <c r="C297" s="23">
        <v>370</v>
      </c>
      <c r="D297" s="33">
        <f>MAIZ!D297</f>
        <v>15.3399</v>
      </c>
      <c r="E297" s="18">
        <f>MAIZ!E297</f>
        <v>23.192561887790941</v>
      </c>
      <c r="F297" s="19">
        <f t="shared" si="55"/>
        <v>95.684006464031356</v>
      </c>
      <c r="G297" s="19">
        <f t="shared" si="56"/>
        <v>23.192561887790944</v>
      </c>
      <c r="H297" s="19">
        <f t="shared" si="57"/>
        <v>244.72341725162505</v>
      </c>
      <c r="I297" s="20">
        <v>0</v>
      </c>
      <c r="J297" s="21">
        <f t="shared" si="58"/>
        <v>99.154410843555809</v>
      </c>
      <c r="K297" s="64">
        <f t="shared" si="59"/>
        <v>244.72341725162505</v>
      </c>
      <c r="L297" s="22">
        <f t="shared" si="53"/>
        <v>209.55182751295348</v>
      </c>
      <c r="M297" s="22">
        <f t="shared" si="54"/>
        <v>324.6150744475849</v>
      </c>
    </row>
    <row r="298" spans="1:13" x14ac:dyDescent="0.15">
      <c r="A298" s="34">
        <v>42979</v>
      </c>
      <c r="B298" t="s">
        <v>5</v>
      </c>
      <c r="C298" s="23">
        <v>370</v>
      </c>
      <c r="D298" s="33">
        <f>MAIZ!D298</f>
        <v>15.829599999999999</v>
      </c>
      <c r="E298" s="18">
        <f>MAIZ!E298</f>
        <v>23.63322056365897</v>
      </c>
      <c r="F298" s="19">
        <f t="shared" ref="F298:F304" si="60">+(C298*(D298/E298))/(AVERAGE(C$109)*AVERAGE(D$109)/AVERAGE(E$109))*100</f>
        <v>96.897501741901152</v>
      </c>
      <c r="G298" s="19">
        <f t="shared" ref="G298:G304" si="61">+E298/AVERAGE(E$2:E$13)</f>
        <v>23.633220563658973</v>
      </c>
      <c r="H298" s="19">
        <f t="shared" ref="H298:H304" si="62">+(C298*D298)/G298</f>
        <v>247.82707816835975</v>
      </c>
      <c r="I298" s="20">
        <v>0</v>
      </c>
      <c r="J298" s="21">
        <f t="shared" ref="J298:J304" si="63">+F298*(1-I298)/(F$109*(1-I$109))*100</f>
        <v>100.41191890352449</v>
      </c>
      <c r="K298" s="64">
        <f t="shared" ref="K298:K304" si="64">+H298*(1-I298)</f>
        <v>247.82707816835975</v>
      </c>
      <c r="L298" s="22">
        <f t="shared" si="53"/>
        <v>209.55182751295348</v>
      </c>
      <c r="M298" s="22">
        <f t="shared" si="54"/>
        <v>324.6150744475849</v>
      </c>
    </row>
    <row r="299" spans="1:13" x14ac:dyDescent="0.15">
      <c r="A299" s="34">
        <v>43009</v>
      </c>
      <c r="B299" t="s">
        <v>6</v>
      </c>
      <c r="C299" s="23">
        <v>347</v>
      </c>
      <c r="D299" s="33">
        <f>MAIZ!D299</f>
        <v>15.906499999999996</v>
      </c>
      <c r="E299" s="18">
        <f>MAIZ!E299</f>
        <v>23.987718872113852</v>
      </c>
      <c r="F299" s="19">
        <f t="shared" si="60"/>
        <v>89.966117226576813</v>
      </c>
      <c r="G299" s="19">
        <f t="shared" si="61"/>
        <v>23.987718872113856</v>
      </c>
      <c r="H299" s="19">
        <f t="shared" si="62"/>
        <v>230.0992240832278</v>
      </c>
      <c r="I299" s="20">
        <v>0</v>
      </c>
      <c r="J299" s="21">
        <f t="shared" si="63"/>
        <v>93.229137022359382</v>
      </c>
      <c r="K299" s="64">
        <f t="shared" si="64"/>
        <v>230.0992240832278</v>
      </c>
      <c r="L299" s="22">
        <f t="shared" si="53"/>
        <v>209.55182751295348</v>
      </c>
      <c r="M299" s="22">
        <f t="shared" si="54"/>
        <v>324.6150744475849</v>
      </c>
    </row>
    <row r="300" spans="1:13" x14ac:dyDescent="0.15">
      <c r="A300" s="34">
        <v>43040</v>
      </c>
      <c r="B300" t="s">
        <v>7</v>
      </c>
      <c r="C300" s="23">
        <v>336</v>
      </c>
      <c r="D300" s="33">
        <f>MAIZ!D300</f>
        <v>15.5983</v>
      </c>
      <c r="E300" s="18">
        <f>MAIZ!E300</f>
        <v>24.323546936323446</v>
      </c>
      <c r="F300" s="19">
        <f t="shared" si="60"/>
        <v>84.2468097689422</v>
      </c>
      <c r="G300" s="19">
        <f t="shared" si="61"/>
        <v>24.323546936323449</v>
      </c>
      <c r="H300" s="19">
        <f t="shared" si="62"/>
        <v>215.47140364521982</v>
      </c>
      <c r="I300" s="20">
        <v>0</v>
      </c>
      <c r="J300" s="21">
        <f t="shared" si="63"/>
        <v>87.302393542945282</v>
      </c>
      <c r="K300" s="64">
        <f t="shared" si="64"/>
        <v>215.47140364521982</v>
      </c>
      <c r="L300" s="22">
        <f t="shared" si="53"/>
        <v>209.55182751295348</v>
      </c>
      <c r="M300" s="22">
        <f t="shared" si="54"/>
        <v>324.6150744475849</v>
      </c>
    </row>
    <row r="301" spans="1:13" x14ac:dyDescent="0.15">
      <c r="A301" s="34">
        <v>43070</v>
      </c>
      <c r="B301" t="s">
        <v>57</v>
      </c>
      <c r="C301" s="23">
        <v>336</v>
      </c>
      <c r="D301" s="33">
        <f>MAIZ!D301</f>
        <v>15.5237</v>
      </c>
      <c r="E301" s="18">
        <f>MAIZ!E301</f>
        <v>25.077576891349473</v>
      </c>
      <c r="F301" s="19">
        <f t="shared" si="60"/>
        <v>81.322883895939498</v>
      </c>
      <c r="G301" s="19">
        <f t="shared" si="61"/>
        <v>25.077576891349477</v>
      </c>
      <c r="H301" s="19">
        <f t="shared" si="62"/>
        <v>207.99310964526438</v>
      </c>
      <c r="I301" s="20">
        <v>0</v>
      </c>
      <c r="J301" s="21">
        <f t="shared" si="63"/>
        <v>84.272418545015029</v>
      </c>
      <c r="K301" s="64">
        <f t="shared" si="64"/>
        <v>207.99310964526438</v>
      </c>
      <c r="L301" s="22">
        <f t="shared" si="53"/>
        <v>209.55182751295348</v>
      </c>
      <c r="M301" s="22">
        <f t="shared" si="54"/>
        <v>324.6150744475849</v>
      </c>
    </row>
    <row r="302" spans="1:13" x14ac:dyDescent="0.15">
      <c r="A302" s="34">
        <v>43101</v>
      </c>
      <c r="B302" s="16" t="s">
        <v>62</v>
      </c>
      <c r="C302" s="23">
        <v>340</v>
      </c>
      <c r="D302" s="33">
        <f>MAIZ!D302</f>
        <v>19.029036363636365</v>
      </c>
      <c r="E302" s="18">
        <f>MAIZ!E302</f>
        <v>25.528973275393767</v>
      </c>
      <c r="F302" s="19">
        <f t="shared" si="60"/>
        <v>99.089169332318278</v>
      </c>
      <c r="G302" s="19">
        <f t="shared" si="61"/>
        <v>25.528973275393771</v>
      </c>
      <c r="H302" s="19">
        <f t="shared" si="62"/>
        <v>253.43253306126428</v>
      </c>
      <c r="I302" s="20">
        <v>0</v>
      </c>
      <c r="J302" s="21">
        <f t="shared" si="63"/>
        <v>102.6830770283091</v>
      </c>
      <c r="K302" s="64">
        <f t="shared" si="64"/>
        <v>253.43253306126428</v>
      </c>
      <c r="L302" s="22">
        <f t="shared" si="53"/>
        <v>209.55182751295348</v>
      </c>
      <c r="M302" s="22">
        <f t="shared" si="54"/>
        <v>324.6150744475849</v>
      </c>
    </row>
    <row r="303" spans="1:13" x14ac:dyDescent="0.15">
      <c r="A303" s="34">
        <v>43132</v>
      </c>
      <c r="B303" s="16" t="s">
        <v>1</v>
      </c>
      <c r="C303" s="23">
        <v>343</v>
      </c>
      <c r="D303" s="33">
        <f>MAIZ!D303</f>
        <v>19.8409277777778</v>
      </c>
      <c r="E303" s="18">
        <f>MAIZ!E303</f>
        <v>26.141668634003221</v>
      </c>
      <c r="F303" s="19">
        <f t="shared" si="60"/>
        <v>101.78566404471698</v>
      </c>
      <c r="G303" s="19">
        <f t="shared" si="61"/>
        <v>26.141668634003224</v>
      </c>
      <c r="H303" s="19">
        <f t="shared" si="62"/>
        <v>260.32914436554961</v>
      </c>
      <c r="I303" s="20">
        <v>0</v>
      </c>
      <c r="J303" s="21">
        <f t="shared" si="63"/>
        <v>105.47737206706422</v>
      </c>
      <c r="K303" s="64">
        <f t="shared" si="64"/>
        <v>260.32914436554961</v>
      </c>
      <c r="L303" s="22">
        <f t="shared" si="53"/>
        <v>209.55182751295348</v>
      </c>
      <c r="M303" s="22">
        <f t="shared" si="54"/>
        <v>324.6150744475849</v>
      </c>
    </row>
    <row r="304" spans="1:13" x14ac:dyDescent="0.15">
      <c r="A304" s="34">
        <v>43160</v>
      </c>
      <c r="B304" s="16" t="s">
        <v>2</v>
      </c>
      <c r="C304" s="23">
        <v>350</v>
      </c>
      <c r="D304" s="33">
        <f>MAIZ!D304</f>
        <v>20.237800000000004</v>
      </c>
      <c r="E304" s="18">
        <f>MAIZ!E304</f>
        <v>26.742927012585291</v>
      </c>
      <c r="F304" s="19">
        <f t="shared" si="60"/>
        <v>103.55861376126816</v>
      </c>
      <c r="G304" s="19">
        <f t="shared" si="61"/>
        <v>26.742927012585294</v>
      </c>
      <c r="H304" s="19">
        <f t="shared" si="62"/>
        <v>264.86367766200812</v>
      </c>
      <c r="I304" s="20">
        <v>0</v>
      </c>
      <c r="J304" s="21">
        <f t="shared" si="63"/>
        <v>107.31462565934524</v>
      </c>
      <c r="K304" s="64">
        <f t="shared" si="64"/>
        <v>264.86367766200812</v>
      </c>
      <c r="L304" s="22">
        <f t="shared" si="53"/>
        <v>209.55182751295348</v>
      </c>
      <c r="M304" s="22">
        <f t="shared" si="54"/>
        <v>324.6150744475849</v>
      </c>
    </row>
    <row r="305" spans="1:13" x14ac:dyDescent="0.15">
      <c r="A305" s="34">
        <v>43191</v>
      </c>
      <c r="B305" s="16" t="s">
        <v>3</v>
      </c>
      <c r="C305" s="9">
        <v>351</v>
      </c>
      <c r="D305" s="33">
        <f>MAIZ!D305</f>
        <v>20.2349</v>
      </c>
      <c r="E305" s="18">
        <f>MAIZ!E305</f>
        <v>27.464986041925087</v>
      </c>
      <c r="F305" s="19">
        <f>+(C305*(D305/E305))/(AVERAGE(C$109)*AVERAGE(D$109)/AVERAGE(E$109))*100</f>
        <v>101.10965293035233</v>
      </c>
      <c r="G305" s="19">
        <f>+E305/AVERAGE(E$2:E$13)</f>
        <v>27.464986041925091</v>
      </c>
      <c r="H305" s="19">
        <f>+(C305*D305)/G305</f>
        <v>258.60016419298972</v>
      </c>
      <c r="I305" s="20">
        <v>0</v>
      </c>
      <c r="J305" s="21">
        <f>+F305*(1-I305)/(F$109*(1-I$109))*100</f>
        <v>104.77684241487289</v>
      </c>
      <c r="K305" s="64">
        <f>+H305*(1-I305)</f>
        <v>258.60016419298972</v>
      </c>
      <c r="L305" s="22">
        <f t="shared" si="53"/>
        <v>209.55182751295348</v>
      </c>
      <c r="M305" s="22">
        <f t="shared" si="54"/>
        <v>324.6150744475849</v>
      </c>
    </row>
    <row r="306" spans="1:13" x14ac:dyDescent="0.15">
      <c r="A306" s="34">
        <v>43221</v>
      </c>
      <c r="B306" s="16" t="s">
        <v>2</v>
      </c>
      <c r="C306" s="9">
        <v>352</v>
      </c>
      <c r="D306" s="33">
        <f>MAIZ!D306</f>
        <v>23.668700000000001</v>
      </c>
      <c r="E306" s="18">
        <f>MAIZ!E306</f>
        <v>28.041750748805516</v>
      </c>
      <c r="F306" s="19">
        <f t="shared" ref="F306:F313" si="65">+(C306*(D306/E306))/(AVERAGE(C$109)*AVERAGE(D$109)/AVERAGE(E$109))*100</f>
        <v>116.16512580879706</v>
      </c>
      <c r="G306" s="19">
        <f t="shared" ref="G306:G313" si="66">+E306/AVERAGE(E$2:E$13)</f>
        <v>28.041750748805519</v>
      </c>
      <c r="H306" s="19">
        <f t="shared" ref="H306:H313" si="67">+(C306*D306)/G306</f>
        <v>297.10635668334254</v>
      </c>
      <c r="I306" s="20">
        <v>0</v>
      </c>
      <c r="J306" s="21">
        <f t="shared" ref="J306:J313" si="68">+F306*(1-I306)/(F$109*(1-I$109))*100</f>
        <v>120.37836871377934</v>
      </c>
      <c r="K306" s="64">
        <f t="shared" ref="K306:K313" si="69">+H306*(1-I306)</f>
        <v>297.10635668334254</v>
      </c>
      <c r="L306" s="22">
        <f t="shared" si="53"/>
        <v>209.55182751295348</v>
      </c>
      <c r="M306" s="22">
        <f t="shared" si="54"/>
        <v>324.6150744475849</v>
      </c>
    </row>
    <row r="307" spans="1:13" x14ac:dyDescent="0.15">
      <c r="A307" s="34">
        <v>43252</v>
      </c>
      <c r="B307" s="16" t="s">
        <v>4</v>
      </c>
      <c r="C307" s="9">
        <v>352</v>
      </c>
      <c r="D307" s="33">
        <f>MAIZ!D307</f>
        <v>26.534199999999998</v>
      </c>
      <c r="E307" s="18">
        <f>MAIZ!E307</f>
        <v>29.079295526511316</v>
      </c>
      <c r="F307" s="19">
        <f t="shared" si="65"/>
        <v>125.58234951090014</v>
      </c>
      <c r="G307" s="19">
        <f t="shared" si="66"/>
        <v>29.07929552651132</v>
      </c>
      <c r="H307" s="19">
        <f t="shared" si="67"/>
        <v>321.1920450921782</v>
      </c>
      <c r="I307" s="20">
        <v>0</v>
      </c>
      <c r="J307" s="21">
        <f t="shared" si="68"/>
        <v>130.13714975222811</v>
      </c>
      <c r="K307" s="64">
        <f t="shared" si="69"/>
        <v>321.1920450921782</v>
      </c>
      <c r="L307" s="22">
        <f t="shared" si="53"/>
        <v>209.55182751295348</v>
      </c>
      <c r="M307" s="22">
        <f t="shared" si="54"/>
        <v>324.6150744475849</v>
      </c>
    </row>
    <row r="308" spans="1:13" x14ac:dyDescent="0.15">
      <c r="A308" s="34">
        <v>43282</v>
      </c>
      <c r="B308" s="16" t="s">
        <v>4</v>
      </c>
      <c r="C308" s="9">
        <f>+C307</f>
        <v>352</v>
      </c>
      <c r="D308" s="33">
        <f>MAIZ!D308</f>
        <v>27.624700000000001</v>
      </c>
      <c r="E308" s="18">
        <f>MAIZ!E308</f>
        <v>29.980753687833165</v>
      </c>
      <c r="F308" s="19">
        <f t="shared" si="65"/>
        <v>126.81233834603573</v>
      </c>
      <c r="G308" s="19">
        <f t="shared" si="66"/>
        <v>29.980753687833168</v>
      </c>
      <c r="H308" s="19">
        <f t="shared" si="67"/>
        <v>324.33789027612625</v>
      </c>
      <c r="I308" s="20">
        <v>0</v>
      </c>
      <c r="J308" s="21">
        <f t="shared" si="68"/>
        <v>131.41174958138419</v>
      </c>
      <c r="K308" s="64">
        <f t="shared" si="69"/>
        <v>324.33789027612625</v>
      </c>
      <c r="L308" s="22">
        <f t="shared" si="53"/>
        <v>209.55182751295348</v>
      </c>
      <c r="M308" s="22">
        <f t="shared" si="54"/>
        <v>324.6150744475849</v>
      </c>
    </row>
    <row r="309" spans="1:13" x14ac:dyDescent="0.15">
      <c r="A309" s="34">
        <v>43313</v>
      </c>
      <c r="B309" s="16" t="s">
        <v>3</v>
      </c>
      <c r="C309" s="9">
        <f>+C308</f>
        <v>352</v>
      </c>
      <c r="D309" s="33">
        <f>MAIZ!D309</f>
        <v>30.124500000000001</v>
      </c>
      <c r="E309" s="18">
        <f>MAIZ!E309</f>
        <v>31.150003081658657</v>
      </c>
      <c r="F309" s="19">
        <f t="shared" si="65"/>
        <v>133.09699189831952</v>
      </c>
      <c r="G309" s="19">
        <f t="shared" si="66"/>
        <v>31.15000308165866</v>
      </c>
      <c r="H309" s="19">
        <f t="shared" si="67"/>
        <v>340.41165171645218</v>
      </c>
      <c r="I309" s="20">
        <v>0</v>
      </c>
      <c r="J309" s="21">
        <f t="shared" si="68"/>
        <v>137.92434393608238</v>
      </c>
      <c r="K309" s="64">
        <f t="shared" si="69"/>
        <v>340.41165171645218</v>
      </c>
      <c r="L309" s="22">
        <f t="shared" si="53"/>
        <v>209.55182751295348</v>
      </c>
      <c r="M309" s="22">
        <f t="shared" si="54"/>
        <v>324.6150744475849</v>
      </c>
    </row>
    <row r="310" spans="1:13" x14ac:dyDescent="0.15">
      <c r="A310" s="34">
        <v>43344</v>
      </c>
      <c r="B310" t="s">
        <v>5</v>
      </c>
      <c r="C310" s="9">
        <v>340</v>
      </c>
      <c r="D310" s="33">
        <f>MAIZ!D310</f>
        <v>38.590000000000003</v>
      </c>
      <c r="E310" s="18">
        <f>MAIZ!E310</f>
        <v>33.174753281966467</v>
      </c>
      <c r="F310" s="19">
        <f t="shared" si="65"/>
        <v>154.6357187225131</v>
      </c>
      <c r="G310" s="19">
        <f t="shared" si="66"/>
        <v>33.174753281966474</v>
      </c>
      <c r="H310" s="19">
        <f t="shared" si="67"/>
        <v>395.49955016944324</v>
      </c>
      <c r="I310" s="20">
        <f t="shared" ref="I310:I316" si="70">4/D310</f>
        <v>0.10365379632029022</v>
      </c>
      <c r="J310" s="21">
        <f t="shared" si="68"/>
        <v>143.63434137845391</v>
      </c>
      <c r="K310" s="64">
        <f t="shared" si="69"/>
        <v>354.50452035141336</v>
      </c>
      <c r="L310" s="22">
        <f t="shared" si="53"/>
        <v>209.55182751295348</v>
      </c>
      <c r="M310" s="22">
        <f t="shared" si="54"/>
        <v>324.6150744475849</v>
      </c>
    </row>
    <row r="311" spans="1:13" x14ac:dyDescent="0.15">
      <c r="A311" s="34">
        <v>43374</v>
      </c>
      <c r="B311" t="s">
        <v>6</v>
      </c>
      <c r="C311" s="9">
        <v>305</v>
      </c>
      <c r="D311" s="33">
        <f>MAIZ!D311</f>
        <v>37.120199999999997</v>
      </c>
      <c r="E311" s="18">
        <f>MAIZ!E311</f>
        <v>34.966189959192661</v>
      </c>
      <c r="F311" s="19">
        <f t="shared" si="65"/>
        <v>126.59765393675202</v>
      </c>
      <c r="G311" s="19">
        <f t="shared" si="66"/>
        <v>34.966189959192668</v>
      </c>
      <c r="H311" s="19">
        <f t="shared" si="67"/>
        <v>323.78880893837606</v>
      </c>
      <c r="I311" s="20">
        <f t="shared" si="70"/>
        <v>0.10775804009676673</v>
      </c>
      <c r="J311" s="21">
        <f t="shared" si="68"/>
        <v>117.05257913749109</v>
      </c>
      <c r="K311" s="64">
        <f t="shared" si="69"/>
        <v>288.89796148191022</v>
      </c>
      <c r="L311" s="22">
        <f t="shared" si="53"/>
        <v>209.55182751295348</v>
      </c>
      <c r="M311" s="22">
        <f t="shared" si="54"/>
        <v>324.6150744475849</v>
      </c>
    </row>
    <row r="312" spans="1:13" x14ac:dyDescent="0.15">
      <c r="A312" s="34">
        <v>43405</v>
      </c>
      <c r="B312" t="s">
        <v>7</v>
      </c>
      <c r="C312" s="9">
        <v>300</v>
      </c>
      <c r="D312" s="33">
        <f>MAIZ!D312</f>
        <v>36.459000000000003</v>
      </c>
      <c r="E312" s="18">
        <f>MAIZ!E312</f>
        <v>36.085108037886826</v>
      </c>
      <c r="F312" s="19">
        <f t="shared" si="65"/>
        <v>118.51186177643372</v>
      </c>
      <c r="G312" s="19">
        <f t="shared" si="66"/>
        <v>36.085108037886833</v>
      </c>
      <c r="H312" s="19">
        <f t="shared" si="67"/>
        <v>303.10841770284247</v>
      </c>
      <c r="I312" s="20">
        <f t="shared" si="70"/>
        <v>0.10971227954688828</v>
      </c>
      <c r="J312" s="21">
        <f t="shared" si="68"/>
        <v>109.33643032911445</v>
      </c>
      <c r="K312" s="64">
        <f t="shared" si="69"/>
        <v>269.85370224681321</v>
      </c>
      <c r="L312" s="22">
        <f t="shared" si="53"/>
        <v>209.55182751295348</v>
      </c>
      <c r="M312" s="22">
        <f t="shared" si="54"/>
        <v>324.6150744475849</v>
      </c>
    </row>
    <row r="313" spans="1:13" x14ac:dyDescent="0.15">
      <c r="A313" s="34">
        <v>43435</v>
      </c>
      <c r="B313" t="s">
        <v>64</v>
      </c>
      <c r="C313" s="9">
        <v>300</v>
      </c>
      <c r="D313" s="33">
        <f>MAIZ!D313</f>
        <v>37.885199999999998</v>
      </c>
      <c r="E313" s="18">
        <f>MAIZ!E313</f>
        <v>37.023320846871883</v>
      </c>
      <c r="F313" s="19">
        <f t="shared" si="65"/>
        <v>120.02709406155945</v>
      </c>
      <c r="G313" s="19">
        <f t="shared" si="66"/>
        <v>37.02332084687189</v>
      </c>
      <c r="H313" s="19">
        <f t="shared" si="67"/>
        <v>306.98380750359615</v>
      </c>
      <c r="I313" s="20">
        <f t="shared" si="70"/>
        <v>0.10558212705753171</v>
      </c>
      <c r="J313" s="21">
        <f t="shared" si="68"/>
        <v>111.24806027565344</v>
      </c>
      <c r="K313" s="64">
        <f t="shared" si="69"/>
        <v>274.57180413514664</v>
      </c>
      <c r="L313" s="22">
        <f t="shared" si="53"/>
        <v>209.55182751295348</v>
      </c>
      <c r="M313" s="22">
        <f t="shared" si="54"/>
        <v>324.6150744475849</v>
      </c>
    </row>
    <row r="314" spans="1:13" x14ac:dyDescent="0.15">
      <c r="A314" s="34">
        <v>43466</v>
      </c>
      <c r="B314" s="16" t="s">
        <v>65</v>
      </c>
      <c r="C314" s="9">
        <v>300</v>
      </c>
      <c r="D314" s="33">
        <f>MAIZ!D314</f>
        <v>37.4069</v>
      </c>
      <c r="E314" s="18">
        <f>MAIZ!E314</f>
        <v>38.096997151431168</v>
      </c>
      <c r="F314" s="19">
        <f t="shared" ref="F314:F325" si="71">+(C314*(D314/E314))/(AVERAGE(C$109)*AVERAGE(D$109)/AVERAGE(E$109))*100</f>
        <v>115.17177265145635</v>
      </c>
      <c r="G314" s="19">
        <f t="shared" ref="G314:G325" si="72">+E314/AVERAGE(E$2:E$13)</f>
        <v>38.096997151431175</v>
      </c>
      <c r="H314" s="19">
        <f t="shared" ref="H314:H325" si="73">+(C314*D314)/G314</f>
        <v>294.5657358608492</v>
      </c>
      <c r="I314" s="20">
        <f t="shared" si="70"/>
        <v>0.10693214353501626</v>
      </c>
      <c r="J314" s="21">
        <f t="shared" ref="J314:J325" si="74">+F314*(1-I314)/(F$109*(1-I$109))*100</f>
        <v>106.58674417316949</v>
      </c>
      <c r="K314" s="64">
        <f t="shared" ref="K314:K325" si="75">+H314*(1-I314)</f>
        <v>263.06719031327918</v>
      </c>
      <c r="L314" s="22">
        <f t="shared" si="53"/>
        <v>209.55182751295348</v>
      </c>
      <c r="M314" s="22">
        <f t="shared" si="54"/>
        <v>324.6150744475849</v>
      </c>
    </row>
    <row r="315" spans="1:13" x14ac:dyDescent="0.15">
      <c r="A315" s="34">
        <v>43497</v>
      </c>
      <c r="B315" s="16" t="s">
        <v>1</v>
      </c>
      <c r="C315" s="9">
        <v>307</v>
      </c>
      <c r="D315" s="33">
        <f>MAIZ!D315</f>
        <v>38.4086</v>
      </c>
      <c r="E315" s="18">
        <f>MAIZ!E315</f>
        <v>39.54468304318555</v>
      </c>
      <c r="F315" s="19">
        <f t="shared" si="71"/>
        <v>116.58497320013521</v>
      </c>
      <c r="G315" s="19">
        <f t="shared" si="72"/>
        <v>39.544683043185557</v>
      </c>
      <c r="H315" s="19">
        <f t="shared" si="73"/>
        <v>298.18016715731221</v>
      </c>
      <c r="I315" s="20">
        <f t="shared" si="70"/>
        <v>0.10414334289716366</v>
      </c>
      <c r="J315" s="21">
        <f t="shared" si="74"/>
        <v>108.23152783367553</v>
      </c>
      <c r="K315" s="64">
        <f t="shared" si="75"/>
        <v>267.12668776391467</v>
      </c>
      <c r="L315" s="22">
        <f t="shared" si="53"/>
        <v>209.55182751295348</v>
      </c>
      <c r="M315" s="22">
        <f t="shared" si="54"/>
        <v>324.6150744475849</v>
      </c>
    </row>
    <row r="316" spans="1:13" x14ac:dyDescent="0.15">
      <c r="A316" s="34">
        <v>43525</v>
      </c>
      <c r="B316" s="16" t="s">
        <v>2</v>
      </c>
      <c r="C316" s="9">
        <v>332</v>
      </c>
      <c r="D316" s="33">
        <f>MAIZ!D316</f>
        <v>41.362400000000001</v>
      </c>
      <c r="E316" s="18">
        <f>MAIZ!E316</f>
        <v>41.403283146215266</v>
      </c>
      <c r="F316" s="19">
        <f t="shared" si="71"/>
        <v>129.67995663297191</v>
      </c>
      <c r="G316" s="19">
        <f t="shared" si="72"/>
        <v>41.403283146215273</v>
      </c>
      <c r="H316" s="19">
        <f t="shared" si="73"/>
        <v>331.67217081564434</v>
      </c>
      <c r="I316" s="20">
        <f t="shared" si="70"/>
        <v>9.6706187261861018E-2</v>
      </c>
      <c r="J316" s="21">
        <f t="shared" si="74"/>
        <v>121.38767094581733</v>
      </c>
      <c r="K316" s="64">
        <f t="shared" si="75"/>
        <v>299.5974197551987</v>
      </c>
      <c r="L316" s="22">
        <f t="shared" si="53"/>
        <v>209.55182751295348</v>
      </c>
      <c r="M316" s="22">
        <f t="shared" si="54"/>
        <v>324.6150744475849</v>
      </c>
    </row>
    <row r="317" spans="1:13" x14ac:dyDescent="0.15">
      <c r="A317" s="34">
        <v>43556</v>
      </c>
      <c r="B317" s="16" t="s">
        <v>3</v>
      </c>
      <c r="C317" s="9">
        <v>330</v>
      </c>
      <c r="D317" s="33">
        <f>MAIZ!D317</f>
        <v>43.233800000000002</v>
      </c>
      <c r="E317" s="18">
        <f>MAIZ!E317</f>
        <v>42.810994773186593</v>
      </c>
      <c r="F317" s="19">
        <f t="shared" si="71"/>
        <v>130.30043122583362</v>
      </c>
      <c r="G317" s="19">
        <f t="shared" si="72"/>
        <v>42.8109947731866</v>
      </c>
      <c r="H317" s="19">
        <f t="shared" si="73"/>
        <v>333.25910961863025</v>
      </c>
      <c r="I317" s="20">
        <f t="shared" ref="I317:I324" si="76">4/D317</f>
        <v>9.2520204099570236E-2</v>
      </c>
      <c r="J317" s="21">
        <f t="shared" si="74"/>
        <v>122.53368780783158</v>
      </c>
      <c r="K317" s="64">
        <f t="shared" si="75"/>
        <v>302.42590877867349</v>
      </c>
      <c r="L317" s="22">
        <f t="shared" si="53"/>
        <v>209.55182751295348</v>
      </c>
      <c r="M317" s="22">
        <f t="shared" si="54"/>
        <v>324.6150744475849</v>
      </c>
    </row>
    <row r="318" spans="1:13" x14ac:dyDescent="0.15">
      <c r="A318" s="34">
        <v>43586</v>
      </c>
      <c r="B318" s="16" t="s">
        <v>2</v>
      </c>
      <c r="C318" s="9">
        <v>330</v>
      </c>
      <c r="D318" s="33">
        <f>MAIZ!D318</f>
        <v>44.933199999999999</v>
      </c>
      <c r="E318" s="18">
        <f>MAIZ!E318</f>
        <v>44.138135611155377</v>
      </c>
      <c r="F318" s="19">
        <f t="shared" si="71"/>
        <v>131.35031762488097</v>
      </c>
      <c r="G318" s="19">
        <f t="shared" si="72"/>
        <v>44.138135611155384</v>
      </c>
      <c r="H318" s="19">
        <f t="shared" si="73"/>
        <v>335.94432104314831</v>
      </c>
      <c r="I318" s="20">
        <f t="shared" si="76"/>
        <v>8.9021035670728998E-2</v>
      </c>
      <c r="J318" s="21">
        <f t="shared" si="74"/>
        <v>123.99728115464752</v>
      </c>
      <c r="K318" s="64">
        <f t="shared" si="75"/>
        <v>306.03820965618735</v>
      </c>
      <c r="L318" s="22">
        <f t="shared" si="53"/>
        <v>209.55182751295348</v>
      </c>
      <c r="M318" s="22">
        <f t="shared" si="54"/>
        <v>324.6150744475849</v>
      </c>
    </row>
    <row r="319" spans="1:13" x14ac:dyDescent="0.15">
      <c r="A319" s="34">
        <v>43617</v>
      </c>
      <c r="B319" s="16" t="s">
        <v>4</v>
      </c>
      <c r="C319" s="9">
        <v>330</v>
      </c>
      <c r="D319" s="33">
        <f>MAIZ!D319</f>
        <v>43.789400000000001</v>
      </c>
      <c r="E319" s="18">
        <f>MAIZ!E319</f>
        <v>45.329865272656569</v>
      </c>
      <c r="F319" s="19">
        <f t="shared" si="71"/>
        <v>124.64140317147199</v>
      </c>
      <c r="G319" s="19">
        <f t="shared" si="72"/>
        <v>45.329865272656576</v>
      </c>
      <c r="H319" s="19">
        <f t="shared" si="73"/>
        <v>318.78546104386254</v>
      </c>
      <c r="I319" s="20">
        <f t="shared" si="76"/>
        <v>9.1346307553882899E-2</v>
      </c>
      <c r="J319" s="21">
        <f t="shared" si="74"/>
        <v>117.36359712271833</v>
      </c>
      <c r="K319" s="64">
        <f t="shared" si="75"/>
        <v>289.66558627564348</v>
      </c>
      <c r="L319" s="22">
        <f t="shared" si="53"/>
        <v>209.55182751295348</v>
      </c>
      <c r="M319" s="22">
        <f t="shared" si="54"/>
        <v>324.6150744475849</v>
      </c>
    </row>
    <row r="320" spans="1:13" x14ac:dyDescent="0.15">
      <c r="A320" s="34">
        <v>43647</v>
      </c>
      <c r="B320" s="16" t="s">
        <v>4</v>
      </c>
      <c r="C320" s="9">
        <v>330</v>
      </c>
      <c r="D320" s="33">
        <f>MAIZ!D320</f>
        <v>42.543399999999998</v>
      </c>
      <c r="E320" s="18">
        <f>MAIZ!E320</f>
        <v>46.327122308655014</v>
      </c>
      <c r="F320" s="19">
        <f t="shared" si="71"/>
        <v>118.48807237735303</v>
      </c>
      <c r="G320" s="19">
        <f t="shared" si="72"/>
        <v>46.327122308655021</v>
      </c>
      <c r="H320" s="19">
        <f t="shared" si="73"/>
        <v>303.04757343792789</v>
      </c>
      <c r="I320" s="20">
        <f t="shared" si="76"/>
        <v>9.4021634378070401E-2</v>
      </c>
      <c r="J320" s="21">
        <f t="shared" si="74"/>
        <v>111.24106752137534</v>
      </c>
      <c r="K320" s="64">
        <f t="shared" si="75"/>
        <v>274.55454528898559</v>
      </c>
      <c r="L320" s="22">
        <f t="shared" si="53"/>
        <v>209.55182751295348</v>
      </c>
      <c r="M320" s="22">
        <f t="shared" si="54"/>
        <v>324.6150744475849</v>
      </c>
    </row>
    <row r="321" spans="1:13" x14ac:dyDescent="0.15">
      <c r="A321" s="34">
        <v>43678</v>
      </c>
      <c r="B321" s="16" t="s">
        <v>3</v>
      </c>
      <c r="C321" s="9">
        <v>330</v>
      </c>
      <c r="D321" s="33">
        <f>MAIZ!D321</f>
        <v>52.7271</v>
      </c>
      <c r="E321" s="18">
        <f>MAIZ!E321</f>
        <v>48.180207201001217</v>
      </c>
      <c r="F321" s="19">
        <f t="shared" si="71"/>
        <v>141.20269493686109</v>
      </c>
      <c r="G321" s="19">
        <f t="shared" si="72"/>
        <v>48.180207201001224</v>
      </c>
      <c r="H321" s="19">
        <f t="shared" si="73"/>
        <v>361.14296743079211</v>
      </c>
      <c r="I321" s="20">
        <f t="shared" si="76"/>
        <v>7.5862317480005534E-2</v>
      </c>
      <c r="J321" s="21">
        <f t="shared" si="74"/>
        <v>135.22355571453738</v>
      </c>
      <c r="K321" s="64">
        <f t="shared" si="75"/>
        <v>333.74582497988609</v>
      </c>
      <c r="L321" s="22">
        <f t="shared" si="53"/>
        <v>209.55182751295348</v>
      </c>
      <c r="M321" s="22">
        <f t="shared" si="54"/>
        <v>324.6150744475849</v>
      </c>
    </row>
    <row r="322" spans="1:13" x14ac:dyDescent="0.15">
      <c r="A322" s="34">
        <v>43709</v>
      </c>
      <c r="B322" t="s">
        <v>5</v>
      </c>
      <c r="C322" s="9">
        <v>330</v>
      </c>
      <c r="D322" s="33">
        <f>MAIZ!D322</f>
        <v>56.501399999999997</v>
      </c>
      <c r="E322" s="18">
        <f>MAIZ!E322</f>
        <v>51.022839425860283</v>
      </c>
      <c r="F322" s="19">
        <f t="shared" si="71"/>
        <v>142.88029845040816</v>
      </c>
      <c r="G322" s="19">
        <f t="shared" si="72"/>
        <v>51.02283942586029</v>
      </c>
      <c r="H322" s="19">
        <f t="shared" si="73"/>
        <v>365.43364128319718</v>
      </c>
      <c r="I322" s="20">
        <f t="shared" si="76"/>
        <v>7.0794705971887431E-2</v>
      </c>
      <c r="J322" s="21">
        <f t="shared" si="74"/>
        <v>137.58044531858653</v>
      </c>
      <c r="K322" s="64">
        <f t="shared" si="75"/>
        <v>339.56287409631705</v>
      </c>
      <c r="L322" s="22">
        <f t="shared" si="53"/>
        <v>209.55182751295348</v>
      </c>
      <c r="M322" s="22">
        <f t="shared" si="54"/>
        <v>324.6150744475849</v>
      </c>
    </row>
    <row r="323" spans="1:13" x14ac:dyDescent="0.15">
      <c r="A323" s="34">
        <v>43739</v>
      </c>
      <c r="B323" t="s">
        <v>6</v>
      </c>
      <c r="C323" s="9">
        <v>330</v>
      </c>
      <c r="D323" s="33">
        <f>MAIZ!D323</f>
        <v>58.530799999999999</v>
      </c>
      <c r="E323" s="18">
        <f>MAIZ!E323</f>
        <v>52.706593126913674</v>
      </c>
      <c r="F323" s="19">
        <f t="shared" si="71"/>
        <v>143.28386185815233</v>
      </c>
      <c r="G323" s="19">
        <f t="shared" si="72"/>
        <v>52.706593126913681</v>
      </c>
      <c r="H323" s="19">
        <f t="shared" si="73"/>
        <v>366.46580349996208</v>
      </c>
      <c r="I323" s="20">
        <f t="shared" si="76"/>
        <v>6.8340087611992326E-2</v>
      </c>
      <c r="J323" s="21">
        <f t="shared" si="74"/>
        <v>138.33350278277888</v>
      </c>
      <c r="K323" s="64">
        <f t="shared" si="75"/>
        <v>341.42149838197554</v>
      </c>
      <c r="L323" s="22">
        <f t="shared" si="53"/>
        <v>209.55182751295348</v>
      </c>
      <c r="M323" s="22">
        <f t="shared" si="54"/>
        <v>324.6150744475849</v>
      </c>
    </row>
    <row r="324" spans="1:13" x14ac:dyDescent="0.15">
      <c r="A324" s="34">
        <v>43770</v>
      </c>
      <c r="B324" t="s">
        <v>7</v>
      </c>
      <c r="C324" s="9">
        <v>330</v>
      </c>
      <c r="D324" s="33">
        <f>MAIZ!D324</f>
        <v>59.738100000000003</v>
      </c>
      <c r="E324" s="18">
        <f>MAIZ!E324</f>
        <v>54.972976631370955</v>
      </c>
      <c r="F324" s="19">
        <f t="shared" si="71"/>
        <v>140.21029896240307</v>
      </c>
      <c r="G324" s="19">
        <f t="shared" si="72"/>
        <v>54.972976631370962</v>
      </c>
      <c r="H324" s="19">
        <f t="shared" si="73"/>
        <v>358.60479471926982</v>
      </c>
      <c r="I324" s="20">
        <f t="shared" si="76"/>
        <v>6.6958942450462938E-2</v>
      </c>
      <c r="J324" s="21">
        <f t="shared" si="74"/>
        <v>135.56680375462935</v>
      </c>
      <c r="K324" s="64">
        <f t="shared" si="75"/>
        <v>334.59299690720212</v>
      </c>
      <c r="L324" s="22">
        <f t="shared" si="53"/>
        <v>209.55182751295348</v>
      </c>
      <c r="M324" s="22">
        <f t="shared" si="54"/>
        <v>324.6150744475849</v>
      </c>
    </row>
    <row r="325" spans="1:13" x14ac:dyDescent="0.15">
      <c r="A325" s="34">
        <v>43800</v>
      </c>
      <c r="B325" t="s">
        <v>66</v>
      </c>
      <c r="C325" s="9">
        <v>330</v>
      </c>
      <c r="D325" s="33">
        <f>MAIZ!D325</f>
        <v>59.883199999999988</v>
      </c>
      <c r="E325" s="18">
        <f>MAIZ!E325</f>
        <v>57.006976766731668</v>
      </c>
      <c r="F325" s="19">
        <f t="shared" si="71"/>
        <v>135.53602772833366</v>
      </c>
      <c r="G325" s="19">
        <f t="shared" si="72"/>
        <v>57.006976766731675</v>
      </c>
      <c r="H325" s="19">
        <f t="shared" si="73"/>
        <v>346.64978079547012</v>
      </c>
      <c r="I325" s="20">
        <v>0.12</v>
      </c>
      <c r="J325" s="21">
        <f t="shared" si="74"/>
        <v>123.59762114086385</v>
      </c>
      <c r="K325" s="64">
        <f t="shared" si="75"/>
        <v>305.05180710001372</v>
      </c>
      <c r="L325" s="22">
        <f t="shared" si="53"/>
        <v>209.55182751295348</v>
      </c>
      <c r="M325" s="22">
        <f t="shared" si="54"/>
        <v>324.6150744475849</v>
      </c>
    </row>
    <row r="326" spans="1:13" x14ac:dyDescent="0.15">
      <c r="A326" s="34">
        <v>43831</v>
      </c>
      <c r="B326" s="16" t="s">
        <v>67</v>
      </c>
      <c r="C326" s="9">
        <v>330</v>
      </c>
      <c r="D326" s="33">
        <f>MAIZ!D326</f>
        <v>60.011000000000003</v>
      </c>
      <c r="E326" s="18">
        <f>MAIZ!E326</f>
        <v>58.318137232366489</v>
      </c>
      <c r="F326" s="19">
        <f>+(C326*(D326/E326))/(AVERAGE(C$109)*AVERAGE(D$109)/AVERAGE(E$109))*100</f>
        <v>132.77153719463814</v>
      </c>
      <c r="G326" s="19">
        <f>+E326/AVERAGE(E$2:E$13)</f>
        <v>58.318137232366496</v>
      </c>
      <c r="H326" s="19">
        <f>+(C326*D326)/G326</f>
        <v>339.57926195573015</v>
      </c>
      <c r="I326" s="20">
        <v>0.12</v>
      </c>
      <c r="J326" s="21">
        <f>+F326*(1-I326)/(F$109*(1-I$109))*100</f>
        <v>121.07663495469592</v>
      </c>
      <c r="K326" s="64">
        <f>+H326*(1-I326)</f>
        <v>298.82975052104251</v>
      </c>
      <c r="L326" s="22">
        <f t="shared" si="53"/>
        <v>209.55182751295348</v>
      </c>
      <c r="M326" s="22">
        <f t="shared" si="54"/>
        <v>324.6150744475849</v>
      </c>
    </row>
    <row r="327" spans="1:13" x14ac:dyDescent="0.15">
      <c r="A327" s="34">
        <v>43862</v>
      </c>
      <c r="B327" s="16" t="s">
        <v>1</v>
      </c>
      <c r="C327" s="9">
        <v>330</v>
      </c>
      <c r="D327" s="33">
        <f>MAIZ!D327</f>
        <v>61.348399999999998</v>
      </c>
      <c r="E327" s="18">
        <f>MAIZ!E327</f>
        <v>59.484499977013819</v>
      </c>
      <c r="F327" s="19">
        <f>+(C327*(D327/E327))/(AVERAGE(C$109)*AVERAGE(D$109)/AVERAGE(E$109))*100</f>
        <v>133.06909047771859</v>
      </c>
      <c r="G327" s="19">
        <f>+E327/AVERAGE(E$2:E$13)</f>
        <v>59.484499977013826</v>
      </c>
      <c r="H327" s="19">
        <f>+(C327*D327)/G327</f>
        <v>340.34029045924768</v>
      </c>
      <c r="I327" s="20">
        <v>0.12</v>
      </c>
      <c r="J327" s="21">
        <f>+F327*(1-I327)/(F$109*(1-I$109))*100</f>
        <v>121.3479788812356</v>
      </c>
      <c r="K327" s="64">
        <f>+H327*(1-I327)</f>
        <v>299.49945560413795</v>
      </c>
      <c r="L327" s="22">
        <f t="shared" si="53"/>
        <v>209.55182751295348</v>
      </c>
      <c r="M327" s="22">
        <f t="shared" si="54"/>
        <v>324.6150744475849</v>
      </c>
    </row>
    <row r="328" spans="1:13" x14ac:dyDescent="0.15">
      <c r="A328" s="34">
        <v>43891</v>
      </c>
      <c r="B328" s="16" t="s">
        <v>2</v>
      </c>
      <c r="C328" s="9">
        <v>330</v>
      </c>
      <c r="D328" s="33">
        <f>MAIZ!D328</f>
        <v>63.122700000000002</v>
      </c>
      <c r="E328" s="18">
        <f>MAIZ!E328</f>
        <v>61.447488476255266</v>
      </c>
      <c r="F328" s="19">
        <f t="shared" ref="F328:F345" si="77">+(C328*(D328/E328))/(AVERAGE(C$109)*AVERAGE(D$109)/AVERAGE(E$109))*100</f>
        <v>132.54373160483956</v>
      </c>
      <c r="G328" s="19">
        <f t="shared" ref="G328:G345" si="78">+E328/AVERAGE(E$2:E$13)</f>
        <v>61.447488476255273</v>
      </c>
      <c r="H328" s="19">
        <f t="shared" ref="H328:H345" si="79">+(C328*D328)/G328</f>
        <v>338.99662161211654</v>
      </c>
      <c r="I328" s="20">
        <v>0.12</v>
      </c>
      <c r="J328" s="21">
        <f t="shared" ref="J328:J345" si="80">+F328*(1-I328)/(F$109*(1-I$109))*100</f>
        <v>120.86889514223711</v>
      </c>
      <c r="K328" s="64">
        <f t="shared" ref="K328:K345" si="81">+H328*(1-I328)</f>
        <v>298.31702701866254</v>
      </c>
      <c r="L328" s="22">
        <f t="shared" si="53"/>
        <v>209.55182751295348</v>
      </c>
      <c r="M328" s="22">
        <f t="shared" si="54"/>
        <v>324.6150744475849</v>
      </c>
    </row>
    <row r="329" spans="1:13" x14ac:dyDescent="0.15">
      <c r="A329" s="34">
        <v>43922</v>
      </c>
      <c r="B329" s="16" t="s">
        <v>3</v>
      </c>
      <c r="C329" s="9">
        <v>330</v>
      </c>
      <c r="D329" s="33">
        <f>MAIZ!D329</f>
        <v>65.762</v>
      </c>
      <c r="E329" s="18">
        <f>MAIZ!E329</f>
        <v>62.369200803399096</v>
      </c>
      <c r="F329" s="19">
        <f t="shared" si="77"/>
        <v>136.04500375334297</v>
      </c>
      <c r="G329" s="19">
        <f t="shared" si="78"/>
        <v>62.369200803399103</v>
      </c>
      <c r="H329" s="19">
        <f t="shared" si="79"/>
        <v>347.95154852805609</v>
      </c>
      <c r="I329" s="20">
        <v>7.0000000000000007E-2</v>
      </c>
      <c r="J329" s="21">
        <f t="shared" si="80"/>
        <v>131.11072900581237</v>
      </c>
      <c r="K329" s="64">
        <f t="shared" si="81"/>
        <v>323.59494013109213</v>
      </c>
      <c r="L329" s="22">
        <f t="shared" si="53"/>
        <v>209.55182751295348</v>
      </c>
      <c r="M329" s="22">
        <f t="shared" si="54"/>
        <v>324.6150744475849</v>
      </c>
    </row>
    <row r="330" spans="1:13" x14ac:dyDescent="0.15">
      <c r="A330" s="34">
        <v>43952</v>
      </c>
      <c r="B330" s="16" t="s">
        <v>2</v>
      </c>
      <c r="C330" s="9">
        <v>335</v>
      </c>
      <c r="D330" s="33">
        <f>MAIZ!D330</f>
        <v>67.725499999999997</v>
      </c>
      <c r="E330" s="18">
        <f>MAIZ!E330</f>
        <v>63.304738815450079</v>
      </c>
      <c r="F330" s="19">
        <f t="shared" si="77"/>
        <v>140.12790499766581</v>
      </c>
      <c r="G330" s="19">
        <f t="shared" si="78"/>
        <v>63.304738815450087</v>
      </c>
      <c r="H330" s="19">
        <f t="shared" si="79"/>
        <v>358.39406219085106</v>
      </c>
      <c r="I330" s="20">
        <v>7.0000000000000007E-2</v>
      </c>
      <c r="J330" s="21">
        <f t="shared" si="80"/>
        <v>135.0455457490458</v>
      </c>
      <c r="K330" s="64">
        <f t="shared" si="81"/>
        <v>333.30647783749146</v>
      </c>
      <c r="L330" s="22">
        <f t="shared" si="53"/>
        <v>209.55182751295348</v>
      </c>
      <c r="M330" s="22">
        <f t="shared" si="54"/>
        <v>324.6150744475849</v>
      </c>
    </row>
    <row r="331" spans="1:13" x14ac:dyDescent="0.15">
      <c r="A331" s="34">
        <v>43983</v>
      </c>
      <c r="B331" s="16" t="s">
        <v>4</v>
      </c>
      <c r="C331" s="9">
        <v>360</v>
      </c>
      <c r="D331" s="33">
        <f>MAIZ!D331</f>
        <v>69.540700000000001</v>
      </c>
      <c r="E331" s="18">
        <f>MAIZ!E331</f>
        <v>64.69744306938999</v>
      </c>
      <c r="F331" s="19">
        <f t="shared" si="77"/>
        <v>151.29280156474641</v>
      </c>
      <c r="G331" s="19">
        <f t="shared" si="78"/>
        <v>64.697443069390005</v>
      </c>
      <c r="H331" s="19">
        <f t="shared" si="79"/>
        <v>386.94963529160748</v>
      </c>
      <c r="I331" s="20">
        <v>7.0000000000000007E-2</v>
      </c>
      <c r="J331" s="21">
        <f t="shared" si="80"/>
        <v>145.80549788105094</v>
      </c>
      <c r="K331" s="64">
        <f t="shared" si="81"/>
        <v>359.86316082119492</v>
      </c>
      <c r="L331" s="22">
        <f t="shared" si="53"/>
        <v>209.55182751295348</v>
      </c>
      <c r="M331" s="22">
        <f t="shared" si="54"/>
        <v>324.6150744475849</v>
      </c>
    </row>
    <row r="332" spans="1:13" x14ac:dyDescent="0.15">
      <c r="A332" s="34">
        <v>44013</v>
      </c>
      <c r="B332" s="16" t="s">
        <v>4</v>
      </c>
      <c r="C332" s="9">
        <v>360</v>
      </c>
      <c r="D332" s="33">
        <f>MAIZ!D332</f>
        <v>71.474900000000005</v>
      </c>
      <c r="E332" s="18">
        <f>MAIZ!E332</f>
        <v>65.926694487708389</v>
      </c>
      <c r="F332" s="19">
        <f t="shared" si="77"/>
        <v>152.60142159433906</v>
      </c>
      <c r="G332" s="19">
        <f t="shared" si="78"/>
        <v>65.926694487708403</v>
      </c>
      <c r="H332" s="19">
        <f t="shared" si="79"/>
        <v>390.29658926396456</v>
      </c>
      <c r="I332" s="20">
        <v>7.0000000000000007E-2</v>
      </c>
      <c r="J332" s="21">
        <f t="shared" si="80"/>
        <v>147.06665500801586</v>
      </c>
      <c r="K332" s="64">
        <f t="shared" si="81"/>
        <v>362.97582801548702</v>
      </c>
      <c r="L332" s="22">
        <f t="shared" si="53"/>
        <v>209.55182751295348</v>
      </c>
      <c r="M332" s="22">
        <f t="shared" si="54"/>
        <v>324.6150744475849</v>
      </c>
    </row>
    <row r="333" spans="1:13" x14ac:dyDescent="0.15">
      <c r="A333" s="34">
        <v>44044</v>
      </c>
      <c r="B333" s="16" t="s">
        <v>3</v>
      </c>
      <c r="C333" s="9">
        <v>360</v>
      </c>
      <c r="D333" s="33">
        <f>MAIZ!D333</f>
        <v>73.293000000000006</v>
      </c>
      <c r="E333" s="18">
        <f>MAIZ!E333</f>
        <v>67.706715238876498</v>
      </c>
      <c r="F333" s="19">
        <f t="shared" si="77"/>
        <v>152.36916158068342</v>
      </c>
      <c r="G333" s="19">
        <f t="shared" si="78"/>
        <v>67.706715238876512</v>
      </c>
      <c r="H333" s="19">
        <f t="shared" si="79"/>
        <v>389.7025561926792</v>
      </c>
      <c r="I333" s="20">
        <v>7.0000000000000007E-2</v>
      </c>
      <c r="J333" s="21">
        <f t="shared" si="80"/>
        <v>146.84281893267934</v>
      </c>
      <c r="K333" s="64">
        <f t="shared" si="81"/>
        <v>362.42337725919162</v>
      </c>
      <c r="L333" s="22">
        <f t="shared" si="53"/>
        <v>209.55182751295348</v>
      </c>
      <c r="M333" s="22">
        <f t="shared" si="54"/>
        <v>324.6150744475849</v>
      </c>
    </row>
    <row r="334" spans="1:13" x14ac:dyDescent="0.15">
      <c r="A334" s="34">
        <v>44075</v>
      </c>
      <c r="B334" t="s">
        <v>5</v>
      </c>
      <c r="C334" s="9">
        <v>362</v>
      </c>
      <c r="D334" s="33">
        <f>MAIZ!D334</f>
        <v>75.198599999999999</v>
      </c>
      <c r="E334" s="18">
        <f>MAIZ!E334</f>
        <v>69.602503265565048</v>
      </c>
      <c r="F334" s="19">
        <f t="shared" si="77"/>
        <v>152.91753538386783</v>
      </c>
      <c r="G334" s="19">
        <f t="shared" si="78"/>
        <v>69.602503265565062</v>
      </c>
      <c r="H334" s="19">
        <f t="shared" si="79"/>
        <v>391.10508850717844</v>
      </c>
      <c r="I334" s="20">
        <v>7.0000000000000007E-2</v>
      </c>
      <c r="J334" s="21">
        <f t="shared" si="80"/>
        <v>147.37130353056691</v>
      </c>
      <c r="K334" s="64">
        <f t="shared" si="81"/>
        <v>363.72773231167594</v>
      </c>
      <c r="L334" s="22">
        <f t="shared" si="53"/>
        <v>209.55182751295348</v>
      </c>
      <c r="M334" s="22">
        <f t="shared" si="54"/>
        <v>324.6150744475849</v>
      </c>
    </row>
    <row r="335" spans="1:13" x14ac:dyDescent="0.15">
      <c r="A335" s="34">
        <v>44105</v>
      </c>
      <c r="B335" t="s">
        <v>6</v>
      </c>
      <c r="C335" s="9">
        <v>391</v>
      </c>
      <c r="D335" s="33">
        <f>MAIZ!D335</f>
        <v>77.569299999999998</v>
      </c>
      <c r="E335" s="18">
        <f>MAIZ!E335</f>
        <v>72.247398389656524</v>
      </c>
      <c r="F335" s="19">
        <f t="shared" si="77"/>
        <v>164.13766093580051</v>
      </c>
      <c r="G335" s="19">
        <f t="shared" si="78"/>
        <v>72.247398389656539</v>
      </c>
      <c r="H335" s="19">
        <f t="shared" si="79"/>
        <v>419.80191641533497</v>
      </c>
      <c r="I335" s="20">
        <v>7.0000000000000007E-2</v>
      </c>
      <c r="J335" s="21">
        <f t="shared" si="80"/>
        <v>158.1844815236212</v>
      </c>
      <c r="K335" s="64">
        <f t="shared" si="81"/>
        <v>390.41578226626149</v>
      </c>
      <c r="L335" s="22">
        <f t="shared" si="53"/>
        <v>209.55182751295348</v>
      </c>
      <c r="M335" s="22">
        <f t="shared" si="54"/>
        <v>324.6150744475849</v>
      </c>
    </row>
    <row r="336" spans="1:13" x14ac:dyDescent="0.15">
      <c r="A336" s="34">
        <v>44136</v>
      </c>
      <c r="B336" t="s">
        <v>7</v>
      </c>
      <c r="C336" s="9">
        <v>490</v>
      </c>
      <c r="D336" s="33">
        <f>MAIZ!D336</f>
        <v>79.933199999999999</v>
      </c>
      <c r="E336" s="18">
        <f>MAIZ!E336</f>
        <v>74.559315138125527</v>
      </c>
      <c r="F336" s="19">
        <f t="shared" si="77"/>
        <v>205.39278930411729</v>
      </c>
      <c r="G336" s="19">
        <f t="shared" si="78"/>
        <v>74.559315138125541</v>
      </c>
      <c r="H336" s="19">
        <f t="shared" si="79"/>
        <v>525.31689605035024</v>
      </c>
      <c r="I336" s="20">
        <v>7.0000000000000007E-2</v>
      </c>
      <c r="J336" s="21">
        <f t="shared" si="80"/>
        <v>197.94330989930472</v>
      </c>
      <c r="K336" s="64">
        <f t="shared" si="81"/>
        <v>488.54471332682567</v>
      </c>
      <c r="L336" s="22">
        <f t="shared" si="53"/>
        <v>209.55182751295348</v>
      </c>
      <c r="M336" s="22">
        <f t="shared" si="54"/>
        <v>324.6150744475849</v>
      </c>
    </row>
    <row r="337" spans="1:13" x14ac:dyDescent="0.15">
      <c r="A337" s="34">
        <v>44166</v>
      </c>
      <c r="B337" t="s">
        <v>69</v>
      </c>
      <c r="C337" s="9">
        <v>570</v>
      </c>
      <c r="D337" s="33">
        <f>MAIZ!D337</f>
        <v>82.637900000000002</v>
      </c>
      <c r="E337" s="18">
        <f>MAIZ!E337</f>
        <v>77.541687743650556</v>
      </c>
      <c r="F337" s="19">
        <f t="shared" si="77"/>
        <v>237.51043872133098</v>
      </c>
      <c r="G337" s="19">
        <f t="shared" si="78"/>
        <v>77.54168774365057</v>
      </c>
      <c r="H337" s="19">
        <f t="shared" si="79"/>
        <v>607.46166830573065</v>
      </c>
      <c r="I337" s="20">
        <v>7.0000000000000007E-2</v>
      </c>
      <c r="J337" s="21">
        <f t="shared" si="80"/>
        <v>228.89607047755214</v>
      </c>
      <c r="K337" s="64">
        <f t="shared" si="81"/>
        <v>564.93935152432948</v>
      </c>
      <c r="L337" s="22">
        <f t="shared" si="53"/>
        <v>209.55182751295348</v>
      </c>
      <c r="M337" s="22">
        <f t="shared" si="54"/>
        <v>324.6150744475849</v>
      </c>
    </row>
    <row r="338" spans="1:13" x14ac:dyDescent="0.15">
      <c r="A338" s="34">
        <v>44197</v>
      </c>
      <c r="B338" s="16" t="s">
        <v>68</v>
      </c>
      <c r="C338" s="9">
        <v>570</v>
      </c>
      <c r="D338" s="33">
        <f>MAIZ!D338</f>
        <v>85.970799999999997</v>
      </c>
      <c r="E338" s="18">
        <f>MAIZ!E338</f>
        <v>80.643355253396578</v>
      </c>
      <c r="F338" s="19">
        <f t="shared" si="77"/>
        <v>237.58611625611675</v>
      </c>
      <c r="G338" s="19">
        <f t="shared" si="78"/>
        <v>80.643355253396592</v>
      </c>
      <c r="H338" s="19">
        <f t="shared" si="79"/>
        <v>607.65522275235492</v>
      </c>
      <c r="I338" s="20">
        <v>7.0000000000000007E-2</v>
      </c>
      <c r="J338" s="21">
        <f t="shared" si="80"/>
        <v>228.96900323128349</v>
      </c>
      <c r="K338" s="64">
        <f t="shared" si="81"/>
        <v>565.11935715969003</v>
      </c>
      <c r="L338" s="22">
        <f t="shared" si="53"/>
        <v>209.55182751295348</v>
      </c>
      <c r="M338" s="22">
        <f t="shared" si="54"/>
        <v>324.6150744475849</v>
      </c>
    </row>
    <row r="339" spans="1:13" x14ac:dyDescent="0.15">
      <c r="A339" s="34">
        <v>44228</v>
      </c>
      <c r="B339" s="16" t="s">
        <v>1</v>
      </c>
      <c r="C339" s="9">
        <v>609</v>
      </c>
      <c r="D339" s="33">
        <f>MAIZ!D339</f>
        <v>88.674599999999998</v>
      </c>
      <c r="E339" s="18">
        <f>MAIZ!E339</f>
        <v>83.54651604251886</v>
      </c>
      <c r="F339" s="19">
        <f t="shared" si="77"/>
        <v>252.72721403235536</v>
      </c>
      <c r="G339" s="19">
        <f t="shared" si="78"/>
        <v>83.546516042518874</v>
      </c>
      <c r="H339" s="19">
        <f t="shared" si="79"/>
        <v>646.38041127312397</v>
      </c>
      <c r="I339" s="20">
        <v>7.0000000000000007E-2</v>
      </c>
      <c r="J339" s="21">
        <f t="shared" si="80"/>
        <v>243.56094202081914</v>
      </c>
      <c r="K339" s="64">
        <f t="shared" si="81"/>
        <v>601.13378248400522</v>
      </c>
      <c r="L339" s="22">
        <f t="shared" si="53"/>
        <v>209.55182751295348</v>
      </c>
      <c r="M339" s="22">
        <f t="shared" si="54"/>
        <v>324.6150744475849</v>
      </c>
    </row>
    <row r="340" spans="1:13" x14ac:dyDescent="0.15">
      <c r="A340" s="34">
        <v>44256</v>
      </c>
      <c r="B340" s="16" t="s">
        <v>2</v>
      </c>
      <c r="C340" s="9">
        <v>660</v>
      </c>
      <c r="D340" s="33">
        <f>MAIZ!D340</f>
        <v>91.066400000000002</v>
      </c>
      <c r="E340" s="18">
        <f>MAIZ!E340</f>
        <v>87.556748812559761</v>
      </c>
      <c r="F340" s="19">
        <f t="shared" si="77"/>
        <v>268.39616161910152</v>
      </c>
      <c r="G340" s="19">
        <f t="shared" si="78"/>
        <v>87.556748812559775</v>
      </c>
      <c r="H340" s="19">
        <f t="shared" si="79"/>
        <v>686.45563951522911</v>
      </c>
      <c r="I340" s="20">
        <v>7.0000000000000007E-2</v>
      </c>
      <c r="J340" s="21">
        <f t="shared" si="80"/>
        <v>258.66158580908223</v>
      </c>
      <c r="K340" s="64">
        <f t="shared" si="81"/>
        <v>638.40374474916302</v>
      </c>
      <c r="L340" s="22">
        <f t="shared" si="53"/>
        <v>209.55182751295348</v>
      </c>
      <c r="M340" s="22">
        <f t="shared" si="54"/>
        <v>324.6150744475849</v>
      </c>
    </row>
    <row r="341" spans="1:13" x14ac:dyDescent="0.15">
      <c r="A341" s="34">
        <v>44287</v>
      </c>
      <c r="B341" s="16" t="s">
        <v>3</v>
      </c>
      <c r="C341" s="9">
        <v>660</v>
      </c>
      <c r="D341" s="33">
        <f>MAIZ!D341</f>
        <v>92.863799999999998</v>
      </c>
      <c r="E341" s="18">
        <f>MAIZ!E341</f>
        <v>91.146575513874723</v>
      </c>
      <c r="F341" s="19">
        <f t="shared" si="77"/>
        <v>262.91408536582134</v>
      </c>
      <c r="G341" s="19">
        <f t="shared" si="78"/>
        <v>91.146575513874737</v>
      </c>
      <c r="H341" s="19">
        <f t="shared" si="79"/>
        <v>672.43456656986689</v>
      </c>
      <c r="I341" s="20">
        <v>7.0000000000000007E-2</v>
      </c>
      <c r="J341" s="21">
        <f t="shared" si="80"/>
        <v>253.37834133700915</v>
      </c>
      <c r="K341" s="64">
        <f t="shared" si="81"/>
        <v>625.36414690997617</v>
      </c>
      <c r="L341" s="22">
        <f t="shared" si="53"/>
        <v>209.55182751295348</v>
      </c>
      <c r="M341" s="22">
        <f t="shared" si="54"/>
        <v>324.6150744475849</v>
      </c>
    </row>
    <row r="342" spans="1:13" x14ac:dyDescent="0.15">
      <c r="A342" s="34">
        <v>44317</v>
      </c>
      <c r="B342" s="16" t="s">
        <v>2</v>
      </c>
      <c r="C342" s="9">
        <v>660</v>
      </c>
      <c r="D342" s="33">
        <f>MAIZ!D342</f>
        <v>94.104799999999997</v>
      </c>
      <c r="E342" s="18">
        <f>MAIZ!E342</f>
        <v>94.154412505832582</v>
      </c>
      <c r="F342" s="19">
        <f t="shared" si="77"/>
        <v>257.91633988911838</v>
      </c>
      <c r="G342" s="19">
        <f t="shared" si="78"/>
        <v>94.154412505832596</v>
      </c>
      <c r="H342" s="19">
        <f t="shared" si="79"/>
        <v>659.65222815396476</v>
      </c>
      <c r="I342" s="20">
        <v>7.0000000000000007E-2</v>
      </c>
      <c r="J342" s="21">
        <f t="shared" si="80"/>
        <v>248.56186124029023</v>
      </c>
      <c r="K342" s="64">
        <f t="shared" si="81"/>
        <v>613.47657218318716</v>
      </c>
      <c r="L342" s="22">
        <f t="shared" si="53"/>
        <v>209.55182751295348</v>
      </c>
      <c r="M342" s="22">
        <f t="shared" si="54"/>
        <v>324.6150744475849</v>
      </c>
    </row>
    <row r="343" spans="1:13" x14ac:dyDescent="0.15">
      <c r="A343" s="34">
        <v>44348</v>
      </c>
      <c r="B343" s="16" t="s">
        <v>4</v>
      </c>
      <c r="C343" s="9">
        <v>660</v>
      </c>
      <c r="D343" s="33">
        <f>MAIZ!D343</f>
        <v>95.254300000000001</v>
      </c>
      <c r="E343" s="18">
        <f>MAIZ!E343</f>
        <v>97.167353706019227</v>
      </c>
      <c r="F343" s="19">
        <f t="shared" si="77"/>
        <v>252.97171998685963</v>
      </c>
      <c r="G343" s="19">
        <f t="shared" si="78"/>
        <v>97.167353706019242</v>
      </c>
      <c r="H343" s="19">
        <f t="shared" si="79"/>
        <v>647.0057648189869</v>
      </c>
      <c r="I343" s="20">
        <v>7.0000000000000007E-2</v>
      </c>
      <c r="J343" s="21">
        <f t="shared" si="80"/>
        <v>243.79657988370926</v>
      </c>
      <c r="K343" s="64">
        <f t="shared" si="81"/>
        <v>601.71536128165781</v>
      </c>
      <c r="L343" s="22">
        <f t="shared" si="53"/>
        <v>209.55182751295348</v>
      </c>
      <c r="M343" s="22">
        <f t="shared" si="54"/>
        <v>324.6150744475849</v>
      </c>
    </row>
    <row r="344" spans="1:13" x14ac:dyDescent="0.15">
      <c r="A344" s="34">
        <v>44378</v>
      </c>
      <c r="B344" s="16" t="s">
        <v>4</v>
      </c>
      <c r="C344" s="9">
        <v>660</v>
      </c>
      <c r="D344" s="33">
        <f>MAIZ!D344</f>
        <v>96.237799999999993</v>
      </c>
      <c r="E344" s="18">
        <f>MAIZ!E344</f>
        <v>100.08237431719981</v>
      </c>
      <c r="F344" s="19">
        <f t="shared" si="77"/>
        <v>248.1394672583738</v>
      </c>
      <c r="G344" s="19">
        <f t="shared" si="78"/>
        <v>100.08237431719982</v>
      </c>
      <c r="H344" s="19">
        <f t="shared" si="79"/>
        <v>634.64669411908812</v>
      </c>
      <c r="I344" s="20">
        <v>7.0000000000000007E-2</v>
      </c>
      <c r="J344" s="21">
        <f t="shared" si="80"/>
        <v>239.13959020755192</v>
      </c>
      <c r="K344" s="64">
        <f t="shared" si="81"/>
        <v>590.22142553075196</v>
      </c>
      <c r="L344" s="22">
        <f t="shared" si="53"/>
        <v>209.55182751295348</v>
      </c>
      <c r="M344" s="22">
        <f t="shared" si="54"/>
        <v>324.6150744475849</v>
      </c>
    </row>
    <row r="345" spans="1:13" x14ac:dyDescent="0.15">
      <c r="A345" s="34">
        <v>44409</v>
      </c>
      <c r="B345" s="16" t="s">
        <v>3</v>
      </c>
      <c r="C345" s="9">
        <v>660</v>
      </c>
      <c r="D345" s="33">
        <f>MAIZ!D345</f>
        <v>97.213800000000006</v>
      </c>
      <c r="E345" s="18">
        <f>MAIZ!E345</f>
        <v>102.58443367512979</v>
      </c>
      <c r="F345" s="19">
        <f t="shared" si="77"/>
        <v>244.54242427801282</v>
      </c>
      <c r="G345" s="19">
        <f t="shared" si="78"/>
        <v>102.5844336751298</v>
      </c>
      <c r="H345" s="19">
        <f t="shared" si="79"/>
        <v>625.44682171945351</v>
      </c>
      <c r="I345" s="20">
        <v>7.0000000000000007E-2</v>
      </c>
      <c r="J345" s="21">
        <f t="shared" si="80"/>
        <v>235.67300992596051</v>
      </c>
      <c r="K345" s="64">
        <f t="shared" si="81"/>
        <v>581.66554419909176</v>
      </c>
      <c r="L345" s="22">
        <f t="shared" si="53"/>
        <v>209.55182751295348</v>
      </c>
      <c r="M345" s="22">
        <f t="shared" si="54"/>
        <v>324.6150744475849</v>
      </c>
    </row>
    <row r="346" spans="1:13" x14ac:dyDescent="0.15">
      <c r="A346" s="34">
        <v>44440</v>
      </c>
      <c r="B346" t="s">
        <v>5</v>
      </c>
      <c r="C346" s="9">
        <v>656</v>
      </c>
      <c r="D346" s="33">
        <f>MAIZ!D346</f>
        <v>98.284999999999997</v>
      </c>
      <c r="E346" s="18">
        <f>MAIZ!E346</f>
        <v>106.17488885375933</v>
      </c>
      <c r="F346" s="19">
        <f>+(C346*(D346/E346))/(AVERAGE(C$109)*AVERAGE(D$109)/AVERAGE(E$109))*100</f>
        <v>237.42863170006206</v>
      </c>
      <c r="G346" s="19">
        <f>+E346/AVERAGE(E$2:E$13)</f>
        <v>106.17488885375934</v>
      </c>
      <c r="H346" s="19">
        <f>+(C346*D346)/G346</f>
        <v>607.25243695620907</v>
      </c>
      <c r="I346" s="20">
        <v>7.0000000000000007E-2</v>
      </c>
      <c r="J346" s="21">
        <f>+F346*(1-I346)/(F$109*(1-I$109))*100</f>
        <v>228.81723055031884</v>
      </c>
      <c r="K346" s="64">
        <f>+H346*(1-I346)</f>
        <v>564.74476636927443</v>
      </c>
      <c r="L346" s="22">
        <f t="shared" si="53"/>
        <v>209.55182751295348</v>
      </c>
      <c r="M346" s="22">
        <f t="shared" si="54"/>
        <v>324.6150744475849</v>
      </c>
    </row>
    <row r="347" spans="1:13" x14ac:dyDescent="0.15">
      <c r="A347" s="34">
        <v>44470</v>
      </c>
      <c r="B347" t="s">
        <v>6</v>
      </c>
      <c r="C347" s="9">
        <v>556</v>
      </c>
      <c r="D347" s="33">
        <f>MAIZ!D347</f>
        <v>99.249099999999999</v>
      </c>
      <c r="E347" s="18">
        <f>MAIZ!E347</f>
        <v>109.89100996364088</v>
      </c>
      <c r="F347" s="19">
        <f>+(C347*(D347/E347))/(AVERAGE(C$109)*AVERAGE(D$109)/AVERAGE(E$109))*100</f>
        <v>196.33739628227895</v>
      </c>
      <c r="G347" s="19">
        <f>+E347/AVERAGE(E$2:E$13)</f>
        <v>109.8910099636409</v>
      </c>
      <c r="H347" s="19">
        <f>+(C347*D347)/G347</f>
        <v>502.15663336116359</v>
      </c>
      <c r="I347" s="20">
        <v>7.0000000000000007E-2</v>
      </c>
      <c r="J347" s="21">
        <f>+F347*(1-I347)/(F$109*(1-I$109))*100</f>
        <v>189.21635082126363</v>
      </c>
      <c r="K347" s="64">
        <f>+H347*(1-I347)</f>
        <v>467.00566902588213</v>
      </c>
      <c r="L347" s="22">
        <f t="shared" si="53"/>
        <v>209.55182751295348</v>
      </c>
      <c r="M347" s="22">
        <f t="shared" si="54"/>
        <v>324.6150744475849</v>
      </c>
    </row>
    <row r="348" spans="1:13" x14ac:dyDescent="0.15">
      <c r="A348" s="34">
        <v>44501</v>
      </c>
      <c r="B348" t="s">
        <v>7</v>
      </c>
      <c r="C348" s="9">
        <v>568</v>
      </c>
      <c r="D348" s="33">
        <f>MAIZ!D348</f>
        <v>100.31010000000001</v>
      </c>
      <c r="E348" s="18">
        <f>MAIZ!E348</f>
        <v>112.63828521273189</v>
      </c>
      <c r="F348" s="19">
        <f t="shared" ref="F348:F406" si="82">+(C348*(D348/E348))/(AVERAGE(C$109)*AVERAGE(D$109)/AVERAGE(E$109))*100</f>
        <v>197.77472631275737</v>
      </c>
      <c r="G348" s="19">
        <f t="shared" ref="G348:G406" si="83">+E348/AVERAGE(E$2:E$13)</f>
        <v>112.6382852127319</v>
      </c>
      <c r="H348" s="19">
        <f t="shared" ref="H348:H406" si="84">+(C348*D348)/G348</f>
        <v>505.83277872521967</v>
      </c>
      <c r="I348" s="20">
        <v>7.0000000000000007E-2</v>
      </c>
      <c r="J348" s="21">
        <f t="shared" ref="J348:J406" si="85">+F348*(1-I348)/(F$109*(1-I$109))*100</f>
        <v>190.60154971074027</v>
      </c>
      <c r="K348" s="64">
        <f t="shared" ref="K348:K406" si="86">+H348*(1-I348)</f>
        <v>470.42448421445425</v>
      </c>
      <c r="L348" s="22">
        <f t="shared" si="53"/>
        <v>209.55182751295348</v>
      </c>
      <c r="M348" s="22">
        <f t="shared" si="54"/>
        <v>324.6150744475849</v>
      </c>
    </row>
    <row r="349" spans="1:13" x14ac:dyDescent="0.15">
      <c r="A349" s="34">
        <v>44531</v>
      </c>
      <c r="B349" t="s">
        <v>73</v>
      </c>
      <c r="C349" s="9">
        <v>580</v>
      </c>
      <c r="D349" s="33">
        <f>MAIZ!D349</f>
        <v>101.88849999999999</v>
      </c>
      <c r="E349" s="18">
        <f>MAIZ!E349</f>
        <v>116.91854005081572</v>
      </c>
      <c r="F349" s="19">
        <f t="shared" si="82"/>
        <v>197.62123170972723</v>
      </c>
      <c r="G349" s="19">
        <f t="shared" si="83"/>
        <v>116.91854005081574</v>
      </c>
      <c r="H349" s="19">
        <f t="shared" si="84"/>
        <v>505.44019771642445</v>
      </c>
      <c r="I349" s="20">
        <v>7.0000000000000007E-2</v>
      </c>
      <c r="J349" s="21">
        <f t="shared" si="85"/>
        <v>190.45362226947805</v>
      </c>
      <c r="K349" s="64">
        <f t="shared" si="86"/>
        <v>470.05938387627469</v>
      </c>
      <c r="L349" s="22">
        <f t="shared" si="53"/>
        <v>209.55182751295348</v>
      </c>
      <c r="M349" s="22">
        <f t="shared" si="54"/>
        <v>324.6150744475849</v>
      </c>
    </row>
    <row r="350" spans="1:13" x14ac:dyDescent="0.15">
      <c r="A350" s="34">
        <v>44562</v>
      </c>
      <c r="B350" s="16" t="s">
        <v>70</v>
      </c>
      <c r="C350" s="9">
        <v>610</v>
      </c>
      <c r="D350" s="33">
        <f>MAIZ!D350</f>
        <v>103.9846</v>
      </c>
      <c r="E350" s="18">
        <f>MAIZ!E350</f>
        <v>121.47836311279751</v>
      </c>
      <c r="F350" s="19">
        <f t="shared" si="82"/>
        <v>204.15675428062846</v>
      </c>
      <c r="G350" s="19">
        <f t="shared" si="83"/>
        <v>121.47836311279752</v>
      </c>
      <c r="H350" s="19">
        <f t="shared" si="84"/>
        <v>522.15558700854524</v>
      </c>
      <c r="I350" s="20">
        <v>7.0000000000000007E-2</v>
      </c>
      <c r="J350" s="21">
        <f t="shared" si="85"/>
        <v>196.75210516164191</v>
      </c>
      <c r="K350" s="64">
        <f t="shared" si="86"/>
        <v>485.60469591794703</v>
      </c>
      <c r="L350" s="22">
        <f t="shared" si="53"/>
        <v>209.55182751295348</v>
      </c>
      <c r="M350" s="22">
        <f t="shared" si="54"/>
        <v>324.6150744475849</v>
      </c>
    </row>
    <row r="351" spans="1:13" x14ac:dyDescent="0.15">
      <c r="A351" s="34">
        <v>44593</v>
      </c>
      <c r="B351" s="16" t="s">
        <v>1</v>
      </c>
      <c r="C351" s="9">
        <v>610</v>
      </c>
      <c r="D351" s="33">
        <f>MAIZ!D351</f>
        <v>106.30710000000001</v>
      </c>
      <c r="E351" s="18">
        <f>MAIZ!E351</f>
        <v>127.18784617909898</v>
      </c>
      <c r="F351" s="19">
        <f t="shared" si="82"/>
        <v>199.34728095543008</v>
      </c>
      <c r="G351" s="19">
        <f t="shared" si="83"/>
        <v>127.187846179099</v>
      </c>
      <c r="H351" s="19">
        <f t="shared" si="84"/>
        <v>509.8547773871847</v>
      </c>
      <c r="I351" s="20">
        <v>7.0000000000000007E-2</v>
      </c>
      <c r="J351" s="21">
        <f t="shared" si="85"/>
        <v>192.11706869279789</v>
      </c>
      <c r="K351" s="64">
        <f t="shared" si="86"/>
        <v>474.16494297008171</v>
      </c>
      <c r="L351" s="22">
        <f t="shared" ref="L351:M366" si="87">+L350</f>
        <v>209.55182751295348</v>
      </c>
      <c r="M351" s="22">
        <f t="shared" si="54"/>
        <v>324.6150744475849</v>
      </c>
    </row>
    <row r="352" spans="1:13" x14ac:dyDescent="0.15">
      <c r="A352" s="34">
        <v>44621</v>
      </c>
      <c r="B352" s="16" t="s">
        <v>2</v>
      </c>
      <c r="C352" s="9">
        <v>817</v>
      </c>
      <c r="D352" s="33">
        <f>MAIZ!D352</f>
        <v>109.4585</v>
      </c>
      <c r="E352" s="18">
        <f>MAIZ!E352</f>
        <v>135.70943187309862</v>
      </c>
      <c r="F352" s="19">
        <f t="shared" si="82"/>
        <v>257.64714823024491</v>
      </c>
      <c r="G352" s="19">
        <f t="shared" si="83"/>
        <v>135.70943187309865</v>
      </c>
      <c r="H352" s="19">
        <f t="shared" si="84"/>
        <v>658.96373793402506</v>
      </c>
      <c r="I352" s="20">
        <v>7.0000000000000007E-2</v>
      </c>
      <c r="J352" s="21">
        <f t="shared" si="85"/>
        <v>248.30243300945881</v>
      </c>
      <c r="K352" s="64">
        <f t="shared" si="86"/>
        <v>612.83627627864325</v>
      </c>
      <c r="L352" s="22">
        <f t="shared" si="87"/>
        <v>209.55182751295348</v>
      </c>
      <c r="M352" s="22">
        <f t="shared" si="54"/>
        <v>324.6150744475849</v>
      </c>
    </row>
    <row r="353" spans="1:13" x14ac:dyDescent="0.15">
      <c r="A353" s="34">
        <v>44652</v>
      </c>
      <c r="B353" s="16" t="s">
        <v>3</v>
      </c>
      <c r="C353" s="9">
        <v>925</v>
      </c>
      <c r="D353" s="33">
        <f>MAIZ!D353</f>
        <v>113.33450000000001</v>
      </c>
      <c r="E353" s="18">
        <f>MAIZ!E353</f>
        <v>143.85199778548454</v>
      </c>
      <c r="F353" s="19">
        <f t="shared" si="82"/>
        <v>284.93893150175273</v>
      </c>
      <c r="G353" s="19">
        <f t="shared" si="83"/>
        <v>143.85199778548457</v>
      </c>
      <c r="H353" s="19">
        <f t="shared" si="84"/>
        <v>728.76577394727258</v>
      </c>
      <c r="I353" s="20">
        <v>7.0000000000000007E-2</v>
      </c>
      <c r="J353" s="21">
        <f t="shared" si="85"/>
        <v>274.60435885661144</v>
      </c>
      <c r="K353" s="64">
        <f t="shared" si="86"/>
        <v>677.75216977096341</v>
      </c>
      <c r="L353" s="22">
        <f t="shared" si="87"/>
        <v>209.55182751295348</v>
      </c>
      <c r="M353" s="22">
        <f t="shared" si="54"/>
        <v>324.6150744475849</v>
      </c>
    </row>
    <row r="354" spans="1:13" x14ac:dyDescent="0.15">
      <c r="A354" s="34">
        <v>44682</v>
      </c>
      <c r="B354" s="16" t="s">
        <v>2</v>
      </c>
      <c r="C354" s="9">
        <v>934</v>
      </c>
      <c r="D354" s="33">
        <f>MAIZ!D354</f>
        <v>117.77370000000001</v>
      </c>
      <c r="E354" s="18">
        <f>MAIZ!E354</f>
        <v>151.18844967254424</v>
      </c>
      <c r="F354" s="19">
        <f t="shared" si="82"/>
        <v>284.47257570775764</v>
      </c>
      <c r="G354" s="19">
        <f t="shared" si="83"/>
        <v>151.18844967254427</v>
      </c>
      <c r="H354" s="19">
        <f t="shared" si="84"/>
        <v>727.57301260941529</v>
      </c>
      <c r="I354" s="20">
        <v>7.0000000000000007E-2</v>
      </c>
      <c r="J354" s="21">
        <f t="shared" si="85"/>
        <v>274.1549175214659</v>
      </c>
      <c r="K354" s="64">
        <f t="shared" si="86"/>
        <v>676.64290172675612</v>
      </c>
      <c r="L354" s="22">
        <f t="shared" si="87"/>
        <v>209.55182751295348</v>
      </c>
      <c r="M354" s="22">
        <f t="shared" si="87"/>
        <v>324.6150744475849</v>
      </c>
    </row>
    <row r="355" spans="1:13" x14ac:dyDescent="0.15">
      <c r="A355" s="34">
        <v>44713</v>
      </c>
      <c r="B355" s="16" t="s">
        <v>4</v>
      </c>
      <c r="C355" s="9">
        <v>918</v>
      </c>
      <c r="D355" s="33">
        <f>MAIZ!D355</f>
        <v>122.73569999999999</v>
      </c>
      <c r="E355" s="18">
        <f>MAIZ!E355</f>
        <v>159.20143750518906</v>
      </c>
      <c r="F355" s="19">
        <f t="shared" si="82"/>
        <v>276.71354841620706</v>
      </c>
      <c r="G355" s="19">
        <f t="shared" si="83"/>
        <v>159.20143750518909</v>
      </c>
      <c r="H355" s="19">
        <f t="shared" si="84"/>
        <v>707.72836204024554</v>
      </c>
      <c r="I355" s="20">
        <v>7.0000000000000007E-2</v>
      </c>
      <c r="J355" s="21">
        <f t="shared" si="85"/>
        <v>266.67730572753635</v>
      </c>
      <c r="K355" s="64">
        <f t="shared" si="86"/>
        <v>658.18737669742836</v>
      </c>
      <c r="L355" s="22">
        <f t="shared" si="87"/>
        <v>209.55182751295348</v>
      </c>
      <c r="M355" s="22">
        <f t="shared" si="87"/>
        <v>324.6150744475849</v>
      </c>
    </row>
    <row r="356" spans="1:13" x14ac:dyDescent="0.15">
      <c r="A356" s="34">
        <v>44743</v>
      </c>
      <c r="B356" s="16" t="s">
        <v>4</v>
      </c>
      <c r="C356" s="9">
        <v>757</v>
      </c>
      <c r="D356" s="33">
        <f>MAIZ!D356</f>
        <v>128.44540000000001</v>
      </c>
      <c r="E356" s="18">
        <f>MAIZ!E356</f>
        <v>170.98234388057307</v>
      </c>
      <c r="F356" s="19">
        <f t="shared" si="82"/>
        <v>222.3448077476437</v>
      </c>
      <c r="G356" s="19">
        <f t="shared" si="83"/>
        <v>170.9823438805731</v>
      </c>
      <c r="H356" s="19">
        <f t="shared" si="84"/>
        <v>568.67373316577618</v>
      </c>
      <c r="I356" s="20">
        <v>7.0000000000000007E-2</v>
      </c>
      <c r="J356" s="21">
        <f t="shared" si="85"/>
        <v>214.2804882956566</v>
      </c>
      <c r="K356" s="64">
        <f t="shared" si="86"/>
        <v>528.86657184417186</v>
      </c>
      <c r="L356" s="22">
        <f t="shared" si="87"/>
        <v>209.55182751295348</v>
      </c>
      <c r="M356" s="22">
        <f t="shared" si="87"/>
        <v>324.6150744475849</v>
      </c>
    </row>
    <row r="357" spans="1:13" x14ac:dyDescent="0.15">
      <c r="A357" s="34">
        <v>44774</v>
      </c>
      <c r="B357" s="16" t="s">
        <v>3</v>
      </c>
      <c r="C357" s="9">
        <v>713</v>
      </c>
      <c r="D357" s="33">
        <f>MAIZ!D357</f>
        <v>135.2903</v>
      </c>
      <c r="E357" s="18">
        <f>MAIZ!E357</f>
        <v>182.95110795221316</v>
      </c>
      <c r="F357" s="19">
        <f t="shared" si="82"/>
        <v>206.15077369943143</v>
      </c>
      <c r="G357" s="19">
        <f t="shared" si="83"/>
        <v>182.95110795221319</v>
      </c>
      <c r="H357" s="19">
        <f t="shared" si="84"/>
        <v>527.25553280166991</v>
      </c>
      <c r="I357" s="20">
        <v>7.0000000000000007E-2</v>
      </c>
      <c r="J357" s="21">
        <f t="shared" si="85"/>
        <v>198.67380263261268</v>
      </c>
      <c r="K357" s="64">
        <f t="shared" si="86"/>
        <v>490.34764550555298</v>
      </c>
      <c r="L357" s="22">
        <f t="shared" si="87"/>
        <v>209.55182751295348</v>
      </c>
      <c r="M357" s="22">
        <f t="shared" si="87"/>
        <v>324.6150744475849</v>
      </c>
    </row>
    <row r="358" spans="1:13" x14ac:dyDescent="0.15">
      <c r="A358" s="34">
        <v>44805</v>
      </c>
      <c r="B358" t="s">
        <v>5</v>
      </c>
      <c r="C358" s="9">
        <v>638</v>
      </c>
      <c r="D358" s="33">
        <f>MAIZ!D358</f>
        <v>200</v>
      </c>
      <c r="E358" s="18">
        <f>MAIZ!E358</f>
        <v>194.29407664525039</v>
      </c>
      <c r="F358" s="19">
        <f t="shared" si="82"/>
        <v>256.77630025304683</v>
      </c>
      <c r="G358" s="19">
        <f t="shared" si="83"/>
        <v>194.29407664525041</v>
      </c>
      <c r="H358" s="19">
        <f t="shared" si="84"/>
        <v>656.73643892385348</v>
      </c>
      <c r="I358" s="20">
        <v>7.0000000000000007E-2</v>
      </c>
      <c r="J358" s="21">
        <f t="shared" si="85"/>
        <v>247.46317019205546</v>
      </c>
      <c r="K358" s="64">
        <f t="shared" si="86"/>
        <v>610.7648881991837</v>
      </c>
      <c r="L358" s="22">
        <f t="shared" si="87"/>
        <v>209.55182751295348</v>
      </c>
      <c r="M358" s="22">
        <f t="shared" si="87"/>
        <v>324.6150744475849</v>
      </c>
    </row>
    <row r="359" spans="1:13" x14ac:dyDescent="0.15">
      <c r="A359" s="34">
        <v>44835</v>
      </c>
      <c r="B359" t="s">
        <v>6</v>
      </c>
      <c r="C359" s="9">
        <v>620</v>
      </c>
      <c r="D359" s="33">
        <f>MAIZ!D359</f>
        <v>152.59289999999999</v>
      </c>
      <c r="E359" s="18">
        <f>MAIZ!E359</f>
        <v>206.53460347390114</v>
      </c>
      <c r="F359" s="19">
        <f t="shared" si="82"/>
        <v>179.10058914018373</v>
      </c>
      <c r="G359" s="19">
        <f t="shared" si="83"/>
        <v>206.53460347390117</v>
      </c>
      <c r="H359" s="19">
        <f t="shared" si="84"/>
        <v>458.07141471068371</v>
      </c>
      <c r="I359" s="20">
        <v>7.0000000000000007E-2</v>
      </c>
      <c r="J359" s="21">
        <f t="shared" si="85"/>
        <v>172.60471285012525</v>
      </c>
      <c r="K359" s="64">
        <f t="shared" si="86"/>
        <v>426.00641568093585</v>
      </c>
      <c r="L359" s="22">
        <f t="shared" si="87"/>
        <v>209.55182751295348</v>
      </c>
      <c r="M359" s="22">
        <f t="shared" si="87"/>
        <v>324.6150744475849</v>
      </c>
    </row>
    <row r="360" spans="1:13" x14ac:dyDescent="0.15">
      <c r="A360" s="34">
        <v>44866</v>
      </c>
      <c r="B360" t="s">
        <v>7</v>
      </c>
      <c r="C360" s="9">
        <v>634</v>
      </c>
      <c r="D360" s="33">
        <f>MAIZ!D360</f>
        <v>162.1183</v>
      </c>
      <c r="E360" s="18">
        <f>MAIZ!E360</f>
        <v>216.65479904412229</v>
      </c>
      <c r="F360" s="19">
        <f t="shared" si="82"/>
        <v>185.48842297071636</v>
      </c>
      <c r="G360" s="19">
        <f t="shared" si="83"/>
        <v>216.65479904412231</v>
      </c>
      <c r="H360" s="19">
        <f t="shared" si="84"/>
        <v>474.40907218984785</v>
      </c>
      <c r="I360" s="20">
        <v>7.0000000000000007E-2</v>
      </c>
      <c r="J360" s="21">
        <f t="shared" si="85"/>
        <v>178.76086358835877</v>
      </c>
      <c r="K360" s="64">
        <f t="shared" si="86"/>
        <v>441.20043713655849</v>
      </c>
      <c r="L360" s="22">
        <f t="shared" si="87"/>
        <v>209.55182751295348</v>
      </c>
      <c r="M360" s="22">
        <f t="shared" si="87"/>
        <v>324.6150744475849</v>
      </c>
    </row>
    <row r="361" spans="1:13" x14ac:dyDescent="0.15">
      <c r="A361" s="34">
        <v>44896</v>
      </c>
      <c r="B361" t="s">
        <v>74</v>
      </c>
      <c r="C361" s="9">
        <v>621</v>
      </c>
      <c r="D361" s="33">
        <f>MAIZ!D361</f>
        <v>230</v>
      </c>
      <c r="E361" s="18">
        <f>MAIZ!E361</f>
        <v>227.7041937953725</v>
      </c>
      <c r="F361" s="19">
        <f t="shared" si="82"/>
        <v>245.25181502159478</v>
      </c>
      <c r="G361" s="19">
        <f t="shared" si="83"/>
        <v>227.70419379537253</v>
      </c>
      <c r="H361" s="19">
        <f t="shared" si="84"/>
        <v>627.26117433021398</v>
      </c>
      <c r="I361" s="20">
        <v>7.0000000000000007E-2</v>
      </c>
      <c r="J361" s="21">
        <f t="shared" si="85"/>
        <v>236.35667147158875</v>
      </c>
      <c r="K361" s="64">
        <f t="shared" si="86"/>
        <v>583.35289212709893</v>
      </c>
      <c r="L361" s="22">
        <f t="shared" si="87"/>
        <v>209.55182751295348</v>
      </c>
      <c r="M361" s="22">
        <f t="shared" si="87"/>
        <v>324.6150744475849</v>
      </c>
    </row>
    <row r="362" spans="1:13" x14ac:dyDescent="0.15">
      <c r="A362" s="34">
        <v>44927</v>
      </c>
      <c r="B362" s="16" t="s">
        <v>71</v>
      </c>
      <c r="C362" s="9">
        <v>648</v>
      </c>
      <c r="D362" s="33">
        <f>MAIZ!D362</f>
        <v>182.2441</v>
      </c>
      <c r="E362" s="18">
        <f>MAIZ!E362</f>
        <v>241.36644542309489</v>
      </c>
      <c r="F362" s="19">
        <f t="shared" si="82"/>
        <v>191.3001946084546</v>
      </c>
      <c r="G362" s="19">
        <f t="shared" si="83"/>
        <v>241.36644542309492</v>
      </c>
      <c r="H362" s="19">
        <f t="shared" si="84"/>
        <v>489.27338094982889</v>
      </c>
      <c r="I362" s="20">
        <v>7.0000000000000007E-2</v>
      </c>
      <c r="J362" s="21">
        <f t="shared" si="85"/>
        <v>184.36184558120493</v>
      </c>
      <c r="K362" s="64">
        <f t="shared" si="86"/>
        <v>455.02424428334086</v>
      </c>
      <c r="L362" s="22">
        <f t="shared" si="87"/>
        <v>209.55182751295348</v>
      </c>
      <c r="M362" s="22">
        <f t="shared" si="87"/>
        <v>324.6150744475849</v>
      </c>
    </row>
    <row r="363" spans="1:13" x14ac:dyDescent="0.15">
      <c r="A363" s="34">
        <v>44958</v>
      </c>
      <c r="B363" s="16" t="s">
        <v>1</v>
      </c>
      <c r="C363" s="9">
        <v>591</v>
      </c>
      <c r="D363" s="33">
        <f>MAIZ!D363</f>
        <v>191.89240000000001</v>
      </c>
      <c r="E363" s="18">
        <f>MAIZ!E363</f>
        <v>257.29663082101916</v>
      </c>
      <c r="F363" s="19">
        <f t="shared" si="82"/>
        <v>172.33559164346281</v>
      </c>
      <c r="G363" s="19">
        <f t="shared" si="83"/>
        <v>257.29663082101922</v>
      </c>
      <c r="H363" s="19">
        <f t="shared" si="84"/>
        <v>440.76911554620858</v>
      </c>
      <c r="I363" s="20">
        <v>7.0000000000000007E-2</v>
      </c>
      <c r="J363" s="21">
        <f t="shared" si="85"/>
        <v>166.08507795691233</v>
      </c>
      <c r="K363" s="64">
        <f t="shared" si="86"/>
        <v>409.91527745797396</v>
      </c>
      <c r="L363" s="22">
        <f t="shared" si="87"/>
        <v>209.55182751295348</v>
      </c>
      <c r="M363" s="22">
        <f t="shared" si="87"/>
        <v>324.6150744475849</v>
      </c>
    </row>
    <row r="364" spans="1:13" x14ac:dyDescent="0.15">
      <c r="A364" s="34">
        <v>44986</v>
      </c>
      <c r="B364" s="16" t="s">
        <v>2</v>
      </c>
      <c r="C364" s="9">
        <v>544</v>
      </c>
      <c r="D364" s="33">
        <f>MAIZ!D364</f>
        <v>203.10550000000001</v>
      </c>
      <c r="E364" s="18">
        <f>MAIZ!E364</f>
        <v>277.10847139423765</v>
      </c>
      <c r="F364" s="19">
        <f t="shared" si="82"/>
        <v>155.89586800120125</v>
      </c>
      <c r="G364" s="19">
        <f t="shared" si="83"/>
        <v>277.10847139423771</v>
      </c>
      <c r="H364" s="19">
        <f t="shared" si="84"/>
        <v>398.72253433497002</v>
      </c>
      <c r="I364" s="20">
        <v>7.0000000000000007E-2</v>
      </c>
      <c r="J364" s="21">
        <f t="shared" si="85"/>
        <v>150.2416137213649</v>
      </c>
      <c r="K364" s="64">
        <f t="shared" si="86"/>
        <v>370.8119569315221</v>
      </c>
      <c r="L364" s="22">
        <f t="shared" si="87"/>
        <v>209.55182751295348</v>
      </c>
      <c r="M364" s="22">
        <f t="shared" si="87"/>
        <v>324.6150744475849</v>
      </c>
    </row>
    <row r="365" spans="1:13" x14ac:dyDescent="0.15">
      <c r="A365" s="34">
        <v>45017</v>
      </c>
      <c r="B365" s="16" t="s">
        <v>3</v>
      </c>
      <c r="C365" s="9">
        <v>495</v>
      </c>
      <c r="D365" s="33">
        <f>MAIZ!D365</f>
        <v>300</v>
      </c>
      <c r="E365" s="18">
        <f>MAIZ!E365</f>
        <v>300.3855829913536</v>
      </c>
      <c r="F365" s="19">
        <f t="shared" si="82"/>
        <v>193.2908038190082</v>
      </c>
      <c r="G365" s="19">
        <f t="shared" si="83"/>
        <v>300.38558299135366</v>
      </c>
      <c r="H365" s="19">
        <f t="shared" si="84"/>
        <v>494.36460472297182</v>
      </c>
      <c r="I365" s="20">
        <v>7.0000000000000007E-2</v>
      </c>
      <c r="J365" s="21">
        <f t="shared" si="85"/>
        <v>186.28025653023587</v>
      </c>
      <c r="K365" s="64">
        <f t="shared" si="86"/>
        <v>459.75908239236378</v>
      </c>
      <c r="L365" s="22">
        <f t="shared" si="87"/>
        <v>209.55182751295348</v>
      </c>
      <c r="M365" s="22">
        <f t="shared" si="87"/>
        <v>324.6150744475849</v>
      </c>
    </row>
    <row r="366" spans="1:13" x14ac:dyDescent="0.15">
      <c r="A366" s="34">
        <v>45047</v>
      </c>
      <c r="B366" s="16" t="s">
        <v>2</v>
      </c>
      <c r="C366" s="9">
        <v>447</v>
      </c>
      <c r="D366" s="33">
        <f>MAIZ!D366</f>
        <v>300</v>
      </c>
      <c r="E366" s="18">
        <f>MAIZ!E366</f>
        <v>323.81565846467925</v>
      </c>
      <c r="F366" s="19">
        <f t="shared" si="82"/>
        <v>161.91786006089964</v>
      </c>
      <c r="G366" s="19">
        <f t="shared" si="83"/>
        <v>323.8156584646793</v>
      </c>
      <c r="H366" s="19">
        <f t="shared" si="84"/>
        <v>414.1245072453072</v>
      </c>
      <c r="I366" s="20">
        <v>7.0000000000000007E-2</v>
      </c>
      <c r="J366" s="21">
        <f t="shared" si="85"/>
        <v>156.04519156128151</v>
      </c>
      <c r="K366" s="64">
        <f t="shared" si="86"/>
        <v>385.13579173813565</v>
      </c>
      <c r="L366" s="22">
        <f t="shared" si="87"/>
        <v>209.55182751295348</v>
      </c>
      <c r="M366" s="22">
        <f t="shared" si="87"/>
        <v>324.6150744475849</v>
      </c>
    </row>
    <row r="367" spans="1:13" x14ac:dyDescent="0.15">
      <c r="A367" s="34">
        <v>45078</v>
      </c>
      <c r="B367" s="16" t="s">
        <v>4</v>
      </c>
      <c r="C367" s="9">
        <v>404</v>
      </c>
      <c r="D367" s="33">
        <f>MAIZ!D367</f>
        <v>266.46469999999999</v>
      </c>
      <c r="E367" s="18">
        <f>MAIZ!E367</f>
        <v>343.24459797255997</v>
      </c>
      <c r="F367" s="19">
        <f t="shared" si="82"/>
        <v>122.62560450755504</v>
      </c>
      <c r="G367" s="19">
        <f t="shared" si="83"/>
        <v>343.24459797256003</v>
      </c>
      <c r="H367" s="19">
        <f t="shared" si="84"/>
        <v>313.62981219767363</v>
      </c>
      <c r="I367" s="20">
        <v>7.0000000000000007E-2</v>
      </c>
      <c r="J367" s="21">
        <f t="shared" si="85"/>
        <v>118.17804372230694</v>
      </c>
      <c r="K367" s="64">
        <f t="shared" si="86"/>
        <v>291.67572534383646</v>
      </c>
      <c r="L367" s="22">
        <f t="shared" ref="L367:M382" si="88">+L366</f>
        <v>209.55182751295348</v>
      </c>
      <c r="M367" s="22">
        <f t="shared" si="88"/>
        <v>324.6150744475849</v>
      </c>
    </row>
    <row r="368" spans="1:13" x14ac:dyDescent="0.15">
      <c r="A368" s="34">
        <v>45108</v>
      </c>
      <c r="B368" s="16" t="s">
        <v>4</v>
      </c>
      <c r="C368" s="9">
        <v>423</v>
      </c>
      <c r="D368" s="33">
        <f>MAIZ!D368</f>
        <v>340</v>
      </c>
      <c r="E368" s="18">
        <f>MAIZ!E368</f>
        <v>364.8690076448313</v>
      </c>
      <c r="F368" s="19">
        <f t="shared" si="82"/>
        <v>154.11543351203994</v>
      </c>
      <c r="G368" s="19">
        <f t="shared" si="83"/>
        <v>364.86900764483136</v>
      </c>
      <c r="H368" s="19">
        <f t="shared" si="84"/>
        <v>394.16885782745464</v>
      </c>
      <c r="I368" s="20">
        <v>7.0000000000000007E-2</v>
      </c>
      <c r="J368" s="21">
        <f t="shared" si="85"/>
        <v>148.52575457637008</v>
      </c>
      <c r="K368" s="64">
        <f t="shared" si="86"/>
        <v>366.57703777953282</v>
      </c>
      <c r="L368" s="22">
        <f t="shared" si="88"/>
        <v>209.55182751295348</v>
      </c>
      <c r="M368" s="22">
        <f t="shared" si="88"/>
        <v>324.6150744475849</v>
      </c>
    </row>
    <row r="369" spans="1:13" x14ac:dyDescent="0.15">
      <c r="A369" s="34">
        <v>45139</v>
      </c>
      <c r="B369" s="16" t="s">
        <v>3</v>
      </c>
      <c r="C369" s="9">
        <v>439</v>
      </c>
      <c r="D369" s="33">
        <f>MAIZ!D369</f>
        <v>340</v>
      </c>
      <c r="E369" s="18">
        <f>MAIZ!E369</f>
        <v>410.11276459279043</v>
      </c>
      <c r="F369" s="19">
        <f t="shared" si="82"/>
        <v>142.29969652411921</v>
      </c>
      <c r="G369" s="19">
        <f t="shared" si="83"/>
        <v>410.11276459279048</v>
      </c>
      <c r="H369" s="19">
        <f t="shared" si="84"/>
        <v>363.94868164662802</v>
      </c>
      <c r="I369" s="20">
        <v>7.0000000000000007E-2</v>
      </c>
      <c r="J369" s="21">
        <f t="shared" si="85"/>
        <v>137.13856763464338</v>
      </c>
      <c r="K369" s="64">
        <f t="shared" si="86"/>
        <v>338.47227393136404</v>
      </c>
      <c r="L369" s="22">
        <f t="shared" si="88"/>
        <v>209.55182751295348</v>
      </c>
      <c r="M369" s="22">
        <f t="shared" si="88"/>
        <v>324.6150744475849</v>
      </c>
    </row>
    <row r="370" spans="1:13" x14ac:dyDescent="0.15">
      <c r="A370" s="34">
        <v>45170</v>
      </c>
      <c r="B370" t="s">
        <v>5</v>
      </c>
      <c r="C370" s="9">
        <v>450</v>
      </c>
      <c r="D370" s="33">
        <f>MAIZ!D370</f>
        <v>451.97881124999992</v>
      </c>
      <c r="E370" s="18">
        <f>MAIZ!E370</f>
        <v>462.19708569607479</v>
      </c>
      <c r="F370" s="19">
        <f t="shared" si="82"/>
        <v>172.0549651233766</v>
      </c>
      <c r="G370" s="19">
        <f t="shared" si="83"/>
        <v>462.19708569607485</v>
      </c>
      <c r="H370" s="19">
        <f t="shared" si="84"/>
        <v>440.05137928594093</v>
      </c>
      <c r="I370" s="20">
        <v>7.0000000000000007E-2</v>
      </c>
      <c r="J370" s="21">
        <f t="shared" si="85"/>
        <v>165.81462960076706</v>
      </c>
      <c r="K370" s="64">
        <f t="shared" si="86"/>
        <v>409.24778273592506</v>
      </c>
      <c r="L370" s="22">
        <f t="shared" si="88"/>
        <v>209.55182751295348</v>
      </c>
      <c r="M370" s="22">
        <f t="shared" si="88"/>
        <v>324.6150744475849</v>
      </c>
    </row>
    <row r="371" spans="1:13" x14ac:dyDescent="0.15">
      <c r="A371" s="34">
        <v>45200</v>
      </c>
      <c r="B371" t="s">
        <v>6</v>
      </c>
      <c r="C371" s="9">
        <v>450</v>
      </c>
      <c r="D371" s="33">
        <f>MAIZ!D371</f>
        <v>496.54014022727279</v>
      </c>
      <c r="E371" s="18">
        <f>MAIZ!E371</f>
        <v>500.55944380884898</v>
      </c>
      <c r="F371" s="19">
        <f t="shared" si="82"/>
        <v>174.5319898989637</v>
      </c>
      <c r="G371" s="19">
        <f t="shared" si="83"/>
        <v>500.55944380884904</v>
      </c>
      <c r="H371" s="19">
        <f t="shared" si="84"/>
        <v>446.3866696871271</v>
      </c>
      <c r="I371" s="20">
        <v>7.0000000000000007E-2</v>
      </c>
      <c r="J371" s="21">
        <f t="shared" si="85"/>
        <v>168.2018140995194</v>
      </c>
      <c r="K371" s="64">
        <f t="shared" si="86"/>
        <v>415.13960280902819</v>
      </c>
      <c r="L371" s="22">
        <f t="shared" si="88"/>
        <v>209.55182751295348</v>
      </c>
      <c r="M371" s="22">
        <f t="shared" si="88"/>
        <v>324.6150744475849</v>
      </c>
    </row>
    <row r="372" spans="1:13" x14ac:dyDescent="0.15">
      <c r="A372" s="34">
        <v>45231</v>
      </c>
      <c r="B372" t="s">
        <v>7</v>
      </c>
      <c r="C372" s="9">
        <v>454</v>
      </c>
      <c r="D372" s="33">
        <f>MAIZ!D372</f>
        <v>551.27921761904781</v>
      </c>
      <c r="E372" s="18">
        <f>MAIZ!E372</f>
        <v>564.63105261638168</v>
      </c>
      <c r="F372" s="19">
        <f t="shared" si="82"/>
        <v>173.31116343867876</v>
      </c>
      <c r="G372" s="19">
        <f t="shared" si="83"/>
        <v>564.63105261638179</v>
      </c>
      <c r="H372" s="19">
        <f t="shared" si="84"/>
        <v>443.26425838483232</v>
      </c>
      <c r="I372" s="20">
        <v>7.0000000000000007E-2</v>
      </c>
      <c r="J372" s="21">
        <f t="shared" si="85"/>
        <v>167.0252663191412</v>
      </c>
      <c r="K372" s="64">
        <f t="shared" si="86"/>
        <v>412.23576029789405</v>
      </c>
      <c r="L372" s="22">
        <f t="shared" si="88"/>
        <v>209.55182751295348</v>
      </c>
      <c r="M372" s="22">
        <f t="shared" si="88"/>
        <v>324.6150744475849</v>
      </c>
    </row>
    <row r="373" spans="1:13" x14ac:dyDescent="0.15">
      <c r="A373" s="34">
        <v>45261</v>
      </c>
      <c r="B373" t="s">
        <v>75</v>
      </c>
      <c r="C373" s="9">
        <v>455</v>
      </c>
      <c r="D373" s="33">
        <f>MAIZ!D373</f>
        <v>769.27910157894735</v>
      </c>
      <c r="E373" s="18">
        <f>MAIZ!E373</f>
        <v>708.61197103355903</v>
      </c>
      <c r="F373" s="19">
        <f t="shared" si="82"/>
        <v>193.13041316024916</v>
      </c>
      <c r="G373" s="19">
        <f t="shared" si="83"/>
        <v>708.61197103355914</v>
      </c>
      <c r="H373" s="19">
        <f t="shared" si="84"/>
        <v>493.95438621773485</v>
      </c>
      <c r="I373" s="20">
        <v>7.0000000000000007E-2</v>
      </c>
      <c r="J373" s="21">
        <f t="shared" si="85"/>
        <v>186.12568314925565</v>
      </c>
      <c r="K373" s="64">
        <f t="shared" si="86"/>
        <v>459.37757918249338</v>
      </c>
      <c r="L373" s="22">
        <f t="shared" si="88"/>
        <v>209.55182751295348</v>
      </c>
      <c r="M373" s="22">
        <f t="shared" si="88"/>
        <v>324.6150744475849</v>
      </c>
    </row>
    <row r="374" spans="1:13" x14ac:dyDescent="0.15">
      <c r="A374" s="34">
        <v>45292</v>
      </c>
      <c r="B374" s="16" t="s">
        <v>72</v>
      </c>
      <c r="C374" s="9">
        <v>450</v>
      </c>
      <c r="D374" s="33">
        <f>MAIZ!D374</f>
        <v>896.13454545454545</v>
      </c>
      <c r="E374" s="18">
        <f>MAIZ!E374</f>
        <v>854.58603706647216</v>
      </c>
      <c r="F374" s="19">
        <f t="shared" si="82"/>
        <v>184.49889264201676</v>
      </c>
      <c r="G374" s="19">
        <f t="shared" si="83"/>
        <v>854.58603706647227</v>
      </c>
      <c r="H374" s="19">
        <f t="shared" si="84"/>
        <v>471.87822871388505</v>
      </c>
      <c r="I374" s="20">
        <v>7.0000000000000007E-2</v>
      </c>
      <c r="J374" s="21">
        <f t="shared" si="85"/>
        <v>177.80722296070007</v>
      </c>
      <c r="K374" s="64">
        <f t="shared" si="86"/>
        <v>438.84675270391307</v>
      </c>
      <c r="L374" s="22">
        <f t="shared" si="88"/>
        <v>209.55182751295348</v>
      </c>
      <c r="M374" s="22">
        <f t="shared" si="88"/>
        <v>324.6150744475849</v>
      </c>
    </row>
    <row r="375" spans="1:13" x14ac:dyDescent="0.15">
      <c r="A375" s="34">
        <v>45323</v>
      </c>
      <c r="B375" s="16" t="s">
        <v>1</v>
      </c>
      <c r="C375" s="9">
        <v>450</v>
      </c>
      <c r="D375" s="33">
        <f>MAIZ!D375</f>
        <v>901.89291368421038</v>
      </c>
      <c r="E375" s="18">
        <f>MAIZ!E375</f>
        <v>967.39139395924656</v>
      </c>
      <c r="F375" s="19">
        <f t="shared" si="82"/>
        <v>164.03219339451724</v>
      </c>
      <c r="G375" s="19">
        <f t="shared" si="83"/>
        <v>967.39139395924667</v>
      </c>
      <c r="H375" s="19">
        <f t="shared" si="84"/>
        <v>419.53217042469578</v>
      </c>
      <c r="I375" s="20">
        <v>7.0000000000000007E-2</v>
      </c>
      <c r="J375" s="21">
        <f t="shared" si="85"/>
        <v>158.08283922994923</v>
      </c>
      <c r="K375" s="64">
        <f t="shared" si="86"/>
        <v>390.16491849496703</v>
      </c>
      <c r="L375" s="22">
        <f t="shared" si="88"/>
        <v>209.55182751295348</v>
      </c>
      <c r="M375" s="22">
        <f t="shared" si="88"/>
        <v>324.6150744475849</v>
      </c>
    </row>
    <row r="376" spans="1:13" x14ac:dyDescent="0.15">
      <c r="A376" s="34">
        <v>45352</v>
      </c>
      <c r="B376" s="16" t="s">
        <v>2</v>
      </c>
      <c r="C376" s="9">
        <v>438</v>
      </c>
      <c r="D376" s="33">
        <f>MAIZ!D376</f>
        <v>898.08868848484838</v>
      </c>
      <c r="E376" s="18">
        <f>MAIZ!E376</f>
        <v>1073.8044472947638</v>
      </c>
      <c r="F376" s="19">
        <f t="shared" si="82"/>
        <v>143.22933052393367</v>
      </c>
      <c r="G376" s="19">
        <f t="shared" si="83"/>
        <v>1073.804447294764</v>
      </c>
      <c r="H376" s="19">
        <f t="shared" si="84"/>
        <v>366.32633301842134</v>
      </c>
      <c r="I376" s="20">
        <v>7.0000000000000007E-2</v>
      </c>
      <c r="J376" s="21">
        <f t="shared" si="85"/>
        <v>138.03448433912777</v>
      </c>
      <c r="K376" s="64">
        <f t="shared" si="86"/>
        <v>340.6834897071318</v>
      </c>
      <c r="L376" s="22">
        <f t="shared" si="88"/>
        <v>209.55182751295348</v>
      </c>
      <c r="M376" s="22">
        <f t="shared" si="88"/>
        <v>324.6150744475849</v>
      </c>
    </row>
    <row r="377" spans="1:13" x14ac:dyDescent="0.15">
      <c r="A377" s="34">
        <v>45383</v>
      </c>
      <c r="B377" s="16" t="s">
        <v>3</v>
      </c>
      <c r="C377" s="9">
        <v>422</v>
      </c>
      <c r="D377" s="33">
        <f>MAIZ!D377</f>
        <v>906.32509440000013</v>
      </c>
      <c r="E377" s="18">
        <f>MAIZ!E377</f>
        <v>1168.299238656703</v>
      </c>
      <c r="F377" s="19">
        <f t="shared" si="82"/>
        <v>127.99888471757932</v>
      </c>
      <c r="G377" s="19">
        <f t="shared" si="83"/>
        <v>1168.2992386567032</v>
      </c>
      <c r="H377" s="19">
        <f t="shared" si="84"/>
        <v>327.37262610609815</v>
      </c>
      <c r="I377" s="20">
        <v>7.0000000000000007E-2</v>
      </c>
      <c r="J377" s="21">
        <f t="shared" si="85"/>
        <v>123.35643812160492</v>
      </c>
      <c r="K377" s="64">
        <f t="shared" si="86"/>
        <v>304.45654227867124</v>
      </c>
      <c r="L377" s="22">
        <f t="shared" si="88"/>
        <v>209.55182751295348</v>
      </c>
      <c r="M377" s="22">
        <f t="shared" si="88"/>
        <v>324.6150744475849</v>
      </c>
    </row>
    <row r="378" spans="1:13" x14ac:dyDescent="0.15">
      <c r="A378" s="34">
        <v>45413</v>
      </c>
      <c r="B378" s="16" t="s">
        <v>2</v>
      </c>
      <c r="C378" s="9">
        <v>423</v>
      </c>
      <c r="D378" s="33">
        <f>MAIZ!D378</f>
        <v>939.59747826086971</v>
      </c>
      <c r="E378" s="18">
        <f>MAIZ!E378</f>
        <v>1217.3678066802847</v>
      </c>
      <c r="F378" s="19">
        <f t="shared" si="82"/>
        <v>127.65099977723418</v>
      </c>
      <c r="G378" s="19">
        <f t="shared" si="83"/>
        <v>1217.367806680285</v>
      </c>
      <c r="H378" s="19">
        <f t="shared" si="84"/>
        <v>326.48286830270138</v>
      </c>
      <c r="I378" s="20">
        <v>7.0000000000000007E-2</v>
      </c>
      <c r="J378" s="21">
        <f t="shared" si="85"/>
        <v>123.02117076976972</v>
      </c>
      <c r="K378" s="64">
        <f t="shared" si="86"/>
        <v>303.62906752151224</v>
      </c>
      <c r="L378" s="22">
        <f t="shared" si="88"/>
        <v>209.55182751295348</v>
      </c>
      <c r="M378" s="22">
        <f t="shared" si="88"/>
        <v>324.6150744475849</v>
      </c>
    </row>
    <row r="379" spans="1:13" x14ac:dyDescent="0.15">
      <c r="A379" s="34">
        <v>45444</v>
      </c>
      <c r="B379" s="16" t="s">
        <v>4</v>
      </c>
      <c r="C379" s="9">
        <v>438</v>
      </c>
      <c r="D379" s="33">
        <f>MAIZ!D379</f>
        <v>983.64050400000031</v>
      </c>
      <c r="E379" s="18">
        <f>MAIZ!E379</f>
        <v>1273.3667257875779</v>
      </c>
      <c r="F379" s="19">
        <f t="shared" si="82"/>
        <v>132.28811870977452</v>
      </c>
      <c r="G379" s="19">
        <f t="shared" si="83"/>
        <v>1273.3667257875782</v>
      </c>
      <c r="H379" s="19">
        <f t="shared" si="84"/>
        <v>338.3428607226474</v>
      </c>
      <c r="I379" s="20">
        <v>7.0000000000000007E-2</v>
      </c>
      <c r="J379" s="21">
        <f t="shared" si="85"/>
        <v>127.49010404154436</v>
      </c>
      <c r="K379" s="64">
        <f t="shared" si="86"/>
        <v>314.65886047206209</v>
      </c>
      <c r="L379" s="22">
        <f t="shared" si="88"/>
        <v>209.55182751295348</v>
      </c>
      <c r="M379" s="22">
        <f t="shared" si="88"/>
        <v>324.6150744475849</v>
      </c>
    </row>
    <row r="380" spans="1:13" x14ac:dyDescent="0.15">
      <c r="A380" s="34">
        <v>45474</v>
      </c>
      <c r="B380" s="16" t="s">
        <v>4</v>
      </c>
      <c r="C380" s="9">
        <v>434</v>
      </c>
      <c r="D380" s="33">
        <f>MAIZ!D380</f>
        <v>1009.0267600000002</v>
      </c>
      <c r="E380" s="18">
        <f>MAIZ!E380</f>
        <v>1324.301394819081</v>
      </c>
      <c r="F380" s="19">
        <f t="shared" si="82"/>
        <v>129.29132926272612</v>
      </c>
      <c r="G380" s="19">
        <f t="shared" si="83"/>
        <v>1324.3013948190812</v>
      </c>
      <c r="H380" s="19">
        <f t="shared" si="84"/>
        <v>330.67820932094236</v>
      </c>
      <c r="I380" s="20">
        <v>7.0000000000000007E-2</v>
      </c>
      <c r="J380" s="21">
        <f t="shared" si="85"/>
        <v>124.6020064397257</v>
      </c>
      <c r="K380" s="64">
        <f t="shared" si="86"/>
        <v>307.53073466847638</v>
      </c>
      <c r="L380" s="22">
        <f t="shared" si="88"/>
        <v>209.55182751295348</v>
      </c>
      <c r="M380" s="22">
        <f t="shared" si="88"/>
        <v>324.6150744475849</v>
      </c>
    </row>
    <row r="381" spans="1:13" x14ac:dyDescent="0.15">
      <c r="A381" s="34">
        <v>45505</v>
      </c>
      <c r="B381" s="16" t="s">
        <v>3</v>
      </c>
      <c r="C381" s="9">
        <v>436</v>
      </c>
      <c r="D381" s="33">
        <f>MAIZ!D381</f>
        <v>1013.6240836363636</v>
      </c>
      <c r="E381" s="18">
        <f>MAIZ!E381</f>
        <v>1379.9220534014826</v>
      </c>
      <c r="F381" s="19">
        <f t="shared" si="82"/>
        <v>125.21970547932304</v>
      </c>
      <c r="G381" s="19">
        <f t="shared" si="83"/>
        <v>1379.9220534014828</v>
      </c>
      <c r="H381" s="19">
        <f t="shared" si="84"/>
        <v>320.26453912819221</v>
      </c>
      <c r="I381" s="20">
        <v>7.0000000000000007E-2</v>
      </c>
      <c r="J381" s="21">
        <f t="shared" si="85"/>
        <v>120.67805813033203</v>
      </c>
      <c r="K381" s="64">
        <f t="shared" si="86"/>
        <v>297.84602138921872</v>
      </c>
      <c r="L381" s="22">
        <f t="shared" si="88"/>
        <v>209.55182751295348</v>
      </c>
      <c r="M381" s="22">
        <f t="shared" si="88"/>
        <v>324.6150744475849</v>
      </c>
    </row>
    <row r="382" spans="1:13" x14ac:dyDescent="0.15">
      <c r="A382" s="34">
        <v>45536</v>
      </c>
      <c r="B382" t="s">
        <v>5</v>
      </c>
      <c r="C382" s="9">
        <v>437</v>
      </c>
      <c r="D382" s="33">
        <f>MAIZ!D382</f>
        <v>1019.0886095238096</v>
      </c>
      <c r="E382" s="18">
        <f>MAIZ!E382</f>
        <v>1428.2193252705342</v>
      </c>
      <c r="F382" s="19">
        <f t="shared" si="82"/>
        <v>121.91644839262084</v>
      </c>
      <c r="G382" s="19">
        <f t="shared" si="83"/>
        <v>1428.2193252705345</v>
      </c>
      <c r="H382" s="19">
        <f t="shared" si="84"/>
        <v>311.81605967805245</v>
      </c>
      <c r="I382" s="20">
        <v>7.0000000000000007E-2</v>
      </c>
      <c r="J382" s="21">
        <f t="shared" si="85"/>
        <v>117.49460829547915</v>
      </c>
      <c r="K382" s="64">
        <f t="shared" si="86"/>
        <v>289.98893550058875</v>
      </c>
      <c r="L382" s="22">
        <f t="shared" si="88"/>
        <v>209.55182751295348</v>
      </c>
      <c r="M382" s="22">
        <f t="shared" si="88"/>
        <v>324.6150744475849</v>
      </c>
    </row>
    <row r="383" spans="1:13" x14ac:dyDescent="0.15">
      <c r="A383" s="34">
        <v>45566</v>
      </c>
      <c r="B383" t="s">
        <v>6</v>
      </c>
      <c r="C383" s="9">
        <v>455</v>
      </c>
      <c r="D383" s="33">
        <f>MAIZ!D383</f>
        <v>1023.4686330434783</v>
      </c>
      <c r="E383" s="18">
        <f>MAIZ!E383</f>
        <v>1466.7812470528386</v>
      </c>
      <c r="F383" s="19">
        <f t="shared" si="82"/>
        <v>124.13218735801341</v>
      </c>
      <c r="G383" s="19">
        <f t="shared" si="83"/>
        <v>1466.7812470528388</v>
      </c>
      <c r="H383" s="19">
        <f t="shared" si="84"/>
        <v>317.48308002332078</v>
      </c>
      <c r="I383" s="20">
        <v>7.0000000000000007E-2</v>
      </c>
      <c r="J383" s="21">
        <f t="shared" si="85"/>
        <v>119.62998367145332</v>
      </c>
      <c r="K383" s="64">
        <f t="shared" si="86"/>
        <v>295.25926442168833</v>
      </c>
      <c r="L383" s="22">
        <f t="shared" ref="L383:M398" si="89">+L382</f>
        <v>209.55182751295348</v>
      </c>
      <c r="M383" s="22">
        <f t="shared" si="89"/>
        <v>324.6150744475849</v>
      </c>
    </row>
    <row r="384" spans="1:13" x14ac:dyDescent="0.15">
      <c r="A384" s="34">
        <v>45597</v>
      </c>
      <c r="B384" t="s">
        <v>7</v>
      </c>
      <c r="C384" s="9">
        <v>443</v>
      </c>
      <c r="D384" s="33">
        <f>MAIZ!D384</f>
        <v>1028.9941640000002</v>
      </c>
      <c r="E384" s="18">
        <f>MAIZ!E384</f>
        <v>1501.9839969821066</v>
      </c>
      <c r="F384" s="19">
        <f t="shared" si="82"/>
        <v>118.66295407118076</v>
      </c>
      <c r="G384" s="19">
        <f t="shared" si="83"/>
        <v>1501.9839969821069</v>
      </c>
      <c r="H384" s="19">
        <f t="shared" si="84"/>
        <v>303.4948545177013</v>
      </c>
      <c r="I384" s="20">
        <v>7.0000000000000007E-2</v>
      </c>
      <c r="J384" s="21">
        <f t="shared" si="85"/>
        <v>114.35911635875451</v>
      </c>
      <c r="K384" s="64">
        <f t="shared" si="86"/>
        <v>282.2502147014622</v>
      </c>
      <c r="L384" s="22">
        <f t="shared" si="89"/>
        <v>209.55182751295348</v>
      </c>
      <c r="M384" s="22">
        <f t="shared" si="89"/>
        <v>324.6150744475849</v>
      </c>
    </row>
    <row r="385" spans="1:13" x14ac:dyDescent="0.15">
      <c r="A385" s="34">
        <v>45627</v>
      </c>
      <c r="B385" t="s">
        <v>76</v>
      </c>
      <c r="C385" s="9">
        <v>449</v>
      </c>
      <c r="D385" s="33">
        <f>MAIZ!D385</f>
        <v>1042.001268</v>
      </c>
      <c r="E385" s="18">
        <f>MAIZ!E385</f>
        <v>1542.5375649006232</v>
      </c>
      <c r="F385" s="19">
        <f t="shared" si="82"/>
        <v>118.58852373711915</v>
      </c>
      <c r="G385" s="19">
        <f t="shared" si="83"/>
        <v>1542.5375649006235</v>
      </c>
      <c r="H385" s="19">
        <f t="shared" si="84"/>
        <v>303.30448993774837</v>
      </c>
      <c r="I385" s="20">
        <v>7.0000000000000007E-2</v>
      </c>
      <c r="J385" s="21">
        <f t="shared" si="85"/>
        <v>114.28738557048787</v>
      </c>
      <c r="K385" s="64">
        <f t="shared" si="86"/>
        <v>282.07317564210598</v>
      </c>
      <c r="L385" s="22">
        <f t="shared" si="89"/>
        <v>209.55182751295348</v>
      </c>
      <c r="M385" s="22">
        <f t="shared" si="89"/>
        <v>324.6150744475849</v>
      </c>
    </row>
    <row r="386" spans="1:13" x14ac:dyDescent="0.15">
      <c r="A386" s="34">
        <v>45658</v>
      </c>
      <c r="B386" s="16" t="s">
        <v>77</v>
      </c>
      <c r="C386" s="9">
        <v>442</v>
      </c>
      <c r="D386" s="33">
        <f>MAIZ!D386</f>
        <v>1043.5644</v>
      </c>
      <c r="E386" s="18">
        <f>MAIZ!E386</f>
        <v>1576.4733913284369</v>
      </c>
      <c r="F386" s="19">
        <f t="shared" si="82"/>
        <v>114.39807144253207</v>
      </c>
      <c r="G386" s="19">
        <f t="shared" si="83"/>
        <v>1576.4733913284372</v>
      </c>
      <c r="H386" s="19">
        <f t="shared" si="84"/>
        <v>292.58690145814433</v>
      </c>
      <c r="I386" s="20">
        <v>7.0000000000000007E-2</v>
      </c>
      <c r="J386" s="21">
        <f t="shared" si="85"/>
        <v>110.24891859228478</v>
      </c>
      <c r="K386" s="64">
        <f t="shared" si="86"/>
        <v>272.10581835607422</v>
      </c>
      <c r="L386" s="22">
        <f t="shared" si="89"/>
        <v>209.55182751295348</v>
      </c>
      <c r="M386" s="22">
        <f t="shared" si="89"/>
        <v>324.6150744475849</v>
      </c>
    </row>
    <row r="387" spans="1:13" x14ac:dyDescent="0.15">
      <c r="A387" s="34">
        <v>45689</v>
      </c>
      <c r="B387" s="16" t="s">
        <v>1</v>
      </c>
      <c r="C387" s="9">
        <v>425</v>
      </c>
      <c r="D387" s="33">
        <f>MAIZ!D387</f>
        <v>1058.4625000000001</v>
      </c>
      <c r="E387" s="18">
        <f>MAIZ!E387</f>
        <v>1614.3087527203195</v>
      </c>
      <c r="F387" s="19">
        <f t="shared" si="82"/>
        <v>108.95361088992009</v>
      </c>
      <c r="G387" s="19">
        <f t="shared" si="83"/>
        <v>1614.3087527203197</v>
      </c>
      <c r="H387" s="19">
        <f t="shared" si="84"/>
        <v>278.66203521597106</v>
      </c>
      <c r="I387" s="4">
        <v>5.5E-2</v>
      </c>
      <c r="J387" s="21">
        <f t="shared" si="85"/>
        <v>106.69550496474038</v>
      </c>
      <c r="K387" s="64">
        <f t="shared" si="86"/>
        <v>263.33562327909266</v>
      </c>
      <c r="L387" s="22">
        <f t="shared" si="89"/>
        <v>209.55182751295348</v>
      </c>
      <c r="M387" s="22">
        <f t="shared" si="89"/>
        <v>324.6150744475849</v>
      </c>
    </row>
    <row r="388" spans="1:13" x14ac:dyDescent="0.15">
      <c r="A388" s="34">
        <v>45717</v>
      </c>
      <c r="B388" s="16" t="s">
        <v>2</v>
      </c>
      <c r="C388" s="9">
        <v>433</v>
      </c>
      <c r="D388" s="33">
        <f>MAIZ!D388</f>
        <v>1069.0346999999999</v>
      </c>
      <c r="E388" s="18">
        <f>MAIZ!E388</f>
        <v>1674.038176570971</v>
      </c>
      <c r="F388" s="19">
        <f t="shared" si="82"/>
        <v>108.11306110087699</v>
      </c>
      <c r="G388" s="19">
        <f t="shared" si="83"/>
        <v>1674.0381765709712</v>
      </c>
      <c r="H388" s="19">
        <f t="shared" si="84"/>
        <v>276.51222748585599</v>
      </c>
      <c r="I388" s="4">
        <v>5.5E-2</v>
      </c>
      <c r="J388" s="21">
        <f t="shared" si="85"/>
        <v>105.87237589671372</v>
      </c>
      <c r="K388" s="64">
        <f t="shared" si="86"/>
        <v>261.30405497413392</v>
      </c>
      <c r="L388" s="22">
        <f t="shared" si="89"/>
        <v>209.55182751295348</v>
      </c>
      <c r="M388" s="22">
        <f t="shared" si="89"/>
        <v>324.6150744475849</v>
      </c>
    </row>
    <row r="389" spans="1:13" x14ac:dyDescent="0.15">
      <c r="A389" s="34">
        <v>45748</v>
      </c>
      <c r="B389" s="16" t="s">
        <v>3</v>
      </c>
      <c r="C389" s="9">
        <v>415</v>
      </c>
      <c r="D389" s="33">
        <f>MAIZ!D389</f>
        <v>1121.568</v>
      </c>
      <c r="E389" s="18">
        <f>MAIZ!E389</f>
        <v>1720.9112455149584</v>
      </c>
      <c r="F389" s="19">
        <f t="shared" si="82"/>
        <v>105.7496788717559</v>
      </c>
      <c r="G389" s="19">
        <f t="shared" si="83"/>
        <v>1720.9112455149586</v>
      </c>
      <c r="H389" s="19">
        <f t="shared" si="84"/>
        <v>270.46759163963759</v>
      </c>
      <c r="I389" s="4">
        <v>5.5E-2</v>
      </c>
      <c r="J389" s="21">
        <f t="shared" si="85"/>
        <v>103.55797568270397</v>
      </c>
      <c r="K389" s="64">
        <f t="shared" si="86"/>
        <v>255.5918740994575</v>
      </c>
      <c r="L389" s="22">
        <f t="shared" si="89"/>
        <v>209.55182751295348</v>
      </c>
      <c r="M389" s="22">
        <f t="shared" si="89"/>
        <v>324.6150744475849</v>
      </c>
    </row>
    <row r="390" spans="1:13" x14ac:dyDescent="0.15">
      <c r="A390" s="34">
        <v>45778</v>
      </c>
      <c r="B390" s="16" t="s">
        <v>2</v>
      </c>
      <c r="C390" s="9">
        <v>405</v>
      </c>
      <c r="D390" s="33">
        <f>MAIZ!D390</f>
        <v>1147.5291999999999</v>
      </c>
      <c r="E390" s="18">
        <f>MAIZ!E390</f>
        <v>1746.7249141976827</v>
      </c>
      <c r="F390" s="19">
        <f t="shared" si="82"/>
        <v>104.02987512023117</v>
      </c>
      <c r="G390" s="19">
        <f t="shared" si="83"/>
        <v>1746.7249141976829</v>
      </c>
      <c r="H390" s="19">
        <f t="shared" si="84"/>
        <v>266.06898557548294</v>
      </c>
      <c r="I390" s="4">
        <v>5.5E-2</v>
      </c>
      <c r="J390" s="21">
        <f t="shared" si="85"/>
        <v>101.87381553224711</v>
      </c>
      <c r="K390" s="64">
        <f t="shared" si="86"/>
        <v>251.43519136883137</v>
      </c>
      <c r="L390" s="22">
        <f t="shared" si="89"/>
        <v>209.55182751295348</v>
      </c>
      <c r="M390" s="22">
        <f t="shared" si="89"/>
        <v>324.6150744475849</v>
      </c>
    </row>
    <row r="391" spans="1:13" x14ac:dyDescent="0.15">
      <c r="A391" s="34">
        <v>45809</v>
      </c>
      <c r="B391" s="16" t="s">
        <v>4</v>
      </c>
      <c r="C391" s="9">
        <v>432</v>
      </c>
      <c r="D391" s="33">
        <f>MAIZ!D391</f>
        <v>1181.3552999999999</v>
      </c>
      <c r="E391" s="18">
        <f>MAIZ!E391</f>
        <v>1774.6725128248456</v>
      </c>
      <c r="F391" s="19">
        <f t="shared" si="82"/>
        <v>112.43716363134844</v>
      </c>
      <c r="G391" s="19">
        <f t="shared" si="83"/>
        <v>1774.6725128248459</v>
      </c>
      <c r="H391" s="19">
        <f t="shared" si="84"/>
        <v>287.57164260557255</v>
      </c>
      <c r="I391" s="4">
        <v>5.5E-2</v>
      </c>
      <c r="J391" s="21">
        <f t="shared" si="85"/>
        <v>110.10685972189044</v>
      </c>
      <c r="K391" s="64">
        <f t="shared" si="86"/>
        <v>271.75520226226604</v>
      </c>
      <c r="L391" s="22">
        <f t="shared" si="89"/>
        <v>209.55182751295348</v>
      </c>
      <c r="M391" s="22">
        <f t="shared" si="89"/>
        <v>324.6150744475849</v>
      </c>
    </row>
    <row r="392" spans="1:13" x14ac:dyDescent="0.15">
      <c r="A392" s="34">
        <v>45839</v>
      </c>
      <c r="B392" s="16" t="s">
        <v>4</v>
      </c>
      <c r="C392" s="9">
        <v>412</v>
      </c>
      <c r="D392" s="33">
        <f>MAIZ!D392</f>
        <v>1267.0227</v>
      </c>
      <c r="E392" s="18">
        <f>MAIZ!E392</f>
        <v>1808.3912905685177</v>
      </c>
      <c r="F392" s="19">
        <f t="shared" si="82"/>
        <v>112.86337380046388</v>
      </c>
      <c r="G392" s="19">
        <f t="shared" si="83"/>
        <v>1808.3912905685179</v>
      </c>
      <c r="H392" s="19">
        <f t="shared" si="84"/>
        <v>288.66172665313525</v>
      </c>
      <c r="I392" s="4">
        <v>7.4999999999999997E-2</v>
      </c>
      <c r="J392" s="21">
        <f t="shared" si="85"/>
        <v>108.18509923878661</v>
      </c>
      <c r="K392" s="64">
        <f t="shared" si="86"/>
        <v>267.01209715415013</v>
      </c>
      <c r="L392" s="22">
        <f t="shared" si="89"/>
        <v>209.55182751295348</v>
      </c>
      <c r="M392" s="22">
        <f t="shared" si="89"/>
        <v>324.6150744475849</v>
      </c>
    </row>
    <row r="393" spans="1:13" x14ac:dyDescent="0.15">
      <c r="A393" s="34">
        <v>45870</v>
      </c>
      <c r="B393" s="16" t="s">
        <v>3</v>
      </c>
      <c r="C393" s="9">
        <v>424</v>
      </c>
      <c r="D393" s="33">
        <f>MAIZ!D393</f>
        <v>1329.5374999999999</v>
      </c>
      <c r="E393" s="18">
        <f>MAIZ!E393</f>
        <v>1842.7507250893193</v>
      </c>
      <c r="F393" s="19">
        <f t="shared" si="82"/>
        <v>119.60895069378658</v>
      </c>
      <c r="G393" s="19">
        <f t="shared" si="83"/>
        <v>1842.7507250893195</v>
      </c>
      <c r="H393" s="19">
        <f t="shared" si="84"/>
        <v>305.91435527595615</v>
      </c>
      <c r="I393" s="4">
        <v>5.5E-2</v>
      </c>
      <c r="J393" s="21">
        <f t="shared" si="85"/>
        <v>117.13000871049566</v>
      </c>
      <c r="K393" s="64">
        <f t="shared" si="86"/>
        <v>289.08906573577855</v>
      </c>
      <c r="L393" s="22">
        <f t="shared" si="89"/>
        <v>209.55182751295348</v>
      </c>
      <c r="M393" s="22">
        <f t="shared" si="89"/>
        <v>324.6150744475849</v>
      </c>
    </row>
    <row r="394" spans="1:13" x14ac:dyDescent="0.15">
      <c r="A394" s="34">
        <v>45901</v>
      </c>
      <c r="B394" t="s">
        <v>5</v>
      </c>
      <c r="C394" s="9">
        <v>444</v>
      </c>
      <c r="D394" s="33">
        <f>MAIZ!D394</f>
        <v>1399.8977</v>
      </c>
      <c r="E394" s="18">
        <f>MAIZ!E394</f>
        <v>1881.4484903161949</v>
      </c>
      <c r="F394" s="19">
        <f t="shared" si="82"/>
        <v>129.16675841541624</v>
      </c>
      <c r="G394" s="19">
        <f t="shared" si="83"/>
        <v>1881.4484903161951</v>
      </c>
      <c r="H394" s="19">
        <f t="shared" si="84"/>
        <v>330.35960431504662</v>
      </c>
      <c r="I394" s="4">
        <v>0</v>
      </c>
      <c r="J394" s="21">
        <f t="shared" si="85"/>
        <v>133.85156312478367</v>
      </c>
      <c r="K394" s="64">
        <f t="shared" si="86"/>
        <v>330.35960431504662</v>
      </c>
      <c r="L394" s="22">
        <f t="shared" si="89"/>
        <v>209.55182751295348</v>
      </c>
      <c r="M394" s="22">
        <f t="shared" si="89"/>
        <v>324.6150744475849</v>
      </c>
    </row>
    <row r="395" spans="1:13" x14ac:dyDescent="0.15">
      <c r="A395" s="34">
        <v>45931</v>
      </c>
      <c r="B395" t="s">
        <v>6</v>
      </c>
      <c r="C395" s="9">
        <v>421</v>
      </c>
      <c r="D395" s="33">
        <f>MAIZ!D395</f>
        <v>1432.0227</v>
      </c>
      <c r="E395" s="18">
        <f>MAIZ!E395</f>
        <v>1922.8403571031513</v>
      </c>
      <c r="F395" s="19">
        <f t="shared" si="82"/>
        <v>122.58930781529548</v>
      </c>
      <c r="G395" s="19">
        <f t="shared" si="83"/>
        <v>1922.8403571031515</v>
      </c>
      <c r="H395" s="19">
        <f t="shared" si="84"/>
        <v>313.53697901799245</v>
      </c>
      <c r="I395" s="4">
        <v>5.5E-2</v>
      </c>
      <c r="J395" s="21">
        <f t="shared" si="85"/>
        <v>120.04859677249142</v>
      </c>
      <c r="K395" s="64">
        <f t="shared" si="86"/>
        <v>296.29244517200283</v>
      </c>
      <c r="L395" s="22">
        <f t="shared" si="89"/>
        <v>209.55182751295348</v>
      </c>
      <c r="M395" s="22">
        <f t="shared" si="89"/>
        <v>324.6150744475849</v>
      </c>
    </row>
    <row r="396" spans="1:13" x14ac:dyDescent="0.15">
      <c r="A396" s="34">
        <v>45962</v>
      </c>
      <c r="B396" t="s">
        <v>7</v>
      </c>
      <c r="C396" s="9">
        <v>439</v>
      </c>
      <c r="D396" s="33">
        <f>MAIZ!D396</f>
        <v>1427.6176</v>
      </c>
      <c r="E396" s="18">
        <f>MAIZ!E396</f>
        <v>1970.9113660307298</v>
      </c>
      <c r="F396" s="19">
        <f t="shared" si="82"/>
        <v>124.32920107819503</v>
      </c>
      <c r="G396" s="19">
        <f t="shared" si="83"/>
        <v>1970.9113660307301</v>
      </c>
      <c r="H396" s="19">
        <f t="shared" si="84"/>
        <v>317.98696643683991</v>
      </c>
      <c r="I396" s="4">
        <v>5.5E-2</v>
      </c>
      <c r="J396" s="21">
        <f t="shared" si="85"/>
        <v>121.75243007139305</v>
      </c>
      <c r="K396" s="64">
        <f t="shared" si="86"/>
        <v>300.49768328281368</v>
      </c>
      <c r="L396" s="22">
        <f t="shared" si="89"/>
        <v>209.55182751295348</v>
      </c>
      <c r="M396" s="22">
        <f t="shared" si="89"/>
        <v>324.6150744475849</v>
      </c>
    </row>
    <row r="397" spans="1:13" x14ac:dyDescent="0.15">
      <c r="A397" s="34">
        <v>45992</v>
      </c>
      <c r="B397" t="s">
        <v>79</v>
      </c>
      <c r="C397" s="9">
        <v>448</v>
      </c>
      <c r="D397" s="33">
        <f>MAIZ!D397</f>
        <v>1447.8377</v>
      </c>
      <c r="E397" s="18">
        <f>MAIZ!E397</f>
        <v>2026.0968842795903</v>
      </c>
      <c r="F397" s="19">
        <f t="shared" si="82"/>
        <v>125.17036239261061</v>
      </c>
      <c r="G397" s="19">
        <f t="shared" si="83"/>
        <v>2026.0968842795905</v>
      </c>
      <c r="H397" s="19">
        <f t="shared" si="84"/>
        <v>320.13833821704469</v>
      </c>
      <c r="I397" s="4">
        <v>4.4999999999999998E-2</v>
      </c>
      <c r="J397" s="21">
        <f t="shared" si="85"/>
        <v>123.87326019165093</v>
      </c>
      <c r="K397" s="64">
        <f t="shared" si="86"/>
        <v>305.73211299727768</v>
      </c>
      <c r="L397" s="22">
        <f t="shared" si="89"/>
        <v>209.55182751295348</v>
      </c>
      <c r="M397" s="22">
        <f t="shared" si="89"/>
        <v>324.6150744475849</v>
      </c>
    </row>
    <row r="398" spans="1:13" x14ac:dyDescent="0.15">
      <c r="A398" s="34">
        <v>46023</v>
      </c>
      <c r="B398" s="16" t="s">
        <v>78</v>
      </c>
      <c r="C398" s="9">
        <v>449</v>
      </c>
      <c r="D398" s="33">
        <f>MAIZ!D398</f>
        <v>1449.3347000000001</v>
      </c>
      <c r="E398" s="18">
        <f>MAIZ!E398</f>
        <v>2084.8536939236983</v>
      </c>
      <c r="F398" s="19">
        <f t="shared" si="82"/>
        <v>122.04030127717915</v>
      </c>
      <c r="G398" s="19">
        <f t="shared" si="83"/>
        <v>2084.8536939236988</v>
      </c>
      <c r="H398" s="19">
        <f t="shared" si="84"/>
        <v>312.13282840739049</v>
      </c>
      <c r="I398" s="4">
        <v>4.4999999999999998E-2</v>
      </c>
      <c r="J398" s="21">
        <f t="shared" si="85"/>
        <v>120.77563494270061</v>
      </c>
      <c r="K398" s="64">
        <f t="shared" si="86"/>
        <v>298.08685112905789</v>
      </c>
      <c r="L398" s="22">
        <f t="shared" si="89"/>
        <v>209.55182751295348</v>
      </c>
      <c r="M398" s="22">
        <f t="shared" si="89"/>
        <v>324.6150744475849</v>
      </c>
    </row>
    <row r="399" spans="1:13" x14ac:dyDescent="0.15">
      <c r="A399" s="34">
        <v>46054</v>
      </c>
      <c r="B399" s="16" t="s">
        <v>1</v>
      </c>
      <c r="C399" s="9">
        <v>470</v>
      </c>
      <c r="D399" s="33">
        <f>MAIZ!D399</f>
        <v>1409.6570999999999</v>
      </c>
      <c r="E399" s="18">
        <f>MAIZ!E399</f>
        <v>2145.3144510474854</v>
      </c>
      <c r="F399" s="19">
        <f t="shared" si="82"/>
        <v>120.74918444162068</v>
      </c>
      <c r="G399" s="19">
        <f t="shared" si="83"/>
        <v>2145.3144510474858</v>
      </c>
      <c r="H399" s="19">
        <f t="shared" si="84"/>
        <v>308.83064097037345</v>
      </c>
      <c r="I399" s="4">
        <v>4.4999999999999998E-2</v>
      </c>
      <c r="J399" s="21">
        <f t="shared" si="85"/>
        <v>119.49789755621529</v>
      </c>
      <c r="K399" s="64">
        <f t="shared" si="86"/>
        <v>294.93326212670661</v>
      </c>
      <c r="L399" s="22">
        <f t="shared" ref="L399:M406" si="90">+L398</f>
        <v>209.55182751295348</v>
      </c>
      <c r="M399" s="22">
        <f t="shared" si="90"/>
        <v>324.6150744475849</v>
      </c>
    </row>
    <row r="400" spans="1:13" x14ac:dyDescent="0.15">
      <c r="A400" s="34">
        <v>46082</v>
      </c>
      <c r="B400" s="16" t="s">
        <v>2</v>
      </c>
      <c r="C400" s="9">
        <v>456</v>
      </c>
      <c r="D400" s="33">
        <f>MAIZ!D400</f>
        <v>1396.3387</v>
      </c>
      <c r="E400" s="18">
        <f>MAIZ!E400</f>
        <v>2218.2551423831001</v>
      </c>
      <c r="F400" s="19">
        <f t="shared" si="82"/>
        <v>112.22973664846188</v>
      </c>
      <c r="G400" s="19">
        <f t="shared" si="83"/>
        <v>2218.2551423831005</v>
      </c>
      <c r="H400" s="19">
        <f t="shared" si="84"/>
        <v>287.04112301344747</v>
      </c>
      <c r="I400" s="4">
        <v>4.4999999999999998E-2</v>
      </c>
      <c r="J400" s="21">
        <f t="shared" si="85"/>
        <v>111.06673419614621</v>
      </c>
      <c r="K400" s="64">
        <f t="shared" si="86"/>
        <v>274.12427247784234</v>
      </c>
      <c r="L400" s="22">
        <f t="shared" si="90"/>
        <v>209.55182751295348</v>
      </c>
      <c r="M400" s="22">
        <f t="shared" si="90"/>
        <v>324.6150744475849</v>
      </c>
    </row>
    <row r="401" spans="1:13" x14ac:dyDescent="0.15">
      <c r="A401" s="34">
        <v>46113</v>
      </c>
      <c r="B401" s="16" t="s">
        <v>3</v>
      </c>
      <c r="C401" s="9">
        <v>459</v>
      </c>
      <c r="D401" s="33">
        <f>MAIZ!D401</f>
        <v>1381.4522999999999</v>
      </c>
      <c r="E401" s="18">
        <f>MAIZ!E401</f>
        <v>2275.9297760850604</v>
      </c>
      <c r="F401" s="19">
        <f t="shared" si="82"/>
        <v>108.93151529258478</v>
      </c>
      <c r="G401" s="19">
        <f t="shared" si="83"/>
        <v>2275.9297760850609</v>
      </c>
      <c r="H401" s="19">
        <f t="shared" si="84"/>
        <v>278.60552305384556</v>
      </c>
      <c r="I401" s="4">
        <v>4.4999999999999998E-2</v>
      </c>
      <c r="J401" s="21">
        <f t="shared" si="85"/>
        <v>107.80269129991551</v>
      </c>
      <c r="K401" s="64">
        <f t="shared" si="86"/>
        <v>266.06827451642249</v>
      </c>
      <c r="L401" s="22">
        <f t="shared" si="90"/>
        <v>209.55182751295348</v>
      </c>
      <c r="M401" s="22">
        <f t="shared" si="90"/>
        <v>324.6150744475849</v>
      </c>
    </row>
    <row r="402" spans="1:13" x14ac:dyDescent="0.15">
      <c r="A402" s="34">
        <v>46143</v>
      </c>
      <c r="B402" s="16" t="s">
        <v>2</v>
      </c>
      <c r="C402" s="9">
        <v>479</v>
      </c>
      <c r="D402" s="33">
        <f>MAIZ!D402</f>
        <v>1397.2372</v>
      </c>
      <c r="E402" s="18">
        <f>MAIZ!E402</f>
        <v>2323.7243013828465</v>
      </c>
      <c r="F402" s="19">
        <f t="shared" si="82"/>
        <v>112.61205316172614</v>
      </c>
      <c r="G402" s="19">
        <f t="shared" si="83"/>
        <v>2323.724301382847</v>
      </c>
      <c r="H402" s="19">
        <f t="shared" si="84"/>
        <v>288.01894372827013</v>
      </c>
      <c r="I402" s="4">
        <v>4.4999999999999998E-2</v>
      </c>
      <c r="J402" s="21">
        <f t="shared" si="85"/>
        <v>111.44508888025746</v>
      </c>
      <c r="K402" s="64">
        <f t="shared" si="86"/>
        <v>275.05809126049797</v>
      </c>
      <c r="L402" s="22">
        <f t="shared" si="90"/>
        <v>209.55182751295348</v>
      </c>
      <c r="M402" s="22">
        <f t="shared" si="90"/>
        <v>324.6150744475849</v>
      </c>
    </row>
    <row r="403" spans="1:13" x14ac:dyDescent="0.15">
      <c r="A403" s="34">
        <v>46174</v>
      </c>
      <c r="B403" s="16" t="s">
        <v>4</v>
      </c>
      <c r="C403" s="9">
        <v>483</v>
      </c>
      <c r="D403" s="33">
        <f>MAIZ!D403</f>
        <v>1450.2728</v>
      </c>
      <c r="E403" s="18">
        <f>MAIZ!E403</f>
        <v>2367.8750631091202</v>
      </c>
      <c r="F403" s="19">
        <f t="shared" si="82"/>
        <v>115.66497599762296</v>
      </c>
      <c r="G403" s="19">
        <f t="shared" si="83"/>
        <v>2367.8750631091207</v>
      </c>
      <c r="H403" s="19">
        <f t="shared" si="84"/>
        <v>295.82716305996217</v>
      </c>
      <c r="I403" s="4">
        <v>4.4999999999999998E-2</v>
      </c>
      <c r="J403" s="21">
        <f t="shared" si="85"/>
        <v>114.46637521008283</v>
      </c>
      <c r="K403" s="64">
        <f t="shared" si="86"/>
        <v>282.51494072226387</v>
      </c>
      <c r="L403" s="22">
        <f t="shared" si="90"/>
        <v>209.55182751295348</v>
      </c>
      <c r="M403" s="22">
        <f t="shared" si="90"/>
        <v>324.6150744475849</v>
      </c>
    </row>
    <row r="404" spans="1:13" x14ac:dyDescent="0.15">
      <c r="A404" s="34">
        <v>46204</v>
      </c>
      <c r="B404" s="16" t="s">
        <v>4</v>
      </c>
      <c r="C404" s="9">
        <v>502</v>
      </c>
      <c r="D404" s="33">
        <f>MAIZ!D404</f>
        <v>1487.0038</v>
      </c>
      <c r="E404" s="18">
        <f>MAIZ!E404</f>
        <v>2417.6004394344118</v>
      </c>
      <c r="F404" s="19">
        <f t="shared" si="82"/>
        <v>120.72441035898916</v>
      </c>
      <c r="G404" s="19">
        <f t="shared" si="83"/>
        <v>2417.6004394344122</v>
      </c>
      <c r="H404" s="19">
        <f t="shared" si="84"/>
        <v>308.76727825820342</v>
      </c>
      <c r="I404" s="4">
        <v>4.4999999999999998E-2</v>
      </c>
      <c r="J404" s="21">
        <f t="shared" si="85"/>
        <v>119.47338019982865</v>
      </c>
      <c r="K404" s="64">
        <f t="shared" si="86"/>
        <v>294.87275073658424</v>
      </c>
      <c r="L404" s="22">
        <f t="shared" si="90"/>
        <v>209.55182751295348</v>
      </c>
      <c r="M404" s="22">
        <f t="shared" si="90"/>
        <v>324.6150744475849</v>
      </c>
    </row>
    <row r="405" spans="1:13" x14ac:dyDescent="0.15">
      <c r="A405" s="34">
        <v>46235</v>
      </c>
      <c r="B405" s="16" t="s">
        <v>3</v>
      </c>
      <c r="C405" s="9">
        <v>548</v>
      </c>
      <c r="D405" s="33">
        <f>MAIZ!D405</f>
        <v>1499.9629</v>
      </c>
      <c r="E405" s="18">
        <f>MAIZ!E405</f>
        <v>2461.1172473442311</v>
      </c>
      <c r="F405" s="19">
        <f t="shared" si="82"/>
        <v>130.58479008399581</v>
      </c>
      <c r="G405" s="19">
        <f t="shared" si="83"/>
        <v>2461.1172473442316</v>
      </c>
      <c r="H405" s="19">
        <f t="shared" si="84"/>
        <v>333.98639178486542</v>
      </c>
      <c r="I405" s="4">
        <v>4.4999999999999998E-2</v>
      </c>
      <c r="J405" s="21">
        <f t="shared" si="85"/>
        <v>129.23157982405803</v>
      </c>
      <c r="K405" s="64">
        <f t="shared" si="86"/>
        <v>318.95700415454644</v>
      </c>
      <c r="L405" s="22">
        <f t="shared" si="90"/>
        <v>209.55182751295348</v>
      </c>
      <c r="M405" s="22">
        <f t="shared" si="90"/>
        <v>324.6150744475849</v>
      </c>
    </row>
    <row r="406" spans="1:13" x14ac:dyDescent="0.15">
      <c r="A406" s="34">
        <v>46266</v>
      </c>
      <c r="B406" t="s">
        <v>5</v>
      </c>
      <c r="C406" s="9">
        <v>573</v>
      </c>
      <c r="D406" s="33">
        <f>MAIZ!D406</f>
        <v>1515</v>
      </c>
      <c r="E406" s="18">
        <f>MAIZ!E406</f>
        <v>2502.9562405490828</v>
      </c>
      <c r="F406" s="19">
        <f t="shared" si="82"/>
        <v>135.6056614058142</v>
      </c>
      <c r="G406" s="19">
        <f t="shared" si="83"/>
        <v>2502.9562405490833</v>
      </c>
      <c r="H406" s="19">
        <f t="shared" si="84"/>
        <v>346.82787734617472</v>
      </c>
      <c r="I406" s="4">
        <v>4.4999999999999998E-2</v>
      </c>
      <c r="J406" s="21">
        <f t="shared" si="85"/>
        <v>134.20042139124618</v>
      </c>
      <c r="K406" s="64">
        <f t="shared" si="86"/>
        <v>331.22062286559685</v>
      </c>
      <c r="L406" s="22">
        <f t="shared" si="90"/>
        <v>209.55182751295348</v>
      </c>
      <c r="M406" s="22">
        <f t="shared" si="90"/>
        <v>324.6150744475849</v>
      </c>
    </row>
    <row r="407" spans="1:13" x14ac:dyDescent="0.15">
      <c r="A407" s="34">
        <v>46296</v>
      </c>
      <c r="B407" t="s">
        <v>6</v>
      </c>
    </row>
    <row r="408" spans="1:13" x14ac:dyDescent="0.15">
      <c r="A408" s="34">
        <v>46327</v>
      </c>
      <c r="B408" t="s">
        <v>7</v>
      </c>
    </row>
    <row r="409" spans="1:13" x14ac:dyDescent="0.15">
      <c r="A409" s="34">
        <v>46357</v>
      </c>
      <c r="B409" t="s">
        <v>80</v>
      </c>
    </row>
  </sheetData>
  <phoneticPr fontId="2" type="noConversion"/>
  <hyperlinks>
    <hyperlink ref="C279" r:id="rId1" display="https://twitter.com/EcoLedesma/status/703290377281867776" xr:uid="{00000000-0004-0000-0900-000000000000}"/>
  </hyperlinks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4 GRANOS</vt:lpstr>
      <vt:lpstr>SOJA</vt:lpstr>
      <vt:lpstr>TRIGO</vt:lpstr>
      <vt:lpstr>MAIZ</vt:lpstr>
      <vt:lpstr>GIRASOL</vt:lpstr>
      <vt:lpstr>GRAFICO 4 granos</vt:lpstr>
      <vt:lpstr>GRAFICO TRIGO (2)</vt:lpstr>
      <vt:lpstr>GRAFICO SOJA (2)</vt:lpstr>
    </vt:vector>
  </TitlesOfParts>
  <Company>Consultora Ledesma SRL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Caamaño Gomez</dc:creator>
  <cp:lastModifiedBy>Juan Manuel Truffa</cp:lastModifiedBy>
  <cp:lastPrinted>2016-10-04T21:43:20Z</cp:lastPrinted>
  <dcterms:created xsi:type="dcterms:W3CDTF">2013-05-22T18:04:26Z</dcterms:created>
  <dcterms:modified xsi:type="dcterms:W3CDTF">2026-09-11T14:42:15Z</dcterms:modified>
</cp:coreProperties>
</file>