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gcg\OneDrive\Escritorio\Archivos\Consultora Ledesma\bco de datos reales\"/>
    </mc:Choice>
  </mc:AlternateContent>
  <xr:revisionPtr revIDLastSave="0" documentId="13_ncr:1_{A1AAB7D1-CE5B-4EA7-BBE4-622035B613C8}" xr6:coauthVersionLast="47" xr6:coauthVersionMax="47" xr10:uidLastSave="{00000000-0000-0000-0000-000000000000}"/>
  <bookViews>
    <workbookView minimized="1" xWindow="23370" yWindow="11670" windowWidth="7500" windowHeight="6000" activeTab="1" xr2:uid="{00000000-000D-0000-FFFF-FFFF00000000}"/>
  </bookViews>
  <sheets>
    <sheet name="Gráfico1 (5)" sheetId="12" r:id="rId1"/>
    <sheet name="Mensual" sheetId="1" r:id="rId2"/>
    <sheet name="Hoja9" sheetId="11" r:id="rId3"/>
    <sheet name="Hoja8" sheetId="10" r:id="rId4"/>
    <sheet name="Hoja7" sheetId="9" r:id="rId5"/>
    <sheet name="Hoja6" sheetId="8" r:id="rId6"/>
    <sheet name="Hoja5" sheetId="7" r:id="rId7"/>
    <sheet name="Hoja4" sheetId="6" r:id="rId8"/>
    <sheet name="Hoja3" sheetId="5" r:id="rId9"/>
    <sheet name="Hoja2" sheetId="4" r:id="rId10"/>
    <sheet name="Hoja1" sheetId="3" r:id="rId11"/>
    <sheet name="Anual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1" l="1"/>
  <c r="C138" i="1"/>
  <c r="B138" i="1"/>
  <c r="E137" i="1"/>
  <c r="D136" i="1"/>
  <c r="E136" i="1"/>
  <c r="E135" i="1"/>
  <c r="D135" i="1"/>
  <c r="E134" i="1"/>
  <c r="D134" i="1"/>
  <c r="D132" i="1"/>
  <c r="E132" i="1"/>
  <c r="D133" i="1"/>
  <c r="E133" i="1"/>
  <c r="E131" i="1"/>
  <c r="D131" i="1"/>
  <c r="E130" i="1"/>
  <c r="D130" i="1"/>
  <c r="D128" i="1"/>
  <c r="E128" i="1"/>
  <c r="D129" i="1"/>
  <c r="E129" i="1"/>
  <c r="D127" i="1"/>
  <c r="E127" i="1"/>
  <c r="D126" i="1"/>
  <c r="E126" i="1"/>
  <c r="D125" i="1"/>
  <c r="E125" i="1"/>
  <c r="D124" i="1"/>
  <c r="E124" i="1"/>
  <c r="D122" i="1"/>
  <c r="E122" i="1"/>
  <c r="D123" i="1"/>
  <c r="E123" i="1"/>
  <c r="D121" i="1"/>
  <c r="E121" i="1"/>
  <c r="D120" i="1"/>
  <c r="E120" i="1"/>
  <c r="D119" i="1"/>
  <c r="E119" i="1"/>
  <c r="E118" i="1"/>
  <c r="D118" i="1"/>
  <c r="D117" i="1"/>
  <c r="E11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70" i="1"/>
  <c r="D62" i="1"/>
  <c r="D63" i="1"/>
  <c r="D64" i="1"/>
  <c r="D65" i="1"/>
  <c r="D66" i="1"/>
  <c r="D67" i="1"/>
  <c r="D68" i="1"/>
  <c r="D69" i="1"/>
  <c r="D61" i="1"/>
  <c r="D13" i="1" l="1"/>
  <c r="F13" i="1"/>
  <c r="D14" i="1"/>
  <c r="F14" i="1"/>
  <c r="D15" i="1"/>
  <c r="F15" i="1"/>
  <c r="D16" i="1"/>
  <c r="F16" i="1"/>
  <c r="D17" i="1"/>
  <c r="F17" i="1"/>
  <c r="D18" i="1"/>
  <c r="F18" i="1"/>
  <c r="D19" i="1"/>
  <c r="F19" i="1"/>
  <c r="D20" i="1"/>
  <c r="F20" i="1"/>
  <c r="D21" i="1"/>
  <c r="F21" i="1"/>
  <c r="D22" i="1"/>
  <c r="F22" i="1"/>
  <c r="D23" i="1"/>
  <c r="F23" i="1"/>
  <c r="D24" i="1"/>
  <c r="F24" i="1"/>
  <c r="D25" i="1"/>
  <c r="F25" i="1"/>
  <c r="D26" i="1"/>
  <c r="F26" i="1"/>
  <c r="D27" i="1"/>
  <c r="F27" i="1"/>
  <c r="D28" i="1"/>
  <c r="F28" i="1"/>
  <c r="D29" i="1"/>
  <c r="F29" i="1"/>
  <c r="D30" i="1"/>
  <c r="F30" i="1"/>
  <c r="D31" i="1"/>
  <c r="F31" i="1"/>
  <c r="D32" i="1"/>
  <c r="F32" i="1"/>
  <c r="D33" i="1"/>
  <c r="F33" i="1"/>
  <c r="D34" i="1"/>
  <c r="F34" i="1"/>
  <c r="D35" i="1"/>
  <c r="F35" i="1"/>
  <c r="D36" i="1"/>
  <c r="F36" i="1"/>
  <c r="D37" i="1"/>
  <c r="F37" i="1"/>
  <c r="D38" i="1"/>
  <c r="F38" i="1"/>
  <c r="D39" i="1"/>
  <c r="F39" i="1"/>
  <c r="D40" i="1"/>
  <c r="F40" i="1"/>
  <c r="D41" i="1"/>
  <c r="F41" i="1"/>
  <c r="D42" i="1"/>
  <c r="F42" i="1"/>
  <c r="D43" i="1"/>
  <c r="F43" i="1"/>
  <c r="D44" i="1"/>
  <c r="F44" i="1"/>
  <c r="D45" i="1"/>
  <c r="F45" i="1"/>
  <c r="D46" i="1"/>
  <c r="F46" i="1"/>
  <c r="D47" i="1"/>
  <c r="F47" i="1"/>
  <c r="D48" i="1"/>
  <c r="F48" i="1"/>
  <c r="D49" i="1"/>
  <c r="F49" i="1"/>
  <c r="D50" i="1"/>
  <c r="F50" i="1"/>
  <c r="D51" i="1"/>
  <c r="F51" i="1"/>
  <c r="D52" i="1"/>
  <c r="F52" i="1"/>
  <c r="D53" i="1"/>
  <c r="F53" i="1"/>
  <c r="D54" i="1"/>
  <c r="F54" i="1"/>
  <c r="D55" i="1"/>
  <c r="F55" i="1"/>
  <c r="D56" i="1"/>
  <c r="F56" i="1"/>
  <c r="D57" i="1"/>
  <c r="F57" i="1"/>
  <c r="D58" i="1"/>
  <c r="F58" i="1"/>
  <c r="D59" i="1"/>
  <c r="F59" i="1"/>
  <c r="D60" i="1"/>
  <c r="F60" i="1"/>
  <c r="F61" i="1"/>
  <c r="G61" i="1" s="1"/>
  <c r="C13" i="2" l="1"/>
  <c r="C12" i="2" l="1"/>
</calcChain>
</file>

<file path=xl/sharedStrings.xml><?xml version="1.0" encoding="utf-8"?>
<sst xmlns="http://schemas.openxmlformats.org/spreadsheetml/2006/main" count="54" uniqueCount="9">
  <si>
    <t>NOTA TÉCNICA:</t>
  </si>
  <si>
    <t>estadisticaslecheria@magyp.gob.ar</t>
  </si>
  <si>
    <t>Año</t>
  </si>
  <si>
    <t>Producción</t>
  </si>
  <si>
    <t>Fuente: Dirección Nacional Láctea - Secretaría de Gobierno de Agroindustria de la Nación</t>
  </si>
  <si>
    <t>Producción nacional (millones de litros por año 2015-2020)</t>
  </si>
  <si>
    <t>Year</t>
  </si>
  <si>
    <t>Month</t>
  </si>
  <si>
    <t>leche,d11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</si>
</sst>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.00_ ;_ * \-#,##0.00_ ;_ * &quot;-&quot;??_ ;_ @_ "/>
    <numFmt numFmtId="165" formatCode="_-* #,##0.0_-;\-* #,##0.0_-;_-* &quot;-&quot;??_-;_-@_-"/>
    <numFmt numFmtId="166" formatCode="0.0%"/>
    <numFmt numFmtId="167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9"/>
      <color indexed="12"/>
      <name val="Arial"/>
      <family val="2"/>
    </font>
    <font>
      <sz val="8"/>
      <name val="Trebuchet MS"/>
      <family val="2"/>
    </font>
    <font>
      <u/>
      <sz val="8"/>
      <color indexed="12"/>
      <name val="Trebuchet MS"/>
      <family val="2"/>
    </font>
    <font>
      <b/>
      <sz val="12"/>
      <color indexed="6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rebuchet MS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3" fontId="1" fillId="0" borderId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3">
    <xf numFmtId="0" fontId="0" fillId="0" borderId="0" xfId="0"/>
    <xf numFmtId="0" fontId="4" fillId="0" borderId="0" xfId="4" applyFont="1" applyFill="1" applyAlignment="1" applyProtection="1">
      <alignment horizontal="left" vertical="center"/>
    </xf>
    <xf numFmtId="0" fontId="3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6" fillId="3" borderId="1" xfId="2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3" fontId="7" fillId="2" borderId="1" xfId="2" applyNumberFormat="1" applyFont="1" applyFill="1" applyBorder="1" applyAlignment="1">
      <alignment horizontal="center" vertical="center"/>
    </xf>
    <xf numFmtId="0" fontId="9" fillId="0" borderId="0" xfId="0" applyFont="1"/>
    <xf numFmtId="17" fontId="10" fillId="0" borderId="0" xfId="1" applyNumberFormat="1" applyFont="1" applyAlignment="1">
      <alignment horizontal="center" vertical="center"/>
    </xf>
    <xf numFmtId="43" fontId="11" fillId="0" borderId="0" xfId="8" applyFont="1" applyAlignment="1">
      <alignment horizontal="left" vertical="center" wrapText="1"/>
    </xf>
    <xf numFmtId="43" fontId="12" fillId="0" borderId="0" xfId="8" applyFont="1" applyAlignment="1">
      <alignment vertical="center" wrapText="1"/>
    </xf>
    <xf numFmtId="165" fontId="10" fillId="0" borderId="0" xfId="8" applyNumberFormat="1" applyFont="1" applyFill="1" applyBorder="1" applyAlignment="1">
      <alignment horizontal="center" vertical="center"/>
    </xf>
    <xf numFmtId="165" fontId="9" fillId="0" borderId="0" xfId="8" applyNumberFormat="1" applyFont="1" applyFill="1" applyBorder="1"/>
    <xf numFmtId="9" fontId="9" fillId="0" borderId="0" xfId="9" applyFont="1" applyFill="1" applyBorder="1"/>
    <xf numFmtId="166" fontId="9" fillId="0" borderId="0" xfId="9" applyNumberFormat="1" applyFont="1" applyFill="1" applyBorder="1"/>
    <xf numFmtId="166" fontId="9" fillId="0" borderId="0" xfId="0" applyNumberFormat="1" applyFont="1"/>
    <xf numFmtId="17" fontId="9" fillId="0" borderId="0" xfId="0" applyNumberFormat="1" applyFont="1"/>
    <xf numFmtId="167" fontId="11" fillId="0" borderId="0" xfId="8" applyNumberFormat="1" applyFont="1" applyAlignment="1">
      <alignment horizontal="left" vertical="center" wrapText="1"/>
    </xf>
    <xf numFmtId="167" fontId="12" fillId="0" borderId="0" xfId="8" applyNumberFormat="1" applyFont="1" applyAlignment="1">
      <alignment vertical="center" wrapText="1"/>
    </xf>
    <xf numFmtId="165" fontId="11" fillId="0" borderId="0" xfId="8" applyNumberFormat="1" applyFont="1" applyAlignment="1">
      <alignment horizontal="left" vertical="center" wrapText="1"/>
    </xf>
    <xf numFmtId="165" fontId="12" fillId="0" borderId="0" xfId="8" applyNumberFormat="1" applyFont="1" applyAlignment="1">
      <alignment vertical="center" wrapText="1"/>
    </xf>
    <xf numFmtId="166" fontId="9" fillId="0" borderId="0" xfId="9" applyNumberFormat="1" applyFont="1"/>
    <xf numFmtId="43" fontId="0" fillId="0" borderId="0" xfId="8" applyFont="1"/>
  </cellXfs>
  <cellStyles count="10">
    <cellStyle name="Hipervínculo" xfId="4" builtinId="8"/>
    <cellStyle name="Millares" xfId="8" builtinId="3"/>
    <cellStyle name="Millares 2" xfId="7" xr:uid="{00000000-0005-0000-0000-000001000000}"/>
    <cellStyle name="Normal" xfId="0" builtinId="0"/>
    <cellStyle name="Normal 2" xfId="2" xr:uid="{00000000-0005-0000-0000-000003000000}"/>
    <cellStyle name="Normal 3" xfId="6" xr:uid="{00000000-0005-0000-0000-000004000000}"/>
    <cellStyle name="Normal 4" xfId="1" xr:uid="{00000000-0005-0000-0000-000005000000}"/>
    <cellStyle name="Porcentaje" xfId="9" builtinId="5"/>
    <cellStyle name="Porcentaje 2" xfId="5" xr:uid="{00000000-0005-0000-0000-000006000000}"/>
    <cellStyle name="Punto0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1.xml"/><Relationship Id="rId16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705416996911138E-2"/>
          <c:y val="0.11931182583368302"/>
          <c:w val="0.8762902990842043"/>
          <c:h val="0.69641975003908196"/>
        </c:manualLayout>
      </c:layout>
      <c:lineChart>
        <c:grouping val="standard"/>
        <c:varyColors val="0"/>
        <c:ser>
          <c:idx val="0"/>
          <c:order val="0"/>
          <c:tx>
            <c:v>Circulante real</c:v>
          </c:tx>
          <c:spPr>
            <a:ln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noFill/>
              </a:ln>
            </c:spPr>
          </c:marker>
          <c:dLbls>
            <c:dLbl>
              <c:idx val="99"/>
              <c:layout>
                <c:manualLayout>
                  <c:x val="1.2543116964565694E-3"/>
                  <c:y val="-3.7617554858934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3F-4199-A6C4-F5B2B0A47036}"/>
                </c:ext>
              </c:extLst>
            </c:dLbl>
            <c:dLbl>
              <c:idx val="110"/>
              <c:layout>
                <c:manualLayout>
                  <c:x val="5.0172467858262777E-3"/>
                  <c:y val="2.9258098223615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03F-4199-A6C4-F5B2B0A47036}"/>
                </c:ext>
              </c:extLst>
            </c:dLbl>
            <c:dLbl>
              <c:idx val="129"/>
              <c:layout>
                <c:manualLayout>
                  <c:x val="-8.6547507055503389E-2"/>
                  <c:y val="-3.7617554858934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03F-4199-A6C4-F5B2B0A47036}"/>
                </c:ext>
              </c:extLst>
            </c:dLbl>
            <c:dLbl>
              <c:idx val="131"/>
              <c:layout>
                <c:manualLayout>
                  <c:x val="-3.3866415804327372E-2"/>
                  <c:y val="4.3887147335423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03F-4199-A6C4-F5B2B0A47036}"/>
                </c:ext>
              </c:extLst>
            </c:dLbl>
            <c:dLbl>
              <c:idx val="134"/>
              <c:layout>
                <c:manualLayout>
                  <c:x val="0"/>
                  <c:y val="-5.015673981191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03F-4199-A6C4-F5B2B0A47036}"/>
                </c:ext>
              </c:extLst>
            </c:dLbl>
            <c:dLbl>
              <c:idx val="135"/>
              <c:layout>
                <c:manualLayout>
                  <c:x val="0"/>
                  <c:y val="4.3887147335423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03F-4199-A6C4-F5B2B0A47036}"/>
                </c:ext>
              </c:extLst>
            </c:dLbl>
            <c:dLbl>
              <c:idx val="1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4D-4728-9E0B-FB5EB446659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/>
                    </a:solidFill>
                    <a:latin typeface="Montserrat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ln>
                  </c:spPr>
                </c15:leaderLines>
              </c:ext>
            </c:extLst>
          </c:dLbls>
          <c:cat>
            <c:numRef>
              <c:f>Mensual!$A$1:$A$137</c:f>
              <c:numCache>
                <c:formatCode>mmm\-yy</c:formatCode>
                <c:ptCount val="137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</c:numCache>
            </c:numRef>
          </c:cat>
          <c:val>
            <c:numRef>
              <c:f>Mensual!$C$1:$C$137</c:f>
              <c:numCache>
                <c:formatCode>_-* #,##0_-;\-* #,##0_-;_-* "-"??_-;_-@_-</c:formatCode>
                <c:ptCount val="137"/>
                <c:pt idx="0">
                  <c:v>993937283.61444998</c:v>
                </c:pt>
                <c:pt idx="1">
                  <c:v>909816074.02528298</c:v>
                </c:pt>
                <c:pt idx="2">
                  <c:v>970449645.65129495</c:v>
                </c:pt>
                <c:pt idx="3">
                  <c:v>1002610808.40279</c:v>
                </c:pt>
                <c:pt idx="4">
                  <c:v>1014389135.3765</c:v>
                </c:pt>
                <c:pt idx="5">
                  <c:v>1028910038.8872401</c:v>
                </c:pt>
                <c:pt idx="6">
                  <c:v>1030048247.88755</c:v>
                </c:pt>
                <c:pt idx="7">
                  <c:v>1007927574.40482</c:v>
                </c:pt>
                <c:pt idx="8">
                  <c:v>1038665093.52824</c:v>
                </c:pt>
                <c:pt idx="9">
                  <c:v>1037700152.0507801</c:v>
                </c:pt>
                <c:pt idx="10">
                  <c:v>1024833773.2755001</c:v>
                </c:pt>
                <c:pt idx="11">
                  <c:v>1007439308.81069</c:v>
                </c:pt>
                <c:pt idx="12">
                  <c:v>925670591.81437194</c:v>
                </c:pt>
                <c:pt idx="13">
                  <c:v>919275975.40355802</c:v>
                </c:pt>
                <c:pt idx="14">
                  <c:v>919833976.77233505</c:v>
                </c:pt>
                <c:pt idx="15">
                  <c:v>819210276.46571505</c:v>
                </c:pt>
                <c:pt idx="16">
                  <c:v>806326803.333992</c:v>
                </c:pt>
                <c:pt idx="17">
                  <c:v>818954965.93672597</c:v>
                </c:pt>
                <c:pt idx="18">
                  <c:v>819262982.75813901</c:v>
                </c:pt>
                <c:pt idx="19">
                  <c:v>851896107.06191397</c:v>
                </c:pt>
                <c:pt idx="20">
                  <c:v>866364754.167822</c:v>
                </c:pt>
                <c:pt idx="21">
                  <c:v>847989172.92116702</c:v>
                </c:pt>
                <c:pt idx="22">
                  <c:v>831459382.70266604</c:v>
                </c:pt>
                <c:pt idx="23">
                  <c:v>850421149.12063503</c:v>
                </c:pt>
                <c:pt idx="24">
                  <c:v>833413046.24509501</c:v>
                </c:pt>
                <c:pt idx="25">
                  <c:v>842452266.09847701</c:v>
                </c:pt>
                <c:pt idx="26">
                  <c:v>838128500.23629904</c:v>
                </c:pt>
                <c:pt idx="27">
                  <c:v>832527346.10065699</c:v>
                </c:pt>
                <c:pt idx="28">
                  <c:v>847759261.80181801</c:v>
                </c:pt>
                <c:pt idx="29">
                  <c:v>840368180.81600595</c:v>
                </c:pt>
                <c:pt idx="30">
                  <c:v>838083162.98619199</c:v>
                </c:pt>
                <c:pt idx="31">
                  <c:v>826138596.482916</c:v>
                </c:pt>
                <c:pt idx="32">
                  <c:v>829245864.79861701</c:v>
                </c:pt>
                <c:pt idx="33">
                  <c:v>838943740.29766405</c:v>
                </c:pt>
                <c:pt idx="34">
                  <c:v>865838565.49224198</c:v>
                </c:pt>
                <c:pt idx="35">
                  <c:v>869706653.85693896</c:v>
                </c:pt>
                <c:pt idx="36">
                  <c:v>907404367.74115002</c:v>
                </c:pt>
                <c:pt idx="37">
                  <c:v>900508616.83394504</c:v>
                </c:pt>
                <c:pt idx="38">
                  <c:v>917194003.43867397</c:v>
                </c:pt>
                <c:pt idx="39">
                  <c:v>898900133.53275001</c:v>
                </c:pt>
                <c:pt idx="40">
                  <c:v>862450583.58744097</c:v>
                </c:pt>
                <c:pt idx="41">
                  <c:v>878135416.11149204</c:v>
                </c:pt>
                <c:pt idx="42">
                  <c:v>871140399.02055204</c:v>
                </c:pt>
                <c:pt idx="43">
                  <c:v>862409962.53895998</c:v>
                </c:pt>
                <c:pt idx="44">
                  <c:v>865862340.77640903</c:v>
                </c:pt>
                <c:pt idx="45">
                  <c:v>863036472.75095999</c:v>
                </c:pt>
                <c:pt idx="46">
                  <c:v>855439819.48690403</c:v>
                </c:pt>
                <c:pt idx="47">
                  <c:v>849006469.06905997</c:v>
                </c:pt>
                <c:pt idx="48">
                  <c:v>842705325.83980203</c:v>
                </c:pt>
                <c:pt idx="49">
                  <c:v>826242577.534531</c:v>
                </c:pt>
                <c:pt idx="50">
                  <c:v>855268179.42932105</c:v>
                </c:pt>
                <c:pt idx="51">
                  <c:v>862259327.82156503</c:v>
                </c:pt>
                <c:pt idx="52">
                  <c:v>848054795.64987803</c:v>
                </c:pt>
                <c:pt idx="53">
                  <c:v>852089906.08036101</c:v>
                </c:pt>
                <c:pt idx="54">
                  <c:v>869663383.60997903</c:v>
                </c:pt>
                <c:pt idx="55">
                  <c:v>880351695.80821395</c:v>
                </c:pt>
                <c:pt idx="56">
                  <c:v>879840593.70683098</c:v>
                </c:pt>
                <c:pt idx="57">
                  <c:v>873950949.23972297</c:v>
                </c:pt>
                <c:pt idx="58">
                  <c:v>871130532.64502501</c:v>
                </c:pt>
                <c:pt idx="59">
                  <c:v>880667872.36986005</c:v>
                </c:pt>
                <c:pt idx="60">
                  <c:v>886970753.89033902</c:v>
                </c:pt>
                <c:pt idx="61">
                  <c:v>908082871.23834503</c:v>
                </c:pt>
                <c:pt idx="62">
                  <c:v>909037111.51841795</c:v>
                </c:pt>
                <c:pt idx="63">
                  <c:v>921361098.94182599</c:v>
                </c:pt>
                <c:pt idx="64">
                  <c:v>932953951.29926097</c:v>
                </c:pt>
                <c:pt idx="65">
                  <c:v>939235163.51847899</c:v>
                </c:pt>
                <c:pt idx="66">
                  <c:v>934910006.76236999</c:v>
                </c:pt>
                <c:pt idx="67">
                  <c:v>926124468.70216</c:v>
                </c:pt>
                <c:pt idx="68">
                  <c:v>916132540.88160706</c:v>
                </c:pt>
                <c:pt idx="69">
                  <c:v>932116949.91911399</c:v>
                </c:pt>
                <c:pt idx="70">
                  <c:v>936186828.48742902</c:v>
                </c:pt>
                <c:pt idx="71">
                  <c:v>948058871.15212595</c:v>
                </c:pt>
                <c:pt idx="72">
                  <c:v>952285774.60579002</c:v>
                </c:pt>
                <c:pt idx="73">
                  <c:v>948995423.34817696</c:v>
                </c:pt>
                <c:pt idx="74">
                  <c:v>951047285.61623502</c:v>
                </c:pt>
                <c:pt idx="75">
                  <c:v>951213923.594908</c:v>
                </c:pt>
                <c:pt idx="76">
                  <c:v>964336200.46031296</c:v>
                </c:pt>
                <c:pt idx="77">
                  <c:v>965136215.16125</c:v>
                </c:pt>
                <c:pt idx="78">
                  <c:v>966236439.68282294</c:v>
                </c:pt>
                <c:pt idx="79">
                  <c:v>962250634.94274604</c:v>
                </c:pt>
                <c:pt idx="80">
                  <c:v>961875641.95062804</c:v>
                </c:pt>
                <c:pt idx="81">
                  <c:v>966888697.16657805</c:v>
                </c:pt>
                <c:pt idx="82">
                  <c:v>979239189.20456302</c:v>
                </c:pt>
                <c:pt idx="83">
                  <c:v>979958568.812868</c:v>
                </c:pt>
                <c:pt idx="84">
                  <c:v>945158826.27876306</c:v>
                </c:pt>
                <c:pt idx="85">
                  <c:v>982588806.46942496</c:v>
                </c:pt>
                <c:pt idx="86">
                  <c:v>978145908.68492198</c:v>
                </c:pt>
                <c:pt idx="87">
                  <c:v>969291791.54840004</c:v>
                </c:pt>
                <c:pt idx="88">
                  <c:v>970430710.83907795</c:v>
                </c:pt>
                <c:pt idx="89">
                  <c:v>957537590.85333097</c:v>
                </c:pt>
                <c:pt idx="90">
                  <c:v>953692069.08506405</c:v>
                </c:pt>
                <c:pt idx="91">
                  <c:v>965915149.40146101</c:v>
                </c:pt>
                <c:pt idx="92">
                  <c:v>963398620.14506495</c:v>
                </c:pt>
                <c:pt idx="93">
                  <c:v>961730353.41254401</c:v>
                </c:pt>
                <c:pt idx="94">
                  <c:v>943804064.65177798</c:v>
                </c:pt>
                <c:pt idx="95">
                  <c:v>960764670.71457005</c:v>
                </c:pt>
                <c:pt idx="96">
                  <c:v>980607640.60565698</c:v>
                </c:pt>
                <c:pt idx="97">
                  <c:v>978003523.16776001</c:v>
                </c:pt>
                <c:pt idx="98">
                  <c:v>955980723.68867004</c:v>
                </c:pt>
                <c:pt idx="99">
                  <c:v>986226162.01640105</c:v>
                </c:pt>
                <c:pt idx="100">
                  <c:v>951560251.89111495</c:v>
                </c:pt>
                <c:pt idx="101">
                  <c:v>948761389.68656301</c:v>
                </c:pt>
                <c:pt idx="102">
                  <c:v>950826432.26968598</c:v>
                </c:pt>
                <c:pt idx="103">
                  <c:v>958854212.854617</c:v>
                </c:pt>
                <c:pt idx="104">
                  <c:v>920552611.59684801</c:v>
                </c:pt>
                <c:pt idx="105">
                  <c:v>910646197.53998005</c:v>
                </c:pt>
                <c:pt idx="106">
                  <c:v>899708424.17332995</c:v>
                </c:pt>
                <c:pt idx="107">
                  <c:v>880447900.53357601</c:v>
                </c:pt>
                <c:pt idx="108">
                  <c:v>863695475.07713497</c:v>
                </c:pt>
                <c:pt idx="109">
                  <c:v>842720847.36424398</c:v>
                </c:pt>
                <c:pt idx="110">
                  <c:v>838826282.198264</c:v>
                </c:pt>
                <c:pt idx="111">
                  <c:v>850214831.47755504</c:v>
                </c:pt>
                <c:pt idx="112">
                  <c:v>859209171.88191903</c:v>
                </c:pt>
                <c:pt idx="113">
                  <c:v>882992408.61265194</c:v>
                </c:pt>
                <c:pt idx="114">
                  <c:v>903413602.50185394</c:v>
                </c:pt>
                <c:pt idx="115">
                  <c:v>890308917.663288</c:v>
                </c:pt>
                <c:pt idx="116">
                  <c:v>897757968.00116706</c:v>
                </c:pt>
                <c:pt idx="117">
                  <c:v>903186420.41043997</c:v>
                </c:pt>
                <c:pt idx="118">
                  <c:v>912887441.71389604</c:v>
                </c:pt>
                <c:pt idx="119">
                  <c:v>923021451.62439001</c:v>
                </c:pt>
                <c:pt idx="120">
                  <c:v>913437932.80953801</c:v>
                </c:pt>
                <c:pt idx="121">
                  <c:v>924386679.18431604</c:v>
                </c:pt>
                <c:pt idx="122">
                  <c:v>951572476.01553404</c:v>
                </c:pt>
                <c:pt idx="123">
                  <c:v>960376596.69109797</c:v>
                </c:pt>
                <c:pt idx="124">
                  <c:v>971295566.08364999</c:v>
                </c:pt>
                <c:pt idx="125">
                  <c:v>969716249.56183195</c:v>
                </c:pt>
                <c:pt idx="126">
                  <c:v>975054109.25322998</c:v>
                </c:pt>
                <c:pt idx="127">
                  <c:v>986011989.32984304</c:v>
                </c:pt>
                <c:pt idx="128">
                  <c:v>996310810.339625</c:v>
                </c:pt>
                <c:pt idx="129">
                  <c:v>1000994063.68679</c:v>
                </c:pt>
                <c:pt idx="130" formatCode="_-* #,##0.0_-;\-* #,##0.0_-;_-* &quot;-&quot;??_-;_-@_-">
                  <c:v>995117480.900473</c:v>
                </c:pt>
                <c:pt idx="131" formatCode="_-* #,##0.0_-;\-* #,##0.0_-;_-* &quot;-&quot;??_-;_-@_-">
                  <c:v>975193242.73931003</c:v>
                </c:pt>
                <c:pt idx="132" formatCode="_-* #,##0.0_-;\-* #,##0.0_-;_-* &quot;-&quot;??_-;_-@_-">
                  <c:v>1000623444.45548</c:v>
                </c:pt>
                <c:pt idx="133" formatCode="_-* #,##0.0_-;\-* #,##0.0_-;_-* &quot;-&quot;??_-;_-@_-">
                  <c:v>1005089263.88529</c:v>
                </c:pt>
                <c:pt idx="134" formatCode="_-* #,##0.0_-;\-* #,##0.0_-;_-* &quot;-&quot;??_-;_-@_-">
                  <c:v>1016135334.0109299</c:v>
                </c:pt>
                <c:pt idx="135" formatCode="_-* #,##0.0_-;\-* #,##0.0_-;_-* &quot;-&quot;??_-;_-@_-">
                  <c:v>965657360.41451299</c:v>
                </c:pt>
                <c:pt idx="136" formatCode="_-* #,##0.0_-;\-* #,##0.0_-;_-* &quot;-&quot;??_-;_-@_-">
                  <c:v>989269156.27976298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03F-4199-A6C4-F5B2B0A47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810512"/>
        <c:axId val="1"/>
      </c:lineChart>
      <c:dateAx>
        <c:axId val="1312810512"/>
        <c:scaling>
          <c:orientation val="minMax"/>
        </c:scaling>
        <c:delete val="0"/>
        <c:axPos val="b"/>
        <c:numFmt formatCode="mmm\-yy" sourceLinked="1"/>
        <c:majorTickMark val="cross"/>
        <c:minorTickMark val="out"/>
        <c:tickLblPos val="nextTo"/>
        <c:spPr>
          <a:noFill/>
          <a:ln w="9525" cap="flat" cmpd="sng" algn="ctr">
            <a:solidFill>
              <a:srgbClr val="00003A"/>
            </a:solidFill>
            <a:round/>
          </a:ln>
          <a:effectLst/>
        </c:spPr>
        <c:txPr>
          <a:bodyPr rot="-5400000" vert="horz"/>
          <a:lstStyle/>
          <a:p>
            <a:pPr>
              <a:defRPr>
                <a:solidFill>
                  <a:srgbClr val="00003A"/>
                </a:solidFill>
                <a:latin typeface="Montserrat" pitchFamily="2" charset="0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  <c:majorUnit val="6"/>
        <c:minorUnit val="12"/>
      </c:dateAx>
      <c:valAx>
        <c:axId val="1"/>
        <c:scaling>
          <c:orientation val="minMax"/>
          <c:min val="600000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one"/>
        <c:spPr>
          <a:ln w="6350">
            <a:noFill/>
          </a:ln>
        </c:spPr>
        <c:crossAx val="1312810512"/>
        <c:crosses val="autoZero"/>
        <c:crossBetween val="between"/>
        <c:dispUnits>
          <c:builtInUnit val="millions"/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Microsoft Sans Serif" panose="020B0604020202020204" pitchFamily="34" charset="0"/>
          <a:ea typeface="Microsoft Sans Serif" panose="020B0604020202020204" pitchFamily="34" charset="0"/>
          <a:cs typeface="Microsoft Sans Serif" panose="020B0604020202020204" pitchFamily="34" charset="0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4163D8-4C66-480C-9A33-6A2C09FD89F3}">
  <sheetPr/>
  <sheetViews>
    <sheetView workbookViewId="0"/>
  </sheetViews>
  <pageMargins left="0.25" right="0.25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12507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263E0C-F084-5C02-1502-40FAA182F5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0.10323</cdr:y>
    </cdr:to>
    <cdr:sp macro="" textlink="">
      <cdr:nvSpPr>
        <cdr:cNvPr id="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10125075" cy="6273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lIns="54864" tIns="4114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lnSpc>
              <a:spcPts val="2100"/>
            </a:lnSpc>
            <a:defRPr sz="1000"/>
          </a:pPr>
          <a:r>
            <a:rPr lang="es-ES" sz="2000" b="1" i="0" u="none" strike="noStrike" baseline="0">
              <a:solidFill>
                <a:srgbClr val="00003A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PRODUCCIÓN PRIMARIA DE LECHE</a:t>
          </a:r>
        </a:p>
        <a:p xmlns:a="http://schemas.openxmlformats.org/drawingml/2006/main">
          <a:pPr algn="l" rtl="0">
            <a:lnSpc>
              <a:spcPts val="1500"/>
            </a:lnSpc>
            <a:defRPr sz="1000"/>
          </a:pPr>
          <a:r>
            <a:rPr lang="es-ES" sz="1600" b="0" i="0" u="none" strike="noStrike" baseline="0">
              <a:solidFill>
                <a:schemeClr val="accent2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En millones de litros - Serie con ajuste estacional | Enero'15 a Mayo'26</a:t>
          </a:r>
        </a:p>
      </cdr:txBody>
    </cdr:sp>
  </cdr:relSizeAnchor>
  <cdr:relSizeAnchor xmlns:cdr="http://schemas.openxmlformats.org/drawingml/2006/chartDrawing">
    <cdr:from>
      <cdr:x>0</cdr:x>
      <cdr:y>0.95768</cdr:y>
    </cdr:from>
    <cdr:to>
      <cdr:x>1</cdr:x>
      <cdr:y>1</cdr:y>
    </cdr:to>
    <cdr:sp macro="" textlink="">
      <cdr:nvSpPr>
        <cdr:cNvPr id="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5819775"/>
          <a:ext cx="10125075" cy="2571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1200" b="0" i="0" u="none" strike="noStrike" baseline="0">
              <a:solidFill>
                <a:srgbClr val="00003A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Fuente: Elaborado en base a Secretaria de Ganadería del MECON y CENSUS-X13.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estadisticaslecheria@magyp.gob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3"/>
  <sheetViews>
    <sheetView tabSelected="1" topLeftCell="A231" workbookViewId="0">
      <selection activeCell="L243" sqref="E243:L243"/>
    </sheetView>
  </sheetViews>
  <sheetFormatPr baseColWidth="10" defaultRowHeight="15" x14ac:dyDescent="0.25"/>
  <cols>
    <col min="1" max="1" width="11.42578125" style="7"/>
    <col min="2" max="3" width="16.42578125" style="12" bestFit="1" customWidth="1"/>
    <col min="4" max="6" width="11.42578125" style="13"/>
    <col min="7" max="16384" width="11.42578125" style="7"/>
  </cols>
  <sheetData>
    <row r="1" spans="1:6" x14ac:dyDescent="0.25">
      <c r="A1" s="8">
        <v>42005</v>
      </c>
      <c r="B1" s="11">
        <v>973790136</v>
      </c>
      <c r="C1" s="18">
        <v>993937283.61444998</v>
      </c>
    </row>
    <row r="2" spans="1:6" x14ac:dyDescent="0.25">
      <c r="A2" s="8">
        <v>42036</v>
      </c>
      <c r="B2" s="11">
        <v>746722004</v>
      </c>
      <c r="C2" s="18">
        <v>909816074.02528298</v>
      </c>
      <c r="E2" s="14">
        <f t="shared" ref="E2:E65" si="0">+C2/C1-1</f>
        <v>-8.4634323488963492E-2</v>
      </c>
    </row>
    <row r="3" spans="1:6" x14ac:dyDescent="0.25">
      <c r="A3" s="8">
        <v>42064</v>
      </c>
      <c r="B3" s="11">
        <v>863969790</v>
      </c>
      <c r="C3" s="18">
        <v>970449645.65129495</v>
      </c>
      <c r="E3" s="14">
        <f t="shared" si="0"/>
        <v>6.6643768292367067E-2</v>
      </c>
    </row>
    <row r="4" spans="1:6" x14ac:dyDescent="0.25">
      <c r="A4" s="8">
        <v>42095</v>
      </c>
      <c r="B4" s="11">
        <v>879361051</v>
      </c>
      <c r="C4" s="18">
        <v>1002610808.40279</v>
      </c>
      <c r="E4" s="14">
        <f t="shared" si="0"/>
        <v>3.3140475547199344E-2</v>
      </c>
    </row>
    <row r="5" spans="1:6" x14ac:dyDescent="0.25">
      <c r="A5" s="8">
        <v>42125</v>
      </c>
      <c r="B5" s="11">
        <v>949403218</v>
      </c>
      <c r="C5" s="18">
        <v>1014389135.3765</v>
      </c>
      <c r="E5" s="14">
        <f t="shared" si="0"/>
        <v>1.1747656094465597E-2</v>
      </c>
    </row>
    <row r="6" spans="1:6" x14ac:dyDescent="0.25">
      <c r="A6" s="8">
        <v>42156</v>
      </c>
      <c r="B6" s="11">
        <v>986142231</v>
      </c>
      <c r="C6" s="18">
        <v>1028910038.8872401</v>
      </c>
      <c r="E6" s="14">
        <f t="shared" si="0"/>
        <v>1.4314924129535722E-2</v>
      </c>
    </row>
    <row r="7" spans="1:6" x14ac:dyDescent="0.25">
      <c r="A7" s="8">
        <v>42186</v>
      </c>
      <c r="B7" s="11">
        <v>1049761097</v>
      </c>
      <c r="C7" s="18">
        <v>1030048247.88755</v>
      </c>
      <c r="E7" s="14">
        <f t="shared" si="0"/>
        <v>1.1062279084581572E-3</v>
      </c>
    </row>
    <row r="8" spans="1:6" x14ac:dyDescent="0.25">
      <c r="A8" s="8">
        <v>42217</v>
      </c>
      <c r="B8" s="11">
        <v>1093051302</v>
      </c>
      <c r="C8" s="18">
        <v>1007927574.40482</v>
      </c>
      <c r="E8" s="14">
        <f t="shared" si="0"/>
        <v>-2.1475376059418294E-2</v>
      </c>
    </row>
    <row r="9" spans="1:6" x14ac:dyDescent="0.25">
      <c r="A9" s="8">
        <v>42248</v>
      </c>
      <c r="B9" s="11">
        <v>1148936273</v>
      </c>
      <c r="C9" s="18">
        <v>1038665093.52824</v>
      </c>
      <c r="E9" s="14">
        <f t="shared" si="0"/>
        <v>3.0495761703484003E-2</v>
      </c>
    </row>
    <row r="10" spans="1:6" x14ac:dyDescent="0.25">
      <c r="A10" s="8">
        <v>42278</v>
      </c>
      <c r="B10" s="11">
        <v>1193007181</v>
      </c>
      <c r="C10" s="18">
        <v>1037700152.0507801</v>
      </c>
      <c r="E10" s="14">
        <f t="shared" si="0"/>
        <v>-9.2902080128842712E-4</v>
      </c>
    </row>
    <row r="11" spans="1:6" x14ac:dyDescent="0.25">
      <c r="A11" s="8">
        <v>42309</v>
      </c>
      <c r="B11" s="11">
        <v>1111523530</v>
      </c>
      <c r="C11" s="18">
        <v>1024833773.2755001</v>
      </c>
      <c r="E11" s="14">
        <f t="shared" si="0"/>
        <v>-1.2398936966379503E-2</v>
      </c>
    </row>
    <row r="12" spans="1:6" x14ac:dyDescent="0.25">
      <c r="A12" s="8">
        <v>42339</v>
      </c>
      <c r="B12" s="11">
        <v>1065230460</v>
      </c>
      <c r="C12" s="18">
        <v>1007439308.81069</v>
      </c>
      <c r="E12" s="14">
        <f t="shared" si="0"/>
        <v>-1.6972961780148066E-2</v>
      </c>
    </row>
    <row r="13" spans="1:6" x14ac:dyDescent="0.25">
      <c r="A13" s="8">
        <v>42370</v>
      </c>
      <c r="B13" s="11">
        <v>905828532</v>
      </c>
      <c r="C13" s="18">
        <v>925670591.81437194</v>
      </c>
      <c r="D13" s="14">
        <f t="shared" ref="D13:D60" si="1">+B13/B1-1</f>
        <v>-6.9790811682651888E-2</v>
      </c>
      <c r="E13" s="14">
        <f t="shared" si="0"/>
        <v>-8.1164906194546194E-2</v>
      </c>
      <c r="F13" s="14">
        <f t="shared" ref="F13:F60" si="2">+C13/C12-1</f>
        <v>-8.1164906194546194E-2</v>
      </c>
    </row>
    <row r="14" spans="1:6" x14ac:dyDescent="0.25">
      <c r="A14" s="8">
        <v>42401</v>
      </c>
      <c r="B14" s="11">
        <v>777838429</v>
      </c>
      <c r="C14" s="18">
        <v>919275975.40355802</v>
      </c>
      <c r="D14" s="14">
        <f t="shared" si="1"/>
        <v>4.1670695162747684E-2</v>
      </c>
      <c r="E14" s="14">
        <f t="shared" si="0"/>
        <v>-6.9080907045778739E-3</v>
      </c>
      <c r="F14" s="14">
        <f t="shared" si="2"/>
        <v>-6.9080907045778739E-3</v>
      </c>
    </row>
    <row r="15" spans="1:6" x14ac:dyDescent="0.25">
      <c r="A15" s="8">
        <v>42430</v>
      </c>
      <c r="B15" s="11">
        <v>813351774</v>
      </c>
      <c r="C15" s="18">
        <v>919833976.77233505</v>
      </c>
      <c r="D15" s="14">
        <f t="shared" si="1"/>
        <v>-5.8587715202403134E-2</v>
      </c>
      <c r="E15" s="14">
        <f t="shared" si="0"/>
        <v>6.0700092649779158E-4</v>
      </c>
      <c r="F15" s="14">
        <f t="shared" si="2"/>
        <v>6.0700092649779158E-4</v>
      </c>
    </row>
    <row r="16" spans="1:6" x14ac:dyDescent="0.25">
      <c r="A16" s="8">
        <v>42461</v>
      </c>
      <c r="B16" s="11">
        <v>696747034</v>
      </c>
      <c r="C16" s="18">
        <v>819210276.46571505</v>
      </c>
      <c r="D16" s="14">
        <f t="shared" si="1"/>
        <v>-0.20766671072403453</v>
      </c>
      <c r="E16" s="14">
        <f t="shared" si="0"/>
        <v>-0.10939332841313931</v>
      </c>
      <c r="F16" s="14">
        <f t="shared" si="2"/>
        <v>-0.10939332841313931</v>
      </c>
    </row>
    <row r="17" spans="1:6" x14ac:dyDescent="0.25">
      <c r="A17" s="8">
        <v>42491</v>
      </c>
      <c r="B17" s="11">
        <v>740657277</v>
      </c>
      <c r="C17" s="18">
        <v>806326803.333992</v>
      </c>
      <c r="D17" s="14">
        <f t="shared" si="1"/>
        <v>-0.21987069038984441</v>
      </c>
      <c r="E17" s="14">
        <f t="shared" si="0"/>
        <v>-1.5726698628959701E-2</v>
      </c>
      <c r="F17" s="14">
        <f t="shared" si="2"/>
        <v>-1.5726698628959701E-2</v>
      </c>
    </row>
    <row r="18" spans="1:6" x14ac:dyDescent="0.25">
      <c r="A18" s="8">
        <v>42522</v>
      </c>
      <c r="B18" s="11">
        <v>775196929</v>
      </c>
      <c r="C18" s="18">
        <v>818954965.93672597</v>
      </c>
      <c r="D18" s="14">
        <f t="shared" si="1"/>
        <v>-0.21390961198983471</v>
      </c>
      <c r="E18" s="14">
        <f t="shared" si="0"/>
        <v>1.5661345437754548E-2</v>
      </c>
      <c r="F18" s="14">
        <f t="shared" si="2"/>
        <v>1.5661345437754548E-2</v>
      </c>
    </row>
    <row r="19" spans="1:6" x14ac:dyDescent="0.25">
      <c r="A19" s="8">
        <v>42552</v>
      </c>
      <c r="B19" s="11">
        <v>840871373</v>
      </c>
      <c r="C19" s="18">
        <v>819262982.75813901</v>
      </c>
      <c r="D19" s="14">
        <f t="shared" si="1"/>
        <v>-0.19898786933233059</v>
      </c>
      <c r="E19" s="14">
        <f t="shared" si="0"/>
        <v>3.7610959603950889E-4</v>
      </c>
      <c r="F19" s="14">
        <f t="shared" si="2"/>
        <v>3.7610959603950889E-4</v>
      </c>
    </row>
    <row r="20" spans="1:6" x14ac:dyDescent="0.25">
      <c r="A20" s="8">
        <v>42583</v>
      </c>
      <c r="B20" s="11">
        <v>936369716</v>
      </c>
      <c r="C20" s="18">
        <v>851896107.06191397</v>
      </c>
      <c r="D20" s="14">
        <f t="shared" si="1"/>
        <v>-0.14334330485066293</v>
      </c>
      <c r="E20" s="14">
        <f t="shared" si="0"/>
        <v>3.9832294379897437E-2</v>
      </c>
      <c r="F20" s="14">
        <f t="shared" si="2"/>
        <v>3.9832294379897437E-2</v>
      </c>
    </row>
    <row r="21" spans="1:6" x14ac:dyDescent="0.25">
      <c r="A21" s="8">
        <v>42614</v>
      </c>
      <c r="B21" s="11">
        <v>976492043</v>
      </c>
      <c r="C21" s="18">
        <v>866364754.167822</v>
      </c>
      <c r="D21" s="14">
        <f t="shared" si="1"/>
        <v>-0.15009033490580725</v>
      </c>
      <c r="E21" s="14">
        <f t="shared" si="0"/>
        <v>1.6984051207615813E-2</v>
      </c>
      <c r="F21" s="14">
        <f t="shared" si="2"/>
        <v>1.6984051207615813E-2</v>
      </c>
    </row>
    <row r="22" spans="1:6" x14ac:dyDescent="0.25">
      <c r="A22" s="8">
        <v>42644</v>
      </c>
      <c r="B22" s="11">
        <v>1002793299</v>
      </c>
      <c r="C22" s="18">
        <v>847989172.92116702</v>
      </c>
      <c r="D22" s="14">
        <f t="shared" si="1"/>
        <v>-0.15944068487547525</v>
      </c>
      <c r="E22" s="14">
        <f t="shared" si="0"/>
        <v>-2.1209982467841115E-2</v>
      </c>
      <c r="F22" s="14">
        <f t="shared" si="2"/>
        <v>-2.1209982467841115E-2</v>
      </c>
    </row>
    <row r="23" spans="1:6" x14ac:dyDescent="0.25">
      <c r="A23" s="8">
        <v>42675</v>
      </c>
      <c r="B23" s="11">
        <v>917259445</v>
      </c>
      <c r="C23" s="18">
        <v>831459382.70266604</v>
      </c>
      <c r="D23" s="14">
        <f t="shared" si="1"/>
        <v>-0.17477280485461244</v>
      </c>
      <c r="E23" s="14">
        <f t="shared" si="0"/>
        <v>-1.9492926025881818E-2</v>
      </c>
      <c r="F23" s="14">
        <f t="shared" si="2"/>
        <v>-1.9492926025881818E-2</v>
      </c>
    </row>
    <row r="24" spans="1:6" x14ac:dyDescent="0.25">
      <c r="A24" s="8">
        <v>42705</v>
      </c>
      <c r="B24" s="11">
        <v>908795599</v>
      </c>
      <c r="C24" s="18">
        <v>850421149.12063503</v>
      </c>
      <c r="D24" s="14">
        <f t="shared" si="1"/>
        <v>-0.14685541474283414</v>
      </c>
      <c r="E24" s="14">
        <f t="shared" si="0"/>
        <v>2.2805403141081371E-2</v>
      </c>
      <c r="F24" s="14">
        <f t="shared" si="2"/>
        <v>2.2805403141081371E-2</v>
      </c>
    </row>
    <row r="25" spans="1:6" x14ac:dyDescent="0.25">
      <c r="A25" s="8">
        <v>42736</v>
      </c>
      <c r="B25" s="11">
        <v>811988876</v>
      </c>
      <c r="C25" s="18">
        <v>833413046.24509501</v>
      </c>
      <c r="D25" s="14">
        <f t="shared" si="1"/>
        <v>-0.10359538553373804</v>
      </c>
      <c r="E25" s="14">
        <f t="shared" si="0"/>
        <v>-1.9999623590178817E-2</v>
      </c>
      <c r="F25" s="14">
        <f t="shared" si="2"/>
        <v>-1.9999623590178817E-2</v>
      </c>
    </row>
    <row r="26" spans="1:6" x14ac:dyDescent="0.25">
      <c r="A26" s="8">
        <v>42767</v>
      </c>
      <c r="B26" s="11">
        <v>681557386</v>
      </c>
      <c r="C26" s="18">
        <v>842452266.09847701</v>
      </c>
      <c r="D26" s="14">
        <f t="shared" si="1"/>
        <v>-0.12378026002621167</v>
      </c>
      <c r="E26" s="14">
        <f t="shared" si="0"/>
        <v>1.0846026342049564E-2</v>
      </c>
      <c r="F26" s="14">
        <f t="shared" si="2"/>
        <v>1.0846026342049564E-2</v>
      </c>
    </row>
    <row r="27" spans="1:6" x14ac:dyDescent="0.25">
      <c r="A27" s="8">
        <v>42795</v>
      </c>
      <c r="B27" s="11">
        <v>731662211</v>
      </c>
      <c r="C27" s="18">
        <v>838128500.23629904</v>
      </c>
      <c r="D27" s="14">
        <f t="shared" si="1"/>
        <v>-0.10043571012116581</v>
      </c>
      <c r="E27" s="14">
        <f t="shared" si="0"/>
        <v>-5.1323570915203787E-3</v>
      </c>
      <c r="F27" s="14">
        <f t="shared" si="2"/>
        <v>-5.1323570915203787E-3</v>
      </c>
    </row>
    <row r="28" spans="1:6" x14ac:dyDescent="0.25">
      <c r="A28" s="8">
        <v>42826</v>
      </c>
      <c r="B28" s="11">
        <v>710915061</v>
      </c>
      <c r="C28" s="18">
        <v>832527346.10065699</v>
      </c>
      <c r="D28" s="14">
        <f t="shared" si="1"/>
        <v>2.0334535073169846E-2</v>
      </c>
      <c r="E28" s="14">
        <f t="shared" si="0"/>
        <v>-6.6829300448115747E-3</v>
      </c>
      <c r="F28" s="14">
        <f t="shared" si="2"/>
        <v>-6.6829300448115747E-3</v>
      </c>
    </row>
    <row r="29" spans="1:6" x14ac:dyDescent="0.25">
      <c r="A29" s="8">
        <v>42856</v>
      </c>
      <c r="B29" s="11">
        <v>782040425</v>
      </c>
      <c r="C29" s="18">
        <v>847759261.80181801</v>
      </c>
      <c r="D29" s="14">
        <f t="shared" si="1"/>
        <v>5.5873545410396241E-2</v>
      </c>
      <c r="E29" s="14">
        <f t="shared" si="0"/>
        <v>1.8295994446913211E-2</v>
      </c>
      <c r="F29" s="14">
        <f t="shared" si="2"/>
        <v>1.8295994446913211E-2</v>
      </c>
    </row>
    <row r="30" spans="1:6" x14ac:dyDescent="0.25">
      <c r="A30" s="8">
        <v>42887</v>
      </c>
      <c r="B30" s="11">
        <v>795646952</v>
      </c>
      <c r="C30" s="18">
        <v>840368180.81600595</v>
      </c>
      <c r="D30" s="14">
        <f t="shared" si="1"/>
        <v>2.6380423135035302E-2</v>
      </c>
      <c r="E30" s="14">
        <f t="shared" si="0"/>
        <v>-8.7183724423171016E-3</v>
      </c>
      <c r="F30" s="14">
        <f t="shared" si="2"/>
        <v>-8.7183724423171016E-3</v>
      </c>
    </row>
    <row r="31" spans="1:6" x14ac:dyDescent="0.25">
      <c r="A31" s="8">
        <v>42917</v>
      </c>
      <c r="B31" s="11">
        <v>861420344</v>
      </c>
      <c r="C31" s="18">
        <v>838083162.98619199</v>
      </c>
      <c r="D31" s="14">
        <f t="shared" si="1"/>
        <v>2.44377102846145E-2</v>
      </c>
      <c r="E31" s="14">
        <f t="shared" si="0"/>
        <v>-2.7190675253734309E-3</v>
      </c>
      <c r="F31" s="14">
        <f t="shared" si="2"/>
        <v>-2.7190675253734309E-3</v>
      </c>
    </row>
    <row r="32" spans="1:6" x14ac:dyDescent="0.25">
      <c r="A32" s="8">
        <v>42948</v>
      </c>
      <c r="B32" s="11">
        <v>911066937</v>
      </c>
      <c r="C32" s="18">
        <v>826138596.482916</v>
      </c>
      <c r="D32" s="14">
        <f t="shared" si="1"/>
        <v>-2.7022209889581705E-2</v>
      </c>
      <c r="E32" s="14">
        <f t="shared" si="0"/>
        <v>-1.425224492127497E-2</v>
      </c>
      <c r="F32" s="14">
        <f t="shared" si="2"/>
        <v>-1.425224492127497E-2</v>
      </c>
    </row>
    <row r="33" spans="1:6" x14ac:dyDescent="0.25">
      <c r="A33" s="8">
        <v>42979</v>
      </c>
      <c r="B33" s="11">
        <v>938864296</v>
      </c>
      <c r="C33" s="18">
        <v>829245864.79861701</v>
      </c>
      <c r="D33" s="14">
        <f t="shared" si="1"/>
        <v>-3.8533593048438175E-2</v>
      </c>
      <c r="E33" s="14">
        <f t="shared" si="0"/>
        <v>3.7611949483167262E-3</v>
      </c>
      <c r="F33" s="14">
        <f t="shared" si="2"/>
        <v>3.7611949483167262E-3</v>
      </c>
    </row>
    <row r="34" spans="1:6" x14ac:dyDescent="0.25">
      <c r="A34" s="8">
        <v>43009</v>
      </c>
      <c r="B34" s="11">
        <v>990975346</v>
      </c>
      <c r="C34" s="18">
        <v>838943740.29766405</v>
      </c>
      <c r="D34" s="14">
        <f t="shared" si="1"/>
        <v>-1.1785033876657414E-2</v>
      </c>
      <c r="E34" s="14">
        <f t="shared" si="0"/>
        <v>1.1694813216104771E-2</v>
      </c>
      <c r="F34" s="14">
        <f t="shared" si="2"/>
        <v>1.1694813216104771E-2</v>
      </c>
    </row>
    <row r="35" spans="1:6" x14ac:dyDescent="0.25">
      <c r="A35" s="8">
        <v>43040</v>
      </c>
      <c r="B35" s="11">
        <v>951494714</v>
      </c>
      <c r="C35" s="18">
        <v>865838565.49224198</v>
      </c>
      <c r="D35" s="14">
        <f t="shared" si="1"/>
        <v>3.7323430340910901E-2</v>
      </c>
      <c r="E35" s="14">
        <f t="shared" si="0"/>
        <v>3.2057960388423012E-2</v>
      </c>
      <c r="F35" s="14">
        <f t="shared" si="2"/>
        <v>3.2057960388423012E-2</v>
      </c>
    </row>
    <row r="36" spans="1:6" x14ac:dyDescent="0.25">
      <c r="A36" s="8">
        <v>43070</v>
      </c>
      <c r="B36" s="11">
        <v>929845054</v>
      </c>
      <c r="C36" s="18">
        <v>869706653.85693896</v>
      </c>
      <c r="D36" s="14">
        <f t="shared" si="1"/>
        <v>2.3161924445014748E-2</v>
      </c>
      <c r="E36" s="14">
        <f t="shared" si="0"/>
        <v>4.4674475345156672E-3</v>
      </c>
      <c r="F36" s="14">
        <f t="shared" si="2"/>
        <v>4.4674475345156672E-3</v>
      </c>
    </row>
    <row r="37" spans="1:6" x14ac:dyDescent="0.25">
      <c r="A37" s="8">
        <v>43101</v>
      </c>
      <c r="B37" s="11">
        <v>884626918</v>
      </c>
      <c r="C37" s="18">
        <v>907404367.74115002</v>
      </c>
      <c r="D37" s="14">
        <f t="shared" si="1"/>
        <v>8.9456942264809935E-2</v>
      </c>
      <c r="E37" s="14">
        <f t="shared" si="0"/>
        <v>4.3345320766525974E-2</v>
      </c>
      <c r="F37" s="14">
        <f t="shared" si="2"/>
        <v>4.3345320766525974E-2</v>
      </c>
    </row>
    <row r="38" spans="1:6" x14ac:dyDescent="0.25">
      <c r="A38" s="8">
        <v>43132</v>
      </c>
      <c r="B38" s="11">
        <v>741303088</v>
      </c>
      <c r="C38" s="18">
        <v>900508616.83394504</v>
      </c>
      <c r="D38" s="14">
        <f t="shared" si="1"/>
        <v>8.7660559810879946E-2</v>
      </c>
      <c r="E38" s="14">
        <f t="shared" si="0"/>
        <v>-7.5994244157882029E-3</v>
      </c>
      <c r="F38" s="14">
        <f t="shared" si="2"/>
        <v>-7.5994244157882029E-3</v>
      </c>
    </row>
    <row r="39" spans="1:6" x14ac:dyDescent="0.25">
      <c r="A39" s="8">
        <v>43160</v>
      </c>
      <c r="B39" s="11">
        <v>809862124</v>
      </c>
      <c r="C39" s="18">
        <v>917194003.43867397</v>
      </c>
      <c r="D39" s="14">
        <f t="shared" si="1"/>
        <v>0.1068798030352287</v>
      </c>
      <c r="E39" s="14">
        <f t="shared" si="0"/>
        <v>1.8528847245673497E-2</v>
      </c>
      <c r="F39" s="14">
        <f t="shared" si="2"/>
        <v>1.8528847245673497E-2</v>
      </c>
    </row>
    <row r="40" spans="1:6" x14ac:dyDescent="0.25">
      <c r="A40" s="8">
        <v>43191</v>
      </c>
      <c r="B40" s="11">
        <v>775703507</v>
      </c>
      <c r="C40" s="18">
        <v>898900133.53275001</v>
      </c>
      <c r="D40" s="14">
        <f t="shared" si="1"/>
        <v>9.1133877384544482E-2</v>
      </c>
      <c r="E40" s="14">
        <f t="shared" si="0"/>
        <v>-1.9945474825759812E-2</v>
      </c>
      <c r="F40" s="14">
        <f t="shared" si="2"/>
        <v>-1.9945474825759812E-2</v>
      </c>
    </row>
    <row r="41" spans="1:6" x14ac:dyDescent="0.25">
      <c r="A41" s="8">
        <v>43221</v>
      </c>
      <c r="B41" s="11">
        <v>798199582</v>
      </c>
      <c r="C41" s="18">
        <v>862450583.58744097</v>
      </c>
      <c r="D41" s="14">
        <f t="shared" si="1"/>
        <v>2.0662815480414487E-2</v>
      </c>
      <c r="E41" s="14">
        <f t="shared" si="0"/>
        <v>-4.0549053877719898E-2</v>
      </c>
      <c r="F41" s="14">
        <f t="shared" si="2"/>
        <v>-4.0549053877719898E-2</v>
      </c>
    </row>
    <row r="42" spans="1:6" x14ac:dyDescent="0.25">
      <c r="A42" s="8">
        <v>43252</v>
      </c>
      <c r="B42" s="11">
        <v>833671341</v>
      </c>
      <c r="C42" s="18">
        <v>878135416.11149204</v>
      </c>
      <c r="D42" s="14">
        <f t="shared" si="1"/>
        <v>4.7790529335176801E-2</v>
      </c>
      <c r="E42" s="14">
        <f t="shared" si="0"/>
        <v>1.8186355047507208E-2</v>
      </c>
      <c r="F42" s="14">
        <f t="shared" si="2"/>
        <v>1.8186355047507208E-2</v>
      </c>
    </row>
    <row r="43" spans="1:6" x14ac:dyDescent="0.25">
      <c r="A43" s="8">
        <v>43282</v>
      </c>
      <c r="B43" s="11">
        <v>897002237</v>
      </c>
      <c r="C43" s="18">
        <v>871140399.02055204</v>
      </c>
      <c r="D43" s="14">
        <f t="shared" si="1"/>
        <v>4.1306074610190535E-2</v>
      </c>
      <c r="E43" s="14">
        <f t="shared" si="0"/>
        <v>-7.9657612739444383E-3</v>
      </c>
      <c r="F43" s="14">
        <f t="shared" si="2"/>
        <v>-7.9657612739444383E-3</v>
      </c>
    </row>
    <row r="44" spans="1:6" x14ac:dyDescent="0.25">
      <c r="A44" s="8">
        <v>43313</v>
      </c>
      <c r="B44" s="11">
        <v>947517263</v>
      </c>
      <c r="C44" s="18">
        <v>862409962.53895998</v>
      </c>
      <c r="D44" s="14">
        <f t="shared" si="1"/>
        <v>4.0008395124100593E-2</v>
      </c>
      <c r="E44" s="14">
        <f t="shared" si="0"/>
        <v>-1.0021847788723726E-2</v>
      </c>
      <c r="F44" s="14">
        <f t="shared" si="2"/>
        <v>-1.0021847788723726E-2</v>
      </c>
    </row>
    <row r="45" spans="1:6" x14ac:dyDescent="0.25">
      <c r="A45" s="8">
        <v>43344</v>
      </c>
      <c r="B45" s="11">
        <v>974134641</v>
      </c>
      <c r="C45" s="18">
        <v>865862340.77640903</v>
      </c>
      <c r="D45" s="14">
        <f t="shared" si="1"/>
        <v>3.7567031945157758E-2</v>
      </c>
      <c r="E45" s="14">
        <f t="shared" si="0"/>
        <v>4.0031752732601067E-3</v>
      </c>
      <c r="F45" s="14">
        <f t="shared" si="2"/>
        <v>4.0031752732601067E-3</v>
      </c>
    </row>
    <row r="46" spans="1:6" x14ac:dyDescent="0.25">
      <c r="A46" s="8">
        <v>43374</v>
      </c>
      <c r="B46" s="11">
        <v>1011525357</v>
      </c>
      <c r="C46" s="18">
        <v>863036472.75095999</v>
      </c>
      <c r="D46" s="14">
        <f t="shared" si="1"/>
        <v>2.0737156663834799E-2</v>
      </c>
      <c r="E46" s="14">
        <f t="shared" si="0"/>
        <v>-3.2636458388005662E-3</v>
      </c>
      <c r="F46" s="14">
        <f t="shared" si="2"/>
        <v>-3.2636458388005662E-3</v>
      </c>
    </row>
    <row r="47" spans="1:6" x14ac:dyDescent="0.25">
      <c r="A47" s="8">
        <v>43405</v>
      </c>
      <c r="B47" s="11">
        <v>942600000</v>
      </c>
      <c r="C47" s="18">
        <v>855439819.48690403</v>
      </c>
      <c r="D47" s="14">
        <f t="shared" si="1"/>
        <v>-9.3481486225051036E-3</v>
      </c>
      <c r="E47" s="14">
        <f t="shared" si="0"/>
        <v>-8.8022389596599249E-3</v>
      </c>
      <c r="F47" s="14">
        <f t="shared" si="2"/>
        <v>-8.8022389596599249E-3</v>
      </c>
    </row>
    <row r="48" spans="1:6" x14ac:dyDescent="0.25">
      <c r="A48" s="8">
        <v>43435</v>
      </c>
      <c r="B48" s="11">
        <v>910557975</v>
      </c>
      <c r="C48" s="18">
        <v>849006469.06905997</v>
      </c>
      <c r="D48" s="14">
        <f t="shared" si="1"/>
        <v>-2.0742250461010636E-2</v>
      </c>
      <c r="E48" s="14">
        <f t="shared" si="0"/>
        <v>-7.5205178333910272E-3</v>
      </c>
      <c r="F48" s="14">
        <f t="shared" si="2"/>
        <v>-7.5205178333910272E-3</v>
      </c>
    </row>
    <row r="49" spans="1:7" x14ac:dyDescent="0.25">
      <c r="A49" s="8">
        <v>43466</v>
      </c>
      <c r="B49" s="11">
        <v>819920900</v>
      </c>
      <c r="C49" s="18">
        <v>842705325.83980203</v>
      </c>
      <c r="D49" s="14">
        <f t="shared" si="1"/>
        <v>-7.314497974613976E-2</v>
      </c>
      <c r="E49" s="14">
        <f t="shared" si="0"/>
        <v>-7.4217847081509136E-3</v>
      </c>
      <c r="F49" s="14">
        <f t="shared" si="2"/>
        <v>-7.4217847081509136E-3</v>
      </c>
    </row>
    <row r="50" spans="1:7" x14ac:dyDescent="0.25">
      <c r="A50" s="8">
        <v>43497</v>
      </c>
      <c r="B50" s="11">
        <v>668290920</v>
      </c>
      <c r="C50" s="18">
        <v>826242577.534531</v>
      </c>
      <c r="D50" s="14">
        <f t="shared" si="1"/>
        <v>-9.8491655008457246E-2</v>
      </c>
      <c r="E50" s="14">
        <f t="shared" si="0"/>
        <v>-1.9535593048335187E-2</v>
      </c>
      <c r="F50" s="14">
        <f t="shared" si="2"/>
        <v>-1.9535593048335187E-2</v>
      </c>
    </row>
    <row r="51" spans="1:7" x14ac:dyDescent="0.25">
      <c r="A51" s="8">
        <v>43525</v>
      </c>
      <c r="B51" s="11">
        <v>745502228</v>
      </c>
      <c r="C51" s="18">
        <v>855268179.42932105</v>
      </c>
      <c r="D51" s="14">
        <f t="shared" si="1"/>
        <v>-7.947018892810942E-2</v>
      </c>
      <c r="E51" s="14">
        <f t="shared" si="0"/>
        <v>3.5129637087211174E-2</v>
      </c>
      <c r="F51" s="14">
        <f t="shared" si="2"/>
        <v>3.5129637087211174E-2</v>
      </c>
    </row>
    <row r="52" spans="1:7" x14ac:dyDescent="0.25">
      <c r="A52" s="8">
        <v>43556</v>
      </c>
      <c r="B52" s="11">
        <v>736863110</v>
      </c>
      <c r="C52" s="18">
        <v>862259327.82156503</v>
      </c>
      <c r="D52" s="14">
        <f t="shared" si="1"/>
        <v>-5.0071189119943016E-2</v>
      </c>
      <c r="E52" s="14">
        <f t="shared" si="0"/>
        <v>8.174217818917251E-3</v>
      </c>
      <c r="F52" s="14">
        <f t="shared" si="2"/>
        <v>8.174217818917251E-3</v>
      </c>
    </row>
    <row r="53" spans="1:7" x14ac:dyDescent="0.25">
      <c r="A53" s="8">
        <v>43586</v>
      </c>
      <c r="B53" s="11">
        <v>784885781</v>
      </c>
      <c r="C53" s="18">
        <v>848054795.64987803</v>
      </c>
      <c r="D53" s="14">
        <f t="shared" si="1"/>
        <v>-1.6679789491546027E-2</v>
      </c>
      <c r="E53" s="14">
        <f t="shared" si="0"/>
        <v>-1.6473619609977064E-2</v>
      </c>
      <c r="F53" s="14">
        <f t="shared" si="2"/>
        <v>-1.6473619609977064E-2</v>
      </c>
    </row>
    <row r="54" spans="1:7" x14ac:dyDescent="0.25">
      <c r="A54" s="8">
        <v>43617</v>
      </c>
      <c r="B54" s="11">
        <v>807915921</v>
      </c>
      <c r="C54" s="18">
        <v>852089906.08036101</v>
      </c>
      <c r="D54" s="14">
        <f t="shared" si="1"/>
        <v>-3.0893973120277862E-2</v>
      </c>
      <c r="E54" s="14">
        <f t="shared" si="0"/>
        <v>4.7580774864799391E-3</v>
      </c>
      <c r="F54" s="14">
        <f t="shared" si="2"/>
        <v>4.7580774864799391E-3</v>
      </c>
    </row>
    <row r="55" spans="1:7" x14ac:dyDescent="0.25">
      <c r="A55" s="8">
        <v>43647</v>
      </c>
      <c r="B55" s="11">
        <v>897366476</v>
      </c>
      <c r="C55" s="18">
        <v>869663383.60997903</v>
      </c>
      <c r="D55" s="14">
        <f t="shared" si="1"/>
        <v>4.0606253248398616E-4</v>
      </c>
      <c r="E55" s="14">
        <f t="shared" si="0"/>
        <v>2.0623971020213849E-2</v>
      </c>
      <c r="F55" s="14">
        <f t="shared" si="2"/>
        <v>2.0623971020213849E-2</v>
      </c>
    </row>
    <row r="56" spans="1:7" x14ac:dyDescent="0.25">
      <c r="A56" s="8">
        <v>43678</v>
      </c>
      <c r="B56" s="11">
        <v>967051833</v>
      </c>
      <c r="C56" s="18">
        <v>880351695.80821395</v>
      </c>
      <c r="D56" s="14">
        <f t="shared" si="1"/>
        <v>2.0616584797780169E-2</v>
      </c>
      <c r="E56" s="14">
        <f t="shared" si="0"/>
        <v>1.229017157634904E-2</v>
      </c>
      <c r="F56" s="14">
        <f t="shared" si="2"/>
        <v>1.229017157634904E-2</v>
      </c>
    </row>
    <row r="57" spans="1:7" x14ac:dyDescent="0.25">
      <c r="A57" s="8">
        <v>43709</v>
      </c>
      <c r="B57" s="11">
        <v>986532787</v>
      </c>
      <c r="C57" s="18">
        <v>879840593.70683098</v>
      </c>
      <c r="D57" s="14">
        <f t="shared" si="1"/>
        <v>1.272734330366565E-2</v>
      </c>
      <c r="E57" s="14">
        <f t="shared" si="0"/>
        <v>-5.805658168395178E-4</v>
      </c>
      <c r="F57" s="14">
        <f t="shared" si="2"/>
        <v>-5.805658168395178E-4</v>
      </c>
    </row>
    <row r="58" spans="1:7" x14ac:dyDescent="0.25">
      <c r="A58" s="8">
        <v>43739</v>
      </c>
      <c r="B58" s="11">
        <v>1020661279</v>
      </c>
      <c r="C58" s="18">
        <v>873950949.23972297</v>
      </c>
      <c r="D58" s="14">
        <f t="shared" si="1"/>
        <v>9.0318269698106413E-3</v>
      </c>
      <c r="E58" s="14">
        <f t="shared" si="0"/>
        <v>-6.6939903764777764E-3</v>
      </c>
      <c r="F58" s="14">
        <f t="shared" si="2"/>
        <v>-6.6939903764777764E-3</v>
      </c>
    </row>
    <row r="59" spans="1:7" x14ac:dyDescent="0.25">
      <c r="A59" s="8">
        <v>43770</v>
      </c>
      <c r="B59" s="11">
        <v>961351521</v>
      </c>
      <c r="C59" s="18">
        <v>871130532.64502501</v>
      </c>
      <c r="D59" s="14">
        <f t="shared" si="1"/>
        <v>1.9893402291534024E-2</v>
      </c>
      <c r="E59" s="14">
        <f t="shared" si="0"/>
        <v>-3.2272023929392768E-3</v>
      </c>
      <c r="F59" s="14">
        <f t="shared" si="2"/>
        <v>-3.2272023929392768E-3</v>
      </c>
    </row>
    <row r="60" spans="1:7" x14ac:dyDescent="0.25">
      <c r="A60" s="8">
        <v>43800</v>
      </c>
      <c r="B60" s="11">
        <v>943591946</v>
      </c>
      <c r="C60" s="18">
        <v>880667872.36986005</v>
      </c>
      <c r="D60" s="14">
        <f t="shared" si="1"/>
        <v>3.6278822334184779E-2</v>
      </c>
      <c r="E60" s="14">
        <f t="shared" si="0"/>
        <v>1.094823263268796E-2</v>
      </c>
      <c r="F60" s="14">
        <f t="shared" si="2"/>
        <v>1.094823263268796E-2</v>
      </c>
    </row>
    <row r="61" spans="1:7" x14ac:dyDescent="0.25">
      <c r="A61" s="8">
        <v>43831</v>
      </c>
      <c r="B61" s="11">
        <v>864875615</v>
      </c>
      <c r="C61" s="18">
        <v>886970753.89033902</v>
      </c>
      <c r="D61" s="14">
        <f>+B61/B49-1</f>
        <v>5.4828112077640601E-2</v>
      </c>
      <c r="E61" s="14">
        <f t="shared" si="0"/>
        <v>7.1569336389187832E-3</v>
      </c>
      <c r="F61" s="14">
        <f>+C61/C60-1</f>
        <v>7.1569336389187832E-3</v>
      </c>
      <c r="G61" s="15">
        <f>+F61</f>
        <v>7.1569336389187832E-3</v>
      </c>
    </row>
    <row r="62" spans="1:7" x14ac:dyDescent="0.25">
      <c r="A62" s="8">
        <v>43862</v>
      </c>
      <c r="B62" s="12">
        <v>771184930</v>
      </c>
      <c r="C62" s="18">
        <v>908082871.23834503</v>
      </c>
      <c r="D62" s="14">
        <f t="shared" ref="D62:D69" si="3">+B62/B50-1</f>
        <v>0.15396589557134788</v>
      </c>
      <c r="E62" s="14">
        <f t="shared" si="0"/>
        <v>2.3802495466063833E-2</v>
      </c>
    </row>
    <row r="63" spans="1:7" x14ac:dyDescent="0.25">
      <c r="A63" s="8">
        <v>43891</v>
      </c>
      <c r="B63" s="12">
        <v>793669848</v>
      </c>
      <c r="C63" s="18">
        <v>909037111.51841795</v>
      </c>
      <c r="D63" s="14">
        <f t="shared" si="3"/>
        <v>6.4610967198880154E-2</v>
      </c>
      <c r="E63" s="14">
        <f t="shared" si="0"/>
        <v>1.0508295115969624E-3</v>
      </c>
    </row>
    <row r="64" spans="1:7" x14ac:dyDescent="0.25">
      <c r="A64" s="8">
        <v>43922</v>
      </c>
      <c r="B64" s="12">
        <v>793596834</v>
      </c>
      <c r="C64" s="18">
        <v>921361098.94182599</v>
      </c>
      <c r="D64" s="14">
        <f t="shared" si="3"/>
        <v>7.6993573473911558E-2</v>
      </c>
      <c r="E64" s="14">
        <f t="shared" si="0"/>
        <v>1.3557188443959811E-2</v>
      </c>
    </row>
    <row r="65" spans="1:5" x14ac:dyDescent="0.25">
      <c r="A65" s="8">
        <v>43952</v>
      </c>
      <c r="B65" s="12">
        <v>870516107</v>
      </c>
      <c r="C65" s="18">
        <v>932953951.29926097</v>
      </c>
      <c r="D65" s="14">
        <f t="shared" si="3"/>
        <v>0.10909909196074485</v>
      </c>
      <c r="E65" s="14">
        <f t="shared" si="0"/>
        <v>1.2582311507127075E-2</v>
      </c>
    </row>
    <row r="66" spans="1:5" x14ac:dyDescent="0.25">
      <c r="A66" s="8">
        <v>43983</v>
      </c>
      <c r="B66" s="12">
        <v>893882585</v>
      </c>
      <c r="C66" s="18">
        <v>939235163.51847899</v>
      </c>
      <c r="D66" s="14">
        <f t="shared" si="3"/>
        <v>0.10640545849572391</v>
      </c>
      <c r="E66" s="14">
        <f t="shared" ref="E66:E115" si="4">+C66/C65-1</f>
        <v>6.7326069099880037E-3</v>
      </c>
    </row>
    <row r="67" spans="1:5" x14ac:dyDescent="0.25">
      <c r="A67" s="8">
        <v>44013</v>
      </c>
      <c r="B67" s="12">
        <v>965401316</v>
      </c>
      <c r="C67" s="18">
        <v>934910006.76236999</v>
      </c>
      <c r="D67" s="14">
        <f t="shared" si="3"/>
        <v>7.5816115065123091E-2</v>
      </c>
      <c r="E67" s="14">
        <f t="shared" si="4"/>
        <v>-4.6049774583678538E-3</v>
      </c>
    </row>
    <row r="68" spans="1:5" x14ac:dyDescent="0.25">
      <c r="A68" s="8">
        <v>44044</v>
      </c>
      <c r="B68" s="12">
        <v>1015851698</v>
      </c>
      <c r="C68" s="18">
        <v>926124468.70216</v>
      </c>
      <c r="D68" s="14">
        <f t="shared" si="3"/>
        <v>5.0462512281903793E-2</v>
      </c>
      <c r="E68" s="14">
        <f t="shared" si="4"/>
        <v>-9.3972018661290235E-3</v>
      </c>
    </row>
    <row r="69" spans="1:5" x14ac:dyDescent="0.25">
      <c r="A69" s="8">
        <v>44075</v>
      </c>
      <c r="B69" s="12">
        <v>1022301299</v>
      </c>
      <c r="C69" s="18">
        <v>916132540.88160706</v>
      </c>
      <c r="D69" s="14">
        <f t="shared" si="3"/>
        <v>3.6256789912447074E-2</v>
      </c>
      <c r="E69" s="14">
        <f t="shared" si="4"/>
        <v>-1.078896860867451E-2</v>
      </c>
    </row>
    <row r="70" spans="1:5" x14ac:dyDescent="0.25">
      <c r="A70" s="8">
        <v>44105</v>
      </c>
      <c r="B70" s="12">
        <v>1079240624</v>
      </c>
      <c r="C70" s="18">
        <v>932116949.91911399</v>
      </c>
      <c r="D70" s="14">
        <f>+B70/B58-1</f>
        <v>5.7393521440720852E-2</v>
      </c>
      <c r="E70" s="14">
        <f t="shared" si="4"/>
        <v>1.7447703606428888E-2</v>
      </c>
    </row>
    <row r="71" spans="1:5" x14ac:dyDescent="0.25">
      <c r="A71" s="16">
        <v>44136</v>
      </c>
      <c r="B71" s="12">
        <v>1030416538</v>
      </c>
      <c r="C71" s="18">
        <v>936186828.48742902</v>
      </c>
      <c r="D71" s="14">
        <f t="shared" ref="D71:D116" si="5">+B71/B59-1</f>
        <v>7.1841584988765028E-2</v>
      </c>
      <c r="E71" s="14">
        <f t="shared" si="4"/>
        <v>4.3662746060655344E-3</v>
      </c>
    </row>
    <row r="72" spans="1:5" x14ac:dyDescent="0.25">
      <c r="A72" s="16">
        <v>44166</v>
      </c>
      <c r="B72" s="12">
        <v>1012250192</v>
      </c>
      <c r="C72" s="18">
        <v>948058871.15212595</v>
      </c>
      <c r="D72" s="14">
        <f t="shared" si="5"/>
        <v>7.2762645220797673E-2</v>
      </c>
      <c r="E72" s="14">
        <f t="shared" si="4"/>
        <v>1.2681275044083007E-2</v>
      </c>
    </row>
    <row r="73" spans="1:5" x14ac:dyDescent="0.25">
      <c r="A73" s="16">
        <v>44197</v>
      </c>
      <c r="B73" s="12">
        <v>931342633</v>
      </c>
      <c r="C73" s="18">
        <v>952285774.60579002</v>
      </c>
      <c r="D73" s="14">
        <f t="shared" si="5"/>
        <v>7.685153430993652E-2</v>
      </c>
      <c r="E73" s="14">
        <f t="shared" si="4"/>
        <v>4.4584820439761419E-3</v>
      </c>
    </row>
    <row r="74" spans="1:5" x14ac:dyDescent="0.25">
      <c r="A74" s="16">
        <v>44228</v>
      </c>
      <c r="B74" s="12">
        <v>787603262</v>
      </c>
      <c r="C74" s="18">
        <v>948995423.34817696</v>
      </c>
      <c r="D74" s="14">
        <f t="shared" si="5"/>
        <v>2.1289746935277964E-2</v>
      </c>
      <c r="E74" s="14">
        <f t="shared" si="4"/>
        <v>-3.4552141230662636E-3</v>
      </c>
    </row>
    <row r="75" spans="1:5" x14ac:dyDescent="0.25">
      <c r="A75" s="16">
        <v>44256</v>
      </c>
      <c r="B75" s="12">
        <v>828323663</v>
      </c>
      <c r="C75" s="18">
        <v>951047285.61623502</v>
      </c>
      <c r="D75" s="14">
        <f t="shared" si="5"/>
        <v>4.3662758623532749E-2</v>
      </c>
      <c r="E75" s="14">
        <f t="shared" si="4"/>
        <v>2.1621413734733697E-3</v>
      </c>
    </row>
    <row r="76" spans="1:5" x14ac:dyDescent="0.25">
      <c r="A76" s="16">
        <v>44287</v>
      </c>
      <c r="B76" s="12">
        <v>821173720</v>
      </c>
      <c r="C76" s="18">
        <v>951213923.594908</v>
      </c>
      <c r="D76" s="14">
        <f t="shared" si="5"/>
        <v>3.4749238931565563E-2</v>
      </c>
      <c r="E76" s="14">
        <f t="shared" si="4"/>
        <v>1.752152402862972E-4</v>
      </c>
    </row>
    <row r="77" spans="1:5" x14ac:dyDescent="0.25">
      <c r="A77" s="16">
        <v>44317</v>
      </c>
      <c r="B77" s="12">
        <v>900211731</v>
      </c>
      <c r="C77" s="18">
        <v>964336200.46031296</v>
      </c>
      <c r="D77" s="14">
        <f t="shared" si="5"/>
        <v>3.4112664614946553E-2</v>
      </c>
      <c r="E77" s="14">
        <f t="shared" si="4"/>
        <v>1.3795295190604628E-2</v>
      </c>
    </row>
    <row r="78" spans="1:5" x14ac:dyDescent="0.25">
      <c r="A78" s="16">
        <v>44348</v>
      </c>
      <c r="B78" s="12">
        <v>920713126</v>
      </c>
      <c r="C78" s="18">
        <v>965136215.16125</v>
      </c>
      <c r="D78" s="14">
        <f t="shared" si="5"/>
        <v>3.0015732994731037E-2</v>
      </c>
      <c r="E78" s="14">
        <f t="shared" si="4"/>
        <v>8.2960144040544748E-4</v>
      </c>
    </row>
    <row r="79" spans="1:5" x14ac:dyDescent="0.25">
      <c r="A79" s="16">
        <v>44378</v>
      </c>
      <c r="B79" s="12">
        <v>999257844</v>
      </c>
      <c r="C79" s="18">
        <v>966236439.68282294</v>
      </c>
      <c r="D79" s="14">
        <f t="shared" si="5"/>
        <v>3.5069900401917486E-2</v>
      </c>
      <c r="E79" s="14">
        <f t="shared" si="4"/>
        <v>1.1399681250061633E-3</v>
      </c>
    </row>
    <row r="80" spans="1:5" x14ac:dyDescent="0.25">
      <c r="A80" s="16">
        <v>44409</v>
      </c>
      <c r="B80" s="12">
        <v>1055073832</v>
      </c>
      <c r="C80" s="18">
        <v>962250634.94274604</v>
      </c>
      <c r="D80" s="14">
        <f t="shared" si="5"/>
        <v>3.8610098380718494E-2</v>
      </c>
      <c r="E80" s="14">
        <f t="shared" si="4"/>
        <v>-4.12508220181107E-3</v>
      </c>
    </row>
    <row r="81" spans="1:5" x14ac:dyDescent="0.25">
      <c r="A81" s="16">
        <v>44440</v>
      </c>
      <c r="B81" s="12">
        <v>1069395287</v>
      </c>
      <c r="C81" s="18">
        <v>961875641.95062804</v>
      </c>
      <c r="D81" s="14">
        <f t="shared" si="5"/>
        <v>4.6066642041897587E-2</v>
      </c>
      <c r="E81" s="14">
        <f t="shared" si="4"/>
        <v>-3.8970407345095825E-4</v>
      </c>
    </row>
    <row r="82" spans="1:5" x14ac:dyDescent="0.25">
      <c r="A82" s="16">
        <v>44470</v>
      </c>
      <c r="B82" s="12">
        <v>1116356738</v>
      </c>
      <c r="C82" s="18">
        <v>966888697.16657805</v>
      </c>
      <c r="D82" s="14">
        <f t="shared" si="5"/>
        <v>3.4390953393170332E-2</v>
      </c>
      <c r="E82" s="14">
        <f t="shared" si="4"/>
        <v>5.2117498326331724E-3</v>
      </c>
    </row>
    <row r="83" spans="1:5" x14ac:dyDescent="0.25">
      <c r="A83" s="16">
        <v>44501</v>
      </c>
      <c r="B83" s="12">
        <v>1077021745</v>
      </c>
      <c r="C83" s="18">
        <v>979239189.20456302</v>
      </c>
      <c r="D83" s="14">
        <f t="shared" si="5"/>
        <v>4.5229482720122949E-2</v>
      </c>
      <c r="E83" s="14">
        <f t="shared" si="4"/>
        <v>1.2773437184835812E-2</v>
      </c>
    </row>
    <row r="84" spans="1:5" x14ac:dyDescent="0.25">
      <c r="A84" s="16">
        <v>44531</v>
      </c>
      <c r="B84" s="12">
        <v>1046832378</v>
      </c>
      <c r="C84" s="18">
        <v>979958568.812868</v>
      </c>
      <c r="D84" s="14">
        <f t="shared" si="5"/>
        <v>3.41636744288214E-2</v>
      </c>
      <c r="E84" s="14">
        <f t="shared" si="4"/>
        <v>7.3463114654281902E-4</v>
      </c>
    </row>
    <row r="85" spans="1:5" x14ac:dyDescent="0.25">
      <c r="A85" s="16">
        <v>44562</v>
      </c>
      <c r="B85" s="12">
        <v>922796067</v>
      </c>
      <c r="C85" s="18">
        <v>945158826.27876306</v>
      </c>
      <c r="D85" s="14">
        <f t="shared" si="5"/>
        <v>-9.1766077243453648E-3</v>
      </c>
      <c r="E85" s="14">
        <f t="shared" si="4"/>
        <v>-3.551144266870554E-2</v>
      </c>
    </row>
    <row r="86" spans="1:5" x14ac:dyDescent="0.25">
      <c r="A86" s="16">
        <v>44593</v>
      </c>
      <c r="B86" s="12">
        <v>815854511</v>
      </c>
      <c r="C86" s="18">
        <v>982588806.46942496</v>
      </c>
      <c r="D86" s="14">
        <f t="shared" si="5"/>
        <v>3.5869898415936241E-2</v>
      </c>
      <c r="E86" s="14">
        <f t="shared" si="4"/>
        <v>3.9601788768168777E-2</v>
      </c>
    </row>
    <row r="87" spans="1:5" x14ac:dyDescent="0.25">
      <c r="A87" s="16">
        <v>44621</v>
      </c>
      <c r="B87" s="12">
        <v>848947923</v>
      </c>
      <c r="C87" s="18">
        <v>978145908.68492198</v>
      </c>
      <c r="D87" s="14">
        <f t="shared" si="5"/>
        <v>2.4898793697748056E-2</v>
      </c>
      <c r="E87" s="14">
        <f t="shared" si="4"/>
        <v>-4.5216246666466287E-3</v>
      </c>
    </row>
    <row r="88" spans="1:5" x14ac:dyDescent="0.25">
      <c r="A88" s="16">
        <v>44652</v>
      </c>
      <c r="B88" s="12">
        <v>837384500</v>
      </c>
      <c r="C88" s="18">
        <v>969291791.54840004</v>
      </c>
      <c r="D88" s="14">
        <f t="shared" si="5"/>
        <v>1.9740987327261372E-2</v>
      </c>
      <c r="E88" s="14">
        <f t="shared" si="4"/>
        <v>-9.0519390388555943E-3</v>
      </c>
    </row>
    <row r="89" spans="1:5" x14ac:dyDescent="0.25">
      <c r="A89" s="16">
        <v>44682</v>
      </c>
      <c r="B89" s="12">
        <v>903917320</v>
      </c>
      <c r="C89" s="18">
        <v>970430710.83907795</v>
      </c>
      <c r="D89" s="14">
        <f t="shared" si="5"/>
        <v>4.1163527116934162E-3</v>
      </c>
      <c r="E89" s="14">
        <f t="shared" si="4"/>
        <v>1.1750014810900655E-3</v>
      </c>
    </row>
    <row r="90" spans="1:5" x14ac:dyDescent="0.25">
      <c r="A90" s="16">
        <v>44713</v>
      </c>
      <c r="B90" s="12">
        <v>914183140</v>
      </c>
      <c r="C90" s="18">
        <v>957537590.85333097</v>
      </c>
      <c r="D90" s="14">
        <f t="shared" si="5"/>
        <v>-7.0923133553761897E-3</v>
      </c>
      <c r="E90" s="14">
        <f t="shared" si="4"/>
        <v>-1.328597687783295E-2</v>
      </c>
    </row>
    <row r="91" spans="1:5" x14ac:dyDescent="0.25">
      <c r="A91" s="16">
        <v>44743</v>
      </c>
      <c r="B91" s="12">
        <v>989393827</v>
      </c>
      <c r="C91" s="18">
        <v>953692069.08506405</v>
      </c>
      <c r="D91" s="14">
        <f t="shared" si="5"/>
        <v>-9.8713430764922894E-3</v>
      </c>
      <c r="E91" s="14">
        <f t="shared" si="4"/>
        <v>-4.0160530562981522E-3</v>
      </c>
    </row>
    <row r="92" spans="1:5" x14ac:dyDescent="0.25">
      <c r="A92" s="16">
        <v>44774</v>
      </c>
      <c r="B92" s="12">
        <v>1061797210</v>
      </c>
      <c r="C92" s="18">
        <v>965915149.40146101</v>
      </c>
      <c r="D92" s="14">
        <f t="shared" si="5"/>
        <v>6.3724241812113114E-3</v>
      </c>
      <c r="E92" s="14">
        <f t="shared" si="4"/>
        <v>1.2816590084599566E-2</v>
      </c>
    </row>
    <row r="93" spans="1:5" x14ac:dyDescent="0.25">
      <c r="A93" s="16">
        <v>44805</v>
      </c>
      <c r="B93" s="12">
        <v>1073098208</v>
      </c>
      <c r="C93" s="18">
        <v>963398620.14506495</v>
      </c>
      <c r="D93" s="14">
        <f t="shared" si="5"/>
        <v>3.4626307456318006E-3</v>
      </c>
      <c r="E93" s="14">
        <f t="shared" si="4"/>
        <v>-2.6053315945561151E-3</v>
      </c>
    </row>
    <row r="94" spans="1:5" x14ac:dyDescent="0.25">
      <c r="A94" s="16">
        <v>44835</v>
      </c>
      <c r="B94" s="12">
        <v>1114150509</v>
      </c>
      <c r="C94" s="18">
        <v>961730353.41254401</v>
      </c>
      <c r="D94" s="14">
        <f t="shared" si="5"/>
        <v>-1.9762759742486535E-3</v>
      </c>
      <c r="E94" s="14">
        <f t="shared" si="4"/>
        <v>-1.731647417420823E-3</v>
      </c>
    </row>
    <row r="95" spans="1:5" x14ac:dyDescent="0.25">
      <c r="A95" s="16">
        <v>44866</v>
      </c>
      <c r="B95" s="12">
        <v>1045670951</v>
      </c>
      <c r="C95" s="18">
        <v>943804064.65177798</v>
      </c>
      <c r="D95" s="14">
        <f t="shared" si="5"/>
        <v>-2.9108784614186201E-2</v>
      </c>
      <c r="E95" s="14">
        <f t="shared" si="4"/>
        <v>-1.8639620447828742E-2</v>
      </c>
    </row>
    <row r="96" spans="1:5" x14ac:dyDescent="0.25">
      <c r="A96" s="16">
        <v>44896</v>
      </c>
      <c r="B96" s="12">
        <v>1030224836</v>
      </c>
      <c r="C96" s="18">
        <v>960764670.71457005</v>
      </c>
      <c r="D96" s="14">
        <f t="shared" si="5"/>
        <v>-1.5864566619279707E-2</v>
      </c>
      <c r="E96" s="14">
        <f t="shared" si="4"/>
        <v>1.7970473637502149E-2</v>
      </c>
    </row>
    <row r="97" spans="1:5" x14ac:dyDescent="0.25">
      <c r="A97" s="16">
        <v>44927</v>
      </c>
      <c r="B97" s="12">
        <v>954996600</v>
      </c>
      <c r="C97" s="18">
        <v>980607640.60565698</v>
      </c>
      <c r="D97" s="14">
        <f t="shared" si="5"/>
        <v>3.4894527785194862E-2</v>
      </c>
      <c r="E97" s="14">
        <f t="shared" si="4"/>
        <v>2.0653309281583709E-2</v>
      </c>
    </row>
    <row r="98" spans="1:5" x14ac:dyDescent="0.25">
      <c r="A98" s="16">
        <v>44958</v>
      </c>
      <c r="B98" s="12">
        <v>805211847</v>
      </c>
      <c r="C98" s="18">
        <v>978003523.16776001</v>
      </c>
      <c r="D98" s="14">
        <f t="shared" si="5"/>
        <v>-1.3044806220358085E-2</v>
      </c>
      <c r="E98" s="14">
        <f t="shared" si="4"/>
        <v>-2.655616099716096E-3</v>
      </c>
    </row>
    <row r="99" spans="1:5" x14ac:dyDescent="0.25">
      <c r="A99" s="16">
        <v>44986</v>
      </c>
      <c r="B99" s="12">
        <v>822335632</v>
      </c>
      <c r="C99" s="18">
        <v>955980723.68867004</v>
      </c>
      <c r="D99" s="14">
        <f t="shared" si="5"/>
        <v>-3.1347377476297789E-2</v>
      </c>
      <c r="E99" s="14">
        <f t="shared" si="4"/>
        <v>-2.2518118756625682E-2</v>
      </c>
    </row>
    <row r="100" spans="1:5" x14ac:dyDescent="0.25">
      <c r="A100" s="16">
        <v>45017</v>
      </c>
      <c r="B100" s="12">
        <v>852721977</v>
      </c>
      <c r="C100" s="18">
        <v>986226162.01640105</v>
      </c>
      <c r="D100" s="14">
        <f t="shared" si="5"/>
        <v>1.8315931331425395E-2</v>
      </c>
      <c r="E100" s="14">
        <f t="shared" si="4"/>
        <v>3.163812572603808E-2</v>
      </c>
    </row>
    <row r="101" spans="1:5" x14ac:dyDescent="0.25">
      <c r="A101" s="16">
        <v>45047</v>
      </c>
      <c r="B101" s="12">
        <v>882287671</v>
      </c>
      <c r="C101" s="18">
        <v>951560251.89111495</v>
      </c>
      <c r="D101" s="14">
        <f t="shared" si="5"/>
        <v>-2.3928791407603511E-2</v>
      </c>
      <c r="E101" s="14">
        <f t="shared" si="4"/>
        <v>-3.5150061375789798E-2</v>
      </c>
    </row>
    <row r="102" spans="1:5" x14ac:dyDescent="0.25">
      <c r="A102" s="16">
        <v>45078</v>
      </c>
      <c r="B102" s="12">
        <v>906283332</v>
      </c>
      <c r="C102" s="18">
        <v>948761389.68656301</v>
      </c>
      <c r="D102" s="14">
        <f t="shared" si="5"/>
        <v>-8.6413844823259867E-3</v>
      </c>
      <c r="E102" s="14">
        <f t="shared" si="4"/>
        <v>-2.9413399718930533E-3</v>
      </c>
    </row>
    <row r="103" spans="1:5" x14ac:dyDescent="0.25">
      <c r="A103" s="16">
        <v>45108</v>
      </c>
      <c r="B103" s="12">
        <v>987809881</v>
      </c>
      <c r="C103" s="18">
        <v>950826432.26968598</v>
      </c>
      <c r="D103" s="14">
        <f t="shared" si="5"/>
        <v>-1.6009256948800177E-3</v>
      </c>
      <c r="E103" s="14">
        <f t="shared" si="4"/>
        <v>2.1765668434348129E-3</v>
      </c>
    </row>
    <row r="104" spans="1:5" x14ac:dyDescent="0.25">
      <c r="A104" s="16">
        <v>45139</v>
      </c>
      <c r="B104" s="12">
        <v>1057997023</v>
      </c>
      <c r="C104" s="18">
        <v>958854212.854617</v>
      </c>
      <c r="D104" s="14">
        <f t="shared" si="5"/>
        <v>-3.5790139248905728E-3</v>
      </c>
      <c r="E104" s="14">
        <f t="shared" si="4"/>
        <v>8.4429505874885624E-3</v>
      </c>
    </row>
    <row r="105" spans="1:5" x14ac:dyDescent="0.25">
      <c r="A105" s="16">
        <v>45170</v>
      </c>
      <c r="B105" s="12">
        <v>1034269851</v>
      </c>
      <c r="C105" s="18">
        <v>920552611.59684801</v>
      </c>
      <c r="D105" s="14">
        <f t="shared" si="5"/>
        <v>-3.6183414258390001E-2</v>
      </c>
      <c r="E105" s="14">
        <f t="shared" si="4"/>
        <v>-3.9945177008443022E-2</v>
      </c>
    </row>
    <row r="106" spans="1:5" x14ac:dyDescent="0.25">
      <c r="A106" s="16">
        <v>45200</v>
      </c>
      <c r="B106" s="12">
        <v>1066453827</v>
      </c>
      <c r="C106" s="18">
        <v>910646197.53998005</v>
      </c>
      <c r="D106" s="14">
        <f t="shared" si="5"/>
        <v>-4.2809909087426545E-2</v>
      </c>
      <c r="E106" s="14">
        <f t="shared" si="4"/>
        <v>-1.0761377385789639E-2</v>
      </c>
    </row>
    <row r="107" spans="1:5" x14ac:dyDescent="0.25">
      <c r="A107" s="16">
        <v>45231</v>
      </c>
      <c r="B107" s="12">
        <v>1004076114</v>
      </c>
      <c r="C107" s="18">
        <v>899708424.17332995</v>
      </c>
      <c r="D107" s="14">
        <f t="shared" si="5"/>
        <v>-3.9778131887685975E-2</v>
      </c>
      <c r="E107" s="14">
        <f t="shared" si="4"/>
        <v>-1.2011002073250232E-2</v>
      </c>
    </row>
    <row r="108" spans="1:5" x14ac:dyDescent="0.25">
      <c r="A108" s="16">
        <v>45261</v>
      </c>
      <c r="B108" s="12">
        <v>951191981</v>
      </c>
      <c r="C108" s="18">
        <v>880447900.53357601</v>
      </c>
      <c r="D108" s="14">
        <f t="shared" si="5"/>
        <v>-7.6714181446893459E-2</v>
      </c>
      <c r="E108" s="14">
        <f t="shared" si="4"/>
        <v>-2.1407517282558408E-2</v>
      </c>
    </row>
    <row r="109" spans="1:5" x14ac:dyDescent="0.25">
      <c r="A109" s="16">
        <v>45292</v>
      </c>
      <c r="B109" s="12">
        <v>834315953</v>
      </c>
      <c r="C109" s="18">
        <v>863695475.07713497</v>
      </c>
      <c r="D109" s="14">
        <f t="shared" si="5"/>
        <v>-0.12636761952869779</v>
      </c>
      <c r="E109" s="14">
        <f t="shared" si="4"/>
        <v>-1.9027162704674083E-2</v>
      </c>
    </row>
    <row r="110" spans="1:5" x14ac:dyDescent="0.25">
      <c r="A110" s="16">
        <v>45323</v>
      </c>
      <c r="B110" s="12">
        <v>685787684</v>
      </c>
      <c r="C110" s="18">
        <v>842720847.36424398</v>
      </c>
      <c r="D110" s="14">
        <f t="shared" si="5"/>
        <v>-0.14831396662250051</v>
      </c>
      <c r="E110" s="14">
        <f t="shared" si="4"/>
        <v>-2.428474887056431E-2</v>
      </c>
    </row>
    <row r="111" spans="1:5" x14ac:dyDescent="0.25">
      <c r="A111" s="16">
        <v>45352</v>
      </c>
      <c r="B111" s="12">
        <v>704307799</v>
      </c>
      <c r="C111" s="18">
        <v>838826282.198264</v>
      </c>
      <c r="D111" s="14">
        <f t="shared" si="5"/>
        <v>-0.14352756758568863</v>
      </c>
      <c r="E111" s="14">
        <f t="shared" si="4"/>
        <v>-4.6214178492924862E-3</v>
      </c>
    </row>
    <row r="112" spans="1:5" x14ac:dyDescent="0.25">
      <c r="A112" s="16">
        <v>45383</v>
      </c>
      <c r="B112" s="12">
        <v>714270845</v>
      </c>
      <c r="C112" s="18">
        <v>850214831.47755504</v>
      </c>
      <c r="D112" s="14">
        <f t="shared" si="5"/>
        <v>-0.16236374308903267</v>
      </c>
      <c r="E112" s="14">
        <f t="shared" si="4"/>
        <v>1.3576767348592922E-2</v>
      </c>
    </row>
    <row r="113" spans="1:11" x14ac:dyDescent="0.25">
      <c r="A113" s="16">
        <v>45413</v>
      </c>
      <c r="B113" s="12">
        <v>787137412</v>
      </c>
      <c r="C113" s="18">
        <v>859209171.88191903</v>
      </c>
      <c r="D113" s="14">
        <f t="shared" si="5"/>
        <v>-0.10784493779920445</v>
      </c>
      <c r="E113" s="14">
        <f t="shared" si="4"/>
        <v>1.0578903203479761E-2</v>
      </c>
    </row>
    <row r="114" spans="1:11" x14ac:dyDescent="0.25">
      <c r="A114" s="16">
        <v>45444</v>
      </c>
      <c r="B114" s="12">
        <v>841539493</v>
      </c>
      <c r="C114" s="18">
        <v>882992408.61265194</v>
      </c>
      <c r="D114" s="14">
        <f t="shared" si="5"/>
        <v>-7.1438849986485198E-2</v>
      </c>
      <c r="E114" s="14">
        <f t="shared" si="4"/>
        <v>2.7680380411490013E-2</v>
      </c>
    </row>
    <row r="115" spans="1:11" x14ac:dyDescent="0.25">
      <c r="A115" s="16">
        <v>45474</v>
      </c>
      <c r="B115" s="12">
        <v>940746867</v>
      </c>
      <c r="C115" s="18">
        <v>903413602.50185394</v>
      </c>
      <c r="D115" s="14">
        <f t="shared" si="5"/>
        <v>-4.764379756189141E-2</v>
      </c>
      <c r="E115" s="14">
        <f t="shared" si="4"/>
        <v>2.3127258728404598E-2</v>
      </c>
    </row>
    <row r="116" spans="1:11" x14ac:dyDescent="0.25">
      <c r="A116" s="16">
        <v>45505</v>
      </c>
      <c r="B116" s="12">
        <v>992799561</v>
      </c>
      <c r="C116" s="18">
        <v>890308917.663288</v>
      </c>
      <c r="D116" s="14">
        <f t="shared" si="5"/>
        <v>-6.1623483415037872E-2</v>
      </c>
      <c r="E116" s="14">
        <f t="shared" ref="E116:E121" si="6">+C116/C115-1</f>
        <v>-1.4505742222914009E-2</v>
      </c>
    </row>
    <row r="117" spans="1:11" x14ac:dyDescent="0.25">
      <c r="A117" s="16">
        <v>45536</v>
      </c>
      <c r="B117" s="12">
        <v>1014951510</v>
      </c>
      <c r="C117" s="18">
        <v>897757968.00116706</v>
      </c>
      <c r="D117" s="14">
        <f t="shared" ref="D117:D118" si="7">+B117/B105-1</f>
        <v>-1.8678240481748265E-2</v>
      </c>
      <c r="E117" s="14">
        <f t="shared" si="6"/>
        <v>8.3668153717137983E-3</v>
      </c>
    </row>
    <row r="118" spans="1:11" x14ac:dyDescent="0.25">
      <c r="A118" s="16">
        <v>45566</v>
      </c>
      <c r="B118" s="12">
        <v>1062144711</v>
      </c>
      <c r="C118" s="18">
        <v>903186420.41043997</v>
      </c>
      <c r="D118" s="14">
        <f t="shared" si="7"/>
        <v>-4.0406025004587898E-3</v>
      </c>
      <c r="E118" s="14">
        <f t="shared" si="6"/>
        <v>6.0466769471945181E-3</v>
      </c>
    </row>
    <row r="119" spans="1:11" x14ac:dyDescent="0.25">
      <c r="A119" s="16">
        <v>45597</v>
      </c>
      <c r="B119" s="12">
        <v>1018817998</v>
      </c>
      <c r="C119" s="18">
        <v>912887441.71389604</v>
      </c>
      <c r="D119" s="14">
        <f t="shared" ref="D119" si="8">+B119/B107-1</f>
        <v>1.4682038337981984E-2</v>
      </c>
      <c r="E119" s="14">
        <f t="shared" si="6"/>
        <v>1.0740884809857576E-2</v>
      </c>
    </row>
    <row r="120" spans="1:11" x14ac:dyDescent="0.25">
      <c r="A120" s="16">
        <v>45627</v>
      </c>
      <c r="B120" s="12">
        <v>993509504</v>
      </c>
      <c r="C120" s="18">
        <v>923021451.62439001</v>
      </c>
      <c r="D120" s="14">
        <f t="shared" ref="D120" si="9">+B120/B108-1</f>
        <v>4.4488940030288138E-2</v>
      </c>
      <c r="E120" s="14">
        <f t="shared" si="6"/>
        <v>1.1101050849673166E-2</v>
      </c>
    </row>
    <row r="121" spans="1:11" x14ac:dyDescent="0.25">
      <c r="A121" s="16">
        <v>45658</v>
      </c>
      <c r="B121" s="12">
        <v>880717576</v>
      </c>
      <c r="C121" s="18">
        <v>913437932.80953801</v>
      </c>
      <c r="D121" s="14">
        <f t="shared" ref="D121" si="10">+B121/B109-1</f>
        <v>5.5616367915716891E-2</v>
      </c>
      <c r="E121" s="14">
        <f t="shared" si="6"/>
        <v>-1.0382769325660179E-2</v>
      </c>
    </row>
    <row r="122" spans="1:11" x14ac:dyDescent="0.25">
      <c r="A122" s="16">
        <v>45689</v>
      </c>
      <c r="B122" s="12">
        <v>742442670</v>
      </c>
      <c r="C122" s="18">
        <v>924386679.18431604</v>
      </c>
      <c r="D122" s="14">
        <f t="shared" ref="D122:D123" si="11">+B122/B110-1</f>
        <v>8.2613011755399146E-2</v>
      </c>
      <c r="E122" s="14">
        <f t="shared" ref="E122:E123" si="12">+C122/C121-1</f>
        <v>1.1986305781173323E-2</v>
      </c>
    </row>
    <row r="123" spans="1:11" x14ac:dyDescent="0.25">
      <c r="A123" s="16">
        <v>45717</v>
      </c>
      <c r="B123" s="12">
        <v>816446059</v>
      </c>
      <c r="C123" s="18">
        <v>951572476.01553404</v>
      </c>
      <c r="D123" s="14">
        <f t="shared" si="11"/>
        <v>0.15921768885594867</v>
      </c>
      <c r="E123" s="14">
        <f t="shared" si="12"/>
        <v>2.9409550617071734E-2</v>
      </c>
    </row>
    <row r="124" spans="1:11" x14ac:dyDescent="0.25">
      <c r="A124" s="16">
        <v>45748</v>
      </c>
      <c r="B124" s="12">
        <v>823045577</v>
      </c>
      <c r="C124" s="18">
        <v>960376596.69109797</v>
      </c>
      <c r="D124" s="14">
        <f t="shared" ref="D124" si="13">+B124/B112-1</f>
        <v>0.15228779497502809</v>
      </c>
      <c r="E124" s="14">
        <f t="shared" ref="E124" si="14">+C124/C123-1</f>
        <v>9.2521808873968769E-3</v>
      </c>
    </row>
    <row r="125" spans="1:11" x14ac:dyDescent="0.25">
      <c r="A125" s="16">
        <v>45778</v>
      </c>
      <c r="B125" s="12">
        <v>897871510</v>
      </c>
      <c r="C125" s="18">
        <v>971295566.08364999</v>
      </c>
      <c r="D125" s="14">
        <f t="shared" ref="D125" si="15">+B125/B113-1</f>
        <v>0.14067950056984468</v>
      </c>
      <c r="E125" s="14">
        <f t="shared" ref="E125" si="16">+C125/C124-1</f>
        <v>1.1369466342862289E-2</v>
      </c>
    </row>
    <row r="126" spans="1:11" x14ac:dyDescent="0.25">
      <c r="A126" s="16">
        <v>45809</v>
      </c>
      <c r="B126" s="12">
        <v>928598285</v>
      </c>
      <c r="C126" s="18">
        <v>969716249.56183195</v>
      </c>
      <c r="D126" s="14">
        <f t="shared" ref="D126" si="17">+B126/B114-1</f>
        <v>0.10345181981851437</v>
      </c>
      <c r="E126" s="14">
        <f t="shared" ref="E126" si="18">+C126/C125-1</f>
        <v>-1.6259896338104429E-3</v>
      </c>
      <c r="F126" s="14">
        <v>1.4682038337981984E-2</v>
      </c>
      <c r="G126" s="21">
        <v>6.6988666783227568E-3</v>
      </c>
      <c r="H126" s="14">
        <v>4.4488940030288138E-2</v>
      </c>
      <c r="I126" s="21">
        <v>7.5687501297960758E-3</v>
      </c>
      <c r="J126" s="14">
        <v>5.5616367915716891E-2</v>
      </c>
      <c r="K126" s="21">
        <v>-1.3351744238708441E-2</v>
      </c>
    </row>
    <row r="127" spans="1:11" x14ac:dyDescent="0.25">
      <c r="A127" s="16">
        <v>45839</v>
      </c>
      <c r="B127" s="12">
        <v>1013473640</v>
      </c>
      <c r="C127" s="18">
        <v>975054109.25322998</v>
      </c>
      <c r="D127" s="14">
        <f t="shared" ref="D127" si="19">+B127/B115-1</f>
        <v>7.7307483608127781E-2</v>
      </c>
      <c r="E127" s="14">
        <f t="shared" ref="E127" si="20">+C127/C126-1</f>
        <v>5.5045583631396777E-3</v>
      </c>
    </row>
    <row r="128" spans="1:11" x14ac:dyDescent="0.25">
      <c r="A128" s="16">
        <v>45870</v>
      </c>
      <c r="B128" s="12">
        <v>1090445698</v>
      </c>
      <c r="C128" s="18">
        <v>986011989.32984304</v>
      </c>
      <c r="D128" s="14">
        <f t="shared" ref="D128:D131" si="21">+B128/B116-1</f>
        <v>9.8354331363367686E-2</v>
      </c>
      <c r="E128" s="14">
        <f t="shared" ref="E128:E131" si="22">+C128/C127-1</f>
        <v>1.1238227676416246E-2</v>
      </c>
    </row>
    <row r="129" spans="1:12" x14ac:dyDescent="0.25">
      <c r="A129" s="16">
        <v>45901</v>
      </c>
      <c r="B129" s="12">
        <v>1115400793</v>
      </c>
      <c r="C129" s="18">
        <v>996310810.339625</v>
      </c>
      <c r="D129" s="14">
        <f t="shared" si="21"/>
        <v>9.8969538948712854E-2</v>
      </c>
      <c r="E129" s="14">
        <f t="shared" si="22"/>
        <v>1.0444924728330918E-2</v>
      </c>
    </row>
    <row r="130" spans="1:12" x14ac:dyDescent="0.25">
      <c r="A130" s="16">
        <v>45931</v>
      </c>
      <c r="B130" s="12">
        <v>1162323285</v>
      </c>
      <c r="C130" s="18">
        <v>1000994063.68679</v>
      </c>
      <c r="D130" s="14">
        <f t="shared" si="21"/>
        <v>9.431725541963365E-2</v>
      </c>
      <c r="E130" s="14">
        <f t="shared" si="22"/>
        <v>4.7005947326503872E-3</v>
      </c>
    </row>
    <row r="131" spans="1:12" x14ac:dyDescent="0.25">
      <c r="A131" s="16">
        <v>45962</v>
      </c>
      <c r="B131" s="12">
        <v>1101556184</v>
      </c>
      <c r="C131" s="12">
        <v>995117480.900473</v>
      </c>
      <c r="D131" s="14">
        <f t="shared" si="21"/>
        <v>8.1209976818646723E-2</v>
      </c>
      <c r="E131" s="14">
        <f t="shared" si="22"/>
        <v>-5.8707468900193183E-3</v>
      </c>
    </row>
    <row r="132" spans="1:12" x14ac:dyDescent="0.25">
      <c r="A132" s="16">
        <v>45992</v>
      </c>
      <c r="B132" s="12">
        <v>1045270610</v>
      </c>
      <c r="C132" s="12">
        <v>975193242.73931003</v>
      </c>
      <c r="D132" s="14">
        <f t="shared" ref="D132:D134" si="23">+B132/B120-1</f>
        <v>5.2099256012753781E-2</v>
      </c>
      <c r="E132" s="14">
        <f t="shared" ref="E132:E134" si="24">+C132/C131-1</f>
        <v>-2.0021995938744541E-2</v>
      </c>
    </row>
    <row r="133" spans="1:12" x14ac:dyDescent="0.25">
      <c r="A133" s="16">
        <v>46023</v>
      </c>
      <c r="B133" s="12">
        <v>965990074</v>
      </c>
      <c r="C133" s="12">
        <v>1000623444.45548</v>
      </c>
      <c r="D133" s="14">
        <f t="shared" si="23"/>
        <v>9.6821614923692678E-2</v>
      </c>
      <c r="E133" s="14">
        <f t="shared" si="24"/>
        <v>2.6077089751705751E-2</v>
      </c>
    </row>
    <row r="134" spans="1:12" x14ac:dyDescent="0.25">
      <c r="A134" s="16">
        <v>46054</v>
      </c>
      <c r="B134" s="12">
        <v>820787021</v>
      </c>
      <c r="C134" s="12">
        <v>1005089263.88529</v>
      </c>
      <c r="D134" s="14">
        <f t="shared" si="23"/>
        <v>0.10552242505135112</v>
      </c>
      <c r="E134" s="14">
        <f t="shared" si="24"/>
        <v>4.4630369741538445E-3</v>
      </c>
      <c r="F134" s="13">
        <v>1.5659010330212331E-2</v>
      </c>
      <c r="G134" s="12">
        <v>0.15921768863546371</v>
      </c>
      <c r="H134" s="13">
        <v>3.0378537860642707E-2</v>
      </c>
    </row>
    <row r="135" spans="1:12" x14ac:dyDescent="0.25">
      <c r="A135" s="16">
        <v>46082</v>
      </c>
      <c r="B135" s="12">
        <v>881137495</v>
      </c>
      <c r="C135" s="12">
        <v>1016135334.0109299</v>
      </c>
      <c r="D135" s="14">
        <f t="shared" ref="D135" si="25">+B135/B123-1</f>
        <v>7.9235407271406766E-2</v>
      </c>
      <c r="E135" s="14">
        <f>+C135/C134-1</f>
        <v>1.0990138411129724E-2</v>
      </c>
    </row>
    <row r="136" spans="1:12" x14ac:dyDescent="0.25">
      <c r="A136" s="16">
        <v>46113</v>
      </c>
      <c r="B136" s="12">
        <v>827262492</v>
      </c>
      <c r="C136" s="12">
        <v>965657360.41451299</v>
      </c>
      <c r="D136" s="14">
        <f t="shared" ref="D136" si="26">+B136/B124-1</f>
        <v>5.1235497982635714E-3</v>
      </c>
      <c r="E136" s="14">
        <f>+C136/C135-1</f>
        <v>-4.9676427840736781E-2</v>
      </c>
    </row>
    <row r="137" spans="1:12" x14ac:dyDescent="0.25">
      <c r="A137" s="16">
        <v>46143</v>
      </c>
      <c r="B137" s="12">
        <v>915582944</v>
      </c>
      <c r="C137" s="12">
        <v>989269156.27976298</v>
      </c>
      <c r="D137" s="14">
        <f>+B137/B125-1</f>
        <v>1.972602293617709E-2</v>
      </c>
      <c r="E137" s="14">
        <f>+C137/C136-1</f>
        <v>2.4451525803225405E-2</v>
      </c>
    </row>
    <row r="138" spans="1:12" x14ac:dyDescent="0.25">
      <c r="B138" s="14">
        <f>+AVERAGE(B133:B137)/AVERAGE(B121:B125)-1</f>
        <v>6.0145469793815964E-2</v>
      </c>
      <c r="C138" s="14">
        <f>+C137/C132-1</f>
        <v>1.4433973620360474E-2</v>
      </c>
    </row>
    <row r="140" spans="1:12" x14ac:dyDescent="0.25">
      <c r="E140" s="14">
        <v>5.5616367915716891E-2</v>
      </c>
      <c r="F140" s="14">
        <v>-1.6442795514503561E-2</v>
      </c>
      <c r="G140" s="14">
        <v>8.2613011755399146E-2</v>
      </c>
      <c r="H140" s="14">
        <v>1.5889827823297065E-2</v>
      </c>
      <c r="I140" s="14">
        <v>0.15921768885594867</v>
      </c>
      <c r="J140" s="14">
        <v>3.034481063743999E-2</v>
      </c>
      <c r="K140" s="14">
        <v>0.15228779497502809</v>
      </c>
      <c r="L140" s="14">
        <v>4.6065337449603394E-3</v>
      </c>
    </row>
    <row r="157" spans="4:15" x14ac:dyDescent="0.25">
      <c r="D157" s="14">
        <v>4.4488939917587622E-2</v>
      </c>
      <c r="E157" s="14">
        <v>9.8224261408670355E-3</v>
      </c>
      <c r="F157" s="14">
        <v>5.5616367915716891E-2</v>
      </c>
      <c r="G157" s="14">
        <v>-1.6028974142680008E-2</v>
      </c>
      <c r="H157" s="14">
        <v>8.2613011755399146E-2</v>
      </c>
      <c r="I157" s="14">
        <v>1.3557347123161811E-2</v>
      </c>
      <c r="J157" s="14">
        <v>0.15921768885594867</v>
      </c>
      <c r="K157" s="14">
        <v>3.4612439857975463E-2</v>
      </c>
      <c r="L157" s="14">
        <v>0.15228779497502809</v>
      </c>
      <c r="M157" s="14">
        <v>4.3329073156728182E-3</v>
      </c>
      <c r="N157" s="14">
        <v>0.14067950056984468</v>
      </c>
      <c r="O157" s="14">
        <v>1.1543659462084355E-2</v>
      </c>
    </row>
    <row r="165" spans="4:12" x14ac:dyDescent="0.25">
      <c r="E165" s="13">
        <v>0.15921768885594867</v>
      </c>
      <c r="F165" s="13">
        <v>3.4718500942370945E-2</v>
      </c>
      <c r="G165" s="13">
        <v>0.15228779497502809</v>
      </c>
      <c r="H165" s="13">
        <v>4.0392133216529125E-3</v>
      </c>
      <c r="I165" s="13">
        <v>0.14067950056984468</v>
      </c>
      <c r="J165" s="13">
        <v>1.1270678751616359E-2</v>
      </c>
      <c r="K165" s="13">
        <v>0.10345181981851437</v>
      </c>
      <c r="L165" s="13">
        <v>-8.9659785159756922E-4</v>
      </c>
    </row>
    <row r="176" spans="4:12" x14ac:dyDescent="0.25">
      <c r="D176" s="13">
        <v>0.15921768885594867</v>
      </c>
      <c r="E176" s="13">
        <v>0.15228779497502809</v>
      </c>
      <c r="F176" s="13">
        <v>0.14067950056984468</v>
      </c>
      <c r="G176" s="7">
        <v>0.10345181981851437</v>
      </c>
      <c r="H176" s="7">
        <v>7.7307483608127781E-2</v>
      </c>
    </row>
    <row r="177" spans="4:13" x14ac:dyDescent="0.25">
      <c r="D177" s="13">
        <v>3.4919127560387953E-2</v>
      </c>
      <c r="E177" s="13">
        <v>4.3582399455692755E-3</v>
      </c>
      <c r="F177" s="13">
        <v>1.0979550133116911E-2</v>
      </c>
      <c r="G177" s="7">
        <v>-8.7203192372842242E-4</v>
      </c>
      <c r="H177" s="7">
        <v>3.259986055860864E-3</v>
      </c>
    </row>
    <row r="181" spans="4:13" x14ac:dyDescent="0.25">
      <c r="D181" s="13">
        <v>0.15921768885594867</v>
      </c>
      <c r="E181" s="13">
        <v>3.4919127560387953E-2</v>
      </c>
      <c r="F181" s="13">
        <v>0.15228779497502809</v>
      </c>
      <c r="G181" s="13">
        <v>4.3582399455692755E-3</v>
      </c>
      <c r="H181" s="13">
        <v>0.14067950056984468</v>
      </c>
      <c r="I181" s="13">
        <v>1.0979550133116911E-2</v>
      </c>
      <c r="J181" s="13">
        <v>0.10345181981851437</v>
      </c>
      <c r="K181" s="13">
        <v>-8.7203192372842242E-4</v>
      </c>
      <c r="L181" s="13">
        <v>7.7307483608127781E-2</v>
      </c>
      <c r="M181" s="13">
        <v>3.259986055860864E-3</v>
      </c>
    </row>
    <row r="189" spans="4:13" x14ac:dyDescent="0.25">
      <c r="D189" s="13">
        <v>7.7307483608127781E-2</v>
      </c>
      <c r="E189" s="13">
        <v>5.6064897979664075E-3</v>
      </c>
      <c r="F189" s="13">
        <v>9.8354331363367686E-2</v>
      </c>
      <c r="G189" s="13">
        <v>1.182568853340471E-2</v>
      </c>
      <c r="H189" s="13">
        <v>9.8969538948712854E-2</v>
      </c>
      <c r="I189" s="13">
        <v>1.0363864831191671E-2</v>
      </c>
      <c r="J189" s="13">
        <v>9.431725541963365E-2</v>
      </c>
      <c r="K189" s="13">
        <v>4.9076040162996382E-3</v>
      </c>
    </row>
    <row r="199" spans="5:12" x14ac:dyDescent="0.25">
      <c r="E199" s="13">
        <v>9.8354331363367686E-2</v>
      </c>
      <c r="F199" s="13">
        <v>1.1720151139431589E-2</v>
      </c>
      <c r="G199" s="13">
        <v>9.8969538948712854E-2</v>
      </c>
      <c r="H199" s="13">
        <v>1.0197339106480463E-2</v>
      </c>
      <c r="I199" s="13">
        <v>9.431725541963365E-2</v>
      </c>
      <c r="J199" s="13">
        <v>4.7605213482122544E-3</v>
      </c>
      <c r="K199" s="13">
        <v>8.1209976818646723E-2</v>
      </c>
      <c r="L199" s="13">
        <v>-5.1093069112684297E-3</v>
      </c>
    </row>
    <row r="209" spans="4:14" x14ac:dyDescent="0.25">
      <c r="E209" s="14">
        <v>9.8969538948712854E-2</v>
      </c>
      <c r="F209" s="14">
        <v>1.0791765935728614E-2</v>
      </c>
      <c r="G209" s="14">
        <v>9.431725541963365E-2</v>
      </c>
      <c r="H209" s="14">
        <v>4.8913523812070814E-3</v>
      </c>
      <c r="I209" s="14">
        <v>8.1209976818646723E-2</v>
      </c>
      <c r="J209" s="14">
        <v>-5.4738361344990327E-3</v>
      </c>
      <c r="K209" s="14">
        <v>5.2099256012753781E-2</v>
      </c>
      <c r="L209" s="14">
        <v>-2.0489484089638244E-2</v>
      </c>
      <c r="M209" s="14">
        <v>9.6821614923692678E-2</v>
      </c>
      <c r="N209" s="14">
        <v>2.6244792357128954E-2</v>
      </c>
    </row>
    <row r="219" spans="4:14" x14ac:dyDescent="0.25">
      <c r="D219" s="13">
        <v>8.1209976818646723E-2</v>
      </c>
      <c r="E219" s="13">
        <v>-5.3577386887001532E-3</v>
      </c>
      <c r="F219" s="13">
        <v>5.2099256012753781E-2</v>
      </c>
      <c r="G219" s="13">
        <v>-1.9886581728656649E-2</v>
      </c>
      <c r="H219" s="13">
        <v>9.6821614923692678E-2</v>
      </c>
      <c r="I219" s="13">
        <v>2.5799698383309977E-2</v>
      </c>
      <c r="J219" s="13">
        <v>0.10552242505135112</v>
      </c>
      <c r="K219" s="13">
        <v>5.5294077167675759E-3</v>
      </c>
    </row>
    <row r="231" spans="5:12" x14ac:dyDescent="0.25">
      <c r="E231" s="14">
        <v>9.6821614923692678E-2</v>
      </c>
      <c r="F231" s="14">
        <v>2.5935762984314659E-2</v>
      </c>
      <c r="G231" s="14">
        <v>0.10552242505135112</v>
      </c>
      <c r="H231" s="14">
        <v>3.7271417548199182E-3</v>
      </c>
      <c r="I231" s="14">
        <v>7.9235407271406766E-2</v>
      </c>
      <c r="J231" s="14">
        <v>1.4128926075554826E-2</v>
      </c>
      <c r="K231" s="14">
        <v>5.1235497982635714E-3</v>
      </c>
      <c r="L231" s="14">
        <v>-4.641689157032769E-2</v>
      </c>
    </row>
    <row r="243" spans="5:12" x14ac:dyDescent="0.25">
      <c r="E243" s="13">
        <v>0.10552242505135112</v>
      </c>
      <c r="F243" s="13">
        <v>4.4630369741538445E-3</v>
      </c>
      <c r="G243" s="13">
        <v>7.9235407271406766E-2</v>
      </c>
      <c r="H243" s="13">
        <v>1.0990138411129724E-2</v>
      </c>
      <c r="I243" s="13">
        <v>5.1235497982635714E-3</v>
      </c>
      <c r="J243" s="13">
        <v>-4.9676427840736781E-2</v>
      </c>
      <c r="K243" s="13">
        <v>1.972602293617709E-2</v>
      </c>
      <c r="L243" s="13">
        <v>2.4451525803225405E-2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1B65-DADC-46B5-89DB-90AD39EF2F33}">
  <dimension ref="A1:C138"/>
  <sheetViews>
    <sheetView topLeftCell="A120" workbookViewId="0">
      <selection activeCell="C138" sqref="C2:C138"/>
    </sheetView>
  </sheetViews>
  <sheetFormatPr baseColWidth="10" defaultRowHeight="15" x14ac:dyDescent="0.25"/>
  <cols>
    <col min="1" max="2" width="11.5703125" bestFit="1" customWidth="1"/>
    <col min="3" max="3" width="16.42578125" bestFit="1" customWidth="1"/>
  </cols>
  <sheetData>
    <row r="1" spans="1:3" x14ac:dyDescent="0.25">
      <c r="A1" s="9" t="s">
        <v>6</v>
      </c>
      <c r="B1" s="9" t="s">
        <v>7</v>
      </c>
      <c r="C1" s="9" t="s">
        <v>8</v>
      </c>
    </row>
    <row r="2" spans="1:3" x14ac:dyDescent="0.25">
      <c r="A2" s="10">
        <v>2015</v>
      </c>
      <c r="B2" s="10">
        <v>1</v>
      </c>
      <c r="C2" s="10">
        <v>993937283.61444998</v>
      </c>
    </row>
    <row r="3" spans="1:3" x14ac:dyDescent="0.25">
      <c r="A3" s="10">
        <v>2015</v>
      </c>
      <c r="B3" s="10">
        <v>2</v>
      </c>
      <c r="C3" s="10">
        <v>909816074.02528298</v>
      </c>
    </row>
    <row r="4" spans="1:3" x14ac:dyDescent="0.25">
      <c r="A4" s="10">
        <v>2015</v>
      </c>
      <c r="B4" s="10">
        <v>3</v>
      </c>
      <c r="C4" s="10">
        <v>970449645.65129495</v>
      </c>
    </row>
    <row r="5" spans="1:3" x14ac:dyDescent="0.25">
      <c r="A5" s="10">
        <v>2015</v>
      </c>
      <c r="B5" s="10">
        <v>4</v>
      </c>
      <c r="C5" s="10">
        <v>1002610808.40279</v>
      </c>
    </row>
    <row r="6" spans="1:3" x14ac:dyDescent="0.25">
      <c r="A6" s="10">
        <v>2015</v>
      </c>
      <c r="B6" s="10">
        <v>5</v>
      </c>
      <c r="C6" s="10">
        <v>1014389135.3765</v>
      </c>
    </row>
    <row r="7" spans="1:3" x14ac:dyDescent="0.25">
      <c r="A7" s="10">
        <v>2015</v>
      </c>
      <c r="B7" s="10">
        <v>6</v>
      </c>
      <c r="C7" s="10">
        <v>1028910038.8872401</v>
      </c>
    </row>
    <row r="8" spans="1:3" x14ac:dyDescent="0.25">
      <c r="A8" s="10">
        <v>2015</v>
      </c>
      <c r="B8" s="10">
        <v>7</v>
      </c>
      <c r="C8" s="10">
        <v>1030048247.88755</v>
      </c>
    </row>
    <row r="9" spans="1:3" x14ac:dyDescent="0.25">
      <c r="A9" s="10">
        <v>2015</v>
      </c>
      <c r="B9" s="10">
        <v>8</v>
      </c>
      <c r="C9" s="10">
        <v>1007927574.40482</v>
      </c>
    </row>
    <row r="10" spans="1:3" x14ac:dyDescent="0.25">
      <c r="A10" s="10">
        <v>2015</v>
      </c>
      <c r="B10" s="10">
        <v>9</v>
      </c>
      <c r="C10" s="10">
        <v>1038665093.52824</v>
      </c>
    </row>
    <row r="11" spans="1:3" x14ac:dyDescent="0.25">
      <c r="A11" s="10">
        <v>2015</v>
      </c>
      <c r="B11" s="10">
        <v>10</v>
      </c>
      <c r="C11" s="10">
        <v>1037700152.0507801</v>
      </c>
    </row>
    <row r="12" spans="1:3" x14ac:dyDescent="0.25">
      <c r="A12" s="10">
        <v>2015</v>
      </c>
      <c r="B12" s="10">
        <v>11</v>
      </c>
      <c r="C12" s="10">
        <v>1024833773.2755001</v>
      </c>
    </row>
    <row r="13" spans="1:3" x14ac:dyDescent="0.25">
      <c r="A13" s="10">
        <v>2015</v>
      </c>
      <c r="B13" s="10">
        <v>12</v>
      </c>
      <c r="C13" s="10">
        <v>1007439308.81069</v>
      </c>
    </row>
    <row r="14" spans="1:3" x14ac:dyDescent="0.25">
      <c r="A14" s="10">
        <v>2016</v>
      </c>
      <c r="B14" s="10">
        <v>1</v>
      </c>
      <c r="C14" s="10">
        <v>925670591.81437194</v>
      </c>
    </row>
    <row r="15" spans="1:3" x14ac:dyDescent="0.25">
      <c r="A15" s="10">
        <v>2016</v>
      </c>
      <c r="B15" s="10">
        <v>2</v>
      </c>
      <c r="C15" s="10">
        <v>919275975.40355802</v>
      </c>
    </row>
    <row r="16" spans="1:3" x14ac:dyDescent="0.25">
      <c r="A16" s="10">
        <v>2016</v>
      </c>
      <c r="B16" s="10">
        <v>3</v>
      </c>
      <c r="C16" s="10">
        <v>919833976.77233505</v>
      </c>
    </row>
    <row r="17" spans="1:3" x14ac:dyDescent="0.25">
      <c r="A17" s="10">
        <v>2016</v>
      </c>
      <c r="B17" s="10">
        <v>4</v>
      </c>
      <c r="C17" s="10">
        <v>819210276.46571505</v>
      </c>
    </row>
    <row r="18" spans="1:3" x14ac:dyDescent="0.25">
      <c r="A18" s="10">
        <v>2016</v>
      </c>
      <c r="B18" s="10">
        <v>5</v>
      </c>
      <c r="C18" s="10">
        <v>806326803.333992</v>
      </c>
    </row>
    <row r="19" spans="1:3" x14ac:dyDescent="0.25">
      <c r="A19" s="10">
        <v>2016</v>
      </c>
      <c r="B19" s="10">
        <v>6</v>
      </c>
      <c r="C19" s="10">
        <v>818954965.93672597</v>
      </c>
    </row>
    <row r="20" spans="1:3" x14ac:dyDescent="0.25">
      <c r="A20" s="10">
        <v>2016</v>
      </c>
      <c r="B20" s="10">
        <v>7</v>
      </c>
      <c r="C20" s="10">
        <v>819262982.75813901</v>
      </c>
    </row>
    <row r="21" spans="1:3" x14ac:dyDescent="0.25">
      <c r="A21" s="10">
        <v>2016</v>
      </c>
      <c r="B21" s="10">
        <v>8</v>
      </c>
      <c r="C21" s="10">
        <v>851896107.06191397</v>
      </c>
    </row>
    <row r="22" spans="1:3" x14ac:dyDescent="0.25">
      <c r="A22" s="10">
        <v>2016</v>
      </c>
      <c r="B22" s="10">
        <v>9</v>
      </c>
      <c r="C22" s="10">
        <v>866364754.167822</v>
      </c>
    </row>
    <row r="23" spans="1:3" x14ac:dyDescent="0.25">
      <c r="A23" s="10">
        <v>2016</v>
      </c>
      <c r="B23" s="10">
        <v>10</v>
      </c>
      <c r="C23" s="10">
        <v>847989172.92116702</v>
      </c>
    </row>
    <row r="24" spans="1:3" x14ac:dyDescent="0.25">
      <c r="A24" s="10">
        <v>2016</v>
      </c>
      <c r="B24" s="10">
        <v>11</v>
      </c>
      <c r="C24" s="10">
        <v>831459382.70266604</v>
      </c>
    </row>
    <row r="25" spans="1:3" x14ac:dyDescent="0.25">
      <c r="A25" s="10">
        <v>2016</v>
      </c>
      <c r="B25" s="10">
        <v>12</v>
      </c>
      <c r="C25" s="10">
        <v>850421149.12063503</v>
      </c>
    </row>
    <row r="26" spans="1:3" x14ac:dyDescent="0.25">
      <c r="A26" s="10">
        <v>2017</v>
      </c>
      <c r="B26" s="10">
        <v>1</v>
      </c>
      <c r="C26" s="10">
        <v>833413046.24509501</v>
      </c>
    </row>
    <row r="27" spans="1:3" x14ac:dyDescent="0.25">
      <c r="A27" s="10">
        <v>2017</v>
      </c>
      <c r="B27" s="10">
        <v>2</v>
      </c>
      <c r="C27" s="10">
        <v>842452266.09847701</v>
      </c>
    </row>
    <row r="28" spans="1:3" x14ac:dyDescent="0.25">
      <c r="A28" s="10">
        <v>2017</v>
      </c>
      <c r="B28" s="10">
        <v>3</v>
      </c>
      <c r="C28" s="10">
        <v>838128500.23629904</v>
      </c>
    </row>
    <row r="29" spans="1:3" x14ac:dyDescent="0.25">
      <c r="A29" s="10">
        <v>2017</v>
      </c>
      <c r="B29" s="10">
        <v>4</v>
      </c>
      <c r="C29" s="10">
        <v>832527346.10065699</v>
      </c>
    </row>
    <row r="30" spans="1:3" x14ac:dyDescent="0.25">
      <c r="A30" s="10">
        <v>2017</v>
      </c>
      <c r="B30" s="10">
        <v>5</v>
      </c>
      <c r="C30" s="10">
        <v>847759261.80181801</v>
      </c>
    </row>
    <row r="31" spans="1:3" x14ac:dyDescent="0.25">
      <c r="A31" s="10">
        <v>2017</v>
      </c>
      <c r="B31" s="10">
        <v>6</v>
      </c>
      <c r="C31" s="10">
        <v>840368180.81600595</v>
      </c>
    </row>
    <row r="32" spans="1:3" x14ac:dyDescent="0.25">
      <c r="A32" s="10">
        <v>2017</v>
      </c>
      <c r="B32" s="10">
        <v>7</v>
      </c>
      <c r="C32" s="10">
        <v>838083162.98619199</v>
      </c>
    </row>
    <row r="33" spans="1:3" x14ac:dyDescent="0.25">
      <c r="A33" s="10">
        <v>2017</v>
      </c>
      <c r="B33" s="10">
        <v>8</v>
      </c>
      <c r="C33" s="10">
        <v>826138596.482916</v>
      </c>
    </row>
    <row r="34" spans="1:3" x14ac:dyDescent="0.25">
      <c r="A34" s="10">
        <v>2017</v>
      </c>
      <c r="B34" s="10">
        <v>9</v>
      </c>
      <c r="C34" s="10">
        <v>829245864.79861701</v>
      </c>
    </row>
    <row r="35" spans="1:3" x14ac:dyDescent="0.25">
      <c r="A35" s="10">
        <v>2017</v>
      </c>
      <c r="B35" s="10">
        <v>10</v>
      </c>
      <c r="C35" s="10">
        <v>838943740.29766405</v>
      </c>
    </row>
    <row r="36" spans="1:3" x14ac:dyDescent="0.25">
      <c r="A36" s="10">
        <v>2017</v>
      </c>
      <c r="B36" s="10">
        <v>11</v>
      </c>
      <c r="C36" s="10">
        <v>865838565.49224198</v>
      </c>
    </row>
    <row r="37" spans="1:3" x14ac:dyDescent="0.25">
      <c r="A37" s="10">
        <v>2017</v>
      </c>
      <c r="B37" s="10">
        <v>12</v>
      </c>
      <c r="C37" s="10">
        <v>869706653.85693896</v>
      </c>
    </row>
    <row r="38" spans="1:3" x14ac:dyDescent="0.25">
      <c r="A38" s="10">
        <v>2018</v>
      </c>
      <c r="B38" s="10">
        <v>1</v>
      </c>
      <c r="C38" s="10">
        <v>907404367.74115002</v>
      </c>
    </row>
    <row r="39" spans="1:3" x14ac:dyDescent="0.25">
      <c r="A39" s="10">
        <v>2018</v>
      </c>
      <c r="B39" s="10">
        <v>2</v>
      </c>
      <c r="C39" s="10">
        <v>900508616.83394504</v>
      </c>
    </row>
    <row r="40" spans="1:3" x14ac:dyDescent="0.25">
      <c r="A40" s="10">
        <v>2018</v>
      </c>
      <c r="B40" s="10">
        <v>3</v>
      </c>
      <c r="C40" s="10">
        <v>917194003.43867397</v>
      </c>
    </row>
    <row r="41" spans="1:3" x14ac:dyDescent="0.25">
      <c r="A41" s="10">
        <v>2018</v>
      </c>
      <c r="B41" s="10">
        <v>4</v>
      </c>
      <c r="C41" s="10">
        <v>898900133.53275001</v>
      </c>
    </row>
    <row r="42" spans="1:3" x14ac:dyDescent="0.25">
      <c r="A42" s="10">
        <v>2018</v>
      </c>
      <c r="B42" s="10">
        <v>5</v>
      </c>
      <c r="C42" s="10">
        <v>862450583.58744097</v>
      </c>
    </row>
    <row r="43" spans="1:3" x14ac:dyDescent="0.25">
      <c r="A43" s="10">
        <v>2018</v>
      </c>
      <c r="B43" s="10">
        <v>6</v>
      </c>
      <c r="C43" s="10">
        <v>878135416.11149204</v>
      </c>
    </row>
    <row r="44" spans="1:3" x14ac:dyDescent="0.25">
      <c r="A44" s="10">
        <v>2018</v>
      </c>
      <c r="B44" s="10">
        <v>7</v>
      </c>
      <c r="C44" s="10">
        <v>871140399.02055204</v>
      </c>
    </row>
    <row r="45" spans="1:3" x14ac:dyDescent="0.25">
      <c r="A45" s="10">
        <v>2018</v>
      </c>
      <c r="B45" s="10">
        <v>8</v>
      </c>
      <c r="C45" s="10">
        <v>862409962.53895998</v>
      </c>
    </row>
    <row r="46" spans="1:3" x14ac:dyDescent="0.25">
      <c r="A46" s="10">
        <v>2018</v>
      </c>
      <c r="B46" s="10">
        <v>9</v>
      </c>
      <c r="C46" s="10">
        <v>865862340.77640903</v>
      </c>
    </row>
    <row r="47" spans="1:3" x14ac:dyDescent="0.25">
      <c r="A47" s="10">
        <v>2018</v>
      </c>
      <c r="B47" s="10">
        <v>10</v>
      </c>
      <c r="C47" s="10">
        <v>863036472.75095999</v>
      </c>
    </row>
    <row r="48" spans="1:3" x14ac:dyDescent="0.25">
      <c r="A48" s="10">
        <v>2018</v>
      </c>
      <c r="B48" s="10">
        <v>11</v>
      </c>
      <c r="C48" s="10">
        <v>855439819.48690403</v>
      </c>
    </row>
    <row r="49" spans="1:3" x14ac:dyDescent="0.25">
      <c r="A49" s="10">
        <v>2018</v>
      </c>
      <c r="B49" s="10">
        <v>12</v>
      </c>
      <c r="C49" s="10">
        <v>849006469.06905997</v>
      </c>
    </row>
    <row r="50" spans="1:3" x14ac:dyDescent="0.25">
      <c r="A50" s="10">
        <v>2019</v>
      </c>
      <c r="B50" s="10">
        <v>1</v>
      </c>
      <c r="C50" s="10">
        <v>842705325.83980203</v>
      </c>
    </row>
    <row r="51" spans="1:3" x14ac:dyDescent="0.25">
      <c r="A51" s="10">
        <v>2019</v>
      </c>
      <c r="B51" s="10">
        <v>2</v>
      </c>
      <c r="C51" s="10">
        <v>826242577.534531</v>
      </c>
    </row>
    <row r="52" spans="1:3" x14ac:dyDescent="0.25">
      <c r="A52" s="10">
        <v>2019</v>
      </c>
      <c r="B52" s="10">
        <v>3</v>
      </c>
      <c r="C52" s="10">
        <v>855268179.42932105</v>
      </c>
    </row>
    <row r="53" spans="1:3" x14ac:dyDescent="0.25">
      <c r="A53" s="10">
        <v>2019</v>
      </c>
      <c r="B53" s="10">
        <v>4</v>
      </c>
      <c r="C53" s="10">
        <v>862259327.82156503</v>
      </c>
    </row>
    <row r="54" spans="1:3" x14ac:dyDescent="0.25">
      <c r="A54" s="10">
        <v>2019</v>
      </c>
      <c r="B54" s="10">
        <v>5</v>
      </c>
      <c r="C54" s="10">
        <v>848054795.64987803</v>
      </c>
    </row>
    <row r="55" spans="1:3" x14ac:dyDescent="0.25">
      <c r="A55" s="10">
        <v>2019</v>
      </c>
      <c r="B55" s="10">
        <v>6</v>
      </c>
      <c r="C55" s="10">
        <v>852089906.08036101</v>
      </c>
    </row>
    <row r="56" spans="1:3" x14ac:dyDescent="0.25">
      <c r="A56" s="10">
        <v>2019</v>
      </c>
      <c r="B56" s="10">
        <v>7</v>
      </c>
      <c r="C56" s="10">
        <v>869663383.60997903</v>
      </c>
    </row>
    <row r="57" spans="1:3" x14ac:dyDescent="0.25">
      <c r="A57" s="10">
        <v>2019</v>
      </c>
      <c r="B57" s="10">
        <v>8</v>
      </c>
      <c r="C57" s="10">
        <v>880351695.80821395</v>
      </c>
    </row>
    <row r="58" spans="1:3" x14ac:dyDescent="0.25">
      <c r="A58" s="10">
        <v>2019</v>
      </c>
      <c r="B58" s="10">
        <v>9</v>
      </c>
      <c r="C58" s="10">
        <v>879840593.70683098</v>
      </c>
    </row>
    <row r="59" spans="1:3" x14ac:dyDescent="0.25">
      <c r="A59" s="10">
        <v>2019</v>
      </c>
      <c r="B59" s="10">
        <v>10</v>
      </c>
      <c r="C59" s="10">
        <v>873950949.23972297</v>
      </c>
    </row>
    <row r="60" spans="1:3" x14ac:dyDescent="0.25">
      <c r="A60" s="10">
        <v>2019</v>
      </c>
      <c r="B60" s="10">
        <v>11</v>
      </c>
      <c r="C60" s="10">
        <v>871130532.64502501</v>
      </c>
    </row>
    <row r="61" spans="1:3" x14ac:dyDescent="0.25">
      <c r="A61" s="10">
        <v>2019</v>
      </c>
      <c r="B61" s="10">
        <v>12</v>
      </c>
      <c r="C61" s="10">
        <v>880667872.36986005</v>
      </c>
    </row>
    <row r="62" spans="1:3" x14ac:dyDescent="0.25">
      <c r="A62" s="10">
        <v>2020</v>
      </c>
      <c r="B62" s="10">
        <v>1</v>
      </c>
      <c r="C62" s="10">
        <v>886970753.89033902</v>
      </c>
    </row>
    <row r="63" spans="1:3" x14ac:dyDescent="0.25">
      <c r="A63" s="10">
        <v>2020</v>
      </c>
      <c r="B63" s="10">
        <v>2</v>
      </c>
      <c r="C63" s="10">
        <v>908082871.23834503</v>
      </c>
    </row>
    <row r="64" spans="1:3" x14ac:dyDescent="0.25">
      <c r="A64" s="10">
        <v>2020</v>
      </c>
      <c r="B64" s="10">
        <v>3</v>
      </c>
      <c r="C64" s="10">
        <v>909037111.51841795</v>
      </c>
    </row>
    <row r="65" spans="1:3" x14ac:dyDescent="0.25">
      <c r="A65" s="10">
        <v>2020</v>
      </c>
      <c r="B65" s="10">
        <v>4</v>
      </c>
      <c r="C65" s="10">
        <v>921361098.94182599</v>
      </c>
    </row>
    <row r="66" spans="1:3" x14ac:dyDescent="0.25">
      <c r="A66" s="10">
        <v>2020</v>
      </c>
      <c r="B66" s="10">
        <v>5</v>
      </c>
      <c r="C66" s="10">
        <v>932953951.29926097</v>
      </c>
    </row>
    <row r="67" spans="1:3" x14ac:dyDescent="0.25">
      <c r="A67" s="10">
        <v>2020</v>
      </c>
      <c r="B67" s="10">
        <v>6</v>
      </c>
      <c r="C67" s="10">
        <v>939235163.51847899</v>
      </c>
    </row>
    <row r="68" spans="1:3" x14ac:dyDescent="0.25">
      <c r="A68" s="10">
        <v>2020</v>
      </c>
      <c r="B68" s="10">
        <v>7</v>
      </c>
      <c r="C68" s="10">
        <v>934910006.76236999</v>
      </c>
    </row>
    <row r="69" spans="1:3" x14ac:dyDescent="0.25">
      <c r="A69" s="10">
        <v>2020</v>
      </c>
      <c r="B69" s="10">
        <v>8</v>
      </c>
      <c r="C69" s="10">
        <v>926124468.70216</v>
      </c>
    </row>
    <row r="70" spans="1:3" x14ac:dyDescent="0.25">
      <c r="A70" s="10">
        <v>2020</v>
      </c>
      <c r="B70" s="10">
        <v>9</v>
      </c>
      <c r="C70" s="10">
        <v>916132540.88160706</v>
      </c>
    </row>
    <row r="71" spans="1:3" x14ac:dyDescent="0.25">
      <c r="A71" s="10">
        <v>2020</v>
      </c>
      <c r="B71" s="10">
        <v>10</v>
      </c>
      <c r="C71" s="10">
        <v>932116949.91911399</v>
      </c>
    </row>
    <row r="72" spans="1:3" x14ac:dyDescent="0.25">
      <c r="A72" s="10">
        <v>2020</v>
      </c>
      <c r="B72" s="10">
        <v>11</v>
      </c>
      <c r="C72" s="10">
        <v>936186828.48742902</v>
      </c>
    </row>
    <row r="73" spans="1:3" x14ac:dyDescent="0.25">
      <c r="A73" s="10">
        <v>2020</v>
      </c>
      <c r="B73" s="10">
        <v>12</v>
      </c>
      <c r="C73" s="10">
        <v>948058871.15212595</v>
      </c>
    </row>
    <row r="74" spans="1:3" x14ac:dyDescent="0.25">
      <c r="A74" s="10">
        <v>2021</v>
      </c>
      <c r="B74" s="10">
        <v>1</v>
      </c>
      <c r="C74" s="10">
        <v>952285774.60579002</v>
      </c>
    </row>
    <row r="75" spans="1:3" x14ac:dyDescent="0.25">
      <c r="A75" s="10">
        <v>2021</v>
      </c>
      <c r="B75" s="10">
        <v>2</v>
      </c>
      <c r="C75" s="10">
        <v>948995423.34817696</v>
      </c>
    </row>
    <row r="76" spans="1:3" x14ac:dyDescent="0.25">
      <c r="A76" s="10">
        <v>2021</v>
      </c>
      <c r="B76" s="10">
        <v>3</v>
      </c>
      <c r="C76" s="10">
        <v>951047285.61623502</v>
      </c>
    </row>
    <row r="77" spans="1:3" x14ac:dyDescent="0.25">
      <c r="A77" s="10">
        <v>2021</v>
      </c>
      <c r="B77" s="10">
        <v>4</v>
      </c>
      <c r="C77" s="10">
        <v>951213923.594908</v>
      </c>
    </row>
    <row r="78" spans="1:3" x14ac:dyDescent="0.25">
      <c r="A78" s="10">
        <v>2021</v>
      </c>
      <c r="B78" s="10">
        <v>5</v>
      </c>
      <c r="C78" s="10">
        <v>964336200.46031296</v>
      </c>
    </row>
    <row r="79" spans="1:3" x14ac:dyDescent="0.25">
      <c r="A79" s="10">
        <v>2021</v>
      </c>
      <c r="B79" s="10">
        <v>6</v>
      </c>
      <c r="C79" s="10">
        <v>965136215.16125</v>
      </c>
    </row>
    <row r="80" spans="1:3" x14ac:dyDescent="0.25">
      <c r="A80" s="10">
        <v>2021</v>
      </c>
      <c r="B80" s="10">
        <v>7</v>
      </c>
      <c r="C80" s="10">
        <v>966236439.68282294</v>
      </c>
    </row>
    <row r="81" spans="1:3" x14ac:dyDescent="0.25">
      <c r="A81" s="10">
        <v>2021</v>
      </c>
      <c r="B81" s="10">
        <v>8</v>
      </c>
      <c r="C81" s="10">
        <v>962250634.94274604</v>
      </c>
    </row>
    <row r="82" spans="1:3" x14ac:dyDescent="0.25">
      <c r="A82" s="10">
        <v>2021</v>
      </c>
      <c r="B82" s="10">
        <v>9</v>
      </c>
      <c r="C82" s="10">
        <v>961875641.95062804</v>
      </c>
    </row>
    <row r="83" spans="1:3" x14ac:dyDescent="0.25">
      <c r="A83" s="10">
        <v>2021</v>
      </c>
      <c r="B83" s="10">
        <v>10</v>
      </c>
      <c r="C83" s="10">
        <v>966888697.16657805</v>
      </c>
    </row>
    <row r="84" spans="1:3" x14ac:dyDescent="0.25">
      <c r="A84" s="10">
        <v>2021</v>
      </c>
      <c r="B84" s="10">
        <v>11</v>
      </c>
      <c r="C84" s="10">
        <v>979239189.20456302</v>
      </c>
    </row>
    <row r="85" spans="1:3" x14ac:dyDescent="0.25">
      <c r="A85" s="10">
        <v>2021</v>
      </c>
      <c r="B85" s="10">
        <v>12</v>
      </c>
      <c r="C85" s="10">
        <v>979958568.812868</v>
      </c>
    </row>
    <row r="86" spans="1:3" x14ac:dyDescent="0.25">
      <c r="A86" s="10">
        <v>2022</v>
      </c>
      <c r="B86" s="10">
        <v>1</v>
      </c>
      <c r="C86" s="10">
        <v>945158826.27876306</v>
      </c>
    </row>
    <row r="87" spans="1:3" x14ac:dyDescent="0.25">
      <c r="A87" s="10">
        <v>2022</v>
      </c>
      <c r="B87" s="10">
        <v>2</v>
      </c>
      <c r="C87" s="10">
        <v>982588806.46942496</v>
      </c>
    </row>
    <row r="88" spans="1:3" x14ac:dyDescent="0.25">
      <c r="A88" s="10">
        <v>2022</v>
      </c>
      <c r="B88" s="10">
        <v>3</v>
      </c>
      <c r="C88" s="10">
        <v>978145908.68492198</v>
      </c>
    </row>
    <row r="89" spans="1:3" x14ac:dyDescent="0.25">
      <c r="A89" s="10">
        <v>2022</v>
      </c>
      <c r="B89" s="10">
        <v>4</v>
      </c>
      <c r="C89" s="10">
        <v>969291791.54840004</v>
      </c>
    </row>
    <row r="90" spans="1:3" x14ac:dyDescent="0.25">
      <c r="A90" s="10">
        <v>2022</v>
      </c>
      <c r="B90" s="10">
        <v>5</v>
      </c>
      <c r="C90" s="10">
        <v>970430710.83907795</v>
      </c>
    </row>
    <row r="91" spans="1:3" x14ac:dyDescent="0.25">
      <c r="A91" s="10">
        <v>2022</v>
      </c>
      <c r="B91" s="10">
        <v>6</v>
      </c>
      <c r="C91" s="10">
        <v>957537590.85333097</v>
      </c>
    </row>
    <row r="92" spans="1:3" x14ac:dyDescent="0.25">
      <c r="A92" s="10">
        <v>2022</v>
      </c>
      <c r="B92" s="10">
        <v>7</v>
      </c>
      <c r="C92" s="10">
        <v>953692069.08506405</v>
      </c>
    </row>
    <row r="93" spans="1:3" x14ac:dyDescent="0.25">
      <c r="A93" s="10">
        <v>2022</v>
      </c>
      <c r="B93" s="10">
        <v>8</v>
      </c>
      <c r="C93" s="10">
        <v>965915149.40146101</v>
      </c>
    </row>
    <row r="94" spans="1:3" x14ac:dyDescent="0.25">
      <c r="A94" s="10">
        <v>2022</v>
      </c>
      <c r="B94" s="10">
        <v>9</v>
      </c>
      <c r="C94" s="10">
        <v>963398620.14506495</v>
      </c>
    </row>
    <row r="95" spans="1:3" x14ac:dyDescent="0.25">
      <c r="A95" s="10">
        <v>2022</v>
      </c>
      <c r="B95" s="10">
        <v>10</v>
      </c>
      <c r="C95" s="10">
        <v>961730353.41254401</v>
      </c>
    </row>
    <row r="96" spans="1:3" x14ac:dyDescent="0.25">
      <c r="A96" s="10">
        <v>2022</v>
      </c>
      <c r="B96" s="10">
        <v>11</v>
      </c>
      <c r="C96" s="10">
        <v>943804064.65177798</v>
      </c>
    </row>
    <row r="97" spans="1:3" x14ac:dyDescent="0.25">
      <c r="A97" s="10">
        <v>2022</v>
      </c>
      <c r="B97" s="10">
        <v>12</v>
      </c>
      <c r="C97" s="10">
        <v>960764670.71457005</v>
      </c>
    </row>
    <row r="98" spans="1:3" x14ac:dyDescent="0.25">
      <c r="A98" s="10">
        <v>2023</v>
      </c>
      <c r="B98" s="10">
        <v>1</v>
      </c>
      <c r="C98" s="10">
        <v>980607640.60565698</v>
      </c>
    </row>
    <row r="99" spans="1:3" x14ac:dyDescent="0.25">
      <c r="A99" s="10">
        <v>2023</v>
      </c>
      <c r="B99" s="10">
        <v>2</v>
      </c>
      <c r="C99" s="10">
        <v>978003523.16776001</v>
      </c>
    </row>
    <row r="100" spans="1:3" x14ac:dyDescent="0.25">
      <c r="A100" s="10">
        <v>2023</v>
      </c>
      <c r="B100" s="10">
        <v>3</v>
      </c>
      <c r="C100" s="10">
        <v>955980723.68867004</v>
      </c>
    </row>
    <row r="101" spans="1:3" x14ac:dyDescent="0.25">
      <c r="A101" s="10">
        <v>2023</v>
      </c>
      <c r="B101" s="10">
        <v>4</v>
      </c>
      <c r="C101" s="10">
        <v>986226162.01640105</v>
      </c>
    </row>
    <row r="102" spans="1:3" x14ac:dyDescent="0.25">
      <c r="A102" s="10">
        <v>2023</v>
      </c>
      <c r="B102" s="10">
        <v>5</v>
      </c>
      <c r="C102" s="10">
        <v>951560251.89111495</v>
      </c>
    </row>
    <row r="103" spans="1:3" x14ac:dyDescent="0.25">
      <c r="A103" s="10">
        <v>2023</v>
      </c>
      <c r="B103" s="10">
        <v>6</v>
      </c>
      <c r="C103" s="10">
        <v>948761389.68656301</v>
      </c>
    </row>
    <row r="104" spans="1:3" x14ac:dyDescent="0.25">
      <c r="A104" s="10">
        <v>2023</v>
      </c>
      <c r="B104" s="10">
        <v>7</v>
      </c>
      <c r="C104" s="10">
        <v>950826432.26968598</v>
      </c>
    </row>
    <row r="105" spans="1:3" x14ac:dyDescent="0.25">
      <c r="A105" s="10">
        <v>2023</v>
      </c>
      <c r="B105" s="10">
        <v>8</v>
      </c>
      <c r="C105" s="10">
        <v>958854212.854617</v>
      </c>
    </row>
    <row r="106" spans="1:3" x14ac:dyDescent="0.25">
      <c r="A106" s="10">
        <v>2023</v>
      </c>
      <c r="B106" s="10">
        <v>9</v>
      </c>
      <c r="C106" s="10">
        <v>920552611.59684801</v>
      </c>
    </row>
    <row r="107" spans="1:3" x14ac:dyDescent="0.25">
      <c r="A107" s="10">
        <v>2023</v>
      </c>
      <c r="B107" s="10">
        <v>10</v>
      </c>
      <c r="C107" s="10">
        <v>910646197.53998005</v>
      </c>
    </row>
    <row r="108" spans="1:3" x14ac:dyDescent="0.25">
      <c r="A108" s="10">
        <v>2023</v>
      </c>
      <c r="B108" s="10">
        <v>11</v>
      </c>
      <c r="C108" s="10">
        <v>899708424.17332995</v>
      </c>
    </row>
    <row r="109" spans="1:3" x14ac:dyDescent="0.25">
      <c r="A109" s="10">
        <v>2023</v>
      </c>
      <c r="B109" s="10">
        <v>12</v>
      </c>
      <c r="C109" s="10">
        <v>880447900.53357601</v>
      </c>
    </row>
    <row r="110" spans="1:3" x14ac:dyDescent="0.25">
      <c r="A110" s="10">
        <v>2024</v>
      </c>
      <c r="B110" s="10">
        <v>1</v>
      </c>
      <c r="C110" s="10">
        <v>863695475.07713497</v>
      </c>
    </row>
    <row r="111" spans="1:3" x14ac:dyDescent="0.25">
      <c r="A111" s="10">
        <v>2024</v>
      </c>
      <c r="B111" s="10">
        <v>2</v>
      </c>
      <c r="C111" s="10">
        <v>842720847.36424398</v>
      </c>
    </row>
    <row r="112" spans="1:3" x14ac:dyDescent="0.25">
      <c r="A112" s="10">
        <v>2024</v>
      </c>
      <c r="B112" s="10">
        <v>3</v>
      </c>
      <c r="C112" s="10">
        <v>838826282.198264</v>
      </c>
    </row>
    <row r="113" spans="1:3" x14ac:dyDescent="0.25">
      <c r="A113" s="10">
        <v>2024</v>
      </c>
      <c r="B113" s="10">
        <v>4</v>
      </c>
      <c r="C113" s="10">
        <v>850214831.47755504</v>
      </c>
    </row>
    <row r="114" spans="1:3" x14ac:dyDescent="0.25">
      <c r="A114" s="10">
        <v>2024</v>
      </c>
      <c r="B114" s="10">
        <v>5</v>
      </c>
      <c r="C114" s="10">
        <v>859209171.88191903</v>
      </c>
    </row>
    <row r="115" spans="1:3" x14ac:dyDescent="0.25">
      <c r="A115" s="10">
        <v>2024</v>
      </c>
      <c r="B115" s="10">
        <v>6</v>
      </c>
      <c r="C115" s="10">
        <v>882992408.61265194</v>
      </c>
    </row>
    <row r="116" spans="1:3" x14ac:dyDescent="0.25">
      <c r="A116" s="10">
        <v>2024</v>
      </c>
      <c r="B116" s="10">
        <v>7</v>
      </c>
      <c r="C116" s="10">
        <v>903413602.50185394</v>
      </c>
    </row>
    <row r="117" spans="1:3" x14ac:dyDescent="0.25">
      <c r="A117" s="10">
        <v>2024</v>
      </c>
      <c r="B117" s="10">
        <v>8</v>
      </c>
      <c r="C117" s="10">
        <v>890308917.663288</v>
      </c>
    </row>
    <row r="118" spans="1:3" x14ac:dyDescent="0.25">
      <c r="A118" s="10">
        <v>2024</v>
      </c>
      <c r="B118" s="10">
        <v>9</v>
      </c>
      <c r="C118" s="10">
        <v>897757968.00116706</v>
      </c>
    </row>
    <row r="119" spans="1:3" x14ac:dyDescent="0.25">
      <c r="A119" s="10">
        <v>2024</v>
      </c>
      <c r="B119" s="10">
        <v>10</v>
      </c>
      <c r="C119" s="10">
        <v>903186420.41043997</v>
      </c>
    </row>
    <row r="120" spans="1:3" x14ac:dyDescent="0.25">
      <c r="A120" s="10">
        <v>2024</v>
      </c>
      <c r="B120" s="10">
        <v>11</v>
      </c>
      <c r="C120" s="10">
        <v>912887441.71389604</v>
      </c>
    </row>
    <row r="121" spans="1:3" x14ac:dyDescent="0.25">
      <c r="A121" s="10">
        <v>2024</v>
      </c>
      <c r="B121" s="10">
        <v>12</v>
      </c>
      <c r="C121" s="10">
        <v>923021451.62439001</v>
      </c>
    </row>
    <row r="122" spans="1:3" x14ac:dyDescent="0.25">
      <c r="A122" s="10">
        <v>2025</v>
      </c>
      <c r="B122" s="10">
        <v>1</v>
      </c>
      <c r="C122" s="10">
        <v>913437932.80953801</v>
      </c>
    </row>
    <row r="123" spans="1:3" x14ac:dyDescent="0.25">
      <c r="A123" s="10">
        <v>2025</v>
      </c>
      <c r="B123" s="10">
        <v>2</v>
      </c>
      <c r="C123" s="10">
        <v>924386679.18431604</v>
      </c>
    </row>
    <row r="124" spans="1:3" x14ac:dyDescent="0.25">
      <c r="A124" s="10">
        <v>2025</v>
      </c>
      <c r="B124" s="10">
        <v>3</v>
      </c>
      <c r="C124" s="10">
        <v>951572476.01553404</v>
      </c>
    </row>
    <row r="125" spans="1:3" x14ac:dyDescent="0.25">
      <c r="A125" s="10">
        <v>2025</v>
      </c>
      <c r="B125" s="10">
        <v>4</v>
      </c>
      <c r="C125" s="10">
        <v>960376596.69109797</v>
      </c>
    </row>
    <row r="126" spans="1:3" x14ac:dyDescent="0.25">
      <c r="A126" s="10">
        <v>2025</v>
      </c>
      <c r="B126" s="10">
        <v>5</v>
      </c>
      <c r="C126" s="10">
        <v>971295566.08364999</v>
      </c>
    </row>
    <row r="127" spans="1:3" x14ac:dyDescent="0.25">
      <c r="A127" s="10">
        <v>2025</v>
      </c>
      <c r="B127" s="10">
        <v>6</v>
      </c>
      <c r="C127" s="10">
        <v>969716249.56183195</v>
      </c>
    </row>
    <row r="128" spans="1:3" x14ac:dyDescent="0.25">
      <c r="A128" s="10">
        <v>2025</v>
      </c>
      <c r="B128" s="10">
        <v>7</v>
      </c>
      <c r="C128" s="10">
        <v>975054109.25322998</v>
      </c>
    </row>
    <row r="129" spans="1:3" x14ac:dyDescent="0.25">
      <c r="A129" s="10">
        <v>2025</v>
      </c>
      <c r="B129" s="10">
        <v>8</v>
      </c>
      <c r="C129" s="10">
        <v>986011989.32984304</v>
      </c>
    </row>
    <row r="130" spans="1:3" x14ac:dyDescent="0.25">
      <c r="A130" s="10">
        <v>2025</v>
      </c>
      <c r="B130" s="10">
        <v>9</v>
      </c>
      <c r="C130" s="10">
        <v>996310810.339625</v>
      </c>
    </row>
    <row r="131" spans="1:3" x14ac:dyDescent="0.25">
      <c r="A131" s="10">
        <v>2025</v>
      </c>
      <c r="B131" s="10">
        <v>10</v>
      </c>
      <c r="C131" s="10">
        <v>1000994063.68679</v>
      </c>
    </row>
    <row r="132" spans="1:3" x14ac:dyDescent="0.25">
      <c r="A132" s="10">
        <v>2025</v>
      </c>
      <c r="B132" s="10">
        <v>11</v>
      </c>
      <c r="C132" s="10">
        <v>995117480.900473</v>
      </c>
    </row>
    <row r="133" spans="1:3" x14ac:dyDescent="0.25">
      <c r="A133" s="10">
        <v>2025</v>
      </c>
      <c r="B133" s="10">
        <v>12</v>
      </c>
      <c r="C133" s="10">
        <v>975193242.73931003</v>
      </c>
    </row>
    <row r="134" spans="1:3" x14ac:dyDescent="0.25">
      <c r="A134" s="10">
        <v>2026</v>
      </c>
      <c r="B134" s="10">
        <v>1</v>
      </c>
      <c r="C134" s="10">
        <v>1000623444.45548</v>
      </c>
    </row>
    <row r="135" spans="1:3" x14ac:dyDescent="0.25">
      <c r="A135" s="10">
        <v>2026</v>
      </c>
      <c r="B135" s="10">
        <v>2</v>
      </c>
      <c r="C135" s="10">
        <v>1005089263.88529</v>
      </c>
    </row>
    <row r="136" spans="1:3" x14ac:dyDescent="0.25">
      <c r="A136" s="10">
        <v>2026</v>
      </c>
      <c r="B136" s="10">
        <v>3</v>
      </c>
      <c r="C136" s="10">
        <v>1016135334.0109299</v>
      </c>
    </row>
    <row r="137" spans="1:3" x14ac:dyDescent="0.25">
      <c r="A137" s="10">
        <v>2026</v>
      </c>
      <c r="B137" s="10">
        <v>4</v>
      </c>
      <c r="C137" s="10">
        <v>965657360.41451299</v>
      </c>
    </row>
    <row r="138" spans="1:3" x14ac:dyDescent="0.25">
      <c r="A138" s="10">
        <v>2026</v>
      </c>
      <c r="B138" s="10">
        <v>5</v>
      </c>
      <c r="C138" s="10">
        <v>989269156.27976298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D2CF-155F-458C-9E4F-76A6A3D30455}">
  <dimension ref="A1:G132"/>
  <sheetViews>
    <sheetView workbookViewId="0">
      <selection activeCell="G2" sqref="G2:G132"/>
    </sheetView>
  </sheetViews>
  <sheetFormatPr baseColWidth="10" defaultRowHeight="15" x14ac:dyDescent="0.25"/>
  <cols>
    <col min="1" max="2" width="11.5703125" bestFit="1" customWidth="1"/>
    <col min="3" max="3" width="16.42578125" bestFit="1" customWidth="1"/>
    <col min="5" max="6" width="11.5703125" bestFit="1" customWidth="1"/>
    <col min="7" max="7" width="16.42578125" bestFit="1" customWidth="1"/>
  </cols>
  <sheetData>
    <row r="1" spans="1:7" x14ac:dyDescent="0.25">
      <c r="A1" s="9" t="s">
        <v>6</v>
      </c>
      <c r="B1" s="9" t="s">
        <v>7</v>
      </c>
      <c r="C1" s="9" t="s">
        <v>8</v>
      </c>
      <c r="E1" s="9" t="s">
        <v>6</v>
      </c>
      <c r="F1" s="9" t="s">
        <v>7</v>
      </c>
      <c r="G1" s="9" t="s">
        <v>8</v>
      </c>
    </row>
    <row r="2" spans="1:7" x14ac:dyDescent="0.25">
      <c r="A2" s="10">
        <v>2015</v>
      </c>
      <c r="B2" s="10">
        <v>1</v>
      </c>
      <c r="C2" s="10">
        <v>993886141.55346</v>
      </c>
      <c r="E2" s="10">
        <v>2015</v>
      </c>
      <c r="F2" s="10">
        <v>1</v>
      </c>
      <c r="G2" s="10">
        <v>993997264.31415498</v>
      </c>
    </row>
    <row r="3" spans="1:7" x14ac:dyDescent="0.25">
      <c r="A3" s="10">
        <v>2015</v>
      </c>
      <c r="B3" s="10">
        <v>2</v>
      </c>
      <c r="C3" s="10">
        <v>909979334.47694802</v>
      </c>
      <c r="E3" s="10">
        <v>2015</v>
      </c>
      <c r="F3" s="10">
        <v>2</v>
      </c>
      <c r="G3" s="10">
        <v>910037001.03901994</v>
      </c>
    </row>
    <row r="4" spans="1:7" x14ac:dyDescent="0.25">
      <c r="A4" s="10">
        <v>2015</v>
      </c>
      <c r="B4" s="10">
        <v>3</v>
      </c>
      <c r="C4" s="10">
        <v>971620031.929214</v>
      </c>
      <c r="E4" s="10">
        <v>2015</v>
      </c>
      <c r="F4" s="10">
        <v>3</v>
      </c>
      <c r="G4" s="10">
        <v>971867960.57831299</v>
      </c>
    </row>
    <row r="5" spans="1:7" x14ac:dyDescent="0.25">
      <c r="A5" s="10">
        <v>2015</v>
      </c>
      <c r="B5" s="10">
        <v>4</v>
      </c>
      <c r="C5" s="10">
        <v>1002026608.11059</v>
      </c>
      <c r="E5" s="10">
        <v>2015</v>
      </c>
      <c r="F5" s="10">
        <v>4</v>
      </c>
      <c r="G5" s="10">
        <v>1002019905.8816299</v>
      </c>
    </row>
    <row r="6" spans="1:7" x14ac:dyDescent="0.25">
      <c r="A6" s="10">
        <v>2015</v>
      </c>
      <c r="B6" s="10">
        <v>5</v>
      </c>
      <c r="C6" s="10">
        <v>1014930230.22621</v>
      </c>
      <c r="E6" s="10">
        <v>2015</v>
      </c>
      <c r="F6" s="10">
        <v>5</v>
      </c>
      <c r="G6" s="10">
        <v>1014994721.91355</v>
      </c>
    </row>
    <row r="7" spans="1:7" x14ac:dyDescent="0.25">
      <c r="A7" s="10">
        <v>2015</v>
      </c>
      <c r="B7" s="10">
        <v>6</v>
      </c>
      <c r="C7" s="10">
        <v>1028700429.77791</v>
      </c>
      <c r="E7" s="10">
        <v>2015</v>
      </c>
      <c r="F7" s="10">
        <v>6</v>
      </c>
      <c r="G7" s="10">
        <v>1028686683.87738</v>
      </c>
    </row>
    <row r="8" spans="1:7" x14ac:dyDescent="0.25">
      <c r="A8" s="10">
        <v>2015</v>
      </c>
      <c r="B8" s="10">
        <v>7</v>
      </c>
      <c r="C8" s="10">
        <v>1029351358.77621</v>
      </c>
      <c r="E8" s="10">
        <v>2015</v>
      </c>
      <c r="F8" s="10">
        <v>7</v>
      </c>
      <c r="G8" s="10">
        <v>1029291243.2515399</v>
      </c>
    </row>
    <row r="9" spans="1:7" x14ac:dyDescent="0.25">
      <c r="A9" s="10">
        <v>2015</v>
      </c>
      <c r="B9" s="10">
        <v>8</v>
      </c>
      <c r="C9" s="10">
        <v>1009513378.0071</v>
      </c>
      <c r="E9" s="10">
        <v>2015</v>
      </c>
      <c r="F9" s="10">
        <v>8</v>
      </c>
      <c r="G9" s="10">
        <v>1009532725.17556</v>
      </c>
    </row>
    <row r="10" spans="1:7" x14ac:dyDescent="0.25">
      <c r="A10" s="10">
        <v>2015</v>
      </c>
      <c r="B10" s="10">
        <v>9</v>
      </c>
      <c r="C10" s="10">
        <v>1037588500.94801</v>
      </c>
      <c r="E10" s="10">
        <v>2015</v>
      </c>
      <c r="F10" s="10">
        <v>9</v>
      </c>
      <c r="G10" s="10">
        <v>1037372605.24939</v>
      </c>
    </row>
    <row r="11" spans="1:7" x14ac:dyDescent="0.25">
      <c r="A11" s="10">
        <v>2015</v>
      </c>
      <c r="B11" s="10">
        <v>10</v>
      </c>
      <c r="C11" s="10">
        <v>1037512174.7888401</v>
      </c>
      <c r="E11" s="10">
        <v>2015</v>
      </c>
      <c r="F11" s="10">
        <v>10</v>
      </c>
      <c r="G11" s="10">
        <v>1037474912.0585901</v>
      </c>
    </row>
    <row r="12" spans="1:7" x14ac:dyDescent="0.25">
      <c r="A12" s="10">
        <v>2015</v>
      </c>
      <c r="B12" s="10">
        <v>11</v>
      </c>
      <c r="C12" s="10">
        <v>1024536889.06626</v>
      </c>
      <c r="E12" s="10">
        <v>2015</v>
      </c>
      <c r="F12" s="10">
        <v>11</v>
      </c>
      <c r="G12" s="10">
        <v>1024455551.93495</v>
      </c>
    </row>
    <row r="13" spans="1:7" x14ac:dyDescent="0.25">
      <c r="A13" s="10">
        <v>2015</v>
      </c>
      <c r="B13" s="10">
        <v>12</v>
      </c>
      <c r="C13" s="10">
        <v>1006729333.6569999</v>
      </c>
      <c r="E13" s="10">
        <v>2015</v>
      </c>
      <c r="F13" s="10">
        <v>12</v>
      </c>
      <c r="G13" s="10">
        <v>1006630615.67106</v>
      </c>
    </row>
    <row r="14" spans="1:7" x14ac:dyDescent="0.25">
      <c r="A14" s="10">
        <v>2016</v>
      </c>
      <c r="B14" s="10">
        <v>1</v>
      </c>
      <c r="C14" s="10">
        <v>926142166.95264304</v>
      </c>
      <c r="E14" s="10">
        <v>2016</v>
      </c>
      <c r="F14" s="10">
        <v>1</v>
      </c>
      <c r="G14" s="10">
        <v>926281710.63902903</v>
      </c>
    </row>
    <row r="15" spans="1:7" x14ac:dyDescent="0.25">
      <c r="A15" s="10">
        <v>2016</v>
      </c>
      <c r="B15" s="10">
        <v>2</v>
      </c>
      <c r="C15" s="10">
        <v>920081389.44673598</v>
      </c>
      <c r="E15" s="10">
        <v>2016</v>
      </c>
      <c r="F15" s="10">
        <v>2</v>
      </c>
      <c r="G15" s="10">
        <v>920157430.53210902</v>
      </c>
    </row>
    <row r="16" spans="1:7" x14ac:dyDescent="0.25">
      <c r="A16" s="10">
        <v>2016</v>
      </c>
      <c r="B16" s="10">
        <v>3</v>
      </c>
      <c r="C16" s="10">
        <v>920491349.08739495</v>
      </c>
      <c r="E16" s="10">
        <v>2016</v>
      </c>
      <c r="F16" s="10">
        <v>3</v>
      </c>
      <c r="G16" s="10">
        <v>920718259.91868901</v>
      </c>
    </row>
    <row r="17" spans="1:7" x14ac:dyDescent="0.25">
      <c r="A17" s="10">
        <v>2016</v>
      </c>
      <c r="B17" s="10">
        <v>4</v>
      </c>
      <c r="C17" s="10">
        <v>819172293.678213</v>
      </c>
      <c r="E17" s="10">
        <v>2016</v>
      </c>
      <c r="F17" s="10">
        <v>4</v>
      </c>
      <c r="G17" s="10">
        <v>819196173.79810405</v>
      </c>
    </row>
    <row r="18" spans="1:7" x14ac:dyDescent="0.25">
      <c r="A18" s="10">
        <v>2016</v>
      </c>
      <c r="B18" s="10">
        <v>5</v>
      </c>
      <c r="C18" s="10">
        <v>806290501.92405701</v>
      </c>
      <c r="E18" s="10">
        <v>2016</v>
      </c>
      <c r="F18" s="10">
        <v>5</v>
      </c>
      <c r="G18" s="10">
        <v>806301860.41606998</v>
      </c>
    </row>
    <row r="19" spans="1:7" x14ac:dyDescent="0.25">
      <c r="A19" s="10">
        <v>2016</v>
      </c>
      <c r="B19" s="10">
        <v>6</v>
      </c>
      <c r="C19" s="10">
        <v>818646500.53311706</v>
      </c>
      <c r="E19" s="10">
        <v>2016</v>
      </c>
      <c r="F19" s="10">
        <v>6</v>
      </c>
      <c r="G19" s="10">
        <v>818617351.77612102</v>
      </c>
    </row>
    <row r="20" spans="1:7" x14ac:dyDescent="0.25">
      <c r="A20" s="10">
        <v>2016</v>
      </c>
      <c r="B20" s="10">
        <v>7</v>
      </c>
      <c r="C20" s="10">
        <v>819799490.30115497</v>
      </c>
      <c r="E20" s="10">
        <v>2016</v>
      </c>
      <c r="F20" s="10">
        <v>7</v>
      </c>
      <c r="G20" s="10">
        <v>819825164.16767502</v>
      </c>
    </row>
    <row r="21" spans="1:7" x14ac:dyDescent="0.25">
      <c r="A21" s="10">
        <v>2016</v>
      </c>
      <c r="B21" s="10">
        <v>8</v>
      </c>
      <c r="C21" s="10">
        <v>852198086.60424602</v>
      </c>
      <c r="E21" s="10">
        <v>2016</v>
      </c>
      <c r="F21" s="10">
        <v>8</v>
      </c>
      <c r="G21" s="10">
        <v>852131308.51944399</v>
      </c>
    </row>
    <row r="22" spans="1:7" x14ac:dyDescent="0.25">
      <c r="A22" s="10">
        <v>2016</v>
      </c>
      <c r="B22" s="10">
        <v>9</v>
      </c>
      <c r="C22" s="10">
        <v>865295152.48055995</v>
      </c>
      <c r="E22" s="10">
        <v>2016</v>
      </c>
      <c r="F22" s="10">
        <v>9</v>
      </c>
      <c r="G22" s="10">
        <v>865092633.55559897</v>
      </c>
    </row>
    <row r="23" spans="1:7" x14ac:dyDescent="0.25">
      <c r="A23" s="10">
        <v>2016</v>
      </c>
      <c r="B23" s="10">
        <v>10</v>
      </c>
      <c r="C23" s="10">
        <v>848458125.74866199</v>
      </c>
      <c r="E23" s="10">
        <v>2016</v>
      </c>
      <c r="F23" s="10">
        <v>10</v>
      </c>
      <c r="G23" s="10">
        <v>848468993.83677399</v>
      </c>
    </row>
    <row r="24" spans="1:7" x14ac:dyDescent="0.25">
      <c r="A24" s="10">
        <v>2016</v>
      </c>
      <c r="B24" s="10">
        <v>11</v>
      </c>
      <c r="C24" s="10">
        <v>830600200.78930795</v>
      </c>
      <c r="E24" s="10">
        <v>2016</v>
      </c>
      <c r="F24" s="10">
        <v>11</v>
      </c>
      <c r="G24" s="10">
        <v>830483026.93184102</v>
      </c>
    </row>
    <row r="25" spans="1:7" x14ac:dyDescent="0.25">
      <c r="A25" s="10">
        <v>2016</v>
      </c>
      <c r="B25" s="10">
        <v>12</v>
      </c>
      <c r="C25" s="10">
        <v>850251368.31902397</v>
      </c>
      <c r="E25" s="10">
        <v>2016</v>
      </c>
      <c r="F25" s="10">
        <v>12</v>
      </c>
      <c r="G25" s="10">
        <v>850195776.00215995</v>
      </c>
    </row>
    <row r="26" spans="1:7" x14ac:dyDescent="0.25">
      <c r="A26" s="10">
        <v>2017</v>
      </c>
      <c r="B26" s="10">
        <v>1</v>
      </c>
      <c r="C26" s="10">
        <v>833271529.18521202</v>
      </c>
      <c r="E26" s="10">
        <v>2017</v>
      </c>
      <c r="F26" s="10">
        <v>1</v>
      </c>
      <c r="G26" s="10">
        <v>833350279.16159701</v>
      </c>
    </row>
    <row r="27" spans="1:7" x14ac:dyDescent="0.25">
      <c r="A27" s="10">
        <v>2017</v>
      </c>
      <c r="B27" s="10">
        <v>2</v>
      </c>
      <c r="C27" s="10">
        <v>842768867.76286399</v>
      </c>
      <c r="E27" s="10">
        <v>2017</v>
      </c>
      <c r="F27" s="10">
        <v>2</v>
      </c>
      <c r="G27" s="10">
        <v>842853510.90557802</v>
      </c>
    </row>
    <row r="28" spans="1:7" x14ac:dyDescent="0.25">
      <c r="A28" s="10">
        <v>2017</v>
      </c>
      <c r="B28" s="10">
        <v>3</v>
      </c>
      <c r="C28" s="10">
        <v>838830920.55203295</v>
      </c>
      <c r="E28" s="10">
        <v>2017</v>
      </c>
      <c r="F28" s="10">
        <v>3</v>
      </c>
      <c r="G28" s="10">
        <v>839066849.76861799</v>
      </c>
    </row>
    <row r="29" spans="1:7" x14ac:dyDescent="0.25">
      <c r="A29" s="10">
        <v>2017</v>
      </c>
      <c r="B29" s="10">
        <v>4</v>
      </c>
      <c r="C29" s="10">
        <v>833065158.22867405</v>
      </c>
      <c r="E29" s="10">
        <v>2017</v>
      </c>
      <c r="F29" s="10">
        <v>4</v>
      </c>
      <c r="G29" s="10">
        <v>833119452.90084898</v>
      </c>
    </row>
    <row r="30" spans="1:7" x14ac:dyDescent="0.25">
      <c r="A30" s="10">
        <v>2017</v>
      </c>
      <c r="B30" s="10">
        <v>5</v>
      </c>
      <c r="C30" s="10">
        <v>847175949.94072294</v>
      </c>
      <c r="E30" s="10">
        <v>2017</v>
      </c>
      <c r="F30" s="10">
        <v>5</v>
      </c>
      <c r="G30" s="10">
        <v>847134534.86519802</v>
      </c>
    </row>
    <row r="31" spans="1:7" x14ac:dyDescent="0.25">
      <c r="A31" s="10">
        <v>2017</v>
      </c>
      <c r="B31" s="10">
        <v>6</v>
      </c>
      <c r="C31" s="10">
        <v>839998260.47465599</v>
      </c>
      <c r="E31" s="10">
        <v>2017</v>
      </c>
      <c r="F31" s="10">
        <v>6</v>
      </c>
      <c r="G31" s="10">
        <v>839954910.77822399</v>
      </c>
    </row>
    <row r="32" spans="1:7" x14ac:dyDescent="0.25">
      <c r="A32" s="10">
        <v>2017</v>
      </c>
      <c r="B32" s="10">
        <v>7</v>
      </c>
      <c r="C32" s="10">
        <v>838715233.43250597</v>
      </c>
      <c r="E32" s="10">
        <v>2017</v>
      </c>
      <c r="F32" s="10">
        <v>7</v>
      </c>
      <c r="G32" s="10">
        <v>838742360.28222096</v>
      </c>
    </row>
    <row r="33" spans="1:7" x14ac:dyDescent="0.25">
      <c r="A33" s="10">
        <v>2017</v>
      </c>
      <c r="B33" s="10">
        <v>8</v>
      </c>
      <c r="C33" s="10">
        <v>826239147.65708101</v>
      </c>
      <c r="E33" s="10">
        <v>2017</v>
      </c>
      <c r="F33" s="10">
        <v>8</v>
      </c>
      <c r="G33" s="10">
        <v>826165517.68593299</v>
      </c>
    </row>
    <row r="34" spans="1:7" x14ac:dyDescent="0.25">
      <c r="A34" s="10">
        <v>2017</v>
      </c>
      <c r="B34" s="10">
        <v>9</v>
      </c>
      <c r="C34" s="10">
        <v>828657410.38087797</v>
      </c>
      <c r="E34" s="10">
        <v>2017</v>
      </c>
      <c r="F34" s="10">
        <v>9</v>
      </c>
      <c r="G34" s="10">
        <v>828517953.55205703</v>
      </c>
    </row>
    <row r="35" spans="1:7" x14ac:dyDescent="0.25">
      <c r="A35" s="10">
        <v>2017</v>
      </c>
      <c r="B35" s="10">
        <v>10</v>
      </c>
      <c r="C35" s="10">
        <v>838956456.92230797</v>
      </c>
      <c r="E35" s="10">
        <v>2017</v>
      </c>
      <c r="F35" s="10">
        <v>10</v>
      </c>
      <c r="G35" s="10">
        <v>838937438.53420699</v>
      </c>
    </row>
    <row r="36" spans="1:7" x14ac:dyDescent="0.25">
      <c r="A36" s="10">
        <v>2017</v>
      </c>
      <c r="B36" s="10">
        <v>11</v>
      </c>
      <c r="C36" s="10">
        <v>865067227.88480198</v>
      </c>
      <c r="E36" s="10">
        <v>2017</v>
      </c>
      <c r="F36" s="10">
        <v>11</v>
      </c>
      <c r="G36" s="10">
        <v>864966424.77481103</v>
      </c>
    </row>
    <row r="37" spans="1:7" x14ac:dyDescent="0.25">
      <c r="A37" s="10">
        <v>2017</v>
      </c>
      <c r="B37" s="10">
        <v>12</v>
      </c>
      <c r="C37" s="10">
        <v>870111197.97962999</v>
      </c>
      <c r="E37" s="10">
        <v>2017</v>
      </c>
      <c r="F37" s="10">
        <v>12</v>
      </c>
      <c r="G37" s="10">
        <v>870107941.58548605</v>
      </c>
    </row>
    <row r="38" spans="1:7" x14ac:dyDescent="0.25">
      <c r="A38" s="10">
        <v>2018</v>
      </c>
      <c r="B38" s="10">
        <v>1</v>
      </c>
      <c r="C38" s="10">
        <v>906679936.75890505</v>
      </c>
      <c r="E38" s="10">
        <v>2018</v>
      </c>
      <c r="F38" s="10">
        <v>1</v>
      </c>
      <c r="G38" s="10">
        <v>906688770.13585997</v>
      </c>
    </row>
    <row r="39" spans="1:7" x14ac:dyDescent="0.25">
      <c r="A39" s="10">
        <v>2018</v>
      </c>
      <c r="B39" s="10">
        <v>2</v>
      </c>
      <c r="C39" s="10">
        <v>900869197.526582</v>
      </c>
      <c r="E39" s="10">
        <v>2018</v>
      </c>
      <c r="F39" s="10">
        <v>2</v>
      </c>
      <c r="G39" s="10">
        <v>900968568.09081399</v>
      </c>
    </row>
    <row r="40" spans="1:7" x14ac:dyDescent="0.25">
      <c r="A40" s="10">
        <v>2018</v>
      </c>
      <c r="B40" s="10">
        <v>3</v>
      </c>
      <c r="C40" s="10">
        <v>918443334.594275</v>
      </c>
      <c r="E40" s="10">
        <v>2018</v>
      </c>
      <c r="F40" s="10">
        <v>3</v>
      </c>
      <c r="G40" s="10">
        <v>918703171.14853597</v>
      </c>
    </row>
    <row r="41" spans="1:7" x14ac:dyDescent="0.25">
      <c r="A41" s="10">
        <v>2018</v>
      </c>
      <c r="B41" s="10">
        <v>4</v>
      </c>
      <c r="C41" s="10">
        <v>898871560.42482996</v>
      </c>
      <c r="E41" s="10">
        <v>2018</v>
      </c>
      <c r="F41" s="10">
        <v>4</v>
      </c>
      <c r="G41" s="10">
        <v>898876318.34922302</v>
      </c>
    </row>
    <row r="42" spans="1:7" x14ac:dyDescent="0.25">
      <c r="A42" s="10">
        <v>2018</v>
      </c>
      <c r="B42" s="10">
        <v>5</v>
      </c>
      <c r="C42" s="10">
        <v>861884088.48745704</v>
      </c>
      <c r="E42" s="10">
        <v>2018</v>
      </c>
      <c r="F42" s="10">
        <v>5</v>
      </c>
      <c r="G42" s="10">
        <v>861829628.80498695</v>
      </c>
    </row>
    <row r="43" spans="1:7" x14ac:dyDescent="0.25">
      <c r="A43" s="10">
        <v>2018</v>
      </c>
      <c r="B43" s="10">
        <v>6</v>
      </c>
      <c r="C43" s="10">
        <v>878328811.43644595</v>
      </c>
      <c r="E43" s="10">
        <v>2018</v>
      </c>
      <c r="F43" s="10">
        <v>6</v>
      </c>
      <c r="G43" s="10">
        <v>878315632.18451405</v>
      </c>
    </row>
    <row r="44" spans="1:7" x14ac:dyDescent="0.25">
      <c r="A44" s="10">
        <v>2018</v>
      </c>
      <c r="B44" s="10">
        <v>7</v>
      </c>
      <c r="C44" s="10">
        <v>871253672.19591105</v>
      </c>
      <c r="E44" s="10">
        <v>2018</v>
      </c>
      <c r="F44" s="10">
        <v>7</v>
      </c>
      <c r="G44" s="10">
        <v>871233577.22827303</v>
      </c>
    </row>
    <row r="45" spans="1:7" x14ac:dyDescent="0.25">
      <c r="A45" s="10">
        <v>2018</v>
      </c>
      <c r="B45" s="10">
        <v>8</v>
      </c>
      <c r="C45" s="10">
        <v>862242451.52094305</v>
      </c>
      <c r="E45" s="10">
        <v>2018</v>
      </c>
      <c r="F45" s="10">
        <v>8</v>
      </c>
      <c r="G45" s="10">
        <v>862165675.70442998</v>
      </c>
    </row>
    <row r="46" spans="1:7" x14ac:dyDescent="0.25">
      <c r="A46" s="10">
        <v>2018</v>
      </c>
      <c r="B46" s="10">
        <v>9</v>
      </c>
      <c r="C46" s="10">
        <v>865882926.19957602</v>
      </c>
      <c r="E46" s="10">
        <v>2018</v>
      </c>
      <c r="F46" s="10">
        <v>9</v>
      </c>
      <c r="G46" s="10">
        <v>865832383.98376</v>
      </c>
    </row>
    <row r="47" spans="1:7" x14ac:dyDescent="0.25">
      <c r="A47" s="10">
        <v>2018</v>
      </c>
      <c r="B47" s="10">
        <v>10</v>
      </c>
      <c r="C47" s="10">
        <v>862524758.20192099</v>
      </c>
      <c r="E47" s="10">
        <v>2018</v>
      </c>
      <c r="F47" s="10">
        <v>10</v>
      </c>
      <c r="G47" s="10">
        <v>862466904.16862595</v>
      </c>
    </row>
    <row r="48" spans="1:7" x14ac:dyDescent="0.25">
      <c r="A48" s="10">
        <v>2018</v>
      </c>
      <c r="B48" s="10">
        <v>11</v>
      </c>
      <c r="C48" s="10">
        <v>854840781.05162096</v>
      </c>
      <c r="E48" s="10">
        <v>2018</v>
      </c>
      <c r="F48" s="10">
        <v>11</v>
      </c>
      <c r="G48" s="10">
        <v>854764332.78179204</v>
      </c>
    </row>
    <row r="49" spans="1:7" x14ac:dyDescent="0.25">
      <c r="A49" s="10">
        <v>2018</v>
      </c>
      <c r="B49" s="10">
        <v>12</v>
      </c>
      <c r="C49" s="10">
        <v>849456817.61167896</v>
      </c>
      <c r="E49" s="10">
        <v>2018</v>
      </c>
      <c r="F49" s="10">
        <v>12</v>
      </c>
      <c r="G49" s="10">
        <v>849465129.50817394</v>
      </c>
    </row>
    <row r="50" spans="1:7" x14ac:dyDescent="0.25">
      <c r="A50" s="10">
        <v>2019</v>
      </c>
      <c r="B50" s="10">
        <v>1</v>
      </c>
      <c r="C50" s="10">
        <v>841930709.26148796</v>
      </c>
      <c r="E50" s="10">
        <v>2019</v>
      </c>
      <c r="F50" s="10">
        <v>1</v>
      </c>
      <c r="G50" s="10">
        <v>841923086.23963296</v>
      </c>
    </row>
    <row r="51" spans="1:7" x14ac:dyDescent="0.25">
      <c r="A51" s="10">
        <v>2019</v>
      </c>
      <c r="B51" s="10">
        <v>2</v>
      </c>
      <c r="C51" s="10">
        <v>826512301.71858096</v>
      </c>
      <c r="E51" s="10">
        <v>2019</v>
      </c>
      <c r="F51" s="10">
        <v>2</v>
      </c>
      <c r="G51" s="10">
        <v>826595271.50780201</v>
      </c>
    </row>
    <row r="52" spans="1:7" x14ac:dyDescent="0.25">
      <c r="A52" s="10">
        <v>2019</v>
      </c>
      <c r="B52" s="10">
        <v>3</v>
      </c>
      <c r="C52" s="10">
        <v>857001096.15860295</v>
      </c>
      <c r="E52" s="10">
        <v>2019</v>
      </c>
      <c r="F52" s="10">
        <v>3</v>
      </c>
      <c r="G52" s="10">
        <v>857277022.10649598</v>
      </c>
    </row>
    <row r="53" spans="1:7" x14ac:dyDescent="0.25">
      <c r="A53" s="10">
        <v>2019</v>
      </c>
      <c r="B53" s="10">
        <v>4</v>
      </c>
      <c r="C53" s="10">
        <v>861744197.29180098</v>
      </c>
      <c r="E53" s="10">
        <v>2019</v>
      </c>
      <c r="F53" s="10">
        <v>4</v>
      </c>
      <c r="G53" s="10">
        <v>861702579.46769404</v>
      </c>
    </row>
    <row r="54" spans="1:7" x14ac:dyDescent="0.25">
      <c r="A54" s="10">
        <v>2019</v>
      </c>
      <c r="B54" s="10">
        <v>5</v>
      </c>
      <c r="C54" s="10">
        <v>847449623.99790001</v>
      </c>
      <c r="E54" s="10">
        <v>2019</v>
      </c>
      <c r="F54" s="10">
        <v>5</v>
      </c>
      <c r="G54" s="10">
        <v>847383540.71776903</v>
      </c>
    </row>
    <row r="55" spans="1:7" x14ac:dyDescent="0.25">
      <c r="A55" s="10">
        <v>2019</v>
      </c>
      <c r="B55" s="10">
        <v>6</v>
      </c>
      <c r="C55" s="10">
        <v>852931101.43303895</v>
      </c>
      <c r="E55" s="10">
        <v>2019</v>
      </c>
      <c r="F55" s="10">
        <v>6</v>
      </c>
      <c r="G55" s="10">
        <v>852956485.93639696</v>
      </c>
    </row>
    <row r="56" spans="1:7" x14ac:dyDescent="0.25">
      <c r="A56" s="10">
        <v>2019</v>
      </c>
      <c r="B56" s="10">
        <v>7</v>
      </c>
      <c r="C56" s="10">
        <v>869237627.04705703</v>
      </c>
      <c r="E56" s="10">
        <v>2019</v>
      </c>
      <c r="F56" s="10">
        <v>7</v>
      </c>
      <c r="G56" s="10">
        <v>869169239.67168605</v>
      </c>
    </row>
    <row r="57" spans="1:7" x14ac:dyDescent="0.25">
      <c r="A57" s="10">
        <v>2019</v>
      </c>
      <c r="B57" s="10">
        <v>8</v>
      </c>
      <c r="C57" s="10">
        <v>880606161.98316503</v>
      </c>
      <c r="E57" s="10">
        <v>2019</v>
      </c>
      <c r="F57" s="10">
        <v>8</v>
      </c>
      <c r="G57" s="10">
        <v>880569551.49115705</v>
      </c>
    </row>
    <row r="58" spans="1:7" x14ac:dyDescent="0.25">
      <c r="A58" s="10">
        <v>2019</v>
      </c>
      <c r="B58" s="10">
        <v>9</v>
      </c>
      <c r="C58" s="10">
        <v>879332101.98337805</v>
      </c>
      <c r="E58" s="10">
        <v>2019</v>
      </c>
      <c r="F58" s="10">
        <v>9</v>
      </c>
      <c r="G58" s="10">
        <v>879276888.26338899</v>
      </c>
    </row>
    <row r="59" spans="1:7" x14ac:dyDescent="0.25">
      <c r="A59" s="10">
        <v>2019</v>
      </c>
      <c r="B59" s="10">
        <v>10</v>
      </c>
      <c r="C59" s="10">
        <v>873460388.59628606</v>
      </c>
      <c r="E59" s="10">
        <v>2019</v>
      </c>
      <c r="F59" s="10">
        <v>10</v>
      </c>
      <c r="G59" s="10">
        <v>873400842.75261998</v>
      </c>
    </row>
    <row r="60" spans="1:7" x14ac:dyDescent="0.25">
      <c r="A60" s="10">
        <v>2019</v>
      </c>
      <c r="B60" s="10">
        <v>11</v>
      </c>
      <c r="C60" s="10">
        <v>871291694.00817597</v>
      </c>
      <c r="E60" s="10">
        <v>2019</v>
      </c>
      <c r="F60" s="10">
        <v>11</v>
      </c>
      <c r="G60" s="10">
        <v>871306134.78334105</v>
      </c>
    </row>
    <row r="61" spans="1:7" x14ac:dyDescent="0.25">
      <c r="A61" s="10">
        <v>2019</v>
      </c>
      <c r="B61" s="10">
        <v>12</v>
      </c>
      <c r="C61" s="10">
        <v>880567023.61717796</v>
      </c>
      <c r="E61" s="10">
        <v>2019</v>
      </c>
      <c r="F61" s="10">
        <v>12</v>
      </c>
      <c r="G61" s="10">
        <v>880546895.517138</v>
      </c>
    </row>
    <row r="62" spans="1:7" x14ac:dyDescent="0.25">
      <c r="A62" s="10">
        <v>2020</v>
      </c>
      <c r="B62" s="10">
        <v>1</v>
      </c>
      <c r="C62" s="10">
        <v>886119072.25981605</v>
      </c>
      <c r="E62" s="10">
        <v>2020</v>
      </c>
      <c r="F62" s="10">
        <v>1</v>
      </c>
      <c r="G62" s="10">
        <v>886094529.19352996</v>
      </c>
    </row>
    <row r="63" spans="1:7" x14ac:dyDescent="0.25">
      <c r="A63" s="10">
        <v>2020</v>
      </c>
      <c r="B63" s="10">
        <v>2</v>
      </c>
      <c r="C63" s="10">
        <v>909364377.03097796</v>
      </c>
      <c r="E63" s="10">
        <v>2020</v>
      </c>
      <c r="F63" s="10">
        <v>2</v>
      </c>
      <c r="G63" s="10">
        <v>909494179.67195404</v>
      </c>
    </row>
    <row r="64" spans="1:7" x14ac:dyDescent="0.25">
      <c r="A64" s="10">
        <v>2020</v>
      </c>
      <c r="B64" s="10">
        <v>3</v>
      </c>
      <c r="C64" s="10">
        <v>909954846.50167406</v>
      </c>
      <c r="E64" s="10">
        <v>2020</v>
      </c>
      <c r="F64" s="10">
        <v>3</v>
      </c>
      <c r="G64" s="10">
        <v>910123469.338745</v>
      </c>
    </row>
    <row r="65" spans="1:7" x14ac:dyDescent="0.25">
      <c r="A65" s="10">
        <v>2020</v>
      </c>
      <c r="B65" s="10">
        <v>4</v>
      </c>
      <c r="C65" s="10">
        <v>921064213.43622601</v>
      </c>
      <c r="E65" s="10">
        <v>2020</v>
      </c>
      <c r="F65" s="10">
        <v>4</v>
      </c>
      <c r="G65" s="10">
        <v>921020002.49644005</v>
      </c>
    </row>
    <row r="66" spans="1:7" x14ac:dyDescent="0.25">
      <c r="A66" s="10">
        <v>2020</v>
      </c>
      <c r="B66" s="10">
        <v>5</v>
      </c>
      <c r="C66" s="10">
        <v>933455198.22631896</v>
      </c>
      <c r="E66" s="10">
        <v>2020</v>
      </c>
      <c r="F66" s="10">
        <v>5</v>
      </c>
      <c r="G66" s="10">
        <v>933473629.52704704</v>
      </c>
    </row>
    <row r="67" spans="1:7" x14ac:dyDescent="0.25">
      <c r="A67" s="10">
        <v>2020</v>
      </c>
      <c r="B67" s="10">
        <v>6</v>
      </c>
      <c r="C67" s="10">
        <v>938925433.15720201</v>
      </c>
      <c r="E67" s="10">
        <v>2020</v>
      </c>
      <c r="F67" s="10">
        <v>6</v>
      </c>
      <c r="G67" s="10">
        <v>938866090.19320798</v>
      </c>
    </row>
    <row r="68" spans="1:7" x14ac:dyDescent="0.25">
      <c r="A68" s="10">
        <v>2020</v>
      </c>
      <c r="B68" s="10">
        <v>7</v>
      </c>
      <c r="C68" s="10">
        <v>934453563.38706303</v>
      </c>
      <c r="E68" s="10">
        <v>2020</v>
      </c>
      <c r="F68" s="10">
        <v>7</v>
      </c>
      <c r="G68" s="10">
        <v>934372996.31494999</v>
      </c>
    </row>
    <row r="69" spans="1:7" x14ac:dyDescent="0.25">
      <c r="A69" s="10">
        <v>2020</v>
      </c>
      <c r="B69" s="10">
        <v>8</v>
      </c>
      <c r="C69" s="10">
        <v>926910932.91554105</v>
      </c>
      <c r="E69" s="10">
        <v>2020</v>
      </c>
      <c r="F69" s="10">
        <v>8</v>
      </c>
      <c r="G69" s="10">
        <v>926906821.01675403</v>
      </c>
    </row>
    <row r="70" spans="1:7" x14ac:dyDescent="0.25">
      <c r="A70" s="10">
        <v>2020</v>
      </c>
      <c r="B70" s="10">
        <v>9</v>
      </c>
      <c r="C70" s="10">
        <v>915297808.98300505</v>
      </c>
      <c r="E70" s="10">
        <v>2020</v>
      </c>
      <c r="F70" s="10">
        <v>9</v>
      </c>
      <c r="G70" s="10">
        <v>915234376.29007602</v>
      </c>
    </row>
    <row r="71" spans="1:7" x14ac:dyDescent="0.25">
      <c r="A71" s="10">
        <v>2020</v>
      </c>
      <c r="B71" s="10">
        <v>10</v>
      </c>
      <c r="C71" s="10">
        <v>932177949.15432703</v>
      </c>
      <c r="E71" s="10">
        <v>2020</v>
      </c>
      <c r="F71" s="10">
        <v>10</v>
      </c>
      <c r="G71" s="10">
        <v>932154050.51964903</v>
      </c>
    </row>
    <row r="72" spans="1:7" x14ac:dyDescent="0.25">
      <c r="A72" s="10">
        <v>2020</v>
      </c>
      <c r="B72" s="10">
        <v>11</v>
      </c>
      <c r="C72" s="10">
        <v>936510832.20505202</v>
      </c>
      <c r="E72" s="10">
        <v>2020</v>
      </c>
      <c r="F72" s="10">
        <v>11</v>
      </c>
      <c r="G72" s="10">
        <v>936577326.19877899</v>
      </c>
    </row>
    <row r="73" spans="1:7" x14ac:dyDescent="0.25">
      <c r="A73" s="10">
        <v>2020</v>
      </c>
      <c r="B73" s="10">
        <v>12</v>
      </c>
      <c r="C73" s="10">
        <v>947427756.51718605</v>
      </c>
      <c r="E73" s="10">
        <v>2020</v>
      </c>
      <c r="F73" s="10">
        <v>12</v>
      </c>
      <c r="G73" s="10">
        <v>947390962.37302399</v>
      </c>
    </row>
    <row r="74" spans="1:7" x14ac:dyDescent="0.25">
      <c r="A74" s="10">
        <v>2021</v>
      </c>
      <c r="B74" s="10">
        <v>1</v>
      </c>
      <c r="C74" s="10">
        <v>952618114.23228896</v>
      </c>
      <c r="E74" s="10">
        <v>2021</v>
      </c>
      <c r="F74" s="10">
        <v>1</v>
      </c>
      <c r="G74" s="10">
        <v>952697355.148471</v>
      </c>
    </row>
    <row r="75" spans="1:7" x14ac:dyDescent="0.25">
      <c r="A75" s="10">
        <v>2021</v>
      </c>
      <c r="B75" s="10">
        <v>2</v>
      </c>
      <c r="C75" s="10">
        <v>948830463.90632701</v>
      </c>
      <c r="E75" s="10">
        <v>2021</v>
      </c>
      <c r="F75" s="10">
        <v>2</v>
      </c>
      <c r="G75" s="10">
        <v>948888285.47012699</v>
      </c>
    </row>
    <row r="76" spans="1:7" x14ac:dyDescent="0.25">
      <c r="A76" s="10">
        <v>2021</v>
      </c>
      <c r="B76" s="10">
        <v>3</v>
      </c>
      <c r="C76" s="10">
        <v>951001105.37941003</v>
      </c>
      <c r="E76" s="10">
        <v>2021</v>
      </c>
      <c r="F76" s="10">
        <v>3</v>
      </c>
      <c r="G76" s="10">
        <v>951051441.73730397</v>
      </c>
    </row>
    <row r="77" spans="1:7" x14ac:dyDescent="0.25">
      <c r="A77" s="10">
        <v>2021</v>
      </c>
      <c r="B77" s="10">
        <v>4</v>
      </c>
      <c r="C77" s="10">
        <v>951114148.26129401</v>
      </c>
      <c r="E77" s="10">
        <v>2021</v>
      </c>
      <c r="F77" s="10">
        <v>4</v>
      </c>
      <c r="G77" s="10">
        <v>951070804.68653703</v>
      </c>
    </row>
    <row r="78" spans="1:7" x14ac:dyDescent="0.25">
      <c r="A78" s="10">
        <v>2021</v>
      </c>
      <c r="B78" s="10">
        <v>5</v>
      </c>
      <c r="C78" s="10">
        <v>964719584.38316298</v>
      </c>
      <c r="E78" s="10">
        <v>2021</v>
      </c>
      <c r="F78" s="10">
        <v>5</v>
      </c>
      <c r="G78" s="10">
        <v>964736743.94151103</v>
      </c>
    </row>
    <row r="79" spans="1:7" x14ac:dyDescent="0.25">
      <c r="A79" s="10">
        <v>2021</v>
      </c>
      <c r="B79" s="10">
        <v>6</v>
      </c>
      <c r="C79" s="10">
        <v>964952921.74231601</v>
      </c>
      <c r="E79" s="10">
        <v>2021</v>
      </c>
      <c r="F79" s="10">
        <v>6</v>
      </c>
      <c r="G79" s="10">
        <v>964919472.118366</v>
      </c>
    </row>
    <row r="80" spans="1:7" x14ac:dyDescent="0.25">
      <c r="A80" s="10">
        <v>2021</v>
      </c>
      <c r="B80" s="10">
        <v>7</v>
      </c>
      <c r="C80" s="10">
        <v>966505280.71440196</v>
      </c>
      <c r="E80" s="10">
        <v>2021</v>
      </c>
      <c r="F80" s="10">
        <v>7</v>
      </c>
      <c r="G80" s="10">
        <v>966454447.58211505</v>
      </c>
    </row>
    <row r="81" spans="1:7" x14ac:dyDescent="0.25">
      <c r="A81" s="10">
        <v>2021</v>
      </c>
      <c r="B81" s="10">
        <v>8</v>
      </c>
      <c r="C81" s="10">
        <v>962420196.372545</v>
      </c>
      <c r="E81" s="10">
        <v>2021</v>
      </c>
      <c r="F81" s="10">
        <v>8</v>
      </c>
      <c r="G81" s="10">
        <v>962336182.75986397</v>
      </c>
    </row>
    <row r="82" spans="1:7" x14ac:dyDescent="0.25">
      <c r="A82" s="10">
        <v>2021</v>
      </c>
      <c r="B82" s="10">
        <v>9</v>
      </c>
      <c r="C82" s="10">
        <v>961194650.52295101</v>
      </c>
      <c r="E82" s="10">
        <v>2021</v>
      </c>
      <c r="F82" s="10">
        <v>9</v>
      </c>
      <c r="G82" s="10">
        <v>961123657.39343202</v>
      </c>
    </row>
    <row r="83" spans="1:7" x14ac:dyDescent="0.25">
      <c r="A83" s="10">
        <v>2021</v>
      </c>
      <c r="B83" s="10">
        <v>10</v>
      </c>
      <c r="C83" s="10">
        <v>967615871.81339896</v>
      </c>
      <c r="E83" s="10">
        <v>2021</v>
      </c>
      <c r="F83" s="10">
        <v>10</v>
      </c>
      <c r="G83" s="10">
        <v>967636496.97205806</v>
      </c>
    </row>
    <row r="84" spans="1:7" x14ac:dyDescent="0.25">
      <c r="A84" s="10">
        <v>2021</v>
      </c>
      <c r="B84" s="10">
        <v>11</v>
      </c>
      <c r="C84" s="10">
        <v>979191719.01975405</v>
      </c>
      <c r="E84" s="10">
        <v>2021</v>
      </c>
      <c r="F84" s="10">
        <v>11</v>
      </c>
      <c r="G84" s="10">
        <v>979272196.37677002</v>
      </c>
    </row>
    <row r="85" spans="1:7" x14ac:dyDescent="0.25">
      <c r="A85" s="10">
        <v>2021</v>
      </c>
      <c r="B85" s="10">
        <v>12</v>
      </c>
      <c r="C85" s="10">
        <v>979640440.89312696</v>
      </c>
      <c r="E85" s="10">
        <v>2021</v>
      </c>
      <c r="F85" s="10">
        <v>12</v>
      </c>
      <c r="G85" s="10">
        <v>979659984.61018896</v>
      </c>
    </row>
    <row r="86" spans="1:7" x14ac:dyDescent="0.25">
      <c r="A86" s="10">
        <v>2022</v>
      </c>
      <c r="B86" s="10">
        <v>1</v>
      </c>
      <c r="C86" s="10">
        <v>945093453.08643496</v>
      </c>
      <c r="E86" s="10">
        <v>2022</v>
      </c>
      <c r="F86" s="10">
        <v>1</v>
      </c>
      <c r="G86" s="10">
        <v>945190109.96161795</v>
      </c>
    </row>
    <row r="87" spans="1:7" x14ac:dyDescent="0.25">
      <c r="A87" s="10">
        <v>2022</v>
      </c>
      <c r="B87" s="10">
        <v>2</v>
      </c>
      <c r="C87" s="10">
        <v>981878878.740098</v>
      </c>
      <c r="E87" s="10">
        <v>2022</v>
      </c>
      <c r="F87" s="10">
        <v>2</v>
      </c>
      <c r="G87" s="10">
        <v>981902262.31895995</v>
      </c>
    </row>
    <row r="88" spans="1:7" x14ac:dyDescent="0.25">
      <c r="A88" s="10">
        <v>2022</v>
      </c>
      <c r="B88" s="10">
        <v>3</v>
      </c>
      <c r="C88" s="10">
        <v>977893574.342646</v>
      </c>
      <c r="E88" s="10">
        <v>2022</v>
      </c>
      <c r="F88" s="10">
        <v>3</v>
      </c>
      <c r="G88" s="10">
        <v>977889853.48558497</v>
      </c>
    </row>
    <row r="89" spans="1:7" x14ac:dyDescent="0.25">
      <c r="A89" s="10">
        <v>2022</v>
      </c>
      <c r="B89" s="10">
        <v>4</v>
      </c>
      <c r="C89" s="10">
        <v>970033311.30746901</v>
      </c>
      <c r="E89" s="10">
        <v>2022</v>
      </c>
      <c r="F89" s="10">
        <v>4</v>
      </c>
      <c r="G89" s="10">
        <v>970049252.031425</v>
      </c>
    </row>
    <row r="90" spans="1:7" x14ac:dyDescent="0.25">
      <c r="A90" s="10">
        <v>2022</v>
      </c>
      <c r="B90" s="10">
        <v>5</v>
      </c>
      <c r="C90" s="10">
        <v>970181023.08675301</v>
      </c>
      <c r="E90" s="10">
        <v>2022</v>
      </c>
      <c r="F90" s="10">
        <v>5</v>
      </c>
      <c r="G90" s="10">
        <v>970172105.82410395</v>
      </c>
    </row>
    <row r="91" spans="1:7" x14ac:dyDescent="0.25">
      <c r="A91" s="10">
        <v>2022</v>
      </c>
      <c r="B91" s="10">
        <v>6</v>
      </c>
      <c r="C91" s="10">
        <v>957392521.16022396</v>
      </c>
      <c r="E91" s="10">
        <v>2022</v>
      </c>
      <c r="F91" s="10">
        <v>6</v>
      </c>
      <c r="G91" s="10">
        <v>957388454.18533802</v>
      </c>
    </row>
    <row r="92" spans="1:7" x14ac:dyDescent="0.25">
      <c r="A92" s="10">
        <v>2022</v>
      </c>
      <c r="B92" s="10">
        <v>7</v>
      </c>
      <c r="C92" s="10">
        <v>954615097.75598502</v>
      </c>
      <c r="E92" s="10">
        <v>2022</v>
      </c>
      <c r="F92" s="10">
        <v>7</v>
      </c>
      <c r="G92" s="10">
        <v>954592588.40696204</v>
      </c>
    </row>
    <row r="93" spans="1:7" x14ac:dyDescent="0.25">
      <c r="A93" s="10">
        <v>2022</v>
      </c>
      <c r="B93" s="10">
        <v>8</v>
      </c>
      <c r="C93" s="10">
        <v>965395191.97861505</v>
      </c>
      <c r="E93" s="10">
        <v>2022</v>
      </c>
      <c r="F93" s="10">
        <v>8</v>
      </c>
      <c r="G93" s="10">
        <v>965209230.68392301</v>
      </c>
    </row>
    <row r="94" spans="1:7" x14ac:dyDescent="0.25">
      <c r="A94" s="10">
        <v>2022</v>
      </c>
      <c r="B94" s="10">
        <v>9</v>
      </c>
      <c r="C94" s="10">
        <v>962995525.02625597</v>
      </c>
      <c r="E94" s="10">
        <v>2022</v>
      </c>
      <c r="F94" s="10">
        <v>9</v>
      </c>
      <c r="G94" s="10">
        <v>962852821.343292</v>
      </c>
    </row>
    <row r="95" spans="1:7" x14ac:dyDescent="0.25">
      <c r="A95" s="10">
        <v>2022</v>
      </c>
      <c r="B95" s="10">
        <v>10</v>
      </c>
      <c r="C95" s="10">
        <v>962690697.50940394</v>
      </c>
      <c r="E95" s="10">
        <v>2022</v>
      </c>
      <c r="F95" s="10">
        <v>10</v>
      </c>
      <c r="G95" s="10">
        <v>962600642.13371694</v>
      </c>
    </row>
    <row r="96" spans="1:7" x14ac:dyDescent="0.25">
      <c r="A96" s="10">
        <v>2022</v>
      </c>
      <c r="B96" s="10">
        <v>11</v>
      </c>
      <c r="C96" s="10">
        <v>943905128.59334898</v>
      </c>
      <c r="E96" s="10">
        <v>2022</v>
      </c>
      <c r="F96" s="10">
        <v>11</v>
      </c>
      <c r="G96" s="10">
        <v>944144727.51636505</v>
      </c>
    </row>
    <row r="97" spans="1:7" x14ac:dyDescent="0.25">
      <c r="A97" s="10">
        <v>2022</v>
      </c>
      <c r="B97" s="10">
        <v>12</v>
      </c>
      <c r="C97" s="10">
        <v>961363127.88482106</v>
      </c>
      <c r="E97" s="10">
        <v>2022</v>
      </c>
      <c r="F97" s="10">
        <v>12</v>
      </c>
      <c r="G97" s="10">
        <v>961539929.90713894</v>
      </c>
    </row>
    <row r="98" spans="1:7" x14ac:dyDescent="0.25">
      <c r="A98" s="10">
        <v>2023</v>
      </c>
      <c r="B98" s="10">
        <v>1</v>
      </c>
      <c r="C98" s="10">
        <v>979434670.85418403</v>
      </c>
      <c r="E98" s="10">
        <v>2023</v>
      </c>
      <c r="F98" s="10">
        <v>1</v>
      </c>
      <c r="G98" s="10">
        <v>979528397.27727199</v>
      </c>
    </row>
    <row r="99" spans="1:7" x14ac:dyDescent="0.25">
      <c r="A99" s="10">
        <v>2023</v>
      </c>
      <c r="B99" s="10">
        <v>2</v>
      </c>
      <c r="C99" s="10">
        <v>976825750.07184994</v>
      </c>
      <c r="E99" s="10">
        <v>2023</v>
      </c>
      <c r="F99" s="10">
        <v>2</v>
      </c>
      <c r="G99" s="10">
        <v>976790297.75252998</v>
      </c>
    </row>
    <row r="100" spans="1:7" x14ac:dyDescent="0.25">
      <c r="A100" s="10">
        <v>2023</v>
      </c>
      <c r="B100" s="10">
        <v>3</v>
      </c>
      <c r="C100" s="10">
        <v>955927281.86912501</v>
      </c>
      <c r="E100" s="10">
        <v>2023</v>
      </c>
      <c r="F100" s="10">
        <v>3</v>
      </c>
      <c r="G100" s="10">
        <v>955899818.38914597</v>
      </c>
    </row>
    <row r="101" spans="1:7" x14ac:dyDescent="0.25">
      <c r="A101" s="10">
        <v>2023</v>
      </c>
      <c r="B101" s="10">
        <v>4</v>
      </c>
      <c r="C101" s="10">
        <v>987385294.60797703</v>
      </c>
      <c r="E101" s="10">
        <v>2023</v>
      </c>
      <c r="F101" s="10">
        <v>4</v>
      </c>
      <c r="G101" s="10">
        <v>987446338.92119598</v>
      </c>
    </row>
    <row r="102" spans="1:7" x14ac:dyDescent="0.25">
      <c r="A102" s="10">
        <v>2023</v>
      </c>
      <c r="B102" s="10">
        <v>5</v>
      </c>
      <c r="C102" s="10">
        <v>950505283.77465105</v>
      </c>
      <c r="E102" s="10">
        <v>2023</v>
      </c>
      <c r="F102" s="10">
        <v>5</v>
      </c>
      <c r="G102" s="10">
        <v>950465877.10520601</v>
      </c>
    </row>
    <row r="103" spans="1:7" x14ac:dyDescent="0.25">
      <c r="A103" s="10">
        <v>2023</v>
      </c>
      <c r="B103" s="10">
        <v>6</v>
      </c>
      <c r="C103" s="10">
        <v>948610670.64988899</v>
      </c>
      <c r="E103" s="10">
        <v>2023</v>
      </c>
      <c r="F103" s="10">
        <v>6</v>
      </c>
      <c r="G103" s="10">
        <v>948633411.07158899</v>
      </c>
    </row>
    <row r="104" spans="1:7" x14ac:dyDescent="0.25">
      <c r="A104" s="10">
        <v>2023</v>
      </c>
      <c r="B104" s="10">
        <v>7</v>
      </c>
      <c r="C104" s="10">
        <v>951944129.73262095</v>
      </c>
      <c r="E104" s="10">
        <v>2023</v>
      </c>
      <c r="F104" s="10">
        <v>7</v>
      </c>
      <c r="G104" s="10">
        <v>951915132.15107095</v>
      </c>
    </row>
    <row r="105" spans="1:7" x14ac:dyDescent="0.25">
      <c r="A105" s="10">
        <v>2023</v>
      </c>
      <c r="B105" s="10">
        <v>8</v>
      </c>
      <c r="C105" s="10">
        <v>958391289.13631499</v>
      </c>
      <c r="E105" s="10">
        <v>2023</v>
      </c>
      <c r="F105" s="10">
        <v>8</v>
      </c>
      <c r="G105" s="10">
        <v>958158941.78007901</v>
      </c>
    </row>
    <row r="106" spans="1:7" x14ac:dyDescent="0.25">
      <c r="A106" s="10">
        <v>2023</v>
      </c>
      <c r="B106" s="10">
        <v>9</v>
      </c>
      <c r="C106" s="10">
        <v>921170292.736678</v>
      </c>
      <c r="E106" s="10">
        <v>2023</v>
      </c>
      <c r="F106" s="10">
        <v>9</v>
      </c>
      <c r="G106" s="10">
        <v>920983980.30835998</v>
      </c>
    </row>
    <row r="107" spans="1:7" x14ac:dyDescent="0.25">
      <c r="A107" s="10">
        <v>2023</v>
      </c>
      <c r="B107" s="10">
        <v>10</v>
      </c>
      <c r="C107" s="10">
        <v>911424200.99824095</v>
      </c>
      <c r="E107" s="10">
        <v>2023</v>
      </c>
      <c r="F107" s="10">
        <v>10</v>
      </c>
      <c r="G107" s="10">
        <v>911165312.36132801</v>
      </c>
    </row>
    <row r="108" spans="1:7" x14ac:dyDescent="0.25">
      <c r="A108" s="10">
        <v>2023</v>
      </c>
      <c r="B108" s="10">
        <v>11</v>
      </c>
      <c r="C108" s="10">
        <v>899796287.60797596</v>
      </c>
      <c r="E108" s="10">
        <v>2023</v>
      </c>
      <c r="F108" s="10">
        <v>11</v>
      </c>
      <c r="G108" s="10">
        <v>900134097.578004</v>
      </c>
    </row>
    <row r="109" spans="1:7" x14ac:dyDescent="0.25">
      <c r="A109" s="10">
        <v>2023</v>
      </c>
      <c r="B109" s="10">
        <v>12</v>
      </c>
      <c r="C109" s="10">
        <v>881646737.73301494</v>
      </c>
      <c r="E109" s="10">
        <v>2023</v>
      </c>
      <c r="F109" s="10">
        <v>12</v>
      </c>
      <c r="G109" s="10">
        <v>881992422.73999906</v>
      </c>
    </row>
    <row r="110" spans="1:7" x14ac:dyDescent="0.25">
      <c r="A110" s="10">
        <v>2024</v>
      </c>
      <c r="B110" s="10">
        <v>1</v>
      </c>
      <c r="C110" s="10">
        <v>861206556.35792601</v>
      </c>
      <c r="E110" s="10">
        <v>2024</v>
      </c>
      <c r="F110" s="10">
        <v>1</v>
      </c>
      <c r="G110" s="10">
        <v>861288199.84291804</v>
      </c>
    </row>
    <row r="111" spans="1:7" x14ac:dyDescent="0.25">
      <c r="A111" s="10">
        <v>2024</v>
      </c>
      <c r="B111" s="10">
        <v>2</v>
      </c>
      <c r="C111" s="10">
        <v>841902815.30139399</v>
      </c>
      <c r="E111" s="10">
        <v>2024</v>
      </c>
      <c r="F111" s="10">
        <v>2</v>
      </c>
      <c r="G111" s="10">
        <v>841846392.53581405</v>
      </c>
    </row>
    <row r="112" spans="1:7" x14ac:dyDescent="0.25">
      <c r="A112" s="10">
        <v>2024</v>
      </c>
      <c r="B112" s="10">
        <v>3</v>
      </c>
      <c r="C112" s="10">
        <v>840778778.71455896</v>
      </c>
      <c r="E112" s="10">
        <v>2024</v>
      </c>
      <c r="F112" s="10">
        <v>3</v>
      </c>
      <c r="G112" s="10">
        <v>840835742.439592</v>
      </c>
    </row>
    <row r="113" spans="1:7" x14ac:dyDescent="0.25">
      <c r="A113" s="10">
        <v>2024</v>
      </c>
      <c r="B113" s="10">
        <v>4</v>
      </c>
      <c r="C113" s="10">
        <v>849523567.93656099</v>
      </c>
      <c r="E113" s="10">
        <v>2024</v>
      </c>
      <c r="F113" s="10">
        <v>4</v>
      </c>
      <c r="G113" s="10">
        <v>849505025.99513304</v>
      </c>
    </row>
    <row r="114" spans="1:7" x14ac:dyDescent="0.25">
      <c r="A114" s="10">
        <v>2024</v>
      </c>
      <c r="B114" s="10">
        <v>5</v>
      </c>
      <c r="C114" s="10">
        <v>857680439.81001306</v>
      </c>
      <c r="E114" s="10">
        <v>2024</v>
      </c>
      <c r="F114" s="10">
        <v>5</v>
      </c>
      <c r="G114" s="10">
        <v>857668633.50454295</v>
      </c>
    </row>
    <row r="115" spans="1:7" x14ac:dyDescent="0.25">
      <c r="A115" s="10">
        <v>2024</v>
      </c>
      <c r="B115" s="10">
        <v>6</v>
      </c>
      <c r="C115" s="10">
        <v>883936408.10373402</v>
      </c>
      <c r="E115" s="10">
        <v>2024</v>
      </c>
      <c r="F115" s="10">
        <v>6</v>
      </c>
      <c r="G115" s="10">
        <v>884064134.68037903</v>
      </c>
    </row>
    <row r="116" spans="1:7" x14ac:dyDescent="0.25">
      <c r="A116" s="10">
        <v>2024</v>
      </c>
      <c r="B116" s="10">
        <v>7</v>
      </c>
      <c r="C116" s="10">
        <v>903514866.16098404</v>
      </c>
      <c r="E116" s="10">
        <v>2024</v>
      </c>
      <c r="F116" s="10">
        <v>7</v>
      </c>
      <c r="G116" s="10">
        <v>903410396.01527297</v>
      </c>
    </row>
    <row r="117" spans="1:7" x14ac:dyDescent="0.25">
      <c r="A117" s="10">
        <v>2024</v>
      </c>
      <c r="B117" s="10">
        <v>8</v>
      </c>
      <c r="C117" s="10">
        <v>890572865.38975203</v>
      </c>
      <c r="E117" s="10">
        <v>2024</v>
      </c>
      <c r="F117" s="10">
        <v>8</v>
      </c>
      <c r="G117" s="10">
        <v>890350599.76264095</v>
      </c>
    </row>
    <row r="118" spans="1:7" x14ac:dyDescent="0.25">
      <c r="A118" s="10">
        <v>2024</v>
      </c>
      <c r="B118" s="10">
        <v>9</v>
      </c>
      <c r="C118" s="10">
        <v>898919739.01347101</v>
      </c>
      <c r="E118" s="10">
        <v>2024</v>
      </c>
      <c r="F118" s="10">
        <v>9</v>
      </c>
      <c r="G118" s="10">
        <v>898647337.979164</v>
      </c>
    </row>
    <row r="119" spans="1:7" x14ac:dyDescent="0.25">
      <c r="A119" s="10">
        <v>2024</v>
      </c>
      <c r="B119" s="10">
        <v>10</v>
      </c>
      <c r="C119" s="10">
        <v>903916030.074525</v>
      </c>
      <c r="E119" s="10">
        <v>2024</v>
      </c>
      <c r="F119" s="10">
        <v>10</v>
      </c>
      <c r="G119" s="10">
        <v>903470942.54863203</v>
      </c>
    </row>
    <row r="120" spans="1:7" x14ac:dyDescent="0.25">
      <c r="A120" s="10">
        <v>2024</v>
      </c>
      <c r="B120" s="10">
        <v>11</v>
      </c>
      <c r="C120" s="10">
        <v>913488460.181072</v>
      </c>
      <c r="E120" s="10">
        <v>2024</v>
      </c>
      <c r="F120" s="10">
        <v>11</v>
      </c>
      <c r="G120" s="10">
        <v>913879423.39422703</v>
      </c>
    </row>
    <row r="121" spans="1:7" x14ac:dyDescent="0.25">
      <c r="A121" s="10">
        <v>2024</v>
      </c>
      <c r="B121" s="10">
        <v>12</v>
      </c>
      <c r="C121" s="10">
        <v>923577553.67606902</v>
      </c>
      <c r="E121" s="10">
        <v>2024</v>
      </c>
      <c r="F121" s="10">
        <v>12</v>
      </c>
      <c r="G121" s="10">
        <v>924015421.67584097</v>
      </c>
    </row>
    <row r="122" spans="1:7" x14ac:dyDescent="0.25">
      <c r="A122" s="10">
        <v>2025</v>
      </c>
      <c r="B122" s="10">
        <v>1</v>
      </c>
      <c r="C122" s="10">
        <v>910354288.72196698</v>
      </c>
      <c r="E122" s="10">
        <v>2025</v>
      </c>
      <c r="F122" s="10">
        <v>1</v>
      </c>
      <c r="G122" s="10">
        <v>910487072.53188801</v>
      </c>
    </row>
    <row r="123" spans="1:7" x14ac:dyDescent="0.25">
      <c r="A123" s="10">
        <v>2025</v>
      </c>
      <c r="B123" s="10">
        <v>2</v>
      </c>
      <c r="C123" s="10">
        <v>922869211.68264306</v>
      </c>
      <c r="E123" s="10">
        <v>2025</v>
      </c>
      <c r="F123" s="10">
        <v>2</v>
      </c>
      <c r="G123" s="10">
        <v>922796683.60318506</v>
      </c>
    </row>
    <row r="124" spans="1:7" x14ac:dyDescent="0.25">
      <c r="A124" s="10">
        <v>2025</v>
      </c>
      <c r="B124" s="10">
        <v>3</v>
      </c>
      <c r="C124" s="10">
        <v>954491924.66688704</v>
      </c>
      <c r="E124" s="10">
        <v>2025</v>
      </c>
      <c r="F124" s="10">
        <v>3</v>
      </c>
      <c r="G124" s="10">
        <v>954549642.53634799</v>
      </c>
    </row>
    <row r="125" spans="1:7" x14ac:dyDescent="0.25">
      <c r="A125" s="10">
        <v>2025</v>
      </c>
      <c r="B125" s="10">
        <v>4</v>
      </c>
      <c r="C125" s="10">
        <v>958629461.73050702</v>
      </c>
      <c r="E125" s="10">
        <v>2025</v>
      </c>
      <c r="F125" s="10">
        <v>4</v>
      </c>
      <c r="G125" s="10">
        <v>958618930.52679205</v>
      </c>
    </row>
    <row r="126" spans="1:7" x14ac:dyDescent="0.25">
      <c r="A126" s="10">
        <v>2025</v>
      </c>
      <c r="B126" s="10">
        <v>5</v>
      </c>
      <c r="C126" s="10">
        <v>969810053.88425899</v>
      </c>
      <c r="E126" s="10">
        <v>2025</v>
      </c>
      <c r="F126" s="10">
        <v>5</v>
      </c>
      <c r="G126" s="10">
        <v>969843267.88696098</v>
      </c>
    </row>
    <row r="127" spans="1:7" x14ac:dyDescent="0.25">
      <c r="A127" s="10">
        <v>2025</v>
      </c>
      <c r="B127" s="10">
        <v>6</v>
      </c>
      <c r="C127" s="10">
        <v>970129440.80195701</v>
      </c>
      <c r="E127" s="10">
        <v>2025</v>
      </c>
      <c r="F127" s="10">
        <v>6</v>
      </c>
      <c r="G127" s="10">
        <v>970211921.60091996</v>
      </c>
    </row>
    <row r="128" spans="1:7" x14ac:dyDescent="0.25">
      <c r="A128" s="10">
        <v>2025</v>
      </c>
      <c r="B128" s="10">
        <v>7</v>
      </c>
      <c r="C128" s="10">
        <v>975568461.61451995</v>
      </c>
      <c r="E128" s="10">
        <v>2025</v>
      </c>
      <c r="F128" s="10">
        <v>7</v>
      </c>
      <c r="G128" s="10">
        <v>975460232.55732</v>
      </c>
    </row>
    <row r="129" spans="1:7" x14ac:dyDescent="0.25">
      <c r="A129" s="10">
        <v>2025</v>
      </c>
      <c r="B129" s="10">
        <v>8</v>
      </c>
      <c r="C129" s="10">
        <v>987105230.38458598</v>
      </c>
      <c r="E129" s="10">
        <v>2025</v>
      </c>
      <c r="F129" s="10">
        <v>8</v>
      </c>
      <c r="G129" s="10">
        <v>986892773.91339695</v>
      </c>
    </row>
    <row r="130" spans="1:7" x14ac:dyDescent="0.25">
      <c r="A130" s="10">
        <v>2025</v>
      </c>
      <c r="B130" s="10">
        <v>9</v>
      </c>
      <c r="C130" s="10">
        <v>997335455.56645405</v>
      </c>
      <c r="E130" s="10">
        <v>2025</v>
      </c>
      <c r="F130" s="10">
        <v>9</v>
      </c>
      <c r="G130" s="10">
        <v>996956454.190727</v>
      </c>
    </row>
    <row r="131" spans="1:7" x14ac:dyDescent="0.25">
      <c r="A131" s="10">
        <v>2025</v>
      </c>
      <c r="B131" s="10">
        <v>10</v>
      </c>
      <c r="C131" s="10">
        <v>1002229983.05379</v>
      </c>
      <c r="E131" s="10">
        <v>2025</v>
      </c>
      <c r="F131" s="10">
        <v>10</v>
      </c>
      <c r="G131" s="10">
        <v>1001702486.67414</v>
      </c>
    </row>
    <row r="132" spans="1:7" x14ac:dyDescent="0.25">
      <c r="E132" s="10">
        <v>2025</v>
      </c>
      <c r="F132" s="10">
        <v>11</v>
      </c>
      <c r="G132" s="10">
        <v>996584481.23594105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7F57-6828-420B-A029-28A509509BC8}">
  <dimension ref="A1:C130"/>
  <sheetViews>
    <sheetView workbookViewId="0">
      <selection activeCell="C2" sqref="C2:C130"/>
    </sheetView>
  </sheetViews>
  <sheetFormatPr baseColWidth="10" defaultRowHeight="15" x14ac:dyDescent="0.25"/>
  <cols>
    <col min="1" max="2" width="11.5703125" bestFit="1" customWidth="1"/>
    <col min="3" max="3" width="16.42578125" bestFit="1" customWidth="1"/>
  </cols>
  <sheetData>
    <row r="1" spans="1:3" x14ac:dyDescent="0.25">
      <c r="A1" s="9" t="s">
        <v>6</v>
      </c>
      <c r="B1" s="9" t="s">
        <v>7</v>
      </c>
      <c r="C1" s="9" t="s">
        <v>8</v>
      </c>
    </row>
    <row r="2" spans="1:3" x14ac:dyDescent="0.25">
      <c r="A2" s="10">
        <v>2015</v>
      </c>
      <c r="B2" s="10">
        <v>1</v>
      </c>
      <c r="C2" s="10">
        <v>993875288.502159</v>
      </c>
    </row>
    <row r="3" spans="1:3" x14ac:dyDescent="0.25">
      <c r="A3" s="10">
        <v>2015</v>
      </c>
      <c r="B3" s="10">
        <v>2</v>
      </c>
      <c r="C3" s="10">
        <v>909972917.20622694</v>
      </c>
    </row>
    <row r="4" spans="1:3" x14ac:dyDescent="0.25">
      <c r="A4" s="10">
        <v>2015</v>
      </c>
      <c r="B4" s="10">
        <v>3</v>
      </c>
      <c r="C4" s="10">
        <v>971598048.39457297</v>
      </c>
    </row>
    <row r="5" spans="1:3" x14ac:dyDescent="0.25">
      <c r="A5" s="10">
        <v>2015</v>
      </c>
      <c r="B5" s="10">
        <v>4</v>
      </c>
      <c r="C5" s="10">
        <v>1002026960.7746201</v>
      </c>
    </row>
    <row r="6" spans="1:3" x14ac:dyDescent="0.25">
      <c r="A6" s="10">
        <v>2015</v>
      </c>
      <c r="B6" s="10">
        <v>5</v>
      </c>
      <c r="C6" s="10">
        <v>1014922634.6575201</v>
      </c>
    </row>
    <row r="7" spans="1:3" x14ac:dyDescent="0.25">
      <c r="A7" s="10">
        <v>2015</v>
      </c>
      <c r="B7" s="10">
        <v>6</v>
      </c>
      <c r="C7" s="10">
        <v>1028702611.46462</v>
      </c>
    </row>
    <row r="8" spans="1:3" x14ac:dyDescent="0.25">
      <c r="A8" s="10">
        <v>2015</v>
      </c>
      <c r="B8" s="10">
        <v>7</v>
      </c>
      <c r="C8" s="10">
        <v>1029359330.31627</v>
      </c>
    </row>
    <row r="9" spans="1:3" x14ac:dyDescent="0.25">
      <c r="A9" s="10">
        <v>2015</v>
      </c>
      <c r="B9" s="10">
        <v>8</v>
      </c>
      <c r="C9" s="10">
        <v>1009495543.9352601</v>
      </c>
    </row>
    <row r="10" spans="1:3" x14ac:dyDescent="0.25">
      <c r="A10" s="10">
        <v>2015</v>
      </c>
      <c r="B10" s="10">
        <v>9</v>
      </c>
      <c r="C10" s="10">
        <v>1037607506.19744</v>
      </c>
    </row>
    <row r="11" spans="1:3" x14ac:dyDescent="0.25">
      <c r="A11" s="10">
        <v>2015</v>
      </c>
      <c r="B11" s="10">
        <v>10</v>
      </c>
      <c r="C11" s="10">
        <v>1037520224.8716201</v>
      </c>
    </row>
    <row r="12" spans="1:3" x14ac:dyDescent="0.25">
      <c r="A12" s="10">
        <v>2015</v>
      </c>
      <c r="B12" s="10">
        <v>11</v>
      </c>
      <c r="C12" s="10">
        <v>1024548927.00135</v>
      </c>
    </row>
    <row r="13" spans="1:3" x14ac:dyDescent="0.25">
      <c r="A13" s="10">
        <v>2015</v>
      </c>
      <c r="B13" s="10">
        <v>12</v>
      </c>
      <c r="C13" s="10">
        <v>1006745628.21762</v>
      </c>
    </row>
    <row r="14" spans="1:3" x14ac:dyDescent="0.25">
      <c r="A14" s="10">
        <v>2016</v>
      </c>
      <c r="B14" s="10">
        <v>1</v>
      </c>
      <c r="C14" s="10">
        <v>926128856.22244</v>
      </c>
    </row>
    <row r="15" spans="1:3" x14ac:dyDescent="0.25">
      <c r="A15" s="10">
        <v>2016</v>
      </c>
      <c r="B15" s="10">
        <v>2</v>
      </c>
      <c r="C15" s="10">
        <v>920071704.792436</v>
      </c>
    </row>
    <row r="16" spans="1:3" x14ac:dyDescent="0.25">
      <c r="A16" s="10">
        <v>2016</v>
      </c>
      <c r="B16" s="10">
        <v>3</v>
      </c>
      <c r="C16" s="10">
        <v>920473125.20619297</v>
      </c>
    </row>
    <row r="17" spans="1:3" x14ac:dyDescent="0.25">
      <c r="A17" s="10">
        <v>2016</v>
      </c>
      <c r="B17" s="10">
        <v>4</v>
      </c>
      <c r="C17" s="10">
        <v>819164695.15920198</v>
      </c>
    </row>
    <row r="18" spans="1:3" x14ac:dyDescent="0.25">
      <c r="A18" s="10">
        <v>2016</v>
      </c>
      <c r="B18" s="10">
        <v>5</v>
      </c>
      <c r="C18" s="10">
        <v>806290055.966717</v>
      </c>
    </row>
    <row r="19" spans="1:3" x14ac:dyDescent="0.25">
      <c r="A19" s="10">
        <v>2016</v>
      </c>
      <c r="B19" s="10">
        <v>6</v>
      </c>
      <c r="C19" s="10">
        <v>818650662.39239204</v>
      </c>
    </row>
    <row r="20" spans="1:3" x14ac:dyDescent="0.25">
      <c r="A20" s="10">
        <v>2016</v>
      </c>
      <c r="B20" s="10">
        <v>7</v>
      </c>
      <c r="C20" s="10">
        <v>819796268.95796502</v>
      </c>
    </row>
    <row r="21" spans="1:3" x14ac:dyDescent="0.25">
      <c r="A21" s="10">
        <v>2016</v>
      </c>
      <c r="B21" s="10">
        <v>8</v>
      </c>
      <c r="C21" s="10">
        <v>852192453.88905799</v>
      </c>
    </row>
    <row r="22" spans="1:3" x14ac:dyDescent="0.25">
      <c r="A22" s="10">
        <v>2016</v>
      </c>
      <c r="B22" s="10">
        <v>9</v>
      </c>
      <c r="C22" s="10">
        <v>865312762.90464306</v>
      </c>
    </row>
    <row r="23" spans="1:3" x14ac:dyDescent="0.25">
      <c r="A23" s="10">
        <v>2016</v>
      </c>
      <c r="B23" s="10">
        <v>10</v>
      </c>
      <c r="C23" s="10">
        <v>848459062.57892895</v>
      </c>
    </row>
    <row r="24" spans="1:3" x14ac:dyDescent="0.25">
      <c r="A24" s="10">
        <v>2016</v>
      </c>
      <c r="B24" s="10">
        <v>11</v>
      </c>
      <c r="C24" s="10">
        <v>830616250.37891495</v>
      </c>
    </row>
    <row r="25" spans="1:3" x14ac:dyDescent="0.25">
      <c r="A25" s="10">
        <v>2016</v>
      </c>
      <c r="B25" s="10">
        <v>12</v>
      </c>
      <c r="C25" s="10">
        <v>850261760.62521195</v>
      </c>
    </row>
    <row r="26" spans="1:3" x14ac:dyDescent="0.25">
      <c r="A26" s="10">
        <v>2017</v>
      </c>
      <c r="B26" s="10">
        <v>1</v>
      </c>
      <c r="C26" s="10">
        <v>833267507.01084495</v>
      </c>
    </row>
    <row r="27" spans="1:3" x14ac:dyDescent="0.25">
      <c r="A27" s="10">
        <v>2017</v>
      </c>
      <c r="B27" s="10">
        <v>2</v>
      </c>
      <c r="C27" s="10">
        <v>842762729.37761199</v>
      </c>
    </row>
    <row r="28" spans="1:3" x14ac:dyDescent="0.25">
      <c r="A28" s="10">
        <v>2017</v>
      </c>
      <c r="B28" s="10">
        <v>3</v>
      </c>
      <c r="C28" s="10">
        <v>838812333.62922895</v>
      </c>
    </row>
    <row r="29" spans="1:3" x14ac:dyDescent="0.25">
      <c r="A29" s="10">
        <v>2017</v>
      </c>
      <c r="B29" s="10">
        <v>4</v>
      </c>
      <c r="C29" s="10">
        <v>833050162.27027404</v>
      </c>
    </row>
    <row r="30" spans="1:3" x14ac:dyDescent="0.25">
      <c r="A30" s="10">
        <v>2017</v>
      </c>
      <c r="B30" s="10">
        <v>5</v>
      </c>
      <c r="C30" s="10">
        <v>847182735.67851901</v>
      </c>
    </row>
    <row r="31" spans="1:3" x14ac:dyDescent="0.25">
      <c r="A31" s="10">
        <v>2017</v>
      </c>
      <c r="B31" s="10">
        <v>6</v>
      </c>
      <c r="C31" s="10">
        <v>840004106.300174</v>
      </c>
    </row>
    <row r="32" spans="1:3" x14ac:dyDescent="0.25">
      <c r="A32" s="10">
        <v>2017</v>
      </c>
      <c r="B32" s="10">
        <v>7</v>
      </c>
      <c r="C32" s="10">
        <v>838711444.33745801</v>
      </c>
    </row>
    <row r="33" spans="1:3" x14ac:dyDescent="0.25">
      <c r="A33" s="10">
        <v>2017</v>
      </c>
      <c r="B33" s="10">
        <v>8</v>
      </c>
      <c r="C33" s="10">
        <v>826237952.13972497</v>
      </c>
    </row>
    <row r="34" spans="1:3" x14ac:dyDescent="0.25">
      <c r="A34" s="10">
        <v>2017</v>
      </c>
      <c r="B34" s="10">
        <v>9</v>
      </c>
      <c r="C34" s="10">
        <v>828663202.18536699</v>
      </c>
    </row>
    <row r="35" spans="1:3" x14ac:dyDescent="0.25">
      <c r="A35" s="10">
        <v>2017</v>
      </c>
      <c r="B35" s="10">
        <v>10</v>
      </c>
      <c r="C35" s="10">
        <v>838960496.37011003</v>
      </c>
    </row>
    <row r="36" spans="1:3" x14ac:dyDescent="0.25">
      <c r="A36" s="10">
        <v>2017</v>
      </c>
      <c r="B36" s="10">
        <v>11</v>
      </c>
      <c r="C36" s="10">
        <v>865080797.19822001</v>
      </c>
    </row>
    <row r="37" spans="1:3" x14ac:dyDescent="0.25">
      <c r="A37" s="10">
        <v>2017</v>
      </c>
      <c r="B37" s="10">
        <v>12</v>
      </c>
      <c r="C37" s="10">
        <v>870114435.19904494</v>
      </c>
    </row>
    <row r="38" spans="1:3" x14ac:dyDescent="0.25">
      <c r="A38" s="10">
        <v>2018</v>
      </c>
      <c r="B38" s="10">
        <v>1</v>
      </c>
      <c r="C38" s="10">
        <v>906686457.30745602</v>
      </c>
    </row>
    <row r="39" spans="1:3" x14ac:dyDescent="0.25">
      <c r="A39" s="10">
        <v>2018</v>
      </c>
      <c r="B39" s="10">
        <v>2</v>
      </c>
      <c r="C39" s="10">
        <v>900865377.41869104</v>
      </c>
    </row>
    <row r="40" spans="1:3" x14ac:dyDescent="0.25">
      <c r="A40" s="10">
        <v>2018</v>
      </c>
      <c r="B40" s="10">
        <v>3</v>
      </c>
      <c r="C40" s="10">
        <v>918421875.29275095</v>
      </c>
    </row>
    <row r="41" spans="1:3" x14ac:dyDescent="0.25">
      <c r="A41" s="10">
        <v>2018</v>
      </c>
      <c r="B41" s="10">
        <v>4</v>
      </c>
      <c r="C41" s="10">
        <v>898860297.85704994</v>
      </c>
    </row>
    <row r="42" spans="1:3" x14ac:dyDescent="0.25">
      <c r="A42" s="10">
        <v>2018</v>
      </c>
      <c r="B42" s="10">
        <v>5</v>
      </c>
      <c r="C42" s="10">
        <v>861892858.39777505</v>
      </c>
    </row>
    <row r="43" spans="1:3" x14ac:dyDescent="0.25">
      <c r="A43" s="10">
        <v>2018</v>
      </c>
      <c r="B43" s="10">
        <v>6</v>
      </c>
      <c r="C43" s="10">
        <v>878329802.87620699</v>
      </c>
    </row>
    <row r="44" spans="1:3" x14ac:dyDescent="0.25">
      <c r="A44" s="10">
        <v>2018</v>
      </c>
      <c r="B44" s="10">
        <v>7</v>
      </c>
      <c r="C44" s="10">
        <v>871254041.655936</v>
      </c>
    </row>
    <row r="45" spans="1:3" x14ac:dyDescent="0.25">
      <c r="A45" s="10">
        <v>2018</v>
      </c>
      <c r="B45" s="10">
        <v>8</v>
      </c>
      <c r="C45" s="10">
        <v>862244338.14054704</v>
      </c>
    </row>
    <row r="46" spans="1:3" x14ac:dyDescent="0.25">
      <c r="A46" s="10">
        <v>2018</v>
      </c>
      <c r="B46" s="10">
        <v>9</v>
      </c>
      <c r="C46" s="10">
        <v>865874083.08968198</v>
      </c>
    </row>
    <row r="47" spans="1:3" x14ac:dyDescent="0.25">
      <c r="A47" s="10">
        <v>2018</v>
      </c>
      <c r="B47" s="10">
        <v>10</v>
      </c>
      <c r="C47" s="10">
        <v>862531864.157552</v>
      </c>
    </row>
    <row r="48" spans="1:3" x14ac:dyDescent="0.25">
      <c r="A48" s="10">
        <v>2018</v>
      </c>
      <c r="B48" s="10">
        <v>11</v>
      </c>
      <c r="C48" s="10">
        <v>854850762.01990902</v>
      </c>
    </row>
    <row r="49" spans="1:3" x14ac:dyDescent="0.25">
      <c r="A49" s="10">
        <v>2018</v>
      </c>
      <c r="B49" s="10">
        <v>12</v>
      </c>
      <c r="C49" s="10">
        <v>849458792.12598395</v>
      </c>
    </row>
    <row r="50" spans="1:3" x14ac:dyDescent="0.25">
      <c r="A50" s="10">
        <v>2019</v>
      </c>
      <c r="B50" s="10">
        <v>1</v>
      </c>
      <c r="C50" s="10">
        <v>841944394.36700296</v>
      </c>
    </row>
    <row r="51" spans="1:3" x14ac:dyDescent="0.25">
      <c r="A51" s="10">
        <v>2019</v>
      </c>
      <c r="B51" s="10">
        <v>2</v>
      </c>
      <c r="C51" s="10">
        <v>826514669.743137</v>
      </c>
    </row>
    <row r="52" spans="1:3" x14ac:dyDescent="0.25">
      <c r="A52" s="10">
        <v>2019</v>
      </c>
      <c r="B52" s="10">
        <v>3</v>
      </c>
      <c r="C52" s="10">
        <v>856981711.93528402</v>
      </c>
    </row>
    <row r="53" spans="1:3" x14ac:dyDescent="0.25">
      <c r="A53" s="10">
        <v>2019</v>
      </c>
      <c r="B53" s="10">
        <v>4</v>
      </c>
      <c r="C53" s="10">
        <v>861741458.64251304</v>
      </c>
    </row>
    <row r="54" spans="1:3" x14ac:dyDescent="0.25">
      <c r="A54" s="10">
        <v>2019</v>
      </c>
      <c r="B54" s="10">
        <v>5</v>
      </c>
      <c r="C54" s="10">
        <v>847458646.76556301</v>
      </c>
    </row>
    <row r="55" spans="1:3" x14ac:dyDescent="0.25">
      <c r="A55" s="10">
        <v>2019</v>
      </c>
      <c r="B55" s="10">
        <v>6</v>
      </c>
      <c r="C55" s="10">
        <v>852921575.54914296</v>
      </c>
    </row>
    <row r="56" spans="1:3" x14ac:dyDescent="0.25">
      <c r="A56" s="10">
        <v>2019</v>
      </c>
      <c r="B56" s="10">
        <v>7</v>
      </c>
      <c r="C56" s="10">
        <v>869236176.01071298</v>
      </c>
    </row>
    <row r="57" spans="1:3" x14ac:dyDescent="0.25">
      <c r="A57" s="10">
        <v>2019</v>
      </c>
      <c r="B57" s="10">
        <v>8</v>
      </c>
      <c r="C57" s="10">
        <v>880598601.95916498</v>
      </c>
    </row>
    <row r="58" spans="1:3" x14ac:dyDescent="0.25">
      <c r="A58" s="10">
        <v>2019</v>
      </c>
      <c r="B58" s="10">
        <v>9</v>
      </c>
      <c r="C58" s="10">
        <v>879315073.74800706</v>
      </c>
    </row>
    <row r="59" spans="1:3" x14ac:dyDescent="0.25">
      <c r="A59" s="10">
        <v>2019</v>
      </c>
      <c r="B59" s="10">
        <v>10</v>
      </c>
      <c r="C59" s="10">
        <v>873462609.89536798</v>
      </c>
    </row>
    <row r="60" spans="1:3" x14ac:dyDescent="0.25">
      <c r="A60" s="10">
        <v>2019</v>
      </c>
      <c r="B60" s="10">
        <v>11</v>
      </c>
      <c r="C60" s="10">
        <v>871301105.11769199</v>
      </c>
    </row>
    <row r="61" spans="1:3" x14ac:dyDescent="0.25">
      <c r="A61" s="10">
        <v>2019</v>
      </c>
      <c r="B61" s="10">
        <v>12</v>
      </c>
      <c r="C61" s="10">
        <v>880573884.875471</v>
      </c>
    </row>
    <row r="62" spans="1:3" x14ac:dyDescent="0.25">
      <c r="A62" s="10">
        <v>2020</v>
      </c>
      <c r="B62" s="10">
        <v>1</v>
      </c>
      <c r="C62" s="10">
        <v>886140028.00277603</v>
      </c>
    </row>
    <row r="63" spans="1:3" x14ac:dyDescent="0.25">
      <c r="A63" s="10">
        <v>2020</v>
      </c>
      <c r="B63" s="10">
        <v>2</v>
      </c>
      <c r="C63" s="10">
        <v>909367311.73658097</v>
      </c>
    </row>
    <row r="64" spans="1:3" x14ac:dyDescent="0.25">
      <c r="A64" s="10">
        <v>2020</v>
      </c>
      <c r="B64" s="10">
        <v>3</v>
      </c>
      <c r="C64" s="10">
        <v>909973751.40437198</v>
      </c>
    </row>
    <row r="65" spans="1:3" x14ac:dyDescent="0.25">
      <c r="A65" s="10">
        <v>2020</v>
      </c>
      <c r="B65" s="10">
        <v>4</v>
      </c>
      <c r="C65" s="10">
        <v>921067688.66572702</v>
      </c>
    </row>
    <row r="66" spans="1:3" x14ac:dyDescent="0.25">
      <c r="A66" s="10">
        <v>2020</v>
      </c>
      <c r="B66" s="10">
        <v>5</v>
      </c>
      <c r="C66" s="10">
        <v>933451070.47169101</v>
      </c>
    </row>
    <row r="67" spans="1:3" x14ac:dyDescent="0.25">
      <c r="A67" s="10">
        <v>2020</v>
      </c>
      <c r="B67" s="10">
        <v>6</v>
      </c>
      <c r="C67" s="10">
        <v>938916480.30835497</v>
      </c>
    </row>
    <row r="68" spans="1:3" x14ac:dyDescent="0.25">
      <c r="A68" s="10">
        <v>2020</v>
      </c>
      <c r="B68" s="10">
        <v>7</v>
      </c>
      <c r="C68" s="10">
        <v>934438740.28819597</v>
      </c>
    </row>
    <row r="69" spans="1:3" x14ac:dyDescent="0.25">
      <c r="A69" s="10">
        <v>2020</v>
      </c>
      <c r="B69" s="10">
        <v>8</v>
      </c>
      <c r="C69" s="10">
        <v>926852283.346681</v>
      </c>
    </row>
    <row r="70" spans="1:3" x14ac:dyDescent="0.25">
      <c r="A70" s="10">
        <v>2020</v>
      </c>
      <c r="B70" s="10">
        <v>9</v>
      </c>
      <c r="C70" s="10">
        <v>915274954.73518598</v>
      </c>
    </row>
    <row r="71" spans="1:3" x14ac:dyDescent="0.25">
      <c r="A71" s="10">
        <v>2020</v>
      </c>
      <c r="B71" s="10">
        <v>10</v>
      </c>
      <c r="C71" s="10">
        <v>932171988.35458601</v>
      </c>
    </row>
    <row r="72" spans="1:3" x14ac:dyDescent="0.25">
      <c r="A72" s="10">
        <v>2020</v>
      </c>
      <c r="B72" s="10">
        <v>11</v>
      </c>
      <c r="C72" s="10">
        <v>936529451.52294195</v>
      </c>
    </row>
    <row r="73" spans="1:3" x14ac:dyDescent="0.25">
      <c r="A73" s="10">
        <v>2020</v>
      </c>
      <c r="B73" s="10">
        <v>12</v>
      </c>
      <c r="C73" s="10">
        <v>947446577.50224602</v>
      </c>
    </row>
    <row r="74" spans="1:3" x14ac:dyDescent="0.25">
      <c r="A74" s="10">
        <v>2021</v>
      </c>
      <c r="B74" s="10">
        <v>1</v>
      </c>
      <c r="C74" s="10">
        <v>952642442.49692595</v>
      </c>
    </row>
    <row r="75" spans="1:3" x14ac:dyDescent="0.25">
      <c r="A75" s="10">
        <v>2021</v>
      </c>
      <c r="B75" s="10">
        <v>2</v>
      </c>
      <c r="C75" s="10">
        <v>948869669.41343701</v>
      </c>
    </row>
    <row r="76" spans="1:3" x14ac:dyDescent="0.25">
      <c r="A76" s="10">
        <v>2021</v>
      </c>
      <c r="B76" s="10">
        <v>3</v>
      </c>
      <c r="C76" s="10">
        <v>951074803.58835602</v>
      </c>
    </row>
    <row r="77" spans="1:3" x14ac:dyDescent="0.25">
      <c r="A77" s="10">
        <v>2021</v>
      </c>
      <c r="B77" s="10">
        <v>4</v>
      </c>
      <c r="C77" s="10">
        <v>951139501.871243</v>
      </c>
    </row>
    <row r="78" spans="1:3" x14ac:dyDescent="0.25">
      <c r="A78" s="10">
        <v>2021</v>
      </c>
      <c r="B78" s="10">
        <v>5</v>
      </c>
      <c r="C78" s="10">
        <v>964716347.749753</v>
      </c>
    </row>
    <row r="79" spans="1:3" x14ac:dyDescent="0.25">
      <c r="A79" s="10">
        <v>2021</v>
      </c>
      <c r="B79" s="10">
        <v>6</v>
      </c>
      <c r="C79" s="10">
        <v>964904375.07586503</v>
      </c>
    </row>
    <row r="80" spans="1:3" x14ac:dyDescent="0.25">
      <c r="A80" s="10">
        <v>2021</v>
      </c>
      <c r="B80" s="10">
        <v>7</v>
      </c>
      <c r="C80" s="10">
        <v>966440199.12702298</v>
      </c>
    </row>
    <row r="81" spans="1:3" x14ac:dyDescent="0.25">
      <c r="A81" s="10">
        <v>2021</v>
      </c>
      <c r="B81" s="10">
        <v>8</v>
      </c>
      <c r="C81" s="10">
        <v>962304262.24553204</v>
      </c>
    </row>
    <row r="82" spans="1:3" x14ac:dyDescent="0.25">
      <c r="A82" s="10">
        <v>2021</v>
      </c>
      <c r="B82" s="10">
        <v>9</v>
      </c>
      <c r="C82" s="10">
        <v>961152478.51723504</v>
      </c>
    </row>
    <row r="83" spans="1:3" x14ac:dyDescent="0.25">
      <c r="A83" s="10">
        <v>2021</v>
      </c>
      <c r="B83" s="10">
        <v>10</v>
      </c>
      <c r="C83" s="10">
        <v>967603818.25924003</v>
      </c>
    </row>
    <row r="84" spans="1:3" x14ac:dyDescent="0.25">
      <c r="A84" s="10">
        <v>2021</v>
      </c>
      <c r="B84" s="10">
        <v>11</v>
      </c>
      <c r="C84" s="10">
        <v>979242411.64114499</v>
      </c>
    </row>
    <row r="85" spans="1:3" x14ac:dyDescent="0.25">
      <c r="A85" s="10">
        <v>2021</v>
      </c>
      <c r="B85" s="10">
        <v>12</v>
      </c>
      <c r="C85" s="10">
        <v>979690186.93550098</v>
      </c>
    </row>
    <row r="86" spans="1:3" x14ac:dyDescent="0.25">
      <c r="A86" s="10">
        <v>2022</v>
      </c>
      <c r="B86" s="10">
        <v>1</v>
      </c>
      <c r="C86" s="10">
        <v>945121986.74219203</v>
      </c>
    </row>
    <row r="87" spans="1:3" x14ac:dyDescent="0.25">
      <c r="A87" s="10">
        <v>2022</v>
      </c>
      <c r="B87" s="10">
        <v>2</v>
      </c>
      <c r="C87" s="10">
        <v>981954790.08423102</v>
      </c>
    </row>
    <row r="88" spans="1:3" x14ac:dyDescent="0.25">
      <c r="A88" s="10">
        <v>2022</v>
      </c>
      <c r="B88" s="10">
        <v>3</v>
      </c>
      <c r="C88" s="10">
        <v>978041773.15394199</v>
      </c>
    </row>
    <row r="89" spans="1:3" x14ac:dyDescent="0.25">
      <c r="A89" s="10">
        <v>2022</v>
      </c>
      <c r="B89" s="10">
        <v>4</v>
      </c>
      <c r="C89" s="10">
        <v>970093901.51077795</v>
      </c>
    </row>
    <row r="90" spans="1:3" x14ac:dyDescent="0.25">
      <c r="A90" s="10">
        <v>2022</v>
      </c>
      <c r="B90" s="10">
        <v>5</v>
      </c>
      <c r="C90" s="10">
        <v>970190451.24679697</v>
      </c>
    </row>
    <row r="91" spans="1:3" x14ac:dyDescent="0.25">
      <c r="A91" s="10">
        <v>2022</v>
      </c>
      <c r="B91" s="10">
        <v>6</v>
      </c>
      <c r="C91" s="10">
        <v>957298594.54972601</v>
      </c>
    </row>
    <row r="92" spans="1:3" x14ac:dyDescent="0.25">
      <c r="A92" s="10">
        <v>2022</v>
      </c>
      <c r="B92" s="10">
        <v>7</v>
      </c>
      <c r="C92" s="10">
        <v>954468131.290537</v>
      </c>
    </row>
    <row r="93" spans="1:3" x14ac:dyDescent="0.25">
      <c r="A93" s="10">
        <v>2022</v>
      </c>
      <c r="B93" s="10">
        <v>8</v>
      </c>
      <c r="C93" s="10">
        <v>965148682.41265094</v>
      </c>
    </row>
    <row r="94" spans="1:3" x14ac:dyDescent="0.25">
      <c r="A94" s="10">
        <v>2022</v>
      </c>
      <c r="B94" s="10">
        <v>9</v>
      </c>
      <c r="C94" s="10">
        <v>962811644.11328101</v>
      </c>
    </row>
    <row r="95" spans="1:3" x14ac:dyDescent="0.25">
      <c r="A95" s="10">
        <v>2022</v>
      </c>
      <c r="B95" s="10">
        <v>10</v>
      </c>
      <c r="C95" s="10">
        <v>962803167.30369103</v>
      </c>
    </row>
    <row r="96" spans="1:3" x14ac:dyDescent="0.25">
      <c r="A96" s="10">
        <v>2022</v>
      </c>
      <c r="B96" s="10">
        <v>11</v>
      </c>
      <c r="C96" s="10">
        <v>944043484.09042096</v>
      </c>
    </row>
    <row r="97" spans="1:3" x14ac:dyDescent="0.25">
      <c r="A97" s="10">
        <v>2022</v>
      </c>
      <c r="B97" s="10">
        <v>12</v>
      </c>
      <c r="C97" s="10">
        <v>961471530.89347506</v>
      </c>
    </row>
    <row r="98" spans="1:3" x14ac:dyDescent="0.25">
      <c r="A98" s="10">
        <v>2023</v>
      </c>
      <c r="B98" s="10">
        <v>1</v>
      </c>
      <c r="C98" s="10">
        <v>979487875.99972904</v>
      </c>
    </row>
    <row r="99" spans="1:3" x14ac:dyDescent="0.25">
      <c r="A99" s="10">
        <v>2023</v>
      </c>
      <c r="B99" s="10">
        <v>2</v>
      </c>
      <c r="C99" s="10">
        <v>976945505.66193604</v>
      </c>
    </row>
    <row r="100" spans="1:3" x14ac:dyDescent="0.25">
      <c r="A100" s="10">
        <v>2023</v>
      </c>
      <c r="B100" s="10">
        <v>3</v>
      </c>
      <c r="C100" s="10">
        <v>956131973.73592401</v>
      </c>
    </row>
    <row r="101" spans="1:3" x14ac:dyDescent="0.25">
      <c r="A101" s="10">
        <v>2023</v>
      </c>
      <c r="B101" s="10">
        <v>4</v>
      </c>
      <c r="C101" s="10">
        <v>987461598.00435603</v>
      </c>
    </row>
    <row r="102" spans="1:3" x14ac:dyDescent="0.25">
      <c r="A102" s="10">
        <v>2023</v>
      </c>
      <c r="B102" s="10">
        <v>5</v>
      </c>
      <c r="C102" s="10">
        <v>950491952.98198998</v>
      </c>
    </row>
    <row r="103" spans="1:3" x14ac:dyDescent="0.25">
      <c r="A103" s="10">
        <v>2023</v>
      </c>
      <c r="B103" s="10">
        <v>6</v>
      </c>
      <c r="C103" s="10">
        <v>948439316.36651301</v>
      </c>
    </row>
    <row r="104" spans="1:3" x14ac:dyDescent="0.25">
      <c r="A104" s="10">
        <v>2023</v>
      </c>
      <c r="B104" s="10">
        <v>7</v>
      </c>
      <c r="C104" s="10">
        <v>951677134.14098704</v>
      </c>
    </row>
    <row r="105" spans="1:3" x14ac:dyDescent="0.25">
      <c r="A105" s="10">
        <v>2023</v>
      </c>
      <c r="B105" s="10">
        <v>8</v>
      </c>
      <c r="C105" s="10">
        <v>957960742.70616102</v>
      </c>
    </row>
    <row r="106" spans="1:3" x14ac:dyDescent="0.25">
      <c r="A106" s="10">
        <v>2023</v>
      </c>
      <c r="B106" s="10">
        <v>9</v>
      </c>
      <c r="C106" s="10">
        <v>920713315.83702803</v>
      </c>
    </row>
    <row r="107" spans="1:3" x14ac:dyDescent="0.25">
      <c r="A107" s="10">
        <v>2023</v>
      </c>
      <c r="B107" s="10">
        <v>10</v>
      </c>
      <c r="C107" s="10">
        <v>912038262.05795097</v>
      </c>
    </row>
    <row r="108" spans="1:3" x14ac:dyDescent="0.25">
      <c r="A108" s="10">
        <v>2023</v>
      </c>
      <c r="B108" s="10">
        <v>11</v>
      </c>
      <c r="C108" s="10">
        <v>900025872.23082399</v>
      </c>
    </row>
    <row r="109" spans="1:3" x14ac:dyDescent="0.25">
      <c r="A109" s="10">
        <v>2023</v>
      </c>
      <c r="B109" s="10">
        <v>12</v>
      </c>
      <c r="C109" s="10">
        <v>881805123.92894101</v>
      </c>
    </row>
    <row r="110" spans="1:3" x14ac:dyDescent="0.25">
      <c r="A110" s="10">
        <v>2024</v>
      </c>
      <c r="B110" s="10">
        <v>1</v>
      </c>
      <c r="C110" s="10">
        <v>861257330.78938496</v>
      </c>
    </row>
    <row r="111" spans="1:3" x14ac:dyDescent="0.25">
      <c r="A111" s="10">
        <v>2024</v>
      </c>
      <c r="B111" s="10">
        <v>2</v>
      </c>
      <c r="C111" s="10">
        <v>842029716.71812999</v>
      </c>
    </row>
    <row r="112" spans="1:3" x14ac:dyDescent="0.25">
      <c r="A112" s="10">
        <v>2024</v>
      </c>
      <c r="B112" s="10">
        <v>3</v>
      </c>
      <c r="C112" s="10">
        <v>841000366.98093903</v>
      </c>
    </row>
    <row r="113" spans="1:3" x14ac:dyDescent="0.25">
      <c r="A113" s="10">
        <v>2024</v>
      </c>
      <c r="B113" s="10">
        <v>4</v>
      </c>
      <c r="C113" s="10">
        <v>849600661.429214</v>
      </c>
    </row>
    <row r="114" spans="1:3" x14ac:dyDescent="0.25">
      <c r="A114" s="10">
        <v>2024</v>
      </c>
      <c r="B114" s="10">
        <v>5</v>
      </c>
      <c r="C114" s="10">
        <v>857621435.07972205</v>
      </c>
    </row>
    <row r="115" spans="1:3" x14ac:dyDescent="0.25">
      <c r="A115" s="10">
        <v>2024</v>
      </c>
      <c r="B115" s="10">
        <v>6</v>
      </c>
      <c r="C115" s="10">
        <v>883682811.28901696</v>
      </c>
    </row>
    <row r="116" spans="1:3" x14ac:dyDescent="0.25">
      <c r="A116" s="10">
        <v>2024</v>
      </c>
      <c r="B116" s="10">
        <v>7</v>
      </c>
      <c r="C116" s="10">
        <v>903137305.78915501</v>
      </c>
    </row>
    <row r="117" spans="1:3" x14ac:dyDescent="0.25">
      <c r="A117" s="10">
        <v>2024</v>
      </c>
      <c r="B117" s="10">
        <v>8</v>
      </c>
      <c r="C117" s="10">
        <v>889914022.32885098</v>
      </c>
    </row>
    <row r="118" spans="1:3" x14ac:dyDescent="0.25">
      <c r="A118" s="10">
        <v>2024</v>
      </c>
      <c r="B118" s="10">
        <v>9</v>
      </c>
      <c r="C118" s="10">
        <v>898135274.84023094</v>
      </c>
    </row>
    <row r="119" spans="1:3" x14ac:dyDescent="0.25">
      <c r="A119" s="10">
        <v>2024</v>
      </c>
      <c r="B119" s="10">
        <v>10</v>
      </c>
      <c r="C119" s="10">
        <v>905247278.41588902</v>
      </c>
    </row>
    <row r="120" spans="1:3" x14ac:dyDescent="0.25">
      <c r="A120" s="10">
        <v>2024</v>
      </c>
      <c r="B120" s="10">
        <v>11</v>
      </c>
      <c r="C120" s="10">
        <v>913792816.93704295</v>
      </c>
    </row>
    <row r="121" spans="1:3" x14ac:dyDescent="0.25">
      <c r="A121" s="10">
        <v>2024</v>
      </c>
      <c r="B121" s="10">
        <v>12</v>
      </c>
      <c r="C121" s="10">
        <v>923775832.257128</v>
      </c>
    </row>
    <row r="122" spans="1:3" x14ac:dyDescent="0.25">
      <c r="A122" s="10">
        <v>2025</v>
      </c>
      <c r="B122" s="10">
        <v>1</v>
      </c>
      <c r="C122" s="10">
        <v>910395102.58877206</v>
      </c>
    </row>
    <row r="123" spans="1:3" x14ac:dyDescent="0.25">
      <c r="A123" s="10">
        <v>2025</v>
      </c>
      <c r="B123" s="10">
        <v>2</v>
      </c>
      <c r="C123" s="10">
        <v>922992372.70550501</v>
      </c>
    </row>
    <row r="124" spans="1:3" x14ac:dyDescent="0.25">
      <c r="A124" s="10">
        <v>2025</v>
      </c>
      <c r="B124" s="10">
        <v>3</v>
      </c>
      <c r="C124" s="10">
        <v>954692428.86185098</v>
      </c>
    </row>
    <row r="125" spans="1:3" x14ac:dyDescent="0.25">
      <c r="A125" s="10">
        <v>2025</v>
      </c>
      <c r="B125" s="10">
        <v>4</v>
      </c>
      <c r="C125" s="10">
        <v>958663442.07839704</v>
      </c>
    </row>
    <row r="126" spans="1:3" x14ac:dyDescent="0.25">
      <c r="A126" s="10">
        <v>2025</v>
      </c>
      <c r="B126" s="10">
        <v>5</v>
      </c>
      <c r="C126" s="10">
        <v>969678910.03328502</v>
      </c>
    </row>
    <row r="127" spans="1:3" x14ac:dyDescent="0.25">
      <c r="A127" s="10">
        <v>2025</v>
      </c>
      <c r="B127" s="10">
        <v>6</v>
      </c>
      <c r="C127" s="10">
        <v>969796208.50067902</v>
      </c>
    </row>
    <row r="128" spans="1:3" x14ac:dyDescent="0.25">
      <c r="A128" s="10">
        <v>2025</v>
      </c>
      <c r="B128" s="10">
        <v>7</v>
      </c>
      <c r="C128" s="10">
        <v>975073437.15954602</v>
      </c>
    </row>
    <row r="129" spans="1:3" x14ac:dyDescent="0.25">
      <c r="A129" s="10">
        <v>2025</v>
      </c>
      <c r="B129" s="10">
        <v>8</v>
      </c>
      <c r="C129" s="10">
        <v>986272137.32683206</v>
      </c>
    </row>
    <row r="130" spans="1:3" x14ac:dyDescent="0.25">
      <c r="A130" s="10">
        <v>2025</v>
      </c>
      <c r="B130" s="10">
        <v>9</v>
      </c>
      <c r="C130" s="10">
        <v>996281525.60779405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8850-23FB-4835-B03F-627BD1EAE685}">
  <dimension ref="A1:C127"/>
  <sheetViews>
    <sheetView workbookViewId="0">
      <selection activeCell="C3" sqref="C3:C127"/>
    </sheetView>
  </sheetViews>
  <sheetFormatPr baseColWidth="10" defaultRowHeight="15" x14ac:dyDescent="0.25"/>
  <cols>
    <col min="1" max="2" width="11.5703125" bestFit="1" customWidth="1"/>
    <col min="3" max="3" width="16.85546875" bestFit="1" customWidth="1"/>
  </cols>
  <sheetData>
    <row r="1" spans="1:3" x14ac:dyDescent="0.25">
      <c r="A1" s="22"/>
      <c r="B1" s="22"/>
      <c r="C1" s="22"/>
    </row>
    <row r="2" spans="1:3" x14ac:dyDescent="0.25">
      <c r="A2" s="22" t="s">
        <v>6</v>
      </c>
      <c r="B2" s="22" t="s">
        <v>7</v>
      </c>
      <c r="C2" s="22" t="s">
        <v>8</v>
      </c>
    </row>
    <row r="3" spans="1:3" x14ac:dyDescent="0.25">
      <c r="A3" s="22">
        <v>2015</v>
      </c>
      <c r="B3" s="22">
        <v>1</v>
      </c>
      <c r="C3" s="22">
        <v>993858429.48443699</v>
      </c>
    </row>
    <row r="4" spans="1:3" x14ac:dyDescent="0.25">
      <c r="A4" s="22">
        <v>2015</v>
      </c>
      <c r="B4" s="22">
        <v>2</v>
      </c>
      <c r="C4" s="22">
        <v>909841978.599792</v>
      </c>
    </row>
    <row r="5" spans="1:3" x14ac:dyDescent="0.25">
      <c r="A5" s="22">
        <v>2015</v>
      </c>
      <c r="B5" s="22">
        <v>3</v>
      </c>
      <c r="C5" s="22">
        <v>971758535.86969602</v>
      </c>
    </row>
    <row r="6" spans="1:3" x14ac:dyDescent="0.25">
      <c r="A6" s="22">
        <v>2015</v>
      </c>
      <c r="B6" s="22">
        <v>4</v>
      </c>
      <c r="C6" s="22">
        <v>1001815058.3392</v>
      </c>
    </row>
    <row r="7" spans="1:3" x14ac:dyDescent="0.25">
      <c r="A7" s="22">
        <v>2015</v>
      </c>
      <c r="B7" s="22">
        <v>5</v>
      </c>
      <c r="C7" s="22">
        <v>1014853461.71892</v>
      </c>
    </row>
    <row r="8" spans="1:3" x14ac:dyDescent="0.25">
      <c r="A8" s="22">
        <v>2015</v>
      </c>
      <c r="B8" s="22">
        <v>6</v>
      </c>
      <c r="C8" s="22">
        <v>1028590460.05858</v>
      </c>
    </row>
    <row r="9" spans="1:3" x14ac:dyDescent="0.25">
      <c r="A9" s="22">
        <v>2015</v>
      </c>
      <c r="B9" s="22">
        <v>7</v>
      </c>
      <c r="C9" s="22">
        <v>1029362927.62192</v>
      </c>
    </row>
    <row r="10" spans="1:3" x14ac:dyDescent="0.25">
      <c r="A10" s="22">
        <v>2015</v>
      </c>
      <c r="B10" s="22">
        <v>8</v>
      </c>
      <c r="C10" s="22">
        <v>1009569889.66794</v>
      </c>
    </row>
    <row r="11" spans="1:3" x14ac:dyDescent="0.25">
      <c r="A11" s="22">
        <v>2015</v>
      </c>
      <c r="B11" s="22">
        <v>9</v>
      </c>
      <c r="C11" s="22">
        <v>1037727662.43813</v>
      </c>
    </row>
    <row r="12" spans="1:3" x14ac:dyDescent="0.25">
      <c r="A12" s="22">
        <v>2015</v>
      </c>
      <c r="B12" s="22">
        <v>10</v>
      </c>
      <c r="C12" s="22">
        <v>1037556477.87277</v>
      </c>
    </row>
    <row r="13" spans="1:3" x14ac:dyDescent="0.25">
      <c r="A13" s="22">
        <v>2015</v>
      </c>
      <c r="B13" s="22">
        <v>11</v>
      </c>
      <c r="C13" s="22">
        <v>1024674573.35229</v>
      </c>
    </row>
    <row r="14" spans="1:3" x14ac:dyDescent="0.25">
      <c r="A14" s="22">
        <v>2015</v>
      </c>
      <c r="B14" s="22">
        <v>12</v>
      </c>
      <c r="C14" s="22">
        <v>1006750203.2398601</v>
      </c>
    </row>
    <row r="15" spans="1:3" x14ac:dyDescent="0.25">
      <c r="A15" s="22">
        <v>2016</v>
      </c>
      <c r="B15" s="22">
        <v>1</v>
      </c>
      <c r="C15" s="22">
        <v>926216301.01403499</v>
      </c>
    </row>
    <row r="16" spans="1:3" x14ac:dyDescent="0.25">
      <c r="A16" s="22">
        <v>2016</v>
      </c>
      <c r="B16" s="22">
        <v>2</v>
      </c>
      <c r="C16" s="22">
        <v>919822053.59546602</v>
      </c>
    </row>
    <row r="17" spans="1:3" x14ac:dyDescent="0.25">
      <c r="A17" s="22">
        <v>2016</v>
      </c>
      <c r="B17" s="22">
        <v>3</v>
      </c>
      <c r="C17" s="22">
        <v>920699648.21589696</v>
      </c>
    </row>
    <row r="18" spans="1:3" x14ac:dyDescent="0.25">
      <c r="A18" s="22">
        <v>2016</v>
      </c>
      <c r="B18" s="22">
        <v>4</v>
      </c>
      <c r="C18" s="22">
        <v>818757374.78509998</v>
      </c>
    </row>
    <row r="19" spans="1:3" x14ac:dyDescent="0.25">
      <c r="A19" s="22">
        <v>2016</v>
      </c>
      <c r="B19" s="22">
        <v>5</v>
      </c>
      <c r="C19" s="22">
        <v>806270730.39143503</v>
      </c>
    </row>
    <row r="20" spans="1:3" x14ac:dyDescent="0.25">
      <c r="A20" s="22">
        <v>2016</v>
      </c>
      <c r="B20" s="22">
        <v>6</v>
      </c>
      <c r="C20" s="22">
        <v>818577540.97872698</v>
      </c>
    </row>
    <row r="21" spans="1:3" x14ac:dyDescent="0.25">
      <c r="A21" s="22">
        <v>2016</v>
      </c>
      <c r="B21" s="22">
        <v>7</v>
      </c>
      <c r="C21" s="22">
        <v>819866077.06737006</v>
      </c>
    </row>
    <row r="22" spans="1:3" x14ac:dyDescent="0.25">
      <c r="A22" s="22">
        <v>2016</v>
      </c>
      <c r="B22" s="22">
        <v>8</v>
      </c>
      <c r="C22" s="22">
        <v>852217201.49041605</v>
      </c>
    </row>
    <row r="23" spans="1:3" x14ac:dyDescent="0.25">
      <c r="A23" s="22">
        <v>2016</v>
      </c>
      <c r="B23" s="22">
        <v>9</v>
      </c>
      <c r="C23" s="22">
        <v>865419092.96846402</v>
      </c>
    </row>
    <row r="24" spans="1:3" x14ac:dyDescent="0.25">
      <c r="A24" s="22">
        <v>2016</v>
      </c>
      <c r="B24" s="22">
        <v>10</v>
      </c>
      <c r="C24" s="22">
        <v>848526195.73106301</v>
      </c>
    </row>
    <row r="25" spans="1:3" x14ac:dyDescent="0.25">
      <c r="A25" s="22">
        <v>2016</v>
      </c>
      <c r="B25" s="22">
        <v>11</v>
      </c>
      <c r="C25" s="22">
        <v>830714783.88310802</v>
      </c>
    </row>
    <row r="26" spans="1:3" x14ac:dyDescent="0.25">
      <c r="A26" s="22">
        <v>2016</v>
      </c>
      <c r="B26" s="22">
        <v>12</v>
      </c>
      <c r="C26" s="22">
        <v>850308910.66322696</v>
      </c>
    </row>
    <row r="27" spans="1:3" x14ac:dyDescent="0.25">
      <c r="A27" s="22">
        <v>2017</v>
      </c>
      <c r="B27" s="22">
        <v>1</v>
      </c>
      <c r="C27" s="22">
        <v>833409300.03491199</v>
      </c>
    </row>
    <row r="28" spans="1:3" x14ac:dyDescent="0.25">
      <c r="A28" s="22">
        <v>2017</v>
      </c>
      <c r="B28" s="22">
        <v>2</v>
      </c>
      <c r="C28" s="22">
        <v>842508971.09589696</v>
      </c>
    </row>
    <row r="29" spans="1:3" x14ac:dyDescent="0.25">
      <c r="A29" s="22">
        <v>2017</v>
      </c>
      <c r="B29" s="22">
        <v>3</v>
      </c>
      <c r="C29" s="22">
        <v>839120440.88046396</v>
      </c>
    </row>
    <row r="30" spans="1:3" x14ac:dyDescent="0.25">
      <c r="A30" s="22">
        <v>2017</v>
      </c>
      <c r="B30" s="22">
        <v>4</v>
      </c>
      <c r="C30" s="22">
        <v>832438194.46267998</v>
      </c>
    </row>
    <row r="31" spans="1:3" x14ac:dyDescent="0.25">
      <c r="A31" s="22">
        <v>2017</v>
      </c>
      <c r="B31" s="22">
        <v>5</v>
      </c>
      <c r="C31" s="22">
        <v>847204974.80157101</v>
      </c>
    </row>
    <row r="32" spans="1:3" x14ac:dyDescent="0.25">
      <c r="A32" s="22">
        <v>2017</v>
      </c>
      <c r="B32" s="22">
        <v>6</v>
      </c>
      <c r="C32" s="22">
        <v>839961634.44428098</v>
      </c>
    </row>
    <row r="33" spans="1:3" x14ac:dyDescent="0.25">
      <c r="A33" s="22">
        <v>2017</v>
      </c>
      <c r="B33" s="22">
        <v>7</v>
      </c>
      <c r="C33" s="22">
        <v>838788806.04484403</v>
      </c>
    </row>
    <row r="34" spans="1:3" x14ac:dyDescent="0.25">
      <c r="A34" s="22">
        <v>2017</v>
      </c>
      <c r="B34" s="22">
        <v>8</v>
      </c>
      <c r="C34" s="22">
        <v>826249453.65629601</v>
      </c>
    </row>
    <row r="35" spans="1:3" x14ac:dyDescent="0.25">
      <c r="A35" s="22">
        <v>2017</v>
      </c>
      <c r="B35" s="22">
        <v>9</v>
      </c>
      <c r="C35" s="22">
        <v>828871576.34048295</v>
      </c>
    </row>
    <row r="36" spans="1:3" x14ac:dyDescent="0.25">
      <c r="A36" s="22">
        <v>2017</v>
      </c>
      <c r="B36" s="22">
        <v>10</v>
      </c>
      <c r="C36" s="22">
        <v>838993092.12093902</v>
      </c>
    </row>
    <row r="37" spans="1:3" x14ac:dyDescent="0.25">
      <c r="A37" s="22">
        <v>2017</v>
      </c>
      <c r="B37" s="22">
        <v>11</v>
      </c>
      <c r="C37" s="22">
        <v>865162844.17887402</v>
      </c>
    </row>
    <row r="38" spans="1:3" x14ac:dyDescent="0.25">
      <c r="A38" s="22">
        <v>2017</v>
      </c>
      <c r="B38" s="22">
        <v>12</v>
      </c>
      <c r="C38" s="22">
        <v>870185938.23670805</v>
      </c>
    </row>
    <row r="39" spans="1:3" x14ac:dyDescent="0.25">
      <c r="A39" s="22">
        <v>2018</v>
      </c>
      <c r="B39" s="22">
        <v>1</v>
      </c>
      <c r="C39" s="22">
        <v>906864935.81369698</v>
      </c>
    </row>
    <row r="40" spans="1:3" x14ac:dyDescent="0.25">
      <c r="A40" s="22">
        <v>2018</v>
      </c>
      <c r="B40" s="22">
        <v>2</v>
      </c>
      <c r="C40" s="22">
        <v>900586357.21055305</v>
      </c>
    </row>
    <row r="41" spans="1:3" x14ac:dyDescent="0.25">
      <c r="A41" s="22">
        <v>2018</v>
      </c>
      <c r="B41" s="22">
        <v>3</v>
      </c>
      <c r="C41" s="22">
        <v>918759585.14284503</v>
      </c>
    </row>
    <row r="42" spans="1:3" x14ac:dyDescent="0.25">
      <c r="A42" s="22">
        <v>2018</v>
      </c>
      <c r="B42" s="22">
        <v>4</v>
      </c>
      <c r="C42" s="22">
        <v>898022037.61124802</v>
      </c>
    </row>
    <row r="43" spans="1:3" x14ac:dyDescent="0.25">
      <c r="A43" s="22">
        <v>2018</v>
      </c>
      <c r="B43" s="22">
        <v>5</v>
      </c>
      <c r="C43" s="22">
        <v>861980322.68908405</v>
      </c>
    </row>
    <row r="44" spans="1:3" x14ac:dyDescent="0.25">
      <c r="A44" s="22">
        <v>2018</v>
      </c>
      <c r="B44" s="22">
        <v>6</v>
      </c>
      <c r="C44" s="22">
        <v>878358964.79092705</v>
      </c>
    </row>
    <row r="45" spans="1:3" x14ac:dyDescent="0.25">
      <c r="A45" s="22">
        <v>2018</v>
      </c>
      <c r="B45" s="22">
        <v>7</v>
      </c>
      <c r="C45" s="22">
        <v>871310603.19417095</v>
      </c>
    </row>
    <row r="46" spans="1:3" x14ac:dyDescent="0.25">
      <c r="A46" s="22">
        <v>2018</v>
      </c>
      <c r="B46" s="22">
        <v>8</v>
      </c>
      <c r="C46" s="22">
        <v>862254725.94727004</v>
      </c>
    </row>
    <row r="47" spans="1:3" x14ac:dyDescent="0.25">
      <c r="A47" s="22">
        <v>2018</v>
      </c>
      <c r="B47" s="22">
        <v>9</v>
      </c>
      <c r="C47" s="22">
        <v>866187018.67741799</v>
      </c>
    </row>
    <row r="48" spans="1:3" x14ac:dyDescent="0.25">
      <c r="A48" s="22">
        <v>2018</v>
      </c>
      <c r="B48" s="22">
        <v>10</v>
      </c>
      <c r="C48" s="22">
        <v>862543832.48187006</v>
      </c>
    </row>
    <row r="49" spans="1:3" x14ac:dyDescent="0.25">
      <c r="A49" s="22">
        <v>2018</v>
      </c>
      <c r="B49" s="22">
        <v>11</v>
      </c>
      <c r="C49" s="22">
        <v>854910457.01582801</v>
      </c>
    </row>
    <row r="50" spans="1:3" x14ac:dyDescent="0.25">
      <c r="A50" s="22">
        <v>2018</v>
      </c>
      <c r="B50" s="22">
        <v>12</v>
      </c>
      <c r="C50" s="22">
        <v>849523810.50447404</v>
      </c>
    </row>
    <row r="51" spans="1:3" x14ac:dyDescent="0.25">
      <c r="A51" s="22">
        <v>2019</v>
      </c>
      <c r="B51" s="22">
        <v>1</v>
      </c>
      <c r="C51" s="22">
        <v>842149923.90054905</v>
      </c>
    </row>
    <row r="52" spans="1:3" x14ac:dyDescent="0.25">
      <c r="A52" s="22">
        <v>2019</v>
      </c>
      <c r="B52" s="22">
        <v>2</v>
      </c>
      <c r="C52" s="22">
        <v>826225462.75774002</v>
      </c>
    </row>
    <row r="53" spans="1:3" x14ac:dyDescent="0.25">
      <c r="A53" s="22">
        <v>2019</v>
      </c>
      <c r="B53" s="22">
        <v>3</v>
      </c>
      <c r="C53" s="22">
        <v>857331313.872334</v>
      </c>
    </row>
    <row r="54" spans="1:3" x14ac:dyDescent="0.25">
      <c r="A54" s="22">
        <v>2019</v>
      </c>
      <c r="B54" s="22">
        <v>4</v>
      </c>
      <c r="C54" s="22">
        <v>860840730.64403403</v>
      </c>
    </row>
    <row r="55" spans="1:3" x14ac:dyDescent="0.25">
      <c r="A55" s="22">
        <v>2019</v>
      </c>
      <c r="B55" s="22">
        <v>5</v>
      </c>
      <c r="C55" s="22">
        <v>847501191.64904296</v>
      </c>
    </row>
    <row r="56" spans="1:3" x14ac:dyDescent="0.25">
      <c r="A56" s="22">
        <v>2019</v>
      </c>
      <c r="B56" s="22">
        <v>6</v>
      </c>
      <c r="C56" s="22">
        <v>852944365.80960405</v>
      </c>
    </row>
    <row r="57" spans="1:3" x14ac:dyDescent="0.25">
      <c r="A57" s="22">
        <v>2019</v>
      </c>
      <c r="B57" s="22">
        <v>7</v>
      </c>
      <c r="C57" s="22">
        <v>869235642.07048202</v>
      </c>
    </row>
    <row r="58" spans="1:3" x14ac:dyDescent="0.25">
      <c r="A58" s="22">
        <v>2019</v>
      </c>
      <c r="B58" s="22">
        <v>8</v>
      </c>
      <c r="C58" s="22">
        <v>880633626.07270598</v>
      </c>
    </row>
    <row r="59" spans="1:3" x14ac:dyDescent="0.25">
      <c r="A59" s="22">
        <v>2019</v>
      </c>
      <c r="B59" s="22">
        <v>9</v>
      </c>
      <c r="C59" s="22">
        <v>879710144.17651296</v>
      </c>
    </row>
    <row r="60" spans="1:3" x14ac:dyDescent="0.25">
      <c r="A60" s="22">
        <v>2019</v>
      </c>
      <c r="B60" s="22">
        <v>10</v>
      </c>
      <c r="C60" s="22">
        <v>873517003.43697596</v>
      </c>
    </row>
    <row r="61" spans="1:3" x14ac:dyDescent="0.25">
      <c r="A61" s="22">
        <v>2019</v>
      </c>
      <c r="B61" s="22">
        <v>11</v>
      </c>
      <c r="C61" s="22">
        <v>871423312.79582</v>
      </c>
    </row>
    <row r="62" spans="1:3" x14ac:dyDescent="0.25">
      <c r="A62" s="22">
        <v>2019</v>
      </c>
      <c r="B62" s="22">
        <v>12</v>
      </c>
      <c r="C62" s="22">
        <v>880669040.68522203</v>
      </c>
    </row>
    <row r="63" spans="1:3" x14ac:dyDescent="0.25">
      <c r="A63" s="22">
        <v>2020</v>
      </c>
      <c r="B63" s="22">
        <v>1</v>
      </c>
      <c r="C63" s="22">
        <v>886364778.29872096</v>
      </c>
    </row>
    <row r="64" spans="1:3" x14ac:dyDescent="0.25">
      <c r="A64" s="22">
        <v>2020</v>
      </c>
      <c r="B64" s="22">
        <v>2</v>
      </c>
      <c r="C64" s="22">
        <v>909106306.30535901</v>
      </c>
    </row>
    <row r="65" spans="1:3" x14ac:dyDescent="0.25">
      <c r="A65" s="22">
        <v>2020</v>
      </c>
      <c r="B65" s="22">
        <v>3</v>
      </c>
      <c r="C65" s="22">
        <v>910088660.75062299</v>
      </c>
    </row>
    <row r="66" spans="1:3" x14ac:dyDescent="0.25">
      <c r="A66" s="22">
        <v>2020</v>
      </c>
      <c r="B66" s="22">
        <v>4</v>
      </c>
      <c r="C66" s="22">
        <v>920165056.64385295</v>
      </c>
    </row>
    <row r="67" spans="1:3" x14ac:dyDescent="0.25">
      <c r="A67" s="22">
        <v>2020</v>
      </c>
      <c r="B67" s="22">
        <v>5</v>
      </c>
      <c r="C67" s="22">
        <v>933436785.32172704</v>
      </c>
    </row>
    <row r="68" spans="1:3" x14ac:dyDescent="0.25">
      <c r="A68" s="22">
        <v>2020</v>
      </c>
      <c r="B68" s="22">
        <v>6</v>
      </c>
      <c r="C68" s="22">
        <v>938796068.80554497</v>
      </c>
    </row>
    <row r="69" spans="1:3" x14ac:dyDescent="0.25">
      <c r="A69" s="22">
        <v>2020</v>
      </c>
      <c r="B69" s="22">
        <v>7</v>
      </c>
      <c r="C69" s="22">
        <v>934360852.22616303</v>
      </c>
    </row>
    <row r="70" spans="1:3" x14ac:dyDescent="0.25">
      <c r="A70" s="22">
        <v>2020</v>
      </c>
      <c r="B70" s="22">
        <v>8</v>
      </c>
      <c r="C70" s="22">
        <v>927035578.76628602</v>
      </c>
    </row>
    <row r="71" spans="1:3" x14ac:dyDescent="0.25">
      <c r="A71" s="22">
        <v>2020</v>
      </c>
      <c r="B71" s="22">
        <v>9</v>
      </c>
      <c r="C71" s="22">
        <v>915707711.13969302</v>
      </c>
    </row>
    <row r="72" spans="1:3" x14ac:dyDescent="0.25">
      <c r="A72" s="22">
        <v>2020</v>
      </c>
      <c r="B72" s="22">
        <v>10</v>
      </c>
      <c r="C72" s="22">
        <v>932378166.68182099</v>
      </c>
    </row>
    <row r="73" spans="1:3" x14ac:dyDescent="0.25">
      <c r="A73" s="22">
        <v>2020</v>
      </c>
      <c r="B73" s="22">
        <v>11</v>
      </c>
      <c r="C73" s="22">
        <v>936769110.05736196</v>
      </c>
    </row>
    <row r="74" spans="1:3" x14ac:dyDescent="0.25">
      <c r="A74" s="22">
        <v>2020</v>
      </c>
      <c r="B74" s="22">
        <v>12</v>
      </c>
      <c r="C74" s="22">
        <v>947621944.34978199</v>
      </c>
    </row>
    <row r="75" spans="1:3" x14ac:dyDescent="0.25">
      <c r="A75" s="22">
        <v>2021</v>
      </c>
      <c r="B75" s="22">
        <v>1</v>
      </c>
      <c r="C75" s="22">
        <v>952906089.537467</v>
      </c>
    </row>
    <row r="76" spans="1:3" x14ac:dyDescent="0.25">
      <c r="A76" s="22">
        <v>2021</v>
      </c>
      <c r="B76" s="22">
        <v>2</v>
      </c>
      <c r="C76" s="22">
        <v>948707326.05853105</v>
      </c>
    </row>
    <row r="77" spans="1:3" x14ac:dyDescent="0.25">
      <c r="A77" s="22">
        <v>2021</v>
      </c>
      <c r="B77" s="22">
        <v>3</v>
      </c>
      <c r="C77" s="22">
        <v>950874728.35987794</v>
      </c>
    </row>
    <row r="78" spans="1:3" x14ac:dyDescent="0.25">
      <c r="A78" s="22">
        <v>2021</v>
      </c>
      <c r="B78" s="22">
        <v>4</v>
      </c>
      <c r="C78" s="22">
        <v>950384107.559883</v>
      </c>
    </row>
    <row r="79" spans="1:3" x14ac:dyDescent="0.25">
      <c r="A79" s="22">
        <v>2021</v>
      </c>
      <c r="B79" s="22">
        <v>5</v>
      </c>
      <c r="C79" s="22">
        <v>964474415.065014</v>
      </c>
    </row>
    <row r="80" spans="1:3" x14ac:dyDescent="0.25">
      <c r="A80" s="22">
        <v>2021</v>
      </c>
      <c r="B80" s="22">
        <v>6</v>
      </c>
      <c r="C80" s="22">
        <v>964459228.97647703</v>
      </c>
    </row>
    <row r="81" spans="1:3" x14ac:dyDescent="0.25">
      <c r="A81" s="22">
        <v>2021</v>
      </c>
      <c r="B81" s="22">
        <v>7</v>
      </c>
      <c r="C81" s="22">
        <v>966130117.03571606</v>
      </c>
    </row>
    <row r="82" spans="1:3" x14ac:dyDescent="0.25">
      <c r="A82" s="22">
        <v>2021</v>
      </c>
      <c r="B82" s="22">
        <v>8</v>
      </c>
      <c r="C82" s="22">
        <v>962686738.35786796</v>
      </c>
    </row>
    <row r="83" spans="1:3" x14ac:dyDescent="0.25">
      <c r="A83" s="22">
        <v>2021</v>
      </c>
      <c r="B83" s="22">
        <v>9</v>
      </c>
      <c r="C83" s="22">
        <v>961820348.07507706</v>
      </c>
    </row>
    <row r="84" spans="1:3" x14ac:dyDescent="0.25">
      <c r="A84" s="22">
        <v>2021</v>
      </c>
      <c r="B84" s="22">
        <v>10</v>
      </c>
      <c r="C84" s="22">
        <v>968117576.38894403</v>
      </c>
    </row>
    <row r="85" spans="1:3" x14ac:dyDescent="0.25">
      <c r="A85" s="22">
        <v>2021</v>
      </c>
      <c r="B85" s="22">
        <v>11</v>
      </c>
      <c r="C85" s="22">
        <v>979727170.87263405</v>
      </c>
    </row>
    <row r="86" spans="1:3" x14ac:dyDescent="0.25">
      <c r="A86" s="22">
        <v>2021</v>
      </c>
      <c r="B86" s="22">
        <v>12</v>
      </c>
      <c r="C86" s="22">
        <v>980076290.43597698</v>
      </c>
    </row>
    <row r="87" spans="1:3" x14ac:dyDescent="0.25">
      <c r="A87" s="22">
        <v>2022</v>
      </c>
      <c r="B87" s="22">
        <v>1</v>
      </c>
      <c r="C87" s="22">
        <v>945227963.83997703</v>
      </c>
    </row>
    <row r="88" spans="1:3" x14ac:dyDescent="0.25">
      <c r="A88" s="22">
        <v>2022</v>
      </c>
      <c r="B88" s="22">
        <v>2</v>
      </c>
      <c r="C88" s="22">
        <v>981765873.184448</v>
      </c>
    </row>
    <row r="89" spans="1:3" x14ac:dyDescent="0.25">
      <c r="A89" s="22">
        <v>2022</v>
      </c>
      <c r="B89" s="22">
        <v>3</v>
      </c>
      <c r="C89" s="22">
        <v>977599035.22489595</v>
      </c>
    </row>
    <row r="90" spans="1:3" x14ac:dyDescent="0.25">
      <c r="A90" s="22">
        <v>2022</v>
      </c>
      <c r="B90" s="22">
        <v>4</v>
      </c>
      <c r="C90" s="22">
        <v>969504152.01600504</v>
      </c>
    </row>
    <row r="91" spans="1:3" x14ac:dyDescent="0.25">
      <c r="A91" s="22">
        <v>2022</v>
      </c>
      <c r="B91" s="22">
        <v>5</v>
      </c>
      <c r="C91" s="22">
        <v>969571072.06289601</v>
      </c>
    </row>
    <row r="92" spans="1:3" x14ac:dyDescent="0.25">
      <c r="A92" s="22">
        <v>2022</v>
      </c>
      <c r="B92" s="22">
        <v>6</v>
      </c>
      <c r="C92" s="22">
        <v>956217226.03467405</v>
      </c>
    </row>
    <row r="93" spans="1:3" x14ac:dyDescent="0.25">
      <c r="A93" s="22">
        <v>2022</v>
      </c>
      <c r="B93" s="22">
        <v>7</v>
      </c>
      <c r="C93" s="22">
        <v>953491964.17791402</v>
      </c>
    </row>
    <row r="94" spans="1:3" x14ac:dyDescent="0.25">
      <c r="A94" s="22">
        <v>2022</v>
      </c>
      <c r="B94" s="22">
        <v>8</v>
      </c>
      <c r="C94" s="22">
        <v>965988114.209234</v>
      </c>
    </row>
    <row r="95" spans="1:3" x14ac:dyDescent="0.25">
      <c r="A95" s="22">
        <v>2022</v>
      </c>
      <c r="B95" s="22">
        <v>9</v>
      </c>
      <c r="C95" s="22">
        <v>964327668.07506001</v>
      </c>
    </row>
    <row r="96" spans="1:3" x14ac:dyDescent="0.25">
      <c r="A96" s="22">
        <v>2022</v>
      </c>
      <c r="B96" s="22">
        <v>10</v>
      </c>
      <c r="C96" s="22">
        <v>963957374.70380497</v>
      </c>
    </row>
    <row r="97" spans="1:3" x14ac:dyDescent="0.25">
      <c r="A97" s="22">
        <v>2022</v>
      </c>
      <c r="B97" s="22">
        <v>11</v>
      </c>
      <c r="C97" s="22">
        <v>944836216.24087298</v>
      </c>
    </row>
    <row r="98" spans="1:3" x14ac:dyDescent="0.25">
      <c r="A98" s="22">
        <v>2022</v>
      </c>
      <c r="B98" s="22">
        <v>12</v>
      </c>
      <c r="C98" s="22">
        <v>961924272.36663401</v>
      </c>
    </row>
    <row r="99" spans="1:3" x14ac:dyDescent="0.25">
      <c r="A99" s="22">
        <v>2023</v>
      </c>
      <c r="B99" s="22">
        <v>1</v>
      </c>
      <c r="C99" s="22">
        <v>979219151.67761898</v>
      </c>
    </row>
    <row r="100" spans="1:3" x14ac:dyDescent="0.25">
      <c r="A100" s="22">
        <v>2023</v>
      </c>
      <c r="B100" s="22">
        <v>2</v>
      </c>
      <c r="C100" s="22">
        <v>976421212.55143201</v>
      </c>
    </row>
    <row r="101" spans="1:3" x14ac:dyDescent="0.25">
      <c r="A101" s="22">
        <v>2023</v>
      </c>
      <c r="B101" s="22">
        <v>3</v>
      </c>
      <c r="C101" s="22">
        <v>955421400.67341602</v>
      </c>
    </row>
    <row r="102" spans="1:3" x14ac:dyDescent="0.25">
      <c r="A102" s="22">
        <v>2023</v>
      </c>
      <c r="B102" s="22">
        <v>4</v>
      </c>
      <c r="C102" s="22">
        <v>986866368.22846496</v>
      </c>
    </row>
    <row r="103" spans="1:3" x14ac:dyDescent="0.25">
      <c r="A103" s="22">
        <v>2023</v>
      </c>
      <c r="B103" s="22">
        <v>5</v>
      </c>
      <c r="C103" s="22">
        <v>949586854.50828803</v>
      </c>
    </row>
    <row r="104" spans="1:3" x14ac:dyDescent="0.25">
      <c r="A104" s="22">
        <v>2023</v>
      </c>
      <c r="B104" s="22">
        <v>6</v>
      </c>
      <c r="C104" s="22">
        <v>946604721.14723396</v>
      </c>
    </row>
    <row r="105" spans="1:3" x14ac:dyDescent="0.25">
      <c r="A105" s="22">
        <v>2023</v>
      </c>
      <c r="B105" s="22">
        <v>7</v>
      </c>
      <c r="C105" s="22">
        <v>950096134.21357203</v>
      </c>
    </row>
    <row r="106" spans="1:3" x14ac:dyDescent="0.25">
      <c r="A106" s="22">
        <v>2023</v>
      </c>
      <c r="B106" s="22">
        <v>8</v>
      </c>
      <c r="C106" s="22">
        <v>959397815.61431098</v>
      </c>
    </row>
    <row r="107" spans="1:3" x14ac:dyDescent="0.25">
      <c r="A107" s="22">
        <v>2023</v>
      </c>
      <c r="B107" s="22">
        <v>9</v>
      </c>
      <c r="C107" s="22">
        <v>923569822.23738301</v>
      </c>
    </row>
    <row r="108" spans="1:3" x14ac:dyDescent="0.25">
      <c r="A108" s="22">
        <v>2023</v>
      </c>
      <c r="B108" s="22">
        <v>10</v>
      </c>
      <c r="C108" s="22">
        <v>913836100.86303604</v>
      </c>
    </row>
    <row r="109" spans="1:3" x14ac:dyDescent="0.25">
      <c r="A109" s="22">
        <v>2023</v>
      </c>
      <c r="B109" s="22">
        <v>11</v>
      </c>
      <c r="C109" s="22">
        <v>901075757.12786102</v>
      </c>
    </row>
    <row r="110" spans="1:3" x14ac:dyDescent="0.25">
      <c r="A110" s="22">
        <v>2023</v>
      </c>
      <c r="B110" s="22">
        <v>12</v>
      </c>
      <c r="C110" s="22">
        <v>882241170.28821898</v>
      </c>
    </row>
    <row r="111" spans="1:3" x14ac:dyDescent="0.25">
      <c r="A111" s="22">
        <v>2024</v>
      </c>
      <c r="B111" s="22">
        <v>1</v>
      </c>
      <c r="C111" s="22">
        <v>860492332.32092905</v>
      </c>
    </row>
    <row r="112" spans="1:3" x14ac:dyDescent="0.25">
      <c r="A112" s="22">
        <v>2024</v>
      </c>
      <c r="B112" s="22">
        <v>2</v>
      </c>
      <c r="C112" s="22">
        <v>840966345.50316203</v>
      </c>
    </row>
    <row r="113" spans="1:3" x14ac:dyDescent="0.25">
      <c r="A113" s="22">
        <v>2024</v>
      </c>
      <c r="B113" s="22">
        <v>3</v>
      </c>
      <c r="C113" s="22">
        <v>840041082.40720499</v>
      </c>
    </row>
    <row r="114" spans="1:3" x14ac:dyDescent="0.25">
      <c r="A114" s="22">
        <v>2024</v>
      </c>
      <c r="B114" s="22">
        <v>4</v>
      </c>
      <c r="C114" s="22">
        <v>848719050.54767096</v>
      </c>
    </row>
    <row r="115" spans="1:3" x14ac:dyDescent="0.25">
      <c r="A115" s="22">
        <v>2024</v>
      </c>
      <c r="B115" s="22">
        <v>5</v>
      </c>
      <c r="C115" s="22">
        <v>856526031.007671</v>
      </c>
    </row>
    <row r="116" spans="1:3" x14ac:dyDescent="0.25">
      <c r="A116" s="22">
        <v>2024</v>
      </c>
      <c r="B116" s="22">
        <v>6</v>
      </c>
      <c r="C116" s="22">
        <v>881323205.41425002</v>
      </c>
    </row>
    <row r="117" spans="1:3" x14ac:dyDescent="0.25">
      <c r="A117" s="22">
        <v>2024</v>
      </c>
      <c r="B117" s="22">
        <v>7</v>
      </c>
      <c r="C117" s="22">
        <v>901080757.52354002</v>
      </c>
    </row>
    <row r="118" spans="1:3" x14ac:dyDescent="0.25">
      <c r="A118" s="22">
        <v>2024</v>
      </c>
      <c r="B118" s="22">
        <v>8</v>
      </c>
      <c r="C118" s="22">
        <v>891988112.99247706</v>
      </c>
    </row>
    <row r="119" spans="1:3" x14ac:dyDescent="0.25">
      <c r="A119" s="22">
        <v>2024</v>
      </c>
      <c r="B119" s="22">
        <v>9</v>
      </c>
      <c r="C119" s="22">
        <v>902461014.68998206</v>
      </c>
    </row>
    <row r="120" spans="1:3" x14ac:dyDescent="0.25">
      <c r="A120" s="22">
        <v>2024</v>
      </c>
      <c r="B120" s="22">
        <v>10</v>
      </c>
      <c r="C120" s="22">
        <v>907598993.81331694</v>
      </c>
    </row>
    <row r="121" spans="1:3" x14ac:dyDescent="0.25">
      <c r="A121" s="22">
        <v>2024</v>
      </c>
      <c r="B121" s="22">
        <v>11</v>
      </c>
      <c r="C121" s="22">
        <v>914970065.29404795</v>
      </c>
    </row>
    <row r="122" spans="1:3" x14ac:dyDescent="0.25">
      <c r="A122" s="22">
        <v>2024</v>
      </c>
      <c r="B122" s="22">
        <v>12</v>
      </c>
      <c r="C122" s="22">
        <v>923957291.18150306</v>
      </c>
    </row>
    <row r="123" spans="1:3" x14ac:dyDescent="0.25">
      <c r="A123" s="22">
        <v>2025</v>
      </c>
      <c r="B123" s="22">
        <v>1</v>
      </c>
      <c r="C123" s="22">
        <v>909147203.65221405</v>
      </c>
    </row>
    <row r="124" spans="1:3" x14ac:dyDescent="0.25">
      <c r="A124" s="22">
        <v>2025</v>
      </c>
      <c r="B124" s="22">
        <v>2</v>
      </c>
      <c r="C124" s="22">
        <v>921472827.87817895</v>
      </c>
    </row>
    <row r="125" spans="1:3" x14ac:dyDescent="0.25">
      <c r="A125" s="22">
        <v>2025</v>
      </c>
      <c r="B125" s="22">
        <v>3</v>
      </c>
      <c r="C125" s="22">
        <v>953367250.713871</v>
      </c>
    </row>
    <row r="126" spans="1:3" x14ac:dyDescent="0.25">
      <c r="A126" s="22">
        <v>2025</v>
      </c>
      <c r="B126" s="22">
        <v>4</v>
      </c>
      <c r="C126" s="22">
        <v>957498102.64901197</v>
      </c>
    </row>
    <row r="127" spans="1:3" x14ac:dyDescent="0.25">
      <c r="A127" s="22">
        <v>2025</v>
      </c>
      <c r="B127" s="22">
        <v>5</v>
      </c>
      <c r="C127" s="22">
        <v>968551134.681584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1520-DA2D-40EE-9FB5-9108A5A79DEB}">
  <dimension ref="A1:C125"/>
  <sheetViews>
    <sheetView workbookViewId="0">
      <selection activeCell="C2" sqref="C2:C125"/>
    </sheetView>
  </sheetViews>
  <sheetFormatPr baseColWidth="10" defaultRowHeight="15" x14ac:dyDescent="0.25"/>
  <cols>
    <col min="1" max="2" width="11.5703125" bestFit="1" customWidth="1"/>
    <col min="3" max="3" width="16.42578125" bestFit="1" customWidth="1"/>
  </cols>
  <sheetData>
    <row r="1" spans="1:3" x14ac:dyDescent="0.25">
      <c r="A1" s="9" t="s">
        <v>6</v>
      </c>
      <c r="B1" s="9" t="s">
        <v>7</v>
      </c>
      <c r="C1" s="9" t="s">
        <v>8</v>
      </c>
    </row>
    <row r="2" spans="1:3" x14ac:dyDescent="0.25">
      <c r="A2" s="10">
        <v>2015</v>
      </c>
      <c r="B2" s="10">
        <v>1</v>
      </c>
      <c r="C2" s="10">
        <v>993874446.34286404</v>
      </c>
    </row>
    <row r="3" spans="1:3" x14ac:dyDescent="0.25">
      <c r="A3" s="10">
        <v>2015</v>
      </c>
      <c r="B3" s="10">
        <v>2</v>
      </c>
      <c r="C3" s="10">
        <v>909843839.78404105</v>
      </c>
    </row>
    <row r="4" spans="1:3" x14ac:dyDescent="0.25">
      <c r="A4" s="10">
        <v>2015</v>
      </c>
      <c r="B4" s="10">
        <v>3</v>
      </c>
      <c r="C4" s="10">
        <v>971816699.06900299</v>
      </c>
    </row>
    <row r="5" spans="1:3" x14ac:dyDescent="0.25">
      <c r="A5" s="10">
        <v>2015</v>
      </c>
      <c r="B5" s="10">
        <v>4</v>
      </c>
      <c r="C5" s="10">
        <v>1001748652.58884</v>
      </c>
    </row>
    <row r="6" spans="1:3" x14ac:dyDescent="0.25">
      <c r="A6" s="10">
        <v>2015</v>
      </c>
      <c r="B6" s="10">
        <v>5</v>
      </c>
      <c r="C6" s="10">
        <v>1014908821.29424</v>
      </c>
    </row>
    <row r="7" spans="1:3" x14ac:dyDescent="0.25">
      <c r="A7" s="10">
        <v>2015</v>
      </c>
      <c r="B7" s="10">
        <v>6</v>
      </c>
      <c r="C7" s="10">
        <v>1028566375.43733</v>
      </c>
    </row>
    <row r="8" spans="1:3" x14ac:dyDescent="0.25">
      <c r="A8" s="10">
        <v>2015</v>
      </c>
      <c r="B8" s="10">
        <v>7</v>
      </c>
      <c r="C8" s="10">
        <v>1029299937.8603801</v>
      </c>
    </row>
    <row r="9" spans="1:3" x14ac:dyDescent="0.25">
      <c r="A9" s="10">
        <v>2015</v>
      </c>
      <c r="B9" s="10">
        <v>8</v>
      </c>
      <c r="C9" s="10">
        <v>1009867998.11178</v>
      </c>
    </row>
    <row r="10" spans="1:3" x14ac:dyDescent="0.25">
      <c r="A10" s="10">
        <v>2015</v>
      </c>
      <c r="B10" s="10">
        <v>9</v>
      </c>
      <c r="C10" s="10">
        <v>1037610829.16976</v>
      </c>
    </row>
    <row r="11" spans="1:3" x14ac:dyDescent="0.25">
      <c r="A11" s="10">
        <v>2015</v>
      </c>
      <c r="B11" s="10">
        <v>10</v>
      </c>
      <c r="C11" s="10">
        <v>1037525262.90107</v>
      </c>
    </row>
    <row r="12" spans="1:3" x14ac:dyDescent="0.25">
      <c r="A12" s="10">
        <v>2015</v>
      </c>
      <c r="B12" s="10">
        <v>11</v>
      </c>
      <c r="C12" s="10">
        <v>1024636907.617</v>
      </c>
    </row>
    <row r="13" spans="1:3" x14ac:dyDescent="0.25">
      <c r="A13" s="10">
        <v>2015</v>
      </c>
      <c r="B13" s="10">
        <v>12</v>
      </c>
      <c r="C13" s="10">
        <v>1006641886.9748</v>
      </c>
    </row>
    <row r="14" spans="1:3" x14ac:dyDescent="0.25">
      <c r="A14" s="10">
        <v>2016</v>
      </c>
      <c r="B14" s="10">
        <v>1</v>
      </c>
      <c r="C14" s="10">
        <v>926306230.95748997</v>
      </c>
    </row>
    <row r="15" spans="1:3" x14ac:dyDescent="0.25">
      <c r="A15" s="10">
        <v>2016</v>
      </c>
      <c r="B15" s="10">
        <v>2</v>
      </c>
      <c r="C15" s="10">
        <v>919795685.13804102</v>
      </c>
    </row>
    <row r="16" spans="1:3" x14ac:dyDescent="0.25">
      <c r="A16" s="10">
        <v>2016</v>
      </c>
      <c r="B16" s="10">
        <v>3</v>
      </c>
      <c r="C16" s="10">
        <v>920698862.15523899</v>
      </c>
    </row>
    <row r="17" spans="1:3" x14ac:dyDescent="0.25">
      <c r="A17" s="10">
        <v>2016</v>
      </c>
      <c r="B17" s="10">
        <v>4</v>
      </c>
      <c r="C17" s="10">
        <v>818747606.91296196</v>
      </c>
    </row>
    <row r="18" spans="1:3" x14ac:dyDescent="0.25">
      <c r="A18" s="10">
        <v>2016</v>
      </c>
      <c r="B18" s="10">
        <v>5</v>
      </c>
      <c r="C18" s="10">
        <v>806271413.77766597</v>
      </c>
    </row>
    <row r="19" spans="1:3" x14ac:dyDescent="0.25">
      <c r="A19" s="10">
        <v>2016</v>
      </c>
      <c r="B19" s="10">
        <v>6</v>
      </c>
      <c r="C19" s="10">
        <v>818547329.04280603</v>
      </c>
    </row>
    <row r="20" spans="1:3" x14ac:dyDescent="0.25">
      <c r="A20" s="10">
        <v>2016</v>
      </c>
      <c r="B20" s="10">
        <v>7</v>
      </c>
      <c r="C20" s="10">
        <v>819939022.65443099</v>
      </c>
    </row>
    <row r="21" spans="1:3" x14ac:dyDescent="0.25">
      <c r="A21" s="10">
        <v>2016</v>
      </c>
      <c r="B21" s="10">
        <v>8</v>
      </c>
      <c r="C21" s="10">
        <v>852363690.828004</v>
      </c>
    </row>
    <row r="22" spans="1:3" x14ac:dyDescent="0.25">
      <c r="A22" s="10">
        <v>2016</v>
      </c>
      <c r="B22" s="10">
        <v>9</v>
      </c>
      <c r="C22" s="10">
        <v>865309163.45389998</v>
      </c>
    </row>
    <row r="23" spans="1:3" x14ac:dyDescent="0.25">
      <c r="A23" s="10">
        <v>2016</v>
      </c>
      <c r="B23" s="10">
        <v>10</v>
      </c>
      <c r="C23" s="10">
        <v>848576921.09732997</v>
      </c>
    </row>
    <row r="24" spans="1:3" x14ac:dyDescent="0.25">
      <c r="A24" s="10">
        <v>2016</v>
      </c>
      <c r="B24" s="10">
        <v>11</v>
      </c>
      <c r="C24" s="10">
        <v>830626244.37702799</v>
      </c>
    </row>
    <row r="25" spans="1:3" x14ac:dyDescent="0.25">
      <c r="A25" s="10">
        <v>2016</v>
      </c>
      <c r="B25" s="10">
        <v>12</v>
      </c>
      <c r="C25" s="10">
        <v>850272715.02079999</v>
      </c>
    </row>
    <row r="26" spans="1:3" x14ac:dyDescent="0.25">
      <c r="A26" s="10">
        <v>2017</v>
      </c>
      <c r="B26" s="10">
        <v>1</v>
      </c>
      <c r="C26" s="10">
        <v>833443107.80575705</v>
      </c>
    </row>
    <row r="27" spans="1:3" x14ac:dyDescent="0.25">
      <c r="A27" s="10">
        <v>2017</v>
      </c>
      <c r="B27" s="10">
        <v>2</v>
      </c>
      <c r="C27" s="10">
        <v>842463573.88148499</v>
      </c>
    </row>
    <row r="28" spans="1:3" x14ac:dyDescent="0.25">
      <c r="A28" s="10">
        <v>2017</v>
      </c>
      <c r="B28" s="10">
        <v>3</v>
      </c>
      <c r="C28" s="10">
        <v>839116082.34537697</v>
      </c>
    </row>
    <row r="29" spans="1:3" x14ac:dyDescent="0.25">
      <c r="A29" s="10">
        <v>2017</v>
      </c>
      <c r="B29" s="10">
        <v>4</v>
      </c>
      <c r="C29" s="10">
        <v>832476403.62057102</v>
      </c>
    </row>
    <row r="30" spans="1:3" x14ac:dyDescent="0.25">
      <c r="A30" s="10">
        <v>2017</v>
      </c>
      <c r="B30" s="10">
        <v>5</v>
      </c>
      <c r="C30" s="10">
        <v>847146324.30755103</v>
      </c>
    </row>
    <row r="31" spans="1:3" x14ac:dyDescent="0.25">
      <c r="A31" s="10">
        <v>2017</v>
      </c>
      <c r="B31" s="10">
        <v>6</v>
      </c>
      <c r="C31" s="10">
        <v>839925007.30132306</v>
      </c>
    </row>
    <row r="32" spans="1:3" x14ac:dyDescent="0.25">
      <c r="A32" s="10">
        <v>2017</v>
      </c>
      <c r="B32" s="10">
        <v>7</v>
      </c>
      <c r="C32" s="10">
        <v>838871515.55022502</v>
      </c>
    </row>
    <row r="33" spans="1:3" x14ac:dyDescent="0.25">
      <c r="A33" s="10">
        <v>2017</v>
      </c>
      <c r="B33" s="10">
        <v>8</v>
      </c>
      <c r="C33" s="10">
        <v>826333369.02581406</v>
      </c>
    </row>
    <row r="34" spans="1:3" x14ac:dyDescent="0.25">
      <c r="A34" s="10">
        <v>2017</v>
      </c>
      <c r="B34" s="10">
        <v>9</v>
      </c>
      <c r="C34" s="10">
        <v>828880544.39701796</v>
      </c>
    </row>
    <row r="35" spans="1:3" x14ac:dyDescent="0.25">
      <c r="A35" s="10">
        <v>2017</v>
      </c>
      <c r="B35" s="10">
        <v>10</v>
      </c>
      <c r="C35" s="10">
        <v>839005731.72562003</v>
      </c>
    </row>
    <row r="36" spans="1:3" x14ac:dyDescent="0.25">
      <c r="A36" s="10">
        <v>2017</v>
      </c>
      <c r="B36" s="10">
        <v>11</v>
      </c>
      <c r="C36" s="10">
        <v>865099494.94754899</v>
      </c>
    </row>
    <row r="37" spans="1:3" x14ac:dyDescent="0.25">
      <c r="A37" s="10">
        <v>2017</v>
      </c>
      <c r="B37" s="10">
        <v>12</v>
      </c>
      <c r="C37" s="10">
        <v>870232317.81389105</v>
      </c>
    </row>
    <row r="38" spans="1:3" x14ac:dyDescent="0.25">
      <c r="A38" s="10">
        <v>2018</v>
      </c>
      <c r="B38" s="10">
        <v>1</v>
      </c>
      <c r="C38" s="10">
        <v>906835052.78779805</v>
      </c>
    </row>
    <row r="39" spans="1:3" x14ac:dyDescent="0.25">
      <c r="A39" s="10">
        <v>2018</v>
      </c>
      <c r="B39" s="10">
        <v>2</v>
      </c>
      <c r="C39" s="10">
        <v>900502477.27301705</v>
      </c>
    </row>
    <row r="40" spans="1:3" x14ac:dyDescent="0.25">
      <c r="A40" s="10">
        <v>2018</v>
      </c>
      <c r="B40" s="10">
        <v>3</v>
      </c>
      <c r="C40" s="10">
        <v>918799774.18068004</v>
      </c>
    </row>
    <row r="41" spans="1:3" x14ac:dyDescent="0.25">
      <c r="A41" s="10">
        <v>2018</v>
      </c>
      <c r="B41" s="10">
        <v>4</v>
      </c>
      <c r="C41" s="10">
        <v>897970922.45353198</v>
      </c>
    </row>
    <row r="42" spans="1:3" x14ac:dyDescent="0.25">
      <c r="A42" s="10">
        <v>2018</v>
      </c>
      <c r="B42" s="10">
        <v>5</v>
      </c>
      <c r="C42" s="10">
        <v>861915701.49842703</v>
      </c>
    </row>
    <row r="43" spans="1:3" x14ac:dyDescent="0.25">
      <c r="A43" s="10">
        <v>2018</v>
      </c>
      <c r="B43" s="10">
        <v>6</v>
      </c>
      <c r="C43" s="10">
        <v>878382158.122136</v>
      </c>
    </row>
    <row r="44" spans="1:3" x14ac:dyDescent="0.25">
      <c r="A44" s="10">
        <v>2018</v>
      </c>
      <c r="B44" s="10">
        <v>7</v>
      </c>
      <c r="C44" s="10">
        <v>871338813.65863597</v>
      </c>
    </row>
    <row r="45" spans="1:3" x14ac:dyDescent="0.25">
      <c r="A45" s="10">
        <v>2018</v>
      </c>
      <c r="B45" s="10">
        <v>8</v>
      </c>
      <c r="C45" s="10">
        <v>862284105.54109097</v>
      </c>
    </row>
    <row r="46" spans="1:3" x14ac:dyDescent="0.25">
      <c r="A46" s="10">
        <v>2018</v>
      </c>
      <c r="B46" s="10">
        <v>9</v>
      </c>
      <c r="C46" s="10">
        <v>866340541.63414395</v>
      </c>
    </row>
    <row r="47" spans="1:3" x14ac:dyDescent="0.25">
      <c r="A47" s="10">
        <v>2018</v>
      </c>
      <c r="B47" s="10">
        <v>10</v>
      </c>
      <c r="C47" s="10">
        <v>862525598.645998</v>
      </c>
    </row>
    <row r="48" spans="1:3" x14ac:dyDescent="0.25">
      <c r="A48" s="10">
        <v>2018</v>
      </c>
      <c r="B48" s="10">
        <v>11</v>
      </c>
      <c r="C48" s="10">
        <v>854889111.64410901</v>
      </c>
    </row>
    <row r="49" spans="1:3" x14ac:dyDescent="0.25">
      <c r="A49" s="10">
        <v>2018</v>
      </c>
      <c r="B49" s="10">
        <v>12</v>
      </c>
      <c r="C49" s="10">
        <v>849591338.38348699</v>
      </c>
    </row>
    <row r="50" spans="1:3" x14ac:dyDescent="0.25">
      <c r="A50" s="10">
        <v>2019</v>
      </c>
      <c r="B50" s="10">
        <v>1</v>
      </c>
      <c r="C50" s="10">
        <v>842087850.03354502</v>
      </c>
    </row>
    <row r="51" spans="1:3" x14ac:dyDescent="0.25">
      <c r="A51" s="10">
        <v>2019</v>
      </c>
      <c r="B51" s="10">
        <v>2</v>
      </c>
      <c r="C51" s="10">
        <v>826097953.336694</v>
      </c>
    </row>
    <row r="52" spans="1:3" x14ac:dyDescent="0.25">
      <c r="A52" s="10">
        <v>2019</v>
      </c>
      <c r="B52" s="10">
        <v>3</v>
      </c>
      <c r="C52" s="10">
        <v>857388523.74128401</v>
      </c>
    </row>
    <row r="53" spans="1:3" x14ac:dyDescent="0.25">
      <c r="A53" s="10">
        <v>2019</v>
      </c>
      <c r="B53" s="10">
        <v>4</v>
      </c>
      <c r="C53" s="10">
        <v>860694947.20315099</v>
      </c>
    </row>
    <row r="54" spans="1:3" x14ac:dyDescent="0.25">
      <c r="A54" s="10">
        <v>2019</v>
      </c>
      <c r="B54" s="10">
        <v>5</v>
      </c>
      <c r="C54" s="10">
        <v>847414747.06492603</v>
      </c>
    </row>
    <row r="55" spans="1:3" x14ac:dyDescent="0.25">
      <c r="A55" s="10">
        <v>2019</v>
      </c>
      <c r="B55" s="10">
        <v>6</v>
      </c>
      <c r="C55" s="10">
        <v>853047222.27955604</v>
      </c>
    </row>
    <row r="56" spans="1:3" x14ac:dyDescent="0.25">
      <c r="A56" s="10">
        <v>2019</v>
      </c>
      <c r="B56" s="10">
        <v>7</v>
      </c>
      <c r="C56" s="10">
        <v>869227751.00825095</v>
      </c>
    </row>
    <row r="57" spans="1:3" x14ac:dyDescent="0.25">
      <c r="A57" s="10">
        <v>2019</v>
      </c>
      <c r="B57" s="10">
        <v>8</v>
      </c>
      <c r="C57" s="10">
        <v>880703605.92221105</v>
      </c>
    </row>
    <row r="58" spans="1:3" x14ac:dyDescent="0.25">
      <c r="A58" s="10">
        <v>2019</v>
      </c>
      <c r="B58" s="10">
        <v>9</v>
      </c>
      <c r="C58" s="10">
        <v>879887217.70532095</v>
      </c>
    </row>
    <row r="59" spans="1:3" x14ac:dyDescent="0.25">
      <c r="A59" s="10">
        <v>2019</v>
      </c>
      <c r="B59" s="10">
        <v>10</v>
      </c>
      <c r="C59" s="10">
        <v>873527930.50655794</v>
      </c>
    </row>
    <row r="60" spans="1:3" x14ac:dyDescent="0.25">
      <c r="A60" s="10">
        <v>2019</v>
      </c>
      <c r="B60" s="10">
        <v>11</v>
      </c>
      <c r="C60" s="10">
        <v>871501184.32159996</v>
      </c>
    </row>
    <row r="61" spans="1:3" x14ac:dyDescent="0.25">
      <c r="A61" s="10">
        <v>2019</v>
      </c>
      <c r="B61" s="10">
        <v>12</v>
      </c>
      <c r="C61" s="10">
        <v>880709630.67701697</v>
      </c>
    </row>
    <row r="62" spans="1:3" x14ac:dyDescent="0.25">
      <c r="A62" s="10">
        <v>2020</v>
      </c>
      <c r="B62" s="10">
        <v>1</v>
      </c>
      <c r="C62" s="10">
        <v>886313856.52779806</v>
      </c>
    </row>
    <row r="63" spans="1:3" x14ac:dyDescent="0.25">
      <c r="A63" s="10">
        <v>2020</v>
      </c>
      <c r="B63" s="10">
        <v>2</v>
      </c>
      <c r="C63" s="10">
        <v>909078811.18379796</v>
      </c>
    </row>
    <row r="64" spans="1:3" x14ac:dyDescent="0.25">
      <c r="A64" s="10">
        <v>2020</v>
      </c>
      <c r="B64" s="10">
        <v>3</v>
      </c>
      <c r="C64" s="10">
        <v>909700519.38483405</v>
      </c>
    </row>
    <row r="65" spans="1:3" x14ac:dyDescent="0.25">
      <c r="A65" s="10">
        <v>2020</v>
      </c>
      <c r="B65" s="10">
        <v>4</v>
      </c>
      <c r="C65" s="10">
        <v>919932567.24082994</v>
      </c>
    </row>
    <row r="66" spans="1:3" x14ac:dyDescent="0.25">
      <c r="A66" s="10">
        <v>2020</v>
      </c>
      <c r="B66" s="10">
        <v>5</v>
      </c>
      <c r="C66" s="10">
        <v>933576262.78846002</v>
      </c>
    </row>
    <row r="67" spans="1:3" x14ac:dyDescent="0.25">
      <c r="A67" s="10">
        <v>2020</v>
      </c>
      <c r="B67" s="10">
        <v>6</v>
      </c>
      <c r="C67" s="10">
        <v>938877924.16777396</v>
      </c>
    </row>
    <row r="68" spans="1:3" x14ac:dyDescent="0.25">
      <c r="A68" s="10">
        <v>2020</v>
      </c>
      <c r="B68" s="10">
        <v>7</v>
      </c>
      <c r="C68" s="10">
        <v>934443456.26826203</v>
      </c>
    </row>
    <row r="69" spans="1:3" x14ac:dyDescent="0.25">
      <c r="A69" s="10">
        <v>2020</v>
      </c>
      <c r="B69" s="10">
        <v>8</v>
      </c>
      <c r="C69" s="10">
        <v>927216975.23157001</v>
      </c>
    </row>
    <row r="70" spans="1:3" x14ac:dyDescent="0.25">
      <c r="A70" s="10">
        <v>2020</v>
      </c>
      <c r="B70" s="10">
        <v>9</v>
      </c>
      <c r="C70" s="10">
        <v>915891879.525406</v>
      </c>
    </row>
    <row r="71" spans="1:3" x14ac:dyDescent="0.25">
      <c r="A71" s="10">
        <v>2020</v>
      </c>
      <c r="B71" s="10">
        <v>10</v>
      </c>
      <c r="C71" s="10">
        <v>932469320.38345397</v>
      </c>
    </row>
    <row r="72" spans="1:3" x14ac:dyDescent="0.25">
      <c r="A72" s="10">
        <v>2020</v>
      </c>
      <c r="B72" s="10">
        <v>11</v>
      </c>
      <c r="C72" s="10">
        <v>936850383.094751</v>
      </c>
    </row>
    <row r="73" spans="1:3" x14ac:dyDescent="0.25">
      <c r="A73" s="10">
        <v>2020</v>
      </c>
      <c r="B73" s="10">
        <v>12</v>
      </c>
      <c r="C73" s="10">
        <v>947581790.321823</v>
      </c>
    </row>
    <row r="74" spans="1:3" x14ac:dyDescent="0.25">
      <c r="A74" s="10">
        <v>2021</v>
      </c>
      <c r="B74" s="10">
        <v>1</v>
      </c>
      <c r="C74" s="10">
        <v>952938375.50994503</v>
      </c>
    </row>
    <row r="75" spans="1:3" x14ac:dyDescent="0.25">
      <c r="A75" s="10">
        <v>2021</v>
      </c>
      <c r="B75" s="10">
        <v>2</v>
      </c>
      <c r="C75" s="10">
        <v>948672384.95486498</v>
      </c>
    </row>
    <row r="76" spans="1:3" x14ac:dyDescent="0.25">
      <c r="A76" s="10">
        <v>2021</v>
      </c>
      <c r="B76" s="10">
        <v>3</v>
      </c>
      <c r="C76" s="10">
        <v>949981730.94810402</v>
      </c>
    </row>
    <row r="77" spans="1:3" x14ac:dyDescent="0.25">
      <c r="A77" s="10">
        <v>2021</v>
      </c>
      <c r="B77" s="10">
        <v>4</v>
      </c>
      <c r="C77" s="10">
        <v>950051518.99344504</v>
      </c>
    </row>
    <row r="78" spans="1:3" x14ac:dyDescent="0.25">
      <c r="A78" s="10">
        <v>2021</v>
      </c>
      <c r="B78" s="10">
        <v>5</v>
      </c>
      <c r="C78" s="10">
        <v>964726902.62311304</v>
      </c>
    </row>
    <row r="79" spans="1:3" x14ac:dyDescent="0.25">
      <c r="A79" s="10">
        <v>2021</v>
      </c>
      <c r="B79" s="10">
        <v>6</v>
      </c>
      <c r="C79" s="10">
        <v>964774550.13588703</v>
      </c>
    </row>
    <row r="80" spans="1:3" x14ac:dyDescent="0.25">
      <c r="A80" s="10">
        <v>2021</v>
      </c>
      <c r="B80" s="10">
        <v>7</v>
      </c>
      <c r="C80" s="10">
        <v>966373261.597206</v>
      </c>
    </row>
    <row r="81" spans="1:3" x14ac:dyDescent="0.25">
      <c r="A81" s="10">
        <v>2021</v>
      </c>
      <c r="B81" s="10">
        <v>8</v>
      </c>
      <c r="C81" s="10">
        <v>962924792.82774794</v>
      </c>
    </row>
    <row r="82" spans="1:3" x14ac:dyDescent="0.25">
      <c r="A82" s="10">
        <v>2021</v>
      </c>
      <c r="B82" s="10">
        <v>9</v>
      </c>
      <c r="C82" s="10">
        <v>962095190.46430302</v>
      </c>
    </row>
    <row r="83" spans="1:3" x14ac:dyDescent="0.25">
      <c r="A83" s="10">
        <v>2021</v>
      </c>
      <c r="B83" s="10">
        <v>10</v>
      </c>
      <c r="C83" s="10">
        <v>968298442.76536703</v>
      </c>
    </row>
    <row r="84" spans="1:3" x14ac:dyDescent="0.25">
      <c r="A84" s="10">
        <v>2021</v>
      </c>
      <c r="B84" s="10">
        <v>11</v>
      </c>
      <c r="C84" s="10">
        <v>979700967.20920706</v>
      </c>
    </row>
    <row r="85" spans="1:3" x14ac:dyDescent="0.25">
      <c r="A85" s="10">
        <v>2021</v>
      </c>
      <c r="B85" s="10">
        <v>12</v>
      </c>
      <c r="C85" s="10">
        <v>979931737.46939099</v>
      </c>
    </row>
    <row r="86" spans="1:3" x14ac:dyDescent="0.25">
      <c r="A86" s="10">
        <v>2022</v>
      </c>
      <c r="B86" s="10">
        <v>1</v>
      </c>
      <c r="C86" s="10">
        <v>945081861.29855704</v>
      </c>
    </row>
    <row r="87" spans="1:3" x14ac:dyDescent="0.25">
      <c r="A87" s="10">
        <v>2022</v>
      </c>
      <c r="B87" s="10">
        <v>2</v>
      </c>
      <c r="C87" s="10">
        <v>982163186.33641195</v>
      </c>
    </row>
    <row r="88" spans="1:3" x14ac:dyDescent="0.25">
      <c r="A88" s="10">
        <v>2022</v>
      </c>
      <c r="B88" s="10">
        <v>3</v>
      </c>
      <c r="C88" s="10">
        <v>975946091.49435306</v>
      </c>
    </row>
    <row r="89" spans="1:3" x14ac:dyDescent="0.25">
      <c r="A89" s="10">
        <v>2022</v>
      </c>
      <c r="B89" s="10">
        <v>4</v>
      </c>
      <c r="C89" s="10">
        <v>968660509.50182998</v>
      </c>
    </row>
    <row r="90" spans="1:3" x14ac:dyDescent="0.25">
      <c r="A90" s="10">
        <v>2022</v>
      </c>
      <c r="B90" s="10">
        <v>5</v>
      </c>
      <c r="C90" s="10">
        <v>970271082.36180198</v>
      </c>
    </row>
    <row r="91" spans="1:3" x14ac:dyDescent="0.25">
      <c r="A91" s="10">
        <v>2022</v>
      </c>
      <c r="B91" s="10">
        <v>6</v>
      </c>
      <c r="C91" s="10">
        <v>956986808.33218396</v>
      </c>
    </row>
    <row r="92" spans="1:3" x14ac:dyDescent="0.25">
      <c r="A92" s="10">
        <v>2022</v>
      </c>
      <c r="B92" s="10">
        <v>7</v>
      </c>
      <c r="C92" s="10">
        <v>953987933.18290699</v>
      </c>
    </row>
    <row r="93" spans="1:3" x14ac:dyDescent="0.25">
      <c r="A93" s="10">
        <v>2022</v>
      </c>
      <c r="B93" s="10">
        <v>8</v>
      </c>
      <c r="C93" s="10">
        <v>966317373.48562002</v>
      </c>
    </row>
    <row r="94" spans="1:3" x14ac:dyDescent="0.25">
      <c r="A94" s="10">
        <v>2022</v>
      </c>
      <c r="B94" s="10">
        <v>9</v>
      </c>
      <c r="C94" s="10">
        <v>964633208.28495705</v>
      </c>
    </row>
    <row r="95" spans="1:3" x14ac:dyDescent="0.25">
      <c r="A95" s="10">
        <v>2022</v>
      </c>
      <c r="B95" s="10">
        <v>10</v>
      </c>
      <c r="C95" s="10">
        <v>964114607.84492099</v>
      </c>
    </row>
    <row r="96" spans="1:3" x14ac:dyDescent="0.25">
      <c r="A96" s="10">
        <v>2022</v>
      </c>
      <c r="B96" s="10">
        <v>11</v>
      </c>
      <c r="C96" s="10">
        <v>944736314.17477405</v>
      </c>
    </row>
    <row r="97" spans="1:3" x14ac:dyDescent="0.25">
      <c r="A97" s="10">
        <v>2022</v>
      </c>
      <c r="B97" s="10">
        <v>12</v>
      </c>
      <c r="C97" s="10">
        <v>961695651.75193095</v>
      </c>
    </row>
    <row r="98" spans="1:3" x14ac:dyDescent="0.25">
      <c r="A98" s="10">
        <v>2023</v>
      </c>
      <c r="B98" s="10">
        <v>1</v>
      </c>
      <c r="C98" s="10">
        <v>978764546.99364901</v>
      </c>
    </row>
    <row r="99" spans="1:3" x14ac:dyDescent="0.25">
      <c r="A99" s="10">
        <v>2023</v>
      </c>
      <c r="B99" s="10">
        <v>2</v>
      </c>
      <c r="C99" s="10">
        <v>977136274.17132902</v>
      </c>
    </row>
    <row r="100" spans="1:3" x14ac:dyDescent="0.25">
      <c r="A100" s="10">
        <v>2023</v>
      </c>
      <c r="B100" s="10">
        <v>3</v>
      </c>
      <c r="C100" s="10">
        <v>953304536.18469298</v>
      </c>
    </row>
    <row r="101" spans="1:3" x14ac:dyDescent="0.25">
      <c r="A101" s="10">
        <v>2023</v>
      </c>
      <c r="B101" s="10">
        <v>4</v>
      </c>
      <c r="C101" s="10">
        <v>985537191.872298</v>
      </c>
    </row>
    <row r="102" spans="1:3" x14ac:dyDescent="0.25">
      <c r="A102" s="10">
        <v>2023</v>
      </c>
      <c r="B102" s="10">
        <v>5</v>
      </c>
      <c r="C102" s="10">
        <v>950465174.07360494</v>
      </c>
    </row>
    <row r="103" spans="1:3" x14ac:dyDescent="0.25">
      <c r="A103" s="10">
        <v>2023</v>
      </c>
      <c r="B103" s="10">
        <v>6</v>
      </c>
      <c r="C103" s="10">
        <v>947878093.163625</v>
      </c>
    </row>
    <row r="104" spans="1:3" x14ac:dyDescent="0.25">
      <c r="A104" s="10">
        <v>2023</v>
      </c>
      <c r="B104" s="10">
        <v>7</v>
      </c>
      <c r="C104" s="10">
        <v>950789418.86125696</v>
      </c>
    </row>
    <row r="105" spans="1:3" x14ac:dyDescent="0.25">
      <c r="A105" s="10">
        <v>2023</v>
      </c>
      <c r="B105" s="10">
        <v>8</v>
      </c>
      <c r="C105" s="10">
        <v>959905553.22971499</v>
      </c>
    </row>
    <row r="106" spans="1:3" x14ac:dyDescent="0.25">
      <c r="A106" s="10">
        <v>2023</v>
      </c>
      <c r="B106" s="10">
        <v>9</v>
      </c>
      <c r="C106" s="10">
        <v>923959653.01410997</v>
      </c>
    </row>
    <row r="107" spans="1:3" x14ac:dyDescent="0.25">
      <c r="A107" s="10">
        <v>2023</v>
      </c>
      <c r="B107" s="10">
        <v>10</v>
      </c>
      <c r="C107" s="10">
        <v>913919526.11477602</v>
      </c>
    </row>
    <row r="108" spans="1:3" x14ac:dyDescent="0.25">
      <c r="A108" s="10">
        <v>2023</v>
      </c>
      <c r="B108" s="10">
        <v>11</v>
      </c>
      <c r="C108" s="10">
        <v>900909046.67016804</v>
      </c>
    </row>
    <row r="109" spans="1:3" x14ac:dyDescent="0.25">
      <c r="A109" s="10">
        <v>2023</v>
      </c>
      <c r="B109" s="10">
        <v>12</v>
      </c>
      <c r="C109" s="10">
        <v>881946417.85046899</v>
      </c>
    </row>
    <row r="110" spans="1:3" x14ac:dyDescent="0.25">
      <c r="A110" s="10">
        <v>2024</v>
      </c>
      <c r="B110" s="10">
        <v>1</v>
      </c>
      <c r="C110" s="10">
        <v>859785152.70318496</v>
      </c>
    </row>
    <row r="111" spans="1:3" x14ac:dyDescent="0.25">
      <c r="A111" s="10">
        <v>2024</v>
      </c>
      <c r="B111" s="10">
        <v>2</v>
      </c>
      <c r="C111" s="10">
        <v>842126520.62550604</v>
      </c>
    </row>
    <row r="112" spans="1:3" x14ac:dyDescent="0.25">
      <c r="A112" s="10">
        <v>2024</v>
      </c>
      <c r="B112" s="10">
        <v>3</v>
      </c>
      <c r="C112" s="10">
        <v>837498333.52628803</v>
      </c>
    </row>
    <row r="113" spans="1:3" x14ac:dyDescent="0.25">
      <c r="A113" s="10">
        <v>2024</v>
      </c>
      <c r="B113" s="10">
        <v>4</v>
      </c>
      <c r="C113" s="10">
        <v>846605570.52364695</v>
      </c>
    </row>
    <row r="114" spans="1:3" x14ac:dyDescent="0.25">
      <c r="A114" s="10">
        <v>2024</v>
      </c>
      <c r="B114" s="10">
        <v>5</v>
      </c>
      <c r="C114" s="10">
        <v>857600984.32042694</v>
      </c>
    </row>
    <row r="115" spans="1:3" x14ac:dyDescent="0.25">
      <c r="A115" s="10">
        <v>2024</v>
      </c>
      <c r="B115" s="10">
        <v>6</v>
      </c>
      <c r="C115" s="10">
        <v>883224931.58020401</v>
      </c>
    </row>
    <row r="116" spans="1:3" x14ac:dyDescent="0.25">
      <c r="A116" s="10">
        <v>2024</v>
      </c>
      <c r="B116" s="10">
        <v>7</v>
      </c>
      <c r="C116" s="10">
        <v>901888136.77044106</v>
      </c>
    </row>
    <row r="117" spans="1:3" x14ac:dyDescent="0.25">
      <c r="A117" s="10">
        <v>2024</v>
      </c>
      <c r="B117" s="10">
        <v>8</v>
      </c>
      <c r="C117" s="10">
        <v>892705727.24981904</v>
      </c>
    </row>
    <row r="118" spans="1:3" x14ac:dyDescent="0.25">
      <c r="A118" s="10">
        <v>2024</v>
      </c>
      <c r="B118" s="10">
        <v>9</v>
      </c>
      <c r="C118" s="10">
        <v>902849378.83149803</v>
      </c>
    </row>
    <row r="119" spans="1:3" x14ac:dyDescent="0.25">
      <c r="A119" s="10">
        <v>2024</v>
      </c>
      <c r="B119" s="10">
        <v>10</v>
      </c>
      <c r="C119" s="10">
        <v>907595791.17163897</v>
      </c>
    </row>
    <row r="120" spans="1:3" x14ac:dyDescent="0.25">
      <c r="A120" s="10">
        <v>2024</v>
      </c>
      <c r="B120" s="10">
        <v>11</v>
      </c>
      <c r="C120" s="10">
        <v>914804616.58617198</v>
      </c>
    </row>
    <row r="121" spans="1:3" x14ac:dyDescent="0.25">
      <c r="A121" s="10">
        <v>2024</v>
      </c>
      <c r="B121" s="10">
        <v>12</v>
      </c>
      <c r="C121" s="10">
        <v>923484489.84494305</v>
      </c>
    </row>
    <row r="122" spans="1:3" x14ac:dyDescent="0.25">
      <c r="A122" s="10">
        <v>2025</v>
      </c>
      <c r="B122" s="10">
        <v>1</v>
      </c>
      <c r="C122" s="10">
        <v>908299823.21760702</v>
      </c>
    </row>
    <row r="123" spans="1:3" x14ac:dyDescent="0.25">
      <c r="A123" s="10">
        <v>2025</v>
      </c>
      <c r="B123" s="10">
        <v>2</v>
      </c>
      <c r="C123" s="10">
        <v>922732551.02046597</v>
      </c>
    </row>
    <row r="124" spans="1:3" x14ac:dyDescent="0.25">
      <c r="A124" s="10">
        <v>2025</v>
      </c>
      <c r="B124" s="10">
        <v>3</v>
      </c>
      <c r="C124" s="10">
        <v>950732695.55018401</v>
      </c>
    </row>
    <row r="125" spans="1:3" x14ac:dyDescent="0.25">
      <c r="A125" s="10">
        <v>2025</v>
      </c>
      <c r="B125" s="10">
        <v>4</v>
      </c>
      <c r="C125" s="10">
        <v>955112277.79467297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1D7B-2620-4C8C-AB92-967AA1C1F2D1}">
  <dimension ref="A1:C122"/>
  <sheetViews>
    <sheetView workbookViewId="0">
      <selection activeCell="C2" sqref="C2:C122"/>
    </sheetView>
  </sheetViews>
  <sheetFormatPr baseColWidth="10" defaultRowHeight="15" x14ac:dyDescent="0.25"/>
  <cols>
    <col min="1" max="2" width="11.5703125" bestFit="1" customWidth="1"/>
    <col min="3" max="3" width="16.42578125" bestFit="1" customWidth="1"/>
  </cols>
  <sheetData>
    <row r="1" spans="1:3" x14ac:dyDescent="0.25">
      <c r="A1" s="19" t="s">
        <v>6</v>
      </c>
      <c r="B1" s="19" t="s">
        <v>7</v>
      </c>
      <c r="C1" s="19" t="s">
        <v>8</v>
      </c>
    </row>
    <row r="2" spans="1:3" x14ac:dyDescent="0.25">
      <c r="A2" s="20">
        <v>2015</v>
      </c>
      <c r="B2" s="20">
        <v>1</v>
      </c>
      <c r="C2" s="20">
        <v>993597429.39930499</v>
      </c>
    </row>
    <row r="3" spans="1:3" x14ac:dyDescent="0.25">
      <c r="A3" s="20">
        <v>2015</v>
      </c>
      <c r="B3" s="20">
        <v>2</v>
      </c>
      <c r="C3" s="20">
        <v>908953564.54892504</v>
      </c>
    </row>
    <row r="4" spans="1:3" x14ac:dyDescent="0.25">
      <c r="A4" s="20">
        <v>2015</v>
      </c>
      <c r="B4" s="20">
        <v>3</v>
      </c>
      <c r="C4" s="20">
        <v>971822247.91839194</v>
      </c>
    </row>
    <row r="5" spans="1:3" x14ac:dyDescent="0.25">
      <c r="A5" s="20">
        <v>2015</v>
      </c>
      <c r="B5" s="20">
        <v>4</v>
      </c>
      <c r="C5" s="20">
        <v>1001671445.9965</v>
      </c>
    </row>
    <row r="6" spans="1:3" x14ac:dyDescent="0.25">
      <c r="A6" s="20">
        <v>2015</v>
      </c>
      <c r="B6" s="20">
        <v>5</v>
      </c>
      <c r="C6" s="20">
        <v>1015138207.93191</v>
      </c>
    </row>
    <row r="7" spans="1:3" x14ac:dyDescent="0.25">
      <c r="A7" s="20">
        <v>2015</v>
      </c>
      <c r="B7" s="20">
        <v>6</v>
      </c>
      <c r="C7" s="20">
        <v>1028566211.1238</v>
      </c>
    </row>
    <row r="8" spans="1:3" x14ac:dyDescent="0.25">
      <c r="A8" s="20">
        <v>2015</v>
      </c>
      <c r="B8" s="20">
        <v>7</v>
      </c>
      <c r="C8" s="20">
        <v>1029219934.08211</v>
      </c>
    </row>
    <row r="9" spans="1:3" x14ac:dyDescent="0.25">
      <c r="A9" s="20">
        <v>2015</v>
      </c>
      <c r="B9" s="20">
        <v>8</v>
      </c>
      <c r="C9" s="20">
        <v>1010772827.95381</v>
      </c>
    </row>
    <row r="10" spans="1:3" x14ac:dyDescent="0.25">
      <c r="A10" s="20">
        <v>2015</v>
      </c>
      <c r="B10" s="20">
        <v>9</v>
      </c>
      <c r="C10" s="20">
        <v>1037245066.6598901</v>
      </c>
    </row>
    <row r="11" spans="1:3" x14ac:dyDescent="0.25">
      <c r="A11" s="20">
        <v>2015</v>
      </c>
      <c r="B11" s="20">
        <v>10</v>
      </c>
      <c r="C11" s="20">
        <v>1037494132.00317</v>
      </c>
    </row>
    <row r="12" spans="1:3" x14ac:dyDescent="0.25">
      <c r="A12" s="20">
        <v>2015</v>
      </c>
      <c r="B12" s="20">
        <v>11</v>
      </c>
      <c r="C12" s="20">
        <v>1024748705.1072299</v>
      </c>
    </row>
    <row r="13" spans="1:3" x14ac:dyDescent="0.25">
      <c r="A13" s="20">
        <v>2015</v>
      </c>
      <c r="B13" s="20">
        <v>12</v>
      </c>
      <c r="C13" s="20">
        <v>1006521195.9351701</v>
      </c>
    </row>
    <row r="14" spans="1:3" x14ac:dyDescent="0.25">
      <c r="A14" s="20">
        <v>2016</v>
      </c>
      <c r="B14" s="20">
        <v>1</v>
      </c>
      <c r="C14" s="20">
        <v>926192609.09983206</v>
      </c>
    </row>
    <row r="15" spans="1:3" x14ac:dyDescent="0.25">
      <c r="A15" s="20">
        <v>2016</v>
      </c>
      <c r="B15" s="20">
        <v>2</v>
      </c>
      <c r="C15" s="20">
        <v>920977205.36807406</v>
      </c>
    </row>
    <row r="16" spans="1:3" x14ac:dyDescent="0.25">
      <c r="A16" s="20">
        <v>2016</v>
      </c>
      <c r="B16" s="20">
        <v>3</v>
      </c>
      <c r="C16" s="20">
        <v>920561439.20011306</v>
      </c>
    </row>
    <row r="17" spans="1:3" x14ac:dyDescent="0.25">
      <c r="A17" s="20">
        <v>2016</v>
      </c>
      <c r="B17" s="20">
        <v>4</v>
      </c>
      <c r="C17" s="20">
        <v>818809491.798908</v>
      </c>
    </row>
    <row r="18" spans="1:3" x14ac:dyDescent="0.25">
      <c r="A18" s="20">
        <v>2016</v>
      </c>
      <c r="B18" s="20">
        <v>5</v>
      </c>
      <c r="C18" s="20">
        <v>806362596.06728101</v>
      </c>
    </row>
    <row r="19" spans="1:3" x14ac:dyDescent="0.25">
      <c r="A19" s="20">
        <v>2016</v>
      </c>
      <c r="B19" s="20">
        <v>6</v>
      </c>
      <c r="C19" s="20">
        <v>818528737.60077703</v>
      </c>
    </row>
    <row r="20" spans="1:3" x14ac:dyDescent="0.25">
      <c r="A20" s="20">
        <v>2016</v>
      </c>
      <c r="B20" s="20">
        <v>7</v>
      </c>
      <c r="C20" s="20">
        <v>820175105.33430898</v>
      </c>
    </row>
    <row r="21" spans="1:3" x14ac:dyDescent="0.25">
      <c r="A21" s="20">
        <v>2016</v>
      </c>
      <c r="B21" s="20">
        <v>8</v>
      </c>
      <c r="C21" s="20">
        <v>852875480.95693898</v>
      </c>
    </row>
    <row r="22" spans="1:3" x14ac:dyDescent="0.25">
      <c r="A22" s="20">
        <v>2016</v>
      </c>
      <c r="B22" s="20">
        <v>9</v>
      </c>
      <c r="C22" s="20">
        <v>864949985.12933505</v>
      </c>
    </row>
    <row r="23" spans="1:3" x14ac:dyDescent="0.25">
      <c r="A23" s="20">
        <v>2016</v>
      </c>
      <c r="B23" s="20">
        <v>10</v>
      </c>
      <c r="C23" s="20">
        <v>848709132.18044806</v>
      </c>
    </row>
    <row r="24" spans="1:3" x14ac:dyDescent="0.25">
      <c r="A24" s="20">
        <v>2016</v>
      </c>
      <c r="B24" s="20">
        <v>11</v>
      </c>
      <c r="C24" s="20">
        <v>830569687.83075297</v>
      </c>
    </row>
    <row r="25" spans="1:3" x14ac:dyDescent="0.25">
      <c r="A25" s="20">
        <v>2016</v>
      </c>
      <c r="B25" s="20">
        <v>12</v>
      </c>
      <c r="C25" s="20">
        <v>850297222.31169796</v>
      </c>
    </row>
    <row r="26" spans="1:3" x14ac:dyDescent="0.25">
      <c r="A26" s="20">
        <v>2017</v>
      </c>
      <c r="B26" s="20">
        <v>1</v>
      </c>
      <c r="C26" s="20">
        <v>833224835.932917</v>
      </c>
    </row>
    <row r="27" spans="1:3" x14ac:dyDescent="0.25">
      <c r="A27" s="20">
        <v>2017</v>
      </c>
      <c r="B27" s="20">
        <v>2</v>
      </c>
      <c r="C27" s="20">
        <v>841649466.90656197</v>
      </c>
    </row>
    <row r="28" spans="1:3" x14ac:dyDescent="0.25">
      <c r="A28" s="20">
        <v>2017</v>
      </c>
      <c r="B28" s="20">
        <v>3</v>
      </c>
      <c r="C28" s="20">
        <v>839018158.99617505</v>
      </c>
    </row>
    <row r="29" spans="1:3" x14ac:dyDescent="0.25">
      <c r="A29" s="20">
        <v>2017</v>
      </c>
      <c r="B29" s="20">
        <v>4</v>
      </c>
      <c r="C29" s="20">
        <v>832696068.57933497</v>
      </c>
    </row>
    <row r="30" spans="1:3" x14ac:dyDescent="0.25">
      <c r="A30" s="20">
        <v>2017</v>
      </c>
      <c r="B30" s="20">
        <v>5</v>
      </c>
      <c r="C30" s="20">
        <v>847111258.30845904</v>
      </c>
    </row>
    <row r="31" spans="1:3" x14ac:dyDescent="0.25">
      <c r="A31" s="20">
        <v>2017</v>
      </c>
      <c r="B31" s="20">
        <v>6</v>
      </c>
      <c r="C31" s="20">
        <v>839902005.21365595</v>
      </c>
    </row>
    <row r="32" spans="1:3" x14ac:dyDescent="0.25">
      <c r="A32" s="20">
        <v>2017</v>
      </c>
      <c r="B32" s="20">
        <v>7</v>
      </c>
      <c r="C32" s="20">
        <v>839137260.26850605</v>
      </c>
    </row>
    <row r="33" spans="1:3" x14ac:dyDescent="0.25">
      <c r="A33" s="20">
        <v>2017</v>
      </c>
      <c r="B33" s="20">
        <v>8</v>
      </c>
      <c r="C33" s="20">
        <v>826650744.71226096</v>
      </c>
    </row>
    <row r="34" spans="1:3" x14ac:dyDescent="0.25">
      <c r="A34" s="20">
        <v>2017</v>
      </c>
      <c r="B34" s="20">
        <v>9</v>
      </c>
      <c r="C34" s="20">
        <v>828656250.194803</v>
      </c>
    </row>
    <row r="35" spans="1:3" x14ac:dyDescent="0.25">
      <c r="A35" s="20">
        <v>2017</v>
      </c>
      <c r="B35" s="20">
        <v>10</v>
      </c>
      <c r="C35" s="20">
        <v>839014549.15785205</v>
      </c>
    </row>
    <row r="36" spans="1:3" x14ac:dyDescent="0.25">
      <c r="A36" s="20">
        <v>2017</v>
      </c>
      <c r="B36" s="20">
        <v>11</v>
      </c>
      <c r="C36" s="20">
        <v>865029256.64748204</v>
      </c>
    </row>
    <row r="37" spans="1:3" x14ac:dyDescent="0.25">
      <c r="A37" s="20">
        <v>2017</v>
      </c>
      <c r="B37" s="20">
        <v>12</v>
      </c>
      <c r="C37" s="20">
        <v>870375427.54871404</v>
      </c>
    </row>
    <row r="38" spans="1:3" x14ac:dyDescent="0.25">
      <c r="A38" s="20">
        <v>2018</v>
      </c>
      <c r="B38" s="20">
        <v>1</v>
      </c>
      <c r="C38" s="20">
        <v>906533678.85154998</v>
      </c>
    </row>
    <row r="39" spans="1:3" x14ac:dyDescent="0.25">
      <c r="A39" s="20">
        <v>2018</v>
      </c>
      <c r="B39" s="20">
        <v>2</v>
      </c>
      <c r="C39" s="20">
        <v>899794928.09470999</v>
      </c>
    </row>
    <row r="40" spans="1:3" x14ac:dyDescent="0.25">
      <c r="A40" s="20">
        <v>2018</v>
      </c>
      <c r="B40" s="20">
        <v>3</v>
      </c>
      <c r="C40" s="20">
        <v>918892920.63821697</v>
      </c>
    </row>
    <row r="41" spans="1:3" x14ac:dyDescent="0.25">
      <c r="A41" s="20">
        <v>2018</v>
      </c>
      <c r="B41" s="20">
        <v>4</v>
      </c>
      <c r="C41" s="20">
        <v>898033428.80550504</v>
      </c>
    </row>
    <row r="42" spans="1:3" x14ac:dyDescent="0.25">
      <c r="A42" s="20">
        <v>2018</v>
      </c>
      <c r="B42" s="20">
        <v>5</v>
      </c>
      <c r="C42" s="20">
        <v>861894744.98843706</v>
      </c>
    </row>
    <row r="43" spans="1:3" x14ac:dyDescent="0.25">
      <c r="A43" s="20">
        <v>2018</v>
      </c>
      <c r="B43" s="20">
        <v>6</v>
      </c>
      <c r="C43" s="20">
        <v>878526439.85403204</v>
      </c>
    </row>
    <row r="44" spans="1:3" x14ac:dyDescent="0.25">
      <c r="A44" s="20">
        <v>2018</v>
      </c>
      <c r="B44" s="20">
        <v>7</v>
      </c>
      <c r="C44" s="20">
        <v>871467994.48965704</v>
      </c>
    </row>
    <row r="45" spans="1:3" x14ac:dyDescent="0.25">
      <c r="A45" s="20">
        <v>2018</v>
      </c>
      <c r="B45" s="20">
        <v>8</v>
      </c>
      <c r="C45" s="20">
        <v>862404944.30674601</v>
      </c>
    </row>
    <row r="46" spans="1:3" x14ac:dyDescent="0.25">
      <c r="A46" s="20">
        <v>2018</v>
      </c>
      <c r="B46" s="20">
        <v>9</v>
      </c>
      <c r="C46" s="20">
        <v>866289059.36954498</v>
      </c>
    </row>
    <row r="47" spans="1:3" x14ac:dyDescent="0.25">
      <c r="A47" s="20">
        <v>2018</v>
      </c>
      <c r="B47" s="20">
        <v>10</v>
      </c>
      <c r="C47" s="20">
        <v>862363025.45173097</v>
      </c>
    </row>
    <row r="48" spans="1:3" x14ac:dyDescent="0.25">
      <c r="A48" s="20">
        <v>2018</v>
      </c>
      <c r="B48" s="20">
        <v>11</v>
      </c>
      <c r="C48" s="20">
        <v>854753888.29017305</v>
      </c>
    </row>
    <row r="49" spans="1:3" x14ac:dyDescent="0.25">
      <c r="A49" s="20">
        <v>2018</v>
      </c>
      <c r="B49" s="20">
        <v>12</v>
      </c>
      <c r="C49" s="20">
        <v>849664324.29984403</v>
      </c>
    </row>
    <row r="50" spans="1:3" x14ac:dyDescent="0.25">
      <c r="A50" s="20">
        <v>2019</v>
      </c>
      <c r="B50" s="20">
        <v>1</v>
      </c>
      <c r="C50" s="20">
        <v>841848471.89391994</v>
      </c>
    </row>
    <row r="51" spans="1:3" x14ac:dyDescent="0.25">
      <c r="A51" s="20">
        <v>2019</v>
      </c>
      <c r="B51" s="20">
        <v>2</v>
      </c>
      <c r="C51" s="20">
        <v>825477865.12121797</v>
      </c>
    </row>
    <row r="52" spans="1:3" x14ac:dyDescent="0.25">
      <c r="A52" s="20">
        <v>2019</v>
      </c>
      <c r="B52" s="20">
        <v>3</v>
      </c>
      <c r="C52" s="20">
        <v>857688484.02024603</v>
      </c>
    </row>
    <row r="53" spans="1:3" x14ac:dyDescent="0.25">
      <c r="A53" s="20">
        <v>2019</v>
      </c>
      <c r="B53" s="20">
        <v>4</v>
      </c>
      <c r="C53" s="20">
        <v>860667072.68655801</v>
      </c>
    </row>
    <row r="54" spans="1:3" x14ac:dyDescent="0.25">
      <c r="A54" s="20">
        <v>2019</v>
      </c>
      <c r="B54" s="20">
        <v>5</v>
      </c>
      <c r="C54" s="20">
        <v>847443594.62846804</v>
      </c>
    </row>
    <row r="55" spans="1:3" x14ac:dyDescent="0.25">
      <c r="A55" s="20">
        <v>2019</v>
      </c>
      <c r="B55" s="20">
        <v>6</v>
      </c>
      <c r="C55" s="20">
        <v>853430790.98456204</v>
      </c>
    </row>
    <row r="56" spans="1:3" x14ac:dyDescent="0.25">
      <c r="A56" s="20">
        <v>2019</v>
      </c>
      <c r="B56" s="20">
        <v>7</v>
      </c>
      <c r="C56" s="20">
        <v>869254327.86888099</v>
      </c>
    </row>
    <row r="57" spans="1:3" x14ac:dyDescent="0.25">
      <c r="A57" s="20">
        <v>2019</v>
      </c>
      <c r="B57" s="20">
        <v>8</v>
      </c>
      <c r="C57" s="20">
        <v>880852511.53422904</v>
      </c>
    </row>
    <row r="58" spans="1:3" x14ac:dyDescent="0.25">
      <c r="A58" s="20">
        <v>2019</v>
      </c>
      <c r="B58" s="20">
        <v>9</v>
      </c>
      <c r="C58" s="20">
        <v>879685428.15552104</v>
      </c>
    </row>
    <row r="59" spans="1:3" x14ac:dyDescent="0.25">
      <c r="A59" s="20">
        <v>2019</v>
      </c>
      <c r="B59" s="20">
        <v>10</v>
      </c>
      <c r="C59" s="20">
        <v>873256861.07008398</v>
      </c>
    </row>
    <row r="60" spans="1:3" x14ac:dyDescent="0.25">
      <c r="A60" s="20">
        <v>2019</v>
      </c>
      <c r="B60" s="20">
        <v>11</v>
      </c>
      <c r="C60" s="20">
        <v>871343177.76618505</v>
      </c>
    </row>
    <row r="61" spans="1:3" x14ac:dyDescent="0.25">
      <c r="A61" s="20">
        <v>2019</v>
      </c>
      <c r="B61" s="20">
        <v>12</v>
      </c>
      <c r="C61" s="20">
        <v>880361758.14204204</v>
      </c>
    </row>
    <row r="62" spans="1:3" x14ac:dyDescent="0.25">
      <c r="A62" s="20">
        <v>2020</v>
      </c>
      <c r="B62" s="20">
        <v>1</v>
      </c>
      <c r="C62" s="20">
        <v>886160660.23446405</v>
      </c>
    </row>
    <row r="63" spans="1:3" x14ac:dyDescent="0.25">
      <c r="A63" s="20">
        <v>2020</v>
      </c>
      <c r="B63" s="20">
        <v>2</v>
      </c>
      <c r="C63" s="20">
        <v>910526763.39602602</v>
      </c>
    </row>
    <row r="64" spans="1:3" x14ac:dyDescent="0.25">
      <c r="A64" s="20">
        <v>2020</v>
      </c>
      <c r="B64" s="20">
        <v>3</v>
      </c>
      <c r="C64" s="20">
        <v>910235570.07570899</v>
      </c>
    </row>
    <row r="65" spans="1:3" x14ac:dyDescent="0.25">
      <c r="A65" s="20">
        <v>2020</v>
      </c>
      <c r="B65" s="20">
        <v>4</v>
      </c>
      <c r="C65" s="20">
        <v>920105290.44509101</v>
      </c>
    </row>
    <row r="66" spans="1:3" x14ac:dyDescent="0.25">
      <c r="A66" s="20">
        <v>2020</v>
      </c>
      <c r="B66" s="20">
        <v>5</v>
      </c>
      <c r="C66" s="20">
        <v>933945321.66824806</v>
      </c>
    </row>
    <row r="67" spans="1:3" x14ac:dyDescent="0.25">
      <c r="A67" s="20">
        <v>2020</v>
      </c>
      <c r="B67" s="20">
        <v>6</v>
      </c>
      <c r="C67" s="20">
        <v>939062131.05289304</v>
      </c>
    </row>
    <row r="68" spans="1:3" x14ac:dyDescent="0.25">
      <c r="A68" s="20">
        <v>2020</v>
      </c>
      <c r="B68" s="20">
        <v>7</v>
      </c>
      <c r="C68" s="20">
        <v>934506663.47310305</v>
      </c>
    </row>
    <row r="69" spans="1:3" x14ac:dyDescent="0.25">
      <c r="A69" s="20">
        <v>2020</v>
      </c>
      <c r="B69" s="20">
        <v>8</v>
      </c>
      <c r="C69" s="20">
        <v>927563000.80504096</v>
      </c>
    </row>
    <row r="70" spans="1:3" x14ac:dyDescent="0.25">
      <c r="A70" s="20">
        <v>2020</v>
      </c>
      <c r="B70" s="20">
        <v>9</v>
      </c>
      <c r="C70" s="20">
        <v>915526815.48684502</v>
      </c>
    </row>
    <row r="71" spans="1:3" x14ac:dyDescent="0.25">
      <c r="A71" s="20">
        <v>2020</v>
      </c>
      <c r="B71" s="20">
        <v>10</v>
      </c>
      <c r="C71" s="20">
        <v>932121267.64159799</v>
      </c>
    </row>
    <row r="72" spans="1:3" x14ac:dyDescent="0.25">
      <c r="A72" s="20">
        <v>2020</v>
      </c>
      <c r="B72" s="20">
        <v>11</v>
      </c>
      <c r="C72" s="20">
        <v>936442072.22270095</v>
      </c>
    </row>
    <row r="73" spans="1:3" x14ac:dyDescent="0.25">
      <c r="A73" s="20">
        <v>2020</v>
      </c>
      <c r="B73" s="20">
        <v>12</v>
      </c>
      <c r="C73" s="20">
        <v>946852567.63195503</v>
      </c>
    </row>
    <row r="74" spans="1:3" x14ac:dyDescent="0.25">
      <c r="A74" s="20">
        <v>2021</v>
      </c>
      <c r="B74" s="20">
        <v>1</v>
      </c>
      <c r="C74" s="20">
        <v>953319735.930668</v>
      </c>
    </row>
    <row r="75" spans="1:3" x14ac:dyDescent="0.25">
      <c r="A75" s="20">
        <v>2021</v>
      </c>
      <c r="B75" s="20">
        <v>2</v>
      </c>
      <c r="C75" s="20">
        <v>946757548.89735699</v>
      </c>
    </row>
    <row r="76" spans="1:3" x14ac:dyDescent="0.25">
      <c r="A76" s="20">
        <v>2021</v>
      </c>
      <c r="B76" s="20">
        <v>3</v>
      </c>
      <c r="C76" s="20">
        <v>951058984.96049595</v>
      </c>
    </row>
    <row r="77" spans="1:3" x14ac:dyDescent="0.25">
      <c r="A77" s="20">
        <v>2021</v>
      </c>
      <c r="B77" s="20">
        <v>4</v>
      </c>
      <c r="C77" s="20">
        <v>950769454.27513397</v>
      </c>
    </row>
    <row r="78" spans="1:3" x14ac:dyDescent="0.25">
      <c r="A78" s="20">
        <v>2021</v>
      </c>
      <c r="B78" s="20">
        <v>5</v>
      </c>
      <c r="C78" s="20">
        <v>965387713.64275098</v>
      </c>
    </row>
    <row r="79" spans="1:3" x14ac:dyDescent="0.25">
      <c r="A79" s="20">
        <v>2021</v>
      </c>
      <c r="B79" s="20">
        <v>6</v>
      </c>
      <c r="C79" s="20">
        <v>965246101.57836699</v>
      </c>
    </row>
    <row r="80" spans="1:3" x14ac:dyDescent="0.25">
      <c r="A80" s="20">
        <v>2021</v>
      </c>
      <c r="B80" s="20">
        <v>7</v>
      </c>
      <c r="C80" s="20">
        <v>966698529.60093403</v>
      </c>
    </row>
    <row r="81" spans="1:3" x14ac:dyDescent="0.25">
      <c r="A81" s="20">
        <v>2021</v>
      </c>
      <c r="B81" s="20">
        <v>8</v>
      </c>
      <c r="C81" s="20">
        <v>963303967.53125</v>
      </c>
    </row>
    <row r="82" spans="1:3" x14ac:dyDescent="0.25">
      <c r="A82" s="20">
        <v>2021</v>
      </c>
      <c r="B82" s="20">
        <v>9</v>
      </c>
      <c r="C82" s="20">
        <v>961734802.47993505</v>
      </c>
    </row>
    <row r="83" spans="1:3" x14ac:dyDescent="0.25">
      <c r="A83" s="20">
        <v>2021</v>
      </c>
      <c r="B83" s="20">
        <v>10</v>
      </c>
      <c r="C83" s="20">
        <v>967855590.68899798</v>
      </c>
    </row>
    <row r="84" spans="1:3" x14ac:dyDescent="0.25">
      <c r="A84" s="20">
        <v>2021</v>
      </c>
      <c r="B84" s="20">
        <v>11</v>
      </c>
      <c r="C84" s="20">
        <v>978685754.14809</v>
      </c>
    </row>
    <row r="85" spans="1:3" x14ac:dyDescent="0.25">
      <c r="A85" s="20">
        <v>2021</v>
      </c>
      <c r="B85" s="20">
        <v>12</v>
      </c>
      <c r="C85" s="20">
        <v>978446024.90090799</v>
      </c>
    </row>
    <row r="86" spans="1:3" x14ac:dyDescent="0.25">
      <c r="A86" s="20">
        <v>2022</v>
      </c>
      <c r="B86" s="20">
        <v>1</v>
      </c>
      <c r="C86" s="20">
        <v>945663801.14727998</v>
      </c>
    </row>
    <row r="87" spans="1:3" x14ac:dyDescent="0.25">
      <c r="A87" s="20">
        <v>2022</v>
      </c>
      <c r="B87" s="20">
        <v>2</v>
      </c>
      <c r="C87" s="20">
        <v>978224996.72111797</v>
      </c>
    </row>
    <row r="88" spans="1:3" x14ac:dyDescent="0.25">
      <c r="A88" s="20">
        <v>2022</v>
      </c>
      <c r="B88" s="20">
        <v>3</v>
      </c>
      <c r="C88" s="20">
        <v>978480915.19756699</v>
      </c>
    </row>
    <row r="89" spans="1:3" x14ac:dyDescent="0.25">
      <c r="A89" s="20">
        <v>2022</v>
      </c>
      <c r="B89" s="20">
        <v>4</v>
      </c>
      <c r="C89" s="20">
        <v>970527831.26353002</v>
      </c>
    </row>
    <row r="90" spans="1:3" x14ac:dyDescent="0.25">
      <c r="A90" s="20">
        <v>2022</v>
      </c>
      <c r="B90" s="20">
        <v>5</v>
      </c>
      <c r="C90" s="20">
        <v>971275575.202227</v>
      </c>
    </row>
    <row r="91" spans="1:3" x14ac:dyDescent="0.25">
      <c r="A91" s="20">
        <v>2022</v>
      </c>
      <c r="B91" s="20">
        <v>6</v>
      </c>
      <c r="C91" s="20">
        <v>957742301.35095096</v>
      </c>
    </row>
    <row r="92" spans="1:3" x14ac:dyDescent="0.25">
      <c r="A92" s="20">
        <v>2022</v>
      </c>
      <c r="B92" s="20">
        <v>7</v>
      </c>
      <c r="C92" s="20">
        <v>954482220.97032106</v>
      </c>
    </row>
    <row r="93" spans="1:3" x14ac:dyDescent="0.25">
      <c r="A93" s="20">
        <v>2022</v>
      </c>
      <c r="B93" s="20">
        <v>8</v>
      </c>
      <c r="C93" s="20">
        <v>966696998.18950701</v>
      </c>
    </row>
    <row r="94" spans="1:3" x14ac:dyDescent="0.25">
      <c r="A94" s="20">
        <v>2022</v>
      </c>
      <c r="B94" s="20">
        <v>9</v>
      </c>
      <c r="C94" s="20">
        <v>964406350.54823101</v>
      </c>
    </row>
    <row r="95" spans="1:3" x14ac:dyDescent="0.25">
      <c r="A95" s="20">
        <v>2022</v>
      </c>
      <c r="B95" s="20">
        <v>10</v>
      </c>
      <c r="C95" s="20">
        <v>963557716.61259496</v>
      </c>
    </row>
    <row r="96" spans="1:3" x14ac:dyDescent="0.25">
      <c r="A96" s="20">
        <v>2022</v>
      </c>
      <c r="B96" s="20">
        <v>11</v>
      </c>
      <c r="C96" s="20">
        <v>943289997.11234999</v>
      </c>
    </row>
    <row r="97" spans="1:3" x14ac:dyDescent="0.25">
      <c r="A97" s="20">
        <v>2022</v>
      </c>
      <c r="B97" s="20">
        <v>12</v>
      </c>
      <c r="C97" s="20">
        <v>959532188.73218</v>
      </c>
    </row>
    <row r="98" spans="1:3" x14ac:dyDescent="0.25">
      <c r="A98" s="20">
        <v>2023</v>
      </c>
      <c r="B98" s="20">
        <v>1</v>
      </c>
      <c r="C98" s="20">
        <v>978970944.42858803</v>
      </c>
    </row>
    <row r="99" spans="1:3" x14ac:dyDescent="0.25">
      <c r="A99" s="20">
        <v>2023</v>
      </c>
      <c r="B99" s="20">
        <v>2</v>
      </c>
      <c r="C99" s="20">
        <v>970811591.17397296</v>
      </c>
    </row>
    <row r="100" spans="1:3" x14ac:dyDescent="0.25">
      <c r="A100" s="20">
        <v>2023</v>
      </c>
      <c r="B100" s="20">
        <v>3</v>
      </c>
      <c r="C100" s="20">
        <v>957318936.72381306</v>
      </c>
    </row>
    <row r="101" spans="1:3" x14ac:dyDescent="0.25">
      <c r="A101" s="20">
        <v>2023</v>
      </c>
      <c r="B101" s="20">
        <v>4</v>
      </c>
      <c r="C101" s="20">
        <v>988649869.996562</v>
      </c>
    </row>
    <row r="102" spans="1:3" x14ac:dyDescent="0.25">
      <c r="A102" s="20">
        <v>2023</v>
      </c>
      <c r="B102" s="20">
        <v>5</v>
      </c>
      <c r="C102" s="20">
        <v>952034207.08548903</v>
      </c>
    </row>
    <row r="103" spans="1:3" x14ac:dyDescent="0.25">
      <c r="A103" s="20">
        <v>2023</v>
      </c>
      <c r="B103" s="20">
        <v>6</v>
      </c>
      <c r="C103" s="20">
        <v>949005349.72679901</v>
      </c>
    </row>
    <row r="104" spans="1:3" x14ac:dyDescent="0.25">
      <c r="A104" s="20">
        <v>2023</v>
      </c>
      <c r="B104" s="20">
        <v>7</v>
      </c>
      <c r="C104" s="20">
        <v>951332979.96100497</v>
      </c>
    </row>
    <row r="105" spans="1:3" x14ac:dyDescent="0.25">
      <c r="A105" s="20">
        <v>2023</v>
      </c>
      <c r="B105" s="20">
        <v>8</v>
      </c>
      <c r="C105" s="20">
        <v>960441589.54977095</v>
      </c>
    </row>
    <row r="106" spans="1:3" x14ac:dyDescent="0.25">
      <c r="A106" s="20">
        <v>2023</v>
      </c>
      <c r="B106" s="20">
        <v>9</v>
      </c>
      <c r="C106" s="20">
        <v>924101983.45826495</v>
      </c>
    </row>
    <row r="107" spans="1:3" x14ac:dyDescent="0.25">
      <c r="A107" s="20">
        <v>2023</v>
      </c>
      <c r="B107" s="20">
        <v>10</v>
      </c>
      <c r="C107" s="20">
        <v>913220328.39152098</v>
      </c>
    </row>
    <row r="108" spans="1:3" x14ac:dyDescent="0.25">
      <c r="A108" s="20">
        <v>2023</v>
      </c>
      <c r="B108" s="20">
        <v>11</v>
      </c>
      <c r="C108" s="20">
        <v>899045293.38250101</v>
      </c>
    </row>
    <row r="109" spans="1:3" x14ac:dyDescent="0.25">
      <c r="A109" s="20">
        <v>2023</v>
      </c>
      <c r="B109" s="20">
        <v>12</v>
      </c>
      <c r="C109" s="20">
        <v>878921775.34704995</v>
      </c>
    </row>
    <row r="110" spans="1:3" x14ac:dyDescent="0.25">
      <c r="A110" s="20">
        <v>2024</v>
      </c>
      <c r="B110" s="20">
        <v>1</v>
      </c>
      <c r="C110" s="20">
        <v>859457187.21639502</v>
      </c>
    </row>
    <row r="111" spans="1:3" x14ac:dyDescent="0.25">
      <c r="A111" s="20">
        <v>2024</v>
      </c>
      <c r="B111" s="20">
        <v>2</v>
      </c>
      <c r="C111" s="20">
        <v>835660972.00295901</v>
      </c>
    </row>
    <row r="112" spans="1:3" x14ac:dyDescent="0.25">
      <c r="A112" s="20">
        <v>2024</v>
      </c>
      <c r="B112" s="20">
        <v>3</v>
      </c>
      <c r="C112" s="20">
        <v>843283951.63313305</v>
      </c>
    </row>
    <row r="113" spans="1:3" x14ac:dyDescent="0.25">
      <c r="A113" s="20">
        <v>2024</v>
      </c>
      <c r="B113" s="20">
        <v>4</v>
      </c>
      <c r="C113" s="20">
        <v>850440372.02284706</v>
      </c>
    </row>
    <row r="114" spans="1:3" x14ac:dyDescent="0.25">
      <c r="A114" s="20">
        <v>2024</v>
      </c>
      <c r="B114" s="20">
        <v>5</v>
      </c>
      <c r="C114" s="20">
        <v>859771176.08400798</v>
      </c>
    </row>
    <row r="115" spans="1:3" x14ac:dyDescent="0.25">
      <c r="A115" s="20">
        <v>2024</v>
      </c>
      <c r="B115" s="20">
        <v>6</v>
      </c>
      <c r="C115" s="20">
        <v>884903918.70380294</v>
      </c>
    </row>
    <row r="116" spans="1:3" x14ac:dyDescent="0.25">
      <c r="A116" s="20">
        <v>2024</v>
      </c>
      <c r="B116" s="20">
        <v>7</v>
      </c>
      <c r="C116" s="20">
        <v>902128273.64706802</v>
      </c>
    </row>
    <row r="117" spans="1:3" x14ac:dyDescent="0.25">
      <c r="A117" s="20">
        <v>2024</v>
      </c>
      <c r="B117" s="20">
        <v>8</v>
      </c>
      <c r="C117" s="20">
        <v>893492279.58958805</v>
      </c>
    </row>
    <row r="118" spans="1:3" x14ac:dyDescent="0.25">
      <c r="A118" s="20">
        <v>2024</v>
      </c>
      <c r="B118" s="20">
        <v>9</v>
      </c>
      <c r="C118" s="20">
        <v>903219461.077443</v>
      </c>
    </row>
    <row r="119" spans="1:3" x14ac:dyDescent="0.25">
      <c r="A119" s="20">
        <v>2024</v>
      </c>
      <c r="B119" s="20">
        <v>10</v>
      </c>
      <c r="C119" s="20">
        <v>906908414.62037504</v>
      </c>
    </row>
    <row r="120" spans="1:3" x14ac:dyDescent="0.25">
      <c r="A120" s="20">
        <v>2024</v>
      </c>
      <c r="B120" s="20">
        <v>11</v>
      </c>
      <c r="C120" s="20">
        <v>912983673.17936599</v>
      </c>
    </row>
    <row r="121" spans="1:3" x14ac:dyDescent="0.25">
      <c r="A121" s="20">
        <v>2024</v>
      </c>
      <c r="B121" s="20">
        <v>12</v>
      </c>
      <c r="C121" s="20">
        <v>919893818.474244</v>
      </c>
    </row>
    <row r="122" spans="1:3" x14ac:dyDescent="0.25">
      <c r="A122" s="20">
        <v>2025</v>
      </c>
      <c r="B122" s="20">
        <v>1</v>
      </c>
      <c r="C122" s="20">
        <v>907611631.48320699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13DA-0357-4730-88D9-E69EA40569B3}">
  <dimension ref="A1:C121"/>
  <sheetViews>
    <sheetView workbookViewId="0">
      <selection activeCell="C2" sqref="C2:C121"/>
    </sheetView>
  </sheetViews>
  <sheetFormatPr baseColWidth="10" defaultRowHeight="15" x14ac:dyDescent="0.25"/>
  <cols>
    <col min="1" max="2" width="11.5703125" bestFit="1" customWidth="1"/>
    <col min="3" max="3" width="16.42578125" bestFit="1" customWidth="1"/>
  </cols>
  <sheetData>
    <row r="1" spans="1:3" x14ac:dyDescent="0.25">
      <c r="A1" s="9" t="s">
        <v>6</v>
      </c>
      <c r="B1" s="9" t="s">
        <v>7</v>
      </c>
      <c r="C1" s="9" t="s">
        <v>8</v>
      </c>
    </row>
    <row r="2" spans="1:3" x14ac:dyDescent="0.25">
      <c r="A2" s="10">
        <v>2015</v>
      </c>
      <c r="B2" s="10">
        <v>1</v>
      </c>
      <c r="C2" s="10">
        <v>993649145.97485399</v>
      </c>
    </row>
    <row r="3" spans="1:3" x14ac:dyDescent="0.25">
      <c r="A3" s="10">
        <v>2015</v>
      </c>
      <c r="B3" s="10">
        <v>2</v>
      </c>
      <c r="C3" s="10">
        <v>908880244.80398595</v>
      </c>
    </row>
    <row r="4" spans="1:3" x14ac:dyDescent="0.25">
      <c r="A4" s="10">
        <v>2015</v>
      </c>
      <c r="B4" s="10">
        <v>3</v>
      </c>
      <c r="C4" s="10">
        <v>971912593.50693905</v>
      </c>
    </row>
    <row r="5" spans="1:3" x14ac:dyDescent="0.25">
      <c r="A5" s="10">
        <v>2015</v>
      </c>
      <c r="B5" s="10">
        <v>4</v>
      </c>
      <c r="C5" s="10">
        <v>1001605856.42056</v>
      </c>
    </row>
    <row r="6" spans="1:3" x14ac:dyDescent="0.25">
      <c r="A6" s="10">
        <v>2015</v>
      </c>
      <c r="B6" s="10">
        <v>5</v>
      </c>
      <c r="C6" s="10">
        <v>1015157681.17581</v>
      </c>
    </row>
    <row r="7" spans="1:3" x14ac:dyDescent="0.25">
      <c r="A7" s="10">
        <v>2015</v>
      </c>
      <c r="B7" s="10">
        <v>6</v>
      </c>
      <c r="C7" s="10">
        <v>1028529763.87516</v>
      </c>
    </row>
    <row r="8" spans="1:3" x14ac:dyDescent="0.25">
      <c r="A8" s="10">
        <v>2015</v>
      </c>
      <c r="B8" s="10">
        <v>7</v>
      </c>
      <c r="C8" s="10">
        <v>1029152571.29177</v>
      </c>
    </row>
    <row r="9" spans="1:3" x14ac:dyDescent="0.25">
      <c r="A9" s="10">
        <v>2015</v>
      </c>
      <c r="B9" s="10">
        <v>8</v>
      </c>
      <c r="C9" s="10">
        <v>1010994975.0181201</v>
      </c>
    </row>
    <row r="10" spans="1:3" x14ac:dyDescent="0.25">
      <c r="A10" s="10">
        <v>2015</v>
      </c>
      <c r="B10" s="10">
        <v>9</v>
      </c>
      <c r="C10" s="10">
        <v>1037155597.45347</v>
      </c>
    </row>
    <row r="11" spans="1:3" x14ac:dyDescent="0.25">
      <c r="A11" s="10">
        <v>2015</v>
      </c>
      <c r="B11" s="10">
        <v>10</v>
      </c>
      <c r="C11" s="10">
        <v>1037482290.08591</v>
      </c>
    </row>
    <row r="12" spans="1:3" x14ac:dyDescent="0.25">
      <c r="A12" s="10">
        <v>2015</v>
      </c>
      <c r="B12" s="10">
        <v>11</v>
      </c>
      <c r="C12" s="10">
        <v>1024736792.41335</v>
      </c>
    </row>
    <row r="13" spans="1:3" x14ac:dyDescent="0.25">
      <c r="A13" s="10">
        <v>2015</v>
      </c>
      <c r="B13" s="10">
        <v>12</v>
      </c>
      <c r="C13" s="10">
        <v>1006467570.75615</v>
      </c>
    </row>
    <row r="14" spans="1:3" x14ac:dyDescent="0.25">
      <c r="A14" s="10">
        <v>2016</v>
      </c>
      <c r="B14" s="10">
        <v>1</v>
      </c>
      <c r="C14" s="10">
        <v>926294172.02641106</v>
      </c>
    </row>
    <row r="15" spans="1:3" x14ac:dyDescent="0.25">
      <c r="A15" s="10">
        <v>2016</v>
      </c>
      <c r="B15" s="10">
        <v>2</v>
      </c>
      <c r="C15" s="10">
        <v>920940175.28541994</v>
      </c>
    </row>
    <row r="16" spans="1:3" x14ac:dyDescent="0.25">
      <c r="A16" s="10">
        <v>2016</v>
      </c>
      <c r="B16" s="10">
        <v>3</v>
      </c>
      <c r="C16" s="10">
        <v>920610950.61001599</v>
      </c>
    </row>
    <row r="17" spans="1:3" x14ac:dyDescent="0.25">
      <c r="A17" s="10">
        <v>2016</v>
      </c>
      <c r="B17" s="10">
        <v>4</v>
      </c>
      <c r="C17" s="10">
        <v>818774668.77502894</v>
      </c>
    </row>
    <row r="18" spans="1:3" x14ac:dyDescent="0.25">
      <c r="A18" s="10">
        <v>2016</v>
      </c>
      <c r="B18" s="10">
        <v>5</v>
      </c>
      <c r="C18" s="10">
        <v>806342403.87191904</v>
      </c>
    </row>
    <row r="19" spans="1:3" x14ac:dyDescent="0.25">
      <c r="A19" s="10">
        <v>2016</v>
      </c>
      <c r="B19" s="10">
        <v>6</v>
      </c>
      <c r="C19" s="10">
        <v>818489028.88689601</v>
      </c>
    </row>
    <row r="20" spans="1:3" x14ac:dyDescent="0.25">
      <c r="A20" s="10">
        <v>2016</v>
      </c>
      <c r="B20" s="10">
        <v>7</v>
      </c>
      <c r="C20" s="10">
        <v>820208368.53703701</v>
      </c>
    </row>
    <row r="21" spans="1:3" x14ac:dyDescent="0.25">
      <c r="A21" s="10">
        <v>2016</v>
      </c>
      <c r="B21" s="10">
        <v>8</v>
      </c>
      <c r="C21" s="10">
        <v>852994036.98976398</v>
      </c>
    </row>
    <row r="22" spans="1:3" x14ac:dyDescent="0.25">
      <c r="A22" s="10">
        <v>2016</v>
      </c>
      <c r="B22" s="10">
        <v>9</v>
      </c>
      <c r="C22" s="10">
        <v>864869687.8721</v>
      </c>
    </row>
    <row r="23" spans="1:3" x14ac:dyDescent="0.25">
      <c r="A23" s="10">
        <v>2016</v>
      </c>
      <c r="B23" s="10">
        <v>10</v>
      </c>
      <c r="C23" s="10">
        <v>848754465.03070199</v>
      </c>
    </row>
    <row r="24" spans="1:3" x14ac:dyDescent="0.25">
      <c r="A24" s="10">
        <v>2016</v>
      </c>
      <c r="B24" s="10">
        <v>11</v>
      </c>
      <c r="C24" s="10">
        <v>830517527.34593296</v>
      </c>
    </row>
    <row r="25" spans="1:3" x14ac:dyDescent="0.25">
      <c r="A25" s="10">
        <v>2016</v>
      </c>
      <c r="B25" s="10">
        <v>12</v>
      </c>
      <c r="C25" s="10">
        <v>850285752.33227801</v>
      </c>
    </row>
    <row r="26" spans="1:3" x14ac:dyDescent="0.25">
      <c r="A26" s="10">
        <v>2017</v>
      </c>
      <c r="B26" s="10">
        <v>1</v>
      </c>
      <c r="C26" s="10">
        <v>833270479.01078701</v>
      </c>
    </row>
    <row r="27" spans="1:3" x14ac:dyDescent="0.25">
      <c r="A27" s="10">
        <v>2017</v>
      </c>
      <c r="B27" s="10">
        <v>2</v>
      </c>
      <c r="C27" s="10">
        <v>841576607.91829002</v>
      </c>
    </row>
    <row r="28" spans="1:3" x14ac:dyDescent="0.25">
      <c r="A28" s="10">
        <v>2017</v>
      </c>
      <c r="B28" s="10">
        <v>3</v>
      </c>
      <c r="C28" s="10">
        <v>839063512.71810699</v>
      </c>
    </row>
    <row r="29" spans="1:3" x14ac:dyDescent="0.25">
      <c r="A29" s="10">
        <v>2017</v>
      </c>
      <c r="B29" s="10">
        <v>4</v>
      </c>
      <c r="C29" s="10">
        <v>832683632.75500202</v>
      </c>
    </row>
    <row r="30" spans="1:3" x14ac:dyDescent="0.25">
      <c r="A30" s="10">
        <v>2017</v>
      </c>
      <c r="B30" s="10">
        <v>5</v>
      </c>
      <c r="C30" s="10">
        <v>847049506.21039498</v>
      </c>
    </row>
    <row r="31" spans="1:3" x14ac:dyDescent="0.25">
      <c r="A31" s="10">
        <v>2017</v>
      </c>
      <c r="B31" s="10">
        <v>6</v>
      </c>
      <c r="C31" s="10">
        <v>839860841.56111598</v>
      </c>
    </row>
    <row r="32" spans="1:3" x14ac:dyDescent="0.25">
      <c r="A32" s="10">
        <v>2017</v>
      </c>
      <c r="B32" s="10">
        <v>7</v>
      </c>
      <c r="C32" s="10">
        <v>839183276.773772</v>
      </c>
    </row>
    <row r="33" spans="1:3" x14ac:dyDescent="0.25">
      <c r="A33" s="10">
        <v>2017</v>
      </c>
      <c r="B33" s="10">
        <v>8</v>
      </c>
      <c r="C33" s="10">
        <v>826722309.17367399</v>
      </c>
    </row>
    <row r="34" spans="1:3" x14ac:dyDescent="0.25">
      <c r="A34" s="10">
        <v>2017</v>
      </c>
      <c r="B34" s="10">
        <v>9</v>
      </c>
      <c r="C34" s="10">
        <v>828703023.63229704</v>
      </c>
    </row>
    <row r="35" spans="1:3" x14ac:dyDescent="0.25">
      <c r="A35" s="10">
        <v>2017</v>
      </c>
      <c r="B35" s="10">
        <v>10</v>
      </c>
      <c r="C35" s="10">
        <v>839026473.64909005</v>
      </c>
    </row>
    <row r="36" spans="1:3" x14ac:dyDescent="0.25">
      <c r="A36" s="10">
        <v>2017</v>
      </c>
      <c r="B36" s="10">
        <v>11</v>
      </c>
      <c r="C36" s="10">
        <v>864979025.30439198</v>
      </c>
    </row>
    <row r="37" spans="1:3" x14ac:dyDescent="0.25">
      <c r="A37" s="10">
        <v>2017</v>
      </c>
      <c r="B37" s="10">
        <v>12</v>
      </c>
      <c r="C37" s="10">
        <v>870398301.28613698</v>
      </c>
    </row>
    <row r="38" spans="1:3" x14ac:dyDescent="0.25">
      <c r="A38" s="10">
        <v>2018</v>
      </c>
      <c r="B38" s="10">
        <v>1</v>
      </c>
      <c r="C38" s="10">
        <v>906512281.77779996</v>
      </c>
    </row>
    <row r="39" spans="1:3" x14ac:dyDescent="0.25">
      <c r="A39" s="10">
        <v>2018</v>
      </c>
      <c r="B39" s="10">
        <v>2</v>
      </c>
      <c r="C39" s="10">
        <v>899718323.31275904</v>
      </c>
    </row>
    <row r="40" spans="1:3" x14ac:dyDescent="0.25">
      <c r="A40" s="10">
        <v>2018</v>
      </c>
      <c r="B40" s="10">
        <v>3</v>
      </c>
      <c r="C40" s="10">
        <v>918952774.64487803</v>
      </c>
    </row>
    <row r="41" spans="1:3" x14ac:dyDescent="0.25">
      <c r="A41" s="10">
        <v>2018</v>
      </c>
      <c r="B41" s="10">
        <v>4</v>
      </c>
      <c r="C41" s="10">
        <v>897952868.57557905</v>
      </c>
    </row>
    <row r="42" spans="1:3" x14ac:dyDescent="0.25">
      <c r="A42" s="10">
        <v>2018</v>
      </c>
      <c r="B42" s="10">
        <v>5</v>
      </c>
      <c r="C42" s="10">
        <v>861829934.46033895</v>
      </c>
    </row>
    <row r="43" spans="1:3" x14ac:dyDescent="0.25">
      <c r="A43" s="10">
        <v>2018</v>
      </c>
      <c r="B43" s="10">
        <v>6</v>
      </c>
      <c r="C43" s="10">
        <v>878527086.44136095</v>
      </c>
    </row>
    <row r="44" spans="1:3" x14ac:dyDescent="0.25">
      <c r="A44" s="10">
        <v>2018</v>
      </c>
      <c r="B44" s="10">
        <v>7</v>
      </c>
      <c r="C44" s="10">
        <v>871482164.53085101</v>
      </c>
    </row>
    <row r="45" spans="1:3" x14ac:dyDescent="0.25">
      <c r="A45" s="10">
        <v>2018</v>
      </c>
      <c r="B45" s="10">
        <v>8</v>
      </c>
      <c r="C45" s="10">
        <v>862445152.02793396</v>
      </c>
    </row>
    <row r="46" spans="1:3" x14ac:dyDescent="0.25">
      <c r="A46" s="10">
        <v>2018</v>
      </c>
      <c r="B46" s="10">
        <v>9</v>
      </c>
      <c r="C46" s="10">
        <v>866499913.76111996</v>
      </c>
    </row>
    <row r="47" spans="1:3" x14ac:dyDescent="0.25">
      <c r="A47" s="10">
        <v>2018</v>
      </c>
      <c r="B47" s="10">
        <v>10</v>
      </c>
      <c r="C47" s="10">
        <v>862368668.11075103</v>
      </c>
    </row>
    <row r="48" spans="1:3" x14ac:dyDescent="0.25">
      <c r="A48" s="10">
        <v>2018</v>
      </c>
      <c r="B48" s="10">
        <v>11</v>
      </c>
      <c r="C48" s="10">
        <v>854739960.06205797</v>
      </c>
    </row>
    <row r="49" spans="1:3" x14ac:dyDescent="0.25">
      <c r="A49" s="10">
        <v>2018</v>
      </c>
      <c r="B49" s="10">
        <v>12</v>
      </c>
      <c r="C49" s="10">
        <v>849696381.68423605</v>
      </c>
    </row>
    <row r="50" spans="1:3" x14ac:dyDescent="0.25">
      <c r="A50" s="10">
        <v>2019</v>
      </c>
      <c r="B50" s="10">
        <v>1</v>
      </c>
      <c r="C50" s="10">
        <v>841715240.87499201</v>
      </c>
    </row>
    <row r="51" spans="1:3" x14ac:dyDescent="0.25">
      <c r="A51" s="10">
        <v>2019</v>
      </c>
      <c r="B51" s="10">
        <v>2</v>
      </c>
      <c r="C51" s="10">
        <v>825382613.44315696</v>
      </c>
    </row>
    <row r="52" spans="1:3" x14ac:dyDescent="0.25">
      <c r="A52" s="10">
        <v>2019</v>
      </c>
      <c r="B52" s="10">
        <v>3</v>
      </c>
      <c r="C52" s="10">
        <v>857741048.33610404</v>
      </c>
    </row>
    <row r="53" spans="1:3" x14ac:dyDescent="0.25">
      <c r="A53" s="10">
        <v>2019</v>
      </c>
      <c r="B53" s="10">
        <v>4</v>
      </c>
      <c r="C53" s="10">
        <v>860503854.83692503</v>
      </c>
    </row>
    <row r="54" spans="1:3" x14ac:dyDescent="0.25">
      <c r="A54" s="10">
        <v>2019</v>
      </c>
      <c r="B54" s="10">
        <v>5</v>
      </c>
      <c r="C54" s="10">
        <v>847343524.583336</v>
      </c>
    </row>
    <row r="55" spans="1:3" x14ac:dyDescent="0.25">
      <c r="A55" s="10">
        <v>2019</v>
      </c>
      <c r="B55" s="10">
        <v>6</v>
      </c>
      <c r="C55" s="10">
        <v>853464391.01212597</v>
      </c>
    </row>
    <row r="56" spans="1:3" x14ac:dyDescent="0.25">
      <c r="A56" s="10">
        <v>2019</v>
      </c>
      <c r="B56" s="10">
        <v>7</v>
      </c>
      <c r="C56" s="10">
        <v>869237822.07221901</v>
      </c>
    </row>
    <row r="57" spans="1:3" x14ac:dyDescent="0.25">
      <c r="A57" s="10">
        <v>2019</v>
      </c>
      <c r="B57" s="10">
        <v>8</v>
      </c>
      <c r="C57" s="10">
        <v>880942580.35348403</v>
      </c>
    </row>
    <row r="58" spans="1:3" x14ac:dyDescent="0.25">
      <c r="A58" s="10">
        <v>2019</v>
      </c>
      <c r="B58" s="10">
        <v>9</v>
      </c>
      <c r="C58" s="10">
        <v>880013630.75380898</v>
      </c>
    </row>
    <row r="59" spans="1:3" x14ac:dyDescent="0.25">
      <c r="A59" s="10">
        <v>2019</v>
      </c>
      <c r="B59" s="10">
        <v>10</v>
      </c>
      <c r="C59" s="10">
        <v>873358636.29529798</v>
      </c>
    </row>
    <row r="60" spans="1:3" x14ac:dyDescent="0.25">
      <c r="A60" s="10">
        <v>2019</v>
      </c>
      <c r="B60" s="10">
        <v>11</v>
      </c>
      <c r="C60" s="10">
        <v>871517784.88308299</v>
      </c>
    </row>
    <row r="61" spans="1:3" x14ac:dyDescent="0.25">
      <c r="A61" s="10">
        <v>2019</v>
      </c>
      <c r="B61" s="10">
        <v>12</v>
      </c>
      <c r="C61" s="10">
        <v>880430837.60831404</v>
      </c>
    </row>
    <row r="62" spans="1:3" x14ac:dyDescent="0.25">
      <c r="A62" s="10">
        <v>2020</v>
      </c>
      <c r="B62" s="10">
        <v>1</v>
      </c>
      <c r="C62" s="10">
        <v>885711184.92585897</v>
      </c>
    </row>
    <row r="63" spans="1:3" x14ac:dyDescent="0.25">
      <c r="A63" s="10">
        <v>2020</v>
      </c>
      <c r="B63" s="10">
        <v>2</v>
      </c>
      <c r="C63" s="10">
        <v>910516665.17271399</v>
      </c>
    </row>
    <row r="64" spans="1:3" x14ac:dyDescent="0.25">
      <c r="A64" s="10">
        <v>2020</v>
      </c>
      <c r="B64" s="10">
        <v>3</v>
      </c>
      <c r="C64" s="10">
        <v>910022388.92048395</v>
      </c>
    </row>
    <row r="65" spans="1:3" x14ac:dyDescent="0.25">
      <c r="A65" s="10">
        <v>2020</v>
      </c>
      <c r="B65" s="10">
        <v>4</v>
      </c>
      <c r="C65" s="10">
        <v>919909206.21787596</v>
      </c>
    </row>
    <row r="66" spans="1:3" x14ac:dyDescent="0.25">
      <c r="A66" s="10">
        <v>2020</v>
      </c>
      <c r="B66" s="10">
        <v>5</v>
      </c>
      <c r="C66" s="10">
        <v>933895792.40463305</v>
      </c>
    </row>
    <row r="67" spans="1:3" x14ac:dyDescent="0.25">
      <c r="A67" s="10">
        <v>2020</v>
      </c>
      <c r="B67" s="10">
        <v>6</v>
      </c>
      <c r="C67" s="10">
        <v>938999106.78294897</v>
      </c>
    </row>
    <row r="68" spans="1:3" x14ac:dyDescent="0.25">
      <c r="A68" s="10">
        <v>2020</v>
      </c>
      <c r="B68" s="10">
        <v>7</v>
      </c>
      <c r="C68" s="10">
        <v>934527772.17603695</v>
      </c>
    </row>
    <row r="69" spans="1:3" x14ac:dyDescent="0.25">
      <c r="A69" s="10">
        <v>2020</v>
      </c>
      <c r="B69" s="10">
        <v>8</v>
      </c>
      <c r="C69" s="10">
        <v>927769027.74784195</v>
      </c>
    </row>
    <row r="70" spans="1:3" x14ac:dyDescent="0.25">
      <c r="A70" s="10">
        <v>2020</v>
      </c>
      <c r="B70" s="10">
        <v>9</v>
      </c>
      <c r="C70" s="10">
        <v>915992985.87137902</v>
      </c>
    </row>
    <row r="71" spans="1:3" x14ac:dyDescent="0.25">
      <c r="A71" s="10">
        <v>2020</v>
      </c>
      <c r="B71" s="10">
        <v>10</v>
      </c>
      <c r="C71" s="10">
        <v>932454795.65331197</v>
      </c>
    </row>
    <row r="72" spans="1:3" x14ac:dyDescent="0.25">
      <c r="A72" s="10">
        <v>2020</v>
      </c>
      <c r="B72" s="10">
        <v>11</v>
      </c>
      <c r="C72" s="10">
        <v>936835199.804371</v>
      </c>
    </row>
    <row r="73" spans="1:3" x14ac:dyDescent="0.25">
      <c r="A73" s="10">
        <v>2020</v>
      </c>
      <c r="B73" s="10">
        <v>12</v>
      </c>
      <c r="C73" s="10">
        <v>946992837.90959895</v>
      </c>
    </row>
    <row r="74" spans="1:3" x14ac:dyDescent="0.25">
      <c r="A74" s="10">
        <v>2021</v>
      </c>
      <c r="B74" s="10">
        <v>1</v>
      </c>
      <c r="C74" s="10">
        <v>952623107.61411703</v>
      </c>
    </row>
    <row r="75" spans="1:3" x14ac:dyDescent="0.25">
      <c r="A75" s="10">
        <v>2021</v>
      </c>
      <c r="B75" s="10">
        <v>2</v>
      </c>
      <c r="C75" s="10">
        <v>946524016.62098396</v>
      </c>
    </row>
    <row r="76" spans="1:3" x14ac:dyDescent="0.25">
      <c r="A76" s="10">
        <v>2021</v>
      </c>
      <c r="B76" s="10">
        <v>3</v>
      </c>
      <c r="C76" s="10">
        <v>950482418.20851099</v>
      </c>
    </row>
    <row r="77" spans="1:3" x14ac:dyDescent="0.25">
      <c r="A77" s="10">
        <v>2021</v>
      </c>
      <c r="B77" s="10">
        <v>4</v>
      </c>
      <c r="C77" s="10">
        <v>950478420.27190495</v>
      </c>
    </row>
    <row r="78" spans="1:3" x14ac:dyDescent="0.25">
      <c r="A78" s="10">
        <v>2021</v>
      </c>
      <c r="B78" s="10">
        <v>5</v>
      </c>
      <c r="C78" s="10">
        <v>965244392.619169</v>
      </c>
    </row>
    <row r="79" spans="1:3" x14ac:dyDescent="0.25">
      <c r="A79" s="10">
        <v>2021</v>
      </c>
      <c r="B79" s="10">
        <v>6</v>
      </c>
      <c r="C79" s="10">
        <v>965191838.30998397</v>
      </c>
    </row>
    <row r="80" spans="1:3" x14ac:dyDescent="0.25">
      <c r="A80" s="10">
        <v>2021</v>
      </c>
      <c r="B80" s="10">
        <v>7</v>
      </c>
      <c r="C80" s="10">
        <v>966845313.76611805</v>
      </c>
    </row>
    <row r="81" spans="1:3" x14ac:dyDescent="0.25">
      <c r="A81" s="10">
        <v>2021</v>
      </c>
      <c r="B81" s="10">
        <v>8</v>
      </c>
      <c r="C81" s="10">
        <v>963533696.855515</v>
      </c>
    </row>
    <row r="82" spans="1:3" x14ac:dyDescent="0.25">
      <c r="A82" s="10">
        <v>2021</v>
      </c>
      <c r="B82" s="10">
        <v>9</v>
      </c>
      <c r="C82" s="10">
        <v>962390762.26001298</v>
      </c>
    </row>
    <row r="83" spans="1:3" x14ac:dyDescent="0.25">
      <c r="A83" s="10">
        <v>2021</v>
      </c>
      <c r="B83" s="10">
        <v>10</v>
      </c>
      <c r="C83" s="10">
        <v>968512857.33657396</v>
      </c>
    </row>
    <row r="84" spans="1:3" x14ac:dyDescent="0.25">
      <c r="A84" s="10">
        <v>2021</v>
      </c>
      <c r="B84" s="10">
        <v>11</v>
      </c>
      <c r="C84" s="10">
        <v>979480450.34370303</v>
      </c>
    </row>
    <row r="85" spans="1:3" x14ac:dyDescent="0.25">
      <c r="A85" s="10">
        <v>2021</v>
      </c>
      <c r="B85" s="10">
        <v>12</v>
      </c>
      <c r="C85" s="10">
        <v>979155770.10855198</v>
      </c>
    </row>
    <row r="86" spans="1:3" x14ac:dyDescent="0.25">
      <c r="A86" s="10">
        <v>2022</v>
      </c>
      <c r="B86" s="10">
        <v>1</v>
      </c>
      <c r="C86" s="10">
        <v>944218907.08341599</v>
      </c>
    </row>
    <row r="87" spans="1:3" x14ac:dyDescent="0.25">
      <c r="A87" s="10">
        <v>2022</v>
      </c>
      <c r="B87" s="10">
        <v>2</v>
      </c>
      <c r="C87" s="10">
        <v>977546380.25507295</v>
      </c>
    </row>
    <row r="88" spans="1:3" x14ac:dyDescent="0.25">
      <c r="A88" s="10">
        <v>2022</v>
      </c>
      <c r="B88" s="10">
        <v>3</v>
      </c>
      <c r="C88" s="10">
        <v>977408051.88527095</v>
      </c>
    </row>
    <row r="89" spans="1:3" x14ac:dyDescent="0.25">
      <c r="A89" s="10">
        <v>2022</v>
      </c>
      <c r="B89" s="10">
        <v>4</v>
      </c>
      <c r="C89" s="10">
        <v>970155337.75293005</v>
      </c>
    </row>
    <row r="90" spans="1:3" x14ac:dyDescent="0.25">
      <c r="A90" s="10">
        <v>2022</v>
      </c>
      <c r="B90" s="10">
        <v>5</v>
      </c>
      <c r="C90" s="10">
        <v>971027989.98123503</v>
      </c>
    </row>
    <row r="91" spans="1:3" x14ac:dyDescent="0.25">
      <c r="A91" s="10">
        <v>2022</v>
      </c>
      <c r="B91" s="10">
        <v>6</v>
      </c>
      <c r="C91" s="10">
        <v>957781300.47839999</v>
      </c>
    </row>
    <row r="92" spans="1:3" x14ac:dyDescent="0.25">
      <c r="A92" s="10">
        <v>2022</v>
      </c>
      <c r="B92" s="10">
        <v>7</v>
      </c>
      <c r="C92" s="10">
        <v>954878309.78236401</v>
      </c>
    </row>
    <row r="93" spans="1:3" x14ac:dyDescent="0.25">
      <c r="A93" s="10">
        <v>2022</v>
      </c>
      <c r="B93" s="10">
        <v>8</v>
      </c>
      <c r="C93" s="10">
        <v>967054808.4892</v>
      </c>
    </row>
    <row r="94" spans="1:3" x14ac:dyDescent="0.25">
      <c r="A94" s="10">
        <v>2022</v>
      </c>
      <c r="B94" s="10">
        <v>9</v>
      </c>
      <c r="C94" s="10">
        <v>965212786.99994504</v>
      </c>
    </row>
    <row r="95" spans="1:3" x14ac:dyDescent="0.25">
      <c r="A95" s="10">
        <v>2022</v>
      </c>
      <c r="B95" s="10">
        <v>10</v>
      </c>
      <c r="C95" s="10">
        <v>964508401.93206203</v>
      </c>
    </row>
    <row r="96" spans="1:3" x14ac:dyDescent="0.25">
      <c r="A96" s="10">
        <v>2022</v>
      </c>
      <c r="B96" s="10">
        <v>11</v>
      </c>
      <c r="C96" s="10">
        <v>944529763.74500597</v>
      </c>
    </row>
    <row r="97" spans="1:3" x14ac:dyDescent="0.25">
      <c r="A97" s="10">
        <v>2022</v>
      </c>
      <c r="B97" s="10">
        <v>12</v>
      </c>
      <c r="C97" s="10">
        <v>960867992.61791897</v>
      </c>
    </row>
    <row r="98" spans="1:3" x14ac:dyDescent="0.25">
      <c r="A98" s="10">
        <v>2023</v>
      </c>
      <c r="B98" s="10">
        <v>1</v>
      </c>
      <c r="C98" s="10">
        <v>976775363.05818498</v>
      </c>
    </row>
    <row r="99" spans="1:3" x14ac:dyDescent="0.25">
      <c r="A99" s="10">
        <v>2023</v>
      </c>
      <c r="B99" s="10">
        <v>2</v>
      </c>
      <c r="C99" s="10">
        <v>969542902.10191703</v>
      </c>
    </row>
    <row r="100" spans="1:3" x14ac:dyDescent="0.25">
      <c r="A100" s="10">
        <v>2023</v>
      </c>
      <c r="B100" s="10">
        <v>3</v>
      </c>
      <c r="C100" s="10">
        <v>955804460.33079696</v>
      </c>
    </row>
    <row r="101" spans="1:3" x14ac:dyDescent="0.25">
      <c r="A101" s="10">
        <v>2023</v>
      </c>
      <c r="B101" s="10">
        <v>4</v>
      </c>
      <c r="C101" s="10">
        <v>988162667.05446899</v>
      </c>
    </row>
    <row r="102" spans="1:3" x14ac:dyDescent="0.25">
      <c r="A102" s="10">
        <v>2023</v>
      </c>
      <c r="B102" s="10">
        <v>5</v>
      </c>
      <c r="C102" s="10">
        <v>951680903.138399</v>
      </c>
    </row>
    <row r="103" spans="1:3" x14ac:dyDescent="0.25">
      <c r="A103" s="10">
        <v>2023</v>
      </c>
      <c r="B103" s="10">
        <v>6</v>
      </c>
      <c r="C103" s="10">
        <v>949150576.72117805</v>
      </c>
    </row>
    <row r="104" spans="1:3" x14ac:dyDescent="0.25">
      <c r="A104" s="10">
        <v>2023</v>
      </c>
      <c r="B104" s="10">
        <v>7</v>
      </c>
      <c r="C104" s="10">
        <v>951954033.28340101</v>
      </c>
    </row>
    <row r="105" spans="1:3" x14ac:dyDescent="0.25">
      <c r="A105" s="10">
        <v>2023</v>
      </c>
      <c r="B105" s="10">
        <v>8</v>
      </c>
      <c r="C105" s="10">
        <v>960973347.24357903</v>
      </c>
    </row>
    <row r="106" spans="1:3" x14ac:dyDescent="0.25">
      <c r="A106" s="10">
        <v>2023</v>
      </c>
      <c r="B106" s="10">
        <v>9</v>
      </c>
      <c r="C106" s="10">
        <v>925043777.92394698</v>
      </c>
    </row>
    <row r="107" spans="1:3" x14ac:dyDescent="0.25">
      <c r="A107" s="10">
        <v>2023</v>
      </c>
      <c r="B107" s="10">
        <v>10</v>
      </c>
      <c r="C107" s="10">
        <v>914381615.25414002</v>
      </c>
    </row>
    <row r="108" spans="1:3" x14ac:dyDescent="0.25">
      <c r="A108" s="10">
        <v>2023</v>
      </c>
      <c r="B108" s="10">
        <v>11</v>
      </c>
      <c r="C108" s="10">
        <v>900755686.53048098</v>
      </c>
    </row>
    <row r="109" spans="1:3" x14ac:dyDescent="0.25">
      <c r="A109" s="10">
        <v>2023</v>
      </c>
      <c r="B109" s="10">
        <v>12</v>
      </c>
      <c r="C109" s="10">
        <v>880989188.34558702</v>
      </c>
    </row>
    <row r="110" spans="1:3" x14ac:dyDescent="0.25">
      <c r="A110" s="10">
        <v>2024</v>
      </c>
      <c r="B110" s="10">
        <v>1</v>
      </c>
      <c r="C110" s="10">
        <v>856401422.71632004</v>
      </c>
    </row>
    <row r="111" spans="1:3" x14ac:dyDescent="0.25">
      <c r="A111" s="10">
        <v>2024</v>
      </c>
      <c r="B111" s="10">
        <v>2</v>
      </c>
      <c r="C111" s="10">
        <v>833881437.77271295</v>
      </c>
    </row>
    <row r="112" spans="1:3" x14ac:dyDescent="0.25">
      <c r="A112" s="10">
        <v>2024</v>
      </c>
      <c r="B112" s="10">
        <v>3</v>
      </c>
      <c r="C112" s="10">
        <v>841427094.10602796</v>
      </c>
    </row>
    <row r="113" spans="1:3" x14ac:dyDescent="0.25">
      <c r="A113" s="10">
        <v>2024</v>
      </c>
      <c r="B113" s="10">
        <v>4</v>
      </c>
      <c r="C113" s="10">
        <v>849749875.64415002</v>
      </c>
    </row>
    <row r="114" spans="1:3" x14ac:dyDescent="0.25">
      <c r="A114" s="10">
        <v>2024</v>
      </c>
      <c r="B114" s="10">
        <v>5</v>
      </c>
      <c r="C114" s="10">
        <v>859420018.70784998</v>
      </c>
    </row>
    <row r="115" spans="1:3" x14ac:dyDescent="0.25">
      <c r="A115" s="10">
        <v>2024</v>
      </c>
      <c r="B115" s="10">
        <v>6</v>
      </c>
      <c r="C115" s="10">
        <v>885265277.44632196</v>
      </c>
    </row>
    <row r="116" spans="1:3" x14ac:dyDescent="0.25">
      <c r="A116" s="10">
        <v>2024</v>
      </c>
      <c r="B116" s="10">
        <v>7</v>
      </c>
      <c r="C116" s="10">
        <v>902911071.137205</v>
      </c>
    </row>
    <row r="117" spans="1:3" x14ac:dyDescent="0.25">
      <c r="A117" s="10">
        <v>2024</v>
      </c>
      <c r="B117" s="10">
        <v>8</v>
      </c>
      <c r="C117" s="10">
        <v>894297120.39194798</v>
      </c>
    </row>
    <row r="118" spans="1:3" x14ac:dyDescent="0.25">
      <c r="A118" s="10">
        <v>2024</v>
      </c>
      <c r="B118" s="10">
        <v>9</v>
      </c>
      <c r="C118" s="10">
        <v>904258321.70102096</v>
      </c>
    </row>
    <row r="119" spans="1:3" x14ac:dyDescent="0.25">
      <c r="A119" s="10">
        <v>2024</v>
      </c>
      <c r="B119" s="10">
        <v>10</v>
      </c>
      <c r="C119" s="10">
        <v>908218599.55675495</v>
      </c>
    </row>
    <row r="120" spans="1:3" x14ac:dyDescent="0.25">
      <c r="A120" s="10">
        <v>2024</v>
      </c>
      <c r="B120" s="10">
        <v>11</v>
      </c>
      <c r="C120" s="10">
        <v>915005330.10459006</v>
      </c>
    </row>
    <row r="121" spans="1:3" x14ac:dyDescent="0.25">
      <c r="A121" s="10">
        <v>2024</v>
      </c>
      <c r="B121" s="10">
        <v>12</v>
      </c>
      <c r="C121" s="10">
        <v>922258370.39928806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7168-5429-4ABF-99EF-17CEDA78CC72}">
  <dimension ref="A1:C120"/>
  <sheetViews>
    <sheetView topLeftCell="A102" workbookViewId="0">
      <selection activeCell="C120" sqref="C2:C120"/>
    </sheetView>
  </sheetViews>
  <sheetFormatPr baseColWidth="10" defaultRowHeight="15" x14ac:dyDescent="0.25"/>
  <cols>
    <col min="1" max="2" width="11.5703125" bestFit="1" customWidth="1"/>
    <col min="3" max="3" width="16.42578125" bestFit="1" customWidth="1"/>
  </cols>
  <sheetData>
    <row r="1" spans="1:3" x14ac:dyDescent="0.25">
      <c r="A1" s="17" t="s">
        <v>6</v>
      </c>
      <c r="B1" s="17" t="s">
        <v>7</v>
      </c>
      <c r="C1" s="17" t="s">
        <v>8</v>
      </c>
    </row>
    <row r="2" spans="1:3" x14ac:dyDescent="0.25">
      <c r="A2" s="18">
        <v>2015</v>
      </c>
      <c r="B2" s="18">
        <v>1</v>
      </c>
      <c r="C2" s="18">
        <v>993604385.20573997</v>
      </c>
    </row>
    <row r="3" spans="1:3" x14ac:dyDescent="0.25">
      <c r="A3" s="18">
        <v>2015</v>
      </c>
      <c r="B3" s="18">
        <v>2</v>
      </c>
      <c r="C3" s="18">
        <v>908880247.40785694</v>
      </c>
    </row>
    <row r="4" spans="1:3" x14ac:dyDescent="0.25">
      <c r="A4" s="18">
        <v>2015</v>
      </c>
      <c r="B4" s="18">
        <v>3</v>
      </c>
      <c r="C4" s="18">
        <v>971872210.34348202</v>
      </c>
    </row>
    <row r="5" spans="1:3" x14ac:dyDescent="0.25">
      <c r="A5" s="18">
        <v>2015</v>
      </c>
      <c r="B5" s="18">
        <v>4</v>
      </c>
      <c r="C5" s="18">
        <v>1001621220.1724</v>
      </c>
    </row>
    <row r="6" spans="1:3" x14ac:dyDescent="0.25">
      <c r="A6" s="18">
        <v>2015</v>
      </c>
      <c r="B6" s="18">
        <v>5</v>
      </c>
      <c r="C6" s="18">
        <v>1015145186.47399</v>
      </c>
    </row>
    <row r="7" spans="1:3" x14ac:dyDescent="0.25">
      <c r="A7" s="18">
        <v>2015</v>
      </c>
      <c r="B7" s="18">
        <v>6</v>
      </c>
      <c r="C7" s="18">
        <v>1028541272.57416</v>
      </c>
    </row>
    <row r="8" spans="1:3" x14ac:dyDescent="0.25">
      <c r="A8" s="18">
        <v>2015</v>
      </c>
      <c r="B8" s="18">
        <v>7</v>
      </c>
      <c r="C8" s="18">
        <v>1029176514.24693</v>
      </c>
    </row>
    <row r="9" spans="1:3" x14ac:dyDescent="0.25">
      <c r="A9" s="18">
        <v>2015</v>
      </c>
      <c r="B9" s="18">
        <v>8</v>
      </c>
      <c r="C9" s="18">
        <v>1010925576.96228</v>
      </c>
    </row>
    <row r="10" spans="1:3" x14ac:dyDescent="0.25">
      <c r="A10" s="18">
        <v>2015</v>
      </c>
      <c r="B10" s="18">
        <v>9</v>
      </c>
      <c r="C10" s="18">
        <v>1037194471.59829</v>
      </c>
    </row>
    <row r="11" spans="1:3" x14ac:dyDescent="0.25">
      <c r="A11" s="18">
        <v>2015</v>
      </c>
      <c r="B11" s="18">
        <v>10</v>
      </c>
      <c r="C11" s="18">
        <v>1037499320.56865</v>
      </c>
    </row>
    <row r="12" spans="1:3" x14ac:dyDescent="0.25">
      <c r="A12" s="18">
        <v>2015</v>
      </c>
      <c r="B12" s="18">
        <v>11</v>
      </c>
      <c r="C12" s="18">
        <v>1024761455.54088</v>
      </c>
    </row>
    <row r="13" spans="1:3" x14ac:dyDescent="0.25">
      <c r="A13" s="18">
        <v>2015</v>
      </c>
      <c r="B13" s="18">
        <v>12</v>
      </c>
      <c r="C13" s="18">
        <v>1006509608.09958</v>
      </c>
    </row>
    <row r="14" spans="1:3" x14ac:dyDescent="0.25">
      <c r="A14" s="18">
        <v>2016</v>
      </c>
      <c r="B14" s="18">
        <v>1</v>
      </c>
      <c r="C14" s="18">
        <v>926231753.04931498</v>
      </c>
    </row>
    <row r="15" spans="1:3" x14ac:dyDescent="0.25">
      <c r="A15" s="18">
        <v>2016</v>
      </c>
      <c r="B15" s="18">
        <v>2</v>
      </c>
      <c r="C15" s="18">
        <v>920934458.51721895</v>
      </c>
    </row>
    <row r="16" spans="1:3" x14ac:dyDescent="0.25">
      <c r="A16" s="18">
        <v>2016</v>
      </c>
      <c r="B16" s="18">
        <v>3</v>
      </c>
      <c r="C16" s="18">
        <v>920586416.53005004</v>
      </c>
    </row>
    <row r="17" spans="1:3" x14ac:dyDescent="0.25">
      <c r="A17" s="18">
        <v>2016</v>
      </c>
      <c r="B17" s="18">
        <v>4</v>
      </c>
      <c r="C17" s="18">
        <v>818776587.34692502</v>
      </c>
    </row>
    <row r="18" spans="1:3" x14ac:dyDescent="0.25">
      <c r="A18" s="18">
        <v>2016</v>
      </c>
      <c r="B18" s="18">
        <v>5</v>
      </c>
      <c r="C18" s="18">
        <v>806344917.71249199</v>
      </c>
    </row>
    <row r="19" spans="1:3" x14ac:dyDescent="0.25">
      <c r="A19" s="18">
        <v>2016</v>
      </c>
      <c r="B19" s="18">
        <v>6</v>
      </c>
      <c r="C19" s="18">
        <v>818502325.33204901</v>
      </c>
    </row>
    <row r="20" spans="1:3" x14ac:dyDescent="0.25">
      <c r="A20" s="18">
        <v>2016</v>
      </c>
      <c r="B20" s="18">
        <v>7</v>
      </c>
      <c r="C20" s="18">
        <v>820195935.73516405</v>
      </c>
    </row>
    <row r="21" spans="1:3" x14ac:dyDescent="0.25">
      <c r="A21" s="18">
        <v>2016</v>
      </c>
      <c r="B21" s="18">
        <v>8</v>
      </c>
      <c r="C21" s="18">
        <v>852964603.11491704</v>
      </c>
    </row>
    <row r="22" spans="1:3" x14ac:dyDescent="0.25">
      <c r="A22" s="18">
        <v>2016</v>
      </c>
      <c r="B22" s="18">
        <v>9</v>
      </c>
      <c r="C22" s="18">
        <v>864906724.36743701</v>
      </c>
    </row>
    <row r="23" spans="1:3" x14ac:dyDescent="0.25">
      <c r="A23" s="18">
        <v>2016</v>
      </c>
      <c r="B23" s="18">
        <v>10</v>
      </c>
      <c r="C23" s="18">
        <v>848749488.00904</v>
      </c>
    </row>
    <row r="24" spans="1:3" x14ac:dyDescent="0.25">
      <c r="A24" s="18">
        <v>2016</v>
      </c>
      <c r="B24" s="18">
        <v>11</v>
      </c>
      <c r="C24" s="18">
        <v>830554645.69711804</v>
      </c>
    </row>
    <row r="25" spans="1:3" x14ac:dyDescent="0.25">
      <c r="A25" s="18">
        <v>2016</v>
      </c>
      <c r="B25" s="18">
        <v>12</v>
      </c>
      <c r="C25" s="18">
        <v>850307238.95071399</v>
      </c>
    </row>
    <row r="26" spans="1:3" x14ac:dyDescent="0.25">
      <c r="A26" s="18">
        <v>2017</v>
      </c>
      <c r="B26" s="18">
        <v>1</v>
      </c>
      <c r="C26" s="18">
        <v>833228562.166134</v>
      </c>
    </row>
    <row r="27" spans="1:3" x14ac:dyDescent="0.25">
      <c r="A27" s="18">
        <v>2017</v>
      </c>
      <c r="B27" s="18">
        <v>2</v>
      </c>
      <c r="C27" s="18">
        <v>841580962.15916002</v>
      </c>
    </row>
    <row r="28" spans="1:3" x14ac:dyDescent="0.25">
      <c r="A28" s="18">
        <v>2017</v>
      </c>
      <c r="B28" s="18">
        <v>3</v>
      </c>
      <c r="C28" s="18">
        <v>839040331.38743103</v>
      </c>
    </row>
    <row r="29" spans="1:3" x14ac:dyDescent="0.25">
      <c r="A29" s="18">
        <v>2017</v>
      </c>
      <c r="B29" s="18">
        <v>4</v>
      </c>
      <c r="C29" s="18">
        <v>832675001.10643399</v>
      </c>
    </row>
    <row r="30" spans="1:3" x14ac:dyDescent="0.25">
      <c r="A30" s="18">
        <v>2017</v>
      </c>
      <c r="B30" s="18">
        <v>5</v>
      </c>
      <c r="C30" s="18">
        <v>847068527.67159295</v>
      </c>
    </row>
    <row r="31" spans="1:3" x14ac:dyDescent="0.25">
      <c r="A31" s="18">
        <v>2017</v>
      </c>
      <c r="B31" s="18">
        <v>6</v>
      </c>
      <c r="C31" s="18">
        <v>839876038.89260805</v>
      </c>
    </row>
    <row r="32" spans="1:3" x14ac:dyDescent="0.25">
      <c r="A32" s="18">
        <v>2017</v>
      </c>
      <c r="B32" s="18">
        <v>7</v>
      </c>
      <c r="C32" s="18">
        <v>839167940.15482104</v>
      </c>
    </row>
    <row r="33" spans="1:3" x14ac:dyDescent="0.25">
      <c r="A33" s="18">
        <v>2017</v>
      </c>
      <c r="B33" s="18">
        <v>8</v>
      </c>
      <c r="C33" s="18">
        <v>826707847.22202599</v>
      </c>
    </row>
    <row r="34" spans="1:3" x14ac:dyDescent="0.25">
      <c r="A34" s="18">
        <v>2017</v>
      </c>
      <c r="B34" s="18">
        <v>9</v>
      </c>
      <c r="C34" s="18">
        <v>828713027.041574</v>
      </c>
    </row>
    <row r="35" spans="1:3" x14ac:dyDescent="0.25">
      <c r="A35" s="18">
        <v>2017</v>
      </c>
      <c r="B35" s="18">
        <v>10</v>
      </c>
      <c r="C35" s="18">
        <v>839029190.28274596</v>
      </c>
    </row>
    <row r="36" spans="1:3" x14ac:dyDescent="0.25">
      <c r="A36" s="18">
        <v>2017</v>
      </c>
      <c r="B36" s="18">
        <v>11</v>
      </c>
      <c r="C36" s="18">
        <v>865005691.75195098</v>
      </c>
    </row>
    <row r="37" spans="1:3" x14ac:dyDescent="0.25">
      <c r="A37" s="18">
        <v>2017</v>
      </c>
      <c r="B37" s="18">
        <v>12</v>
      </c>
      <c r="C37" s="18">
        <v>870393457.34349597</v>
      </c>
    </row>
    <row r="38" spans="1:3" x14ac:dyDescent="0.25">
      <c r="A38" s="18">
        <v>2018</v>
      </c>
      <c r="B38" s="18">
        <v>1</v>
      </c>
      <c r="C38" s="18">
        <v>906496397.73186696</v>
      </c>
    </row>
    <row r="39" spans="1:3" x14ac:dyDescent="0.25">
      <c r="A39" s="18">
        <v>2018</v>
      </c>
      <c r="B39" s="18">
        <v>2</v>
      </c>
      <c r="C39" s="18">
        <v>899727475.21664703</v>
      </c>
    </row>
    <row r="40" spans="1:3" x14ac:dyDescent="0.25">
      <c r="A40" s="18">
        <v>2018</v>
      </c>
      <c r="B40" s="18">
        <v>3</v>
      </c>
      <c r="C40" s="18">
        <v>918922733.60736501</v>
      </c>
    </row>
    <row r="41" spans="1:3" x14ac:dyDescent="0.25">
      <c r="A41" s="18">
        <v>2018</v>
      </c>
      <c r="B41" s="18">
        <v>4</v>
      </c>
      <c r="C41" s="18">
        <v>897969902.09562695</v>
      </c>
    </row>
    <row r="42" spans="1:3" x14ac:dyDescent="0.25">
      <c r="A42" s="18">
        <v>2018</v>
      </c>
      <c r="B42" s="18">
        <v>5</v>
      </c>
      <c r="C42" s="18">
        <v>861851879.18803406</v>
      </c>
    </row>
    <row r="43" spans="1:3" x14ac:dyDescent="0.25">
      <c r="A43" s="18">
        <v>2018</v>
      </c>
      <c r="B43" s="18">
        <v>6</v>
      </c>
      <c r="C43" s="18">
        <v>878527423.70241594</v>
      </c>
    </row>
    <row r="44" spans="1:3" x14ac:dyDescent="0.25">
      <c r="A44" s="18">
        <v>2018</v>
      </c>
      <c r="B44" s="18">
        <v>7</v>
      </c>
      <c r="C44" s="18">
        <v>871480827.65762603</v>
      </c>
    </row>
    <row r="45" spans="1:3" x14ac:dyDescent="0.25">
      <c r="A45" s="18">
        <v>2018</v>
      </c>
      <c r="B45" s="18">
        <v>8</v>
      </c>
      <c r="C45" s="18">
        <v>862441004.38158</v>
      </c>
    </row>
    <row r="46" spans="1:3" x14ac:dyDescent="0.25">
      <c r="A46" s="18">
        <v>2018</v>
      </c>
      <c r="B46" s="18">
        <v>9</v>
      </c>
      <c r="C46" s="18">
        <v>866471777.99536598</v>
      </c>
    </row>
    <row r="47" spans="1:3" x14ac:dyDescent="0.25">
      <c r="A47" s="18">
        <v>2018</v>
      </c>
      <c r="B47" s="18">
        <v>10</v>
      </c>
      <c r="C47" s="18">
        <v>862372883.658952</v>
      </c>
    </row>
    <row r="48" spans="1:3" x14ac:dyDescent="0.25">
      <c r="A48" s="18">
        <v>2018</v>
      </c>
      <c r="B48" s="18">
        <v>11</v>
      </c>
      <c r="C48" s="18">
        <v>854747966.76289201</v>
      </c>
    </row>
    <row r="49" spans="1:3" x14ac:dyDescent="0.25">
      <c r="A49" s="18">
        <v>2018</v>
      </c>
      <c r="B49" s="18">
        <v>12</v>
      </c>
      <c r="C49" s="18">
        <v>849680536.542364</v>
      </c>
    </row>
    <row r="50" spans="1:3" x14ac:dyDescent="0.25">
      <c r="A50" s="18">
        <v>2019</v>
      </c>
      <c r="B50" s="18">
        <v>1</v>
      </c>
      <c r="C50" s="18">
        <v>841721360.84643698</v>
      </c>
    </row>
    <row r="51" spans="1:3" x14ac:dyDescent="0.25">
      <c r="A51" s="18">
        <v>2019</v>
      </c>
      <c r="B51" s="18">
        <v>2</v>
      </c>
      <c r="C51" s="18">
        <v>825403705.15620899</v>
      </c>
    </row>
    <row r="52" spans="1:3" x14ac:dyDescent="0.25">
      <c r="A52" s="18">
        <v>2019</v>
      </c>
      <c r="B52" s="18">
        <v>3</v>
      </c>
      <c r="C52" s="18">
        <v>857712997.72681701</v>
      </c>
    </row>
    <row r="53" spans="1:3" x14ac:dyDescent="0.25">
      <c r="A53" s="18">
        <v>2019</v>
      </c>
      <c r="B53" s="18">
        <v>4</v>
      </c>
      <c r="C53" s="18">
        <v>860551213.13185501</v>
      </c>
    </row>
    <row r="54" spans="1:3" x14ac:dyDescent="0.25">
      <c r="A54" s="18">
        <v>2019</v>
      </c>
      <c r="B54" s="18">
        <v>5</v>
      </c>
      <c r="C54" s="18">
        <v>847377828.82202303</v>
      </c>
    </row>
    <row r="55" spans="1:3" x14ac:dyDescent="0.25">
      <c r="A55" s="18">
        <v>2019</v>
      </c>
      <c r="B55" s="18">
        <v>6</v>
      </c>
      <c r="C55" s="18">
        <v>853449163.97742105</v>
      </c>
    </row>
    <row r="56" spans="1:3" x14ac:dyDescent="0.25">
      <c r="A56" s="18">
        <v>2019</v>
      </c>
      <c r="B56" s="18">
        <v>7</v>
      </c>
      <c r="C56" s="18">
        <v>869246648.55662799</v>
      </c>
    </row>
    <row r="57" spans="1:3" x14ac:dyDescent="0.25">
      <c r="A57" s="18">
        <v>2019</v>
      </c>
      <c r="B57" s="18">
        <v>8</v>
      </c>
      <c r="C57" s="18">
        <v>880920580.73407698</v>
      </c>
    </row>
    <row r="58" spans="1:3" x14ac:dyDescent="0.25">
      <c r="A58" s="18">
        <v>2019</v>
      </c>
      <c r="B58" s="18">
        <v>9</v>
      </c>
      <c r="C58" s="18">
        <v>879975267.91094601</v>
      </c>
    </row>
    <row r="59" spans="1:3" x14ac:dyDescent="0.25">
      <c r="A59" s="18">
        <v>2019</v>
      </c>
      <c r="B59" s="18">
        <v>10</v>
      </c>
      <c r="C59" s="18">
        <v>873347569.96024501</v>
      </c>
    </row>
    <row r="60" spans="1:3" x14ac:dyDescent="0.25">
      <c r="A60" s="18">
        <v>2019</v>
      </c>
      <c r="B60" s="18">
        <v>11</v>
      </c>
      <c r="C60" s="18">
        <v>871438442.73425698</v>
      </c>
    </row>
    <row r="61" spans="1:3" x14ac:dyDescent="0.25">
      <c r="A61" s="18">
        <v>2019</v>
      </c>
      <c r="B61" s="18">
        <v>12</v>
      </c>
      <c r="C61" s="18">
        <v>880430107.31222606</v>
      </c>
    </row>
    <row r="62" spans="1:3" x14ac:dyDescent="0.25">
      <c r="A62" s="18">
        <v>2020</v>
      </c>
      <c r="B62" s="18">
        <v>1</v>
      </c>
      <c r="C62" s="18">
        <v>885747733.12197697</v>
      </c>
    </row>
    <row r="63" spans="1:3" x14ac:dyDescent="0.25">
      <c r="A63" s="18">
        <v>2020</v>
      </c>
      <c r="B63" s="18">
        <v>2</v>
      </c>
      <c r="C63" s="18">
        <v>910533477.68299901</v>
      </c>
    </row>
    <row r="64" spans="1:3" x14ac:dyDescent="0.25">
      <c r="A64" s="18">
        <v>2020</v>
      </c>
      <c r="B64" s="18">
        <v>3</v>
      </c>
      <c r="C64" s="18">
        <v>910100301.03047705</v>
      </c>
    </row>
    <row r="65" spans="1:3" x14ac:dyDescent="0.25">
      <c r="A65" s="18">
        <v>2020</v>
      </c>
      <c r="B65" s="18">
        <v>4</v>
      </c>
      <c r="C65" s="18">
        <v>919969784.35134101</v>
      </c>
    </row>
    <row r="66" spans="1:3" x14ac:dyDescent="0.25">
      <c r="A66" s="18">
        <v>2020</v>
      </c>
      <c r="B66" s="18">
        <v>5</v>
      </c>
      <c r="C66" s="18">
        <v>933903616.10545397</v>
      </c>
    </row>
    <row r="67" spans="1:3" x14ac:dyDescent="0.25">
      <c r="A67" s="18">
        <v>2020</v>
      </c>
      <c r="B67" s="18">
        <v>6</v>
      </c>
      <c r="C67" s="18">
        <v>939011253.81181502</v>
      </c>
    </row>
    <row r="68" spans="1:3" x14ac:dyDescent="0.25">
      <c r="A68" s="18">
        <v>2020</v>
      </c>
      <c r="B68" s="18">
        <v>7</v>
      </c>
      <c r="C68" s="18">
        <v>934516739.94000995</v>
      </c>
    </row>
    <row r="69" spans="1:3" x14ac:dyDescent="0.25">
      <c r="A69" s="18">
        <v>2020</v>
      </c>
      <c r="B69" s="18">
        <v>8</v>
      </c>
      <c r="C69" s="18">
        <v>927714156.65995097</v>
      </c>
    </row>
    <row r="70" spans="1:3" x14ac:dyDescent="0.25">
      <c r="A70" s="18">
        <v>2020</v>
      </c>
      <c r="B70" s="18">
        <v>9</v>
      </c>
      <c r="C70" s="18">
        <v>915924537.69040799</v>
      </c>
    </row>
    <row r="71" spans="1:3" x14ac:dyDescent="0.25">
      <c r="A71" s="18">
        <v>2020</v>
      </c>
      <c r="B71" s="18">
        <v>10</v>
      </c>
      <c r="C71" s="18">
        <v>932393470.12109601</v>
      </c>
    </row>
    <row r="72" spans="1:3" x14ac:dyDescent="0.25">
      <c r="A72" s="18">
        <v>2020</v>
      </c>
      <c r="B72" s="18">
        <v>11</v>
      </c>
      <c r="C72" s="18">
        <v>936676155.83647096</v>
      </c>
    </row>
    <row r="73" spans="1:3" x14ac:dyDescent="0.25">
      <c r="A73" s="18">
        <v>2020</v>
      </c>
      <c r="B73" s="18">
        <v>12</v>
      </c>
      <c r="C73" s="18">
        <v>947009570.89954805</v>
      </c>
    </row>
    <row r="74" spans="1:3" x14ac:dyDescent="0.25">
      <c r="A74" s="18">
        <v>2021</v>
      </c>
      <c r="B74" s="18">
        <v>1</v>
      </c>
      <c r="C74" s="18">
        <v>952659178.97147095</v>
      </c>
    </row>
    <row r="75" spans="1:3" x14ac:dyDescent="0.25">
      <c r="A75" s="18">
        <v>2021</v>
      </c>
      <c r="B75" s="18">
        <v>2</v>
      </c>
      <c r="C75" s="18">
        <v>946595808.99919701</v>
      </c>
    </row>
    <row r="76" spans="1:3" x14ac:dyDescent="0.25">
      <c r="A76" s="18">
        <v>2021</v>
      </c>
      <c r="B76" s="18">
        <v>3</v>
      </c>
      <c r="C76" s="18">
        <v>950704855.50216603</v>
      </c>
    </row>
    <row r="77" spans="1:3" x14ac:dyDescent="0.25">
      <c r="A77" s="18">
        <v>2021</v>
      </c>
      <c r="B77" s="18">
        <v>4</v>
      </c>
      <c r="C77" s="18">
        <v>950575881.30672598</v>
      </c>
    </row>
    <row r="78" spans="1:3" x14ac:dyDescent="0.25">
      <c r="A78" s="18">
        <v>2021</v>
      </c>
      <c r="B78" s="18">
        <v>5</v>
      </c>
      <c r="C78" s="18">
        <v>965296187.11922896</v>
      </c>
    </row>
    <row r="79" spans="1:3" x14ac:dyDescent="0.25">
      <c r="A79" s="18">
        <v>2021</v>
      </c>
      <c r="B79" s="18">
        <v>6</v>
      </c>
      <c r="C79" s="18">
        <v>965169794.72670996</v>
      </c>
    </row>
    <row r="80" spans="1:3" x14ac:dyDescent="0.25">
      <c r="A80" s="18">
        <v>2021</v>
      </c>
      <c r="B80" s="18">
        <v>7</v>
      </c>
      <c r="C80" s="18">
        <v>966795601.48184299</v>
      </c>
    </row>
    <row r="81" spans="1:3" x14ac:dyDescent="0.25">
      <c r="A81" s="18">
        <v>2021</v>
      </c>
      <c r="B81" s="18">
        <v>8</v>
      </c>
      <c r="C81" s="18">
        <v>963489433.502262</v>
      </c>
    </row>
    <row r="82" spans="1:3" x14ac:dyDescent="0.25">
      <c r="A82" s="18">
        <v>2021</v>
      </c>
      <c r="B82" s="18">
        <v>9</v>
      </c>
      <c r="C82" s="18">
        <v>962256398.91215301</v>
      </c>
    </row>
    <row r="83" spans="1:3" x14ac:dyDescent="0.25">
      <c r="A83" s="18">
        <v>2021</v>
      </c>
      <c r="B83" s="18">
        <v>10</v>
      </c>
      <c r="C83" s="18">
        <v>968327021.70146799</v>
      </c>
    </row>
    <row r="84" spans="1:3" x14ac:dyDescent="0.25">
      <c r="A84" s="18">
        <v>2021</v>
      </c>
      <c r="B84" s="18">
        <v>11</v>
      </c>
      <c r="C84" s="18">
        <v>979123499.85124695</v>
      </c>
    </row>
    <row r="85" spans="1:3" x14ac:dyDescent="0.25">
      <c r="A85" s="18">
        <v>2021</v>
      </c>
      <c r="B85" s="18">
        <v>12</v>
      </c>
      <c r="C85" s="18">
        <v>979282211.43657601</v>
      </c>
    </row>
    <row r="86" spans="1:3" x14ac:dyDescent="0.25">
      <c r="A86" s="18">
        <v>2022</v>
      </c>
      <c r="B86" s="18">
        <v>1</v>
      </c>
      <c r="C86" s="18">
        <v>944335443.20307505</v>
      </c>
    </row>
    <row r="87" spans="1:3" x14ac:dyDescent="0.25">
      <c r="A87" s="18">
        <v>2022</v>
      </c>
      <c r="B87" s="18">
        <v>2</v>
      </c>
      <c r="C87" s="18">
        <v>977668356.79240298</v>
      </c>
    </row>
    <row r="88" spans="1:3" x14ac:dyDescent="0.25">
      <c r="A88" s="18">
        <v>2022</v>
      </c>
      <c r="B88" s="18">
        <v>3</v>
      </c>
      <c r="C88" s="18">
        <v>977774569.43829095</v>
      </c>
    </row>
    <row r="89" spans="1:3" x14ac:dyDescent="0.25">
      <c r="A89" s="18">
        <v>2022</v>
      </c>
      <c r="B89" s="18">
        <v>4</v>
      </c>
      <c r="C89" s="18">
        <v>970283827.16387606</v>
      </c>
    </row>
    <row r="90" spans="1:3" x14ac:dyDescent="0.25">
      <c r="A90" s="18">
        <v>2022</v>
      </c>
      <c r="B90" s="18">
        <v>5</v>
      </c>
      <c r="C90" s="18">
        <v>971156618.91118705</v>
      </c>
    </row>
    <row r="91" spans="1:3" x14ac:dyDescent="0.25">
      <c r="A91" s="18">
        <v>2022</v>
      </c>
      <c r="B91" s="18">
        <v>6</v>
      </c>
      <c r="C91" s="18">
        <v>957734962.81770802</v>
      </c>
    </row>
    <row r="92" spans="1:3" x14ac:dyDescent="0.25">
      <c r="A92" s="18">
        <v>2022</v>
      </c>
      <c r="B92" s="18">
        <v>7</v>
      </c>
      <c r="C92" s="18">
        <v>954781181.06281102</v>
      </c>
    </row>
    <row r="93" spans="1:3" x14ac:dyDescent="0.25">
      <c r="A93" s="18">
        <v>2022</v>
      </c>
      <c r="B93" s="18">
        <v>8</v>
      </c>
      <c r="C93" s="18">
        <v>967000279.36872005</v>
      </c>
    </row>
    <row r="94" spans="1:3" x14ac:dyDescent="0.25">
      <c r="A94" s="18">
        <v>2022</v>
      </c>
      <c r="B94" s="18">
        <v>9</v>
      </c>
      <c r="C94" s="18">
        <v>964979095.51997197</v>
      </c>
    </row>
    <row r="95" spans="1:3" x14ac:dyDescent="0.25">
      <c r="A95" s="18">
        <v>2022</v>
      </c>
      <c r="B95" s="18">
        <v>10</v>
      </c>
      <c r="C95" s="18">
        <v>964127383.62340999</v>
      </c>
    </row>
    <row r="96" spans="1:3" x14ac:dyDescent="0.25">
      <c r="A96" s="18">
        <v>2022</v>
      </c>
      <c r="B96" s="18">
        <v>11</v>
      </c>
      <c r="C96" s="18">
        <v>943874383.75968897</v>
      </c>
    </row>
    <row r="97" spans="1:3" x14ac:dyDescent="0.25">
      <c r="A97" s="18">
        <v>2022</v>
      </c>
      <c r="B97" s="18">
        <v>12</v>
      </c>
      <c r="C97" s="18">
        <v>961330687.57431996</v>
      </c>
    </row>
    <row r="98" spans="1:3" x14ac:dyDescent="0.25">
      <c r="A98" s="18">
        <v>2023</v>
      </c>
      <c r="B98" s="18">
        <v>1</v>
      </c>
      <c r="C98" s="18">
        <v>976990055.36743903</v>
      </c>
    </row>
    <row r="99" spans="1:3" x14ac:dyDescent="0.25">
      <c r="A99" s="18">
        <v>2023</v>
      </c>
      <c r="B99" s="18">
        <v>2</v>
      </c>
      <c r="C99" s="18">
        <v>969712508.22565997</v>
      </c>
    </row>
    <row r="100" spans="1:3" x14ac:dyDescent="0.25">
      <c r="A100" s="18">
        <v>2023</v>
      </c>
      <c r="B100" s="18">
        <v>3</v>
      </c>
      <c r="C100" s="18">
        <v>956268416.17557395</v>
      </c>
    </row>
    <row r="101" spans="1:3" x14ac:dyDescent="0.25">
      <c r="A101" s="18">
        <v>2023</v>
      </c>
      <c r="B101" s="18">
        <v>4</v>
      </c>
      <c r="C101" s="18">
        <v>988320083.44772005</v>
      </c>
    </row>
    <row r="102" spans="1:3" x14ac:dyDescent="0.25">
      <c r="A102" s="18">
        <v>2023</v>
      </c>
      <c r="B102" s="18">
        <v>5</v>
      </c>
      <c r="C102" s="18">
        <v>951884403.82975101</v>
      </c>
    </row>
    <row r="103" spans="1:3" x14ac:dyDescent="0.25">
      <c r="A103" s="18">
        <v>2023</v>
      </c>
      <c r="B103" s="18">
        <v>6</v>
      </c>
      <c r="C103" s="18">
        <v>949072423.52648902</v>
      </c>
    </row>
    <row r="104" spans="1:3" x14ac:dyDescent="0.25">
      <c r="A104" s="18">
        <v>2023</v>
      </c>
      <c r="B104" s="18">
        <v>7</v>
      </c>
      <c r="C104" s="18">
        <v>951833129.91251004</v>
      </c>
    </row>
    <row r="105" spans="1:3" x14ac:dyDescent="0.25">
      <c r="A105" s="18">
        <v>2023</v>
      </c>
      <c r="B105" s="18">
        <v>8</v>
      </c>
      <c r="C105" s="18">
        <v>960892978.75388801</v>
      </c>
    </row>
    <row r="106" spans="1:3" x14ac:dyDescent="0.25">
      <c r="A106" s="18">
        <v>2023</v>
      </c>
      <c r="B106" s="18">
        <v>9</v>
      </c>
      <c r="C106" s="18">
        <v>924702584.77899802</v>
      </c>
    </row>
    <row r="107" spans="1:3" x14ac:dyDescent="0.25">
      <c r="A107" s="18">
        <v>2023</v>
      </c>
      <c r="B107" s="18">
        <v>10</v>
      </c>
      <c r="C107" s="18">
        <v>913803310.71348298</v>
      </c>
    </row>
    <row r="108" spans="1:3" x14ac:dyDescent="0.25">
      <c r="A108" s="18">
        <v>2023</v>
      </c>
      <c r="B108" s="18">
        <v>11</v>
      </c>
      <c r="C108" s="18">
        <v>899737223.75989997</v>
      </c>
    </row>
    <row r="109" spans="1:3" x14ac:dyDescent="0.25">
      <c r="A109" s="18">
        <v>2023</v>
      </c>
      <c r="B109" s="18">
        <v>12</v>
      </c>
      <c r="C109" s="18">
        <v>881890862.88875794</v>
      </c>
    </row>
    <row r="110" spans="1:3" x14ac:dyDescent="0.25">
      <c r="A110" s="18">
        <v>2024</v>
      </c>
      <c r="B110" s="18">
        <v>1</v>
      </c>
      <c r="C110" s="18">
        <v>856712829.06567204</v>
      </c>
    </row>
    <row r="111" spans="1:3" x14ac:dyDescent="0.25">
      <c r="A111" s="18">
        <v>2024</v>
      </c>
      <c r="B111" s="18">
        <v>2</v>
      </c>
      <c r="C111" s="18">
        <v>834083964.45515501</v>
      </c>
    </row>
    <row r="112" spans="1:3" x14ac:dyDescent="0.25">
      <c r="A112" s="18">
        <v>2024</v>
      </c>
      <c r="B112" s="18">
        <v>3</v>
      </c>
      <c r="C112" s="18">
        <v>841935349.84548295</v>
      </c>
    </row>
    <row r="113" spans="1:3" x14ac:dyDescent="0.25">
      <c r="A113" s="18">
        <v>2024</v>
      </c>
      <c r="B113" s="18">
        <v>4</v>
      </c>
      <c r="C113" s="18">
        <v>849965956.86977696</v>
      </c>
    </row>
    <row r="114" spans="1:3" x14ac:dyDescent="0.25">
      <c r="A114" s="18">
        <v>2024</v>
      </c>
      <c r="B114" s="18">
        <v>5</v>
      </c>
      <c r="C114" s="18">
        <v>859647459.63318396</v>
      </c>
    </row>
    <row r="115" spans="1:3" x14ac:dyDescent="0.25">
      <c r="A115" s="18">
        <v>2024</v>
      </c>
      <c r="B115" s="18">
        <v>6</v>
      </c>
      <c r="C115" s="18">
        <v>885117759.51788998</v>
      </c>
    </row>
    <row r="116" spans="1:3" x14ac:dyDescent="0.25">
      <c r="A116" s="18">
        <v>2024</v>
      </c>
      <c r="B116" s="18">
        <v>7</v>
      </c>
      <c r="C116" s="18">
        <v>902758078.54280698</v>
      </c>
    </row>
    <row r="117" spans="1:3" x14ac:dyDescent="0.25">
      <c r="A117" s="18">
        <v>2024</v>
      </c>
      <c r="B117" s="18">
        <v>8</v>
      </c>
      <c r="C117" s="18">
        <v>894127680.40621603</v>
      </c>
    </row>
    <row r="118" spans="1:3" x14ac:dyDescent="0.25">
      <c r="A118" s="18">
        <v>2024</v>
      </c>
      <c r="B118" s="18">
        <v>9</v>
      </c>
      <c r="C118" s="18">
        <v>903796953.00546801</v>
      </c>
    </row>
    <row r="119" spans="1:3" x14ac:dyDescent="0.25">
      <c r="A119" s="18">
        <v>2024</v>
      </c>
      <c r="B119" s="18">
        <v>10</v>
      </c>
      <c r="C119" s="18">
        <v>907436730.68675303</v>
      </c>
    </row>
    <row r="120" spans="1:3" x14ac:dyDescent="0.25">
      <c r="A120" s="18">
        <v>2024</v>
      </c>
      <c r="B120" s="18">
        <v>11</v>
      </c>
      <c r="C120" s="18">
        <v>913679083.32180905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DE0D-A581-422F-BC33-6527EDD69606}">
  <dimension ref="A1:AC135"/>
  <sheetViews>
    <sheetView topLeftCell="I1" workbookViewId="0">
      <selection activeCell="AC2" sqref="AC2:AC135"/>
    </sheetView>
  </sheetViews>
  <sheetFormatPr baseColWidth="10" defaultRowHeight="15" x14ac:dyDescent="0.25"/>
  <cols>
    <col min="1" max="2" width="11.5703125" bestFit="1" customWidth="1"/>
    <col min="3" max="3" width="16.42578125" bestFit="1" customWidth="1"/>
    <col min="5" max="6" width="11.5703125" bestFit="1" customWidth="1"/>
    <col min="7" max="7" width="16.42578125" bestFit="1" customWidth="1"/>
    <col min="10" max="11" width="11.5703125" bestFit="1" customWidth="1"/>
    <col min="12" max="12" width="16.42578125" bestFit="1" customWidth="1"/>
    <col min="15" max="16" width="11.5703125" bestFit="1" customWidth="1"/>
    <col min="17" max="17" width="16.42578125" bestFit="1" customWidth="1"/>
    <col min="19" max="20" width="11.5703125" bestFit="1" customWidth="1"/>
    <col min="21" max="21" width="16.42578125" bestFit="1" customWidth="1"/>
    <col min="23" max="24" width="11.5703125" bestFit="1" customWidth="1"/>
    <col min="25" max="25" width="16.42578125" bestFit="1" customWidth="1"/>
    <col min="27" max="28" width="11.5703125" bestFit="1" customWidth="1"/>
    <col min="29" max="29" width="16.42578125" bestFit="1" customWidth="1"/>
  </cols>
  <sheetData>
    <row r="1" spans="1:29" x14ac:dyDescent="0.25">
      <c r="A1" s="9" t="s">
        <v>6</v>
      </c>
      <c r="B1" s="9" t="s">
        <v>7</v>
      </c>
      <c r="C1" s="9" t="s">
        <v>8</v>
      </c>
      <c r="E1" s="9" t="s">
        <v>6</v>
      </c>
      <c r="F1" s="9" t="s">
        <v>7</v>
      </c>
      <c r="G1" s="9" t="s">
        <v>8</v>
      </c>
      <c r="J1" s="9" t="s">
        <v>6</v>
      </c>
      <c r="K1" s="9" t="s">
        <v>7</v>
      </c>
      <c r="L1" s="9" t="s">
        <v>8</v>
      </c>
      <c r="O1" s="9" t="s">
        <v>6</v>
      </c>
      <c r="P1" s="9" t="s">
        <v>7</v>
      </c>
      <c r="Q1" s="9" t="s">
        <v>8</v>
      </c>
      <c r="S1" s="9" t="s">
        <v>6</v>
      </c>
      <c r="T1" s="9" t="s">
        <v>7</v>
      </c>
      <c r="U1" s="9" t="s">
        <v>8</v>
      </c>
      <c r="W1" s="9" t="s">
        <v>6</v>
      </c>
      <c r="X1" s="9" t="s">
        <v>7</v>
      </c>
      <c r="Y1" s="9" t="s">
        <v>8</v>
      </c>
      <c r="AA1" s="9" t="s">
        <v>6</v>
      </c>
      <c r="AB1" s="9" t="s">
        <v>7</v>
      </c>
      <c r="AC1" s="9" t="s">
        <v>8</v>
      </c>
    </row>
    <row r="2" spans="1:29" x14ac:dyDescent="0.25">
      <c r="A2" s="10">
        <v>2015</v>
      </c>
      <c r="B2" s="10">
        <v>1</v>
      </c>
      <c r="C2" s="10">
        <v>993397854.97115695</v>
      </c>
      <c r="E2" s="10">
        <v>2015</v>
      </c>
      <c r="F2" s="10">
        <v>1</v>
      </c>
      <c r="G2" s="10">
        <v>993622687.02844501</v>
      </c>
      <c r="J2" s="10">
        <v>2015</v>
      </c>
      <c r="K2" s="10">
        <v>1</v>
      </c>
      <c r="L2" s="10">
        <v>993642210.00070202</v>
      </c>
      <c r="O2" s="10">
        <v>2015</v>
      </c>
      <c r="P2" s="10">
        <v>1</v>
      </c>
      <c r="Q2" s="10">
        <v>993885632.65974498</v>
      </c>
      <c r="S2" s="10">
        <v>2015</v>
      </c>
      <c r="T2" s="10">
        <v>1</v>
      </c>
      <c r="U2" s="10">
        <v>993835403.23470294</v>
      </c>
      <c r="W2" s="10">
        <v>2015</v>
      </c>
      <c r="X2" s="10">
        <v>1</v>
      </c>
      <c r="Y2" s="10">
        <v>993858714.36113405</v>
      </c>
      <c r="AA2" s="10">
        <v>2015</v>
      </c>
      <c r="AB2" s="10">
        <v>1</v>
      </c>
      <c r="AC2" s="10">
        <v>993879510.53581405</v>
      </c>
    </row>
    <row r="3" spans="1:29" x14ac:dyDescent="0.25">
      <c r="A3" s="10">
        <v>2015</v>
      </c>
      <c r="B3" s="10">
        <v>2</v>
      </c>
      <c r="C3" s="10">
        <v>908947139.67565703</v>
      </c>
      <c r="E3" s="10">
        <v>2015</v>
      </c>
      <c r="F3" s="10">
        <v>2</v>
      </c>
      <c r="G3" s="10">
        <v>908924553.56877398</v>
      </c>
      <c r="J3" s="10">
        <v>2015</v>
      </c>
      <c r="K3" s="10">
        <v>2</v>
      </c>
      <c r="L3" s="10">
        <v>908944480.17245805</v>
      </c>
      <c r="O3" s="10">
        <v>2015</v>
      </c>
      <c r="P3" s="10">
        <v>2</v>
      </c>
      <c r="Q3" s="10">
        <v>909827160.62023497</v>
      </c>
      <c r="S3" s="10">
        <v>2015</v>
      </c>
      <c r="T3" s="10">
        <v>2</v>
      </c>
      <c r="U3" s="10">
        <v>909843983.85996401</v>
      </c>
      <c r="W3" s="10">
        <v>2015</v>
      </c>
      <c r="X3" s="10">
        <v>2</v>
      </c>
      <c r="Y3" s="10">
        <v>909851527.39138198</v>
      </c>
      <c r="AA3" s="10">
        <v>2015</v>
      </c>
      <c r="AB3" s="10">
        <v>2</v>
      </c>
      <c r="AC3" s="10">
        <v>909901550.56176996</v>
      </c>
    </row>
    <row r="4" spans="1:29" x14ac:dyDescent="0.25">
      <c r="A4" s="10">
        <v>2015</v>
      </c>
      <c r="B4" s="10">
        <v>3</v>
      </c>
      <c r="C4" s="10">
        <v>971866494.23307204</v>
      </c>
      <c r="E4" s="10">
        <v>2015</v>
      </c>
      <c r="F4" s="10">
        <v>3</v>
      </c>
      <c r="G4" s="10">
        <v>971950939.82702398</v>
      </c>
      <c r="J4" s="10">
        <v>2015</v>
      </c>
      <c r="K4" s="10">
        <v>3</v>
      </c>
      <c r="L4" s="10">
        <v>972025722.726385</v>
      </c>
      <c r="O4" s="10">
        <v>2015</v>
      </c>
      <c r="P4" s="10">
        <v>3</v>
      </c>
      <c r="Q4" s="10">
        <v>971764365.21531105</v>
      </c>
      <c r="S4" s="10">
        <v>2015</v>
      </c>
      <c r="T4" s="10">
        <v>3</v>
      </c>
      <c r="U4" s="10">
        <v>971680467.71688294</v>
      </c>
      <c r="W4" s="10">
        <v>2015</v>
      </c>
      <c r="X4" s="10">
        <v>3</v>
      </c>
      <c r="Y4" s="10">
        <v>971785109.39438498</v>
      </c>
      <c r="AA4" s="10">
        <v>2015</v>
      </c>
      <c r="AB4" s="10">
        <v>3</v>
      </c>
      <c r="AC4" s="10">
        <v>971273535.59253204</v>
      </c>
    </row>
    <row r="5" spans="1:29" x14ac:dyDescent="0.25">
      <c r="A5" s="10">
        <v>2015</v>
      </c>
      <c r="B5" s="10">
        <v>4</v>
      </c>
      <c r="C5" s="10">
        <v>1001555498.66144</v>
      </c>
      <c r="E5" s="10">
        <v>2015</v>
      </c>
      <c r="F5" s="10">
        <v>4</v>
      </c>
      <c r="G5" s="10">
        <v>1001567745.42404</v>
      </c>
      <c r="J5" s="10">
        <v>2015</v>
      </c>
      <c r="K5" s="10">
        <v>4</v>
      </c>
      <c r="L5" s="10">
        <v>1001548222.0250601</v>
      </c>
      <c r="O5" s="10">
        <v>2015</v>
      </c>
      <c r="P5" s="10">
        <v>4</v>
      </c>
      <c r="Q5" s="10">
        <v>1001786332.25925</v>
      </c>
      <c r="S5" s="10">
        <v>2015</v>
      </c>
      <c r="T5" s="10">
        <v>4</v>
      </c>
      <c r="U5" s="10">
        <v>1001818163.3169</v>
      </c>
      <c r="W5" s="10">
        <v>2015</v>
      </c>
      <c r="X5" s="10">
        <v>4</v>
      </c>
      <c r="Y5" s="10">
        <v>1001807695.82749</v>
      </c>
      <c r="AA5" s="10">
        <v>2015</v>
      </c>
      <c r="AB5" s="10">
        <v>4</v>
      </c>
      <c r="AC5" s="10">
        <v>1002217114.76375</v>
      </c>
    </row>
    <row r="6" spans="1:29" x14ac:dyDescent="0.25">
      <c r="A6" s="10">
        <v>2015</v>
      </c>
      <c r="B6" s="10">
        <v>5</v>
      </c>
      <c r="C6" s="10">
        <v>1015246341.16212</v>
      </c>
      <c r="E6" s="10">
        <v>2015</v>
      </c>
      <c r="F6" s="10">
        <v>5</v>
      </c>
      <c r="G6" s="10">
        <v>1015260975.19365</v>
      </c>
      <c r="J6" s="10">
        <v>2015</v>
      </c>
      <c r="K6" s="10">
        <v>5</v>
      </c>
      <c r="L6" s="10">
        <v>1015312058.82511</v>
      </c>
      <c r="O6" s="10">
        <v>2015</v>
      </c>
      <c r="P6" s="10">
        <v>5</v>
      </c>
      <c r="Q6" s="10">
        <v>1014895595.95669</v>
      </c>
      <c r="S6" s="10">
        <v>2015</v>
      </c>
      <c r="T6" s="10">
        <v>5</v>
      </c>
      <c r="U6" s="10">
        <v>1014850037.2067</v>
      </c>
      <c r="W6" s="10">
        <v>2015</v>
      </c>
      <c r="X6" s="10">
        <v>5</v>
      </c>
      <c r="Y6" s="10">
        <v>1014872795.21851</v>
      </c>
      <c r="AA6" s="10">
        <v>2015</v>
      </c>
      <c r="AB6" s="10">
        <v>5</v>
      </c>
      <c r="AC6" s="10">
        <v>1014533983.5535901</v>
      </c>
    </row>
    <row r="7" spans="1:29" x14ac:dyDescent="0.25">
      <c r="A7" s="10">
        <v>2015</v>
      </c>
      <c r="B7" s="10">
        <v>6</v>
      </c>
      <c r="C7" s="10">
        <v>1028550569.94166</v>
      </c>
      <c r="E7" s="10">
        <v>2015</v>
      </c>
      <c r="F7" s="10">
        <v>6</v>
      </c>
      <c r="G7" s="10">
        <v>1028530451.75129</v>
      </c>
      <c r="J7" s="10">
        <v>2015</v>
      </c>
      <c r="K7" s="10">
        <v>6</v>
      </c>
      <c r="L7" s="10">
        <v>1028520624.80941</v>
      </c>
      <c r="O7" s="10">
        <v>2015</v>
      </c>
      <c r="P7" s="10">
        <v>6</v>
      </c>
      <c r="Q7" s="10">
        <v>1028579834.7169501</v>
      </c>
      <c r="S7" s="10">
        <v>2015</v>
      </c>
      <c r="T7" s="10">
        <v>6</v>
      </c>
      <c r="U7" s="10">
        <v>1028585699.74753</v>
      </c>
      <c r="W7" s="10">
        <v>2015</v>
      </c>
      <c r="X7" s="10">
        <v>6</v>
      </c>
      <c r="Y7" s="10">
        <v>1028586129.82382</v>
      </c>
      <c r="AA7" s="10">
        <v>2015</v>
      </c>
      <c r="AB7" s="10">
        <v>6</v>
      </c>
      <c r="AC7" s="10">
        <v>1028737712.61761</v>
      </c>
    </row>
    <row r="8" spans="1:29" x14ac:dyDescent="0.25">
      <c r="A8" s="10">
        <v>2015</v>
      </c>
      <c r="B8" s="10">
        <v>7</v>
      </c>
      <c r="C8" s="10">
        <v>1029100290.24914</v>
      </c>
      <c r="E8" s="10">
        <v>2015</v>
      </c>
      <c r="F8" s="10">
        <v>7</v>
      </c>
      <c r="G8" s="10">
        <v>1029059563.91763</v>
      </c>
      <c r="J8" s="10">
        <v>2015</v>
      </c>
      <c r="K8" s="10">
        <v>7</v>
      </c>
      <c r="L8" s="10">
        <v>1029010295.7925299</v>
      </c>
      <c r="O8" s="10">
        <v>2015</v>
      </c>
      <c r="P8" s="10">
        <v>7</v>
      </c>
      <c r="Q8" s="10">
        <v>1029334399.8412499</v>
      </c>
      <c r="S8" s="10">
        <v>2015</v>
      </c>
      <c r="T8" s="10">
        <v>7</v>
      </c>
      <c r="U8" s="10">
        <v>1029357518.09558</v>
      </c>
      <c r="W8" s="10">
        <v>2015</v>
      </c>
      <c r="X8" s="10">
        <v>7</v>
      </c>
      <c r="Y8" s="10">
        <v>1029345399.77321</v>
      </c>
      <c r="AA8" s="10">
        <v>2015</v>
      </c>
      <c r="AB8" s="10">
        <v>7</v>
      </c>
      <c r="AC8" s="10">
        <v>1029599707.68141</v>
      </c>
    </row>
    <row r="9" spans="1:29" x14ac:dyDescent="0.25">
      <c r="A9" s="10">
        <v>2015</v>
      </c>
      <c r="B9" s="10">
        <v>8</v>
      </c>
      <c r="C9" s="10">
        <v>1011169418.19519</v>
      </c>
      <c r="E9" s="10">
        <v>2015</v>
      </c>
      <c r="F9" s="10">
        <v>8</v>
      </c>
      <c r="G9" s="10">
        <v>1011212241.78961</v>
      </c>
      <c r="J9" s="10">
        <v>2015</v>
      </c>
      <c r="K9" s="10">
        <v>8</v>
      </c>
      <c r="L9" s="10">
        <v>1011357147.22866</v>
      </c>
      <c r="O9" s="10">
        <v>2015</v>
      </c>
      <c r="P9" s="10">
        <v>8</v>
      </c>
      <c r="Q9" s="10">
        <v>1009773452.59192</v>
      </c>
      <c r="S9" s="10">
        <v>2015</v>
      </c>
      <c r="T9" s="10">
        <v>8</v>
      </c>
      <c r="U9" s="10">
        <v>1009647092.25021</v>
      </c>
      <c r="W9" s="10">
        <v>2015</v>
      </c>
      <c r="X9" s="10">
        <v>8</v>
      </c>
      <c r="Y9" s="10">
        <v>1009625009.99263</v>
      </c>
      <c r="AA9" s="10">
        <v>2015</v>
      </c>
      <c r="AB9" s="10">
        <v>8</v>
      </c>
      <c r="AC9" s="10">
        <v>1008579344.1787699</v>
      </c>
    </row>
    <row r="10" spans="1:29" x14ac:dyDescent="0.25">
      <c r="A10" s="10">
        <v>2015</v>
      </c>
      <c r="B10" s="10">
        <v>9</v>
      </c>
      <c r="C10" s="10">
        <v>1037107461.64379</v>
      </c>
      <c r="E10" s="10">
        <v>2015</v>
      </c>
      <c r="F10" s="10">
        <v>9</v>
      </c>
      <c r="G10" s="10">
        <v>1037053344.15538</v>
      </c>
      <c r="J10" s="10">
        <v>2015</v>
      </c>
      <c r="K10" s="10">
        <v>9</v>
      </c>
      <c r="L10" s="10">
        <v>1036960474.6759599</v>
      </c>
      <c r="O10" s="10">
        <v>2015</v>
      </c>
      <c r="P10" s="10">
        <v>9</v>
      </c>
      <c r="Q10" s="10">
        <v>1037663432.628</v>
      </c>
      <c r="S10" s="10">
        <v>2015</v>
      </c>
      <c r="T10" s="10">
        <v>9</v>
      </c>
      <c r="U10" s="10">
        <v>1037793832.2177401</v>
      </c>
      <c r="W10" s="10">
        <v>2015</v>
      </c>
      <c r="X10" s="10">
        <v>9</v>
      </c>
      <c r="Y10" s="10">
        <v>1037690342.09103</v>
      </c>
      <c r="AA10" s="10">
        <v>2015</v>
      </c>
      <c r="AB10" s="10">
        <v>9</v>
      </c>
      <c r="AC10" s="10">
        <v>1038166066.20831</v>
      </c>
    </row>
    <row r="11" spans="1:29" x14ac:dyDescent="0.25">
      <c r="A11" s="10">
        <v>2015</v>
      </c>
      <c r="B11" s="10">
        <v>10</v>
      </c>
      <c r="C11" s="10">
        <v>1037496566.8679301</v>
      </c>
      <c r="E11" s="10">
        <v>2015</v>
      </c>
      <c r="F11" s="10">
        <v>10</v>
      </c>
      <c r="G11" s="10">
        <v>1037444877.8636</v>
      </c>
      <c r="J11" s="10">
        <v>2015</v>
      </c>
      <c r="K11" s="10">
        <v>10</v>
      </c>
      <c r="L11" s="10">
        <v>1037415653.05162</v>
      </c>
      <c r="O11" s="10">
        <v>2015</v>
      </c>
      <c r="P11" s="10">
        <v>10</v>
      </c>
      <c r="Q11" s="10">
        <v>1037529808.6884201</v>
      </c>
      <c r="S11" s="10">
        <v>2015</v>
      </c>
      <c r="T11" s="10">
        <v>10</v>
      </c>
      <c r="U11" s="10">
        <v>1037540998.74787</v>
      </c>
      <c r="W11" s="10">
        <v>2015</v>
      </c>
      <c r="X11" s="10">
        <v>10</v>
      </c>
      <c r="Y11" s="10">
        <v>1037545224.48317</v>
      </c>
      <c r="AA11" s="10">
        <v>2015</v>
      </c>
      <c r="AB11" s="10">
        <v>10</v>
      </c>
      <c r="AC11" s="10">
        <v>1037653432.65362</v>
      </c>
    </row>
    <row r="12" spans="1:29" x14ac:dyDescent="0.25">
      <c r="A12" s="10">
        <v>2015</v>
      </c>
      <c r="B12" s="10">
        <v>11</v>
      </c>
      <c r="C12" s="10">
        <v>1024771757.00464</v>
      </c>
      <c r="E12" s="10">
        <v>2015</v>
      </c>
      <c r="F12" s="10">
        <v>11</v>
      </c>
      <c r="G12" s="10">
        <v>1024669276.3160501</v>
      </c>
      <c r="J12" s="10">
        <v>2015</v>
      </c>
      <c r="K12" s="10">
        <v>11</v>
      </c>
      <c r="L12" s="10">
        <v>1024622512.7633899</v>
      </c>
      <c r="O12" s="10">
        <v>2015</v>
      </c>
      <c r="P12" s="10">
        <v>11</v>
      </c>
      <c r="Q12" s="10">
        <v>1024643469.17915</v>
      </c>
      <c r="S12" s="10">
        <v>2015</v>
      </c>
      <c r="T12" s="10">
        <v>11</v>
      </c>
      <c r="U12" s="10">
        <v>1024662552.00412</v>
      </c>
      <c r="W12" s="10">
        <v>2015</v>
      </c>
      <c r="X12" s="10">
        <v>11</v>
      </c>
      <c r="Y12" s="10">
        <v>1024662322.9904799</v>
      </c>
      <c r="AA12" s="10">
        <v>2015</v>
      </c>
      <c r="AB12" s="10">
        <v>11</v>
      </c>
      <c r="AC12" s="10">
        <v>1024712943.3731101</v>
      </c>
    </row>
    <row r="13" spans="1:29" x14ac:dyDescent="0.25">
      <c r="A13" s="10">
        <v>2015</v>
      </c>
      <c r="B13" s="10">
        <v>12</v>
      </c>
      <c r="C13" s="10">
        <v>1006494470.59628</v>
      </c>
      <c r="E13" s="10">
        <v>2015</v>
      </c>
      <c r="F13" s="10">
        <v>12</v>
      </c>
      <c r="G13" s="10">
        <v>1006392664.26976</v>
      </c>
      <c r="J13" s="10">
        <v>2015</v>
      </c>
      <c r="K13" s="10">
        <v>12</v>
      </c>
      <c r="L13" s="10">
        <v>1006317870.07286</v>
      </c>
      <c r="O13" s="10">
        <v>2015</v>
      </c>
      <c r="P13" s="10">
        <v>12</v>
      </c>
      <c r="Q13" s="10">
        <v>1006664454.74421</v>
      </c>
      <c r="S13" s="10">
        <v>2015</v>
      </c>
      <c r="T13" s="10">
        <v>12</v>
      </c>
      <c r="U13" s="10">
        <v>1006742842.21728</v>
      </c>
      <c r="W13" s="10">
        <v>2015</v>
      </c>
      <c r="X13" s="10">
        <v>12</v>
      </c>
      <c r="Y13" s="10">
        <v>1006724701.3536299</v>
      </c>
      <c r="AA13" s="10">
        <v>2015</v>
      </c>
      <c r="AB13" s="10">
        <v>12</v>
      </c>
      <c r="AC13" s="10">
        <v>1007240380.5991</v>
      </c>
    </row>
    <row r="14" spans="1:29" x14ac:dyDescent="0.25">
      <c r="A14" s="10">
        <v>2016</v>
      </c>
      <c r="B14" s="10">
        <v>1</v>
      </c>
      <c r="C14" s="10">
        <v>926131313.50726402</v>
      </c>
      <c r="E14" s="10">
        <v>2016</v>
      </c>
      <c r="F14" s="10">
        <v>1</v>
      </c>
      <c r="G14" s="10">
        <v>926353387.07670903</v>
      </c>
      <c r="J14" s="10">
        <v>2016</v>
      </c>
      <c r="K14" s="10">
        <v>1</v>
      </c>
      <c r="L14" s="10">
        <v>926408127.81409597</v>
      </c>
      <c r="O14" s="10">
        <v>2016</v>
      </c>
      <c r="P14" s="10">
        <v>1</v>
      </c>
      <c r="Q14" s="10">
        <v>926290717.37483597</v>
      </c>
      <c r="S14" s="10">
        <v>2016</v>
      </c>
      <c r="T14" s="10">
        <v>1</v>
      </c>
      <c r="U14" s="10">
        <v>926187076.44761205</v>
      </c>
      <c r="W14" s="10">
        <v>2016</v>
      </c>
      <c r="X14" s="10">
        <v>1</v>
      </c>
      <c r="Y14" s="10">
        <v>926230148.86046398</v>
      </c>
      <c r="AA14" s="10">
        <v>2016</v>
      </c>
      <c r="AB14" s="10">
        <v>1</v>
      </c>
      <c r="AC14" s="10">
        <v>925803850.73289394</v>
      </c>
    </row>
    <row r="15" spans="1:29" x14ac:dyDescent="0.25">
      <c r="A15" s="10">
        <v>2016</v>
      </c>
      <c r="B15" s="10">
        <v>2</v>
      </c>
      <c r="C15" s="10">
        <v>920897389.30936694</v>
      </c>
      <c r="E15" s="10">
        <v>2016</v>
      </c>
      <c r="F15" s="10">
        <v>2</v>
      </c>
      <c r="G15" s="10">
        <v>920976868.54803503</v>
      </c>
      <c r="J15" s="10">
        <v>2016</v>
      </c>
      <c r="K15" s="10">
        <v>2</v>
      </c>
      <c r="L15" s="10">
        <v>920995265.76622701</v>
      </c>
      <c r="O15" s="10">
        <v>2016</v>
      </c>
      <c r="P15" s="10">
        <v>2</v>
      </c>
      <c r="Q15" s="10">
        <v>919793997.22271204</v>
      </c>
      <c r="S15" s="10">
        <v>2016</v>
      </c>
      <c r="T15" s="10">
        <v>2</v>
      </c>
      <c r="U15" s="10">
        <v>919841852.91854203</v>
      </c>
      <c r="W15" s="10">
        <v>2016</v>
      </c>
      <c r="X15" s="10">
        <v>2</v>
      </c>
      <c r="Y15" s="10">
        <v>919829260.31318998</v>
      </c>
      <c r="AA15" s="10">
        <v>2016</v>
      </c>
      <c r="AB15" s="10">
        <v>2</v>
      </c>
      <c r="AC15" s="10">
        <v>920018442.85994697</v>
      </c>
    </row>
    <row r="16" spans="1:29" x14ac:dyDescent="0.25">
      <c r="A16" s="10">
        <v>2016</v>
      </c>
      <c r="B16" s="10">
        <v>3</v>
      </c>
      <c r="C16" s="10">
        <v>920510780.719522</v>
      </c>
      <c r="E16" s="10">
        <v>2016</v>
      </c>
      <c r="F16" s="10">
        <v>3</v>
      </c>
      <c r="G16" s="10">
        <v>920572301.74780095</v>
      </c>
      <c r="J16" s="10">
        <v>2016</v>
      </c>
      <c r="K16" s="10">
        <v>3</v>
      </c>
      <c r="L16" s="10">
        <v>920615605.23986197</v>
      </c>
      <c r="O16" s="10">
        <v>2016</v>
      </c>
      <c r="P16" s="10">
        <v>3</v>
      </c>
      <c r="Q16" s="10">
        <v>920670001.44541705</v>
      </c>
      <c r="S16" s="10">
        <v>2016</v>
      </c>
      <c r="T16" s="10">
        <v>3</v>
      </c>
      <c r="U16" s="10">
        <v>920611790.35186601</v>
      </c>
      <c r="W16" s="10">
        <v>2016</v>
      </c>
      <c r="X16" s="10">
        <v>3</v>
      </c>
      <c r="Y16" s="10">
        <v>920714756.86281896</v>
      </c>
      <c r="AA16" s="10">
        <v>2016</v>
      </c>
      <c r="AB16" s="10">
        <v>3</v>
      </c>
      <c r="AC16" s="10">
        <v>920397466.49616206</v>
      </c>
    </row>
    <row r="17" spans="1:29" x14ac:dyDescent="0.25">
      <c r="A17" s="10">
        <v>2016</v>
      </c>
      <c r="B17" s="10">
        <v>4</v>
      </c>
      <c r="C17" s="10">
        <v>818778605.77819097</v>
      </c>
      <c r="E17" s="10">
        <v>2016</v>
      </c>
      <c r="F17" s="10">
        <v>4</v>
      </c>
      <c r="G17" s="10">
        <v>818801867.94038904</v>
      </c>
      <c r="J17" s="10">
        <v>2016</v>
      </c>
      <c r="K17" s="10">
        <v>4</v>
      </c>
      <c r="L17" s="10">
        <v>818822931.856233</v>
      </c>
      <c r="O17" s="10">
        <v>2016</v>
      </c>
      <c r="P17" s="10">
        <v>4</v>
      </c>
      <c r="Q17" s="10">
        <v>818763898.35617602</v>
      </c>
      <c r="S17" s="10">
        <v>2016</v>
      </c>
      <c r="T17" s="10">
        <v>4</v>
      </c>
      <c r="U17" s="10">
        <v>818766347.06639695</v>
      </c>
      <c r="W17" s="10">
        <v>2016</v>
      </c>
      <c r="X17" s="10">
        <v>4</v>
      </c>
      <c r="Y17" s="10">
        <v>818763518.03916097</v>
      </c>
      <c r="AA17" s="10">
        <v>2016</v>
      </c>
      <c r="AB17" s="10">
        <v>4</v>
      </c>
      <c r="AC17" s="10">
        <v>819085817.59669805</v>
      </c>
    </row>
    <row r="18" spans="1:29" x14ac:dyDescent="0.25">
      <c r="A18" s="10">
        <v>2016</v>
      </c>
      <c r="B18" s="10">
        <v>5</v>
      </c>
      <c r="C18" s="10">
        <v>806381246.46851897</v>
      </c>
      <c r="E18" s="10">
        <v>2016</v>
      </c>
      <c r="F18" s="10">
        <v>5</v>
      </c>
      <c r="G18" s="10">
        <v>806385678.32760501</v>
      </c>
      <c r="J18" s="10">
        <v>2016</v>
      </c>
      <c r="K18" s="10">
        <v>5</v>
      </c>
      <c r="L18" s="10">
        <v>806394600.03456604</v>
      </c>
      <c r="O18" s="10">
        <v>2016</v>
      </c>
      <c r="P18" s="10">
        <v>5</v>
      </c>
      <c r="Q18" s="10">
        <v>806280208.23450601</v>
      </c>
      <c r="S18" s="10">
        <v>2016</v>
      </c>
      <c r="T18" s="10">
        <v>5</v>
      </c>
      <c r="U18" s="10">
        <v>806268243.55314398</v>
      </c>
      <c r="W18" s="10">
        <v>2016</v>
      </c>
      <c r="X18" s="10">
        <v>5</v>
      </c>
      <c r="Y18" s="10">
        <v>806273696.65863204</v>
      </c>
      <c r="AA18" s="10">
        <v>2016</v>
      </c>
      <c r="AB18" s="10">
        <v>5</v>
      </c>
      <c r="AC18" s="10">
        <v>806189468.65919697</v>
      </c>
    </row>
    <row r="19" spans="1:29" x14ac:dyDescent="0.25">
      <c r="A19" s="10">
        <v>2016</v>
      </c>
      <c r="B19" s="10">
        <v>6</v>
      </c>
      <c r="C19" s="10">
        <v>818499950.19855201</v>
      </c>
      <c r="E19" s="10">
        <v>2016</v>
      </c>
      <c r="F19" s="10">
        <v>6</v>
      </c>
      <c r="G19" s="10">
        <v>818479848.44098198</v>
      </c>
      <c r="J19" s="10">
        <v>2016</v>
      </c>
      <c r="K19" s="10">
        <v>6</v>
      </c>
      <c r="L19" s="10">
        <v>818462310.72112405</v>
      </c>
      <c r="O19" s="10">
        <v>2016</v>
      </c>
      <c r="P19" s="10">
        <v>6</v>
      </c>
      <c r="Q19" s="10">
        <v>818563719.70327604</v>
      </c>
      <c r="S19" s="10">
        <v>2016</v>
      </c>
      <c r="T19" s="10">
        <v>6</v>
      </c>
      <c r="U19" s="10">
        <v>818575284.68492401</v>
      </c>
      <c r="W19" s="10">
        <v>2016</v>
      </c>
      <c r="X19" s="10">
        <v>6</v>
      </c>
      <c r="Y19" s="10">
        <v>818569726.22805905</v>
      </c>
      <c r="AA19" s="10">
        <v>2016</v>
      </c>
      <c r="AB19" s="10">
        <v>6</v>
      </c>
      <c r="AC19" s="10">
        <v>818730515.92688501</v>
      </c>
    </row>
    <row r="20" spans="1:29" x14ac:dyDescent="0.25">
      <c r="A20" s="10">
        <v>2016</v>
      </c>
      <c r="B20" s="10">
        <v>7</v>
      </c>
      <c r="C20" s="10">
        <v>820279041.76427102</v>
      </c>
      <c r="E20" s="10">
        <v>2016</v>
      </c>
      <c r="F20" s="10">
        <v>7</v>
      </c>
      <c r="G20" s="10">
        <v>820269266.76271904</v>
      </c>
      <c r="J20" s="10">
        <v>2016</v>
      </c>
      <c r="K20" s="10">
        <v>7</v>
      </c>
      <c r="L20" s="10">
        <v>820306735.26459801</v>
      </c>
      <c r="O20" s="10">
        <v>2016</v>
      </c>
      <c r="P20" s="10">
        <v>7</v>
      </c>
      <c r="Q20" s="10">
        <v>819920475.54456997</v>
      </c>
      <c r="S20" s="10">
        <v>2016</v>
      </c>
      <c r="T20" s="10">
        <v>7</v>
      </c>
      <c r="U20" s="10">
        <v>819864060.79109597</v>
      </c>
      <c r="W20" s="10">
        <v>2016</v>
      </c>
      <c r="X20" s="10">
        <v>7</v>
      </c>
      <c r="Y20" s="10">
        <v>819880020.39032602</v>
      </c>
      <c r="AA20" s="10">
        <v>2016</v>
      </c>
      <c r="AB20" s="10">
        <v>7</v>
      </c>
      <c r="AC20" s="10">
        <v>819392389.58677804</v>
      </c>
    </row>
    <row r="21" spans="1:29" x14ac:dyDescent="0.25">
      <c r="A21" s="10">
        <v>2016</v>
      </c>
      <c r="B21" s="10">
        <v>8</v>
      </c>
      <c r="C21" s="10">
        <v>853016567.634516</v>
      </c>
      <c r="E21" s="10">
        <v>2016</v>
      </c>
      <c r="F21" s="10">
        <v>8</v>
      </c>
      <c r="G21" s="10">
        <v>853028461.03065205</v>
      </c>
      <c r="J21" s="10">
        <v>2016</v>
      </c>
      <c r="K21" s="10">
        <v>8</v>
      </c>
      <c r="L21" s="10">
        <v>853079541.61297703</v>
      </c>
      <c r="O21" s="10">
        <v>2016</v>
      </c>
      <c r="P21" s="10">
        <v>8</v>
      </c>
      <c r="Q21" s="10">
        <v>852327570.77739406</v>
      </c>
      <c r="S21" s="10">
        <v>2016</v>
      </c>
      <c r="T21" s="10">
        <v>8</v>
      </c>
      <c r="U21" s="10">
        <v>852285181.25733602</v>
      </c>
      <c r="W21" s="10">
        <v>2016</v>
      </c>
      <c r="X21" s="10">
        <v>8</v>
      </c>
      <c r="Y21" s="10">
        <v>852236778.71224296</v>
      </c>
      <c r="AA21" s="10">
        <v>2016</v>
      </c>
      <c r="AB21" s="10">
        <v>8</v>
      </c>
      <c r="AC21" s="10">
        <v>851961475.11885297</v>
      </c>
    </row>
    <row r="22" spans="1:29" x14ac:dyDescent="0.25">
      <c r="A22" s="10">
        <v>2016</v>
      </c>
      <c r="B22" s="10">
        <v>9</v>
      </c>
      <c r="C22" s="10">
        <v>864800066.77413595</v>
      </c>
      <c r="E22" s="10">
        <v>2016</v>
      </c>
      <c r="F22" s="10">
        <v>9</v>
      </c>
      <c r="G22" s="10">
        <v>864748599.27634597</v>
      </c>
      <c r="J22" s="10">
        <v>2016</v>
      </c>
      <c r="K22" s="10">
        <v>9</v>
      </c>
      <c r="L22" s="10">
        <v>864658237.122751</v>
      </c>
      <c r="O22" s="10">
        <v>2016</v>
      </c>
      <c r="P22" s="10">
        <v>9</v>
      </c>
      <c r="Q22" s="10">
        <v>865360156.35477495</v>
      </c>
      <c r="S22" s="10">
        <v>2016</v>
      </c>
      <c r="T22" s="10">
        <v>9</v>
      </c>
      <c r="U22" s="10">
        <v>865477443.58868897</v>
      </c>
      <c r="W22" s="10">
        <v>2016</v>
      </c>
      <c r="X22" s="10">
        <v>9</v>
      </c>
      <c r="Y22" s="10">
        <v>865383171.65290797</v>
      </c>
      <c r="AA22" s="10">
        <v>2016</v>
      </c>
      <c r="AB22" s="10">
        <v>9</v>
      </c>
      <c r="AC22" s="10">
        <v>865865579.88641596</v>
      </c>
    </row>
    <row r="23" spans="1:29" x14ac:dyDescent="0.25">
      <c r="A23" s="10">
        <v>2016</v>
      </c>
      <c r="B23" s="10">
        <v>10</v>
      </c>
      <c r="C23" s="10">
        <v>848825295.56011295</v>
      </c>
      <c r="E23" s="10">
        <v>2016</v>
      </c>
      <c r="F23" s="10">
        <v>10</v>
      </c>
      <c r="G23" s="10">
        <v>848795047.591066</v>
      </c>
      <c r="J23" s="10">
        <v>2016</v>
      </c>
      <c r="K23" s="10">
        <v>10</v>
      </c>
      <c r="L23" s="10">
        <v>848813676.31725395</v>
      </c>
      <c r="O23" s="10">
        <v>2016</v>
      </c>
      <c r="P23" s="10">
        <v>10</v>
      </c>
      <c r="Q23" s="10">
        <v>848551988.36022699</v>
      </c>
      <c r="S23" s="10">
        <v>2016</v>
      </c>
      <c r="T23" s="10">
        <v>10</v>
      </c>
      <c r="U23" s="10">
        <v>848512591.22352195</v>
      </c>
      <c r="W23" s="10">
        <v>2016</v>
      </c>
      <c r="X23" s="10">
        <v>10</v>
      </c>
      <c r="Y23" s="10">
        <v>848533532.73046005</v>
      </c>
      <c r="AA23" s="10">
        <v>2016</v>
      </c>
      <c r="AB23" s="10">
        <v>10</v>
      </c>
      <c r="AC23" s="10">
        <v>848235575.17473304</v>
      </c>
    </row>
    <row r="24" spans="1:29" x14ac:dyDescent="0.25">
      <c r="A24" s="10">
        <v>2016</v>
      </c>
      <c r="B24" s="10">
        <v>11</v>
      </c>
      <c r="C24" s="10">
        <v>830479853.57945395</v>
      </c>
      <c r="E24" s="10">
        <v>2016</v>
      </c>
      <c r="F24" s="10">
        <v>11</v>
      </c>
      <c r="G24" s="10">
        <v>830378564.83517206</v>
      </c>
      <c r="J24" s="10">
        <v>2016</v>
      </c>
      <c r="K24" s="10">
        <v>11</v>
      </c>
      <c r="L24" s="10">
        <v>830295005.82103503</v>
      </c>
      <c r="O24" s="10">
        <v>2016</v>
      </c>
      <c r="P24" s="10">
        <v>11</v>
      </c>
      <c r="Q24" s="10">
        <v>830654959.15556395</v>
      </c>
      <c r="S24" s="10">
        <v>2016</v>
      </c>
      <c r="T24" s="10">
        <v>11</v>
      </c>
      <c r="U24" s="10">
        <v>830702266.45293105</v>
      </c>
      <c r="W24" s="10">
        <v>2016</v>
      </c>
      <c r="X24" s="10">
        <v>11</v>
      </c>
      <c r="Y24" s="10">
        <v>830689232.22165</v>
      </c>
      <c r="AA24" s="10">
        <v>2016</v>
      </c>
      <c r="AB24" s="10">
        <v>11</v>
      </c>
      <c r="AC24" s="10">
        <v>831067310.95299399</v>
      </c>
    </row>
    <row r="25" spans="1:29" x14ac:dyDescent="0.25">
      <c r="A25" s="10">
        <v>2016</v>
      </c>
      <c r="B25" s="10">
        <v>12</v>
      </c>
      <c r="C25" s="10">
        <v>850357679.58873701</v>
      </c>
      <c r="E25" s="10">
        <v>2016</v>
      </c>
      <c r="F25" s="10">
        <v>12</v>
      </c>
      <c r="G25" s="10">
        <v>850281947.76416194</v>
      </c>
      <c r="J25" s="10">
        <v>2016</v>
      </c>
      <c r="K25" s="10">
        <v>12</v>
      </c>
      <c r="L25" s="10">
        <v>850247073.88038802</v>
      </c>
      <c r="O25" s="10">
        <v>2016</v>
      </c>
      <c r="P25" s="10">
        <v>12</v>
      </c>
      <c r="Q25" s="10">
        <v>850270533.89489603</v>
      </c>
      <c r="S25" s="10">
        <v>2016</v>
      </c>
      <c r="T25" s="10">
        <v>12</v>
      </c>
      <c r="U25" s="10">
        <v>850300748.30898499</v>
      </c>
      <c r="W25" s="10">
        <v>2016</v>
      </c>
      <c r="X25" s="10">
        <v>12</v>
      </c>
      <c r="Y25" s="10">
        <v>850298687.37309599</v>
      </c>
      <c r="AA25" s="10">
        <v>2016</v>
      </c>
      <c r="AB25" s="10">
        <v>12</v>
      </c>
      <c r="AC25" s="10">
        <v>850441302.71900702</v>
      </c>
    </row>
    <row r="26" spans="1:29" x14ac:dyDescent="0.25">
      <c r="A26" s="10">
        <v>2017</v>
      </c>
      <c r="B26" s="10">
        <v>1</v>
      </c>
      <c r="C26" s="10">
        <v>833095848.78081906</v>
      </c>
      <c r="E26" s="10">
        <v>2017</v>
      </c>
      <c r="F26" s="10">
        <v>1</v>
      </c>
      <c r="G26" s="10">
        <v>833265588.51534402</v>
      </c>
      <c r="J26" s="10">
        <v>2017</v>
      </c>
      <c r="K26" s="10">
        <v>1</v>
      </c>
      <c r="L26" s="10">
        <v>833270709.75460303</v>
      </c>
      <c r="O26" s="10">
        <v>2017</v>
      </c>
      <c r="P26" s="10">
        <v>1</v>
      </c>
      <c r="Q26" s="10">
        <v>833448706.49628305</v>
      </c>
      <c r="S26" s="10">
        <v>2017</v>
      </c>
      <c r="T26" s="10">
        <v>1</v>
      </c>
      <c r="U26" s="10">
        <v>833373544.24107897</v>
      </c>
      <c r="W26" s="10">
        <v>2017</v>
      </c>
      <c r="X26" s="10">
        <v>1</v>
      </c>
      <c r="Y26" s="10">
        <v>833406668.81470203</v>
      </c>
      <c r="AA26" s="10">
        <v>2017</v>
      </c>
      <c r="AB26" s="10">
        <v>1</v>
      </c>
      <c r="AC26" s="10">
        <v>833221310.36571503</v>
      </c>
    </row>
    <row r="27" spans="1:29" x14ac:dyDescent="0.25">
      <c r="A27" s="10">
        <v>2017</v>
      </c>
      <c r="B27" s="10">
        <v>2</v>
      </c>
      <c r="C27" s="10">
        <v>841723199.45155895</v>
      </c>
      <c r="E27" s="10">
        <v>2017</v>
      </c>
      <c r="F27" s="10">
        <v>2</v>
      </c>
      <c r="G27" s="10">
        <v>841721129.81207502</v>
      </c>
      <c r="J27" s="10">
        <v>2017</v>
      </c>
      <c r="K27" s="10">
        <v>2</v>
      </c>
      <c r="L27" s="10">
        <v>841748759.26832795</v>
      </c>
      <c r="O27" s="10">
        <v>2017</v>
      </c>
      <c r="P27" s="10">
        <v>2</v>
      </c>
      <c r="Q27" s="10">
        <v>842448265.62302601</v>
      </c>
      <c r="S27" s="10">
        <v>2017</v>
      </c>
      <c r="T27" s="10">
        <v>2</v>
      </c>
      <c r="U27" s="10">
        <v>842539128.015975</v>
      </c>
      <c r="W27" s="10">
        <v>2017</v>
      </c>
      <c r="X27" s="10">
        <v>2</v>
      </c>
      <c r="Y27" s="10">
        <v>842524656.37966096</v>
      </c>
      <c r="AA27" s="10">
        <v>2017</v>
      </c>
      <c r="AB27" s="10">
        <v>2</v>
      </c>
      <c r="AC27" s="10">
        <v>842780874.82655501</v>
      </c>
    </row>
    <row r="28" spans="1:29" x14ac:dyDescent="0.25">
      <c r="A28" s="10">
        <v>2017</v>
      </c>
      <c r="B28" s="10">
        <v>3</v>
      </c>
      <c r="C28" s="10">
        <v>838965102.49272501</v>
      </c>
      <c r="E28" s="10">
        <v>2017</v>
      </c>
      <c r="F28" s="10">
        <v>3</v>
      </c>
      <c r="G28" s="10">
        <v>839011361.70498002</v>
      </c>
      <c r="J28" s="10">
        <v>2017</v>
      </c>
      <c r="K28" s="10">
        <v>3</v>
      </c>
      <c r="L28" s="10">
        <v>839060926.75697994</v>
      </c>
      <c r="O28" s="10">
        <v>2017</v>
      </c>
      <c r="P28" s="10">
        <v>3</v>
      </c>
      <c r="Q28" s="10">
        <v>839090945.84535503</v>
      </c>
      <c r="S28" s="10">
        <v>2017</v>
      </c>
      <c r="T28" s="10">
        <v>3</v>
      </c>
      <c r="U28" s="10">
        <v>839031167.82480597</v>
      </c>
      <c r="W28" s="10">
        <v>2017</v>
      </c>
      <c r="X28" s="10">
        <v>3</v>
      </c>
      <c r="Y28" s="10">
        <v>839137499.56705105</v>
      </c>
      <c r="AA28" s="10">
        <v>2017</v>
      </c>
      <c r="AB28" s="10">
        <v>3</v>
      </c>
      <c r="AC28" s="10">
        <v>838681282.22280002</v>
      </c>
    </row>
    <row r="29" spans="1:29" x14ac:dyDescent="0.25">
      <c r="A29" s="10">
        <v>2017</v>
      </c>
      <c r="B29" s="10">
        <v>4</v>
      </c>
      <c r="C29" s="10">
        <v>832744936.46199298</v>
      </c>
      <c r="E29" s="10">
        <v>2017</v>
      </c>
      <c r="F29" s="10">
        <v>4</v>
      </c>
      <c r="G29" s="10">
        <v>832767741.59822404</v>
      </c>
      <c r="J29" s="10">
        <v>2017</v>
      </c>
      <c r="K29" s="10">
        <v>4</v>
      </c>
      <c r="L29" s="10">
        <v>832827944.76333201</v>
      </c>
      <c r="O29" s="10">
        <v>2017</v>
      </c>
      <c r="P29" s="10">
        <v>4</v>
      </c>
      <c r="Q29" s="10">
        <v>832472471.53558195</v>
      </c>
      <c r="S29" s="10">
        <v>2017</v>
      </c>
      <c r="T29" s="10">
        <v>4</v>
      </c>
      <c r="U29" s="10">
        <v>832453892.06910002</v>
      </c>
      <c r="W29" s="10">
        <v>2017</v>
      </c>
      <c r="X29" s="10">
        <v>4</v>
      </c>
      <c r="Y29" s="10">
        <v>832456560.55966699</v>
      </c>
      <c r="AA29" s="10">
        <v>2017</v>
      </c>
      <c r="AB29" s="10">
        <v>4</v>
      </c>
      <c r="AC29" s="10">
        <v>832703256.26312101</v>
      </c>
    </row>
    <row r="30" spans="1:29" x14ac:dyDescent="0.25">
      <c r="A30" s="10">
        <v>2017</v>
      </c>
      <c r="B30" s="10">
        <v>5</v>
      </c>
      <c r="C30" s="10">
        <v>847036651.44730997</v>
      </c>
      <c r="E30" s="10">
        <v>2017</v>
      </c>
      <c r="F30" s="10">
        <v>5</v>
      </c>
      <c r="G30" s="10">
        <v>847027236.71609902</v>
      </c>
      <c r="J30" s="10">
        <v>2017</v>
      </c>
      <c r="K30" s="10">
        <v>5</v>
      </c>
      <c r="L30" s="10">
        <v>846994635.13160598</v>
      </c>
      <c r="O30" s="10">
        <v>2017</v>
      </c>
      <c r="P30" s="10">
        <v>5</v>
      </c>
      <c r="Q30" s="10">
        <v>847177390.69467103</v>
      </c>
      <c r="S30" s="10">
        <v>2017</v>
      </c>
      <c r="T30" s="10">
        <v>5</v>
      </c>
      <c r="U30" s="10">
        <v>847204735.55724597</v>
      </c>
      <c r="W30" s="10">
        <v>2017</v>
      </c>
      <c r="X30" s="10">
        <v>5</v>
      </c>
      <c r="Y30" s="10">
        <v>847191014.27399302</v>
      </c>
      <c r="AA30" s="10">
        <v>2017</v>
      </c>
      <c r="AB30" s="10">
        <v>5</v>
      </c>
      <c r="AC30" s="10">
        <v>847368690.58603597</v>
      </c>
    </row>
    <row r="31" spans="1:29" x14ac:dyDescent="0.25">
      <c r="A31" s="10">
        <v>2017</v>
      </c>
      <c r="B31" s="10">
        <v>6</v>
      </c>
      <c r="C31" s="10">
        <v>839867511.15489399</v>
      </c>
      <c r="E31" s="10">
        <v>2017</v>
      </c>
      <c r="F31" s="10">
        <v>6</v>
      </c>
      <c r="G31" s="10">
        <v>839852032.49789095</v>
      </c>
      <c r="J31" s="10">
        <v>2017</v>
      </c>
      <c r="K31" s="10">
        <v>6</v>
      </c>
      <c r="L31" s="10">
        <v>839829665.49359202</v>
      </c>
      <c r="O31" s="10">
        <v>2017</v>
      </c>
      <c r="P31" s="10">
        <v>6</v>
      </c>
      <c r="Q31" s="10">
        <v>839942450.12609398</v>
      </c>
      <c r="S31" s="10">
        <v>2017</v>
      </c>
      <c r="T31" s="10">
        <v>6</v>
      </c>
      <c r="U31" s="10">
        <v>839964300.52554297</v>
      </c>
      <c r="W31" s="10">
        <v>2017</v>
      </c>
      <c r="X31" s="10">
        <v>6</v>
      </c>
      <c r="Y31" s="10">
        <v>839951279.87018299</v>
      </c>
      <c r="AA31" s="10">
        <v>2017</v>
      </c>
      <c r="AB31" s="10">
        <v>6</v>
      </c>
      <c r="AC31" s="10">
        <v>840120357.94645596</v>
      </c>
    </row>
    <row r="32" spans="1:29" x14ac:dyDescent="0.25">
      <c r="A32" s="10">
        <v>2017</v>
      </c>
      <c r="B32" s="10">
        <v>7</v>
      </c>
      <c r="C32" s="10">
        <v>839274343.88847196</v>
      </c>
      <c r="E32" s="10">
        <v>2017</v>
      </c>
      <c r="F32" s="10">
        <v>7</v>
      </c>
      <c r="G32" s="10">
        <v>839277742.26185203</v>
      </c>
      <c r="J32" s="10">
        <v>2017</v>
      </c>
      <c r="K32" s="10">
        <v>7</v>
      </c>
      <c r="L32" s="10">
        <v>839322960.34994698</v>
      </c>
      <c r="O32" s="10">
        <v>2017</v>
      </c>
      <c r="P32" s="10">
        <v>7</v>
      </c>
      <c r="Q32" s="10">
        <v>838846087.88165295</v>
      </c>
      <c r="S32" s="10">
        <v>2017</v>
      </c>
      <c r="T32" s="10">
        <v>7</v>
      </c>
      <c r="U32" s="10">
        <v>838792381.78519905</v>
      </c>
      <c r="W32" s="10">
        <v>2017</v>
      </c>
      <c r="X32" s="10">
        <v>7</v>
      </c>
      <c r="Y32" s="10">
        <v>838805897.72610795</v>
      </c>
      <c r="AA32" s="10">
        <v>2017</v>
      </c>
      <c r="AB32" s="10">
        <v>7</v>
      </c>
      <c r="AC32" s="10">
        <v>838271581.29722297</v>
      </c>
    </row>
    <row r="33" spans="1:29" x14ac:dyDescent="0.25">
      <c r="A33" s="10">
        <v>2017</v>
      </c>
      <c r="B33" s="10">
        <v>8</v>
      </c>
      <c r="C33" s="10">
        <v>826754420.83687401</v>
      </c>
      <c r="E33" s="10">
        <v>2017</v>
      </c>
      <c r="F33" s="10">
        <v>8</v>
      </c>
      <c r="G33" s="10">
        <v>826762733.93309999</v>
      </c>
      <c r="J33" s="10">
        <v>2017</v>
      </c>
      <c r="K33" s="10">
        <v>8</v>
      </c>
      <c r="L33" s="10">
        <v>826786098.85002303</v>
      </c>
      <c r="O33" s="10">
        <v>2017</v>
      </c>
      <c r="P33" s="10">
        <v>8</v>
      </c>
      <c r="Q33" s="10">
        <v>826313248.76721799</v>
      </c>
      <c r="S33" s="10">
        <v>2017</v>
      </c>
      <c r="T33" s="10">
        <v>8</v>
      </c>
      <c r="U33" s="10">
        <v>826304905.38015902</v>
      </c>
      <c r="W33" s="10">
        <v>2017</v>
      </c>
      <c r="X33" s="10">
        <v>8</v>
      </c>
      <c r="Y33" s="10">
        <v>826259280.43166399</v>
      </c>
      <c r="AA33" s="10">
        <v>2017</v>
      </c>
      <c r="AB33" s="10">
        <v>8</v>
      </c>
      <c r="AC33" s="10">
        <v>826133858.93230903</v>
      </c>
    </row>
    <row r="34" spans="1:29" x14ac:dyDescent="0.25">
      <c r="A34" s="10">
        <v>2017</v>
      </c>
      <c r="B34" s="10">
        <v>9</v>
      </c>
      <c r="C34" s="10">
        <v>828427579.46399605</v>
      </c>
      <c r="E34" s="10">
        <v>2017</v>
      </c>
      <c r="F34" s="10">
        <v>9</v>
      </c>
      <c r="G34" s="10">
        <v>828384333.59088898</v>
      </c>
      <c r="J34" s="10">
        <v>2017</v>
      </c>
      <c r="K34" s="10">
        <v>9</v>
      </c>
      <c r="L34" s="10">
        <v>828340313.891904</v>
      </c>
      <c r="O34" s="10">
        <v>2017</v>
      </c>
      <c r="P34" s="10">
        <v>9</v>
      </c>
      <c r="Q34" s="10">
        <v>828908137.97297001</v>
      </c>
      <c r="S34" s="10">
        <v>2017</v>
      </c>
      <c r="T34" s="10">
        <v>9</v>
      </c>
      <c r="U34" s="10">
        <v>828899914.91679597</v>
      </c>
      <c r="W34" s="10">
        <v>2017</v>
      </c>
      <c r="X34" s="10">
        <v>9</v>
      </c>
      <c r="Y34" s="10">
        <v>828851251.54468596</v>
      </c>
      <c r="AA34" s="10">
        <v>2017</v>
      </c>
      <c r="AB34" s="10">
        <v>9</v>
      </c>
      <c r="AC34" s="10">
        <v>828932625.63810396</v>
      </c>
    </row>
    <row r="35" spans="1:29" x14ac:dyDescent="0.25">
      <c r="A35" s="10">
        <v>2017</v>
      </c>
      <c r="B35" s="10">
        <v>10</v>
      </c>
      <c r="C35" s="10">
        <v>839089971.647614</v>
      </c>
      <c r="E35" s="10">
        <v>2017</v>
      </c>
      <c r="F35" s="10">
        <v>10</v>
      </c>
      <c r="G35" s="10">
        <v>839066244.989797</v>
      </c>
      <c r="J35" s="10">
        <v>2017</v>
      </c>
      <c r="K35" s="10">
        <v>10</v>
      </c>
      <c r="L35" s="10">
        <v>839055392.24692404</v>
      </c>
      <c r="O35" s="10">
        <v>2017</v>
      </c>
      <c r="P35" s="10">
        <v>10</v>
      </c>
      <c r="Q35" s="10">
        <v>838993336.23905897</v>
      </c>
      <c r="S35" s="10">
        <v>2017</v>
      </c>
      <c r="T35" s="10">
        <v>10</v>
      </c>
      <c r="U35" s="10">
        <v>838984622.58723497</v>
      </c>
      <c r="W35" s="10">
        <v>2017</v>
      </c>
      <c r="X35" s="10">
        <v>10</v>
      </c>
      <c r="Y35" s="10">
        <v>838993674.03004098</v>
      </c>
      <c r="AA35" s="10">
        <v>2017</v>
      </c>
      <c r="AB35" s="10">
        <v>10</v>
      </c>
      <c r="AC35" s="10">
        <v>838968666.55503094</v>
      </c>
    </row>
    <row r="36" spans="1:29" x14ac:dyDescent="0.25">
      <c r="A36" s="10">
        <v>2017</v>
      </c>
      <c r="B36" s="10">
        <v>11</v>
      </c>
      <c r="C36" s="10">
        <v>864982854.97941995</v>
      </c>
      <c r="E36" s="10">
        <v>2017</v>
      </c>
      <c r="F36" s="10">
        <v>11</v>
      </c>
      <c r="G36" s="10">
        <v>864908441.74572301</v>
      </c>
      <c r="J36" s="10">
        <v>2017</v>
      </c>
      <c r="K36" s="10">
        <v>11</v>
      </c>
      <c r="L36" s="10">
        <v>864835252.71646202</v>
      </c>
      <c r="O36" s="10">
        <v>2017</v>
      </c>
      <c r="P36" s="10">
        <v>11</v>
      </c>
      <c r="Q36" s="10">
        <v>865117978.62424803</v>
      </c>
      <c r="S36" s="10">
        <v>2017</v>
      </c>
      <c r="T36" s="10">
        <v>11</v>
      </c>
      <c r="U36" s="10">
        <v>865154312.70037198</v>
      </c>
      <c r="W36" s="10">
        <v>2017</v>
      </c>
      <c r="X36" s="10">
        <v>11</v>
      </c>
      <c r="Y36" s="10">
        <v>865144022.35890305</v>
      </c>
      <c r="AA36" s="10">
        <v>2017</v>
      </c>
      <c r="AB36" s="10">
        <v>11</v>
      </c>
      <c r="AC36" s="10">
        <v>865466339.34201002</v>
      </c>
    </row>
    <row r="37" spans="1:29" x14ac:dyDescent="0.25">
      <c r="A37" s="10">
        <v>2017</v>
      </c>
      <c r="B37" s="10">
        <v>12</v>
      </c>
      <c r="C37" s="10">
        <v>870546176.45250905</v>
      </c>
      <c r="E37" s="10">
        <v>2017</v>
      </c>
      <c r="F37" s="10">
        <v>12</v>
      </c>
      <c r="G37" s="10">
        <v>870510375.96533406</v>
      </c>
      <c r="J37" s="10">
        <v>2017</v>
      </c>
      <c r="K37" s="10">
        <v>12</v>
      </c>
      <c r="L37" s="10">
        <v>870520696.72650802</v>
      </c>
      <c r="O37" s="10">
        <v>2017</v>
      </c>
      <c r="P37" s="10">
        <v>12</v>
      </c>
      <c r="Q37" s="10">
        <v>870201842.48858297</v>
      </c>
      <c r="S37" s="10">
        <v>2017</v>
      </c>
      <c r="T37" s="10">
        <v>12</v>
      </c>
      <c r="U37" s="10">
        <v>870180446.70183206</v>
      </c>
      <c r="W37" s="10">
        <v>2017</v>
      </c>
      <c r="X37" s="10">
        <v>12</v>
      </c>
      <c r="Y37" s="10">
        <v>870193391.77406502</v>
      </c>
      <c r="AA37" s="10">
        <v>2017</v>
      </c>
      <c r="AB37" s="10">
        <v>12</v>
      </c>
      <c r="AC37" s="10">
        <v>869941298.02033103</v>
      </c>
    </row>
    <row r="38" spans="1:29" x14ac:dyDescent="0.25">
      <c r="A38" s="10">
        <v>2018</v>
      </c>
      <c r="B38" s="10">
        <v>1</v>
      </c>
      <c r="C38" s="10">
        <v>906380237.95177698</v>
      </c>
      <c r="E38" s="10">
        <v>2018</v>
      </c>
      <c r="F38" s="10">
        <v>1</v>
      </c>
      <c r="G38" s="10">
        <v>906471351.46576703</v>
      </c>
      <c r="J38" s="10">
        <v>2018</v>
      </c>
      <c r="K38" s="10">
        <v>1</v>
      </c>
      <c r="L38" s="10">
        <v>906425125.19729102</v>
      </c>
      <c r="O38" s="10">
        <v>2018</v>
      </c>
      <c r="P38" s="10">
        <v>1</v>
      </c>
      <c r="Q38" s="10">
        <v>906860656.41098106</v>
      </c>
      <c r="S38" s="10">
        <v>2018</v>
      </c>
      <c r="T38" s="10">
        <v>1</v>
      </c>
      <c r="U38" s="10">
        <v>906828214.44327199</v>
      </c>
      <c r="W38" s="10">
        <v>2018</v>
      </c>
      <c r="X38" s="10">
        <v>1</v>
      </c>
      <c r="Y38" s="10">
        <v>906845502.86704803</v>
      </c>
      <c r="AA38" s="10">
        <v>2018</v>
      </c>
      <c r="AB38" s="10">
        <v>1</v>
      </c>
      <c r="AC38" s="10">
        <v>906928100.25891995</v>
      </c>
    </row>
    <row r="39" spans="1:29" x14ac:dyDescent="0.25">
      <c r="A39" s="10">
        <v>2018</v>
      </c>
      <c r="B39" s="10">
        <v>2</v>
      </c>
      <c r="C39" s="10">
        <v>899956942.66532695</v>
      </c>
      <c r="E39" s="10">
        <v>2018</v>
      </c>
      <c r="F39" s="10">
        <v>2</v>
      </c>
      <c r="G39" s="10">
        <v>899949897.970052</v>
      </c>
      <c r="J39" s="10">
        <v>2018</v>
      </c>
      <c r="K39" s="10">
        <v>2</v>
      </c>
      <c r="L39" s="10">
        <v>899977963.48694897</v>
      </c>
      <c r="O39" s="10">
        <v>2018</v>
      </c>
      <c r="P39" s="10">
        <v>2</v>
      </c>
      <c r="Q39" s="10">
        <v>900493984.22972202</v>
      </c>
      <c r="S39" s="10">
        <v>2018</v>
      </c>
      <c r="T39" s="10">
        <v>2</v>
      </c>
      <c r="U39" s="10">
        <v>900626430.053195</v>
      </c>
      <c r="W39" s="10">
        <v>2018</v>
      </c>
      <c r="X39" s="10">
        <v>2</v>
      </c>
      <c r="Y39" s="10">
        <v>900602074.79485703</v>
      </c>
      <c r="AA39" s="10">
        <v>2018</v>
      </c>
      <c r="AB39" s="10">
        <v>2</v>
      </c>
      <c r="AC39" s="10">
        <v>900941910.62409103</v>
      </c>
    </row>
    <row r="40" spans="1:29" x14ac:dyDescent="0.25">
      <c r="A40" s="10">
        <v>2018</v>
      </c>
      <c r="B40" s="10">
        <v>3</v>
      </c>
      <c r="C40" s="10">
        <v>918949322.09877706</v>
      </c>
      <c r="E40" s="10">
        <v>2018</v>
      </c>
      <c r="F40" s="10">
        <v>3</v>
      </c>
      <c r="G40" s="10">
        <v>918979246.75279498</v>
      </c>
      <c r="J40" s="10">
        <v>2018</v>
      </c>
      <c r="K40" s="10">
        <v>3</v>
      </c>
      <c r="L40" s="10">
        <v>919067676.57691503</v>
      </c>
      <c r="O40" s="10">
        <v>2018</v>
      </c>
      <c r="P40" s="10">
        <v>3</v>
      </c>
      <c r="Q40" s="10">
        <v>918762731.38992405</v>
      </c>
      <c r="S40" s="10">
        <v>2018</v>
      </c>
      <c r="T40" s="10">
        <v>3</v>
      </c>
      <c r="U40" s="10">
        <v>918681478.92366195</v>
      </c>
      <c r="W40" s="10">
        <v>2018</v>
      </c>
      <c r="X40" s="10">
        <v>3</v>
      </c>
      <c r="Y40" s="10">
        <v>918788764.370121</v>
      </c>
      <c r="AA40" s="10">
        <v>2018</v>
      </c>
      <c r="AB40" s="10">
        <v>3</v>
      </c>
      <c r="AC40" s="10">
        <v>917946833.45120895</v>
      </c>
    </row>
    <row r="41" spans="1:29" x14ac:dyDescent="0.25">
      <c r="A41" s="10">
        <v>2018</v>
      </c>
      <c r="B41" s="10">
        <v>4</v>
      </c>
      <c r="C41" s="10">
        <v>897934109.51273596</v>
      </c>
      <c r="E41" s="10">
        <v>2018</v>
      </c>
      <c r="F41" s="10">
        <v>4</v>
      </c>
      <c r="G41" s="10">
        <v>897935074.98971903</v>
      </c>
      <c r="J41" s="10">
        <v>2018</v>
      </c>
      <c r="K41" s="10">
        <v>4</v>
      </c>
      <c r="L41" s="10">
        <v>897951105.34875798</v>
      </c>
      <c r="O41" s="10">
        <v>2018</v>
      </c>
      <c r="P41" s="10">
        <v>4</v>
      </c>
      <c r="Q41" s="10">
        <v>897999900.74815595</v>
      </c>
      <c r="S41" s="10">
        <v>2018</v>
      </c>
      <c r="T41" s="10">
        <v>4</v>
      </c>
      <c r="U41" s="10">
        <v>898040013.21099901</v>
      </c>
      <c r="W41" s="10">
        <v>2018</v>
      </c>
      <c r="X41" s="10">
        <v>4</v>
      </c>
      <c r="Y41" s="10">
        <v>898019154.00165999</v>
      </c>
      <c r="AA41" s="10">
        <v>2018</v>
      </c>
      <c r="AB41" s="10">
        <v>4</v>
      </c>
      <c r="AC41" s="10">
        <v>898871143.85687995</v>
      </c>
    </row>
    <row r="42" spans="1:29" x14ac:dyDescent="0.25">
      <c r="A42" s="10">
        <v>2018</v>
      </c>
      <c r="B42" s="10">
        <v>5</v>
      </c>
      <c r="C42" s="10">
        <v>861795220.21582305</v>
      </c>
      <c r="E42" s="10">
        <v>2018</v>
      </c>
      <c r="F42" s="10">
        <v>5</v>
      </c>
      <c r="G42" s="10">
        <v>861796600.48236406</v>
      </c>
      <c r="J42" s="10">
        <v>2018</v>
      </c>
      <c r="K42" s="10">
        <v>5</v>
      </c>
      <c r="L42" s="10">
        <v>861762410.71591794</v>
      </c>
      <c r="O42" s="10">
        <v>2018</v>
      </c>
      <c r="P42" s="10">
        <v>5</v>
      </c>
      <c r="Q42" s="10">
        <v>861947570.46872103</v>
      </c>
      <c r="S42" s="10">
        <v>2018</v>
      </c>
      <c r="T42" s="10">
        <v>5</v>
      </c>
      <c r="U42" s="10">
        <v>861982978.99484003</v>
      </c>
      <c r="W42" s="10">
        <v>2018</v>
      </c>
      <c r="X42" s="10">
        <v>5</v>
      </c>
      <c r="Y42" s="10">
        <v>861961420.050331</v>
      </c>
      <c r="AA42" s="10">
        <v>2018</v>
      </c>
      <c r="AB42" s="10">
        <v>5</v>
      </c>
      <c r="AC42" s="10">
        <v>862081100.52446795</v>
      </c>
    </row>
    <row r="43" spans="1:29" x14ac:dyDescent="0.25">
      <c r="A43" s="10">
        <v>2018</v>
      </c>
      <c r="B43" s="10">
        <v>6</v>
      </c>
      <c r="C43" s="10">
        <v>878545219.38741899</v>
      </c>
      <c r="E43" s="10">
        <v>2018</v>
      </c>
      <c r="F43" s="10">
        <v>6</v>
      </c>
      <c r="G43" s="10">
        <v>878566814.03333104</v>
      </c>
      <c r="J43" s="10">
        <v>2018</v>
      </c>
      <c r="K43" s="10">
        <v>6</v>
      </c>
      <c r="L43" s="10">
        <v>878587532.33139503</v>
      </c>
      <c r="O43" s="10">
        <v>2018</v>
      </c>
      <c r="P43" s="10">
        <v>6</v>
      </c>
      <c r="Q43" s="10">
        <v>878375135.32290006</v>
      </c>
      <c r="S43" s="10">
        <v>2018</v>
      </c>
      <c r="T43" s="10">
        <v>6</v>
      </c>
      <c r="U43" s="10">
        <v>878367783.42283404</v>
      </c>
      <c r="W43" s="10">
        <v>2018</v>
      </c>
      <c r="X43" s="10">
        <v>6</v>
      </c>
      <c r="Y43" s="10">
        <v>878361515.52749896</v>
      </c>
      <c r="AA43" s="10">
        <v>2018</v>
      </c>
      <c r="AB43" s="10">
        <v>6</v>
      </c>
      <c r="AC43" s="10">
        <v>878153488.81643605</v>
      </c>
    </row>
    <row r="44" spans="1:29" x14ac:dyDescent="0.25">
      <c r="A44" s="10">
        <v>2018</v>
      </c>
      <c r="B44" s="10">
        <v>7</v>
      </c>
      <c r="C44" s="10">
        <v>871468778.03230405</v>
      </c>
      <c r="E44" s="10">
        <v>2018</v>
      </c>
      <c r="F44" s="10">
        <v>7</v>
      </c>
      <c r="G44" s="10">
        <v>871489948.79732597</v>
      </c>
      <c r="J44" s="10">
        <v>2018</v>
      </c>
      <c r="K44" s="10">
        <v>7</v>
      </c>
      <c r="L44" s="10">
        <v>871505519.21320498</v>
      </c>
      <c r="O44" s="10">
        <v>2018</v>
      </c>
      <c r="P44" s="10">
        <v>7</v>
      </c>
      <c r="Q44" s="10">
        <v>871331722.62367797</v>
      </c>
      <c r="S44" s="10">
        <v>2018</v>
      </c>
      <c r="T44" s="10">
        <v>7</v>
      </c>
      <c r="U44" s="10">
        <v>871320441.45526004</v>
      </c>
      <c r="W44" s="10">
        <v>2018</v>
      </c>
      <c r="X44" s="10">
        <v>7</v>
      </c>
      <c r="Y44" s="10">
        <v>871315082.26110804</v>
      </c>
      <c r="AA44" s="10">
        <v>2018</v>
      </c>
      <c r="AB44" s="10">
        <v>7</v>
      </c>
      <c r="AC44" s="10">
        <v>871110362.00226402</v>
      </c>
    </row>
    <row r="45" spans="1:29" x14ac:dyDescent="0.25">
      <c r="A45" s="10">
        <v>2018</v>
      </c>
      <c r="B45" s="10">
        <v>8</v>
      </c>
      <c r="C45" s="10">
        <v>862425373.19859302</v>
      </c>
      <c r="E45" s="10">
        <v>2018</v>
      </c>
      <c r="F45" s="10">
        <v>8</v>
      </c>
      <c r="G45" s="10">
        <v>862442218.22889304</v>
      </c>
      <c r="J45" s="10">
        <v>2018</v>
      </c>
      <c r="K45" s="10">
        <v>8</v>
      </c>
      <c r="L45" s="10">
        <v>862441768.96424401</v>
      </c>
      <c r="O45" s="10">
        <v>2018</v>
      </c>
      <c r="P45" s="10">
        <v>8</v>
      </c>
      <c r="Q45" s="10">
        <v>862278093.15015101</v>
      </c>
      <c r="S45" s="10">
        <v>2018</v>
      </c>
      <c r="T45" s="10">
        <v>8</v>
      </c>
      <c r="U45" s="10">
        <v>862293603.82495999</v>
      </c>
      <c r="W45" s="10">
        <v>2018</v>
      </c>
      <c r="X45" s="10">
        <v>8</v>
      </c>
      <c r="Y45" s="10">
        <v>862257234.38014698</v>
      </c>
      <c r="AA45" s="10">
        <v>2018</v>
      </c>
      <c r="AB45" s="10">
        <v>8</v>
      </c>
      <c r="AC45" s="10">
        <v>862291594.77697396</v>
      </c>
    </row>
    <row r="46" spans="1:29" x14ac:dyDescent="0.25">
      <c r="A46" s="10">
        <v>2018</v>
      </c>
      <c r="B46" s="10">
        <v>9</v>
      </c>
      <c r="C46" s="10">
        <v>865997591.75542796</v>
      </c>
      <c r="E46" s="10">
        <v>2018</v>
      </c>
      <c r="F46" s="10">
        <v>9</v>
      </c>
      <c r="G46" s="10">
        <v>865967300.71196496</v>
      </c>
      <c r="J46" s="10">
        <v>2018</v>
      </c>
      <c r="K46" s="10">
        <v>9</v>
      </c>
      <c r="L46" s="10">
        <v>865982187.91797996</v>
      </c>
      <c r="O46" s="10">
        <v>2018</v>
      </c>
      <c r="P46" s="10">
        <v>9</v>
      </c>
      <c r="Q46" s="10">
        <v>866335456.64417195</v>
      </c>
      <c r="S46" s="10">
        <v>2018</v>
      </c>
      <c r="T46" s="10">
        <v>9</v>
      </c>
      <c r="U46" s="10">
        <v>866173964.40664196</v>
      </c>
      <c r="W46" s="10">
        <v>2018</v>
      </c>
      <c r="X46" s="10">
        <v>9</v>
      </c>
      <c r="Y46" s="10">
        <v>866190148.79607999</v>
      </c>
      <c r="AA46" s="10">
        <v>2018</v>
      </c>
      <c r="AB46" s="10">
        <v>9</v>
      </c>
      <c r="AC46" s="10">
        <v>865784389.59029901</v>
      </c>
    </row>
    <row r="47" spans="1:29" x14ac:dyDescent="0.25">
      <c r="A47" s="10">
        <v>2018</v>
      </c>
      <c r="B47" s="10">
        <v>10</v>
      </c>
      <c r="C47" s="10">
        <v>862428512.65707803</v>
      </c>
      <c r="E47" s="10">
        <v>2018</v>
      </c>
      <c r="F47" s="10">
        <v>10</v>
      </c>
      <c r="G47" s="10">
        <v>862400729.096946</v>
      </c>
      <c r="J47" s="10">
        <v>2018</v>
      </c>
      <c r="K47" s="10">
        <v>10</v>
      </c>
      <c r="L47" s="10">
        <v>862355603.06666994</v>
      </c>
      <c r="O47" s="10">
        <v>2018</v>
      </c>
      <c r="P47" s="10">
        <v>10</v>
      </c>
      <c r="Q47" s="10">
        <v>862525657.15871</v>
      </c>
      <c r="S47" s="10">
        <v>2018</v>
      </c>
      <c r="T47" s="10">
        <v>10</v>
      </c>
      <c r="U47" s="10">
        <v>862543135.79655099</v>
      </c>
      <c r="W47" s="10">
        <v>2018</v>
      </c>
      <c r="X47" s="10">
        <v>10</v>
      </c>
      <c r="Y47" s="10">
        <v>862539291.085513</v>
      </c>
      <c r="AA47" s="10">
        <v>2018</v>
      </c>
      <c r="AB47" s="10">
        <v>10</v>
      </c>
      <c r="AC47" s="10">
        <v>862800493.291062</v>
      </c>
    </row>
    <row r="48" spans="1:29" x14ac:dyDescent="0.25">
      <c r="A48" s="10">
        <v>2018</v>
      </c>
      <c r="B48" s="10">
        <v>11</v>
      </c>
      <c r="C48" s="10">
        <v>854842208.41770399</v>
      </c>
      <c r="E48" s="10">
        <v>2018</v>
      </c>
      <c r="F48" s="10">
        <v>11</v>
      </c>
      <c r="G48" s="10">
        <v>854781124.49675906</v>
      </c>
      <c r="J48" s="10">
        <v>2018</v>
      </c>
      <c r="K48" s="10">
        <v>11</v>
      </c>
      <c r="L48" s="10">
        <v>854722030.82447696</v>
      </c>
      <c r="O48" s="10">
        <v>2018</v>
      </c>
      <c r="P48" s="10">
        <v>11</v>
      </c>
      <c r="Q48" s="10">
        <v>854890966.42797899</v>
      </c>
      <c r="S48" s="10">
        <v>2018</v>
      </c>
      <c r="T48" s="10">
        <v>11</v>
      </c>
      <c r="U48" s="10">
        <v>854908074.57144296</v>
      </c>
      <c r="W48" s="10">
        <v>2018</v>
      </c>
      <c r="X48" s="10">
        <v>11</v>
      </c>
      <c r="Y48" s="10">
        <v>854900967.29404902</v>
      </c>
      <c r="AA48" s="10">
        <v>2018</v>
      </c>
      <c r="AB48" s="10">
        <v>11</v>
      </c>
      <c r="AC48" s="10">
        <v>855141982.32336998</v>
      </c>
    </row>
    <row r="49" spans="1:29" x14ac:dyDescent="0.25">
      <c r="A49" s="10">
        <v>2018</v>
      </c>
      <c r="B49" s="10">
        <v>12</v>
      </c>
      <c r="C49" s="10">
        <v>849938329.54785895</v>
      </c>
      <c r="E49" s="10">
        <v>2018</v>
      </c>
      <c r="F49" s="10">
        <v>12</v>
      </c>
      <c r="G49" s="10">
        <v>849899397.32593298</v>
      </c>
      <c r="J49" s="10">
        <v>2018</v>
      </c>
      <c r="K49" s="10">
        <v>12</v>
      </c>
      <c r="L49" s="10">
        <v>849910967.71190703</v>
      </c>
      <c r="O49" s="10">
        <v>2018</v>
      </c>
      <c r="P49" s="10">
        <v>12</v>
      </c>
      <c r="Q49" s="10">
        <v>849554421.94453895</v>
      </c>
      <c r="S49" s="10">
        <v>2018</v>
      </c>
      <c r="T49" s="10">
        <v>12</v>
      </c>
      <c r="U49" s="10">
        <v>849522926.37482595</v>
      </c>
      <c r="W49" s="10">
        <v>2018</v>
      </c>
      <c r="X49" s="10">
        <v>12</v>
      </c>
      <c r="Y49" s="10">
        <v>849531662.23211503</v>
      </c>
      <c r="AA49" s="10">
        <v>2018</v>
      </c>
      <c r="AB49" s="10">
        <v>12</v>
      </c>
      <c r="AC49" s="10">
        <v>849234185.37682903</v>
      </c>
    </row>
    <row r="50" spans="1:29" x14ac:dyDescent="0.25">
      <c r="A50" s="10">
        <v>2019</v>
      </c>
      <c r="B50" s="10">
        <v>1</v>
      </c>
      <c r="C50" s="10">
        <v>841739296.29122996</v>
      </c>
      <c r="E50" s="10">
        <v>2019</v>
      </c>
      <c r="F50" s="10">
        <v>1</v>
      </c>
      <c r="G50" s="10">
        <v>841758211.59835505</v>
      </c>
      <c r="J50" s="10">
        <v>2019</v>
      </c>
      <c r="K50" s="10">
        <v>1</v>
      </c>
      <c r="L50" s="10">
        <v>841695484.66494596</v>
      </c>
      <c r="O50" s="10">
        <v>2019</v>
      </c>
      <c r="P50" s="10">
        <v>1</v>
      </c>
      <c r="Q50" s="10">
        <v>842103083.59618104</v>
      </c>
      <c r="S50" s="10">
        <v>2019</v>
      </c>
      <c r="T50" s="10">
        <v>1</v>
      </c>
      <c r="U50" s="10">
        <v>842117700.00159001</v>
      </c>
      <c r="W50" s="10">
        <v>2019</v>
      </c>
      <c r="X50" s="10">
        <v>1</v>
      </c>
      <c r="Y50" s="10">
        <v>842135107.44672203</v>
      </c>
      <c r="AA50" s="10">
        <v>2019</v>
      </c>
      <c r="AB50" s="10">
        <v>1</v>
      </c>
      <c r="AC50" s="10">
        <v>842193603.10426795</v>
      </c>
    </row>
    <row r="51" spans="1:29" x14ac:dyDescent="0.25">
      <c r="A51" s="10">
        <v>2019</v>
      </c>
      <c r="B51" s="10">
        <v>2</v>
      </c>
      <c r="C51" s="10">
        <v>825765234.98514605</v>
      </c>
      <c r="E51" s="10">
        <v>2019</v>
      </c>
      <c r="F51" s="10">
        <v>2</v>
      </c>
      <c r="G51" s="10">
        <v>825728499.37874401</v>
      </c>
      <c r="J51" s="10">
        <v>2019</v>
      </c>
      <c r="K51" s="10">
        <v>2</v>
      </c>
      <c r="L51" s="10">
        <v>825742790.56464505</v>
      </c>
      <c r="O51" s="10">
        <v>2019</v>
      </c>
      <c r="P51" s="10">
        <v>2</v>
      </c>
      <c r="Q51" s="10">
        <v>826104760.66107905</v>
      </c>
      <c r="S51" s="10">
        <v>2019</v>
      </c>
      <c r="T51" s="10">
        <v>2</v>
      </c>
      <c r="U51" s="10">
        <v>826269347.56897902</v>
      </c>
      <c r="W51" s="10">
        <v>2019</v>
      </c>
      <c r="X51" s="10">
        <v>2</v>
      </c>
      <c r="Y51" s="10">
        <v>826229563.05940998</v>
      </c>
      <c r="AA51" s="10">
        <v>2019</v>
      </c>
      <c r="AB51" s="10">
        <v>2</v>
      </c>
      <c r="AC51" s="10">
        <v>826650031.69679296</v>
      </c>
    </row>
    <row r="52" spans="1:29" x14ac:dyDescent="0.25">
      <c r="A52" s="10">
        <v>2019</v>
      </c>
      <c r="B52" s="10">
        <v>3</v>
      </c>
      <c r="C52" s="10">
        <v>857878458.92607296</v>
      </c>
      <c r="E52" s="10">
        <v>2019</v>
      </c>
      <c r="F52" s="10">
        <v>3</v>
      </c>
      <c r="G52" s="10">
        <v>857885318.90254498</v>
      </c>
      <c r="J52" s="10">
        <v>2019</v>
      </c>
      <c r="K52" s="10">
        <v>3</v>
      </c>
      <c r="L52" s="10">
        <v>857994234.23606706</v>
      </c>
      <c r="O52" s="10">
        <v>2019</v>
      </c>
      <c r="P52" s="10">
        <v>3</v>
      </c>
      <c r="Q52" s="10">
        <v>857347931.85874605</v>
      </c>
      <c r="S52" s="10">
        <v>2019</v>
      </c>
      <c r="T52" s="10">
        <v>3</v>
      </c>
      <c r="U52" s="10">
        <v>857264602.78389502</v>
      </c>
      <c r="W52" s="10">
        <v>2019</v>
      </c>
      <c r="X52" s="10">
        <v>3</v>
      </c>
      <c r="Y52" s="10">
        <v>857366847.65855801</v>
      </c>
      <c r="AA52" s="10">
        <v>2019</v>
      </c>
      <c r="AB52" s="10">
        <v>3</v>
      </c>
      <c r="AC52" s="10">
        <v>856214425.40355396</v>
      </c>
    </row>
    <row r="53" spans="1:29" x14ac:dyDescent="0.25">
      <c r="A53" s="10">
        <v>2019</v>
      </c>
      <c r="B53" s="10">
        <v>4</v>
      </c>
      <c r="C53" s="10">
        <v>860447304.49275398</v>
      </c>
      <c r="E53" s="10">
        <v>2019</v>
      </c>
      <c r="F53" s="10">
        <v>4</v>
      </c>
      <c r="G53" s="10">
        <v>860434117.07302999</v>
      </c>
      <c r="J53" s="10">
        <v>2019</v>
      </c>
      <c r="K53" s="10">
        <v>4</v>
      </c>
      <c r="L53" s="10">
        <v>860400810.88983095</v>
      </c>
      <c r="O53" s="10">
        <v>2019</v>
      </c>
      <c r="P53" s="10">
        <v>4</v>
      </c>
      <c r="Q53" s="10">
        <v>860758446.03388596</v>
      </c>
      <c r="S53" s="10">
        <v>2019</v>
      </c>
      <c r="T53" s="10">
        <v>4</v>
      </c>
      <c r="U53" s="10">
        <v>860863302.35988998</v>
      </c>
      <c r="W53" s="10">
        <v>2019</v>
      </c>
      <c r="X53" s="10">
        <v>4</v>
      </c>
      <c r="Y53" s="10">
        <v>860818342.07161498</v>
      </c>
      <c r="AA53" s="10">
        <v>2019</v>
      </c>
      <c r="AB53" s="10">
        <v>4</v>
      </c>
      <c r="AC53" s="10">
        <v>862064091.16738498</v>
      </c>
    </row>
    <row r="54" spans="1:29" x14ac:dyDescent="0.25">
      <c r="A54" s="10">
        <v>2019</v>
      </c>
      <c r="B54" s="10">
        <v>5</v>
      </c>
      <c r="C54" s="10">
        <v>847238801.49984396</v>
      </c>
      <c r="E54" s="10">
        <v>2019</v>
      </c>
      <c r="F54" s="10">
        <v>5</v>
      </c>
      <c r="G54" s="10">
        <v>847271567.09412003</v>
      </c>
      <c r="J54" s="10">
        <v>2019</v>
      </c>
      <c r="K54" s="10">
        <v>5</v>
      </c>
      <c r="L54" s="10">
        <v>847233324.94327497</v>
      </c>
      <c r="O54" s="10">
        <v>2019</v>
      </c>
      <c r="P54" s="10">
        <v>5</v>
      </c>
      <c r="Q54" s="10">
        <v>847457714.49773002</v>
      </c>
      <c r="S54" s="10">
        <v>2019</v>
      </c>
      <c r="T54" s="10">
        <v>5</v>
      </c>
      <c r="U54" s="10">
        <v>847508915.10111201</v>
      </c>
      <c r="W54" s="10">
        <v>2019</v>
      </c>
      <c r="X54" s="10">
        <v>5</v>
      </c>
      <c r="Y54" s="10">
        <v>847478471.26362097</v>
      </c>
      <c r="AA54" s="10">
        <v>2019</v>
      </c>
      <c r="AB54" s="10">
        <v>5</v>
      </c>
      <c r="AC54" s="10">
        <v>847704706.06176603</v>
      </c>
    </row>
    <row r="55" spans="1:29" x14ac:dyDescent="0.25">
      <c r="A55" s="10">
        <v>2019</v>
      </c>
      <c r="B55" s="10">
        <v>6</v>
      </c>
      <c r="C55" s="10">
        <v>853410046.20530903</v>
      </c>
      <c r="E55" s="10">
        <v>2019</v>
      </c>
      <c r="F55" s="10">
        <v>6</v>
      </c>
      <c r="G55" s="10">
        <v>853506384.17902696</v>
      </c>
      <c r="J55" s="10">
        <v>2019</v>
      </c>
      <c r="K55" s="10">
        <v>6</v>
      </c>
      <c r="L55" s="10">
        <v>853586686.87407005</v>
      </c>
      <c r="O55" s="10">
        <v>2019</v>
      </c>
      <c r="P55" s="10">
        <v>6</v>
      </c>
      <c r="Q55" s="10">
        <v>853015782.21088398</v>
      </c>
      <c r="S55" s="10">
        <v>2019</v>
      </c>
      <c r="T55" s="10">
        <v>6</v>
      </c>
      <c r="U55" s="10">
        <v>852959022.54120696</v>
      </c>
      <c r="W55" s="10">
        <v>2019</v>
      </c>
      <c r="X55" s="10">
        <v>6</v>
      </c>
      <c r="Y55" s="10">
        <v>852963358.93349302</v>
      </c>
      <c r="AA55" s="10">
        <v>2019</v>
      </c>
      <c r="AB55" s="10">
        <v>6</v>
      </c>
      <c r="AC55" s="10">
        <v>852423974.60366404</v>
      </c>
    </row>
    <row r="56" spans="1:29" x14ac:dyDescent="0.25">
      <c r="A56" s="10">
        <v>2019</v>
      </c>
      <c r="B56" s="10">
        <v>7</v>
      </c>
      <c r="C56" s="10">
        <v>868995028.28058803</v>
      </c>
      <c r="E56" s="10">
        <v>2019</v>
      </c>
      <c r="F56" s="10">
        <v>7</v>
      </c>
      <c r="G56" s="10">
        <v>869068293.83520997</v>
      </c>
      <c r="J56" s="10">
        <v>2019</v>
      </c>
      <c r="K56" s="10">
        <v>7</v>
      </c>
      <c r="L56" s="10">
        <v>869068882.00229204</v>
      </c>
      <c r="O56" s="10">
        <v>2019</v>
      </c>
      <c r="P56" s="10">
        <v>7</v>
      </c>
      <c r="Q56" s="10">
        <v>869241214.60693204</v>
      </c>
      <c r="S56" s="10">
        <v>2019</v>
      </c>
      <c r="T56" s="10">
        <v>7</v>
      </c>
      <c r="U56" s="10">
        <v>869249310.09651697</v>
      </c>
      <c r="W56" s="10">
        <v>2019</v>
      </c>
      <c r="X56" s="10">
        <v>7</v>
      </c>
      <c r="Y56" s="10">
        <v>869224679.87454402</v>
      </c>
      <c r="AA56" s="10">
        <v>2019</v>
      </c>
      <c r="AB56" s="10">
        <v>7</v>
      </c>
      <c r="AC56" s="10">
        <v>869401156.49145806</v>
      </c>
    </row>
    <row r="57" spans="1:29" x14ac:dyDescent="0.25">
      <c r="A57" s="10">
        <v>2019</v>
      </c>
      <c r="B57" s="10">
        <v>8</v>
      </c>
      <c r="C57" s="10">
        <v>880792770.53774798</v>
      </c>
      <c r="E57" s="10">
        <v>2019</v>
      </c>
      <c r="F57" s="10">
        <v>8</v>
      </c>
      <c r="G57" s="10">
        <v>880860682.05599296</v>
      </c>
      <c r="J57" s="10">
        <v>2019</v>
      </c>
      <c r="K57" s="10">
        <v>8</v>
      </c>
      <c r="L57" s="10">
        <v>880905210.23173904</v>
      </c>
      <c r="O57" s="10">
        <v>2019</v>
      </c>
      <c r="P57" s="10">
        <v>8</v>
      </c>
      <c r="Q57" s="10">
        <v>880683113.84907603</v>
      </c>
      <c r="S57" s="10">
        <v>2019</v>
      </c>
      <c r="T57" s="10">
        <v>8</v>
      </c>
      <c r="U57" s="10">
        <v>880658688.34210598</v>
      </c>
      <c r="W57" s="10">
        <v>2019</v>
      </c>
      <c r="X57" s="10">
        <v>8</v>
      </c>
      <c r="Y57" s="10">
        <v>880641665.38768697</v>
      </c>
      <c r="AA57" s="10">
        <v>2019</v>
      </c>
      <c r="AB57" s="10">
        <v>8</v>
      </c>
      <c r="AC57" s="10">
        <v>880428387.93371797</v>
      </c>
    </row>
    <row r="58" spans="1:29" x14ac:dyDescent="0.25">
      <c r="A58" s="10">
        <v>2019</v>
      </c>
      <c r="B58" s="10">
        <v>9</v>
      </c>
      <c r="C58" s="10">
        <v>878994398.50088596</v>
      </c>
      <c r="E58" s="10">
        <v>2019</v>
      </c>
      <c r="F58" s="10">
        <v>9</v>
      </c>
      <c r="G58" s="10">
        <v>878965481.216681</v>
      </c>
      <c r="J58" s="10">
        <v>2019</v>
      </c>
      <c r="K58" s="10">
        <v>9</v>
      </c>
      <c r="L58" s="10">
        <v>878975697.81270099</v>
      </c>
      <c r="O58" s="10">
        <v>2019</v>
      </c>
      <c r="P58" s="10">
        <v>9</v>
      </c>
      <c r="Q58" s="10">
        <v>879901640.90829694</v>
      </c>
      <c r="S58" s="10">
        <v>2019</v>
      </c>
      <c r="T58" s="10">
        <v>9</v>
      </c>
      <c r="U58" s="10">
        <v>879656402.96901703</v>
      </c>
      <c r="W58" s="10">
        <v>2019</v>
      </c>
      <c r="X58" s="10">
        <v>9</v>
      </c>
      <c r="Y58" s="10">
        <v>879702020.82766402</v>
      </c>
      <c r="AA58" s="10">
        <v>2019</v>
      </c>
      <c r="AB58" s="10">
        <v>9</v>
      </c>
      <c r="AC58" s="10">
        <v>879463129.43033099</v>
      </c>
    </row>
    <row r="59" spans="1:29" x14ac:dyDescent="0.25">
      <c r="A59" s="10">
        <v>2019</v>
      </c>
      <c r="B59" s="10">
        <v>10</v>
      </c>
      <c r="C59" s="10">
        <v>873308438.10149598</v>
      </c>
      <c r="E59" s="10">
        <v>2019</v>
      </c>
      <c r="F59" s="10">
        <v>10</v>
      </c>
      <c r="G59" s="10">
        <v>873290147.84546101</v>
      </c>
      <c r="J59" s="10">
        <v>2019</v>
      </c>
      <c r="K59" s="10">
        <v>10</v>
      </c>
      <c r="L59" s="10">
        <v>873261773.21307504</v>
      </c>
      <c r="O59" s="10">
        <v>2019</v>
      </c>
      <c r="P59" s="10">
        <v>10</v>
      </c>
      <c r="Q59" s="10">
        <v>873517580.27335596</v>
      </c>
      <c r="S59" s="10">
        <v>2019</v>
      </c>
      <c r="T59" s="10">
        <v>10</v>
      </c>
      <c r="U59" s="10">
        <v>873521522.34225404</v>
      </c>
      <c r="W59" s="10">
        <v>2019</v>
      </c>
      <c r="X59" s="10">
        <v>10</v>
      </c>
      <c r="Y59" s="10">
        <v>873521326.34185696</v>
      </c>
      <c r="AA59" s="10">
        <v>2019</v>
      </c>
      <c r="AB59" s="10">
        <v>10</v>
      </c>
      <c r="AC59" s="10">
        <v>873697528.255952</v>
      </c>
    </row>
    <row r="60" spans="1:29" x14ac:dyDescent="0.25">
      <c r="A60" s="10">
        <v>2019</v>
      </c>
      <c r="B60" s="10">
        <v>11</v>
      </c>
      <c r="C60" s="10">
        <v>872510482.23635101</v>
      </c>
      <c r="E60" s="10">
        <v>2019</v>
      </c>
      <c r="F60" s="10">
        <v>11</v>
      </c>
      <c r="G60" s="10">
        <v>872323138.56108606</v>
      </c>
      <c r="J60" s="10">
        <v>2019</v>
      </c>
      <c r="K60" s="10">
        <v>11</v>
      </c>
      <c r="L60" s="10">
        <v>872266691.77803004</v>
      </c>
      <c r="O60" s="10">
        <v>2019</v>
      </c>
      <c r="P60" s="10">
        <v>11</v>
      </c>
      <c r="Q60" s="10">
        <v>871444517.08649099</v>
      </c>
      <c r="S60" s="10">
        <v>2019</v>
      </c>
      <c r="T60" s="10">
        <v>11</v>
      </c>
      <c r="U60" s="10">
        <v>871428020.593243</v>
      </c>
      <c r="W60" s="10">
        <v>2019</v>
      </c>
      <c r="X60" s="10">
        <v>11</v>
      </c>
      <c r="Y60" s="10">
        <v>871439296.50652003</v>
      </c>
      <c r="AA60" s="10">
        <v>2019</v>
      </c>
      <c r="AB60" s="10">
        <v>11</v>
      </c>
      <c r="AC60" s="10">
        <v>871157808.09263504</v>
      </c>
    </row>
    <row r="61" spans="1:29" x14ac:dyDescent="0.25">
      <c r="A61" s="10">
        <v>2019</v>
      </c>
      <c r="B61" s="10">
        <v>12</v>
      </c>
      <c r="C61" s="10">
        <v>880641262.08974695</v>
      </c>
      <c r="E61" s="10">
        <v>2019</v>
      </c>
      <c r="F61" s="10">
        <v>12</v>
      </c>
      <c r="G61" s="10">
        <v>880574143.11112595</v>
      </c>
      <c r="J61" s="10">
        <v>2019</v>
      </c>
      <c r="K61" s="10">
        <v>12</v>
      </c>
      <c r="L61" s="10">
        <v>880546447.10934305</v>
      </c>
      <c r="O61" s="10">
        <v>2019</v>
      </c>
      <c r="P61" s="10">
        <v>12</v>
      </c>
      <c r="Q61" s="10">
        <v>880676185.56476295</v>
      </c>
      <c r="S61" s="10">
        <v>2019</v>
      </c>
      <c r="T61" s="10">
        <v>12</v>
      </c>
      <c r="U61" s="10">
        <v>880665979.255741</v>
      </c>
      <c r="W61" s="10">
        <v>2019</v>
      </c>
      <c r="X61" s="10">
        <v>12</v>
      </c>
      <c r="Y61" s="10">
        <v>880674554.36912</v>
      </c>
      <c r="AA61" s="10">
        <v>2019</v>
      </c>
      <c r="AB61" s="10">
        <v>12</v>
      </c>
      <c r="AC61" s="10">
        <v>880607176.28606296</v>
      </c>
    </row>
    <row r="62" spans="1:29" x14ac:dyDescent="0.25">
      <c r="A62" s="10">
        <v>2020</v>
      </c>
      <c r="B62" s="10">
        <v>1</v>
      </c>
      <c r="C62" s="10">
        <v>885861276.61796701</v>
      </c>
      <c r="E62" s="10">
        <v>2020</v>
      </c>
      <c r="F62" s="10">
        <v>1</v>
      </c>
      <c r="G62" s="10">
        <v>885878541.41849804</v>
      </c>
      <c r="J62" s="10">
        <v>2020</v>
      </c>
      <c r="K62" s="10">
        <v>1</v>
      </c>
      <c r="L62" s="10">
        <v>885818094.75882196</v>
      </c>
      <c r="O62" s="10">
        <v>2020</v>
      </c>
      <c r="P62" s="10">
        <v>1</v>
      </c>
      <c r="Q62" s="10">
        <v>886290267.45270896</v>
      </c>
      <c r="S62" s="10">
        <v>2020</v>
      </c>
      <c r="T62" s="10">
        <v>1</v>
      </c>
      <c r="U62" s="10">
        <v>886339532.18437505</v>
      </c>
      <c r="W62" s="10">
        <v>2020</v>
      </c>
      <c r="X62" s="10">
        <v>1</v>
      </c>
      <c r="Y62" s="10">
        <v>886378874.45204699</v>
      </c>
      <c r="AA62" s="10">
        <v>2020</v>
      </c>
      <c r="AB62" s="10">
        <v>1</v>
      </c>
      <c r="AC62" s="10">
        <v>886430463.00364101</v>
      </c>
    </row>
    <row r="63" spans="1:29" x14ac:dyDescent="0.25">
      <c r="A63" s="10">
        <v>2020</v>
      </c>
      <c r="B63" s="10">
        <v>2</v>
      </c>
      <c r="C63" s="10">
        <v>910952893.81399798</v>
      </c>
      <c r="E63" s="10">
        <v>2020</v>
      </c>
      <c r="F63" s="10">
        <v>2</v>
      </c>
      <c r="G63" s="10">
        <v>911017595.04995096</v>
      </c>
      <c r="J63" s="10">
        <v>2020</v>
      </c>
      <c r="K63" s="10">
        <v>2</v>
      </c>
      <c r="L63" s="10">
        <v>911040385.87259495</v>
      </c>
      <c r="O63" s="10">
        <v>2020</v>
      </c>
      <c r="P63" s="10">
        <v>2</v>
      </c>
      <c r="Q63" s="10">
        <v>909048314.33595204</v>
      </c>
      <c r="S63" s="10">
        <v>2020</v>
      </c>
      <c r="T63" s="10">
        <v>2</v>
      </c>
      <c r="U63" s="10">
        <v>909144482.69454503</v>
      </c>
      <c r="W63" s="10">
        <v>2020</v>
      </c>
      <c r="X63" s="10">
        <v>2</v>
      </c>
      <c r="Y63" s="10">
        <v>909144032.18765497</v>
      </c>
      <c r="AA63" s="10">
        <v>2020</v>
      </c>
      <c r="AB63" s="10">
        <v>2</v>
      </c>
      <c r="AC63" s="10">
        <v>909230133.27069199</v>
      </c>
    </row>
    <row r="64" spans="1:29" x14ac:dyDescent="0.25">
      <c r="A64" s="10">
        <v>2020</v>
      </c>
      <c r="B64" s="10">
        <v>3</v>
      </c>
      <c r="C64" s="10">
        <v>910417225.92473495</v>
      </c>
      <c r="E64" s="10">
        <v>2020</v>
      </c>
      <c r="F64" s="10">
        <v>3</v>
      </c>
      <c r="G64" s="10">
        <v>910194955.93073797</v>
      </c>
      <c r="J64" s="10">
        <v>2020</v>
      </c>
      <c r="K64" s="10">
        <v>3</v>
      </c>
      <c r="L64" s="10">
        <v>910183749.35119295</v>
      </c>
      <c r="O64" s="10">
        <v>2020</v>
      </c>
      <c r="P64" s="10">
        <v>3</v>
      </c>
      <c r="Q64" s="10">
        <v>909831376.103423</v>
      </c>
      <c r="S64" s="10">
        <v>2020</v>
      </c>
      <c r="T64" s="10">
        <v>3</v>
      </c>
      <c r="U64" s="10">
        <v>910068199.42752898</v>
      </c>
      <c r="W64" s="10">
        <v>2020</v>
      </c>
      <c r="X64" s="10">
        <v>3</v>
      </c>
      <c r="Y64" s="10">
        <v>909973518.05950606</v>
      </c>
      <c r="AA64" s="10">
        <v>2020</v>
      </c>
      <c r="AB64" s="10">
        <v>3</v>
      </c>
      <c r="AC64" s="10">
        <v>909706965.74635696</v>
      </c>
    </row>
    <row r="65" spans="1:29" x14ac:dyDescent="0.25">
      <c r="A65" s="10">
        <v>2020</v>
      </c>
      <c r="B65" s="10">
        <v>4</v>
      </c>
      <c r="C65" s="10">
        <v>919807810.21534896</v>
      </c>
      <c r="E65" s="10">
        <v>2020</v>
      </c>
      <c r="F65" s="10">
        <v>4</v>
      </c>
      <c r="G65" s="10">
        <v>919863839.68438196</v>
      </c>
      <c r="J65" s="10">
        <v>2020</v>
      </c>
      <c r="K65" s="10">
        <v>4</v>
      </c>
      <c r="L65" s="10">
        <v>919819533.12906396</v>
      </c>
      <c r="O65" s="10">
        <v>2020</v>
      </c>
      <c r="P65" s="10">
        <v>4</v>
      </c>
      <c r="Q65" s="10">
        <v>920020070.37271702</v>
      </c>
      <c r="S65" s="10">
        <v>2020</v>
      </c>
      <c r="T65" s="10">
        <v>4</v>
      </c>
      <c r="U65" s="10">
        <v>920185760.93908703</v>
      </c>
      <c r="W65" s="10">
        <v>2020</v>
      </c>
      <c r="X65" s="10">
        <v>4</v>
      </c>
      <c r="Y65" s="10">
        <v>920193602.43834996</v>
      </c>
      <c r="AA65" s="10">
        <v>2020</v>
      </c>
      <c r="AB65" s="10">
        <v>4</v>
      </c>
      <c r="AC65" s="10">
        <v>921313829.95159304</v>
      </c>
    </row>
    <row r="66" spans="1:29" x14ac:dyDescent="0.25">
      <c r="A66" s="10">
        <v>2020</v>
      </c>
      <c r="B66" s="10">
        <v>5</v>
      </c>
      <c r="C66" s="10">
        <v>933768910.24223006</v>
      </c>
      <c r="E66" s="10">
        <v>2020</v>
      </c>
      <c r="F66" s="10">
        <v>5</v>
      </c>
      <c r="G66" s="10">
        <v>933932013.84662497</v>
      </c>
      <c r="J66" s="10">
        <v>2020</v>
      </c>
      <c r="K66" s="10">
        <v>5</v>
      </c>
      <c r="L66" s="10">
        <v>933981547.02214706</v>
      </c>
      <c r="O66" s="10">
        <v>2020</v>
      </c>
      <c r="P66" s="10">
        <v>5</v>
      </c>
      <c r="Q66" s="10">
        <v>933550424.01560295</v>
      </c>
      <c r="S66" s="10">
        <v>2020</v>
      </c>
      <c r="T66" s="10">
        <v>5</v>
      </c>
      <c r="U66" s="10">
        <v>933442700.42190504</v>
      </c>
      <c r="W66" s="10">
        <v>2020</v>
      </c>
      <c r="X66" s="10">
        <v>5</v>
      </c>
      <c r="Y66" s="10">
        <v>933462958.67949998</v>
      </c>
      <c r="AA66" s="10">
        <v>2020</v>
      </c>
      <c r="AB66" s="10">
        <v>5</v>
      </c>
      <c r="AC66" s="10">
        <v>933125150.46275604</v>
      </c>
    </row>
    <row r="67" spans="1:29" x14ac:dyDescent="0.25">
      <c r="A67" s="10">
        <v>2020</v>
      </c>
      <c r="B67" s="10">
        <v>6</v>
      </c>
      <c r="C67" s="10">
        <v>938560816.71190798</v>
      </c>
      <c r="E67" s="10">
        <v>2020</v>
      </c>
      <c r="F67" s="10">
        <v>6</v>
      </c>
      <c r="G67" s="10">
        <v>938729637.686113</v>
      </c>
      <c r="J67" s="10">
        <v>2020</v>
      </c>
      <c r="K67" s="10">
        <v>6</v>
      </c>
      <c r="L67" s="10">
        <v>938761643.35939896</v>
      </c>
      <c r="O67" s="10">
        <v>2020</v>
      </c>
      <c r="P67" s="10">
        <v>6</v>
      </c>
      <c r="Q67" s="10">
        <v>938886230.16436005</v>
      </c>
      <c r="S67" s="10">
        <v>2020</v>
      </c>
      <c r="T67" s="10">
        <v>6</v>
      </c>
      <c r="U67" s="10">
        <v>938806877.65241003</v>
      </c>
      <c r="W67" s="10">
        <v>2020</v>
      </c>
      <c r="X67" s="10">
        <v>6</v>
      </c>
      <c r="Y67" s="10">
        <v>938787373.01569998</v>
      </c>
      <c r="AA67" s="10">
        <v>2020</v>
      </c>
      <c r="AB67" s="10">
        <v>6</v>
      </c>
      <c r="AC67" s="10">
        <v>939030412.12140703</v>
      </c>
    </row>
    <row r="68" spans="1:29" x14ac:dyDescent="0.25">
      <c r="A68" s="10">
        <v>2020</v>
      </c>
      <c r="B68" s="10">
        <v>7</v>
      </c>
      <c r="C68" s="10">
        <v>933954217.20649195</v>
      </c>
      <c r="E68" s="10">
        <v>2020</v>
      </c>
      <c r="F68" s="10">
        <v>7</v>
      </c>
      <c r="G68" s="10">
        <v>934089261.59209597</v>
      </c>
      <c r="J68" s="10">
        <v>2020</v>
      </c>
      <c r="K68" s="10">
        <v>7</v>
      </c>
      <c r="L68" s="10">
        <v>934133969.59802699</v>
      </c>
      <c r="O68" s="10">
        <v>2020</v>
      </c>
      <c r="P68" s="10">
        <v>7</v>
      </c>
      <c r="Q68" s="10">
        <v>934456816.14349401</v>
      </c>
      <c r="S68" s="10">
        <v>2020</v>
      </c>
      <c r="T68" s="10">
        <v>7</v>
      </c>
      <c r="U68" s="10">
        <v>934371471.84265006</v>
      </c>
      <c r="W68" s="10">
        <v>2020</v>
      </c>
      <c r="X68" s="10">
        <v>7</v>
      </c>
      <c r="Y68" s="10">
        <v>934331567.167431</v>
      </c>
      <c r="AA68" s="10">
        <v>2020</v>
      </c>
      <c r="AB68" s="10">
        <v>7</v>
      </c>
      <c r="AC68" s="10">
        <v>934625210.31501698</v>
      </c>
    </row>
    <row r="69" spans="1:29" x14ac:dyDescent="0.25">
      <c r="A69" s="10">
        <v>2020</v>
      </c>
      <c r="B69" s="10">
        <v>8</v>
      </c>
      <c r="C69" s="10">
        <v>927113073.54583597</v>
      </c>
      <c r="E69" s="10">
        <v>2020</v>
      </c>
      <c r="F69" s="10">
        <v>8</v>
      </c>
      <c r="G69" s="10">
        <v>927439085.93489397</v>
      </c>
      <c r="J69" s="10">
        <v>2020</v>
      </c>
      <c r="K69" s="10">
        <v>8</v>
      </c>
      <c r="L69" s="10">
        <v>927592416.56870794</v>
      </c>
      <c r="O69" s="10">
        <v>2020</v>
      </c>
      <c r="P69" s="10">
        <v>8</v>
      </c>
      <c r="Q69" s="10">
        <v>927169251.53559506</v>
      </c>
      <c r="S69" s="10">
        <v>2020</v>
      </c>
      <c r="T69" s="10">
        <v>8</v>
      </c>
      <c r="U69" s="10">
        <v>927040734.38069105</v>
      </c>
      <c r="W69" s="10">
        <v>2020</v>
      </c>
      <c r="X69" s="10">
        <v>8</v>
      </c>
      <c r="Y69" s="10">
        <v>927048074.824893</v>
      </c>
      <c r="AA69" s="10">
        <v>2020</v>
      </c>
      <c r="AB69" s="10">
        <v>8</v>
      </c>
      <c r="AC69" s="10">
        <v>926370425.94314897</v>
      </c>
    </row>
    <row r="70" spans="1:29" x14ac:dyDescent="0.25">
      <c r="A70" s="10">
        <v>2020</v>
      </c>
      <c r="B70" s="10">
        <v>9</v>
      </c>
      <c r="C70" s="10">
        <v>914687250.31279802</v>
      </c>
      <c r="E70" s="10">
        <v>2020</v>
      </c>
      <c r="F70" s="10">
        <v>9</v>
      </c>
      <c r="G70" s="10">
        <v>914606552.17651999</v>
      </c>
      <c r="J70" s="10">
        <v>2020</v>
      </c>
      <c r="K70" s="10">
        <v>9</v>
      </c>
      <c r="L70" s="10">
        <v>914626292.59406197</v>
      </c>
      <c r="O70" s="10">
        <v>2020</v>
      </c>
      <c r="P70" s="10">
        <v>9</v>
      </c>
      <c r="Q70" s="10">
        <v>915920740.39804602</v>
      </c>
      <c r="S70" s="10">
        <v>2020</v>
      </c>
      <c r="T70" s="10">
        <v>9</v>
      </c>
      <c r="U70" s="10">
        <v>915635267.92748797</v>
      </c>
      <c r="W70" s="10">
        <v>2020</v>
      </c>
      <c r="X70" s="10">
        <v>9</v>
      </c>
      <c r="Y70" s="10">
        <v>915675443.32453704</v>
      </c>
      <c r="AA70" s="10">
        <v>2020</v>
      </c>
      <c r="AB70" s="10">
        <v>9</v>
      </c>
      <c r="AC70" s="10">
        <v>915554273.25555003</v>
      </c>
    </row>
    <row r="71" spans="1:29" x14ac:dyDescent="0.25">
      <c r="A71" s="10">
        <v>2020</v>
      </c>
      <c r="B71" s="10">
        <v>10</v>
      </c>
      <c r="C71" s="10">
        <v>932363052.28101397</v>
      </c>
      <c r="E71" s="10">
        <v>2020</v>
      </c>
      <c r="F71" s="10">
        <v>10</v>
      </c>
      <c r="G71" s="10">
        <v>932274666.15640497</v>
      </c>
      <c r="J71" s="10">
        <v>2020</v>
      </c>
      <c r="K71" s="10">
        <v>10</v>
      </c>
      <c r="L71" s="10">
        <v>932296679.32516599</v>
      </c>
      <c r="O71" s="10">
        <v>2020</v>
      </c>
      <c r="P71" s="10">
        <v>10</v>
      </c>
      <c r="Q71" s="10">
        <v>932431143.56258798</v>
      </c>
      <c r="S71" s="10">
        <v>2020</v>
      </c>
      <c r="T71" s="10">
        <v>10</v>
      </c>
      <c r="U71" s="10">
        <v>932385886.13001096</v>
      </c>
      <c r="W71" s="10">
        <v>2020</v>
      </c>
      <c r="X71" s="10">
        <v>10</v>
      </c>
      <c r="Y71" s="10">
        <v>932395247.90412998</v>
      </c>
      <c r="AA71" s="10">
        <v>2020</v>
      </c>
      <c r="AB71" s="10">
        <v>10</v>
      </c>
      <c r="AC71" s="10">
        <v>932072082.39370203</v>
      </c>
    </row>
    <row r="72" spans="1:29" x14ac:dyDescent="0.25">
      <c r="A72" s="10">
        <v>2020</v>
      </c>
      <c r="B72" s="10">
        <v>11</v>
      </c>
      <c r="C72" s="10">
        <v>938757004.71839094</v>
      </c>
      <c r="E72" s="10">
        <v>2020</v>
      </c>
      <c r="F72" s="10">
        <v>11</v>
      </c>
      <c r="G72" s="10">
        <v>938337885.76452398</v>
      </c>
      <c r="J72" s="10">
        <v>2020</v>
      </c>
      <c r="K72" s="10">
        <v>11</v>
      </c>
      <c r="L72" s="10">
        <v>938226441.16845405</v>
      </c>
      <c r="O72" s="10">
        <v>2020</v>
      </c>
      <c r="P72" s="10">
        <v>11</v>
      </c>
      <c r="Q72" s="10">
        <v>936758427.47968102</v>
      </c>
      <c r="S72" s="10">
        <v>2020</v>
      </c>
      <c r="T72" s="10">
        <v>11</v>
      </c>
      <c r="U72" s="10">
        <v>936781628.73285198</v>
      </c>
      <c r="W72" s="10">
        <v>2020</v>
      </c>
      <c r="X72" s="10">
        <v>11</v>
      </c>
      <c r="Y72" s="10">
        <v>936802397.61898804</v>
      </c>
      <c r="AA72" s="10">
        <v>2020</v>
      </c>
      <c r="AB72" s="10">
        <v>11</v>
      </c>
      <c r="AC72" s="10">
        <v>936276309.11821401</v>
      </c>
    </row>
    <row r="73" spans="1:29" x14ac:dyDescent="0.25">
      <c r="A73" s="10">
        <v>2020</v>
      </c>
      <c r="B73" s="10">
        <v>12</v>
      </c>
      <c r="C73" s="10">
        <v>947341759.14712501</v>
      </c>
      <c r="E73" s="10">
        <v>2020</v>
      </c>
      <c r="F73" s="10">
        <v>12</v>
      </c>
      <c r="G73" s="10">
        <v>947160569.14816999</v>
      </c>
      <c r="J73" s="10">
        <v>2020</v>
      </c>
      <c r="K73" s="10">
        <v>12</v>
      </c>
      <c r="L73" s="10">
        <v>947071319.17023504</v>
      </c>
      <c r="O73" s="10">
        <v>2020</v>
      </c>
      <c r="P73" s="10">
        <v>12</v>
      </c>
      <c r="Q73" s="10">
        <v>947541839.20648599</v>
      </c>
      <c r="S73" s="10">
        <v>2020</v>
      </c>
      <c r="T73" s="10">
        <v>12</v>
      </c>
      <c r="U73" s="10">
        <v>947621598.409284</v>
      </c>
      <c r="W73" s="10">
        <v>2020</v>
      </c>
      <c r="X73" s="10">
        <v>12</v>
      </c>
      <c r="Y73" s="10">
        <v>947645231.66968095</v>
      </c>
      <c r="AA73" s="10">
        <v>2020</v>
      </c>
      <c r="AB73" s="10">
        <v>12</v>
      </c>
      <c r="AC73" s="10">
        <v>947781808.95928705</v>
      </c>
    </row>
    <row r="74" spans="1:29" x14ac:dyDescent="0.25">
      <c r="A74" s="10">
        <v>2021</v>
      </c>
      <c r="B74" s="10">
        <v>1</v>
      </c>
      <c r="C74" s="10">
        <v>953173243.392488</v>
      </c>
      <c r="E74" s="10">
        <v>2021</v>
      </c>
      <c r="F74" s="10">
        <v>1</v>
      </c>
      <c r="G74" s="10">
        <v>953195779.992414</v>
      </c>
      <c r="J74" s="10">
        <v>2021</v>
      </c>
      <c r="K74" s="10">
        <v>1</v>
      </c>
      <c r="L74" s="10">
        <v>953206096.32268202</v>
      </c>
      <c r="O74" s="10">
        <v>2021</v>
      </c>
      <c r="P74" s="10">
        <v>1</v>
      </c>
      <c r="Q74" s="10">
        <v>952815527.07408702</v>
      </c>
      <c r="S74" s="10">
        <v>2021</v>
      </c>
      <c r="T74" s="10">
        <v>1</v>
      </c>
      <c r="U74" s="10">
        <v>952898282.23030305</v>
      </c>
      <c r="W74" s="10">
        <v>2021</v>
      </c>
      <c r="X74" s="10">
        <v>1</v>
      </c>
      <c r="Y74" s="10">
        <v>953012980.07800102</v>
      </c>
      <c r="AA74" s="10">
        <v>2021</v>
      </c>
      <c r="AB74" s="10">
        <v>1</v>
      </c>
      <c r="AC74" s="10">
        <v>952369559.55142796</v>
      </c>
    </row>
    <row r="75" spans="1:29" x14ac:dyDescent="0.25">
      <c r="A75" s="10">
        <v>2021</v>
      </c>
      <c r="B75" s="10">
        <v>2</v>
      </c>
      <c r="C75" s="10">
        <v>947133730.76505101</v>
      </c>
      <c r="E75" s="10">
        <v>2021</v>
      </c>
      <c r="F75" s="10">
        <v>2</v>
      </c>
      <c r="G75" s="10">
        <v>947086184.71847999</v>
      </c>
      <c r="J75" s="10">
        <v>2021</v>
      </c>
      <c r="K75" s="10">
        <v>2</v>
      </c>
      <c r="L75" s="10">
        <v>947030496.25755894</v>
      </c>
      <c r="O75" s="10">
        <v>2021</v>
      </c>
      <c r="P75" s="10">
        <v>2</v>
      </c>
      <c r="Q75" s="10">
        <v>948618761.59324706</v>
      </c>
      <c r="S75" s="10">
        <v>2021</v>
      </c>
      <c r="T75" s="10">
        <v>2</v>
      </c>
      <c r="U75" s="10">
        <v>948712606.54648197</v>
      </c>
      <c r="W75" s="10">
        <v>2021</v>
      </c>
      <c r="X75" s="10">
        <v>2</v>
      </c>
      <c r="Y75" s="10">
        <v>948694533.28011</v>
      </c>
      <c r="AA75" s="10">
        <v>2021</v>
      </c>
      <c r="AB75" s="10">
        <v>2</v>
      </c>
      <c r="AC75" s="10">
        <v>949155562.68188798</v>
      </c>
    </row>
    <row r="76" spans="1:29" x14ac:dyDescent="0.25">
      <c r="A76" s="10">
        <v>2021</v>
      </c>
      <c r="B76" s="10">
        <v>3</v>
      </c>
      <c r="C76" s="10">
        <v>951248191.84830701</v>
      </c>
      <c r="E76" s="10">
        <v>2021</v>
      </c>
      <c r="F76" s="10">
        <v>3</v>
      </c>
      <c r="G76" s="10">
        <v>950748598.40388298</v>
      </c>
      <c r="J76" s="10">
        <v>2021</v>
      </c>
      <c r="K76" s="10">
        <v>3</v>
      </c>
      <c r="L76" s="10">
        <v>950574073.08455801</v>
      </c>
      <c r="O76" s="10">
        <v>2021</v>
      </c>
      <c r="P76" s="10">
        <v>3</v>
      </c>
      <c r="Q76" s="10">
        <v>950291136.15604997</v>
      </c>
      <c r="S76" s="10">
        <v>2021</v>
      </c>
      <c r="T76" s="10">
        <v>3</v>
      </c>
      <c r="U76" s="10">
        <v>950906511.14064705</v>
      </c>
      <c r="W76" s="10">
        <v>2021</v>
      </c>
      <c r="X76" s="10">
        <v>3</v>
      </c>
      <c r="Y76" s="10">
        <v>950638981.31982505</v>
      </c>
      <c r="AA76" s="10">
        <v>2021</v>
      </c>
      <c r="AB76" s="10">
        <v>3</v>
      </c>
      <c r="AC76" s="10">
        <v>951444596.46915102</v>
      </c>
    </row>
    <row r="77" spans="1:29" x14ac:dyDescent="0.25">
      <c r="A77" s="10">
        <v>2021</v>
      </c>
      <c r="B77" s="10">
        <v>4</v>
      </c>
      <c r="C77" s="10">
        <v>950427553.26965797</v>
      </c>
      <c r="E77" s="10">
        <v>2021</v>
      </c>
      <c r="F77" s="10">
        <v>4</v>
      </c>
      <c r="G77" s="10">
        <v>950601133.97117901</v>
      </c>
      <c r="J77" s="10">
        <v>2021</v>
      </c>
      <c r="K77" s="10">
        <v>4</v>
      </c>
      <c r="L77" s="10">
        <v>950520440.99992204</v>
      </c>
      <c r="O77" s="10">
        <v>2021</v>
      </c>
      <c r="P77" s="10">
        <v>4</v>
      </c>
      <c r="Q77" s="10">
        <v>950176733.09860206</v>
      </c>
      <c r="S77" s="10">
        <v>2021</v>
      </c>
      <c r="T77" s="10">
        <v>4</v>
      </c>
      <c r="U77" s="10">
        <v>950396644.00867498</v>
      </c>
      <c r="W77" s="10">
        <v>2021</v>
      </c>
      <c r="X77" s="10">
        <v>4</v>
      </c>
      <c r="Y77" s="10">
        <v>950497693.35490406</v>
      </c>
      <c r="AA77" s="10">
        <v>2021</v>
      </c>
      <c r="AB77" s="10">
        <v>4</v>
      </c>
      <c r="AC77" s="10">
        <v>951294583.56191504</v>
      </c>
    </row>
    <row r="78" spans="1:29" x14ac:dyDescent="0.25">
      <c r="A78" s="10">
        <v>2021</v>
      </c>
      <c r="B78" s="10">
        <v>5</v>
      </c>
      <c r="C78" s="10">
        <v>964974615.79901898</v>
      </c>
      <c r="E78" s="10">
        <v>2021</v>
      </c>
      <c r="F78" s="10">
        <v>5</v>
      </c>
      <c r="G78" s="10">
        <v>965357041.59649503</v>
      </c>
      <c r="J78" s="10">
        <v>2021</v>
      </c>
      <c r="K78" s="10">
        <v>5</v>
      </c>
      <c r="L78" s="10">
        <v>965401292.25756299</v>
      </c>
      <c r="O78" s="10">
        <v>2021</v>
      </c>
      <c r="P78" s="10">
        <v>5</v>
      </c>
      <c r="Q78" s="10">
        <v>964713667.40138698</v>
      </c>
      <c r="S78" s="10">
        <v>2021</v>
      </c>
      <c r="T78" s="10">
        <v>5</v>
      </c>
      <c r="U78" s="10">
        <v>964465863.37401199</v>
      </c>
      <c r="W78" s="10">
        <v>2021</v>
      </c>
      <c r="X78" s="10">
        <v>5</v>
      </c>
      <c r="Y78" s="10">
        <v>964549842.93834305</v>
      </c>
      <c r="AA78" s="10">
        <v>2021</v>
      </c>
      <c r="AB78" s="10">
        <v>5</v>
      </c>
      <c r="AC78" s="10">
        <v>964461314.376369</v>
      </c>
    </row>
    <row r="79" spans="1:29" x14ac:dyDescent="0.25">
      <c r="A79" s="10">
        <v>2021</v>
      </c>
      <c r="B79" s="10">
        <v>6</v>
      </c>
      <c r="C79" s="10">
        <v>964275661.81928897</v>
      </c>
      <c r="E79" s="10">
        <v>2021</v>
      </c>
      <c r="F79" s="10">
        <v>6</v>
      </c>
      <c r="G79" s="10">
        <v>964732308.69530797</v>
      </c>
      <c r="J79" s="10">
        <v>2021</v>
      </c>
      <c r="K79" s="10">
        <v>6</v>
      </c>
      <c r="L79" s="10">
        <v>964805742.66421103</v>
      </c>
      <c r="O79" s="10">
        <v>2021</v>
      </c>
      <c r="P79" s="10">
        <v>6</v>
      </c>
      <c r="Q79" s="10">
        <v>964773724.02999794</v>
      </c>
      <c r="S79" s="10">
        <v>2021</v>
      </c>
      <c r="T79" s="10">
        <v>6</v>
      </c>
      <c r="U79" s="10">
        <v>964471533.54716098</v>
      </c>
      <c r="W79" s="10">
        <v>2021</v>
      </c>
      <c r="X79" s="10">
        <v>6</v>
      </c>
      <c r="Y79" s="10">
        <v>964537287.22892499</v>
      </c>
      <c r="AA79" s="10">
        <v>2021</v>
      </c>
      <c r="AB79" s="10">
        <v>6</v>
      </c>
      <c r="AC79" s="10">
        <v>964892401.00076699</v>
      </c>
    </row>
    <row r="80" spans="1:29" x14ac:dyDescent="0.25">
      <c r="A80" s="10">
        <v>2021</v>
      </c>
      <c r="B80" s="10">
        <v>7</v>
      </c>
      <c r="C80" s="10">
        <v>965922344.62358403</v>
      </c>
      <c r="E80" s="10">
        <v>2021</v>
      </c>
      <c r="F80" s="10">
        <v>7</v>
      </c>
      <c r="G80" s="10">
        <v>965869426.03472102</v>
      </c>
      <c r="J80" s="10">
        <v>2021</v>
      </c>
      <c r="K80" s="10">
        <v>7</v>
      </c>
      <c r="L80" s="10">
        <v>966054596.81605601</v>
      </c>
      <c r="O80" s="10">
        <v>2021</v>
      </c>
      <c r="P80" s="10">
        <v>7</v>
      </c>
      <c r="Q80" s="10">
        <v>966284925.81088996</v>
      </c>
      <c r="S80" s="10">
        <v>2021</v>
      </c>
      <c r="T80" s="10">
        <v>7</v>
      </c>
      <c r="U80" s="10">
        <v>966143931.53433597</v>
      </c>
      <c r="W80" s="10">
        <v>2021</v>
      </c>
      <c r="X80" s="10">
        <v>7</v>
      </c>
      <c r="Y80" s="10">
        <v>965884072.75783205</v>
      </c>
      <c r="AA80" s="10">
        <v>2021</v>
      </c>
      <c r="AB80" s="10">
        <v>7</v>
      </c>
      <c r="AC80" s="10">
        <v>966335122.825616</v>
      </c>
    </row>
    <row r="81" spans="1:29" x14ac:dyDescent="0.25">
      <c r="A81" s="10">
        <v>2021</v>
      </c>
      <c r="B81" s="10">
        <v>8</v>
      </c>
      <c r="C81" s="10">
        <v>961599492.13127899</v>
      </c>
      <c r="E81" s="10">
        <v>2021</v>
      </c>
      <c r="F81" s="10">
        <v>8</v>
      </c>
      <c r="G81" s="10">
        <v>962736696.09993303</v>
      </c>
      <c r="J81" s="10">
        <v>2021</v>
      </c>
      <c r="K81" s="10">
        <v>8</v>
      </c>
      <c r="L81" s="10">
        <v>963013071.54019701</v>
      </c>
      <c r="O81" s="10">
        <v>2021</v>
      </c>
      <c r="P81" s="10">
        <v>8</v>
      </c>
      <c r="Q81" s="10">
        <v>962930196.36363804</v>
      </c>
      <c r="S81" s="10">
        <v>2021</v>
      </c>
      <c r="T81" s="10">
        <v>8</v>
      </c>
      <c r="U81" s="10">
        <v>962662221.73209298</v>
      </c>
      <c r="W81" s="10">
        <v>2021</v>
      </c>
      <c r="X81" s="10">
        <v>8</v>
      </c>
      <c r="Y81" s="10">
        <v>962670198.75141895</v>
      </c>
      <c r="AA81" s="10">
        <v>2021</v>
      </c>
      <c r="AB81" s="10">
        <v>8</v>
      </c>
      <c r="AC81" s="10">
        <v>962074046.05063605</v>
      </c>
    </row>
    <row r="82" spans="1:29" x14ac:dyDescent="0.25">
      <c r="A82" s="10">
        <v>2021</v>
      </c>
      <c r="B82" s="10">
        <v>9</v>
      </c>
      <c r="C82" s="10">
        <v>960897798.82295704</v>
      </c>
      <c r="E82" s="10">
        <v>2021</v>
      </c>
      <c r="F82" s="10">
        <v>9</v>
      </c>
      <c r="G82" s="10">
        <v>960398083.627509</v>
      </c>
      <c r="J82" s="10">
        <v>2021</v>
      </c>
      <c r="K82" s="10">
        <v>9</v>
      </c>
      <c r="L82" s="10">
        <v>960624460.80804205</v>
      </c>
      <c r="O82" s="10">
        <v>2021</v>
      </c>
      <c r="P82" s="10">
        <v>9</v>
      </c>
      <c r="Q82" s="10">
        <v>962144561.78536904</v>
      </c>
      <c r="S82" s="10">
        <v>2021</v>
      </c>
      <c r="T82" s="10">
        <v>9</v>
      </c>
      <c r="U82" s="10">
        <v>961736432.52253497</v>
      </c>
      <c r="W82" s="10">
        <v>2021</v>
      </c>
      <c r="X82" s="10">
        <v>9</v>
      </c>
      <c r="Y82" s="10">
        <v>961768459.58631599</v>
      </c>
      <c r="AA82" s="10">
        <v>2021</v>
      </c>
      <c r="AB82" s="10">
        <v>9</v>
      </c>
      <c r="AC82" s="10">
        <v>961259541.59411097</v>
      </c>
    </row>
    <row r="83" spans="1:29" x14ac:dyDescent="0.25">
      <c r="A83" s="10">
        <v>2021</v>
      </c>
      <c r="B83" s="10">
        <v>10</v>
      </c>
      <c r="C83" s="10">
        <v>968293903.63546896</v>
      </c>
      <c r="E83" s="10">
        <v>2021</v>
      </c>
      <c r="F83" s="10">
        <v>10</v>
      </c>
      <c r="G83" s="10">
        <v>967917720.35315597</v>
      </c>
      <c r="J83" s="10">
        <v>2021</v>
      </c>
      <c r="K83" s="10">
        <v>10</v>
      </c>
      <c r="L83" s="10">
        <v>967840076.44590104</v>
      </c>
      <c r="O83" s="10">
        <v>2021</v>
      </c>
      <c r="P83" s="10">
        <v>10</v>
      </c>
      <c r="Q83" s="10">
        <v>968245315.79855096</v>
      </c>
      <c r="S83" s="10">
        <v>2021</v>
      </c>
      <c r="T83" s="10">
        <v>10</v>
      </c>
      <c r="U83" s="10">
        <v>968127279.24102998</v>
      </c>
      <c r="W83" s="10">
        <v>2021</v>
      </c>
      <c r="X83" s="10">
        <v>10</v>
      </c>
      <c r="Y83" s="10">
        <v>968157095.91507304</v>
      </c>
      <c r="AA83" s="10">
        <v>2021</v>
      </c>
      <c r="AB83" s="10">
        <v>10</v>
      </c>
      <c r="AC83" s="10">
        <v>967067605.80974996</v>
      </c>
    </row>
    <row r="84" spans="1:29" x14ac:dyDescent="0.25">
      <c r="A84" s="10">
        <v>2021</v>
      </c>
      <c r="B84" s="10">
        <v>11</v>
      </c>
      <c r="C84" s="10">
        <v>982749606.77387905</v>
      </c>
      <c r="E84" s="10">
        <v>2021</v>
      </c>
      <c r="F84" s="10">
        <v>11</v>
      </c>
      <c r="G84" s="10">
        <v>982022654.40809703</v>
      </c>
      <c r="J84" s="10">
        <v>2021</v>
      </c>
      <c r="K84" s="10">
        <v>11</v>
      </c>
      <c r="L84" s="10">
        <v>981729875.17220199</v>
      </c>
      <c r="O84" s="10">
        <v>2021</v>
      </c>
      <c r="P84" s="10">
        <v>11</v>
      </c>
      <c r="Q84" s="10">
        <v>979604766.70992696</v>
      </c>
      <c r="S84" s="10">
        <v>2021</v>
      </c>
      <c r="T84" s="10">
        <v>11</v>
      </c>
      <c r="U84" s="10">
        <v>979756118.47036302</v>
      </c>
      <c r="W84" s="10">
        <v>2021</v>
      </c>
      <c r="X84" s="10">
        <v>11</v>
      </c>
      <c r="Y84" s="10">
        <v>979801058.74473095</v>
      </c>
      <c r="AA84" s="10">
        <v>2021</v>
      </c>
      <c r="AB84" s="10">
        <v>11</v>
      </c>
      <c r="AC84" s="10">
        <v>979109923.84735405</v>
      </c>
    </row>
    <row r="85" spans="1:29" x14ac:dyDescent="0.25">
      <c r="A85" s="10">
        <v>2021</v>
      </c>
      <c r="B85" s="10">
        <v>12</v>
      </c>
      <c r="C85" s="10">
        <v>980095528.48224401</v>
      </c>
      <c r="E85" s="10">
        <v>2021</v>
      </c>
      <c r="F85" s="10">
        <v>12</v>
      </c>
      <c r="G85" s="10">
        <v>979838854.04258502</v>
      </c>
      <c r="J85" s="10">
        <v>2021</v>
      </c>
      <c r="K85" s="10">
        <v>12</v>
      </c>
      <c r="L85" s="10">
        <v>979699195.19188201</v>
      </c>
      <c r="O85" s="10">
        <v>2021</v>
      </c>
      <c r="P85" s="10">
        <v>12</v>
      </c>
      <c r="Q85" s="10">
        <v>979847509.28111696</v>
      </c>
      <c r="S85" s="10">
        <v>2021</v>
      </c>
      <c r="T85" s="10">
        <v>12</v>
      </c>
      <c r="U85" s="10">
        <v>980095827.49824798</v>
      </c>
      <c r="W85" s="10">
        <v>2021</v>
      </c>
      <c r="X85" s="10">
        <v>12</v>
      </c>
      <c r="Y85" s="10">
        <v>980210358.63454401</v>
      </c>
      <c r="AA85" s="10">
        <v>2021</v>
      </c>
      <c r="AB85" s="10">
        <v>12</v>
      </c>
      <c r="AC85" s="10">
        <v>979847790.38122404</v>
      </c>
    </row>
    <row r="86" spans="1:29" x14ac:dyDescent="0.25">
      <c r="A86" s="10">
        <v>2022</v>
      </c>
      <c r="B86" s="10">
        <v>1</v>
      </c>
      <c r="C86" s="10">
        <v>945190476.44160104</v>
      </c>
      <c r="E86" s="10">
        <v>2022</v>
      </c>
      <c r="F86" s="10">
        <v>1</v>
      </c>
      <c r="G86" s="10">
        <v>945210620.34275603</v>
      </c>
      <c r="J86" s="10">
        <v>2022</v>
      </c>
      <c r="K86" s="10">
        <v>1</v>
      </c>
      <c r="L86" s="10">
        <v>945197856.587044</v>
      </c>
      <c r="O86" s="10">
        <v>2022</v>
      </c>
      <c r="P86" s="10">
        <v>1</v>
      </c>
      <c r="Q86" s="10">
        <v>944920347.43951702</v>
      </c>
      <c r="S86" s="10">
        <v>2022</v>
      </c>
      <c r="T86" s="10">
        <v>1</v>
      </c>
      <c r="U86" s="10">
        <v>945222742.96889496</v>
      </c>
      <c r="W86" s="10">
        <v>2022</v>
      </c>
      <c r="X86" s="10">
        <v>1</v>
      </c>
      <c r="Y86" s="10">
        <v>945378959.88276303</v>
      </c>
      <c r="AA86" s="10">
        <v>2022</v>
      </c>
      <c r="AB86" s="10">
        <v>1</v>
      </c>
      <c r="AC86" s="10">
        <v>945249427.57500505</v>
      </c>
    </row>
    <row r="87" spans="1:29" x14ac:dyDescent="0.25">
      <c r="A87" s="10">
        <v>2022</v>
      </c>
      <c r="B87" s="10">
        <v>2</v>
      </c>
      <c r="C87" s="10">
        <v>978196947.44258404</v>
      </c>
      <c r="E87" s="10">
        <v>2022</v>
      </c>
      <c r="F87" s="10">
        <v>2</v>
      </c>
      <c r="G87" s="10">
        <v>978188288.78511202</v>
      </c>
      <c r="J87" s="10">
        <v>2022</v>
      </c>
      <c r="K87" s="10">
        <v>2</v>
      </c>
      <c r="L87" s="10">
        <v>978089008.03873098</v>
      </c>
      <c r="O87" s="10">
        <v>2022</v>
      </c>
      <c r="P87" s="10">
        <v>2</v>
      </c>
      <c r="Q87" s="10">
        <v>982051112.836761</v>
      </c>
      <c r="S87" s="10">
        <v>2022</v>
      </c>
      <c r="T87" s="10">
        <v>2</v>
      </c>
      <c r="U87" s="10">
        <v>981730422.78552997</v>
      </c>
      <c r="W87" s="10">
        <v>2022</v>
      </c>
      <c r="X87" s="10">
        <v>2</v>
      </c>
      <c r="Y87" s="10">
        <v>981629890.971035</v>
      </c>
      <c r="AA87" s="10">
        <v>2022</v>
      </c>
      <c r="AB87" s="10">
        <v>2</v>
      </c>
      <c r="AC87" s="10">
        <v>982649031.85467601</v>
      </c>
    </row>
    <row r="88" spans="1:29" x14ac:dyDescent="0.25">
      <c r="A88" s="10">
        <v>2022</v>
      </c>
      <c r="B88" s="10">
        <v>3</v>
      </c>
      <c r="C88" s="10">
        <v>978574845.56225896</v>
      </c>
      <c r="E88" s="10">
        <v>2022</v>
      </c>
      <c r="F88" s="10">
        <v>3</v>
      </c>
      <c r="G88" s="10">
        <v>977824355.96908796</v>
      </c>
      <c r="J88" s="10">
        <v>2022</v>
      </c>
      <c r="K88" s="10">
        <v>3</v>
      </c>
      <c r="L88" s="10">
        <v>977529152.62449598</v>
      </c>
      <c r="O88" s="10">
        <v>2022</v>
      </c>
      <c r="P88" s="10">
        <v>3</v>
      </c>
      <c r="Q88" s="10">
        <v>976295206.876773</v>
      </c>
      <c r="S88" s="10">
        <v>2022</v>
      </c>
      <c r="T88" s="10">
        <v>3</v>
      </c>
      <c r="U88" s="10">
        <v>977694464.10984004</v>
      </c>
      <c r="W88" s="10">
        <v>2022</v>
      </c>
      <c r="X88" s="10">
        <v>3</v>
      </c>
      <c r="Y88" s="10">
        <v>977329153.45932698</v>
      </c>
      <c r="AA88" s="10">
        <v>2022</v>
      </c>
      <c r="AB88" s="10">
        <v>3</v>
      </c>
      <c r="AC88" s="10">
        <v>978612815.94458699</v>
      </c>
    </row>
    <row r="89" spans="1:29" x14ac:dyDescent="0.25">
      <c r="A89" s="10">
        <v>2022</v>
      </c>
      <c r="B89" s="10">
        <v>4</v>
      </c>
      <c r="C89" s="10">
        <v>970029917.83880401</v>
      </c>
      <c r="E89" s="10">
        <v>2022</v>
      </c>
      <c r="F89" s="10">
        <v>4</v>
      </c>
      <c r="G89" s="10">
        <v>970425319.49991906</v>
      </c>
      <c r="J89" s="10">
        <v>2022</v>
      </c>
      <c r="K89" s="10">
        <v>4</v>
      </c>
      <c r="L89" s="10">
        <v>970369461.90388596</v>
      </c>
      <c r="O89" s="10">
        <v>2022</v>
      </c>
      <c r="P89" s="10">
        <v>4</v>
      </c>
      <c r="Q89" s="10">
        <v>968877986.58091199</v>
      </c>
      <c r="S89" s="10">
        <v>2022</v>
      </c>
      <c r="T89" s="10">
        <v>4</v>
      </c>
      <c r="U89" s="10">
        <v>969517069.12169302</v>
      </c>
      <c r="W89" s="10">
        <v>2022</v>
      </c>
      <c r="X89" s="10">
        <v>4</v>
      </c>
      <c r="Y89" s="10">
        <v>969768016.88964295</v>
      </c>
      <c r="AA89" s="10">
        <v>2022</v>
      </c>
      <c r="AB89" s="10">
        <v>4</v>
      </c>
      <c r="AC89" s="10">
        <v>969779217.27646399</v>
      </c>
    </row>
    <row r="90" spans="1:29" x14ac:dyDescent="0.25">
      <c r="A90" s="10">
        <v>2022</v>
      </c>
      <c r="B90" s="10">
        <v>5</v>
      </c>
      <c r="C90" s="10">
        <v>970399119.57004201</v>
      </c>
      <c r="E90" s="10">
        <v>2022</v>
      </c>
      <c r="F90" s="10">
        <v>5</v>
      </c>
      <c r="G90" s="10">
        <v>971044478.35226595</v>
      </c>
      <c r="J90" s="10">
        <v>2022</v>
      </c>
      <c r="K90" s="10">
        <v>5</v>
      </c>
      <c r="L90" s="10">
        <v>971084478.785236</v>
      </c>
      <c r="O90" s="10">
        <v>2022</v>
      </c>
      <c r="P90" s="10">
        <v>5</v>
      </c>
      <c r="Q90" s="10">
        <v>970323552.25704503</v>
      </c>
      <c r="S90" s="10">
        <v>2022</v>
      </c>
      <c r="T90" s="10">
        <v>5</v>
      </c>
      <c r="U90" s="10">
        <v>969557425.22969496</v>
      </c>
      <c r="W90" s="10">
        <v>2022</v>
      </c>
      <c r="X90" s="10">
        <v>5</v>
      </c>
      <c r="Y90" s="10">
        <v>969730330.983096</v>
      </c>
      <c r="AA90" s="10">
        <v>2022</v>
      </c>
      <c r="AB90" s="10">
        <v>5</v>
      </c>
      <c r="AC90" s="10">
        <v>970246089.32241797</v>
      </c>
    </row>
    <row r="91" spans="1:29" x14ac:dyDescent="0.25">
      <c r="A91" s="10">
        <v>2022</v>
      </c>
      <c r="B91" s="10">
        <v>6</v>
      </c>
      <c r="C91" s="10">
        <v>956225645.27154601</v>
      </c>
      <c r="E91" s="10">
        <v>2022</v>
      </c>
      <c r="F91" s="10">
        <v>6</v>
      </c>
      <c r="G91" s="10">
        <v>957021228.26812196</v>
      </c>
      <c r="J91" s="10">
        <v>2022</v>
      </c>
      <c r="K91" s="10">
        <v>6</v>
      </c>
      <c r="L91" s="10">
        <v>957169292.48679805</v>
      </c>
      <c r="O91" s="10">
        <v>2022</v>
      </c>
      <c r="P91" s="10">
        <v>6</v>
      </c>
      <c r="Q91" s="10">
        <v>956979492.99830997</v>
      </c>
      <c r="S91" s="10">
        <v>2022</v>
      </c>
      <c r="T91" s="10">
        <v>6</v>
      </c>
      <c r="U91" s="10">
        <v>956201294.59995699</v>
      </c>
      <c r="W91" s="10">
        <v>2022</v>
      </c>
      <c r="X91" s="10">
        <v>6</v>
      </c>
      <c r="Y91" s="10">
        <v>956409511.13173401</v>
      </c>
      <c r="AA91" s="10">
        <v>2022</v>
      </c>
      <c r="AB91" s="10">
        <v>6</v>
      </c>
      <c r="AC91" s="10">
        <v>957181385.15365195</v>
      </c>
    </row>
    <row r="92" spans="1:29" x14ac:dyDescent="0.25">
      <c r="A92" s="10">
        <v>2022</v>
      </c>
      <c r="B92" s="10">
        <v>7</v>
      </c>
      <c r="C92" s="10">
        <v>953413279.80572295</v>
      </c>
      <c r="E92" s="10">
        <v>2022</v>
      </c>
      <c r="F92" s="10">
        <v>7</v>
      </c>
      <c r="G92" s="10">
        <v>953248096.77971494</v>
      </c>
      <c r="J92" s="10">
        <v>2022</v>
      </c>
      <c r="K92" s="10">
        <v>7</v>
      </c>
      <c r="L92" s="10">
        <v>953606270.76402605</v>
      </c>
      <c r="O92" s="10">
        <v>2022</v>
      </c>
      <c r="P92" s="10">
        <v>7</v>
      </c>
      <c r="Q92" s="10">
        <v>953793266.38281</v>
      </c>
      <c r="S92" s="10">
        <v>2022</v>
      </c>
      <c r="T92" s="10">
        <v>7</v>
      </c>
      <c r="U92" s="10">
        <v>953485709.72766101</v>
      </c>
      <c r="W92" s="10">
        <v>2022</v>
      </c>
      <c r="X92" s="10">
        <v>7</v>
      </c>
      <c r="Y92" s="10">
        <v>952881949.74807596</v>
      </c>
      <c r="AA92" s="10">
        <v>2022</v>
      </c>
      <c r="AB92" s="10">
        <v>7</v>
      </c>
      <c r="AC92" s="10">
        <v>954103850.522156</v>
      </c>
    </row>
    <row r="93" spans="1:29" x14ac:dyDescent="0.25">
      <c r="A93" s="10">
        <v>2022</v>
      </c>
      <c r="B93" s="10">
        <v>8</v>
      </c>
      <c r="C93" s="10">
        <v>963722142.57211101</v>
      </c>
      <c r="E93" s="10">
        <v>2022</v>
      </c>
      <c r="F93" s="10">
        <v>8</v>
      </c>
      <c r="G93" s="10">
        <v>965713215.67253697</v>
      </c>
      <c r="J93" s="10">
        <v>2022</v>
      </c>
      <c r="K93" s="10">
        <v>8</v>
      </c>
      <c r="L93" s="10">
        <v>966150632.46701002</v>
      </c>
      <c r="O93" s="10">
        <v>2022</v>
      </c>
      <c r="P93" s="10">
        <v>8</v>
      </c>
      <c r="Q93" s="10">
        <v>966370312.09767699</v>
      </c>
      <c r="S93" s="10">
        <v>2022</v>
      </c>
      <c r="T93" s="10">
        <v>8</v>
      </c>
      <c r="U93" s="10">
        <v>965915224.04295599</v>
      </c>
      <c r="W93" s="10">
        <v>2022</v>
      </c>
      <c r="X93" s="10">
        <v>8</v>
      </c>
      <c r="Y93" s="10">
        <v>965836451.38776195</v>
      </c>
      <c r="AA93" s="10">
        <v>2022</v>
      </c>
      <c r="AB93" s="10">
        <v>8</v>
      </c>
      <c r="AC93" s="10">
        <v>965233353.39080501</v>
      </c>
    </row>
    <row r="94" spans="1:29" x14ac:dyDescent="0.25">
      <c r="A94" s="10">
        <v>2022</v>
      </c>
      <c r="B94" s="10">
        <v>9</v>
      </c>
      <c r="C94" s="10">
        <v>964144657.17047</v>
      </c>
      <c r="E94" s="10">
        <v>2022</v>
      </c>
      <c r="F94" s="10">
        <v>9</v>
      </c>
      <c r="G94" s="10">
        <v>962851467.53049695</v>
      </c>
      <c r="J94" s="10">
        <v>2022</v>
      </c>
      <c r="K94" s="10">
        <v>9</v>
      </c>
      <c r="L94" s="10">
        <v>963334786.18303895</v>
      </c>
      <c r="O94" s="10">
        <v>2022</v>
      </c>
      <c r="P94" s="10">
        <v>9</v>
      </c>
      <c r="Q94" s="10">
        <v>964696015.29872096</v>
      </c>
      <c r="S94" s="10">
        <v>2022</v>
      </c>
      <c r="T94" s="10">
        <v>9</v>
      </c>
      <c r="U94" s="10">
        <v>964249037.25785899</v>
      </c>
      <c r="W94" s="10">
        <v>2022</v>
      </c>
      <c r="X94" s="10">
        <v>9</v>
      </c>
      <c r="Y94" s="10">
        <v>964199167.68443406</v>
      </c>
      <c r="AA94" s="10">
        <v>2022</v>
      </c>
      <c r="AB94" s="10">
        <v>9</v>
      </c>
      <c r="AC94" s="10">
        <v>962757285.71318901</v>
      </c>
    </row>
    <row r="95" spans="1:29" x14ac:dyDescent="0.25">
      <c r="A95" s="10">
        <v>2022</v>
      </c>
      <c r="B95" s="10">
        <v>10</v>
      </c>
      <c r="C95" s="10">
        <v>964432209.83912802</v>
      </c>
      <c r="E95" s="10">
        <v>2022</v>
      </c>
      <c r="F95" s="10">
        <v>10</v>
      </c>
      <c r="G95" s="10">
        <v>963687135.18901205</v>
      </c>
      <c r="J95" s="10">
        <v>2022</v>
      </c>
      <c r="K95" s="10">
        <v>10</v>
      </c>
      <c r="L95" s="10">
        <v>963190191.51327002</v>
      </c>
      <c r="O95" s="10">
        <v>2022</v>
      </c>
      <c r="P95" s="10">
        <v>10</v>
      </c>
      <c r="Q95" s="10">
        <v>964099971.072945</v>
      </c>
      <c r="S95" s="10">
        <v>2022</v>
      </c>
      <c r="T95" s="10">
        <v>10</v>
      </c>
      <c r="U95" s="10">
        <v>963975047.170362</v>
      </c>
      <c r="W95" s="10">
        <v>2022</v>
      </c>
      <c r="X95" s="10">
        <v>10</v>
      </c>
      <c r="Y95" s="10">
        <v>963998321.82028496</v>
      </c>
      <c r="AA95" s="10">
        <v>2022</v>
      </c>
      <c r="AB95" s="10">
        <v>10</v>
      </c>
      <c r="AC95" s="10">
        <v>961805305.47944295</v>
      </c>
    </row>
    <row r="96" spans="1:29" x14ac:dyDescent="0.25">
      <c r="A96" s="10">
        <v>2022</v>
      </c>
      <c r="B96" s="10">
        <v>11</v>
      </c>
      <c r="C96" s="10">
        <v>948586171.13940203</v>
      </c>
      <c r="E96" s="10">
        <v>2022</v>
      </c>
      <c r="F96" s="10">
        <v>11</v>
      </c>
      <c r="G96" s="10">
        <v>947654238.87850201</v>
      </c>
      <c r="J96" s="10">
        <v>2022</v>
      </c>
      <c r="K96" s="10">
        <v>11</v>
      </c>
      <c r="L96" s="10">
        <v>947257036.66047704</v>
      </c>
      <c r="O96" s="10">
        <v>2022</v>
      </c>
      <c r="P96" s="10">
        <v>11</v>
      </c>
      <c r="Q96" s="10">
        <v>944670410.77737403</v>
      </c>
      <c r="S96" s="10">
        <v>2022</v>
      </c>
      <c r="T96" s="10">
        <v>11</v>
      </c>
      <c r="U96" s="10">
        <v>944907060.168679</v>
      </c>
      <c r="W96" s="10">
        <v>2022</v>
      </c>
      <c r="X96" s="10">
        <v>11</v>
      </c>
      <c r="Y96" s="10">
        <v>945020773.59542894</v>
      </c>
      <c r="AA96" s="10">
        <v>2022</v>
      </c>
      <c r="AB96" s="10">
        <v>11</v>
      </c>
      <c r="AC96" s="10">
        <v>943667000.92446196</v>
      </c>
    </row>
    <row r="97" spans="1:29" x14ac:dyDescent="0.25">
      <c r="A97" s="10">
        <v>2022</v>
      </c>
      <c r="B97" s="10">
        <v>12</v>
      </c>
      <c r="C97" s="10">
        <v>962826353.24162495</v>
      </c>
      <c r="E97" s="10">
        <v>2022</v>
      </c>
      <c r="F97" s="10">
        <v>12</v>
      </c>
      <c r="G97" s="10">
        <v>962513705.50292897</v>
      </c>
      <c r="J97" s="10">
        <v>2022</v>
      </c>
      <c r="K97" s="10">
        <v>12</v>
      </c>
      <c r="L97" s="10">
        <v>962364528.61054599</v>
      </c>
      <c r="O97" s="10">
        <v>2022</v>
      </c>
      <c r="P97" s="10">
        <v>12</v>
      </c>
      <c r="Q97" s="10">
        <v>961586522.40729797</v>
      </c>
      <c r="S97" s="10">
        <v>2022</v>
      </c>
      <c r="T97" s="10">
        <v>12</v>
      </c>
      <c r="U97" s="10">
        <v>962004556.48764706</v>
      </c>
      <c r="W97" s="10">
        <v>2022</v>
      </c>
      <c r="X97" s="10">
        <v>12</v>
      </c>
      <c r="Y97" s="10">
        <v>962268624.46567202</v>
      </c>
      <c r="AA97" s="10">
        <v>2022</v>
      </c>
      <c r="AB97" s="10">
        <v>12</v>
      </c>
      <c r="AC97" s="10">
        <v>961125429.85874403</v>
      </c>
    </row>
    <row r="98" spans="1:29" x14ac:dyDescent="0.25">
      <c r="A98" s="10">
        <v>2023</v>
      </c>
      <c r="B98" s="10">
        <v>1</v>
      </c>
      <c r="C98" s="10">
        <v>978143608.92691398</v>
      </c>
      <c r="E98" s="10">
        <v>2023</v>
      </c>
      <c r="F98" s="10">
        <v>1</v>
      </c>
      <c r="G98" s="10">
        <v>978136333.99215496</v>
      </c>
      <c r="J98" s="10">
        <v>2023</v>
      </c>
      <c r="K98" s="10">
        <v>1</v>
      </c>
      <c r="L98" s="10">
        <v>978058637.06069601</v>
      </c>
      <c r="O98" s="10">
        <v>2023</v>
      </c>
      <c r="P98" s="10">
        <v>1</v>
      </c>
      <c r="Q98" s="10">
        <v>978605386.79696798</v>
      </c>
      <c r="S98" s="10">
        <v>2023</v>
      </c>
      <c r="T98" s="10">
        <v>1</v>
      </c>
      <c r="U98" s="10">
        <v>979241030.07119906</v>
      </c>
      <c r="W98" s="10">
        <v>2023</v>
      </c>
      <c r="X98" s="10">
        <v>1</v>
      </c>
      <c r="Y98" s="10">
        <v>979494886.72187603</v>
      </c>
      <c r="AA98" s="10">
        <v>2023</v>
      </c>
      <c r="AB98" s="10">
        <v>1</v>
      </c>
      <c r="AC98" s="10">
        <v>980495141.69347703</v>
      </c>
    </row>
    <row r="99" spans="1:29" x14ac:dyDescent="0.25">
      <c r="A99" s="10">
        <v>2023</v>
      </c>
      <c r="B99" s="10">
        <v>2</v>
      </c>
      <c r="C99" s="10">
        <v>970184290.95644999</v>
      </c>
      <c r="E99" s="10">
        <v>2023</v>
      </c>
      <c r="F99" s="10">
        <v>2</v>
      </c>
      <c r="G99" s="10">
        <v>970224833.07885504</v>
      </c>
      <c r="J99" s="10">
        <v>2023</v>
      </c>
      <c r="K99" s="10">
        <v>2</v>
      </c>
      <c r="L99" s="10">
        <v>970105075.13388896</v>
      </c>
      <c r="O99" s="10">
        <v>2023</v>
      </c>
      <c r="P99" s="10">
        <v>2</v>
      </c>
      <c r="Q99" s="10">
        <v>976951370.01504803</v>
      </c>
      <c r="S99" s="10">
        <v>2023</v>
      </c>
      <c r="T99" s="10">
        <v>2</v>
      </c>
      <c r="U99" s="10">
        <v>976372955.56933105</v>
      </c>
      <c r="W99" s="10">
        <v>2023</v>
      </c>
      <c r="X99" s="10">
        <v>2</v>
      </c>
      <c r="Y99" s="10">
        <v>976233101.12747395</v>
      </c>
      <c r="AA99" s="10">
        <v>2023</v>
      </c>
      <c r="AB99" s="10">
        <v>2</v>
      </c>
      <c r="AC99" s="10">
        <v>978268637.35095203</v>
      </c>
    </row>
    <row r="100" spans="1:29" x14ac:dyDescent="0.25">
      <c r="A100" s="10">
        <v>2023</v>
      </c>
      <c r="B100" s="10">
        <v>3</v>
      </c>
      <c r="C100" s="10">
        <v>957179741.22809196</v>
      </c>
      <c r="E100" s="10">
        <v>2023</v>
      </c>
      <c r="F100" s="10">
        <v>3</v>
      </c>
      <c r="G100" s="10">
        <v>956320425.88245296</v>
      </c>
      <c r="J100" s="10">
        <v>2023</v>
      </c>
      <c r="K100" s="10">
        <v>3</v>
      </c>
      <c r="L100" s="10">
        <v>955959153.25703299</v>
      </c>
      <c r="O100" s="10">
        <v>2023</v>
      </c>
      <c r="P100" s="10">
        <v>3</v>
      </c>
      <c r="Q100" s="10">
        <v>953472418.14167702</v>
      </c>
      <c r="S100" s="10">
        <v>2023</v>
      </c>
      <c r="T100" s="10">
        <v>3</v>
      </c>
      <c r="U100" s="10">
        <v>955519187.08936596</v>
      </c>
      <c r="W100" s="10">
        <v>2023</v>
      </c>
      <c r="X100" s="10">
        <v>3</v>
      </c>
      <c r="Y100" s="10">
        <v>955286722.01908004</v>
      </c>
      <c r="AA100" s="10">
        <v>2023</v>
      </c>
      <c r="AB100" s="10">
        <v>3</v>
      </c>
      <c r="AC100" s="10">
        <v>956857232.559587</v>
      </c>
    </row>
    <row r="101" spans="1:29" x14ac:dyDescent="0.25">
      <c r="A101" s="10">
        <v>2023</v>
      </c>
      <c r="B101" s="10">
        <v>4</v>
      </c>
      <c r="C101" s="10">
        <v>987961005.54061306</v>
      </c>
      <c r="E101" s="10">
        <v>2023</v>
      </c>
      <c r="F101" s="10">
        <v>4</v>
      </c>
      <c r="G101" s="10">
        <v>988582577.63006699</v>
      </c>
      <c r="J101" s="10">
        <v>2023</v>
      </c>
      <c r="K101" s="10">
        <v>4</v>
      </c>
      <c r="L101" s="10">
        <v>988565638.17527795</v>
      </c>
      <c r="O101" s="10">
        <v>2023</v>
      </c>
      <c r="P101" s="10">
        <v>4</v>
      </c>
      <c r="Q101" s="10">
        <v>985811434.72991097</v>
      </c>
      <c r="S101" s="10">
        <v>2023</v>
      </c>
      <c r="T101" s="10">
        <v>4</v>
      </c>
      <c r="U101" s="10">
        <v>986820720.14827502</v>
      </c>
      <c r="W101" s="10">
        <v>2023</v>
      </c>
      <c r="X101" s="10">
        <v>4</v>
      </c>
      <c r="Y101" s="10">
        <v>987169098.36798203</v>
      </c>
      <c r="AA101" s="10">
        <v>2023</v>
      </c>
      <c r="AB101" s="10">
        <v>4</v>
      </c>
      <c r="AC101" s="10">
        <v>986803945.116611</v>
      </c>
    </row>
    <row r="102" spans="1:29" x14ac:dyDescent="0.25">
      <c r="A102" s="10">
        <v>2023</v>
      </c>
      <c r="B102" s="10">
        <v>5</v>
      </c>
      <c r="C102" s="10">
        <v>950688618.04224706</v>
      </c>
      <c r="E102" s="10">
        <v>2023</v>
      </c>
      <c r="F102" s="10">
        <v>5</v>
      </c>
      <c r="G102" s="10">
        <v>951605703.65519404</v>
      </c>
      <c r="J102" s="10">
        <v>2023</v>
      </c>
      <c r="K102" s="10">
        <v>5</v>
      </c>
      <c r="L102" s="10">
        <v>951653172.50454104</v>
      </c>
      <c r="O102" s="10">
        <v>2023</v>
      </c>
      <c r="P102" s="10">
        <v>5</v>
      </c>
      <c r="Q102" s="10">
        <v>950637334.72642195</v>
      </c>
      <c r="S102" s="10">
        <v>2023</v>
      </c>
      <c r="T102" s="10">
        <v>5</v>
      </c>
      <c r="U102" s="10">
        <v>949447463.07732296</v>
      </c>
      <c r="W102" s="10">
        <v>2023</v>
      </c>
      <c r="X102" s="10">
        <v>5</v>
      </c>
      <c r="Y102" s="10">
        <v>949631667.85336304</v>
      </c>
      <c r="AA102" s="10">
        <v>2023</v>
      </c>
      <c r="AB102" s="10">
        <v>5</v>
      </c>
      <c r="AC102" s="10">
        <v>950825192.27552104</v>
      </c>
    </row>
    <row r="103" spans="1:29" x14ac:dyDescent="0.25">
      <c r="A103" s="10">
        <v>2023</v>
      </c>
      <c r="B103" s="10">
        <v>6</v>
      </c>
      <c r="C103" s="10">
        <v>946906764.40109205</v>
      </c>
      <c r="E103" s="10">
        <v>2023</v>
      </c>
      <c r="F103" s="10">
        <v>6</v>
      </c>
      <c r="G103" s="10">
        <v>948085728.47589505</v>
      </c>
      <c r="J103" s="10">
        <v>2023</v>
      </c>
      <c r="K103" s="10">
        <v>6</v>
      </c>
      <c r="L103" s="10">
        <v>948312971.12993896</v>
      </c>
      <c r="O103" s="10">
        <v>2023</v>
      </c>
      <c r="P103" s="10">
        <v>6</v>
      </c>
      <c r="Q103" s="10">
        <v>947898116.15215695</v>
      </c>
      <c r="S103" s="10">
        <v>2023</v>
      </c>
      <c r="T103" s="10">
        <v>6</v>
      </c>
      <c r="U103" s="10">
        <v>946709610.06800997</v>
      </c>
      <c r="W103" s="10">
        <v>2023</v>
      </c>
      <c r="X103" s="10">
        <v>6</v>
      </c>
      <c r="Y103" s="10">
        <v>946960768.73387098</v>
      </c>
      <c r="AA103" s="10">
        <v>2023</v>
      </c>
      <c r="AB103" s="10">
        <v>6</v>
      </c>
      <c r="AC103" s="10">
        <v>948176972.12900102</v>
      </c>
    </row>
    <row r="104" spans="1:29" x14ac:dyDescent="0.25">
      <c r="A104" s="10">
        <v>2023</v>
      </c>
      <c r="B104" s="10">
        <v>7</v>
      </c>
      <c r="C104" s="10">
        <v>949893250.91258299</v>
      </c>
      <c r="E104" s="10">
        <v>2023</v>
      </c>
      <c r="F104" s="10">
        <v>7</v>
      </c>
      <c r="G104" s="10">
        <v>949567135.60428703</v>
      </c>
      <c r="J104" s="10">
        <v>2023</v>
      </c>
      <c r="K104" s="10">
        <v>7</v>
      </c>
      <c r="L104" s="10">
        <v>950075420.79864001</v>
      </c>
      <c r="O104" s="10">
        <v>2023</v>
      </c>
      <c r="P104" s="10">
        <v>7</v>
      </c>
      <c r="Q104" s="10">
        <v>950514796.21431994</v>
      </c>
      <c r="S104" s="10">
        <v>2023</v>
      </c>
      <c r="T104" s="10">
        <v>7</v>
      </c>
      <c r="U104" s="10">
        <v>950070378.77338398</v>
      </c>
      <c r="W104" s="10">
        <v>2023</v>
      </c>
      <c r="X104" s="10">
        <v>7</v>
      </c>
      <c r="Y104" s="10">
        <v>948952447.36393702</v>
      </c>
      <c r="AA104" s="10">
        <v>2023</v>
      </c>
      <c r="AB104" s="10">
        <v>7</v>
      </c>
      <c r="AC104" s="10">
        <v>951259427.21229303</v>
      </c>
    </row>
    <row r="105" spans="1:29" x14ac:dyDescent="0.25">
      <c r="A105" s="10">
        <v>2023</v>
      </c>
      <c r="B105" s="10">
        <v>8</v>
      </c>
      <c r="C105" s="10">
        <v>956326549.68149805</v>
      </c>
      <c r="E105" s="10">
        <v>2023</v>
      </c>
      <c r="F105" s="10">
        <v>8</v>
      </c>
      <c r="G105" s="10">
        <v>959199745.55638504</v>
      </c>
      <c r="J105" s="10">
        <v>2023</v>
      </c>
      <c r="K105" s="10">
        <v>8</v>
      </c>
      <c r="L105" s="10">
        <v>959852408.89602804</v>
      </c>
      <c r="O105" s="10">
        <v>2023</v>
      </c>
      <c r="P105" s="10">
        <v>8</v>
      </c>
      <c r="Q105" s="10">
        <v>960010061.83419704</v>
      </c>
      <c r="S105" s="10">
        <v>2023</v>
      </c>
      <c r="T105" s="10">
        <v>8</v>
      </c>
      <c r="U105" s="10">
        <v>959281199.121665</v>
      </c>
      <c r="W105" s="10">
        <v>2023</v>
      </c>
      <c r="X105" s="10">
        <v>8</v>
      </c>
      <c r="Y105" s="10">
        <v>959118909.48469996</v>
      </c>
      <c r="AA105" s="10">
        <v>2023</v>
      </c>
      <c r="AB105" s="10">
        <v>8</v>
      </c>
      <c r="AC105" s="10">
        <v>957979306.24782801</v>
      </c>
    </row>
    <row r="106" spans="1:29" x14ac:dyDescent="0.25">
      <c r="A106" s="10">
        <v>2023</v>
      </c>
      <c r="B106" s="10">
        <v>9</v>
      </c>
      <c r="C106" s="10">
        <v>924630641.44424701</v>
      </c>
      <c r="E106" s="10">
        <v>2023</v>
      </c>
      <c r="F106" s="10">
        <v>9</v>
      </c>
      <c r="G106" s="10">
        <v>922288420.63523901</v>
      </c>
      <c r="J106" s="10">
        <v>2023</v>
      </c>
      <c r="K106" s="10">
        <v>9</v>
      </c>
      <c r="L106" s="10">
        <v>923125122.180282</v>
      </c>
      <c r="O106" s="10">
        <v>2023</v>
      </c>
      <c r="P106" s="10">
        <v>9</v>
      </c>
      <c r="Q106" s="10">
        <v>924032656.73519897</v>
      </c>
      <c r="S106" s="10">
        <v>2023</v>
      </c>
      <c r="T106" s="10">
        <v>9</v>
      </c>
      <c r="U106" s="10">
        <v>923498003.69748294</v>
      </c>
      <c r="W106" s="10">
        <v>2023</v>
      </c>
      <c r="X106" s="10">
        <v>9</v>
      </c>
      <c r="Y106" s="10">
        <v>923395879.80036497</v>
      </c>
      <c r="AA106" s="10">
        <v>2023</v>
      </c>
      <c r="AB106" s="10">
        <v>9</v>
      </c>
      <c r="AC106" s="10">
        <v>920217048.05032003</v>
      </c>
    </row>
    <row r="107" spans="1:29" x14ac:dyDescent="0.25">
      <c r="A107" s="10">
        <v>2023</v>
      </c>
      <c r="B107" s="10">
        <v>10</v>
      </c>
      <c r="C107" s="10">
        <v>914421572.83827198</v>
      </c>
      <c r="E107" s="10">
        <v>2023</v>
      </c>
      <c r="F107" s="10">
        <v>10</v>
      </c>
      <c r="G107" s="10">
        <v>913318650.625916</v>
      </c>
      <c r="J107" s="10">
        <v>2023</v>
      </c>
      <c r="K107" s="10">
        <v>10</v>
      </c>
      <c r="L107" s="10">
        <v>912146769.75353503</v>
      </c>
      <c r="O107" s="10">
        <v>2023</v>
      </c>
      <c r="P107" s="10">
        <v>10</v>
      </c>
      <c r="Q107" s="10">
        <v>913981044.11700106</v>
      </c>
      <c r="S107" s="10">
        <v>2023</v>
      </c>
      <c r="T107" s="10">
        <v>10</v>
      </c>
      <c r="U107" s="10">
        <v>913863399.05436301</v>
      </c>
      <c r="W107" s="10">
        <v>2023</v>
      </c>
      <c r="X107" s="10">
        <v>10</v>
      </c>
      <c r="Y107" s="10">
        <v>913894333.47538495</v>
      </c>
      <c r="AA107" s="10">
        <v>2023</v>
      </c>
      <c r="AB107" s="10">
        <v>10</v>
      </c>
      <c r="AC107" s="10">
        <v>910459882.13064206</v>
      </c>
    </row>
    <row r="108" spans="1:29" x14ac:dyDescent="0.25">
      <c r="A108" s="10">
        <v>2023</v>
      </c>
      <c r="B108" s="10">
        <v>11</v>
      </c>
      <c r="C108" s="10">
        <v>905728641.49702299</v>
      </c>
      <c r="E108" s="10">
        <v>2023</v>
      </c>
      <c r="F108" s="10">
        <v>11</v>
      </c>
      <c r="G108" s="10">
        <v>904624306.61714602</v>
      </c>
      <c r="J108" s="10">
        <v>2023</v>
      </c>
      <c r="K108" s="10">
        <v>11</v>
      </c>
      <c r="L108" s="10">
        <v>904112366.97842205</v>
      </c>
      <c r="O108" s="10">
        <v>2023</v>
      </c>
      <c r="P108" s="10">
        <v>11</v>
      </c>
      <c r="Q108" s="10">
        <v>900887250.08511102</v>
      </c>
      <c r="S108" s="10">
        <v>2023</v>
      </c>
      <c r="T108" s="10">
        <v>11</v>
      </c>
      <c r="U108" s="10">
        <v>901188886.09314096</v>
      </c>
      <c r="W108" s="10">
        <v>2023</v>
      </c>
      <c r="X108" s="10">
        <v>11</v>
      </c>
      <c r="Y108" s="10">
        <v>901400682.346596</v>
      </c>
      <c r="AA108" s="10">
        <v>2023</v>
      </c>
      <c r="AB108" s="10">
        <v>11</v>
      </c>
      <c r="AC108" s="10">
        <v>899554312.33246398</v>
      </c>
    </row>
    <row r="109" spans="1:29" x14ac:dyDescent="0.25">
      <c r="A109" s="10">
        <v>2023</v>
      </c>
      <c r="B109" s="10">
        <v>12</v>
      </c>
      <c r="C109" s="10">
        <v>883901119.82874894</v>
      </c>
      <c r="E109" s="10">
        <v>2023</v>
      </c>
      <c r="F109" s="10">
        <v>12</v>
      </c>
      <c r="G109" s="10">
        <v>883617533.88136899</v>
      </c>
      <c r="J109" s="10">
        <v>2023</v>
      </c>
      <c r="K109" s="10">
        <v>12</v>
      </c>
      <c r="L109" s="10">
        <v>883477416.663378</v>
      </c>
      <c r="O109" s="10">
        <v>2023</v>
      </c>
      <c r="P109" s="10">
        <v>12</v>
      </c>
      <c r="Q109" s="10">
        <v>881823203.74906695</v>
      </c>
      <c r="S109" s="10">
        <v>2023</v>
      </c>
      <c r="T109" s="10">
        <v>12</v>
      </c>
      <c r="U109" s="10">
        <v>882388750.91517699</v>
      </c>
      <c r="W109" s="10">
        <v>2023</v>
      </c>
      <c r="X109" s="10">
        <v>12</v>
      </c>
      <c r="Y109" s="10">
        <v>882840164.28655398</v>
      </c>
      <c r="AA109" s="10">
        <v>2023</v>
      </c>
      <c r="AB109" s="10">
        <v>12</v>
      </c>
      <c r="AC109" s="10">
        <v>881244531.09183502</v>
      </c>
    </row>
    <row r="110" spans="1:29" x14ac:dyDescent="0.25">
      <c r="A110" s="10">
        <v>2024</v>
      </c>
      <c r="B110" s="10">
        <v>1</v>
      </c>
      <c r="C110" s="10">
        <v>857981136.60355198</v>
      </c>
      <c r="E110" s="10">
        <v>2024</v>
      </c>
      <c r="F110" s="10">
        <v>1</v>
      </c>
      <c r="G110" s="10">
        <v>858029782.51645803</v>
      </c>
      <c r="J110" s="10">
        <v>2024</v>
      </c>
      <c r="K110" s="10">
        <v>1</v>
      </c>
      <c r="L110" s="10">
        <v>857921148.71641695</v>
      </c>
      <c r="O110" s="10">
        <v>2024</v>
      </c>
      <c r="P110" s="10">
        <v>1</v>
      </c>
      <c r="Q110" s="10">
        <v>859631924.61770499</v>
      </c>
      <c r="S110" s="10">
        <v>2024</v>
      </c>
      <c r="T110" s="10">
        <v>1</v>
      </c>
      <c r="U110" s="10">
        <v>860545559.274243</v>
      </c>
      <c r="W110" s="10">
        <v>2024</v>
      </c>
      <c r="X110" s="10">
        <v>1</v>
      </c>
      <c r="Y110" s="10">
        <v>860918038.00938797</v>
      </c>
      <c r="AA110" s="10">
        <v>2024</v>
      </c>
      <c r="AB110" s="10">
        <v>1</v>
      </c>
      <c r="AC110" s="10">
        <v>863360909.86035001</v>
      </c>
    </row>
    <row r="111" spans="1:29" x14ac:dyDescent="0.25">
      <c r="A111" s="10">
        <v>2024</v>
      </c>
      <c r="B111" s="10">
        <v>2</v>
      </c>
      <c r="C111" s="10">
        <v>834305854.76719606</v>
      </c>
      <c r="E111" s="10">
        <v>2024</v>
      </c>
      <c r="F111" s="10">
        <v>2</v>
      </c>
      <c r="G111" s="10">
        <v>834545275.87624395</v>
      </c>
      <c r="J111" s="10">
        <v>2024</v>
      </c>
      <c r="K111" s="10">
        <v>2</v>
      </c>
      <c r="L111" s="10">
        <v>834431757.72218597</v>
      </c>
      <c r="O111" s="10">
        <v>2024</v>
      </c>
      <c r="P111" s="10">
        <v>2</v>
      </c>
      <c r="Q111" s="10">
        <v>841848890.24909496</v>
      </c>
      <c r="S111" s="10">
        <v>2024</v>
      </c>
      <c r="T111" s="10">
        <v>2</v>
      </c>
      <c r="U111" s="10">
        <v>840933755.33857596</v>
      </c>
      <c r="W111" s="10">
        <v>2024</v>
      </c>
      <c r="X111" s="10">
        <v>2</v>
      </c>
      <c r="Y111" s="10">
        <v>840815520.50118899</v>
      </c>
      <c r="AA111" s="10">
        <v>2024</v>
      </c>
      <c r="AB111" s="10">
        <v>2</v>
      </c>
      <c r="AC111" s="10">
        <v>843884640.30935597</v>
      </c>
    </row>
    <row r="112" spans="1:29" x14ac:dyDescent="0.25">
      <c r="A112" s="10">
        <v>2024</v>
      </c>
      <c r="B112" s="10">
        <v>3</v>
      </c>
      <c r="C112" s="10">
        <v>843027608.63189602</v>
      </c>
      <c r="E112" s="10">
        <v>2024</v>
      </c>
      <c r="F112" s="10">
        <v>3</v>
      </c>
      <c r="G112" s="10">
        <v>842099788.67141199</v>
      </c>
      <c r="J112" s="10">
        <v>2024</v>
      </c>
      <c r="K112" s="10">
        <v>3</v>
      </c>
      <c r="L112" s="10">
        <v>841800343.86706603</v>
      </c>
      <c r="O112" s="10">
        <v>2024</v>
      </c>
      <c r="P112" s="10">
        <v>3</v>
      </c>
      <c r="Q112" s="10">
        <v>837397944.47412395</v>
      </c>
      <c r="S112" s="10">
        <v>2024</v>
      </c>
      <c r="T112" s="10">
        <v>3</v>
      </c>
      <c r="U112" s="10">
        <v>840150939.393085</v>
      </c>
      <c r="W112" s="10">
        <v>2024</v>
      </c>
      <c r="X112" s="10">
        <v>3</v>
      </c>
      <c r="Y112" s="10">
        <v>840075375.13470995</v>
      </c>
      <c r="AA112" s="10">
        <v>2024</v>
      </c>
      <c r="AB112" s="10">
        <v>3</v>
      </c>
      <c r="AC112" s="10">
        <v>841172658.10322905</v>
      </c>
    </row>
    <row r="113" spans="1:29" x14ac:dyDescent="0.25">
      <c r="A113" s="10">
        <v>2024</v>
      </c>
      <c r="B113" s="10">
        <v>4</v>
      </c>
      <c r="C113" s="10">
        <v>849135871.45435297</v>
      </c>
      <c r="E113" s="10">
        <v>2024</v>
      </c>
      <c r="F113" s="10">
        <v>4</v>
      </c>
      <c r="G113" s="10">
        <v>849919473.74509394</v>
      </c>
      <c r="J113" s="10">
        <v>2024</v>
      </c>
      <c r="K113" s="10">
        <v>4</v>
      </c>
      <c r="L113" s="10">
        <v>849857211.43265104</v>
      </c>
      <c r="O113" s="10">
        <v>2024</v>
      </c>
      <c r="P113" s="10">
        <v>4</v>
      </c>
      <c r="Q113" s="10">
        <v>847028187.14318705</v>
      </c>
      <c r="S113" s="10">
        <v>2024</v>
      </c>
      <c r="T113" s="10">
        <v>4</v>
      </c>
      <c r="U113" s="10">
        <v>848612093.83011603</v>
      </c>
      <c r="W113" s="10">
        <v>2024</v>
      </c>
      <c r="X113" s="10">
        <v>4</v>
      </c>
      <c r="Y113" s="10">
        <v>849026016.55196595</v>
      </c>
      <c r="AA113" s="10">
        <v>2024</v>
      </c>
      <c r="AB113" s="10">
        <v>4</v>
      </c>
      <c r="AC113" s="10">
        <v>849500389.55988204</v>
      </c>
    </row>
    <row r="114" spans="1:29" x14ac:dyDescent="0.25">
      <c r="A114" s="10">
        <v>2024</v>
      </c>
      <c r="B114" s="10">
        <v>5</v>
      </c>
      <c r="C114" s="10">
        <v>858083432.08982801</v>
      </c>
      <c r="E114" s="10">
        <v>2024</v>
      </c>
      <c r="F114" s="10">
        <v>5</v>
      </c>
      <c r="G114" s="10">
        <v>859190844.32204795</v>
      </c>
      <c r="J114" s="10">
        <v>2024</v>
      </c>
      <c r="K114" s="10">
        <v>5</v>
      </c>
      <c r="L114" s="10">
        <v>859316668.78630698</v>
      </c>
      <c r="O114" s="10">
        <v>2024</v>
      </c>
      <c r="P114" s="10">
        <v>5</v>
      </c>
      <c r="Q114" s="10">
        <v>857843081.36816096</v>
      </c>
      <c r="S114" s="10">
        <v>2024</v>
      </c>
      <c r="T114" s="10">
        <v>5</v>
      </c>
      <c r="U114" s="10">
        <v>856247999.93905306</v>
      </c>
      <c r="W114" s="10">
        <v>2024</v>
      </c>
      <c r="X114" s="10">
        <v>5</v>
      </c>
      <c r="Y114" s="10">
        <v>856446146.96183598</v>
      </c>
      <c r="AA114" s="10">
        <v>2024</v>
      </c>
      <c r="AB114" s="10">
        <v>5</v>
      </c>
      <c r="AC114" s="10">
        <v>857847430.33146501</v>
      </c>
    </row>
    <row r="115" spans="1:29" x14ac:dyDescent="0.25">
      <c r="A115" s="10">
        <v>2024</v>
      </c>
      <c r="B115" s="10">
        <v>6</v>
      </c>
      <c r="C115" s="10">
        <v>882583393.57454598</v>
      </c>
      <c r="E115" s="10">
        <v>2024</v>
      </c>
      <c r="F115" s="10">
        <v>6</v>
      </c>
      <c r="G115" s="10">
        <v>884006077.63779497</v>
      </c>
      <c r="J115" s="10">
        <v>2024</v>
      </c>
      <c r="K115" s="10">
        <v>6</v>
      </c>
      <c r="L115" s="10">
        <v>884401984.71431899</v>
      </c>
      <c r="O115" s="10">
        <v>2024</v>
      </c>
      <c r="P115" s="10">
        <v>6</v>
      </c>
      <c r="Q115" s="10">
        <v>883221061.42793202</v>
      </c>
      <c r="S115" s="10">
        <v>2024</v>
      </c>
      <c r="T115" s="10">
        <v>6</v>
      </c>
      <c r="U115" s="10">
        <v>881447114.59813499</v>
      </c>
      <c r="W115" s="10">
        <v>2024</v>
      </c>
      <c r="X115" s="10">
        <v>6</v>
      </c>
      <c r="Y115" s="10">
        <v>881719247.56365395</v>
      </c>
      <c r="AA115" s="10">
        <v>2024</v>
      </c>
      <c r="AB115" s="10">
        <v>6</v>
      </c>
      <c r="AC115" s="10">
        <v>882746331.34022403</v>
      </c>
    </row>
    <row r="116" spans="1:29" x14ac:dyDescent="0.25">
      <c r="A116" s="10">
        <v>2024</v>
      </c>
      <c r="B116" s="10">
        <v>7</v>
      </c>
      <c r="C116" s="10">
        <v>900167957.38975406</v>
      </c>
      <c r="E116" s="10">
        <v>2024</v>
      </c>
      <c r="F116" s="10">
        <v>7</v>
      </c>
      <c r="G116" s="10">
        <v>899823336.80460596</v>
      </c>
      <c r="J116" s="10">
        <v>2024</v>
      </c>
      <c r="K116" s="10">
        <v>7</v>
      </c>
      <c r="L116" s="10">
        <v>900369856.15276396</v>
      </c>
      <c r="O116" s="10">
        <v>2024</v>
      </c>
      <c r="P116" s="10">
        <v>7</v>
      </c>
      <c r="Q116" s="10">
        <v>901642010.35606802</v>
      </c>
      <c r="S116" s="10">
        <v>2024</v>
      </c>
      <c r="T116" s="10">
        <v>7</v>
      </c>
      <c r="U116" s="10">
        <v>901034827.25295901</v>
      </c>
      <c r="W116" s="10">
        <v>2024</v>
      </c>
      <c r="X116" s="10">
        <v>7</v>
      </c>
      <c r="Y116" s="10">
        <v>899315402.48084903</v>
      </c>
      <c r="AA116" s="10">
        <v>2024</v>
      </c>
      <c r="AB116" s="10">
        <v>7</v>
      </c>
      <c r="AC116" s="10">
        <v>903264018.012007</v>
      </c>
    </row>
    <row r="117" spans="1:29" x14ac:dyDescent="0.25">
      <c r="A117" s="10">
        <v>2024</v>
      </c>
      <c r="B117" s="10">
        <v>8</v>
      </c>
      <c r="C117" s="10">
        <v>888854381.81230104</v>
      </c>
      <c r="E117" s="10">
        <v>2024</v>
      </c>
      <c r="F117" s="10">
        <v>8</v>
      </c>
      <c r="G117" s="10">
        <v>892210001.49173796</v>
      </c>
      <c r="J117" s="10">
        <v>2024</v>
      </c>
      <c r="K117" s="10">
        <v>8</v>
      </c>
      <c r="L117" s="10">
        <v>893062434.70392001</v>
      </c>
      <c r="O117" s="10">
        <v>2024</v>
      </c>
      <c r="P117" s="10">
        <v>8</v>
      </c>
      <c r="Q117" s="10">
        <v>892813527.92437899</v>
      </c>
      <c r="S117" s="10">
        <v>2024</v>
      </c>
      <c r="T117" s="10">
        <v>8</v>
      </c>
      <c r="U117" s="10">
        <v>891847742.64320505</v>
      </c>
      <c r="W117" s="10">
        <v>2024</v>
      </c>
      <c r="X117" s="10">
        <v>8</v>
      </c>
      <c r="Y117" s="10">
        <v>891603845.48932302</v>
      </c>
      <c r="AA117" s="10">
        <v>2024</v>
      </c>
      <c r="AB117" s="10">
        <v>8</v>
      </c>
      <c r="AC117" s="10">
        <v>889589472.14976001</v>
      </c>
    </row>
    <row r="118" spans="1:29" x14ac:dyDescent="0.25">
      <c r="E118" s="10">
        <v>2024</v>
      </c>
      <c r="F118" s="10">
        <v>9</v>
      </c>
      <c r="G118" s="10">
        <v>901289937.93186498</v>
      </c>
      <c r="J118" s="10">
        <v>2024</v>
      </c>
      <c r="K118" s="10">
        <v>9</v>
      </c>
      <c r="L118" s="10">
        <v>902325001.377828</v>
      </c>
      <c r="O118" s="10">
        <v>2024</v>
      </c>
      <c r="P118" s="10">
        <v>9</v>
      </c>
      <c r="Q118" s="10">
        <v>902941796.62124896</v>
      </c>
      <c r="S118" s="10">
        <v>2024</v>
      </c>
      <c r="T118" s="10">
        <v>9</v>
      </c>
      <c r="U118" s="10">
        <v>902413391.79060495</v>
      </c>
      <c r="W118" s="10">
        <v>2024</v>
      </c>
      <c r="X118" s="10">
        <v>9</v>
      </c>
      <c r="Y118" s="10">
        <v>902243431.47686601</v>
      </c>
      <c r="AA118" s="10">
        <v>2024</v>
      </c>
      <c r="AB118" s="10">
        <v>9</v>
      </c>
      <c r="AC118" s="10">
        <v>897555658.89207304</v>
      </c>
    </row>
    <row r="119" spans="1:29" x14ac:dyDescent="0.25">
      <c r="J119" s="10">
        <v>2024</v>
      </c>
      <c r="K119" s="10">
        <v>10</v>
      </c>
      <c r="L119" s="10">
        <v>905443760.59066498</v>
      </c>
      <c r="O119" s="10">
        <v>2024</v>
      </c>
      <c r="P119" s="10">
        <v>10</v>
      </c>
      <c r="Q119" s="10">
        <v>907731741.41459095</v>
      </c>
      <c r="S119" s="10">
        <v>2024</v>
      </c>
      <c r="T119" s="10">
        <v>10</v>
      </c>
      <c r="U119" s="10">
        <v>907649829.21707797</v>
      </c>
      <c r="W119" s="10">
        <v>2024</v>
      </c>
      <c r="X119" s="10">
        <v>10</v>
      </c>
      <c r="Y119" s="10">
        <v>907695995.745242</v>
      </c>
      <c r="AA119" s="10">
        <v>2024</v>
      </c>
      <c r="AB119" s="10">
        <v>10</v>
      </c>
      <c r="AC119" s="10">
        <v>902828338.42989302</v>
      </c>
    </row>
    <row r="120" spans="1:29" x14ac:dyDescent="0.25">
      <c r="O120" s="10">
        <v>2024</v>
      </c>
      <c r="P120" s="10">
        <v>11</v>
      </c>
      <c r="Q120" s="10">
        <v>914831241.77032804</v>
      </c>
      <c r="S120" s="10">
        <v>2024</v>
      </c>
      <c r="T120" s="10">
        <v>11</v>
      </c>
      <c r="U120" s="10">
        <v>915133797.658705</v>
      </c>
      <c r="W120" s="10">
        <v>2024</v>
      </c>
      <c r="X120" s="10">
        <v>11</v>
      </c>
      <c r="Y120" s="10">
        <v>915464937.526788</v>
      </c>
      <c r="AA120" s="10">
        <v>2024</v>
      </c>
      <c r="AB120" s="10">
        <v>11</v>
      </c>
      <c r="AC120" s="10">
        <v>912957562.41038406</v>
      </c>
    </row>
    <row r="121" spans="1:29" x14ac:dyDescent="0.25">
      <c r="O121" s="10">
        <v>2024</v>
      </c>
      <c r="P121" s="10">
        <v>12</v>
      </c>
      <c r="Q121" s="10">
        <v>923431764.09791803</v>
      </c>
      <c r="S121" s="10">
        <v>2024</v>
      </c>
      <c r="T121" s="10">
        <v>12</v>
      </c>
      <c r="U121" s="10">
        <v>924190746.34868801</v>
      </c>
      <c r="W121" s="10">
        <v>2024</v>
      </c>
      <c r="X121" s="10">
        <v>12</v>
      </c>
      <c r="Y121" s="10">
        <v>924783733.79363894</v>
      </c>
      <c r="AA121" s="10">
        <v>2024</v>
      </c>
      <c r="AB121" s="10">
        <v>12</v>
      </c>
      <c r="AC121" s="10">
        <v>923658977.91101003</v>
      </c>
    </row>
    <row r="122" spans="1:29" x14ac:dyDescent="0.25">
      <c r="O122" s="10">
        <v>2025</v>
      </c>
      <c r="P122" s="10">
        <v>1</v>
      </c>
      <c r="Q122" s="10">
        <v>908149278.01042295</v>
      </c>
      <c r="S122" s="10">
        <v>2025</v>
      </c>
      <c r="T122" s="10">
        <v>1</v>
      </c>
      <c r="U122" s="10">
        <v>909284481.61078703</v>
      </c>
      <c r="W122" s="10">
        <v>2025</v>
      </c>
      <c r="X122" s="10">
        <v>1</v>
      </c>
      <c r="Y122" s="10">
        <v>909799565.02792704</v>
      </c>
      <c r="AA122" s="10">
        <v>2025</v>
      </c>
      <c r="AB122" s="10">
        <v>1</v>
      </c>
      <c r="AC122" s="10">
        <v>913322024.85116696</v>
      </c>
    </row>
    <row r="123" spans="1:29" x14ac:dyDescent="0.25">
      <c r="O123" s="10">
        <v>2025</v>
      </c>
      <c r="P123" s="10">
        <v>2</v>
      </c>
      <c r="Q123" s="10">
        <v>922369996.93616295</v>
      </c>
      <c r="S123" s="10">
        <v>2025</v>
      </c>
      <c r="T123" s="10">
        <v>2</v>
      </c>
      <c r="U123" s="10">
        <v>921494668.87697399</v>
      </c>
      <c r="W123" s="10">
        <v>2025</v>
      </c>
      <c r="X123" s="10">
        <v>2</v>
      </c>
      <c r="Y123" s="10">
        <v>921435793.13641906</v>
      </c>
      <c r="AA123" s="10">
        <v>2025</v>
      </c>
      <c r="AB123" s="10">
        <v>2</v>
      </c>
      <c r="AC123" s="10">
        <v>925445268.19871902</v>
      </c>
    </row>
    <row r="124" spans="1:29" x14ac:dyDescent="0.25">
      <c r="O124" s="10">
        <v>2025</v>
      </c>
      <c r="P124" s="10">
        <v>3</v>
      </c>
      <c r="Q124" s="10">
        <v>950390248.80960906</v>
      </c>
      <c r="S124" s="10">
        <v>2025</v>
      </c>
      <c r="T124" s="10">
        <v>3</v>
      </c>
      <c r="U124" s="10">
        <v>953487582.40676904</v>
      </c>
      <c r="W124" s="10">
        <v>2025</v>
      </c>
      <c r="X124" s="10">
        <v>3</v>
      </c>
      <c r="Y124" s="10">
        <v>953611527.13565695</v>
      </c>
      <c r="AA124" s="10">
        <v>2025</v>
      </c>
      <c r="AB124" s="10">
        <v>3</v>
      </c>
      <c r="AC124" s="10">
        <v>954956124.25349295</v>
      </c>
    </row>
    <row r="125" spans="1:29" x14ac:dyDescent="0.25">
      <c r="S125" s="10">
        <v>2025</v>
      </c>
      <c r="T125" s="10">
        <v>4</v>
      </c>
      <c r="U125" s="10">
        <v>957338922.15165699</v>
      </c>
      <c r="W125" s="10">
        <v>2025</v>
      </c>
      <c r="X125" s="10">
        <v>4</v>
      </c>
      <c r="Y125" s="10">
        <v>957767594.98577499</v>
      </c>
      <c r="AA125" s="10">
        <v>2025</v>
      </c>
      <c r="AB125" s="10">
        <v>4</v>
      </c>
      <c r="AC125" s="10">
        <v>958589428.59262395</v>
      </c>
    </row>
    <row r="126" spans="1:29" x14ac:dyDescent="0.25">
      <c r="S126" s="10">
        <v>2025</v>
      </c>
      <c r="T126" s="10">
        <v>5</v>
      </c>
      <c r="U126" s="10">
        <v>968128781.59964705</v>
      </c>
      <c r="W126" s="10">
        <v>2025</v>
      </c>
      <c r="X126" s="10">
        <v>5</v>
      </c>
      <c r="Y126" s="10">
        <v>968283452.31079602</v>
      </c>
      <c r="AA126" s="10">
        <v>2025</v>
      </c>
      <c r="AB126" s="10">
        <v>5</v>
      </c>
      <c r="AC126" s="10">
        <v>969490616.77154601</v>
      </c>
    </row>
    <row r="127" spans="1:29" x14ac:dyDescent="0.25">
      <c r="S127" s="10">
        <v>2025</v>
      </c>
      <c r="T127" s="10">
        <v>6</v>
      </c>
      <c r="U127" s="10">
        <v>967260759.41399503</v>
      </c>
      <c r="W127" s="10">
        <v>2025</v>
      </c>
      <c r="X127" s="10">
        <v>6</v>
      </c>
      <c r="Y127" s="10">
        <v>967439078.22916305</v>
      </c>
      <c r="AA127" s="10">
        <v>2025</v>
      </c>
      <c r="AB127" s="10">
        <v>6</v>
      </c>
      <c r="AC127" s="10">
        <v>969013418.84745204</v>
      </c>
    </row>
    <row r="128" spans="1:29" x14ac:dyDescent="0.25">
      <c r="W128" s="10">
        <v>2025</v>
      </c>
      <c r="X128" s="10">
        <v>7</v>
      </c>
      <c r="Y128" s="10">
        <v>970592916.13408506</v>
      </c>
      <c r="AA128" s="10">
        <v>2025</v>
      </c>
      <c r="AB128" s="10">
        <v>7</v>
      </c>
      <c r="AC128" s="10">
        <v>974983506.32922697</v>
      </c>
    </row>
    <row r="129" spans="27:29" x14ac:dyDescent="0.25">
      <c r="AA129" s="10">
        <v>2025</v>
      </c>
      <c r="AB129" s="10">
        <v>8</v>
      </c>
      <c r="AC129" s="10">
        <v>985514698.65559304</v>
      </c>
    </row>
    <row r="130" spans="27:29" x14ac:dyDescent="0.25">
      <c r="AA130" s="10">
        <v>2025</v>
      </c>
      <c r="AB130" s="10">
        <v>9</v>
      </c>
      <c r="AC130" s="10">
        <v>995927144.46996295</v>
      </c>
    </row>
    <row r="131" spans="27:29" x14ac:dyDescent="0.25">
      <c r="AA131" s="10">
        <v>2025</v>
      </c>
      <c r="AB131" s="10">
        <v>10</v>
      </c>
      <c r="AC131" s="10">
        <v>1000788368.35543</v>
      </c>
    </row>
    <row r="132" spans="27:29" x14ac:dyDescent="0.25">
      <c r="AA132" s="10">
        <v>2025</v>
      </c>
      <c r="AB132" s="10">
        <v>11</v>
      </c>
      <c r="AC132" s="10">
        <v>995426405.79509103</v>
      </c>
    </row>
    <row r="133" spans="27:29" x14ac:dyDescent="0.25">
      <c r="AA133" s="10">
        <v>2025</v>
      </c>
      <c r="AB133" s="10">
        <v>12</v>
      </c>
      <c r="AC133" s="10">
        <v>975630777.22138405</v>
      </c>
    </row>
    <row r="134" spans="27:29" x14ac:dyDescent="0.25">
      <c r="AA134" s="10">
        <v>2026</v>
      </c>
      <c r="AB134" s="10">
        <v>1</v>
      </c>
      <c r="AC134" s="10">
        <v>1000801757.00717</v>
      </c>
    </row>
    <row r="135" spans="27:29" x14ac:dyDescent="0.25">
      <c r="AA135" s="10">
        <v>2026</v>
      </c>
      <c r="AB135" s="10">
        <v>2</v>
      </c>
      <c r="AC135" s="10">
        <v>1006335597.96532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workbookViewId="0">
      <selection activeCell="D26" sqref="D26"/>
    </sheetView>
  </sheetViews>
  <sheetFormatPr baseColWidth="10" defaultRowHeight="15" x14ac:dyDescent="0.25"/>
  <sheetData>
    <row r="2" spans="2:3" ht="15.75" x14ac:dyDescent="0.25">
      <c r="B2" s="3" t="s">
        <v>5</v>
      </c>
    </row>
    <row r="3" spans="2:3" x14ac:dyDescent="0.25">
      <c r="B3" s="2" t="s">
        <v>4</v>
      </c>
    </row>
    <row r="4" spans="2:3" x14ac:dyDescent="0.25">
      <c r="B4" s="2" t="s">
        <v>0</v>
      </c>
    </row>
    <row r="5" spans="2:3" x14ac:dyDescent="0.25">
      <c r="B5" s="1" t="s">
        <v>1</v>
      </c>
    </row>
    <row r="6" spans="2:3" x14ac:dyDescent="0.25">
      <c r="B6" s="1"/>
    </row>
    <row r="7" spans="2:3" x14ac:dyDescent="0.25">
      <c r="B7" s="4" t="s">
        <v>2</v>
      </c>
      <c r="C7" s="4" t="s">
        <v>3</v>
      </c>
    </row>
    <row r="8" spans="2:3" x14ac:dyDescent="0.25">
      <c r="B8" s="5">
        <v>2015</v>
      </c>
      <c r="C8" s="6">
        <v>12060.898272533012</v>
      </c>
    </row>
    <row r="9" spans="2:3" x14ac:dyDescent="0.25">
      <c r="B9" s="5">
        <v>2016</v>
      </c>
      <c r="C9" s="6">
        <v>10292.201450771006</v>
      </c>
    </row>
    <row r="10" spans="2:3" x14ac:dyDescent="0.25">
      <c r="B10" s="5">
        <v>2017</v>
      </c>
      <c r="C10" s="6">
        <v>10097.477602353718</v>
      </c>
    </row>
    <row r="11" spans="2:3" x14ac:dyDescent="0.25">
      <c r="B11" s="5">
        <v>2018</v>
      </c>
      <c r="C11" s="6">
        <v>10526.566560063149</v>
      </c>
    </row>
    <row r="12" spans="2:3" x14ac:dyDescent="0.25">
      <c r="B12" s="5">
        <v>2019</v>
      </c>
      <c r="C12" s="6">
        <f>SUM(Mensual!$B$49:$B$60)</f>
        <v>10339934702</v>
      </c>
    </row>
    <row r="13" spans="2:3" x14ac:dyDescent="0.25">
      <c r="B13" s="5">
        <v>2020</v>
      </c>
      <c r="C13" s="6">
        <f>SUM(Mensual!B61:B72)</f>
        <v>11113187586</v>
      </c>
    </row>
  </sheetData>
  <hyperlinks>
    <hyperlink ref="B5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Gráficos</vt:lpstr>
      </vt:variant>
      <vt:variant>
        <vt:i4>1</vt:i4>
      </vt:variant>
    </vt:vector>
  </HeadingPairs>
  <TitlesOfParts>
    <vt:vector size="12" baseType="lpstr">
      <vt:lpstr>Mensual</vt:lpstr>
      <vt:lpstr>Hoja9</vt:lpstr>
      <vt:lpstr>Hoja8</vt:lpstr>
      <vt:lpstr>Hoja7</vt:lpstr>
      <vt:lpstr>Hoja6</vt:lpstr>
      <vt:lpstr>Hoja5</vt:lpstr>
      <vt:lpstr>Hoja4</vt:lpstr>
      <vt:lpstr>Hoja3</vt:lpstr>
      <vt:lpstr>Hoja2</vt:lpstr>
      <vt:lpstr>Hoja1</vt:lpstr>
      <vt:lpstr>Anual</vt:lpstr>
      <vt:lpstr>Gráfico1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Suarez Paz</dc:creator>
  <cp:lastModifiedBy>Gabriel Caamaño</cp:lastModifiedBy>
  <dcterms:created xsi:type="dcterms:W3CDTF">2018-10-29T18:14:36Z</dcterms:created>
  <dcterms:modified xsi:type="dcterms:W3CDTF">2026-06-22T20:42:03Z</dcterms:modified>
</cp:coreProperties>
</file>