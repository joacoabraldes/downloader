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g\OneDrive\Escritorio\Archivos\Tatooine\bco de datos reales\"/>
    </mc:Choice>
  </mc:AlternateContent>
  <xr:revisionPtr revIDLastSave="0" documentId="13_ncr:1_{C0C3AF25-19E5-4664-BAE8-1C1612AEFB30}" xr6:coauthVersionLast="47" xr6:coauthVersionMax="47" xr10:uidLastSave="{00000000-0000-0000-0000-000000000000}"/>
  <bookViews>
    <workbookView xWindow="-120" yWindow="-120" windowWidth="29040" windowHeight="15840" firstSheet="1" activeTab="1" xr2:uid="{E32D35C7-A850-40B2-B442-1F963401C911}"/>
  </bookViews>
  <sheets>
    <sheet name="Gráfico1" sheetId="2" r:id="rId1"/>
    <sheet name="Hoja1" sheetId="1" r:id="rId2"/>
    <sheet name="Hoja12" sheetId="13" r:id="rId3"/>
    <sheet name="Hoja11" sheetId="12" r:id="rId4"/>
    <sheet name="Hoja10" sheetId="11" r:id="rId5"/>
    <sheet name="Hoja9" sheetId="10" r:id="rId6"/>
    <sheet name="Hoja8" sheetId="9" r:id="rId7"/>
    <sheet name="Hoja7" sheetId="8" r:id="rId8"/>
    <sheet name="Hoja6" sheetId="7" r:id="rId9"/>
    <sheet name="Hoja5" sheetId="6" r:id="rId10"/>
    <sheet name="Hoja4" sheetId="5" r:id="rId11"/>
    <sheet name="Hoja3" sheetId="4" r:id="rId12"/>
    <sheet name="Hoja2" sheetId="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1" i="1" l="1"/>
  <c r="L401" i="1"/>
  <c r="F401" i="1"/>
  <c r="J401" i="1"/>
  <c r="J398" i="1"/>
  <c r="J399" i="1"/>
  <c r="J400" i="1"/>
  <c r="J397" i="1"/>
  <c r="I401" i="1"/>
  <c r="E401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I400" i="1"/>
  <c r="F400" i="1"/>
  <c r="K400" i="1" s="1"/>
  <c r="E400" i="1"/>
  <c r="F399" i="1"/>
  <c r="K399" i="1" s="1"/>
  <c r="I399" i="1"/>
  <c r="E399" i="1"/>
  <c r="I398" i="1"/>
  <c r="E398" i="1"/>
  <c r="F398" i="1"/>
  <c r="F397" i="1"/>
  <c r="L397" i="1" s="1"/>
  <c r="E397" i="1"/>
  <c r="I397" i="1" s="1"/>
  <c r="J396" i="1"/>
  <c r="F396" i="1"/>
  <c r="E396" i="1"/>
  <c r="I396" i="1" s="1"/>
  <c r="J395" i="1"/>
  <c r="J394" i="1"/>
  <c r="F394" i="1"/>
  <c r="F395" i="1"/>
  <c r="K395" i="1" s="1"/>
  <c r="I395" i="1"/>
  <c r="E395" i="1"/>
  <c r="E394" i="1"/>
  <c r="I394" i="1" s="1"/>
  <c r="I393" i="1"/>
  <c r="J393" i="1"/>
  <c r="E393" i="1"/>
  <c r="F393" i="1"/>
  <c r="K394" i="1" s="1"/>
  <c r="J392" i="1"/>
  <c r="F392" i="1"/>
  <c r="E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I347" i="1" s="1"/>
  <c r="E336" i="1"/>
  <c r="E337" i="1"/>
  <c r="E338" i="1"/>
  <c r="E339" i="1"/>
  <c r="E340" i="1"/>
  <c r="E341" i="1"/>
  <c r="E342" i="1"/>
  <c r="E343" i="1"/>
  <c r="I355" i="1" s="1"/>
  <c r="E344" i="1"/>
  <c r="E345" i="1"/>
  <c r="E346" i="1"/>
  <c r="E347" i="1"/>
  <c r="E348" i="1"/>
  <c r="E349" i="1"/>
  <c r="E350" i="1"/>
  <c r="E351" i="1"/>
  <c r="I363" i="1" s="1"/>
  <c r="E352" i="1"/>
  <c r="E353" i="1"/>
  <c r="E354" i="1"/>
  <c r="E355" i="1"/>
  <c r="E356" i="1"/>
  <c r="E357" i="1"/>
  <c r="E358" i="1"/>
  <c r="E359" i="1"/>
  <c r="I371" i="1" s="1"/>
  <c r="E360" i="1"/>
  <c r="E361" i="1"/>
  <c r="E362" i="1"/>
  <c r="E363" i="1"/>
  <c r="E364" i="1"/>
  <c r="E365" i="1"/>
  <c r="E366" i="1"/>
  <c r="E367" i="1"/>
  <c r="I379" i="1" s="1"/>
  <c r="E368" i="1"/>
  <c r="E369" i="1"/>
  <c r="E370" i="1"/>
  <c r="E371" i="1"/>
  <c r="E372" i="1"/>
  <c r="E373" i="1"/>
  <c r="E374" i="1"/>
  <c r="E375" i="1"/>
  <c r="I375" i="1" s="1"/>
  <c r="E376" i="1"/>
  <c r="E377" i="1"/>
  <c r="E378" i="1"/>
  <c r="E379" i="1"/>
  <c r="E380" i="1"/>
  <c r="E381" i="1"/>
  <c r="E382" i="1"/>
  <c r="E383" i="1"/>
  <c r="I383" i="1" s="1"/>
  <c r="E384" i="1"/>
  <c r="E385" i="1"/>
  <c r="E386" i="1"/>
  <c r="E387" i="1"/>
  <c r="E388" i="1"/>
  <c r="E389" i="1"/>
  <c r="E390" i="1"/>
  <c r="I390" i="1" s="1"/>
  <c r="E391" i="1"/>
  <c r="I391" i="1" s="1"/>
  <c r="E392" i="1"/>
  <c r="I392" i="1" s="1"/>
  <c r="J391" i="1"/>
  <c r="F391" i="1"/>
  <c r="J390" i="1"/>
  <c r="F390" i="1"/>
  <c r="I388" i="1"/>
  <c r="J388" i="1"/>
  <c r="I389" i="1"/>
  <c r="J389" i="1"/>
  <c r="F388" i="1"/>
  <c r="F389" i="1"/>
  <c r="F387" i="1"/>
  <c r="J387" i="1"/>
  <c r="I386" i="1"/>
  <c r="J386" i="1"/>
  <c r="F386" i="1"/>
  <c r="I385" i="1"/>
  <c r="J385" i="1"/>
  <c r="F385" i="1"/>
  <c r="J384" i="1"/>
  <c r="I384" i="1"/>
  <c r="F384" i="1"/>
  <c r="F383" i="1"/>
  <c r="J383" i="1"/>
  <c r="F382" i="1"/>
  <c r="J382" i="1"/>
  <c r="I382" i="1"/>
  <c r="I381" i="1"/>
  <c r="J381" i="1"/>
  <c r="F381" i="1"/>
  <c r="J380" i="1"/>
  <c r="I376" i="1"/>
  <c r="J376" i="1"/>
  <c r="I377" i="1"/>
  <c r="J377" i="1"/>
  <c r="I378" i="1"/>
  <c r="J378" i="1"/>
  <c r="J379" i="1"/>
  <c r="I380" i="1"/>
  <c r="F376" i="1"/>
  <c r="F377" i="1"/>
  <c r="F378" i="1"/>
  <c r="F379" i="1"/>
  <c r="F380" i="1"/>
  <c r="D374" i="4"/>
  <c r="D375" i="4"/>
  <c r="D376" i="4"/>
  <c r="D377" i="4"/>
  <c r="D378" i="4"/>
  <c r="D379" i="4"/>
  <c r="D380" i="4"/>
  <c r="D381" i="4"/>
  <c r="F375" i="1"/>
  <c r="J375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I342" i="1"/>
  <c r="I343" i="1"/>
  <c r="I344" i="1"/>
  <c r="I345" i="1"/>
  <c r="I346" i="1"/>
  <c r="I348" i="1"/>
  <c r="I349" i="1"/>
  <c r="I350" i="1"/>
  <c r="I351" i="1"/>
  <c r="I352" i="1"/>
  <c r="I353" i="1"/>
  <c r="I354" i="1"/>
  <c r="I356" i="1"/>
  <c r="I357" i="1"/>
  <c r="I358" i="1"/>
  <c r="I359" i="1"/>
  <c r="I360" i="1"/>
  <c r="I361" i="1"/>
  <c r="I362" i="1"/>
  <c r="I364" i="1"/>
  <c r="I365" i="1"/>
  <c r="I366" i="1"/>
  <c r="I367" i="1"/>
  <c r="I368" i="1"/>
  <c r="I369" i="1"/>
  <c r="I370" i="1"/>
  <c r="I372" i="1"/>
  <c r="I373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I374" i="1"/>
  <c r="F374" i="1"/>
  <c r="J341" i="1"/>
  <c r="F341" i="1"/>
  <c r="F339" i="1"/>
  <c r="F340" i="1"/>
  <c r="J339" i="1"/>
  <c r="J340" i="1"/>
  <c r="L400" i="1" l="1"/>
  <c r="L399" i="1"/>
  <c r="K398" i="1"/>
  <c r="K397" i="1"/>
  <c r="K396" i="1"/>
  <c r="L398" i="1"/>
  <c r="L396" i="1"/>
  <c r="K391" i="1"/>
  <c r="L393" i="1"/>
  <c r="K393" i="1"/>
  <c r="K392" i="1"/>
  <c r="L395" i="1"/>
  <c r="L394" i="1"/>
  <c r="K390" i="1"/>
  <c r="L392" i="1"/>
  <c r="K387" i="1"/>
  <c r="I387" i="1"/>
  <c r="L389" i="1"/>
  <c r="K383" i="1"/>
  <c r="K386" i="1"/>
  <c r="L391" i="1"/>
  <c r="L390" i="1"/>
  <c r="K388" i="1"/>
  <c r="K385" i="1"/>
  <c r="K389" i="1"/>
  <c r="L388" i="1"/>
  <c r="K384" i="1"/>
  <c r="L387" i="1"/>
  <c r="L386" i="1"/>
  <c r="L385" i="1"/>
  <c r="L384" i="1"/>
  <c r="L381" i="1"/>
  <c r="L378" i="1"/>
  <c r="K380" i="1"/>
  <c r="L383" i="1"/>
  <c r="K376" i="1"/>
  <c r="K362" i="1"/>
  <c r="K373" i="1"/>
  <c r="K365" i="1"/>
  <c r="K357" i="1"/>
  <c r="K349" i="1"/>
  <c r="L345" i="1"/>
  <c r="L361" i="1"/>
  <c r="L376" i="1"/>
  <c r="K346" i="1"/>
  <c r="K381" i="1"/>
  <c r="K379" i="1"/>
  <c r="L382" i="1"/>
  <c r="K382" i="1"/>
  <c r="K377" i="1"/>
  <c r="K341" i="1"/>
  <c r="L367" i="1"/>
  <c r="K363" i="1"/>
  <c r="L359" i="1"/>
  <c r="L351" i="1"/>
  <c r="K343" i="1"/>
  <c r="K375" i="1"/>
  <c r="L362" i="1"/>
  <c r="K370" i="1"/>
  <c r="K358" i="1"/>
  <c r="K354" i="1"/>
  <c r="K350" i="1"/>
  <c r="L346" i="1"/>
  <c r="L380" i="1"/>
  <c r="K378" i="1"/>
  <c r="L375" i="1"/>
  <c r="K368" i="1"/>
  <c r="K360" i="1"/>
  <c r="K352" i="1"/>
  <c r="K344" i="1"/>
  <c r="L379" i="1"/>
  <c r="L377" i="1"/>
  <c r="K356" i="1"/>
  <c r="K348" i="1"/>
  <c r="L370" i="1"/>
  <c r="L354" i="1"/>
  <c r="K372" i="1"/>
  <c r="K374" i="1"/>
  <c r="K366" i="1"/>
  <c r="K342" i="1"/>
  <c r="L340" i="1"/>
  <c r="L373" i="1"/>
  <c r="K369" i="1"/>
  <c r="L365" i="1"/>
  <c r="K361" i="1"/>
  <c r="L357" i="1"/>
  <c r="K353" i="1"/>
  <c r="L349" i="1"/>
  <c r="K345" i="1"/>
  <c r="L369" i="1"/>
  <c r="L353" i="1"/>
  <c r="K364" i="1"/>
  <c r="L374" i="1"/>
  <c r="L366" i="1"/>
  <c r="L358" i="1"/>
  <c r="L350" i="1"/>
  <c r="L342" i="1"/>
  <c r="K367" i="1"/>
  <c r="L364" i="1"/>
  <c r="K359" i="1"/>
  <c r="K351" i="1"/>
  <c r="L348" i="1"/>
  <c r="L371" i="1"/>
  <c r="L363" i="1"/>
  <c r="L355" i="1"/>
  <c r="L347" i="1"/>
  <c r="K371" i="1"/>
  <c r="L368" i="1"/>
  <c r="L360" i="1"/>
  <c r="K355" i="1"/>
  <c r="L352" i="1"/>
  <c r="K347" i="1"/>
  <c r="L344" i="1"/>
  <c r="L343" i="1"/>
  <c r="L372" i="1"/>
  <c r="L356" i="1"/>
  <c r="L341" i="1"/>
  <c r="K340" i="1"/>
  <c r="J335" i="1" l="1"/>
  <c r="J336" i="1"/>
  <c r="J337" i="1"/>
  <c r="J338" i="1"/>
  <c r="F335" i="1"/>
  <c r="F336" i="1"/>
  <c r="F337" i="1"/>
  <c r="F338" i="1"/>
  <c r="F326" i="1"/>
  <c r="F327" i="1"/>
  <c r="F328" i="1"/>
  <c r="F329" i="1"/>
  <c r="F330" i="1"/>
  <c r="F331" i="1"/>
  <c r="F332" i="1"/>
  <c r="F333" i="1"/>
  <c r="F334" i="1"/>
  <c r="J326" i="1"/>
  <c r="J327" i="1"/>
  <c r="J328" i="1"/>
  <c r="J329" i="1"/>
  <c r="J330" i="1"/>
  <c r="J331" i="1"/>
  <c r="J332" i="1"/>
  <c r="J333" i="1"/>
  <c r="J334" i="1"/>
  <c r="J325" i="1"/>
  <c r="L327" i="1" l="1"/>
  <c r="K336" i="1"/>
  <c r="K332" i="1"/>
  <c r="K333" i="1"/>
  <c r="I340" i="1"/>
  <c r="I341" i="1"/>
  <c r="I338" i="1"/>
  <c r="I339" i="1"/>
  <c r="K335" i="1"/>
  <c r="K330" i="1"/>
  <c r="K334" i="1"/>
  <c r="K338" i="1"/>
  <c r="K339" i="1"/>
  <c r="L339" i="1"/>
  <c r="K337" i="1"/>
  <c r="L331" i="1"/>
  <c r="L336" i="1"/>
  <c r="L338" i="1"/>
  <c r="K331" i="1"/>
  <c r="L335" i="1"/>
  <c r="K329" i="1"/>
  <c r="L337" i="1"/>
  <c r="K328" i="1"/>
  <c r="K327" i="1"/>
  <c r="L334" i="1"/>
  <c r="L330" i="1"/>
  <c r="L333" i="1"/>
  <c r="L329" i="1"/>
  <c r="L332" i="1"/>
  <c r="L328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F318" i="1" l="1"/>
  <c r="I331" i="1"/>
  <c r="F319" i="1"/>
  <c r="F320" i="1"/>
  <c r="I333" i="1"/>
  <c r="F321" i="1"/>
  <c r="F322" i="1"/>
  <c r="I335" i="1"/>
  <c r="F323" i="1"/>
  <c r="I336" i="1"/>
  <c r="F324" i="1"/>
  <c r="I337" i="1"/>
  <c r="F325" i="1"/>
  <c r="M319" i="1"/>
  <c r="M320" i="1"/>
  <c r="M321" i="1"/>
  <c r="M322" i="1"/>
  <c r="M323" i="1"/>
  <c r="M324" i="1"/>
  <c r="M325" i="1"/>
  <c r="K320" i="1" l="1"/>
  <c r="K324" i="1"/>
  <c r="K322" i="1"/>
  <c r="I320" i="1"/>
  <c r="I332" i="1"/>
  <c r="I321" i="1"/>
  <c r="I319" i="1"/>
  <c r="I322" i="1"/>
  <c r="I334" i="1"/>
  <c r="I318" i="1"/>
  <c r="I330" i="1"/>
  <c r="I324" i="1"/>
  <c r="I323" i="1"/>
  <c r="K319" i="1"/>
  <c r="L325" i="1"/>
  <c r="K326" i="1"/>
  <c r="L326" i="1"/>
  <c r="K321" i="1"/>
  <c r="K325" i="1"/>
  <c r="K323" i="1"/>
  <c r="G315" i="1"/>
  <c r="G316" i="1"/>
  <c r="G317" i="1"/>
  <c r="F316" i="1"/>
  <c r="F317" i="1"/>
  <c r="I329" i="1"/>
  <c r="I328" i="1"/>
  <c r="M316" i="1" l="1"/>
  <c r="M317" i="1"/>
  <c r="M318" i="1"/>
  <c r="K317" i="1"/>
  <c r="K318" i="1"/>
  <c r="J305" i="1"/>
  <c r="F315" i="1"/>
  <c r="I327" i="1"/>
  <c r="K316" i="1" l="1"/>
  <c r="J13" i="1"/>
  <c r="J14" i="1"/>
  <c r="J15" i="1"/>
  <c r="J16" i="1"/>
  <c r="J17" i="1"/>
  <c r="J18" i="1"/>
  <c r="J19" i="1"/>
  <c r="J20" i="1"/>
  <c r="J21" i="1"/>
  <c r="J22" i="1"/>
  <c r="J23" i="1"/>
  <c r="J24" i="1"/>
  <c r="J312" i="1"/>
  <c r="J311" i="1"/>
  <c r="J310" i="1"/>
  <c r="J309" i="1"/>
  <c r="J308" i="1"/>
  <c r="J307" i="1"/>
  <c r="J306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F314" i="1" l="1"/>
  <c r="G314" i="1"/>
  <c r="I13" i="1"/>
  <c r="I14" i="1"/>
  <c r="I16" i="1"/>
  <c r="I19" i="1"/>
  <c r="I20" i="1"/>
  <c r="I21" i="1"/>
  <c r="I22" i="1"/>
  <c r="I24" i="1"/>
  <c r="I27" i="1"/>
  <c r="I28" i="1"/>
  <c r="I29" i="1"/>
  <c r="I30" i="1"/>
  <c r="I32" i="1"/>
  <c r="I35" i="1"/>
  <c r="I36" i="1"/>
  <c r="I37" i="1"/>
  <c r="I38" i="1"/>
  <c r="I40" i="1"/>
  <c r="I43" i="1"/>
  <c r="I44" i="1"/>
  <c r="I45" i="1"/>
  <c r="I46" i="1"/>
  <c r="I48" i="1"/>
  <c r="I51" i="1"/>
  <c r="I52" i="1"/>
  <c r="I53" i="1"/>
  <c r="I54" i="1"/>
  <c r="I56" i="1"/>
  <c r="I59" i="1"/>
  <c r="I60" i="1"/>
  <c r="I61" i="1"/>
  <c r="I62" i="1"/>
  <c r="I64" i="1"/>
  <c r="I67" i="1"/>
  <c r="I68" i="1"/>
  <c r="I69" i="1"/>
  <c r="I70" i="1"/>
  <c r="I72" i="1"/>
  <c r="I75" i="1"/>
  <c r="I76" i="1"/>
  <c r="I77" i="1"/>
  <c r="I78" i="1"/>
  <c r="I80" i="1"/>
  <c r="I83" i="1"/>
  <c r="I84" i="1"/>
  <c r="I85" i="1"/>
  <c r="I86" i="1"/>
  <c r="I88" i="1"/>
  <c r="I91" i="1"/>
  <c r="I92" i="1"/>
  <c r="I93" i="1"/>
  <c r="I94" i="1"/>
  <c r="I96" i="1"/>
  <c r="I99" i="1"/>
  <c r="I100" i="1"/>
  <c r="I101" i="1"/>
  <c r="I102" i="1"/>
  <c r="I104" i="1"/>
  <c r="I107" i="1"/>
  <c r="I108" i="1"/>
  <c r="I109" i="1"/>
  <c r="I110" i="1"/>
  <c r="I112" i="1"/>
  <c r="I115" i="1"/>
  <c r="I116" i="1"/>
  <c r="I117" i="1"/>
  <c r="I118" i="1"/>
  <c r="I120" i="1"/>
  <c r="I123" i="1"/>
  <c r="I124" i="1"/>
  <c r="I125" i="1"/>
  <c r="I126" i="1"/>
  <c r="I128" i="1"/>
  <c r="I131" i="1"/>
  <c r="I132" i="1"/>
  <c r="I133" i="1"/>
  <c r="I134" i="1"/>
  <c r="I136" i="1"/>
  <c r="I139" i="1"/>
  <c r="I140" i="1"/>
  <c r="I141" i="1"/>
  <c r="I142" i="1"/>
  <c r="I144" i="1"/>
  <c r="I147" i="1"/>
  <c r="I148" i="1"/>
  <c r="I149" i="1"/>
  <c r="I150" i="1"/>
  <c r="I152" i="1"/>
  <c r="I155" i="1"/>
  <c r="I156" i="1"/>
  <c r="I157" i="1"/>
  <c r="I158" i="1"/>
  <c r="I160" i="1"/>
  <c r="I163" i="1"/>
  <c r="I164" i="1"/>
  <c r="I165" i="1"/>
  <c r="I166" i="1"/>
  <c r="I168" i="1"/>
  <c r="I171" i="1"/>
  <c r="I172" i="1"/>
  <c r="I173" i="1"/>
  <c r="I174" i="1"/>
  <c r="I176" i="1"/>
  <c r="I179" i="1"/>
  <c r="I180" i="1"/>
  <c r="I181" i="1"/>
  <c r="I182" i="1"/>
  <c r="I184" i="1"/>
  <c r="I187" i="1"/>
  <c r="I188" i="1"/>
  <c r="I189" i="1"/>
  <c r="I190" i="1"/>
  <c r="I192" i="1"/>
  <c r="I195" i="1"/>
  <c r="I196" i="1"/>
  <c r="I197" i="1"/>
  <c r="I198" i="1"/>
  <c r="I200" i="1"/>
  <c r="I203" i="1"/>
  <c r="I204" i="1"/>
  <c r="I205" i="1"/>
  <c r="I206" i="1"/>
  <c r="I208" i="1"/>
  <c r="I211" i="1"/>
  <c r="I212" i="1"/>
  <c r="I213" i="1"/>
  <c r="I214" i="1"/>
  <c r="I216" i="1"/>
  <c r="I219" i="1"/>
  <c r="I220" i="1"/>
  <c r="I221" i="1"/>
  <c r="I222" i="1"/>
  <c r="I224" i="1"/>
  <c r="I227" i="1"/>
  <c r="I228" i="1"/>
  <c r="I229" i="1"/>
  <c r="I230" i="1"/>
  <c r="I232" i="1"/>
  <c r="I235" i="1"/>
  <c r="I236" i="1"/>
  <c r="I237" i="1"/>
  <c r="I238" i="1"/>
  <c r="I240" i="1"/>
  <c r="I243" i="1"/>
  <c r="I244" i="1"/>
  <c r="I245" i="1"/>
  <c r="I246" i="1"/>
  <c r="I248" i="1"/>
  <c r="I251" i="1"/>
  <c r="I252" i="1"/>
  <c r="I253" i="1"/>
  <c r="I254" i="1"/>
  <c r="I256" i="1"/>
  <c r="I259" i="1"/>
  <c r="I260" i="1"/>
  <c r="I261" i="1"/>
  <c r="I262" i="1"/>
  <c r="I264" i="1"/>
  <c r="I267" i="1"/>
  <c r="I268" i="1"/>
  <c r="I269" i="1"/>
  <c r="I270" i="1"/>
  <c r="I272" i="1"/>
  <c r="I275" i="1"/>
  <c r="I276" i="1"/>
  <c r="I277" i="1"/>
  <c r="I278" i="1"/>
  <c r="I283" i="1"/>
  <c r="I284" i="1"/>
  <c r="I285" i="1"/>
  <c r="I286" i="1"/>
  <c r="I291" i="1"/>
  <c r="I292" i="1"/>
  <c r="I293" i="1"/>
  <c r="I294" i="1"/>
  <c r="I299" i="1"/>
  <c r="I300" i="1"/>
  <c r="I301" i="1"/>
  <c r="I302" i="1"/>
  <c r="I307" i="1"/>
  <c r="I308" i="1"/>
  <c r="I309" i="1"/>
  <c r="I310" i="1"/>
  <c r="I325" i="1"/>
  <c r="I326" i="1"/>
  <c r="I314" i="1" l="1"/>
  <c r="I306" i="1"/>
  <c r="I298" i="1"/>
  <c r="I290" i="1"/>
  <c r="I282" i="1"/>
  <c r="I274" i="1"/>
  <c r="I266" i="1"/>
  <c r="I258" i="1"/>
  <c r="I250" i="1"/>
  <c r="I242" i="1"/>
  <c r="I234" i="1"/>
  <c r="I226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313" i="1"/>
  <c r="I317" i="1"/>
  <c r="I305" i="1"/>
  <c r="I297" i="1"/>
  <c r="I289" i="1"/>
  <c r="I281" i="1"/>
  <c r="I273" i="1"/>
  <c r="I265" i="1"/>
  <c r="I257" i="1"/>
  <c r="I249" i="1"/>
  <c r="I241" i="1"/>
  <c r="I233" i="1"/>
  <c r="I225" i="1"/>
  <c r="I217" i="1"/>
  <c r="I209" i="1"/>
  <c r="I201" i="1"/>
  <c r="I193" i="1"/>
  <c r="I185" i="1"/>
  <c r="I177" i="1"/>
  <c r="I169" i="1"/>
  <c r="I161" i="1"/>
  <c r="I153" i="1"/>
  <c r="I145" i="1"/>
  <c r="I137" i="1"/>
  <c r="I129" i="1"/>
  <c r="I121" i="1"/>
  <c r="I113" i="1"/>
  <c r="I105" i="1"/>
  <c r="I97" i="1"/>
  <c r="I89" i="1"/>
  <c r="I81" i="1"/>
  <c r="I73" i="1"/>
  <c r="I65" i="1"/>
  <c r="I57" i="1"/>
  <c r="I49" i="1"/>
  <c r="I41" i="1"/>
  <c r="I33" i="1"/>
  <c r="I25" i="1"/>
  <c r="I17" i="1"/>
  <c r="I316" i="1"/>
  <c r="I304" i="1"/>
  <c r="I288" i="1"/>
  <c r="M315" i="1"/>
  <c r="I312" i="1"/>
  <c r="I296" i="1"/>
  <c r="I280" i="1"/>
  <c r="I311" i="1"/>
  <c r="I315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K315" i="1"/>
  <c r="F2" i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M14" i="1" s="1"/>
  <c r="F15" i="1"/>
  <c r="G15" i="1"/>
  <c r="F16" i="1"/>
  <c r="G16" i="1"/>
  <c r="F17" i="1"/>
  <c r="G17" i="1"/>
  <c r="F18" i="1"/>
  <c r="G18" i="1"/>
  <c r="M18" i="1" s="1"/>
  <c r="F19" i="1"/>
  <c r="G19" i="1"/>
  <c r="F20" i="1"/>
  <c r="G20" i="1"/>
  <c r="F21" i="1"/>
  <c r="G21" i="1"/>
  <c r="F22" i="1"/>
  <c r="G22" i="1"/>
  <c r="M22" i="1" s="1"/>
  <c r="F23" i="1"/>
  <c r="G23" i="1"/>
  <c r="F24" i="1"/>
  <c r="G24" i="1"/>
  <c r="F25" i="1"/>
  <c r="G25" i="1"/>
  <c r="F26" i="1"/>
  <c r="G26" i="1"/>
  <c r="M26" i="1" s="1"/>
  <c r="F27" i="1"/>
  <c r="G27" i="1"/>
  <c r="F28" i="1"/>
  <c r="G28" i="1"/>
  <c r="F29" i="1"/>
  <c r="G29" i="1"/>
  <c r="F30" i="1"/>
  <c r="G30" i="1"/>
  <c r="M30" i="1" s="1"/>
  <c r="F31" i="1"/>
  <c r="G31" i="1"/>
  <c r="F32" i="1"/>
  <c r="G32" i="1"/>
  <c r="F33" i="1"/>
  <c r="G33" i="1"/>
  <c r="F34" i="1"/>
  <c r="G34" i="1"/>
  <c r="M34" i="1" s="1"/>
  <c r="F35" i="1"/>
  <c r="G35" i="1"/>
  <c r="F36" i="1"/>
  <c r="G36" i="1"/>
  <c r="F37" i="1"/>
  <c r="G37" i="1"/>
  <c r="F38" i="1"/>
  <c r="G38" i="1"/>
  <c r="M38" i="1" s="1"/>
  <c r="F39" i="1"/>
  <c r="G39" i="1"/>
  <c r="F40" i="1"/>
  <c r="G40" i="1"/>
  <c r="F41" i="1"/>
  <c r="G41" i="1"/>
  <c r="F42" i="1"/>
  <c r="G42" i="1"/>
  <c r="M42" i="1" s="1"/>
  <c r="F43" i="1"/>
  <c r="G43" i="1"/>
  <c r="F44" i="1"/>
  <c r="G44" i="1"/>
  <c r="F45" i="1"/>
  <c r="G45" i="1"/>
  <c r="F46" i="1"/>
  <c r="G46" i="1"/>
  <c r="M46" i="1" s="1"/>
  <c r="F47" i="1"/>
  <c r="G47" i="1"/>
  <c r="F48" i="1"/>
  <c r="G48" i="1"/>
  <c r="F49" i="1"/>
  <c r="G49" i="1"/>
  <c r="F50" i="1"/>
  <c r="G50" i="1"/>
  <c r="M50" i="1" s="1"/>
  <c r="F51" i="1"/>
  <c r="G51" i="1"/>
  <c r="F52" i="1"/>
  <c r="G52" i="1"/>
  <c r="F53" i="1"/>
  <c r="G53" i="1"/>
  <c r="F54" i="1"/>
  <c r="G54" i="1"/>
  <c r="M54" i="1" s="1"/>
  <c r="F55" i="1"/>
  <c r="G55" i="1"/>
  <c r="F56" i="1"/>
  <c r="G56" i="1"/>
  <c r="F57" i="1"/>
  <c r="G57" i="1"/>
  <c r="F58" i="1"/>
  <c r="G58" i="1"/>
  <c r="M58" i="1" s="1"/>
  <c r="F59" i="1"/>
  <c r="G59" i="1"/>
  <c r="F60" i="1"/>
  <c r="G60" i="1"/>
  <c r="F61" i="1"/>
  <c r="G61" i="1"/>
  <c r="F62" i="1"/>
  <c r="G62" i="1"/>
  <c r="M62" i="1" s="1"/>
  <c r="F63" i="1"/>
  <c r="G63" i="1"/>
  <c r="F64" i="1"/>
  <c r="G64" i="1"/>
  <c r="F65" i="1"/>
  <c r="G65" i="1"/>
  <c r="F66" i="1"/>
  <c r="G66" i="1"/>
  <c r="M66" i="1" s="1"/>
  <c r="F67" i="1"/>
  <c r="G67" i="1"/>
  <c r="F68" i="1"/>
  <c r="G68" i="1"/>
  <c r="F69" i="1"/>
  <c r="G69" i="1"/>
  <c r="F70" i="1"/>
  <c r="G70" i="1"/>
  <c r="M70" i="1" s="1"/>
  <c r="F71" i="1"/>
  <c r="G71" i="1"/>
  <c r="F72" i="1"/>
  <c r="G72" i="1"/>
  <c r="F73" i="1"/>
  <c r="G73" i="1"/>
  <c r="F74" i="1"/>
  <c r="G74" i="1"/>
  <c r="M74" i="1" s="1"/>
  <c r="F75" i="1"/>
  <c r="G75" i="1"/>
  <c r="F76" i="1"/>
  <c r="G76" i="1"/>
  <c r="F77" i="1"/>
  <c r="G77" i="1"/>
  <c r="F78" i="1"/>
  <c r="G78" i="1"/>
  <c r="M78" i="1" s="1"/>
  <c r="F79" i="1"/>
  <c r="G79" i="1"/>
  <c r="F80" i="1"/>
  <c r="G80" i="1"/>
  <c r="F81" i="1"/>
  <c r="G81" i="1"/>
  <c r="F82" i="1"/>
  <c r="G82" i="1"/>
  <c r="M82" i="1" s="1"/>
  <c r="F83" i="1"/>
  <c r="G83" i="1"/>
  <c r="F84" i="1"/>
  <c r="G84" i="1"/>
  <c r="F85" i="1"/>
  <c r="G85" i="1"/>
  <c r="F86" i="1"/>
  <c r="G86" i="1"/>
  <c r="M86" i="1" s="1"/>
  <c r="F87" i="1"/>
  <c r="G87" i="1"/>
  <c r="F88" i="1"/>
  <c r="G88" i="1"/>
  <c r="F89" i="1"/>
  <c r="G89" i="1"/>
  <c r="F90" i="1"/>
  <c r="G90" i="1"/>
  <c r="M90" i="1" s="1"/>
  <c r="F91" i="1"/>
  <c r="G91" i="1"/>
  <c r="F92" i="1"/>
  <c r="G92" i="1"/>
  <c r="F93" i="1"/>
  <c r="G93" i="1"/>
  <c r="F94" i="1"/>
  <c r="G94" i="1"/>
  <c r="M94" i="1" s="1"/>
  <c r="F95" i="1"/>
  <c r="G95" i="1"/>
  <c r="F96" i="1"/>
  <c r="G96" i="1"/>
  <c r="F97" i="1"/>
  <c r="G97" i="1"/>
  <c r="F98" i="1"/>
  <c r="G98" i="1"/>
  <c r="M98" i="1" s="1"/>
  <c r="F99" i="1"/>
  <c r="G99" i="1"/>
  <c r="F100" i="1"/>
  <c r="G100" i="1"/>
  <c r="F101" i="1"/>
  <c r="G101" i="1"/>
  <c r="F102" i="1"/>
  <c r="G102" i="1"/>
  <c r="M102" i="1" s="1"/>
  <c r="F103" i="1"/>
  <c r="G103" i="1"/>
  <c r="F104" i="1"/>
  <c r="G104" i="1"/>
  <c r="F105" i="1"/>
  <c r="G105" i="1"/>
  <c r="F106" i="1"/>
  <c r="G106" i="1"/>
  <c r="M106" i="1" s="1"/>
  <c r="F107" i="1"/>
  <c r="G107" i="1"/>
  <c r="F108" i="1"/>
  <c r="G108" i="1"/>
  <c r="F109" i="1"/>
  <c r="G109" i="1"/>
  <c r="F110" i="1"/>
  <c r="G110" i="1"/>
  <c r="M110" i="1" s="1"/>
  <c r="F111" i="1"/>
  <c r="G111" i="1"/>
  <c r="F112" i="1"/>
  <c r="G112" i="1"/>
  <c r="F113" i="1"/>
  <c r="G113" i="1"/>
  <c r="F114" i="1"/>
  <c r="G114" i="1"/>
  <c r="M114" i="1" s="1"/>
  <c r="F115" i="1"/>
  <c r="G115" i="1"/>
  <c r="F116" i="1"/>
  <c r="G116" i="1"/>
  <c r="F117" i="1"/>
  <c r="G117" i="1"/>
  <c r="F118" i="1"/>
  <c r="G118" i="1"/>
  <c r="M118" i="1" s="1"/>
  <c r="F119" i="1"/>
  <c r="G119" i="1"/>
  <c r="F120" i="1"/>
  <c r="G120" i="1"/>
  <c r="F121" i="1"/>
  <c r="G121" i="1"/>
  <c r="F122" i="1"/>
  <c r="G122" i="1"/>
  <c r="M122" i="1" s="1"/>
  <c r="F123" i="1"/>
  <c r="G123" i="1"/>
  <c r="F124" i="1"/>
  <c r="G124" i="1"/>
  <c r="F125" i="1"/>
  <c r="G125" i="1"/>
  <c r="F126" i="1"/>
  <c r="G126" i="1"/>
  <c r="M126" i="1" s="1"/>
  <c r="F127" i="1"/>
  <c r="G127" i="1"/>
  <c r="F128" i="1"/>
  <c r="G128" i="1"/>
  <c r="F129" i="1"/>
  <c r="G129" i="1"/>
  <c r="F130" i="1"/>
  <c r="G130" i="1"/>
  <c r="M130" i="1" s="1"/>
  <c r="F131" i="1"/>
  <c r="G131" i="1"/>
  <c r="F132" i="1"/>
  <c r="G132" i="1"/>
  <c r="F133" i="1"/>
  <c r="G133" i="1"/>
  <c r="F134" i="1"/>
  <c r="G134" i="1"/>
  <c r="M134" i="1" s="1"/>
  <c r="F135" i="1"/>
  <c r="G135" i="1"/>
  <c r="F136" i="1"/>
  <c r="G136" i="1"/>
  <c r="F137" i="1"/>
  <c r="G137" i="1"/>
  <c r="F138" i="1"/>
  <c r="G138" i="1"/>
  <c r="M138" i="1" s="1"/>
  <c r="F139" i="1"/>
  <c r="G139" i="1"/>
  <c r="F140" i="1"/>
  <c r="G140" i="1"/>
  <c r="F141" i="1"/>
  <c r="G141" i="1"/>
  <c r="F142" i="1"/>
  <c r="G142" i="1"/>
  <c r="M142" i="1" s="1"/>
  <c r="F143" i="1"/>
  <c r="G143" i="1"/>
  <c r="F144" i="1"/>
  <c r="G144" i="1"/>
  <c r="F145" i="1"/>
  <c r="G145" i="1"/>
  <c r="F146" i="1"/>
  <c r="G146" i="1"/>
  <c r="M146" i="1" s="1"/>
  <c r="F147" i="1"/>
  <c r="G147" i="1"/>
  <c r="F148" i="1"/>
  <c r="G148" i="1"/>
  <c r="F149" i="1"/>
  <c r="G149" i="1"/>
  <c r="F150" i="1"/>
  <c r="G150" i="1"/>
  <c r="M150" i="1" s="1"/>
  <c r="F151" i="1"/>
  <c r="G151" i="1"/>
  <c r="F152" i="1"/>
  <c r="G152" i="1"/>
  <c r="F153" i="1"/>
  <c r="G153" i="1"/>
  <c r="F154" i="1"/>
  <c r="G154" i="1"/>
  <c r="M154" i="1" s="1"/>
  <c r="F155" i="1"/>
  <c r="G155" i="1"/>
  <c r="F156" i="1"/>
  <c r="G156" i="1"/>
  <c r="F157" i="1"/>
  <c r="G157" i="1"/>
  <c r="F158" i="1"/>
  <c r="G158" i="1"/>
  <c r="M158" i="1" s="1"/>
  <c r="F159" i="1"/>
  <c r="G159" i="1"/>
  <c r="F160" i="1"/>
  <c r="G160" i="1"/>
  <c r="F161" i="1"/>
  <c r="G161" i="1"/>
  <c r="F162" i="1"/>
  <c r="G162" i="1"/>
  <c r="M162" i="1" s="1"/>
  <c r="F163" i="1"/>
  <c r="G163" i="1"/>
  <c r="F164" i="1"/>
  <c r="G164" i="1"/>
  <c r="F165" i="1"/>
  <c r="G165" i="1"/>
  <c r="F166" i="1"/>
  <c r="G166" i="1"/>
  <c r="M166" i="1" s="1"/>
  <c r="F167" i="1"/>
  <c r="G167" i="1"/>
  <c r="F168" i="1"/>
  <c r="G168" i="1"/>
  <c r="F169" i="1"/>
  <c r="G169" i="1"/>
  <c r="F170" i="1"/>
  <c r="G170" i="1"/>
  <c r="M170" i="1" s="1"/>
  <c r="F171" i="1"/>
  <c r="G171" i="1"/>
  <c r="F172" i="1"/>
  <c r="G172" i="1"/>
  <c r="F173" i="1"/>
  <c r="G173" i="1"/>
  <c r="F174" i="1"/>
  <c r="G174" i="1"/>
  <c r="M174" i="1" s="1"/>
  <c r="F175" i="1"/>
  <c r="G175" i="1"/>
  <c r="F176" i="1"/>
  <c r="G176" i="1"/>
  <c r="F177" i="1"/>
  <c r="G177" i="1"/>
  <c r="F178" i="1"/>
  <c r="G178" i="1"/>
  <c r="M178" i="1" s="1"/>
  <c r="F179" i="1"/>
  <c r="G179" i="1"/>
  <c r="F180" i="1"/>
  <c r="G180" i="1"/>
  <c r="F181" i="1"/>
  <c r="G181" i="1"/>
  <c r="F182" i="1"/>
  <c r="G182" i="1"/>
  <c r="M182" i="1" s="1"/>
  <c r="F183" i="1"/>
  <c r="G183" i="1"/>
  <c r="F184" i="1"/>
  <c r="G184" i="1"/>
  <c r="F185" i="1"/>
  <c r="G185" i="1"/>
  <c r="F186" i="1"/>
  <c r="G186" i="1"/>
  <c r="M186" i="1" s="1"/>
  <c r="F187" i="1"/>
  <c r="G187" i="1"/>
  <c r="F188" i="1"/>
  <c r="G188" i="1"/>
  <c r="F189" i="1"/>
  <c r="G189" i="1"/>
  <c r="F190" i="1"/>
  <c r="G190" i="1"/>
  <c r="M190" i="1" s="1"/>
  <c r="F191" i="1"/>
  <c r="G191" i="1"/>
  <c r="F192" i="1"/>
  <c r="G192" i="1"/>
  <c r="F193" i="1"/>
  <c r="G193" i="1"/>
  <c r="F194" i="1"/>
  <c r="G194" i="1"/>
  <c r="M194" i="1" s="1"/>
  <c r="F195" i="1"/>
  <c r="G195" i="1"/>
  <c r="F196" i="1"/>
  <c r="G196" i="1"/>
  <c r="F197" i="1"/>
  <c r="G197" i="1"/>
  <c r="F198" i="1"/>
  <c r="G198" i="1"/>
  <c r="M198" i="1" s="1"/>
  <c r="F199" i="1"/>
  <c r="G199" i="1"/>
  <c r="F200" i="1"/>
  <c r="G200" i="1"/>
  <c r="F201" i="1"/>
  <c r="G201" i="1"/>
  <c r="F202" i="1"/>
  <c r="G202" i="1"/>
  <c r="M202" i="1" s="1"/>
  <c r="F203" i="1"/>
  <c r="G203" i="1"/>
  <c r="F204" i="1"/>
  <c r="G204" i="1"/>
  <c r="F205" i="1"/>
  <c r="G205" i="1"/>
  <c r="F206" i="1"/>
  <c r="G206" i="1"/>
  <c r="M206" i="1" s="1"/>
  <c r="F207" i="1"/>
  <c r="G207" i="1"/>
  <c r="F208" i="1"/>
  <c r="G208" i="1"/>
  <c r="F209" i="1"/>
  <c r="G209" i="1"/>
  <c r="F210" i="1"/>
  <c r="G210" i="1"/>
  <c r="M210" i="1" s="1"/>
  <c r="F211" i="1"/>
  <c r="G211" i="1"/>
  <c r="F212" i="1"/>
  <c r="G212" i="1"/>
  <c r="F213" i="1"/>
  <c r="G213" i="1"/>
  <c r="F214" i="1"/>
  <c r="G214" i="1"/>
  <c r="M214" i="1" s="1"/>
  <c r="F215" i="1"/>
  <c r="G215" i="1"/>
  <c r="F216" i="1"/>
  <c r="G216" i="1"/>
  <c r="F217" i="1"/>
  <c r="G217" i="1"/>
  <c r="F218" i="1"/>
  <c r="G218" i="1"/>
  <c r="M218" i="1" s="1"/>
  <c r="F219" i="1"/>
  <c r="G219" i="1"/>
  <c r="F220" i="1"/>
  <c r="G220" i="1"/>
  <c r="F221" i="1"/>
  <c r="G221" i="1"/>
  <c r="F222" i="1"/>
  <c r="G222" i="1"/>
  <c r="M222" i="1" s="1"/>
  <c r="F223" i="1"/>
  <c r="G223" i="1"/>
  <c r="F224" i="1"/>
  <c r="G224" i="1"/>
  <c r="F225" i="1"/>
  <c r="G225" i="1"/>
  <c r="F226" i="1"/>
  <c r="G226" i="1"/>
  <c r="M226" i="1" s="1"/>
  <c r="F227" i="1"/>
  <c r="G227" i="1"/>
  <c r="F228" i="1"/>
  <c r="G228" i="1"/>
  <c r="F229" i="1"/>
  <c r="G229" i="1"/>
  <c r="F230" i="1"/>
  <c r="G230" i="1"/>
  <c r="M230" i="1" s="1"/>
  <c r="F231" i="1"/>
  <c r="G231" i="1"/>
  <c r="F232" i="1"/>
  <c r="G232" i="1"/>
  <c r="F233" i="1"/>
  <c r="G233" i="1"/>
  <c r="F234" i="1"/>
  <c r="G234" i="1"/>
  <c r="M234" i="1" s="1"/>
  <c r="F235" i="1"/>
  <c r="G235" i="1"/>
  <c r="F236" i="1"/>
  <c r="G236" i="1"/>
  <c r="F237" i="1"/>
  <c r="G237" i="1"/>
  <c r="F238" i="1"/>
  <c r="G238" i="1"/>
  <c r="M238" i="1" s="1"/>
  <c r="F239" i="1"/>
  <c r="G239" i="1"/>
  <c r="F240" i="1"/>
  <c r="G240" i="1"/>
  <c r="F241" i="1"/>
  <c r="G241" i="1"/>
  <c r="F242" i="1"/>
  <c r="G242" i="1"/>
  <c r="M242" i="1" s="1"/>
  <c r="F243" i="1"/>
  <c r="G243" i="1"/>
  <c r="F244" i="1"/>
  <c r="G244" i="1"/>
  <c r="F245" i="1"/>
  <c r="G245" i="1"/>
  <c r="F246" i="1"/>
  <c r="G246" i="1"/>
  <c r="M246" i="1" s="1"/>
  <c r="F247" i="1"/>
  <c r="G247" i="1"/>
  <c r="F248" i="1"/>
  <c r="G248" i="1"/>
  <c r="F249" i="1"/>
  <c r="G249" i="1"/>
  <c r="F250" i="1"/>
  <c r="G250" i="1"/>
  <c r="M250" i="1" s="1"/>
  <c r="F251" i="1"/>
  <c r="G251" i="1"/>
  <c r="F252" i="1"/>
  <c r="G252" i="1"/>
  <c r="F253" i="1"/>
  <c r="G253" i="1"/>
  <c r="F254" i="1"/>
  <c r="G254" i="1"/>
  <c r="M254" i="1" s="1"/>
  <c r="F255" i="1"/>
  <c r="G255" i="1"/>
  <c r="F256" i="1"/>
  <c r="G256" i="1"/>
  <c r="F257" i="1"/>
  <c r="G257" i="1"/>
  <c r="F258" i="1"/>
  <c r="G258" i="1"/>
  <c r="M258" i="1" s="1"/>
  <c r="F259" i="1"/>
  <c r="G259" i="1"/>
  <c r="F260" i="1"/>
  <c r="G260" i="1"/>
  <c r="F261" i="1"/>
  <c r="G261" i="1"/>
  <c r="F262" i="1"/>
  <c r="G262" i="1"/>
  <c r="M262" i="1" s="1"/>
  <c r="F263" i="1"/>
  <c r="G263" i="1"/>
  <c r="F264" i="1"/>
  <c r="G264" i="1"/>
  <c r="F265" i="1"/>
  <c r="G265" i="1"/>
  <c r="F266" i="1"/>
  <c r="G266" i="1"/>
  <c r="M266" i="1" s="1"/>
  <c r="F267" i="1"/>
  <c r="G267" i="1"/>
  <c r="F268" i="1"/>
  <c r="G268" i="1"/>
  <c r="F269" i="1"/>
  <c r="G269" i="1"/>
  <c r="F270" i="1"/>
  <c r="G270" i="1"/>
  <c r="M270" i="1" s="1"/>
  <c r="F271" i="1"/>
  <c r="G271" i="1"/>
  <c r="F272" i="1"/>
  <c r="G272" i="1"/>
  <c r="F273" i="1"/>
  <c r="G273" i="1"/>
  <c r="F274" i="1"/>
  <c r="G274" i="1"/>
  <c r="M274" i="1" s="1"/>
  <c r="F275" i="1"/>
  <c r="G275" i="1"/>
  <c r="F276" i="1"/>
  <c r="G276" i="1"/>
  <c r="F277" i="1"/>
  <c r="G277" i="1"/>
  <c r="F278" i="1"/>
  <c r="G278" i="1"/>
  <c r="M278" i="1" s="1"/>
  <c r="F279" i="1"/>
  <c r="G279" i="1"/>
  <c r="F280" i="1"/>
  <c r="G280" i="1"/>
  <c r="F281" i="1"/>
  <c r="G281" i="1"/>
  <c r="F282" i="1"/>
  <c r="G282" i="1"/>
  <c r="M282" i="1" s="1"/>
  <c r="F283" i="1"/>
  <c r="G283" i="1"/>
  <c r="F284" i="1"/>
  <c r="G284" i="1"/>
  <c r="F285" i="1"/>
  <c r="G285" i="1"/>
  <c r="F286" i="1"/>
  <c r="G286" i="1"/>
  <c r="M286" i="1" s="1"/>
  <c r="F287" i="1"/>
  <c r="G287" i="1"/>
  <c r="F288" i="1"/>
  <c r="G288" i="1"/>
  <c r="F289" i="1"/>
  <c r="G289" i="1"/>
  <c r="F290" i="1"/>
  <c r="G290" i="1"/>
  <c r="M290" i="1" s="1"/>
  <c r="F291" i="1"/>
  <c r="G291" i="1"/>
  <c r="F292" i="1"/>
  <c r="G292" i="1"/>
  <c r="F293" i="1"/>
  <c r="G293" i="1"/>
  <c r="F294" i="1"/>
  <c r="G294" i="1"/>
  <c r="M294" i="1" s="1"/>
  <c r="F295" i="1"/>
  <c r="G295" i="1"/>
  <c r="F296" i="1"/>
  <c r="G296" i="1"/>
  <c r="F297" i="1"/>
  <c r="G297" i="1"/>
  <c r="F298" i="1"/>
  <c r="G298" i="1"/>
  <c r="M298" i="1" s="1"/>
  <c r="F299" i="1"/>
  <c r="G299" i="1"/>
  <c r="F300" i="1"/>
  <c r="G300" i="1"/>
  <c r="F301" i="1"/>
  <c r="G301" i="1"/>
  <c r="F302" i="1"/>
  <c r="G302" i="1"/>
  <c r="M302" i="1" s="1"/>
  <c r="F303" i="1"/>
  <c r="G303" i="1"/>
  <c r="F304" i="1"/>
  <c r="G304" i="1"/>
  <c r="F305" i="1"/>
  <c r="G305" i="1"/>
  <c r="F306" i="1"/>
  <c r="G306" i="1"/>
  <c r="M306" i="1" s="1"/>
  <c r="F307" i="1"/>
  <c r="G307" i="1"/>
  <c r="F308" i="1"/>
  <c r="G308" i="1"/>
  <c r="F309" i="1"/>
  <c r="G309" i="1"/>
  <c r="F310" i="1"/>
  <c r="G310" i="1"/>
  <c r="M310" i="1" s="1"/>
  <c r="F311" i="1"/>
  <c r="G311" i="1"/>
  <c r="F312" i="1"/>
  <c r="G312" i="1"/>
  <c r="F313" i="1"/>
  <c r="G313" i="1"/>
  <c r="F1" i="1"/>
  <c r="G1" i="1"/>
  <c r="M313" i="1" l="1"/>
  <c r="M305" i="1"/>
  <c r="M293" i="1"/>
  <c r="M285" i="1"/>
  <c r="M273" i="1"/>
  <c r="M261" i="1"/>
  <c r="M253" i="1"/>
  <c r="M245" i="1"/>
  <c r="M233" i="1"/>
  <c r="M225" i="1"/>
  <c r="M213" i="1"/>
  <c r="M205" i="1"/>
  <c r="M193" i="1"/>
  <c r="M185" i="1"/>
  <c r="M173" i="1"/>
  <c r="M165" i="1"/>
  <c r="M157" i="1"/>
  <c r="M149" i="1"/>
  <c r="M145" i="1"/>
  <c r="M141" i="1"/>
  <c r="M137" i="1"/>
  <c r="M129" i="1"/>
  <c r="M125" i="1"/>
  <c r="M121" i="1"/>
  <c r="M117" i="1"/>
  <c r="M113" i="1"/>
  <c r="M109" i="1"/>
  <c r="M105" i="1"/>
  <c r="M101" i="1"/>
  <c r="M97" i="1"/>
  <c r="M93" i="1"/>
  <c r="M89" i="1"/>
  <c r="M85" i="1"/>
  <c r="M81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M21" i="1"/>
  <c r="M17" i="1"/>
  <c r="M13" i="1"/>
  <c r="M309" i="1"/>
  <c r="M301" i="1"/>
  <c r="M297" i="1"/>
  <c r="M289" i="1"/>
  <c r="M281" i="1"/>
  <c r="M277" i="1"/>
  <c r="M269" i="1"/>
  <c r="M265" i="1"/>
  <c r="M257" i="1"/>
  <c r="M249" i="1"/>
  <c r="M241" i="1"/>
  <c r="M237" i="1"/>
  <c r="M229" i="1"/>
  <c r="M221" i="1"/>
  <c r="M217" i="1"/>
  <c r="M209" i="1"/>
  <c r="M201" i="1"/>
  <c r="M197" i="1"/>
  <c r="M189" i="1"/>
  <c r="M181" i="1"/>
  <c r="M177" i="1"/>
  <c r="M169" i="1"/>
  <c r="M161" i="1"/>
  <c r="M153" i="1"/>
  <c r="M133" i="1"/>
  <c r="M312" i="1"/>
  <c r="M300" i="1"/>
  <c r="M288" i="1"/>
  <c r="M276" i="1"/>
  <c r="M256" i="1"/>
  <c r="M220" i="1"/>
  <c r="M40" i="1"/>
  <c r="M36" i="1"/>
  <c r="M32" i="1"/>
  <c r="M28" i="1"/>
  <c r="M24" i="1"/>
  <c r="M20" i="1"/>
  <c r="M16" i="1"/>
  <c r="M308" i="1"/>
  <c r="M304" i="1"/>
  <c r="M296" i="1"/>
  <c r="M292" i="1"/>
  <c r="M284" i="1"/>
  <c r="M280" i="1"/>
  <c r="M272" i="1"/>
  <c r="M268" i="1"/>
  <c r="M264" i="1"/>
  <c r="M260" i="1"/>
  <c r="M252" i="1"/>
  <c r="M248" i="1"/>
  <c r="M244" i="1"/>
  <c r="M240" i="1"/>
  <c r="M236" i="1"/>
  <c r="M232" i="1"/>
  <c r="M228" i="1"/>
  <c r="M224" i="1"/>
  <c r="M216" i="1"/>
  <c r="M212" i="1"/>
  <c r="M208" i="1"/>
  <c r="M204" i="1"/>
  <c r="M200" i="1"/>
  <c r="M196" i="1"/>
  <c r="M192" i="1"/>
  <c r="M188" i="1"/>
  <c r="M184" i="1"/>
  <c r="M180" i="1"/>
  <c r="M176" i="1"/>
  <c r="M172" i="1"/>
  <c r="M168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L313" i="1"/>
  <c r="L320" i="1"/>
  <c r="L324" i="1"/>
  <c r="L322" i="1"/>
  <c r="L323" i="1"/>
  <c r="L319" i="1"/>
  <c r="L318" i="1"/>
  <c r="L321" i="1"/>
  <c r="L317" i="1"/>
  <c r="L316" i="1"/>
  <c r="L315" i="1"/>
  <c r="L314" i="1"/>
  <c r="M311" i="1"/>
  <c r="M307" i="1"/>
  <c r="M303" i="1"/>
  <c r="M299" i="1"/>
  <c r="M295" i="1"/>
  <c r="M291" i="1"/>
  <c r="M287" i="1"/>
  <c r="M283" i="1"/>
  <c r="M279" i="1"/>
  <c r="M275" i="1"/>
  <c r="M271" i="1"/>
  <c r="M267" i="1"/>
  <c r="M263" i="1"/>
  <c r="M259" i="1"/>
  <c r="M255" i="1"/>
  <c r="M251" i="1"/>
  <c r="M247" i="1"/>
  <c r="M243" i="1"/>
  <c r="M239" i="1"/>
  <c r="M235" i="1"/>
  <c r="M231" i="1"/>
  <c r="M227" i="1"/>
  <c r="M223" i="1"/>
  <c r="M219" i="1"/>
  <c r="M215" i="1"/>
  <c r="M211" i="1"/>
  <c r="M207" i="1"/>
  <c r="M203" i="1"/>
  <c r="M199" i="1"/>
  <c r="M195" i="1"/>
  <c r="M191" i="1"/>
  <c r="M187" i="1"/>
  <c r="M183" i="1"/>
  <c r="M179" i="1"/>
  <c r="M175" i="1"/>
  <c r="M171" i="1"/>
  <c r="M167" i="1"/>
  <c r="M163" i="1"/>
  <c r="M159" i="1"/>
  <c r="M155" i="1"/>
  <c r="M151" i="1"/>
  <c r="M147" i="1"/>
  <c r="M143" i="1"/>
  <c r="M139" i="1"/>
  <c r="M135" i="1"/>
  <c r="M131" i="1"/>
  <c r="M127" i="1"/>
  <c r="M123" i="1"/>
  <c r="M119" i="1"/>
  <c r="M115" i="1"/>
  <c r="M111" i="1"/>
  <c r="M107" i="1"/>
  <c r="M103" i="1"/>
  <c r="M99" i="1"/>
  <c r="M95" i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23" i="1"/>
  <c r="M19" i="1"/>
  <c r="M15" i="1"/>
  <c r="M314" i="1"/>
  <c r="K293" i="1"/>
  <c r="L293" i="1"/>
  <c r="K269" i="1"/>
  <c r="L269" i="1"/>
  <c r="K249" i="1"/>
  <c r="L249" i="1"/>
  <c r="K229" i="1"/>
  <c r="L229" i="1"/>
  <c r="K201" i="1"/>
  <c r="L201" i="1"/>
  <c r="K177" i="1"/>
  <c r="L177" i="1"/>
  <c r="K161" i="1"/>
  <c r="L161" i="1"/>
  <c r="L137" i="1"/>
  <c r="K137" i="1"/>
  <c r="L121" i="1"/>
  <c r="K121" i="1"/>
  <c r="L97" i="1"/>
  <c r="K97" i="1"/>
  <c r="L81" i="1"/>
  <c r="K81" i="1"/>
  <c r="L65" i="1"/>
  <c r="K65" i="1"/>
  <c r="L53" i="1"/>
  <c r="K53" i="1"/>
  <c r="K37" i="1"/>
  <c r="L37" i="1"/>
  <c r="K25" i="1"/>
  <c r="L25" i="1"/>
  <c r="K17" i="1"/>
  <c r="L17" i="1"/>
  <c r="K13" i="1"/>
  <c r="L13" i="1"/>
  <c r="L308" i="1"/>
  <c r="K308" i="1"/>
  <c r="L300" i="1"/>
  <c r="K300" i="1"/>
  <c r="L288" i="1"/>
  <c r="K288" i="1"/>
  <c r="L280" i="1"/>
  <c r="K280" i="1"/>
  <c r="L272" i="1"/>
  <c r="K272" i="1"/>
  <c r="L264" i="1"/>
  <c r="K264" i="1"/>
  <c r="L256" i="1"/>
  <c r="K256" i="1"/>
  <c r="L248" i="1"/>
  <c r="K248" i="1"/>
  <c r="L240" i="1"/>
  <c r="K240" i="1"/>
  <c r="L232" i="1"/>
  <c r="K232" i="1"/>
  <c r="L224" i="1"/>
  <c r="K224" i="1"/>
  <c r="L216" i="1"/>
  <c r="K216" i="1"/>
  <c r="L208" i="1"/>
  <c r="K208" i="1"/>
  <c r="L200" i="1"/>
  <c r="K200" i="1"/>
  <c r="K192" i="1"/>
  <c r="L192" i="1"/>
  <c r="K184" i="1"/>
  <c r="L184" i="1"/>
  <c r="K176" i="1"/>
  <c r="L176" i="1"/>
  <c r="K168" i="1"/>
  <c r="L168" i="1"/>
  <c r="K160" i="1"/>
  <c r="L160" i="1"/>
  <c r="K152" i="1"/>
  <c r="L152" i="1"/>
  <c r="K144" i="1"/>
  <c r="L144" i="1"/>
  <c r="K136" i="1"/>
  <c r="L136" i="1"/>
  <c r="K128" i="1"/>
  <c r="L128" i="1"/>
  <c r="L120" i="1"/>
  <c r="K120" i="1"/>
  <c r="L112" i="1"/>
  <c r="K112" i="1"/>
  <c r="L100" i="1"/>
  <c r="K100" i="1"/>
  <c r="L92" i="1"/>
  <c r="K92" i="1"/>
  <c r="L88" i="1"/>
  <c r="K88" i="1"/>
  <c r="L80" i="1"/>
  <c r="K80" i="1"/>
  <c r="L72" i="1"/>
  <c r="K72" i="1"/>
  <c r="L64" i="1"/>
  <c r="K64" i="1"/>
  <c r="L56" i="1"/>
  <c r="K56" i="1"/>
  <c r="L48" i="1"/>
  <c r="K48" i="1"/>
  <c r="L40" i="1"/>
  <c r="K40" i="1"/>
  <c r="L28" i="1"/>
  <c r="K28" i="1"/>
  <c r="K20" i="1"/>
  <c r="L20" i="1"/>
  <c r="K301" i="1"/>
  <c r="L301" i="1"/>
  <c r="K281" i="1"/>
  <c r="L281" i="1"/>
  <c r="K253" i="1"/>
  <c r="L253" i="1"/>
  <c r="K225" i="1"/>
  <c r="L225" i="1"/>
  <c r="K205" i="1"/>
  <c r="L205" i="1"/>
  <c r="K189" i="1"/>
  <c r="L189" i="1"/>
  <c r="K169" i="1"/>
  <c r="L169" i="1"/>
  <c r="L149" i="1"/>
  <c r="K149" i="1"/>
  <c r="L133" i="1"/>
  <c r="K133" i="1"/>
  <c r="L117" i="1"/>
  <c r="K117" i="1"/>
  <c r="L105" i="1"/>
  <c r="K105" i="1"/>
  <c r="L85" i="1"/>
  <c r="K85" i="1"/>
  <c r="L69" i="1"/>
  <c r="K69" i="1"/>
  <c r="L57" i="1"/>
  <c r="K57" i="1"/>
  <c r="K45" i="1"/>
  <c r="L45" i="1"/>
  <c r="K33" i="1"/>
  <c r="L33" i="1"/>
  <c r="L312" i="1"/>
  <c r="K312" i="1"/>
  <c r="L304" i="1"/>
  <c r="K304" i="1"/>
  <c r="L296" i="1"/>
  <c r="K296" i="1"/>
  <c r="L292" i="1"/>
  <c r="K292" i="1"/>
  <c r="L284" i="1"/>
  <c r="K284" i="1"/>
  <c r="L276" i="1"/>
  <c r="K276" i="1"/>
  <c r="L268" i="1"/>
  <c r="K268" i="1"/>
  <c r="L260" i="1"/>
  <c r="K260" i="1"/>
  <c r="L252" i="1"/>
  <c r="K252" i="1"/>
  <c r="L244" i="1"/>
  <c r="K244" i="1"/>
  <c r="L236" i="1"/>
  <c r="K236" i="1"/>
  <c r="L228" i="1"/>
  <c r="K228" i="1"/>
  <c r="L220" i="1"/>
  <c r="K220" i="1"/>
  <c r="L212" i="1"/>
  <c r="K212" i="1"/>
  <c r="L204" i="1"/>
  <c r="K204" i="1"/>
  <c r="L196" i="1"/>
  <c r="K196" i="1"/>
  <c r="K188" i="1"/>
  <c r="L188" i="1"/>
  <c r="K180" i="1"/>
  <c r="L180" i="1"/>
  <c r="K172" i="1"/>
  <c r="L172" i="1"/>
  <c r="K164" i="1"/>
  <c r="L164" i="1"/>
  <c r="K156" i="1"/>
  <c r="L156" i="1"/>
  <c r="L148" i="1"/>
  <c r="K148" i="1"/>
  <c r="K140" i="1"/>
  <c r="L140" i="1"/>
  <c r="L132" i="1"/>
  <c r="K132" i="1"/>
  <c r="L124" i="1"/>
  <c r="K124" i="1"/>
  <c r="L116" i="1"/>
  <c r="K116" i="1"/>
  <c r="L108" i="1"/>
  <c r="K108" i="1"/>
  <c r="L104" i="1"/>
  <c r="K104" i="1"/>
  <c r="L96" i="1"/>
  <c r="K96" i="1"/>
  <c r="L84" i="1"/>
  <c r="K84" i="1"/>
  <c r="L76" i="1"/>
  <c r="K76" i="1"/>
  <c r="L68" i="1"/>
  <c r="K68" i="1"/>
  <c r="L60" i="1"/>
  <c r="K60" i="1"/>
  <c r="L52" i="1"/>
  <c r="K52" i="1"/>
  <c r="L44" i="1"/>
  <c r="K44" i="1"/>
  <c r="L36" i="1"/>
  <c r="K36" i="1"/>
  <c r="L32" i="1"/>
  <c r="K32" i="1"/>
  <c r="K24" i="1"/>
  <c r="L24" i="1"/>
  <c r="K16" i="1"/>
  <c r="L16" i="1"/>
  <c r="L305" i="1"/>
  <c r="K305" i="1"/>
  <c r="K285" i="1"/>
  <c r="L285" i="1"/>
  <c r="K257" i="1"/>
  <c r="L257" i="1"/>
  <c r="K233" i="1"/>
  <c r="L233" i="1"/>
  <c r="K213" i="1"/>
  <c r="L213" i="1"/>
  <c r="K193" i="1"/>
  <c r="L193" i="1"/>
  <c r="K173" i="1"/>
  <c r="L173" i="1"/>
  <c r="K157" i="1"/>
  <c r="L157" i="1"/>
  <c r="L141" i="1"/>
  <c r="K141" i="1"/>
  <c r="L129" i="1"/>
  <c r="K129" i="1"/>
  <c r="L113" i="1"/>
  <c r="K113" i="1"/>
  <c r="L93" i="1"/>
  <c r="K93" i="1"/>
  <c r="L89" i="1"/>
  <c r="K89" i="1"/>
  <c r="L77" i="1"/>
  <c r="K77" i="1"/>
  <c r="L61" i="1"/>
  <c r="K61" i="1"/>
  <c r="K49" i="1"/>
  <c r="L49" i="1"/>
  <c r="K29" i="1"/>
  <c r="L29" i="1"/>
  <c r="L311" i="1"/>
  <c r="K311" i="1"/>
  <c r="L303" i="1"/>
  <c r="K303" i="1"/>
  <c r="K299" i="1"/>
  <c r="L299" i="1"/>
  <c r="K291" i="1"/>
  <c r="L291" i="1"/>
  <c r="K283" i="1"/>
  <c r="L283" i="1"/>
  <c r="K275" i="1"/>
  <c r="L275" i="1"/>
  <c r="K271" i="1"/>
  <c r="L271" i="1"/>
  <c r="K263" i="1"/>
  <c r="L263" i="1"/>
  <c r="K255" i="1"/>
  <c r="L255" i="1"/>
  <c r="K251" i="1"/>
  <c r="L251" i="1"/>
  <c r="K243" i="1"/>
  <c r="L243" i="1"/>
  <c r="K239" i="1"/>
  <c r="L239" i="1"/>
  <c r="K231" i="1"/>
  <c r="L231" i="1"/>
  <c r="K227" i="1"/>
  <c r="L227" i="1"/>
  <c r="K219" i="1"/>
  <c r="L219" i="1"/>
  <c r="K211" i="1"/>
  <c r="L211" i="1"/>
  <c r="K207" i="1"/>
  <c r="L207" i="1"/>
  <c r="K199" i="1"/>
  <c r="L199" i="1"/>
  <c r="K195" i="1"/>
  <c r="L195" i="1"/>
  <c r="K187" i="1"/>
  <c r="L187" i="1"/>
  <c r="K183" i="1"/>
  <c r="L183" i="1"/>
  <c r="K175" i="1"/>
  <c r="L175" i="1"/>
  <c r="K167" i="1"/>
  <c r="L167" i="1"/>
  <c r="K163" i="1"/>
  <c r="L163" i="1"/>
  <c r="K155" i="1"/>
  <c r="L155" i="1"/>
  <c r="L147" i="1"/>
  <c r="K147" i="1"/>
  <c r="L143" i="1"/>
  <c r="K143" i="1"/>
  <c r="L135" i="1"/>
  <c r="K135" i="1"/>
  <c r="L127" i="1"/>
  <c r="K127" i="1"/>
  <c r="L119" i="1"/>
  <c r="K119" i="1"/>
  <c r="L111" i="1"/>
  <c r="K111" i="1"/>
  <c r="L103" i="1"/>
  <c r="K103" i="1"/>
  <c r="L95" i="1"/>
  <c r="K95" i="1"/>
  <c r="L87" i="1"/>
  <c r="K87" i="1"/>
  <c r="L79" i="1"/>
  <c r="K79" i="1"/>
  <c r="L71" i="1"/>
  <c r="K71" i="1"/>
  <c r="L63" i="1"/>
  <c r="K63" i="1"/>
  <c r="L55" i="1"/>
  <c r="K55" i="1"/>
  <c r="K51" i="1"/>
  <c r="L51" i="1"/>
  <c r="K47" i="1"/>
  <c r="L47" i="1"/>
  <c r="K39" i="1"/>
  <c r="L39" i="1"/>
  <c r="K35" i="1"/>
  <c r="L35" i="1"/>
  <c r="K31" i="1"/>
  <c r="L31" i="1"/>
  <c r="K27" i="1"/>
  <c r="L27" i="1"/>
  <c r="K23" i="1"/>
  <c r="L23" i="1"/>
  <c r="K19" i="1"/>
  <c r="L19" i="1"/>
  <c r="K15" i="1"/>
  <c r="L15" i="1"/>
  <c r="K297" i="1"/>
  <c r="L297" i="1"/>
  <c r="K265" i="1"/>
  <c r="L265" i="1"/>
  <c r="K237" i="1"/>
  <c r="L237" i="1"/>
  <c r="K209" i="1"/>
  <c r="L209" i="1"/>
  <c r="K185" i="1"/>
  <c r="L185" i="1"/>
  <c r="K165" i="1"/>
  <c r="L165" i="1"/>
  <c r="L145" i="1"/>
  <c r="K145" i="1"/>
  <c r="L125" i="1"/>
  <c r="K125" i="1"/>
  <c r="L101" i="1"/>
  <c r="K101" i="1"/>
  <c r="L73" i="1"/>
  <c r="K73" i="1"/>
  <c r="K21" i="1"/>
  <c r="L21" i="1"/>
  <c r="L307" i="1"/>
  <c r="K307" i="1"/>
  <c r="K295" i="1"/>
  <c r="L295" i="1"/>
  <c r="K287" i="1"/>
  <c r="L287" i="1"/>
  <c r="K279" i="1"/>
  <c r="L279" i="1"/>
  <c r="K267" i="1"/>
  <c r="L267" i="1"/>
  <c r="K259" i="1"/>
  <c r="L259" i="1"/>
  <c r="K247" i="1"/>
  <c r="L247" i="1"/>
  <c r="K235" i="1"/>
  <c r="L235" i="1"/>
  <c r="K223" i="1"/>
  <c r="L223" i="1"/>
  <c r="K215" i="1"/>
  <c r="L215" i="1"/>
  <c r="K203" i="1"/>
  <c r="L203" i="1"/>
  <c r="K191" i="1"/>
  <c r="L191" i="1"/>
  <c r="K179" i="1"/>
  <c r="L179" i="1"/>
  <c r="K171" i="1"/>
  <c r="L171" i="1"/>
  <c r="K159" i="1"/>
  <c r="L159" i="1"/>
  <c r="L151" i="1"/>
  <c r="K151" i="1"/>
  <c r="L139" i="1"/>
  <c r="K139" i="1"/>
  <c r="L131" i="1"/>
  <c r="K131" i="1"/>
  <c r="L123" i="1"/>
  <c r="K123" i="1"/>
  <c r="L115" i="1"/>
  <c r="K115" i="1"/>
  <c r="L107" i="1"/>
  <c r="K107" i="1"/>
  <c r="L99" i="1"/>
  <c r="K99" i="1"/>
  <c r="L91" i="1"/>
  <c r="K91" i="1"/>
  <c r="L83" i="1"/>
  <c r="K83" i="1"/>
  <c r="L75" i="1"/>
  <c r="K75" i="1"/>
  <c r="L67" i="1"/>
  <c r="K67" i="1"/>
  <c r="L59" i="1"/>
  <c r="K59" i="1"/>
  <c r="K43" i="1"/>
  <c r="L43" i="1"/>
  <c r="K289" i="1"/>
  <c r="L289" i="1"/>
  <c r="K261" i="1"/>
  <c r="L261" i="1"/>
  <c r="K221" i="1"/>
  <c r="L221" i="1"/>
  <c r="L310" i="1"/>
  <c r="K310" i="1"/>
  <c r="L266" i="1"/>
  <c r="K266" i="1"/>
  <c r="K313" i="1"/>
  <c r="K273" i="1"/>
  <c r="L273" i="1"/>
  <c r="K241" i="1"/>
  <c r="L241" i="1"/>
  <c r="K197" i="1"/>
  <c r="L197" i="1"/>
  <c r="L306" i="1"/>
  <c r="K306" i="1"/>
  <c r="L302" i="1"/>
  <c r="K302" i="1"/>
  <c r="L298" i="1"/>
  <c r="K298" i="1"/>
  <c r="L294" i="1"/>
  <c r="K294" i="1"/>
  <c r="L290" i="1"/>
  <c r="K290" i="1"/>
  <c r="L286" i="1"/>
  <c r="K286" i="1"/>
  <c r="L282" i="1"/>
  <c r="K282" i="1"/>
  <c r="L278" i="1"/>
  <c r="K278" i="1"/>
  <c r="L274" i="1"/>
  <c r="K274" i="1"/>
  <c r="L270" i="1"/>
  <c r="K270" i="1"/>
  <c r="L262" i="1"/>
  <c r="K262" i="1"/>
  <c r="L258" i="1"/>
  <c r="K258" i="1"/>
  <c r="L254" i="1"/>
  <c r="K254" i="1"/>
  <c r="L250" i="1"/>
  <c r="K250" i="1"/>
  <c r="L246" i="1"/>
  <c r="K246" i="1"/>
  <c r="L242" i="1"/>
  <c r="K242" i="1"/>
  <c r="L238" i="1"/>
  <c r="K238" i="1"/>
  <c r="L234" i="1"/>
  <c r="K234" i="1"/>
  <c r="L230" i="1"/>
  <c r="K230" i="1"/>
  <c r="L226" i="1"/>
  <c r="K226" i="1"/>
  <c r="L222" i="1"/>
  <c r="K222" i="1"/>
  <c r="L218" i="1"/>
  <c r="K218" i="1"/>
  <c r="L214" i="1"/>
  <c r="K214" i="1"/>
  <c r="L210" i="1"/>
  <c r="K210" i="1"/>
  <c r="L206" i="1"/>
  <c r="K206" i="1"/>
  <c r="L202" i="1"/>
  <c r="K202" i="1"/>
  <c r="L198" i="1"/>
  <c r="K198" i="1"/>
  <c r="L194" i="1"/>
  <c r="K194" i="1"/>
  <c r="K190" i="1"/>
  <c r="L190" i="1"/>
  <c r="K186" i="1"/>
  <c r="L186" i="1"/>
  <c r="K182" i="1"/>
  <c r="L182" i="1"/>
  <c r="K178" i="1"/>
  <c r="L178" i="1"/>
  <c r="K174" i="1"/>
  <c r="L174" i="1"/>
  <c r="K170" i="1"/>
  <c r="L170" i="1"/>
  <c r="K166" i="1"/>
  <c r="L166" i="1"/>
  <c r="K162" i="1"/>
  <c r="L162" i="1"/>
  <c r="K158" i="1"/>
  <c r="L158" i="1"/>
  <c r="L154" i="1"/>
  <c r="K154" i="1"/>
  <c r="K150" i="1"/>
  <c r="L150" i="1"/>
  <c r="K146" i="1"/>
  <c r="L146" i="1"/>
  <c r="L142" i="1"/>
  <c r="K142" i="1"/>
  <c r="L138" i="1"/>
  <c r="K138" i="1"/>
  <c r="K134" i="1"/>
  <c r="L134" i="1"/>
  <c r="L130" i="1"/>
  <c r="K130" i="1"/>
  <c r="L126" i="1"/>
  <c r="K126" i="1"/>
  <c r="L122" i="1"/>
  <c r="K122" i="1"/>
  <c r="L118" i="1"/>
  <c r="K118" i="1"/>
  <c r="L114" i="1"/>
  <c r="K114" i="1"/>
  <c r="L110" i="1"/>
  <c r="K110" i="1"/>
  <c r="L106" i="1"/>
  <c r="K106" i="1"/>
  <c r="L102" i="1"/>
  <c r="K102" i="1"/>
  <c r="L98" i="1"/>
  <c r="K98" i="1"/>
  <c r="L94" i="1"/>
  <c r="K94" i="1"/>
  <c r="L90" i="1"/>
  <c r="K90" i="1"/>
  <c r="L86" i="1"/>
  <c r="K86" i="1"/>
  <c r="L82" i="1"/>
  <c r="K82" i="1"/>
  <c r="L78" i="1"/>
  <c r="K78" i="1"/>
  <c r="L74" i="1"/>
  <c r="K74" i="1"/>
  <c r="L70" i="1"/>
  <c r="K70" i="1"/>
  <c r="L66" i="1"/>
  <c r="K66" i="1"/>
  <c r="L62" i="1"/>
  <c r="K62" i="1"/>
  <c r="L58" i="1"/>
  <c r="K58" i="1"/>
  <c r="L54" i="1"/>
  <c r="K54" i="1"/>
  <c r="L50" i="1"/>
  <c r="K50" i="1"/>
  <c r="L46" i="1"/>
  <c r="K46" i="1"/>
  <c r="L42" i="1"/>
  <c r="K42" i="1"/>
  <c r="L38" i="1"/>
  <c r="K38" i="1"/>
  <c r="L34" i="1"/>
  <c r="K34" i="1"/>
  <c r="L30" i="1"/>
  <c r="K30" i="1"/>
  <c r="L26" i="1"/>
  <c r="K26" i="1"/>
  <c r="K22" i="1"/>
  <c r="L22" i="1"/>
  <c r="K18" i="1"/>
  <c r="L18" i="1"/>
  <c r="K14" i="1"/>
  <c r="L14" i="1"/>
  <c r="K314" i="1"/>
  <c r="L309" i="1"/>
  <c r="K309" i="1"/>
  <c r="K277" i="1"/>
  <c r="L277" i="1"/>
  <c r="K245" i="1"/>
  <c r="L245" i="1"/>
  <c r="K217" i="1"/>
  <c r="L217" i="1"/>
  <c r="K181" i="1"/>
  <c r="L181" i="1"/>
  <c r="L153" i="1"/>
  <c r="K153" i="1"/>
  <c r="L109" i="1"/>
  <c r="K109" i="1"/>
  <c r="K41" i="1"/>
  <c r="L41" i="1"/>
</calcChain>
</file>

<file path=xl/sharedStrings.xml><?xml version="1.0" encoding="utf-8"?>
<sst xmlns="http://schemas.openxmlformats.org/spreadsheetml/2006/main" count="443" uniqueCount="44">
  <si>
    <t>E-94</t>
  </si>
  <si>
    <t>F</t>
  </si>
  <si>
    <t>M</t>
  </si>
  <si>
    <t>A</t>
  </si>
  <si>
    <t>J</t>
  </si>
  <si>
    <t>S</t>
  </si>
  <si>
    <t>O</t>
  </si>
  <si>
    <t>N</t>
  </si>
  <si>
    <t>D</t>
  </si>
  <si>
    <t>E-95</t>
  </si>
  <si>
    <t>E-96</t>
  </si>
  <si>
    <t>E-97</t>
  </si>
  <si>
    <t>E-98</t>
  </si>
  <si>
    <t>E-99</t>
  </si>
  <si>
    <t>E-00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</si>
  <si>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</si>
  <si>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</si>
  <si>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</si>
  <si>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</si>
  <si>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</si>
  <si>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</si>
  <si>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</si>
  <si>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</si>
  <si>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</si>
  <si>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</si>
  <si>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</si>
  <si>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</si>
  <si>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</si>
  <si>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</si>
  <si>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</si>
  <si>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</si>
  <si>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</si>
  <si>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</si>
  <si>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</si>
  <si>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Year</t>
  </si>
  <si>
    <t>Month</t>
  </si>
  <si>
    <t>Acero,d11</t>
  </si>
  <si>
    <t>E-20</t>
  </si>
  <si>
    <t>E-21</t>
  </si>
  <si>
    <t>E-22</t>
  </si>
  <si>
    <t>E-23</t>
  </si>
  <si>
    <t>E-24</t>
  </si>
  <si>
    <t>E-25</t>
  </si>
  <si>
    <t>E-26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</si>
</sst>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2" fillId="0" borderId="0" xfId="1" applyNumberFormat="1" applyFont="1"/>
    <xf numFmtId="164" fontId="2" fillId="0" borderId="0" xfId="1" applyNumberFormat="1" applyFont="1"/>
    <xf numFmtId="164" fontId="2" fillId="0" borderId="0" xfId="1" applyNumberFormat="1" applyFont="1" applyAlignment="1">
      <alignment vertical="center" wrapText="1"/>
    </xf>
    <xf numFmtId="0" fontId="2" fillId="0" borderId="0" xfId="0" applyFont="1" applyAlignment="1">
      <alignment horizontal="center"/>
    </xf>
    <xf numFmtId="165" fontId="3" fillId="0" borderId="0" xfId="2" applyNumberFormat="1" applyFont="1" applyAlignment="1">
      <alignment horizontal="center" vertical="center"/>
    </xf>
    <xf numFmtId="165" fontId="2" fillId="0" borderId="0" xfId="2" applyNumberFormat="1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3" fontId="5" fillId="0" borderId="0" xfId="1" applyFont="1" applyAlignment="1">
      <alignment horizontal="left" vertical="center" wrapText="1"/>
    </xf>
    <xf numFmtId="43" fontId="6" fillId="0" borderId="0" xfId="1" applyFont="1" applyAlignment="1">
      <alignment vertical="center" wrapText="1"/>
    </xf>
    <xf numFmtId="43" fontId="0" fillId="0" borderId="0" xfId="1" applyFont="1"/>
    <xf numFmtId="164" fontId="5" fillId="0" borderId="0" xfId="1" applyNumberFormat="1" applyFont="1" applyAlignment="1">
      <alignment horizontal="left" vertical="center" wrapText="1"/>
    </xf>
    <xf numFmtId="164" fontId="6" fillId="0" borderId="0" xfId="1" applyNumberFormat="1" applyFont="1" applyAlignment="1">
      <alignment vertical="center" wrapText="1"/>
    </xf>
    <xf numFmtId="165" fontId="0" fillId="0" borderId="0" xfId="2" applyNumberFormat="1" applyFont="1"/>
    <xf numFmtId="164" fontId="2" fillId="0" borderId="0" xfId="1" applyNumberFormat="1" applyFont="1" applyAlignment="1">
      <alignment horizontal="center"/>
    </xf>
    <xf numFmtId="165" fontId="2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00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alcChain" Target="calcChain.xml"/><Relationship Id="rId2" Type="http://schemas.openxmlformats.org/officeDocument/2006/relationships/worksheet" Target="worksheets/sheet1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088140158906271E-2"/>
          <c:y val="8.3631411278524248E-2"/>
          <c:w val="0.93026170580654888"/>
          <c:h val="0.74182337590375635"/>
        </c:manualLayout>
      </c:layout>
      <c:lineChart>
        <c:grouping val="standard"/>
        <c:varyColors val="0"/>
        <c:ser>
          <c:idx val="1"/>
          <c:order val="0"/>
          <c:tx>
            <c:v>Con ajuste estacional</c:v>
          </c:tx>
          <c:spPr>
            <a:ln w="22225" cap="rnd">
              <a:solidFill>
                <a:srgbClr val="00003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3A"/>
              </a:solidFill>
              <a:ln w="9525">
                <a:noFill/>
              </a:ln>
              <a:effectLst/>
            </c:spPr>
          </c:marker>
          <c:dLbls>
            <c:dLbl>
              <c:idx val="54"/>
              <c:layout>
                <c:manualLayout>
                  <c:x val="1.5035460601075048E-2"/>
                  <c:y val="-2.71393393847539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93-4467-AAA2-D99F0186BEFA}"/>
                </c:ext>
              </c:extLst>
            </c:dLbl>
            <c:dLbl>
              <c:idx val="62"/>
              <c:layout>
                <c:manualLayout>
                  <c:x val="5.0118202003583646E-3"/>
                  <c:y val="3.34022638581587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93-4467-AAA2-D99F0186BEFA}"/>
                </c:ext>
              </c:extLst>
            </c:dLbl>
            <c:dLbl>
              <c:idx val="85"/>
              <c:layout>
                <c:manualLayout>
                  <c:x val="3.7588651502687277E-3"/>
                  <c:y val="-2.9226980875888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493-4467-AAA2-D99F0186BEFA}"/>
                </c:ext>
              </c:extLst>
            </c:dLbl>
            <c:dLbl>
              <c:idx val="102"/>
              <c:layout>
                <c:manualLayout>
                  <c:x val="-5.0118202003584106E-3"/>
                  <c:y val="4.38404713138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93-4467-AAA2-D99F0186BEFA}"/>
                </c:ext>
              </c:extLst>
            </c:dLbl>
            <c:dLbl>
              <c:idx val="123"/>
              <c:layout>
                <c:manualLayout>
                  <c:x val="-1.1276595450806321E-2"/>
                  <c:y val="-5.0103395787238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93-4467-AAA2-D99F0186BEFA}"/>
                </c:ext>
              </c:extLst>
            </c:dLbl>
            <c:dLbl>
              <c:idx val="146"/>
              <c:layout>
                <c:manualLayout>
                  <c:x val="-2.0047280801433458E-2"/>
                  <c:y val="5.6366320260642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93-4467-AAA2-D99F0186BEFA}"/>
                </c:ext>
              </c:extLst>
            </c:dLbl>
            <c:dLbl>
              <c:idx val="169"/>
              <c:layout>
                <c:manualLayout>
                  <c:x val="-3.257683130232937E-2"/>
                  <c:y val="-5.84539617517778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93-4467-AAA2-D99F0186BEFA}"/>
                </c:ext>
              </c:extLst>
            </c:dLbl>
            <c:dLbl>
              <c:idx val="19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93-4467-AAA2-D99F0186BEFA}"/>
                </c:ext>
              </c:extLst>
            </c:dLbl>
            <c:dLbl>
              <c:idx val="198"/>
              <c:layout>
                <c:manualLayout>
                  <c:x val="1.1276595450806321E-2"/>
                  <c:y val="2.9226980875888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93-4467-AAA2-D99F0186BEFA}"/>
                </c:ext>
              </c:extLst>
            </c:dLbl>
            <c:dLbl>
              <c:idx val="200"/>
              <c:layout>
                <c:manualLayout>
                  <c:x val="1.754137070125409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493-4467-AAA2-D99F0186BEFA}"/>
                </c:ext>
              </c:extLst>
            </c:dLbl>
            <c:dLbl>
              <c:idx val="228"/>
              <c:layout>
                <c:manualLayout>
                  <c:x val="-2.63120560518816E-2"/>
                  <c:y val="-6.0541603242912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93-4467-AAA2-D99F0186BEFA}"/>
                </c:ext>
              </c:extLst>
            </c:dLbl>
            <c:dLbl>
              <c:idx val="240"/>
              <c:layout>
                <c:manualLayout>
                  <c:x val="-1.252955050089775E-3"/>
                  <c:y val="-2.922698087588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93-4467-AAA2-D99F0186BEFA}"/>
                </c:ext>
              </c:extLst>
            </c:dLbl>
            <c:dLbl>
              <c:idx val="242"/>
              <c:layout>
                <c:manualLayout>
                  <c:x val="-4.1347516652956509E-2"/>
                  <c:y val="3.76165051895151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4A-4DD5-BF93-F4669E1BC795}"/>
                </c:ext>
              </c:extLst>
            </c:dLbl>
            <c:dLbl>
              <c:idx val="2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F4-42A5-92CB-88822FD255B9}"/>
                </c:ext>
              </c:extLst>
            </c:dLbl>
            <c:dLbl>
              <c:idx val="25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F4-42A5-92CB-88822FD255B9}"/>
                </c:ext>
              </c:extLst>
            </c:dLbl>
            <c:dLbl>
              <c:idx val="2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F4-42A5-92CB-88822FD255B9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00003A"/>
                    </a:solidFill>
                    <a:latin typeface="Microsoft Sans Serif" panose="020B0604020202020204" pitchFamily="34" charset="0"/>
                    <a:ea typeface="Microsoft Sans Serif" panose="020B0604020202020204" pitchFamily="34" charset="0"/>
                    <a:cs typeface="Microsoft Sans Serif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Hoja1!$A$133:$A$391</c:f>
              <c:numCache>
                <c:formatCode>m/d/yyyy</c:formatCode>
                <c:ptCount val="259"/>
                <c:pt idx="0">
                  <c:v>37987</c:v>
                </c:pt>
                <c:pt idx="1">
                  <c:v>38018</c:v>
                </c:pt>
                <c:pt idx="2">
                  <c:v>38047</c:v>
                </c:pt>
                <c:pt idx="3">
                  <c:v>38078</c:v>
                </c:pt>
                <c:pt idx="4">
                  <c:v>38108</c:v>
                </c:pt>
                <c:pt idx="5">
                  <c:v>38139</c:v>
                </c:pt>
                <c:pt idx="6">
                  <c:v>38169</c:v>
                </c:pt>
                <c:pt idx="7">
                  <c:v>38200</c:v>
                </c:pt>
                <c:pt idx="8">
                  <c:v>38231</c:v>
                </c:pt>
                <c:pt idx="9">
                  <c:v>38261</c:v>
                </c:pt>
                <c:pt idx="10">
                  <c:v>38292</c:v>
                </c:pt>
                <c:pt idx="11">
                  <c:v>38322</c:v>
                </c:pt>
                <c:pt idx="12">
                  <c:v>38353</c:v>
                </c:pt>
                <c:pt idx="13">
                  <c:v>38384</c:v>
                </c:pt>
                <c:pt idx="14">
                  <c:v>38412</c:v>
                </c:pt>
                <c:pt idx="15">
                  <c:v>38443</c:v>
                </c:pt>
                <c:pt idx="16">
                  <c:v>38473</c:v>
                </c:pt>
                <c:pt idx="17">
                  <c:v>38504</c:v>
                </c:pt>
                <c:pt idx="18">
                  <c:v>38534</c:v>
                </c:pt>
                <c:pt idx="19">
                  <c:v>38565</c:v>
                </c:pt>
                <c:pt idx="20">
                  <c:v>38596</c:v>
                </c:pt>
                <c:pt idx="21">
                  <c:v>38626</c:v>
                </c:pt>
                <c:pt idx="22">
                  <c:v>38657</c:v>
                </c:pt>
                <c:pt idx="23">
                  <c:v>38687</c:v>
                </c:pt>
                <c:pt idx="24">
                  <c:v>38718</c:v>
                </c:pt>
                <c:pt idx="25">
                  <c:v>38749</c:v>
                </c:pt>
                <c:pt idx="26">
                  <c:v>38777</c:v>
                </c:pt>
                <c:pt idx="27">
                  <c:v>38808</c:v>
                </c:pt>
                <c:pt idx="28">
                  <c:v>38838</c:v>
                </c:pt>
                <c:pt idx="29">
                  <c:v>38869</c:v>
                </c:pt>
                <c:pt idx="30">
                  <c:v>38899</c:v>
                </c:pt>
                <c:pt idx="31">
                  <c:v>38930</c:v>
                </c:pt>
                <c:pt idx="32">
                  <c:v>38961</c:v>
                </c:pt>
                <c:pt idx="33">
                  <c:v>38991</c:v>
                </c:pt>
                <c:pt idx="34">
                  <c:v>39022</c:v>
                </c:pt>
                <c:pt idx="35">
                  <c:v>39052</c:v>
                </c:pt>
                <c:pt idx="36">
                  <c:v>39083</c:v>
                </c:pt>
                <c:pt idx="37">
                  <c:v>39114</c:v>
                </c:pt>
                <c:pt idx="38">
                  <c:v>39142</c:v>
                </c:pt>
                <c:pt idx="39">
                  <c:v>39173</c:v>
                </c:pt>
                <c:pt idx="40">
                  <c:v>39203</c:v>
                </c:pt>
                <c:pt idx="41">
                  <c:v>39234</c:v>
                </c:pt>
                <c:pt idx="42">
                  <c:v>39264</c:v>
                </c:pt>
                <c:pt idx="43">
                  <c:v>39295</c:v>
                </c:pt>
                <c:pt idx="44">
                  <c:v>39326</c:v>
                </c:pt>
                <c:pt idx="45">
                  <c:v>39356</c:v>
                </c:pt>
                <c:pt idx="46">
                  <c:v>39387</c:v>
                </c:pt>
                <c:pt idx="47">
                  <c:v>39417</c:v>
                </c:pt>
                <c:pt idx="48">
                  <c:v>39448</c:v>
                </c:pt>
                <c:pt idx="49">
                  <c:v>39479</c:v>
                </c:pt>
                <c:pt idx="50">
                  <c:v>39508</c:v>
                </c:pt>
                <c:pt idx="51">
                  <c:v>39539</c:v>
                </c:pt>
                <c:pt idx="52">
                  <c:v>39569</c:v>
                </c:pt>
                <c:pt idx="53">
                  <c:v>39600</c:v>
                </c:pt>
                <c:pt idx="54">
                  <c:v>39630</c:v>
                </c:pt>
                <c:pt idx="55">
                  <c:v>39661</c:v>
                </c:pt>
                <c:pt idx="56">
                  <c:v>39692</c:v>
                </c:pt>
                <c:pt idx="57">
                  <c:v>39722</c:v>
                </c:pt>
                <c:pt idx="58">
                  <c:v>39753</c:v>
                </c:pt>
                <c:pt idx="59">
                  <c:v>39783</c:v>
                </c:pt>
                <c:pt idx="60">
                  <c:v>39814</c:v>
                </c:pt>
                <c:pt idx="61">
                  <c:v>39845</c:v>
                </c:pt>
                <c:pt idx="62">
                  <c:v>39873</c:v>
                </c:pt>
                <c:pt idx="63">
                  <c:v>39904</c:v>
                </c:pt>
                <c:pt idx="64">
                  <c:v>39934</c:v>
                </c:pt>
                <c:pt idx="65">
                  <c:v>39965</c:v>
                </c:pt>
                <c:pt idx="66">
                  <c:v>39995</c:v>
                </c:pt>
                <c:pt idx="67">
                  <c:v>40026</c:v>
                </c:pt>
                <c:pt idx="68">
                  <c:v>40057</c:v>
                </c:pt>
                <c:pt idx="69">
                  <c:v>40087</c:v>
                </c:pt>
                <c:pt idx="70">
                  <c:v>40118</c:v>
                </c:pt>
                <c:pt idx="71">
                  <c:v>40148</c:v>
                </c:pt>
                <c:pt idx="72">
                  <c:v>40179</c:v>
                </c:pt>
                <c:pt idx="73">
                  <c:v>40210</c:v>
                </c:pt>
                <c:pt idx="74">
                  <c:v>40238</c:v>
                </c:pt>
                <c:pt idx="75">
                  <c:v>40269</c:v>
                </c:pt>
                <c:pt idx="76">
                  <c:v>40299</c:v>
                </c:pt>
                <c:pt idx="77">
                  <c:v>40330</c:v>
                </c:pt>
                <c:pt idx="78">
                  <c:v>40360</c:v>
                </c:pt>
                <c:pt idx="79">
                  <c:v>40391</c:v>
                </c:pt>
                <c:pt idx="80">
                  <c:v>40422</c:v>
                </c:pt>
                <c:pt idx="81">
                  <c:v>40452</c:v>
                </c:pt>
                <c:pt idx="82">
                  <c:v>40483</c:v>
                </c:pt>
                <c:pt idx="83">
                  <c:v>40513</c:v>
                </c:pt>
                <c:pt idx="84">
                  <c:v>40544</c:v>
                </c:pt>
                <c:pt idx="85">
                  <c:v>40575</c:v>
                </c:pt>
                <c:pt idx="86">
                  <c:v>40603</c:v>
                </c:pt>
                <c:pt idx="87">
                  <c:v>40634</c:v>
                </c:pt>
                <c:pt idx="88">
                  <c:v>40664</c:v>
                </c:pt>
                <c:pt idx="89">
                  <c:v>40695</c:v>
                </c:pt>
                <c:pt idx="90">
                  <c:v>40725</c:v>
                </c:pt>
                <c:pt idx="91">
                  <c:v>40756</c:v>
                </c:pt>
                <c:pt idx="92">
                  <c:v>40787</c:v>
                </c:pt>
                <c:pt idx="93">
                  <c:v>40817</c:v>
                </c:pt>
                <c:pt idx="94">
                  <c:v>40848</c:v>
                </c:pt>
                <c:pt idx="95">
                  <c:v>40878</c:v>
                </c:pt>
                <c:pt idx="96">
                  <c:v>40909</c:v>
                </c:pt>
                <c:pt idx="97">
                  <c:v>40940</c:v>
                </c:pt>
                <c:pt idx="98">
                  <c:v>40969</c:v>
                </c:pt>
                <c:pt idx="99">
                  <c:v>41000</c:v>
                </c:pt>
                <c:pt idx="100">
                  <c:v>41030</c:v>
                </c:pt>
                <c:pt idx="101">
                  <c:v>41061</c:v>
                </c:pt>
                <c:pt idx="102">
                  <c:v>41091</c:v>
                </c:pt>
                <c:pt idx="103">
                  <c:v>41122</c:v>
                </c:pt>
                <c:pt idx="104">
                  <c:v>41153</c:v>
                </c:pt>
                <c:pt idx="105">
                  <c:v>41183</c:v>
                </c:pt>
                <c:pt idx="106">
                  <c:v>41214</c:v>
                </c:pt>
                <c:pt idx="107">
                  <c:v>41244</c:v>
                </c:pt>
                <c:pt idx="108">
                  <c:v>41275</c:v>
                </c:pt>
                <c:pt idx="109">
                  <c:v>41306</c:v>
                </c:pt>
                <c:pt idx="110">
                  <c:v>41334</c:v>
                </c:pt>
                <c:pt idx="111">
                  <c:v>41365</c:v>
                </c:pt>
                <c:pt idx="112">
                  <c:v>41395</c:v>
                </c:pt>
                <c:pt idx="113">
                  <c:v>41426</c:v>
                </c:pt>
                <c:pt idx="114">
                  <c:v>41456</c:v>
                </c:pt>
                <c:pt idx="115">
                  <c:v>41487</c:v>
                </c:pt>
                <c:pt idx="116">
                  <c:v>41518</c:v>
                </c:pt>
                <c:pt idx="117">
                  <c:v>41548</c:v>
                </c:pt>
                <c:pt idx="118">
                  <c:v>41579</c:v>
                </c:pt>
                <c:pt idx="119">
                  <c:v>41609</c:v>
                </c:pt>
                <c:pt idx="120">
                  <c:v>41640</c:v>
                </c:pt>
                <c:pt idx="121">
                  <c:v>41671</c:v>
                </c:pt>
                <c:pt idx="122">
                  <c:v>41699</c:v>
                </c:pt>
                <c:pt idx="123">
                  <c:v>41730</c:v>
                </c:pt>
                <c:pt idx="124">
                  <c:v>41760</c:v>
                </c:pt>
                <c:pt idx="125">
                  <c:v>41791</c:v>
                </c:pt>
                <c:pt idx="126">
                  <c:v>41821</c:v>
                </c:pt>
                <c:pt idx="127">
                  <c:v>41852</c:v>
                </c:pt>
                <c:pt idx="128">
                  <c:v>41883</c:v>
                </c:pt>
                <c:pt idx="129">
                  <c:v>41913</c:v>
                </c:pt>
                <c:pt idx="130">
                  <c:v>41944</c:v>
                </c:pt>
                <c:pt idx="131">
                  <c:v>41974</c:v>
                </c:pt>
                <c:pt idx="132">
                  <c:v>42005</c:v>
                </c:pt>
                <c:pt idx="133">
                  <c:v>42036</c:v>
                </c:pt>
                <c:pt idx="134">
                  <c:v>42064</c:v>
                </c:pt>
                <c:pt idx="135">
                  <c:v>42095</c:v>
                </c:pt>
                <c:pt idx="136">
                  <c:v>42125</c:v>
                </c:pt>
                <c:pt idx="137">
                  <c:v>42156</c:v>
                </c:pt>
                <c:pt idx="138">
                  <c:v>42186</c:v>
                </c:pt>
                <c:pt idx="139">
                  <c:v>42217</c:v>
                </c:pt>
                <c:pt idx="140">
                  <c:v>42248</c:v>
                </c:pt>
                <c:pt idx="141">
                  <c:v>42278</c:v>
                </c:pt>
                <c:pt idx="142">
                  <c:v>42309</c:v>
                </c:pt>
                <c:pt idx="143">
                  <c:v>42339</c:v>
                </c:pt>
                <c:pt idx="144">
                  <c:v>42370</c:v>
                </c:pt>
                <c:pt idx="145">
                  <c:v>42401</c:v>
                </c:pt>
                <c:pt idx="146">
                  <c:v>42430</c:v>
                </c:pt>
                <c:pt idx="147">
                  <c:v>42461</c:v>
                </c:pt>
                <c:pt idx="148">
                  <c:v>42491</c:v>
                </c:pt>
                <c:pt idx="149">
                  <c:v>42522</c:v>
                </c:pt>
                <c:pt idx="150">
                  <c:v>42552</c:v>
                </c:pt>
                <c:pt idx="151">
                  <c:v>42583</c:v>
                </c:pt>
                <c:pt idx="152">
                  <c:v>42614</c:v>
                </c:pt>
                <c:pt idx="153">
                  <c:v>42644</c:v>
                </c:pt>
                <c:pt idx="154">
                  <c:v>42675</c:v>
                </c:pt>
                <c:pt idx="155">
                  <c:v>42705</c:v>
                </c:pt>
                <c:pt idx="156">
                  <c:v>42736</c:v>
                </c:pt>
                <c:pt idx="157">
                  <c:v>42767</c:v>
                </c:pt>
                <c:pt idx="158">
                  <c:v>42795</c:v>
                </c:pt>
                <c:pt idx="159">
                  <c:v>42826</c:v>
                </c:pt>
                <c:pt idx="160">
                  <c:v>42856</c:v>
                </c:pt>
                <c:pt idx="161">
                  <c:v>42887</c:v>
                </c:pt>
                <c:pt idx="162">
                  <c:v>42917</c:v>
                </c:pt>
                <c:pt idx="163">
                  <c:v>42948</c:v>
                </c:pt>
                <c:pt idx="164">
                  <c:v>42979</c:v>
                </c:pt>
                <c:pt idx="165">
                  <c:v>43009</c:v>
                </c:pt>
                <c:pt idx="166">
                  <c:v>43040</c:v>
                </c:pt>
                <c:pt idx="167">
                  <c:v>43070</c:v>
                </c:pt>
                <c:pt idx="168">
                  <c:v>43101</c:v>
                </c:pt>
                <c:pt idx="169">
                  <c:v>43132</c:v>
                </c:pt>
                <c:pt idx="170">
                  <c:v>43160</c:v>
                </c:pt>
                <c:pt idx="171">
                  <c:v>43191</c:v>
                </c:pt>
                <c:pt idx="172">
                  <c:v>43221</c:v>
                </c:pt>
                <c:pt idx="173">
                  <c:v>43252</c:v>
                </c:pt>
                <c:pt idx="174">
                  <c:v>43282</c:v>
                </c:pt>
                <c:pt idx="175">
                  <c:v>43313</c:v>
                </c:pt>
                <c:pt idx="176">
                  <c:v>43344</c:v>
                </c:pt>
                <c:pt idx="177">
                  <c:v>43374</c:v>
                </c:pt>
                <c:pt idx="178">
                  <c:v>43405</c:v>
                </c:pt>
                <c:pt idx="179">
                  <c:v>43435</c:v>
                </c:pt>
                <c:pt idx="180">
                  <c:v>43466</c:v>
                </c:pt>
                <c:pt idx="181">
                  <c:v>43497</c:v>
                </c:pt>
                <c:pt idx="182">
                  <c:v>43525</c:v>
                </c:pt>
                <c:pt idx="183">
                  <c:v>43556</c:v>
                </c:pt>
                <c:pt idx="184">
                  <c:v>43586</c:v>
                </c:pt>
                <c:pt idx="185">
                  <c:v>43617</c:v>
                </c:pt>
                <c:pt idx="186">
                  <c:v>43647</c:v>
                </c:pt>
                <c:pt idx="187">
                  <c:v>43678</c:v>
                </c:pt>
                <c:pt idx="188">
                  <c:v>43709</c:v>
                </c:pt>
                <c:pt idx="189">
                  <c:v>43739</c:v>
                </c:pt>
                <c:pt idx="190">
                  <c:v>43770</c:v>
                </c:pt>
                <c:pt idx="191">
                  <c:v>43800</c:v>
                </c:pt>
                <c:pt idx="192">
                  <c:v>43831</c:v>
                </c:pt>
                <c:pt idx="193">
                  <c:v>43862</c:v>
                </c:pt>
                <c:pt idx="194">
                  <c:v>43891</c:v>
                </c:pt>
                <c:pt idx="195">
                  <c:v>43922</c:v>
                </c:pt>
                <c:pt idx="196">
                  <c:v>43952</c:v>
                </c:pt>
                <c:pt idx="197">
                  <c:v>43983</c:v>
                </c:pt>
                <c:pt idx="198">
                  <c:v>44013</c:v>
                </c:pt>
                <c:pt idx="199">
                  <c:v>44044</c:v>
                </c:pt>
                <c:pt idx="200">
                  <c:v>44075</c:v>
                </c:pt>
                <c:pt idx="201">
                  <c:v>44105</c:v>
                </c:pt>
                <c:pt idx="202">
                  <c:v>44136</c:v>
                </c:pt>
                <c:pt idx="203">
                  <c:v>44166</c:v>
                </c:pt>
                <c:pt idx="204">
                  <c:v>44197</c:v>
                </c:pt>
                <c:pt idx="205">
                  <c:v>44228</c:v>
                </c:pt>
                <c:pt idx="206">
                  <c:v>44256</c:v>
                </c:pt>
                <c:pt idx="207">
                  <c:v>44287</c:v>
                </c:pt>
                <c:pt idx="208">
                  <c:v>44317</c:v>
                </c:pt>
                <c:pt idx="209">
                  <c:v>44348</c:v>
                </c:pt>
                <c:pt idx="210">
                  <c:v>44378</c:v>
                </c:pt>
                <c:pt idx="211">
                  <c:v>44409</c:v>
                </c:pt>
                <c:pt idx="212">
                  <c:v>44440</c:v>
                </c:pt>
                <c:pt idx="213">
                  <c:v>44470</c:v>
                </c:pt>
                <c:pt idx="214">
                  <c:v>44501</c:v>
                </c:pt>
                <c:pt idx="215">
                  <c:v>44531</c:v>
                </c:pt>
                <c:pt idx="216">
                  <c:v>44562</c:v>
                </c:pt>
                <c:pt idx="217">
                  <c:v>44593</c:v>
                </c:pt>
                <c:pt idx="218">
                  <c:v>44621</c:v>
                </c:pt>
                <c:pt idx="219">
                  <c:v>44652</c:v>
                </c:pt>
                <c:pt idx="220">
                  <c:v>44682</c:v>
                </c:pt>
                <c:pt idx="221">
                  <c:v>44713</c:v>
                </c:pt>
                <c:pt idx="222">
                  <c:v>44743</c:v>
                </c:pt>
                <c:pt idx="223">
                  <c:v>44774</c:v>
                </c:pt>
                <c:pt idx="224">
                  <c:v>44805</c:v>
                </c:pt>
                <c:pt idx="225">
                  <c:v>44835</c:v>
                </c:pt>
                <c:pt idx="226">
                  <c:v>44866</c:v>
                </c:pt>
                <c:pt idx="227">
                  <c:v>44896</c:v>
                </c:pt>
                <c:pt idx="228">
                  <c:v>44927</c:v>
                </c:pt>
                <c:pt idx="229">
                  <c:v>44958</c:v>
                </c:pt>
                <c:pt idx="230">
                  <c:v>44986</c:v>
                </c:pt>
                <c:pt idx="231">
                  <c:v>45017</c:v>
                </c:pt>
                <c:pt idx="232">
                  <c:v>45047</c:v>
                </c:pt>
                <c:pt idx="233">
                  <c:v>45078</c:v>
                </c:pt>
                <c:pt idx="234">
                  <c:v>45108</c:v>
                </c:pt>
                <c:pt idx="235">
                  <c:v>45139</c:v>
                </c:pt>
                <c:pt idx="236">
                  <c:v>45170</c:v>
                </c:pt>
                <c:pt idx="237">
                  <c:v>45200</c:v>
                </c:pt>
                <c:pt idx="238">
                  <c:v>45231</c:v>
                </c:pt>
                <c:pt idx="239">
                  <c:v>45261</c:v>
                </c:pt>
                <c:pt idx="240">
                  <c:v>45292</c:v>
                </c:pt>
                <c:pt idx="241">
                  <c:v>45323</c:v>
                </c:pt>
                <c:pt idx="242">
                  <c:v>45352</c:v>
                </c:pt>
                <c:pt idx="243">
                  <c:v>45383</c:v>
                </c:pt>
                <c:pt idx="244">
                  <c:v>45413</c:v>
                </c:pt>
                <c:pt idx="245">
                  <c:v>45444</c:v>
                </c:pt>
                <c:pt idx="246">
                  <c:v>45474</c:v>
                </c:pt>
                <c:pt idx="247">
                  <c:v>45505</c:v>
                </c:pt>
                <c:pt idx="248">
                  <c:v>45536</c:v>
                </c:pt>
                <c:pt idx="249">
                  <c:v>45566</c:v>
                </c:pt>
                <c:pt idx="250">
                  <c:v>45597</c:v>
                </c:pt>
                <c:pt idx="251">
                  <c:v>45627</c:v>
                </c:pt>
                <c:pt idx="252">
                  <c:v>45658</c:v>
                </c:pt>
                <c:pt idx="253">
                  <c:v>45689</c:v>
                </c:pt>
                <c:pt idx="254">
                  <c:v>45717</c:v>
                </c:pt>
                <c:pt idx="255">
                  <c:v>45748</c:v>
                </c:pt>
                <c:pt idx="256">
                  <c:v>45778</c:v>
                </c:pt>
                <c:pt idx="257">
                  <c:v>45809</c:v>
                </c:pt>
                <c:pt idx="258">
                  <c:v>45839</c:v>
                </c:pt>
              </c:numCache>
            </c:numRef>
          </c:cat>
          <c:val>
            <c:numRef>
              <c:f>Hoja1!$F$133:$F$391</c:f>
              <c:numCache>
                <c:formatCode>_-* #,##0.0_-;\-* #,##0.0_-;_-* "-"??_-;_-@_-</c:formatCode>
                <c:ptCount val="259"/>
                <c:pt idx="0">
                  <c:v>103.19623986554218</c:v>
                </c:pt>
                <c:pt idx="1">
                  <c:v>96.09962075346084</c:v>
                </c:pt>
                <c:pt idx="2">
                  <c:v>94.964123697993145</c:v>
                </c:pt>
                <c:pt idx="3">
                  <c:v>94.309671869626271</c:v>
                </c:pt>
                <c:pt idx="4">
                  <c:v>94.820667573957877</c:v>
                </c:pt>
                <c:pt idx="5">
                  <c:v>96.446936609736156</c:v>
                </c:pt>
                <c:pt idx="6">
                  <c:v>99.539973493254777</c:v>
                </c:pt>
                <c:pt idx="7">
                  <c:v>97.437599388710979</c:v>
                </c:pt>
                <c:pt idx="8">
                  <c:v>99.012186504203655</c:v>
                </c:pt>
                <c:pt idx="9">
                  <c:v>105.2237563104075</c:v>
                </c:pt>
                <c:pt idx="10">
                  <c:v>109.40814347491002</c:v>
                </c:pt>
                <c:pt idx="11">
                  <c:v>109.54108045819679</c:v>
                </c:pt>
                <c:pt idx="12">
                  <c:v>109.79169499883706</c:v>
                </c:pt>
                <c:pt idx="13">
                  <c:v>106.47006108640709</c:v>
                </c:pt>
                <c:pt idx="14">
                  <c:v>105.22968920797213</c:v>
                </c:pt>
                <c:pt idx="15">
                  <c:v>106.88122777129922</c:v>
                </c:pt>
                <c:pt idx="16">
                  <c:v>109.34414440363101</c:v>
                </c:pt>
                <c:pt idx="17">
                  <c:v>103.78223045552377</c:v>
                </c:pt>
                <c:pt idx="18">
                  <c:v>103.48655782493077</c:v>
                </c:pt>
                <c:pt idx="19">
                  <c:v>104.83519978006642</c:v>
                </c:pt>
                <c:pt idx="20">
                  <c:v>96.57437999374865</c:v>
                </c:pt>
                <c:pt idx="21">
                  <c:v>97.905662034209797</c:v>
                </c:pt>
                <c:pt idx="22">
                  <c:v>109.36929166623761</c:v>
                </c:pt>
                <c:pt idx="23">
                  <c:v>113.04939269357577</c:v>
                </c:pt>
                <c:pt idx="24">
                  <c:v>111.85676833858173</c:v>
                </c:pt>
                <c:pt idx="25">
                  <c:v>112.2056344419907</c:v>
                </c:pt>
                <c:pt idx="26">
                  <c:v>114.1187500470519</c:v>
                </c:pt>
                <c:pt idx="27">
                  <c:v>110.82070464694296</c:v>
                </c:pt>
                <c:pt idx="28">
                  <c:v>113.39312640215135</c:v>
                </c:pt>
                <c:pt idx="29">
                  <c:v>115.34913211187367</c:v>
                </c:pt>
                <c:pt idx="30">
                  <c:v>109.0685326028452</c:v>
                </c:pt>
                <c:pt idx="31">
                  <c:v>104.89286207529926</c:v>
                </c:pt>
                <c:pt idx="32">
                  <c:v>112.39500411329517</c:v>
                </c:pt>
                <c:pt idx="33">
                  <c:v>106.32743886785083</c:v>
                </c:pt>
                <c:pt idx="34">
                  <c:v>95.456605355760246</c:v>
                </c:pt>
                <c:pt idx="35">
                  <c:v>94.957975246771284</c:v>
                </c:pt>
                <c:pt idx="36">
                  <c:v>95.551935595345597</c:v>
                </c:pt>
                <c:pt idx="37">
                  <c:v>105.07952323327146</c:v>
                </c:pt>
                <c:pt idx="38">
                  <c:v>107.29183520145622</c:v>
                </c:pt>
                <c:pt idx="39">
                  <c:v>109.71636244136789</c:v>
                </c:pt>
                <c:pt idx="40">
                  <c:v>103.49757691660386</c:v>
                </c:pt>
                <c:pt idx="41">
                  <c:v>104.87687051852784</c:v>
                </c:pt>
                <c:pt idx="42">
                  <c:v>79.234150318611924</c:v>
                </c:pt>
                <c:pt idx="43">
                  <c:v>108.72710982641442</c:v>
                </c:pt>
                <c:pt idx="44">
                  <c:v>109.46622579295411</c:v>
                </c:pt>
                <c:pt idx="45">
                  <c:v>109.12380392698213</c:v>
                </c:pt>
                <c:pt idx="46">
                  <c:v>114.16968109830275</c:v>
                </c:pt>
                <c:pt idx="47">
                  <c:v>120.19237148929956</c:v>
                </c:pt>
                <c:pt idx="48">
                  <c:v>115.95285128729867</c:v>
                </c:pt>
                <c:pt idx="49">
                  <c:v>103.24698785733423</c:v>
                </c:pt>
                <c:pt idx="50">
                  <c:v>114.80175329212325</c:v>
                </c:pt>
                <c:pt idx="51">
                  <c:v>116.64174013153601</c:v>
                </c:pt>
                <c:pt idx="52">
                  <c:v>116.89434531892952</c:v>
                </c:pt>
                <c:pt idx="53">
                  <c:v>116.3376318834207</c:v>
                </c:pt>
                <c:pt idx="54">
                  <c:v>119.64706730612198</c:v>
                </c:pt>
                <c:pt idx="55">
                  <c:v>116.61705932908377</c:v>
                </c:pt>
                <c:pt idx="56">
                  <c:v>111.62869550434576</c:v>
                </c:pt>
                <c:pt idx="57">
                  <c:v>104.89987844178945</c:v>
                </c:pt>
                <c:pt idx="58">
                  <c:v>89.891336366551741</c:v>
                </c:pt>
                <c:pt idx="59">
                  <c:v>68.217773028965354</c:v>
                </c:pt>
                <c:pt idx="60">
                  <c:v>85.253834696545937</c:v>
                </c:pt>
                <c:pt idx="61">
                  <c:v>68.900713842385869</c:v>
                </c:pt>
                <c:pt idx="62">
                  <c:v>56.354344239752685</c:v>
                </c:pt>
                <c:pt idx="63">
                  <c:v>64.545868949136775</c:v>
                </c:pt>
                <c:pt idx="64">
                  <c:v>62.655689640915256</c:v>
                </c:pt>
                <c:pt idx="65">
                  <c:v>73.9522274407243</c:v>
                </c:pt>
                <c:pt idx="66">
                  <c:v>79.104742551530919</c:v>
                </c:pt>
                <c:pt idx="67">
                  <c:v>80.103291730674925</c:v>
                </c:pt>
                <c:pt idx="68">
                  <c:v>87.855659180081631</c:v>
                </c:pt>
                <c:pt idx="69">
                  <c:v>92.575744372766707</c:v>
                </c:pt>
                <c:pt idx="70">
                  <c:v>94.827698294956335</c:v>
                </c:pt>
                <c:pt idx="71">
                  <c:v>97.911639572346317</c:v>
                </c:pt>
                <c:pt idx="72">
                  <c:v>97.837289763773327</c:v>
                </c:pt>
                <c:pt idx="73">
                  <c:v>99.559024423365344</c:v>
                </c:pt>
                <c:pt idx="74">
                  <c:v>100.00247543383227</c:v>
                </c:pt>
                <c:pt idx="75">
                  <c:v>99.422490626410834</c:v>
                </c:pt>
                <c:pt idx="76">
                  <c:v>101.91813676646903</c:v>
                </c:pt>
                <c:pt idx="77">
                  <c:v>99.870759148988853</c:v>
                </c:pt>
                <c:pt idx="78">
                  <c:v>98.660412074357964</c:v>
                </c:pt>
                <c:pt idx="79">
                  <c:v>104.17540492258644</c:v>
                </c:pt>
                <c:pt idx="80">
                  <c:v>101.66686133750645</c:v>
                </c:pt>
                <c:pt idx="81">
                  <c:v>101.13612991554739</c:v>
                </c:pt>
                <c:pt idx="82">
                  <c:v>102.27466946559574</c:v>
                </c:pt>
                <c:pt idx="83">
                  <c:v>102.05911352923371</c:v>
                </c:pt>
                <c:pt idx="84">
                  <c:v>102.82011010041738</c:v>
                </c:pt>
                <c:pt idx="85">
                  <c:v>115.73453596029917</c:v>
                </c:pt>
                <c:pt idx="86">
                  <c:v>106.94083880831506</c:v>
                </c:pt>
                <c:pt idx="87">
                  <c:v>109.81601859671639</c:v>
                </c:pt>
                <c:pt idx="88">
                  <c:v>114.74307258784926</c:v>
                </c:pt>
                <c:pt idx="89">
                  <c:v>111.36502156194032</c:v>
                </c:pt>
                <c:pt idx="90">
                  <c:v>111.81864670307897</c:v>
                </c:pt>
                <c:pt idx="91">
                  <c:v>108.39668887066922</c:v>
                </c:pt>
                <c:pt idx="92">
                  <c:v>106.70867405073685</c:v>
                </c:pt>
                <c:pt idx="93">
                  <c:v>109.88563281327275</c:v>
                </c:pt>
                <c:pt idx="94">
                  <c:v>110.13869291344145</c:v>
                </c:pt>
                <c:pt idx="95">
                  <c:v>111.42627100681605</c:v>
                </c:pt>
                <c:pt idx="96">
                  <c:v>110.43493405500553</c:v>
                </c:pt>
                <c:pt idx="97">
                  <c:v>111.41510547226427</c:v>
                </c:pt>
                <c:pt idx="98">
                  <c:v>113.13540480132198</c:v>
                </c:pt>
                <c:pt idx="99">
                  <c:v>111.1849512871492</c:v>
                </c:pt>
                <c:pt idx="100">
                  <c:v>105.66961514594826</c:v>
                </c:pt>
                <c:pt idx="101">
                  <c:v>106.1947376880882</c:v>
                </c:pt>
                <c:pt idx="102">
                  <c:v>77.96691481993237</c:v>
                </c:pt>
                <c:pt idx="103">
                  <c:v>82.938271483253828</c:v>
                </c:pt>
                <c:pt idx="104">
                  <c:v>88.573247032093533</c:v>
                </c:pt>
                <c:pt idx="105">
                  <c:v>88.625658936988145</c:v>
                </c:pt>
                <c:pt idx="106">
                  <c:v>89.360981832858968</c:v>
                </c:pt>
                <c:pt idx="107">
                  <c:v>82.051897873952839</c:v>
                </c:pt>
                <c:pt idx="108">
                  <c:v>91.263473966281623</c:v>
                </c:pt>
                <c:pt idx="109">
                  <c:v>90.421940677993689</c:v>
                </c:pt>
                <c:pt idx="110">
                  <c:v>106.48050890745262</c:v>
                </c:pt>
                <c:pt idx="111">
                  <c:v>99.83137913771381</c:v>
                </c:pt>
                <c:pt idx="112">
                  <c:v>103.44158731264</c:v>
                </c:pt>
                <c:pt idx="113">
                  <c:v>97.244121142306838</c:v>
                </c:pt>
                <c:pt idx="114">
                  <c:v>105.82486180096137</c:v>
                </c:pt>
                <c:pt idx="115">
                  <c:v>106.24950123677574</c:v>
                </c:pt>
                <c:pt idx="116">
                  <c:v>104.7207995447308</c:v>
                </c:pt>
                <c:pt idx="117">
                  <c:v>103.46906254057447</c:v>
                </c:pt>
                <c:pt idx="118">
                  <c:v>106.56822507959636</c:v>
                </c:pt>
                <c:pt idx="119">
                  <c:v>105.43492589935941</c:v>
                </c:pt>
                <c:pt idx="120">
                  <c:v>108.11607914495123</c:v>
                </c:pt>
                <c:pt idx="121">
                  <c:v>104.66380346057707</c:v>
                </c:pt>
                <c:pt idx="122">
                  <c:v>107.62865378886075</c:v>
                </c:pt>
                <c:pt idx="123">
                  <c:v>114.36588706933419</c:v>
                </c:pt>
                <c:pt idx="124">
                  <c:v>111.55026202271956</c:v>
                </c:pt>
                <c:pt idx="125">
                  <c:v>111.2139249846819</c:v>
                </c:pt>
                <c:pt idx="126">
                  <c:v>109.04407002406782</c:v>
                </c:pt>
                <c:pt idx="127">
                  <c:v>103.44020899880478</c:v>
                </c:pt>
                <c:pt idx="128">
                  <c:v>105.53244980007004</c:v>
                </c:pt>
                <c:pt idx="129">
                  <c:v>103.26828956173794</c:v>
                </c:pt>
                <c:pt idx="130">
                  <c:v>104.60055647048236</c:v>
                </c:pt>
                <c:pt idx="131">
                  <c:v>109.21310126361841</c:v>
                </c:pt>
                <c:pt idx="132">
                  <c:v>104.10593611984449</c:v>
                </c:pt>
                <c:pt idx="133">
                  <c:v>103.32878609179279</c:v>
                </c:pt>
                <c:pt idx="134">
                  <c:v>97.906730924505041</c:v>
                </c:pt>
                <c:pt idx="135">
                  <c:v>91.217751313096286</c:v>
                </c:pt>
                <c:pt idx="136">
                  <c:v>94.872597659401094</c:v>
                </c:pt>
                <c:pt idx="137">
                  <c:v>103.96749557777216</c:v>
                </c:pt>
                <c:pt idx="138">
                  <c:v>97.721112290577338</c:v>
                </c:pt>
                <c:pt idx="139">
                  <c:v>104.97392139817939</c:v>
                </c:pt>
                <c:pt idx="140">
                  <c:v>101.75862811698906</c:v>
                </c:pt>
                <c:pt idx="141">
                  <c:v>100.91101763101591</c:v>
                </c:pt>
                <c:pt idx="142">
                  <c:v>90.974070366007766</c:v>
                </c:pt>
                <c:pt idx="143">
                  <c:v>92.845584182319357</c:v>
                </c:pt>
                <c:pt idx="144">
                  <c:v>89.499950820136519</c:v>
                </c:pt>
                <c:pt idx="145">
                  <c:v>85.532797231484622</c:v>
                </c:pt>
                <c:pt idx="146">
                  <c:v>71.950209388435923</c:v>
                </c:pt>
                <c:pt idx="147">
                  <c:v>76.234555721902069</c:v>
                </c:pt>
                <c:pt idx="148">
                  <c:v>87.994739000978484</c:v>
                </c:pt>
                <c:pt idx="149">
                  <c:v>87.582492111321542</c:v>
                </c:pt>
                <c:pt idx="150">
                  <c:v>79.458278365749564</c:v>
                </c:pt>
                <c:pt idx="151">
                  <c:v>74.353125733769147</c:v>
                </c:pt>
                <c:pt idx="152">
                  <c:v>72.556419563538128</c:v>
                </c:pt>
                <c:pt idx="153">
                  <c:v>79.306410194205142</c:v>
                </c:pt>
                <c:pt idx="154">
                  <c:v>80.111009049136101</c:v>
                </c:pt>
                <c:pt idx="155">
                  <c:v>79.925835326046411</c:v>
                </c:pt>
                <c:pt idx="156">
                  <c:v>79.293299910644279</c:v>
                </c:pt>
                <c:pt idx="157">
                  <c:v>85.333999923598668</c:v>
                </c:pt>
                <c:pt idx="158">
                  <c:v>89.894075821681056</c:v>
                </c:pt>
                <c:pt idx="159">
                  <c:v>87.138100675697544</c:v>
                </c:pt>
                <c:pt idx="160">
                  <c:v>92.180864247685761</c:v>
                </c:pt>
                <c:pt idx="161">
                  <c:v>88.623225517421275</c:v>
                </c:pt>
                <c:pt idx="162">
                  <c:v>89.054922939883596</c:v>
                </c:pt>
                <c:pt idx="163">
                  <c:v>91.743257793114935</c:v>
                </c:pt>
                <c:pt idx="164">
                  <c:v>95.765527685248315</c:v>
                </c:pt>
                <c:pt idx="165">
                  <c:v>96.498404951318349</c:v>
                </c:pt>
                <c:pt idx="166">
                  <c:v>97.319980660074165</c:v>
                </c:pt>
                <c:pt idx="167">
                  <c:v>96.07716481239656</c:v>
                </c:pt>
                <c:pt idx="168">
                  <c:v>90.541185469928621</c:v>
                </c:pt>
                <c:pt idx="169">
                  <c:v>112.09149110439616</c:v>
                </c:pt>
                <c:pt idx="170">
                  <c:v>109.37940222546317</c:v>
                </c:pt>
                <c:pt idx="171">
                  <c:v>109.30389745269467</c:v>
                </c:pt>
                <c:pt idx="172">
                  <c:v>102.99884664314247</c:v>
                </c:pt>
                <c:pt idx="173">
                  <c:v>99.046213030702106</c:v>
                </c:pt>
                <c:pt idx="174">
                  <c:v>104.38030852722635</c:v>
                </c:pt>
                <c:pt idx="175">
                  <c:v>100.63066375201348</c:v>
                </c:pt>
                <c:pt idx="176">
                  <c:v>97.706030510159238</c:v>
                </c:pt>
                <c:pt idx="177">
                  <c:v>97.048789310720991</c:v>
                </c:pt>
                <c:pt idx="178">
                  <c:v>101.7293029518582</c:v>
                </c:pt>
                <c:pt idx="179">
                  <c:v>89.814958472836608</c:v>
                </c:pt>
                <c:pt idx="180">
                  <c:v>96.026659895211068</c:v>
                </c:pt>
                <c:pt idx="181">
                  <c:v>89.723464099041664</c:v>
                </c:pt>
                <c:pt idx="182">
                  <c:v>90.358203086882753</c:v>
                </c:pt>
                <c:pt idx="183">
                  <c:v>99.170020151406703</c:v>
                </c:pt>
                <c:pt idx="184">
                  <c:v>96.069715688632996</c:v>
                </c:pt>
                <c:pt idx="185">
                  <c:v>98.879031003735264</c:v>
                </c:pt>
                <c:pt idx="186">
                  <c:v>93.506296526450754</c:v>
                </c:pt>
                <c:pt idx="187">
                  <c:v>96.532424756046069</c:v>
                </c:pt>
                <c:pt idx="188">
                  <c:v>90.705119369638439</c:v>
                </c:pt>
                <c:pt idx="189">
                  <c:v>82.176907648865864</c:v>
                </c:pt>
                <c:pt idx="190">
                  <c:v>77.935739161193467</c:v>
                </c:pt>
                <c:pt idx="191">
                  <c:v>81.580002914711699</c:v>
                </c:pt>
                <c:pt idx="192">
                  <c:v>78.180006385652035</c:v>
                </c:pt>
                <c:pt idx="193">
                  <c:v>88.9166666629351</c:v>
                </c:pt>
                <c:pt idx="194">
                  <c:v>66.772202616938358</c:v>
                </c:pt>
                <c:pt idx="195">
                  <c:v>25.434833530622715</c:v>
                </c:pt>
                <c:pt idx="196">
                  <c:v>45.887977438259639</c:v>
                </c:pt>
                <c:pt idx="197">
                  <c:v>58.474868456618822</c:v>
                </c:pt>
                <c:pt idx="198">
                  <c:v>71.981972654185128</c:v>
                </c:pt>
                <c:pt idx="199">
                  <c:v>73.466978372323752</c:v>
                </c:pt>
                <c:pt idx="200">
                  <c:v>78.894138508449245</c:v>
                </c:pt>
                <c:pt idx="201">
                  <c:v>81.492894617286098</c:v>
                </c:pt>
                <c:pt idx="202">
                  <c:v>85.671314947099091</c:v>
                </c:pt>
                <c:pt idx="203">
                  <c:v>95.236443997563867</c:v>
                </c:pt>
                <c:pt idx="204">
                  <c:v>94.882420437630827</c:v>
                </c:pt>
                <c:pt idx="205">
                  <c:v>95.122996653765867</c:v>
                </c:pt>
                <c:pt idx="206">
                  <c:v>99.818664451972026</c:v>
                </c:pt>
                <c:pt idx="207">
                  <c:v>82.169396038610444</c:v>
                </c:pt>
                <c:pt idx="208">
                  <c:v>91.927817505280061</c:v>
                </c:pt>
                <c:pt idx="209">
                  <c:v>95.501487422670152</c:v>
                </c:pt>
                <c:pt idx="210">
                  <c:v>96.75426610580989</c:v>
                </c:pt>
                <c:pt idx="211">
                  <c:v>94.673295926464831</c:v>
                </c:pt>
                <c:pt idx="212">
                  <c:v>95.614146827172604</c:v>
                </c:pt>
                <c:pt idx="213">
                  <c:v>95.856219443378848</c:v>
                </c:pt>
                <c:pt idx="214">
                  <c:v>100.17497992882222</c:v>
                </c:pt>
                <c:pt idx="215">
                  <c:v>104.48149383295046</c:v>
                </c:pt>
                <c:pt idx="216">
                  <c:v>91.04573211178726</c:v>
                </c:pt>
                <c:pt idx="217">
                  <c:v>92.757373700871639</c:v>
                </c:pt>
                <c:pt idx="218">
                  <c:v>98.590086745108835</c:v>
                </c:pt>
                <c:pt idx="219">
                  <c:v>84.773237089038474</c:v>
                </c:pt>
                <c:pt idx="220">
                  <c:v>104.62123683288422</c:v>
                </c:pt>
                <c:pt idx="221">
                  <c:v>110.49531008641533</c:v>
                </c:pt>
                <c:pt idx="222">
                  <c:v>105.0893597222075</c:v>
                </c:pt>
                <c:pt idx="223">
                  <c:v>102.67483284269257</c:v>
                </c:pt>
                <c:pt idx="224">
                  <c:v>94.105619421368218</c:v>
                </c:pt>
                <c:pt idx="225">
                  <c:v>105.442884189305</c:v>
                </c:pt>
                <c:pt idx="226">
                  <c:v>101.95684566890276</c:v>
                </c:pt>
                <c:pt idx="227">
                  <c:v>108.03396942297692</c:v>
                </c:pt>
                <c:pt idx="228">
                  <c:v>112.2794722986648</c:v>
                </c:pt>
                <c:pt idx="229">
                  <c:v>101.86040721408477</c:v>
                </c:pt>
                <c:pt idx="230">
                  <c:v>97.230557931021551</c:v>
                </c:pt>
                <c:pt idx="231">
                  <c:v>102.60503805199205</c:v>
                </c:pt>
                <c:pt idx="232">
                  <c:v>102.83975034545365</c:v>
                </c:pt>
                <c:pt idx="233">
                  <c:v>101.21783246928359</c:v>
                </c:pt>
                <c:pt idx="234">
                  <c:v>78.236756840587276</c:v>
                </c:pt>
                <c:pt idx="235">
                  <c:v>94.28183013003644</c:v>
                </c:pt>
                <c:pt idx="236">
                  <c:v>97.799268897948039</c:v>
                </c:pt>
                <c:pt idx="237">
                  <c:v>97.061213872909605</c:v>
                </c:pt>
                <c:pt idx="238">
                  <c:v>91.139347737160662</c:v>
                </c:pt>
                <c:pt idx="239">
                  <c:v>84.17013603919699</c:v>
                </c:pt>
                <c:pt idx="240">
                  <c:v>104.39909792495286</c:v>
                </c:pt>
                <c:pt idx="241">
                  <c:v>85.326235794993678</c:v>
                </c:pt>
                <c:pt idx="242">
                  <c:v>56.303333891761518</c:v>
                </c:pt>
                <c:pt idx="243">
                  <c:v>76.41228873960398</c:v>
                </c:pt>
                <c:pt idx="244">
                  <c:v>71.563505886818106</c:v>
                </c:pt>
                <c:pt idx="245">
                  <c:v>66.39355283857229</c:v>
                </c:pt>
                <c:pt idx="246">
                  <c:v>71.772580836863014</c:v>
                </c:pt>
                <c:pt idx="247">
                  <c:v>75.772728006630288</c:v>
                </c:pt>
                <c:pt idx="248">
                  <c:v>79.649584933762156</c:v>
                </c:pt>
                <c:pt idx="249">
                  <c:v>73.739320719102537</c:v>
                </c:pt>
                <c:pt idx="250">
                  <c:v>73.405222085759263</c:v>
                </c:pt>
                <c:pt idx="251">
                  <c:v>67.926766405934615</c:v>
                </c:pt>
                <c:pt idx="252">
                  <c:v>78.937113313483906</c:v>
                </c:pt>
                <c:pt idx="253">
                  <c:v>91.290145222820939</c:v>
                </c:pt>
                <c:pt idx="254">
                  <c:v>76.834267544669771</c:v>
                </c:pt>
                <c:pt idx="255">
                  <c:v>76.476260991707804</c:v>
                </c:pt>
                <c:pt idx="256">
                  <c:v>79.897026169640839</c:v>
                </c:pt>
                <c:pt idx="257">
                  <c:v>77.775782268033367</c:v>
                </c:pt>
                <c:pt idx="258">
                  <c:v>75.350642130203525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95-44F8-B861-4D21B4841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590680"/>
        <c:axId val="408531968"/>
      </c:lineChart>
      <c:dateAx>
        <c:axId val="408590680"/>
        <c:scaling>
          <c:orientation val="minMax"/>
        </c:scaling>
        <c:delete val="0"/>
        <c:axPos val="b"/>
        <c:numFmt formatCode="m/d/yyyy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rgbClr val="00003A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408531968"/>
        <c:crosses val="autoZero"/>
        <c:auto val="1"/>
        <c:lblOffset val="100"/>
        <c:baseTimeUnit val="months"/>
        <c:majorUnit val="6"/>
        <c:minorUnit val="12"/>
      </c:dateAx>
      <c:valAx>
        <c:axId val="408531968"/>
        <c:scaling>
          <c:orientation val="minMax"/>
        </c:scaling>
        <c:delete val="0"/>
        <c:axPos val="l"/>
        <c:numFmt formatCode="_-* #,##0.0_-;\-* #,##0.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defRPr>
            </a:pPr>
            <a:endParaRPr lang="en-US"/>
          </a:p>
        </c:txPr>
        <c:crossAx val="40859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Microsoft Sans Serif" panose="020B0604020202020204" pitchFamily="34" charset="0"/>
          <a:ea typeface="Microsoft Sans Serif" panose="020B0604020202020204" pitchFamily="34" charset="0"/>
          <a:cs typeface="Microsoft Sans Serif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34602F-E096-4E55-8055-F653321430C7}">
  <sheetPr/>
  <sheetViews>
    <sheetView zoomScale="118" workbookViewId="0" zoomToFit="1"/>
  </sheetViews>
  <pageMargins left="0.25" right="0.25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13040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AD78CD-6DDB-42E3-9299-82967ED689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0.11536</cdr:y>
    </cdr:to>
    <cdr:sp macro="" textlink="">
      <cdr:nvSpPr>
        <cdr:cNvPr id="2" name="Text Box 4">
          <a:extLst xmlns:a="http://schemas.openxmlformats.org/drawingml/2006/main">
            <a:ext uri="{FF2B5EF4-FFF2-40B4-BE49-F238E27FC236}">
              <a16:creationId xmlns:a16="http://schemas.microsoft.com/office/drawing/2014/main" id="{B2552BAC-8CD1-4524-AFA9-D5A14797F41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12158" cy="699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54864" tIns="4114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2400" b="1" i="0" u="none" strike="noStrike" baseline="0">
              <a:solidFill>
                <a:srgbClr val="00003A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PRODUCCIÓN DE ACERO CRUDO</a:t>
          </a:r>
        </a:p>
        <a:p xmlns:a="http://schemas.openxmlformats.org/drawingml/2006/main">
          <a:pPr algn="l" rtl="0">
            <a:defRPr sz="1000"/>
          </a:pPr>
          <a:r>
            <a:rPr lang="es-ES" sz="1800" b="0" i="0" u="none" strike="noStrike" baseline="0">
              <a:solidFill>
                <a:schemeClr val="accent2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Índices 2004 = 100 | E'04 a J'25</a:t>
          </a:r>
        </a:p>
      </cdr:txBody>
    </cdr:sp>
  </cdr:relSizeAnchor>
  <cdr:relSizeAnchor xmlns:cdr="http://schemas.openxmlformats.org/drawingml/2006/chartDrawing">
    <cdr:from>
      <cdr:x>0</cdr:x>
      <cdr:y>0.96244</cdr:y>
    </cdr:from>
    <cdr:to>
      <cdr:x>0.96718</cdr:x>
      <cdr:y>1</cdr:y>
    </cdr:to>
    <cdr:sp macro="" textlink="">
      <cdr:nvSpPr>
        <cdr:cNvPr id="3" name="Text Box 5">
          <a:extLst xmlns:a="http://schemas.openxmlformats.org/drawingml/2006/main">
            <a:ext uri="{FF2B5EF4-FFF2-40B4-BE49-F238E27FC236}">
              <a16:creationId xmlns:a16="http://schemas.microsoft.com/office/drawing/2014/main" id="{3B260D3A-2A4A-40F9-8429-CEAB821AD25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848822"/>
          <a:ext cx="9798632" cy="2282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Fuente: OUTLIER en base a datos del Acero Argentino y CENSUS-X13.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7738-0D4A-49F3-AAE6-66F56DCB5A73}">
  <dimension ref="A1:V624"/>
  <sheetViews>
    <sheetView tabSelected="1" topLeftCell="A444" workbookViewId="0">
      <selection activeCell="N457" sqref="G457:N457"/>
    </sheetView>
  </sheetViews>
  <sheetFormatPr baseColWidth="10" defaultRowHeight="14.25" x14ac:dyDescent="0.2"/>
  <cols>
    <col min="1" max="1" width="11.42578125" style="1"/>
    <col min="2" max="16384" width="11.42578125" style="2"/>
  </cols>
  <sheetData>
    <row r="1" spans="1:13" x14ac:dyDescent="0.2">
      <c r="A1" s="1">
        <v>33970</v>
      </c>
      <c r="B1" s="2">
        <v>214.5</v>
      </c>
      <c r="C1" s="2">
        <v>243.194674670377</v>
      </c>
      <c r="D1" s="2">
        <v>235.50544283754701</v>
      </c>
      <c r="E1" s="2">
        <f>+B1/AVERAGE(B$133:B$144)*100</f>
        <v>50.142948311854077</v>
      </c>
      <c r="F1" s="2">
        <f t="shared" ref="F1:G1" si="0">+C1/AVERAGE(C$133:C$144)*100</f>
        <v>57.151936771021973</v>
      </c>
      <c r="G1" s="2">
        <f t="shared" si="0"/>
        <v>55.411423900525769</v>
      </c>
    </row>
    <row r="2" spans="1:13" x14ac:dyDescent="0.2">
      <c r="A2" s="1">
        <v>34001</v>
      </c>
      <c r="B2" s="2">
        <v>169</v>
      </c>
      <c r="C2" s="2">
        <v>234.06139758715301</v>
      </c>
      <c r="D2" s="2">
        <v>236.578968073049</v>
      </c>
      <c r="E2" s="2">
        <f t="shared" ref="E2:E65" si="1">+B2/AVERAGE(B$133:B$144)*100</f>
        <v>39.506565336612304</v>
      </c>
      <c r="F2" s="2">
        <f t="shared" ref="F2:F65" si="2">+C2/AVERAGE(C$133:C$144)*100</f>
        <v>55.005572032237573</v>
      </c>
      <c r="G2" s="2">
        <f t="shared" ref="G2:G65" si="3">+D2/AVERAGE(D$133:D$144)*100</f>
        <v>55.664010682281571</v>
      </c>
    </row>
    <row r="3" spans="1:13" x14ac:dyDescent="0.2">
      <c r="A3" s="1">
        <v>34029</v>
      </c>
      <c r="B3" s="2">
        <v>238.7</v>
      </c>
      <c r="C3" s="2">
        <v>227.84255339145099</v>
      </c>
      <c r="D3" s="2">
        <v>238.273451640617</v>
      </c>
      <c r="E3" s="2">
        <f t="shared" si="1"/>
        <v>55.800101454729912</v>
      </c>
      <c r="F3" s="2">
        <f t="shared" si="2"/>
        <v>53.544113261631963</v>
      </c>
      <c r="G3" s="2">
        <f t="shared" si="3"/>
        <v>56.062701031530757</v>
      </c>
    </row>
    <row r="4" spans="1:13" x14ac:dyDescent="0.2">
      <c r="A4" s="1">
        <v>34060</v>
      </c>
      <c r="B4" s="2">
        <v>250.2</v>
      </c>
      <c r="C4" s="2">
        <v>245.05176587143001</v>
      </c>
      <c r="D4" s="2">
        <v>240.637951595564</v>
      </c>
      <c r="E4" s="2">
        <f t="shared" si="1"/>
        <v>58.488418030889925</v>
      </c>
      <c r="F4" s="2">
        <f t="shared" si="2"/>
        <v>57.588362276820803</v>
      </c>
      <c r="G4" s="2">
        <f t="shared" si="3"/>
        <v>56.619037682343198</v>
      </c>
    </row>
    <row r="5" spans="1:13" x14ac:dyDescent="0.2">
      <c r="A5" s="1">
        <v>34090</v>
      </c>
      <c r="B5" s="2">
        <v>261.2</v>
      </c>
      <c r="C5" s="2">
        <v>247.99736948207899</v>
      </c>
      <c r="D5" s="2">
        <v>243.50681462676999</v>
      </c>
      <c r="E5" s="2">
        <f t="shared" si="1"/>
        <v>61.059851277651674</v>
      </c>
      <c r="F5" s="2">
        <f t="shared" si="2"/>
        <v>58.280593517231317</v>
      </c>
      <c r="G5" s="2">
        <f t="shared" si="3"/>
        <v>57.294044525579345</v>
      </c>
    </row>
    <row r="6" spans="1:13" x14ac:dyDescent="0.2">
      <c r="A6" s="1">
        <v>34121</v>
      </c>
      <c r="B6" s="2">
        <v>256.5</v>
      </c>
      <c r="C6" s="2">
        <v>251.213006003732</v>
      </c>
      <c r="D6" s="2">
        <v>246.23190126543199</v>
      </c>
      <c r="E6" s="2">
        <f t="shared" si="1"/>
        <v>59.961147981308017</v>
      </c>
      <c r="F6" s="2">
        <f t="shared" si="2"/>
        <v>59.03628381108004</v>
      </c>
      <c r="G6" s="2">
        <f t="shared" si="3"/>
        <v>57.935222619304852</v>
      </c>
    </row>
    <row r="7" spans="1:13" x14ac:dyDescent="0.2">
      <c r="A7" s="1">
        <v>34151</v>
      </c>
      <c r="B7" s="2">
        <v>251.3</v>
      </c>
      <c r="C7" s="2">
        <v>239.233009180707</v>
      </c>
      <c r="D7" s="2">
        <v>247.05475024470499</v>
      </c>
      <c r="E7" s="2">
        <f t="shared" si="1"/>
        <v>58.745561355566103</v>
      </c>
      <c r="F7" s="2">
        <f t="shared" si="2"/>
        <v>56.220926024670547</v>
      </c>
      <c r="G7" s="2">
        <f t="shared" si="3"/>
        <v>58.128828478461415</v>
      </c>
    </row>
    <row r="8" spans="1:13" x14ac:dyDescent="0.2">
      <c r="A8" s="1">
        <v>34182</v>
      </c>
      <c r="B8" s="2">
        <v>267</v>
      </c>
      <c r="C8" s="2">
        <v>245.45786549219699</v>
      </c>
      <c r="D8" s="2">
        <v>245.65533507473299</v>
      </c>
      <c r="E8" s="2">
        <f t="shared" si="1"/>
        <v>62.41569789867151</v>
      </c>
      <c r="F8" s="2">
        <f t="shared" si="2"/>
        <v>57.68379767186088</v>
      </c>
      <c r="G8" s="2">
        <f t="shared" si="3"/>
        <v>57.79956395590159</v>
      </c>
    </row>
    <row r="9" spans="1:13" x14ac:dyDescent="0.2">
      <c r="A9" s="1">
        <v>34213</v>
      </c>
      <c r="B9" s="2">
        <v>260.7</v>
      </c>
      <c r="C9" s="2">
        <v>254.82449520082901</v>
      </c>
      <c r="D9" s="2">
        <v>242.82544386335499</v>
      </c>
      <c r="E9" s="2">
        <f t="shared" si="1"/>
        <v>60.942967948253411</v>
      </c>
      <c r="F9" s="2">
        <f t="shared" si="2"/>
        <v>59.885001417752449</v>
      </c>
      <c r="G9" s="2">
        <f t="shared" si="3"/>
        <v>57.13372668430101</v>
      </c>
    </row>
    <row r="10" spans="1:13" x14ac:dyDescent="0.2">
      <c r="A10" s="1">
        <v>34243</v>
      </c>
      <c r="B10" s="2">
        <v>266.89999999999998</v>
      </c>
      <c r="C10" s="2">
        <v>237.43709255812499</v>
      </c>
      <c r="D10" s="2">
        <v>240.59051510555301</v>
      </c>
      <c r="E10" s="2">
        <f t="shared" si="1"/>
        <v>62.392321232791851</v>
      </c>
      <c r="F10" s="2">
        <f t="shared" si="2"/>
        <v>55.798876843704917</v>
      </c>
      <c r="G10" s="2">
        <f t="shared" si="3"/>
        <v>56.607876481885654</v>
      </c>
    </row>
    <row r="11" spans="1:13" x14ac:dyDescent="0.2">
      <c r="A11" s="1">
        <v>34274</v>
      </c>
      <c r="B11" s="2">
        <v>247.4</v>
      </c>
      <c r="C11" s="2">
        <v>233.84554372054501</v>
      </c>
      <c r="D11" s="2">
        <v>240.51496973738301</v>
      </c>
      <c r="E11" s="2">
        <f t="shared" si="1"/>
        <v>57.833871386259659</v>
      </c>
      <c r="F11" s="2">
        <f t="shared" si="2"/>
        <v>54.954845318945502</v>
      </c>
      <c r="G11" s="2">
        <f t="shared" si="3"/>
        <v>56.590101621275423</v>
      </c>
    </row>
    <row r="12" spans="1:13" x14ac:dyDescent="0.2">
      <c r="A12" s="1">
        <v>34304</v>
      </c>
      <c r="B12" s="2">
        <v>202</v>
      </c>
      <c r="C12" s="2">
        <v>232.98815627176799</v>
      </c>
      <c r="D12" s="2">
        <v>242.94413571552599</v>
      </c>
      <c r="E12" s="2">
        <f t="shared" si="1"/>
        <v>47.220865076897546</v>
      </c>
      <c r="F12" s="2">
        <f t="shared" si="2"/>
        <v>54.75335507937843</v>
      </c>
      <c r="G12" s="2">
        <f t="shared" si="3"/>
        <v>57.161653361726984</v>
      </c>
    </row>
    <row r="13" spans="1:13" x14ac:dyDescent="0.2">
      <c r="A13" s="1">
        <v>34335</v>
      </c>
      <c r="B13" s="2">
        <v>229.2</v>
      </c>
      <c r="C13" s="2">
        <v>259.78990583172799</v>
      </c>
      <c r="D13" s="2">
        <v>247.46144757843999</v>
      </c>
      <c r="E13" s="2">
        <f t="shared" si="1"/>
        <v>53.579318196162951</v>
      </c>
      <c r="F13" s="2">
        <f t="shared" si="2"/>
        <v>61.051897176485383</v>
      </c>
      <c r="G13" s="2">
        <f t="shared" si="3"/>
        <v>58.224519168609703</v>
      </c>
      <c r="H13" s="4" t="s">
        <v>0</v>
      </c>
      <c r="I13" s="5">
        <f t="shared" ref="I13:I24" si="4">+E13/E1-1</f>
        <v>6.8531468531468409E-2</v>
      </c>
      <c r="J13" s="5">
        <f t="shared" ref="J13" si="5">+AVERAGE(B13:B13)/AVERAGE(B1:B1)-1</f>
        <v>6.8531468531468409E-2</v>
      </c>
      <c r="K13" s="5">
        <f t="shared" ref="K13:K24" si="6">+F13/F12-1</f>
        <v>0.11503481545515659</v>
      </c>
      <c r="L13" s="5">
        <f t="shared" ref="L13:M28" si="7">+F13/F12-1</f>
        <v>0.11503481545515659</v>
      </c>
      <c r="M13" s="6">
        <f t="shared" si="7"/>
        <v>1.8594035413159959E-2</v>
      </c>
    </row>
    <row r="14" spans="1:13" x14ac:dyDescent="0.2">
      <c r="A14" s="1">
        <v>34366</v>
      </c>
      <c r="B14" s="2">
        <v>185.8</v>
      </c>
      <c r="C14" s="2">
        <v>250.46368744076699</v>
      </c>
      <c r="D14" s="2">
        <v>252.68044893172001</v>
      </c>
      <c r="E14" s="2">
        <f t="shared" si="1"/>
        <v>43.433845204393883</v>
      </c>
      <c r="F14" s="2">
        <f t="shared" si="2"/>
        <v>58.860190287691935</v>
      </c>
      <c r="G14" s="2">
        <f t="shared" si="3"/>
        <v>59.452483553804413</v>
      </c>
      <c r="H14" s="4" t="s">
        <v>1</v>
      </c>
      <c r="I14" s="5">
        <f t="shared" si="4"/>
        <v>9.9408284023668747E-2</v>
      </c>
      <c r="J14" s="5">
        <f t="shared" ref="J14" si="8">+AVERAGE(B13:B14)/AVERAGE(B1:B2)-1</f>
        <v>8.2138200782268633E-2</v>
      </c>
      <c r="K14" s="5">
        <f t="shared" si="6"/>
        <v>-3.5899079146677226E-2</v>
      </c>
      <c r="L14" s="5">
        <f t="shared" ref="L14" si="9">+F14/F12-1</f>
        <v>7.5006092363831156E-2</v>
      </c>
      <c r="M14" s="6">
        <f t="shared" si="7"/>
        <v>2.1090159313101431E-2</v>
      </c>
    </row>
    <row r="15" spans="1:13" x14ac:dyDescent="0.2">
      <c r="A15" s="1">
        <v>34394</v>
      </c>
      <c r="B15" s="2">
        <v>277.89999999999998</v>
      </c>
      <c r="C15" s="2">
        <v>267.31420137219101</v>
      </c>
      <c r="D15" s="2">
        <v>257.79849843547601</v>
      </c>
      <c r="E15" s="2">
        <f t="shared" si="1"/>
        <v>64.963754479553586</v>
      </c>
      <c r="F15" s="2">
        <f t="shared" si="2"/>
        <v>62.820143391407143</v>
      </c>
      <c r="G15" s="2">
        <f t="shared" si="3"/>
        <v>60.656695257701756</v>
      </c>
      <c r="H15" s="4" t="s">
        <v>2</v>
      </c>
      <c r="I15" s="5">
        <f t="shared" si="4"/>
        <v>0.16422287390029311</v>
      </c>
      <c r="J15" s="5">
        <f t="shared" ref="J15" si="10">+AVERAGE(B13:B15)/AVERAGE(B1:B3)-1</f>
        <v>0.11362905818064939</v>
      </c>
      <c r="K15" s="5">
        <f t="shared" si="6"/>
        <v>6.7277273219132905E-2</v>
      </c>
      <c r="L15" s="5">
        <f t="shared" ref="L15" si="11">+F15/F12-1</f>
        <v>0.14732957095202526</v>
      </c>
      <c r="M15" s="6">
        <f t="shared" si="7"/>
        <v>2.0255027745098797E-2</v>
      </c>
    </row>
    <row r="16" spans="1:13" x14ac:dyDescent="0.2">
      <c r="A16" s="1">
        <v>34425</v>
      </c>
      <c r="B16" s="2">
        <v>291.89999999999998</v>
      </c>
      <c r="C16" s="2">
        <v>285.37715443042498</v>
      </c>
      <c r="D16" s="2">
        <v>262.02586628378299</v>
      </c>
      <c r="E16" s="2">
        <f t="shared" si="1"/>
        <v>68.236487702704906</v>
      </c>
      <c r="F16" s="2">
        <f t="shared" si="2"/>
        <v>67.06502561377215</v>
      </c>
      <c r="G16" s="2">
        <f t="shared" si="3"/>
        <v>61.651340939787211</v>
      </c>
      <c r="H16" s="4" t="s">
        <v>3</v>
      </c>
      <c r="I16" s="5">
        <f t="shared" si="4"/>
        <v>0.16666666666666652</v>
      </c>
      <c r="J16" s="5">
        <f t="shared" ref="J16" si="12">+AVERAGE(B13:B16)/AVERAGE(B1:B4)-1</f>
        <v>0.12883998165978894</v>
      </c>
      <c r="K16" s="5">
        <f t="shared" si="6"/>
        <v>6.7571991931263842E-2</v>
      </c>
      <c r="L16" s="5">
        <f t="shared" ref="L16" si="13">+F16/F12-1</f>
        <v>0.22485691546289588</v>
      </c>
      <c r="M16" s="6">
        <f t="shared" si="7"/>
        <v>1.6397953727278924E-2</v>
      </c>
    </row>
    <row r="17" spans="1:13" x14ac:dyDescent="0.2">
      <c r="A17" s="1">
        <v>34455</v>
      </c>
      <c r="B17" s="2">
        <v>276.5</v>
      </c>
      <c r="C17" s="2">
        <v>264.81046325985602</v>
      </c>
      <c r="D17" s="2">
        <v>265.69317375538998</v>
      </c>
      <c r="E17" s="2">
        <f t="shared" si="1"/>
        <v>64.636481157238464</v>
      </c>
      <c r="F17" s="2">
        <f t="shared" si="2"/>
        <v>62.231752702008571</v>
      </c>
      <c r="G17" s="2">
        <f t="shared" si="3"/>
        <v>62.514211565766573</v>
      </c>
      <c r="H17" s="4" t="s">
        <v>2</v>
      </c>
      <c r="I17" s="5">
        <f t="shared" si="4"/>
        <v>5.8575803981623098E-2</v>
      </c>
      <c r="J17" s="5">
        <f t="shared" ref="J17" si="14">+AVERAGE(B13:B17)/AVERAGE(B1:B5)-1</f>
        <v>0.11264996471418476</v>
      </c>
      <c r="K17" s="5">
        <f t="shared" si="6"/>
        <v>-7.2068456956960292E-2</v>
      </c>
      <c r="L17" s="5">
        <f t="shared" ref="L17" si="15">+F17/F12-1</f>
        <v>0.13658336757242306</v>
      </c>
      <c r="M17" s="6">
        <f t="shared" si="7"/>
        <v>1.3995974991397153E-2</v>
      </c>
    </row>
    <row r="18" spans="1:13" x14ac:dyDescent="0.2">
      <c r="A18" s="1">
        <v>34486</v>
      </c>
      <c r="B18" s="2">
        <v>268.39999999999998</v>
      </c>
      <c r="C18" s="2">
        <v>262.80379759115198</v>
      </c>
      <c r="D18" s="2">
        <v>270.079551119104</v>
      </c>
      <c r="E18" s="2">
        <f t="shared" si="1"/>
        <v>62.742971220986632</v>
      </c>
      <c r="F18" s="2">
        <f t="shared" si="2"/>
        <v>61.760176465506689</v>
      </c>
      <c r="G18" s="2">
        <f t="shared" si="3"/>
        <v>63.546270156684535</v>
      </c>
      <c r="H18" s="4" t="s">
        <v>4</v>
      </c>
      <c r="I18" s="5">
        <f t="shared" si="4"/>
        <v>4.6393762183235765E-2</v>
      </c>
      <c r="J18" s="5">
        <f t="shared" ref="J18" si="16">+AVERAGE(B13:B18)/AVERAGE(B1:B6)-1</f>
        <v>0.1004244298971293</v>
      </c>
      <c r="K18" s="5">
        <f t="shared" si="6"/>
        <v>-7.5777431299417497E-3</v>
      </c>
      <c r="L18" s="5">
        <f t="shared" ref="L18" si="17">+F18/F12-1</f>
        <v>0.12797063076719506</v>
      </c>
      <c r="M18" s="6">
        <f t="shared" si="7"/>
        <v>1.6509183513131465E-2</v>
      </c>
    </row>
    <row r="19" spans="1:13" x14ac:dyDescent="0.2">
      <c r="A19" s="1">
        <v>34516</v>
      </c>
      <c r="B19" s="2">
        <v>283.5</v>
      </c>
      <c r="C19" s="2">
        <v>269.25903764642999</v>
      </c>
      <c r="D19" s="2">
        <v>275.98605884766198</v>
      </c>
      <c r="E19" s="2">
        <f t="shared" si="1"/>
        <v>66.272847768814131</v>
      </c>
      <c r="F19" s="2">
        <f t="shared" si="2"/>
        <v>63.277189418117842</v>
      </c>
      <c r="G19" s="2">
        <f t="shared" si="3"/>
        <v>64.93599601429294</v>
      </c>
      <c r="H19" s="4" t="s">
        <v>4</v>
      </c>
      <c r="I19" s="5">
        <f t="shared" si="4"/>
        <v>0.12813370473537611</v>
      </c>
      <c r="J19" s="5">
        <f t="shared" ref="J19" si="18">+AVERAGE(B13:B19)/AVERAGE(B1:B7)-1</f>
        <v>0.10466674789813557</v>
      </c>
      <c r="K19" s="5">
        <f t="shared" si="6"/>
        <v>2.4562963375896585E-2</v>
      </c>
      <c r="L19" s="5">
        <f t="shared" ref="L19" si="19">+F19/F12-1</f>
        <v>0.15567693205981659</v>
      </c>
      <c r="M19" s="6">
        <f t="shared" si="7"/>
        <v>2.1869511053627333E-2</v>
      </c>
    </row>
    <row r="20" spans="1:13" x14ac:dyDescent="0.2">
      <c r="A20" s="1">
        <v>34547</v>
      </c>
      <c r="B20" s="2">
        <v>312</v>
      </c>
      <c r="C20" s="2">
        <v>292.24788146068499</v>
      </c>
      <c r="D20" s="2">
        <v>283.13900961270701</v>
      </c>
      <c r="E20" s="2">
        <f t="shared" si="1"/>
        <v>72.93519754451502</v>
      </c>
      <c r="F20" s="2">
        <f t="shared" si="2"/>
        <v>68.679680035529543</v>
      </c>
      <c r="G20" s="2">
        <f t="shared" si="3"/>
        <v>66.618994004513098</v>
      </c>
      <c r="H20" s="4" t="s">
        <v>3</v>
      </c>
      <c r="I20" s="5">
        <f t="shared" si="4"/>
        <v>0.1685393258426966</v>
      </c>
      <c r="J20" s="5">
        <f t="shared" ref="J20" si="20">+AVERAGE(B13:B20)/AVERAGE(B1:B8)-1</f>
        <v>0.11360301823517061</v>
      </c>
      <c r="K20" s="5">
        <f t="shared" si="6"/>
        <v>8.53781697178988E-2</v>
      </c>
      <c r="L20" s="5">
        <f t="shared" ref="L20" si="21">+F20/F12-1</f>
        <v>0.25434651330428037</v>
      </c>
      <c r="M20" s="6">
        <f t="shared" si="7"/>
        <v>2.5917797423939071E-2</v>
      </c>
    </row>
    <row r="21" spans="1:13" x14ac:dyDescent="0.2">
      <c r="A21" s="1">
        <v>34578</v>
      </c>
      <c r="B21" s="2">
        <v>294.3</v>
      </c>
      <c r="C21" s="2">
        <v>288.53037001824799</v>
      </c>
      <c r="D21" s="2">
        <v>289.97046005868401</v>
      </c>
      <c r="E21" s="2">
        <f t="shared" si="1"/>
        <v>68.797527683816568</v>
      </c>
      <c r="F21" s="2">
        <f t="shared" si="2"/>
        <v>67.806046683188754</v>
      </c>
      <c r="G21" s="2">
        <f t="shared" si="3"/>
        <v>68.226347074389224</v>
      </c>
      <c r="H21" s="4" t="s">
        <v>5</v>
      </c>
      <c r="I21" s="5">
        <f t="shared" si="4"/>
        <v>0.12888377445339483</v>
      </c>
      <c r="J21" s="5">
        <f t="shared" ref="J21" si="22">+AVERAGE(B13:B21)/AVERAGE(B1:B9)-1</f>
        <v>0.11543958323728742</v>
      </c>
      <c r="K21" s="5">
        <f t="shared" si="6"/>
        <v>-1.2720405102190857E-2</v>
      </c>
      <c r="L21" s="5">
        <f t="shared" ref="L21" si="23">+F21/F12-1</f>
        <v>0.23839071751652918</v>
      </c>
      <c r="M21" s="6">
        <f t="shared" si="7"/>
        <v>2.4127549415820404E-2</v>
      </c>
    </row>
    <row r="22" spans="1:13" x14ac:dyDescent="0.2">
      <c r="A22" s="1">
        <v>34608</v>
      </c>
      <c r="B22" s="2">
        <v>327.10000000000002</v>
      </c>
      <c r="C22" s="2">
        <v>297.11997147718398</v>
      </c>
      <c r="D22" s="2">
        <v>295.43746834081202</v>
      </c>
      <c r="E22" s="2">
        <f t="shared" si="1"/>
        <v>76.465074092342505</v>
      </c>
      <c r="F22" s="2">
        <f t="shared" si="2"/>
        <v>69.824644993923812</v>
      </c>
      <c r="G22" s="2">
        <f t="shared" si="3"/>
        <v>69.512664323530885</v>
      </c>
      <c r="H22" s="4" t="s">
        <v>6</v>
      </c>
      <c r="I22" s="5">
        <f t="shared" si="4"/>
        <v>0.22555264143874121</v>
      </c>
      <c r="J22" s="5">
        <f t="shared" ref="J22" si="24">+AVERAGE(B13:B22)/AVERAGE(B1:B10)-1</f>
        <v>0.12750410509031185</v>
      </c>
      <c r="K22" s="5">
        <f t="shared" si="6"/>
        <v>2.9770181414153107E-2</v>
      </c>
      <c r="L22" s="5">
        <f t="shared" ref="L22" si="25">+F22/F12-1</f>
        <v>0.27525783383859936</v>
      </c>
      <c r="M22" s="6">
        <f t="shared" si="7"/>
        <v>1.885367316733455E-2</v>
      </c>
    </row>
    <row r="23" spans="1:13" x14ac:dyDescent="0.2">
      <c r="A23" s="1">
        <v>34639</v>
      </c>
      <c r="B23" s="2">
        <v>286.10000000000002</v>
      </c>
      <c r="C23" s="2">
        <v>272.57612103040702</v>
      </c>
      <c r="D23" s="2">
        <v>298.17169250449399</v>
      </c>
      <c r="E23" s="2">
        <f t="shared" si="1"/>
        <v>66.880641081685084</v>
      </c>
      <c r="F23" s="2">
        <f t="shared" si="2"/>
        <v>64.056720220271359</v>
      </c>
      <c r="G23" s="2">
        <f t="shared" si="3"/>
        <v>70.155992360230883</v>
      </c>
      <c r="H23" s="4" t="s">
        <v>7</v>
      </c>
      <c r="I23" s="5">
        <f t="shared" si="4"/>
        <v>0.15642683912692013</v>
      </c>
      <c r="J23" s="5">
        <f t="shared" ref="J23" si="26">+AVERAGE(B13:B23)/AVERAGE(B1:B11)-1</f>
        <v>0.13017067898934176</v>
      </c>
      <c r="K23" s="5">
        <f t="shared" si="6"/>
        <v>-8.2605858922080944E-2</v>
      </c>
      <c r="L23" s="5">
        <f t="shared" ref="L23" si="27">+F23/F12-1</f>
        <v>0.16991406512724949</v>
      </c>
      <c r="M23" s="6">
        <f t="shared" si="7"/>
        <v>9.2548320936998163E-3</v>
      </c>
    </row>
    <row r="24" spans="1:13" x14ac:dyDescent="0.2">
      <c r="A24" s="1">
        <v>34669</v>
      </c>
      <c r="B24" s="2">
        <v>272.3</v>
      </c>
      <c r="C24" s="2">
        <v>301.68826962835402</v>
      </c>
      <c r="D24" s="2">
        <v>298.20875733758402</v>
      </c>
      <c r="E24" s="2">
        <f t="shared" si="1"/>
        <v>63.654661190293083</v>
      </c>
      <c r="F24" s="2">
        <f t="shared" si="2"/>
        <v>70.898217379670839</v>
      </c>
      <c r="G24" s="2">
        <f t="shared" si="3"/>
        <v>70.164713242234313</v>
      </c>
      <c r="H24" s="4" t="s">
        <v>8</v>
      </c>
      <c r="I24" s="5">
        <f t="shared" si="4"/>
        <v>0.34801980198019811</v>
      </c>
      <c r="J24" s="5">
        <f t="shared" ref="J24" si="28">+AVERAGE(B13:B24)/AVERAGE(B1:B12)-1</f>
        <v>0.14542177860955152</v>
      </c>
      <c r="K24" s="5">
        <f t="shared" si="6"/>
        <v>0.10680373793528108</v>
      </c>
      <c r="L24" s="5">
        <f t="shared" ref="L24" si="29">+F24/F12-1</f>
        <v>0.29486526034589966</v>
      </c>
      <c r="M24" s="6">
        <f t="shared" si="7"/>
        <v>1.2430701512489151E-4</v>
      </c>
    </row>
    <row r="25" spans="1:13" x14ac:dyDescent="0.2">
      <c r="A25" s="1">
        <v>34700</v>
      </c>
      <c r="B25" s="2">
        <v>262.10000000000002</v>
      </c>
      <c r="C25" s="2">
        <v>296.33996481720499</v>
      </c>
      <c r="D25" s="2">
        <v>296.32518622383498</v>
      </c>
      <c r="E25" s="2">
        <f t="shared" si="1"/>
        <v>61.270241270568548</v>
      </c>
      <c r="F25" s="2">
        <f t="shared" si="2"/>
        <v>69.641339617798621</v>
      </c>
      <c r="G25" s="2">
        <f t="shared" si="3"/>
        <v>69.721533007530653</v>
      </c>
      <c r="H25" s="4" t="s">
        <v>9</v>
      </c>
      <c r="I25" s="5">
        <f t="shared" ref="I25:I88" si="30">+E25/E13-1</f>
        <v>0.1435427574171031</v>
      </c>
      <c r="J25" s="5">
        <f t="shared" ref="J25:J37" si="31">+AVERAGE(B25:B25)/AVERAGE(B13:B13)-1</f>
        <v>0.1435427574171031</v>
      </c>
      <c r="K25" s="5">
        <f t="shared" ref="K25:K88" si="32">+F25/F24-1</f>
        <v>-1.7727917687146433E-2</v>
      </c>
      <c r="L25" s="5">
        <f t="shared" ref="L25" si="33">+F25/F24-1</f>
        <v>-1.7727917687146433E-2</v>
      </c>
      <c r="M25" s="6">
        <f t="shared" si="7"/>
        <v>-6.316283701946257E-3</v>
      </c>
    </row>
    <row r="26" spans="1:13" x14ac:dyDescent="0.2">
      <c r="A26" s="1">
        <v>34731</v>
      </c>
      <c r="B26" s="2">
        <v>230.8</v>
      </c>
      <c r="C26" s="2">
        <v>293.59300640912301</v>
      </c>
      <c r="D26" s="2">
        <v>294.20199863693898</v>
      </c>
      <c r="E26" s="2">
        <f t="shared" si="1"/>
        <v>53.953344850237393</v>
      </c>
      <c r="F26" s="2">
        <f t="shared" si="2"/>
        <v>68.995790970550843</v>
      </c>
      <c r="G26" s="2">
        <f t="shared" si="3"/>
        <v>69.221974075981947</v>
      </c>
      <c r="H26" s="4" t="s">
        <v>1</v>
      </c>
      <c r="I26" s="5">
        <f t="shared" si="30"/>
        <v>0.24219590958019377</v>
      </c>
      <c r="J26" s="5">
        <f t="shared" ref="J26" si="34">+AVERAGE(B25:B26)/AVERAGE(B13:B14)-1</f>
        <v>0.18771084337349397</v>
      </c>
      <c r="K26" s="5">
        <f t="shared" si="32"/>
        <v>-9.2696184592462316E-3</v>
      </c>
      <c r="L26" s="5">
        <f t="shared" ref="L26" si="35">+F26/F24-1</f>
        <v>-2.6833205113355851E-2</v>
      </c>
      <c r="M26" s="6">
        <f t="shared" si="7"/>
        <v>-7.1650594873573503E-3</v>
      </c>
    </row>
    <row r="27" spans="1:13" x14ac:dyDescent="0.2">
      <c r="A27" s="1">
        <v>34759</v>
      </c>
      <c r="B27" s="2">
        <v>306.7</v>
      </c>
      <c r="C27" s="2">
        <v>296.33967048753402</v>
      </c>
      <c r="D27" s="2">
        <v>293.00527883703501</v>
      </c>
      <c r="E27" s="2">
        <f t="shared" si="1"/>
        <v>71.696234252893447</v>
      </c>
      <c r="F27" s="2">
        <f t="shared" si="2"/>
        <v>69.641270448887894</v>
      </c>
      <c r="G27" s="2">
        <f t="shared" si="3"/>
        <v>68.940401186100274</v>
      </c>
      <c r="H27" s="4" t="s">
        <v>2</v>
      </c>
      <c r="I27" s="5">
        <f t="shared" si="30"/>
        <v>0.1036344008636203</v>
      </c>
      <c r="J27" s="5">
        <f t="shared" ref="J27:J39" si="36">+AVERAGE(B25:B27)/AVERAGE(B13:B15)-1</f>
        <v>0.15399047481599082</v>
      </c>
      <c r="K27" s="5">
        <f t="shared" si="32"/>
        <v>9.35534572844543E-3</v>
      </c>
      <c r="L27" s="5">
        <f t="shared" ref="L27:L39" si="37">+F27/F24-1</f>
        <v>-1.7728893295748227E-2</v>
      </c>
      <c r="M27" s="6">
        <f t="shared" si="7"/>
        <v>-4.0676807276920357E-3</v>
      </c>
    </row>
    <row r="28" spans="1:13" x14ac:dyDescent="0.2">
      <c r="A28" s="1">
        <v>34790</v>
      </c>
      <c r="B28" s="2">
        <v>293.89999999999998</v>
      </c>
      <c r="C28" s="2">
        <v>286.855778716065</v>
      </c>
      <c r="D28" s="2">
        <v>292.95570706377202</v>
      </c>
      <c r="E28" s="2">
        <f t="shared" si="1"/>
        <v>68.704021020297958</v>
      </c>
      <c r="F28" s="2">
        <f t="shared" si="2"/>
        <v>67.412509545299585</v>
      </c>
      <c r="G28" s="2">
        <f t="shared" si="3"/>
        <v>68.928737580755623</v>
      </c>
      <c r="H28" s="4" t="s">
        <v>3</v>
      </c>
      <c r="I28" s="5">
        <f t="shared" si="30"/>
        <v>6.851661527920605E-3</v>
      </c>
      <c r="J28" s="5">
        <f t="shared" ref="J28:J40" si="38">+AVERAGE(B25:B28)/AVERAGE(B13:B16)-1</f>
        <v>0.11037774167343639</v>
      </c>
      <c r="K28" s="5">
        <f t="shared" si="32"/>
        <v>-3.2003449811043749E-2</v>
      </c>
      <c r="L28" s="5">
        <f t="shared" ref="L28:L40" si="39">+F28/F24-1</f>
        <v>-4.9164957359996153E-2</v>
      </c>
      <c r="M28" s="6">
        <f t="shared" si="7"/>
        <v>-1.691838913610022E-4</v>
      </c>
    </row>
    <row r="29" spans="1:13" x14ac:dyDescent="0.2">
      <c r="A29" s="1">
        <v>34820</v>
      </c>
      <c r="B29" s="2">
        <v>305</v>
      </c>
      <c r="C29" s="2">
        <v>294.86838268637899</v>
      </c>
      <c r="D29" s="2">
        <v>293.991736988958</v>
      </c>
      <c r="E29" s="2">
        <f t="shared" si="1"/>
        <v>71.298830932939367</v>
      </c>
      <c r="F29" s="2">
        <f t="shared" si="2"/>
        <v>69.295510627059713</v>
      </c>
      <c r="G29" s="2">
        <f t="shared" si="3"/>
        <v>69.172502194712806</v>
      </c>
      <c r="H29" s="4" t="s">
        <v>2</v>
      </c>
      <c r="I29" s="5">
        <f t="shared" si="30"/>
        <v>0.10307414104882473</v>
      </c>
      <c r="J29" s="5">
        <f t="shared" ref="J29:J41" si="40">+AVERAGE(B25:B29)/AVERAGE(B13:B17)-1</f>
        <v>0.10877665900261624</v>
      </c>
      <c r="K29" s="5">
        <f t="shared" si="32"/>
        <v>2.7932517190964345E-2</v>
      </c>
      <c r="L29" s="5">
        <f t="shared" ref="L29:L41" si="41">+F29/F24-1</f>
        <v>-2.2605741185682926E-2</v>
      </c>
      <c r="M29" s="6">
        <f t="shared" ref="M29:M92" si="42">+G29/G28-1</f>
        <v>3.5364729213500645E-3</v>
      </c>
    </row>
    <row r="30" spans="1:13" x14ac:dyDescent="0.2">
      <c r="A30" s="1">
        <v>34851</v>
      </c>
      <c r="B30" s="2">
        <v>300.39999999999998</v>
      </c>
      <c r="C30" s="2">
        <v>294.80106054782999</v>
      </c>
      <c r="D30" s="2">
        <v>295.68996511657599</v>
      </c>
      <c r="E30" s="2">
        <f t="shared" si="1"/>
        <v>70.223504302475348</v>
      </c>
      <c r="F30" s="2">
        <f t="shared" si="2"/>
        <v>69.279689595571853</v>
      </c>
      <c r="G30" s="2">
        <f t="shared" si="3"/>
        <v>69.572073591133346</v>
      </c>
      <c r="H30" s="4" t="s">
        <v>4</v>
      </c>
      <c r="I30" s="5">
        <f t="shared" si="30"/>
        <v>0.11922503725782407</v>
      </c>
      <c r="J30" s="5">
        <f t="shared" ref="J30:J42" si="43">+AVERAGE(B25:B30)/AVERAGE(B13:B18)-1</f>
        <v>0.1106099235144149</v>
      </c>
      <c r="K30" s="5">
        <f t="shared" si="32"/>
        <v>-2.2831250314336859E-4</v>
      </c>
      <c r="L30" s="5">
        <f t="shared" ref="L30:L42" si="44">+F30/F24-1</f>
        <v>-2.2828892515470711E-2</v>
      </c>
      <c r="M30" s="6">
        <f t="shared" si="42"/>
        <v>5.7764484982167907E-3</v>
      </c>
    </row>
    <row r="31" spans="1:13" x14ac:dyDescent="0.2">
      <c r="A31" s="1">
        <v>34881</v>
      </c>
      <c r="B31" s="2">
        <v>322.39999999999998</v>
      </c>
      <c r="C31" s="2">
        <v>306.55142854424003</v>
      </c>
      <c r="D31" s="2">
        <v>297.982385122241</v>
      </c>
      <c r="E31" s="2">
        <f t="shared" si="1"/>
        <v>75.366370795998847</v>
      </c>
      <c r="F31" s="2">
        <f t="shared" si="2"/>
        <v>72.04108348578464</v>
      </c>
      <c r="G31" s="2">
        <f t="shared" si="3"/>
        <v>70.111450750155413</v>
      </c>
      <c r="H31" s="4" t="s">
        <v>4</v>
      </c>
      <c r="I31" s="5">
        <f t="shared" si="30"/>
        <v>0.13721340388007031</v>
      </c>
      <c r="J31" s="5">
        <f t="shared" ref="J31:J43" si="45">+AVERAGE(B25:B31)/AVERAGE(B13:B19)-1</f>
        <v>0.11476946834326074</v>
      </c>
      <c r="K31" s="5">
        <f t="shared" si="32"/>
        <v>3.9858635428835498E-2</v>
      </c>
      <c r="L31" s="5">
        <f t="shared" ref="L31:L43" si="46">+F31/F24-1</f>
        <v>1.6119814409346622E-2</v>
      </c>
      <c r="M31" s="6">
        <f t="shared" si="42"/>
        <v>7.7527825631864555E-3</v>
      </c>
    </row>
    <row r="32" spans="1:13" x14ac:dyDescent="0.2">
      <c r="A32" s="1">
        <v>34912</v>
      </c>
      <c r="B32" s="2">
        <v>317</v>
      </c>
      <c r="C32" s="2">
        <v>297.68097567362599</v>
      </c>
      <c r="D32" s="2">
        <v>300.11250982586802</v>
      </c>
      <c r="E32" s="2">
        <f t="shared" si="1"/>
        <v>74.104030838497621</v>
      </c>
      <c r="F32" s="2">
        <f t="shared" si="2"/>
        <v>69.956483721094912</v>
      </c>
      <c r="G32" s="2">
        <f t="shared" si="3"/>
        <v>70.61264189670176</v>
      </c>
      <c r="H32" s="4" t="s">
        <v>3</v>
      </c>
      <c r="I32" s="5">
        <f t="shared" si="30"/>
        <v>1.6025641025640969E-2</v>
      </c>
      <c r="J32" s="5">
        <f t="shared" ref="J32:J44" si="47">+AVERAGE(B25:B32)/AVERAGE(B13:B20)-1</f>
        <v>0.10027291549030704</v>
      </c>
      <c r="K32" s="5">
        <f t="shared" si="32"/>
        <v>-2.8936263362849934E-2</v>
      </c>
      <c r="L32" s="5">
        <f t="shared" ref="L32:L44" si="48">+F32/F24-1</f>
        <v>-1.3282896148612555E-2</v>
      </c>
      <c r="M32" s="6">
        <f t="shared" si="42"/>
        <v>7.1484920249669237E-3</v>
      </c>
    </row>
    <row r="33" spans="1:13" x14ac:dyDescent="0.2">
      <c r="A33" s="1">
        <v>34943</v>
      </c>
      <c r="B33" s="2">
        <v>302.8</v>
      </c>
      <c r="C33" s="2">
        <v>297.17243088325199</v>
      </c>
      <c r="D33" s="2">
        <v>302.29874394759702</v>
      </c>
      <c r="E33" s="2">
        <f t="shared" si="1"/>
        <v>70.78454428358701</v>
      </c>
      <c r="F33" s="2">
        <f t="shared" si="2"/>
        <v>69.836973210660915</v>
      </c>
      <c r="G33" s="2">
        <f t="shared" si="3"/>
        <v>71.127034872954482</v>
      </c>
      <c r="H33" s="4" t="s">
        <v>5</v>
      </c>
      <c r="I33" s="5">
        <f t="shared" si="30"/>
        <v>2.8882093102276629E-2</v>
      </c>
      <c r="J33" s="5">
        <f t="shared" ref="J33:J45" si="49">+AVERAGE(B25:B33)/AVERAGE(B13:B21)-1</f>
        <v>9.1589171316387885E-2</v>
      </c>
      <c r="K33" s="5">
        <f t="shared" si="32"/>
        <v>-1.708355024109931E-3</v>
      </c>
      <c r="L33" s="5">
        <f t="shared" ref="L33:L45" si="50">+F33/F24-1</f>
        <v>-1.4968559270352344E-2</v>
      </c>
      <c r="M33" s="6">
        <f t="shared" si="42"/>
        <v>7.2847150656849546E-3</v>
      </c>
    </row>
    <row r="34" spans="1:13" x14ac:dyDescent="0.2">
      <c r="A34" s="1">
        <v>34973</v>
      </c>
      <c r="B34" s="2">
        <v>333.7</v>
      </c>
      <c r="C34" s="2">
        <v>303.78529194465398</v>
      </c>
      <c r="D34" s="2">
        <v>305.61356323165899</v>
      </c>
      <c r="E34" s="2">
        <f t="shared" si="1"/>
        <v>78.007934040399547</v>
      </c>
      <c r="F34" s="2">
        <f t="shared" si="2"/>
        <v>71.391027869830779</v>
      </c>
      <c r="G34" s="2">
        <f t="shared" si="3"/>
        <v>71.906969528772606</v>
      </c>
      <c r="H34" s="4" t="s">
        <v>6</v>
      </c>
      <c r="I34" s="5">
        <f t="shared" si="30"/>
        <v>2.0177315805564033E-2</v>
      </c>
      <c r="J34" s="5">
        <f t="shared" ref="J34:J46" si="51">+AVERAGE(B25:B34)/AVERAGE(B13:B22)-1</f>
        <v>8.308454088691497E-2</v>
      </c>
      <c r="K34" s="5">
        <f t="shared" si="32"/>
        <v>2.2252606144342879E-2</v>
      </c>
      <c r="L34" s="5">
        <f t="shared" ref="L34:L46" si="52">+F34/F24-1</f>
        <v>6.950957419999293E-3</v>
      </c>
      <c r="M34" s="6">
        <f t="shared" si="42"/>
        <v>1.0965375643891662E-2</v>
      </c>
    </row>
    <row r="35" spans="1:13" x14ac:dyDescent="0.2">
      <c r="A35" s="1">
        <v>35004</v>
      </c>
      <c r="B35" s="2">
        <v>330.6</v>
      </c>
      <c r="C35" s="2">
        <v>316.26681340627903</v>
      </c>
      <c r="D35" s="2">
        <v>310.58340487958998</v>
      </c>
      <c r="E35" s="2">
        <f t="shared" si="1"/>
        <v>77.283257398130345</v>
      </c>
      <c r="F35" s="2">
        <f t="shared" si="2"/>
        <v>74.324246396707679</v>
      </c>
      <c r="G35" s="2">
        <f t="shared" si="3"/>
        <v>73.076309816427681</v>
      </c>
      <c r="H35" s="4" t="s">
        <v>7</v>
      </c>
      <c r="I35" s="5">
        <f t="shared" si="30"/>
        <v>0.1555400209716884</v>
      </c>
      <c r="J35" s="5">
        <f t="shared" ref="J35:J47" si="53">+AVERAGE(B25:B35)/AVERAGE(B13:B23)-1</f>
        <v>8.9919873380156279E-2</v>
      </c>
      <c r="K35" s="5">
        <f t="shared" si="32"/>
        <v>4.1086654925673871E-2</v>
      </c>
      <c r="L35" s="5">
        <f t="shared" ref="L35:L47" si="54">+F35/F24-1</f>
        <v>4.8323203934591552E-2</v>
      </c>
      <c r="M35" s="6">
        <f t="shared" si="42"/>
        <v>1.626184909916395E-2</v>
      </c>
    </row>
    <row r="36" spans="1:13" x14ac:dyDescent="0.2">
      <c r="A36" s="1">
        <v>35034</v>
      </c>
      <c r="B36" s="2">
        <v>263.10000000000002</v>
      </c>
      <c r="C36" s="2">
        <v>289.51018312393097</v>
      </c>
      <c r="D36" s="2">
        <v>316.91829455499101</v>
      </c>
      <c r="E36" s="2">
        <f t="shared" si="1"/>
        <v>61.504007929365081</v>
      </c>
      <c r="F36" s="2">
        <f t="shared" si="2"/>
        <v>68.036307550287546</v>
      </c>
      <c r="G36" s="2">
        <f t="shared" si="3"/>
        <v>74.566828476791926</v>
      </c>
      <c r="H36" s="4" t="s">
        <v>8</v>
      </c>
      <c r="I36" s="5">
        <f t="shared" si="30"/>
        <v>-3.3786265148732952E-2</v>
      </c>
      <c r="J36" s="5">
        <f t="shared" ref="J36:J48" si="55">+AVERAGE(B25:B36)/AVERAGE(B13:B24)-1</f>
        <v>7.9727685325264641E-2</v>
      </c>
      <c r="K36" s="5">
        <f t="shared" si="32"/>
        <v>-8.4601447727543522E-2</v>
      </c>
      <c r="L36" s="5">
        <f t="shared" ref="L36:L48" si="56">+F36/F24-1</f>
        <v>-4.0366456804651785E-2</v>
      </c>
      <c r="M36" s="6">
        <f t="shared" si="42"/>
        <v>2.0396742310996752E-2</v>
      </c>
    </row>
    <row r="37" spans="1:13" x14ac:dyDescent="0.2">
      <c r="A37" s="1">
        <v>35065</v>
      </c>
      <c r="B37" s="2">
        <v>271.2</v>
      </c>
      <c r="C37" s="2">
        <v>309.89276731577002</v>
      </c>
      <c r="D37" s="2">
        <v>323.78186463231901</v>
      </c>
      <c r="E37" s="2">
        <f t="shared" si="1"/>
        <v>63.397517865616891</v>
      </c>
      <c r="F37" s="2">
        <f t="shared" si="2"/>
        <v>72.826314422522358</v>
      </c>
      <c r="G37" s="2">
        <f t="shared" si="3"/>
        <v>76.181738885839806</v>
      </c>
      <c r="H37" s="4" t="s">
        <v>10</v>
      </c>
      <c r="I37" s="5">
        <f t="shared" si="30"/>
        <v>3.4719572682182287E-2</v>
      </c>
      <c r="J37" s="5">
        <f t="shared" si="31"/>
        <v>3.4719572682182287E-2</v>
      </c>
      <c r="K37" s="5">
        <f t="shared" si="32"/>
        <v>7.04036865712383E-2</v>
      </c>
      <c r="L37" s="5">
        <f t="shared" ref="L37" si="57">+F37/F36-1</f>
        <v>7.04036865712383E-2</v>
      </c>
      <c r="M37" s="6">
        <f t="shared" si="42"/>
        <v>2.1657222682476052E-2</v>
      </c>
    </row>
    <row r="38" spans="1:13" x14ac:dyDescent="0.2">
      <c r="A38" s="1">
        <v>35096</v>
      </c>
      <c r="B38" s="2">
        <v>305.7</v>
      </c>
      <c r="C38" s="2">
        <v>331.33886273390402</v>
      </c>
      <c r="D38" s="2">
        <v>330.09340641271302</v>
      </c>
      <c r="E38" s="2">
        <f t="shared" si="1"/>
        <v>71.462467594096921</v>
      </c>
      <c r="F38" s="2">
        <f t="shared" si="2"/>
        <v>77.866251629139981</v>
      </c>
      <c r="G38" s="2">
        <f t="shared" si="3"/>
        <v>77.66676408460151</v>
      </c>
      <c r="H38" s="4" t="s">
        <v>1</v>
      </c>
      <c r="I38" s="5">
        <f t="shared" si="30"/>
        <v>0.32452339688041576</v>
      </c>
      <c r="J38" s="5">
        <f t="shared" ref="J38" si="58">+AVERAGE(B37:B38)/AVERAGE(B25:B26)-1</f>
        <v>0.17041996348143629</v>
      </c>
      <c r="K38" s="5">
        <f t="shared" si="32"/>
        <v>6.9204891756254661E-2</v>
      </c>
      <c r="L38" s="5">
        <f t="shared" ref="L38" si="59">+F38/F36-1</f>
        <v>0.1444808578358967</v>
      </c>
      <c r="M38" s="6">
        <f t="shared" si="42"/>
        <v>1.9493191156834122E-2</v>
      </c>
    </row>
    <row r="39" spans="1:13" x14ac:dyDescent="0.2">
      <c r="A39" s="1">
        <v>35125</v>
      </c>
      <c r="B39" s="2">
        <v>361.5</v>
      </c>
      <c r="C39" s="2">
        <v>352.04713886263698</v>
      </c>
      <c r="D39" s="2">
        <v>334.76201781651298</v>
      </c>
      <c r="E39" s="2">
        <f t="shared" si="1"/>
        <v>84.506647154942883</v>
      </c>
      <c r="F39" s="2">
        <f t="shared" si="2"/>
        <v>82.732797697841264</v>
      </c>
      <c r="G39" s="2">
        <f t="shared" si="3"/>
        <v>78.765228741748473</v>
      </c>
      <c r="H39" s="4" t="s">
        <v>2</v>
      </c>
      <c r="I39" s="5">
        <f t="shared" si="30"/>
        <v>0.17867623084447337</v>
      </c>
      <c r="J39" s="5">
        <f t="shared" si="36"/>
        <v>0.17358679339669836</v>
      </c>
      <c r="K39" s="5">
        <f t="shared" si="32"/>
        <v>6.2498784349856562E-2</v>
      </c>
      <c r="L39" s="5">
        <f t="shared" si="37"/>
        <v>0.21600952016232111</v>
      </c>
      <c r="M39" s="6">
        <f t="shared" si="42"/>
        <v>1.4143304025778791E-2</v>
      </c>
    </row>
    <row r="40" spans="1:13" x14ac:dyDescent="0.2">
      <c r="A40" s="1">
        <v>35156</v>
      </c>
      <c r="B40" s="2">
        <v>336.1</v>
      </c>
      <c r="C40" s="2">
        <v>330.984377634824</v>
      </c>
      <c r="D40" s="2">
        <v>337.36016311588997</v>
      </c>
      <c r="E40" s="2">
        <f t="shared" si="1"/>
        <v>78.568974021511224</v>
      </c>
      <c r="F40" s="2">
        <f t="shared" si="2"/>
        <v>77.782945898879447</v>
      </c>
      <c r="G40" s="2">
        <f t="shared" si="3"/>
        <v>79.376539159054815</v>
      </c>
      <c r="H40" s="4" t="s">
        <v>3</v>
      </c>
      <c r="I40" s="5">
        <f t="shared" si="30"/>
        <v>0.14358625382783274</v>
      </c>
      <c r="J40" s="5">
        <f t="shared" si="38"/>
        <v>0.16552354823959758</v>
      </c>
      <c r="K40" s="5">
        <f t="shared" si="32"/>
        <v>-5.982937766760632E-2</v>
      </c>
      <c r="L40" s="5">
        <f t="shared" si="39"/>
        <v>0.14325642733312494</v>
      </c>
      <c r="M40" s="6">
        <f t="shared" si="42"/>
        <v>7.7611711039484721E-3</v>
      </c>
    </row>
    <row r="41" spans="1:13" x14ac:dyDescent="0.2">
      <c r="A41" s="1">
        <v>35186</v>
      </c>
      <c r="B41" s="2">
        <v>345.6</v>
      </c>
      <c r="C41" s="2">
        <v>335.88837553443301</v>
      </c>
      <c r="D41" s="2">
        <v>337.938771593448</v>
      </c>
      <c r="E41" s="2">
        <f t="shared" si="1"/>
        <v>80.789757280078177</v>
      </c>
      <c r="F41" s="2">
        <f t="shared" si="2"/>
        <v>78.935409365703109</v>
      </c>
      <c r="G41" s="2">
        <f t="shared" si="3"/>
        <v>79.512678346481252</v>
      </c>
      <c r="H41" s="4" t="s">
        <v>2</v>
      </c>
      <c r="I41" s="5">
        <f t="shared" si="30"/>
        <v>0.1331147540983606</v>
      </c>
      <c r="J41" s="5">
        <f t="shared" si="40"/>
        <v>0.15845548802288167</v>
      </c>
      <c r="K41" s="5">
        <f t="shared" si="32"/>
        <v>1.4816402921045135E-2</v>
      </c>
      <c r="L41" s="5">
        <f t="shared" si="41"/>
        <v>0.1601953752025671</v>
      </c>
      <c r="M41" s="6">
        <f t="shared" si="42"/>
        <v>1.7151061115632249E-3</v>
      </c>
    </row>
    <row r="42" spans="1:13" x14ac:dyDescent="0.2">
      <c r="A42" s="1">
        <v>35217</v>
      </c>
      <c r="B42" s="2">
        <v>350.1</v>
      </c>
      <c r="C42" s="2">
        <v>343.15521318928899</v>
      </c>
      <c r="D42" s="2">
        <v>337.26856817018597</v>
      </c>
      <c r="E42" s="2">
        <f t="shared" si="1"/>
        <v>81.84170724466253</v>
      </c>
      <c r="F42" s="2">
        <f t="shared" si="2"/>
        <v>80.643151719595195</v>
      </c>
      <c r="G42" s="2">
        <f t="shared" si="3"/>
        <v>79.354988037762681</v>
      </c>
      <c r="H42" s="4" t="s">
        <v>4</v>
      </c>
      <c r="I42" s="5">
        <f t="shared" si="30"/>
        <v>0.16544607190412797</v>
      </c>
      <c r="J42" s="5">
        <f t="shared" si="43"/>
        <v>0.15969156513037808</v>
      </c>
      <c r="K42" s="5">
        <f t="shared" si="32"/>
        <v>2.1634680400277828E-2</v>
      </c>
      <c r="L42" s="5">
        <f t="shared" si="44"/>
        <v>0.18529583134695504</v>
      </c>
      <c r="M42" s="6">
        <f t="shared" si="42"/>
        <v>-1.9832096213817652E-3</v>
      </c>
    </row>
    <row r="43" spans="1:13" x14ac:dyDescent="0.2">
      <c r="A43" s="1">
        <v>35247</v>
      </c>
      <c r="B43" s="2">
        <v>352.7</v>
      </c>
      <c r="C43" s="2">
        <v>335.51644066206097</v>
      </c>
      <c r="D43" s="2">
        <v>336.65870195875601</v>
      </c>
      <c r="E43" s="2">
        <f t="shared" si="1"/>
        <v>82.449500557533483</v>
      </c>
      <c r="F43" s="2">
        <f t="shared" si="2"/>
        <v>78.848002853461196</v>
      </c>
      <c r="G43" s="2">
        <f t="shared" si="3"/>
        <v>79.2114943046371</v>
      </c>
      <c r="H43" s="4" t="s">
        <v>4</v>
      </c>
      <c r="I43" s="5">
        <f t="shared" si="30"/>
        <v>9.3982630272952949E-2</v>
      </c>
      <c r="J43" s="5">
        <f t="shared" si="45"/>
        <v>0.14921090387374436</v>
      </c>
      <c r="K43" s="5">
        <f t="shared" si="32"/>
        <v>-2.2260400639795508E-2</v>
      </c>
      <c r="L43" s="5">
        <f t="shared" si="46"/>
        <v>0.15891067126449254</v>
      </c>
      <c r="M43" s="6">
        <f t="shared" si="42"/>
        <v>-1.8082509578011274E-3</v>
      </c>
    </row>
    <row r="44" spans="1:13" x14ac:dyDescent="0.2">
      <c r="A44" s="1">
        <v>35278</v>
      </c>
      <c r="B44" s="2">
        <v>353</v>
      </c>
      <c r="C44" s="2">
        <v>333.44302773917099</v>
      </c>
      <c r="D44" s="2">
        <v>337.47372378373501</v>
      </c>
      <c r="E44" s="2">
        <f t="shared" si="1"/>
        <v>82.519630555172441</v>
      </c>
      <c r="F44" s="2">
        <f t="shared" si="2"/>
        <v>78.360740686105601</v>
      </c>
      <c r="G44" s="2">
        <f t="shared" si="3"/>
        <v>79.403258534320926</v>
      </c>
      <c r="H44" s="4" t="s">
        <v>3</v>
      </c>
      <c r="I44" s="5">
        <f t="shared" si="30"/>
        <v>0.11356466876971627</v>
      </c>
      <c r="J44" s="5">
        <f t="shared" si="47"/>
        <v>0.14437839456015022</v>
      </c>
      <c r="K44" s="5">
        <f t="shared" si="32"/>
        <v>-6.1797654946463831E-3</v>
      </c>
      <c r="L44" s="5">
        <f t="shared" si="48"/>
        <v>0.15174887508683477</v>
      </c>
      <c r="M44" s="6">
        <f t="shared" si="42"/>
        <v>2.4209141787721045E-3</v>
      </c>
    </row>
    <row r="45" spans="1:13" x14ac:dyDescent="0.2">
      <c r="A45" s="1">
        <v>35309</v>
      </c>
      <c r="B45" s="2">
        <v>339.1</v>
      </c>
      <c r="C45" s="2">
        <v>333.45934655159903</v>
      </c>
      <c r="D45" s="2">
        <v>339.55503878820599</v>
      </c>
      <c r="E45" s="2">
        <f t="shared" si="1"/>
        <v>79.270273997900787</v>
      </c>
      <c r="F45" s="2">
        <f t="shared" si="2"/>
        <v>78.364575686758172</v>
      </c>
      <c r="G45" s="2">
        <f t="shared" si="3"/>
        <v>79.892965381830265</v>
      </c>
      <c r="H45" s="4" t="s">
        <v>5</v>
      </c>
      <c r="I45" s="5">
        <f t="shared" si="30"/>
        <v>0.11988110964332899</v>
      </c>
      <c r="J45" s="5">
        <f t="shared" si="49"/>
        <v>0.14156980046192857</v>
      </c>
      <c r="K45" s="5">
        <f t="shared" si="32"/>
        <v>4.8940331842217688E-5</v>
      </c>
      <c r="L45" s="5">
        <f t="shared" si="50"/>
        <v>0.15180524205898016</v>
      </c>
      <c r="M45" s="6">
        <f t="shared" si="42"/>
        <v>6.1673394335279852E-3</v>
      </c>
    </row>
    <row r="46" spans="1:13" x14ac:dyDescent="0.2">
      <c r="A46" s="1">
        <v>35339</v>
      </c>
      <c r="B46" s="2">
        <v>373.3</v>
      </c>
      <c r="C46" s="2">
        <v>344.609089213255</v>
      </c>
      <c r="D46" s="2">
        <v>341.30679646859301</v>
      </c>
      <c r="E46" s="2">
        <f t="shared" si="1"/>
        <v>87.265093728741846</v>
      </c>
      <c r="F46" s="2">
        <f t="shared" si="2"/>
        <v>80.984819688711852</v>
      </c>
      <c r="G46" s="2">
        <f t="shared" si="3"/>
        <v>80.305131598582562</v>
      </c>
      <c r="H46" s="4" t="s">
        <v>6</v>
      </c>
      <c r="I46" s="5">
        <f t="shared" si="30"/>
        <v>0.11866946359005115</v>
      </c>
      <c r="J46" s="5">
        <f t="shared" si="51"/>
        <v>0.13900094123974704</v>
      </c>
      <c r="K46" s="5">
        <f t="shared" si="32"/>
        <v>3.343658762892332E-2</v>
      </c>
      <c r="L46" s="5">
        <f t="shared" si="52"/>
        <v>0.19031767896653862</v>
      </c>
      <c r="M46" s="6">
        <f t="shared" si="42"/>
        <v>5.1589800776881134E-3</v>
      </c>
    </row>
    <row r="47" spans="1:13" x14ac:dyDescent="0.2">
      <c r="A47" s="1">
        <v>35370</v>
      </c>
      <c r="B47" s="2">
        <v>364.2</v>
      </c>
      <c r="C47" s="2">
        <v>348.61838754334701</v>
      </c>
      <c r="D47" s="2">
        <v>342.77492400865498</v>
      </c>
      <c r="E47" s="2">
        <f t="shared" si="1"/>
        <v>85.137817133693488</v>
      </c>
      <c r="F47" s="2">
        <f t="shared" si="2"/>
        <v>81.927024385291475</v>
      </c>
      <c r="G47" s="2">
        <f t="shared" si="3"/>
        <v>80.650563264544218</v>
      </c>
      <c r="H47" s="4" t="s">
        <v>7</v>
      </c>
      <c r="I47" s="5">
        <f t="shared" si="30"/>
        <v>0.10163339382940095</v>
      </c>
      <c r="J47" s="5">
        <f t="shared" si="53"/>
        <v>0.13526350819870481</v>
      </c>
      <c r="K47" s="5">
        <f t="shared" si="32"/>
        <v>1.1634337153570984E-2</v>
      </c>
      <c r="L47" s="5">
        <f t="shared" si="54"/>
        <v>0.20416623616349128</v>
      </c>
      <c r="M47" s="6">
        <f t="shared" si="42"/>
        <v>4.3014893206121396E-3</v>
      </c>
    </row>
    <row r="48" spans="1:13" x14ac:dyDescent="0.2">
      <c r="A48" s="1">
        <v>35400</v>
      </c>
      <c r="B48" s="2">
        <v>322.60000000000002</v>
      </c>
      <c r="C48" s="2">
        <v>347.21634961981198</v>
      </c>
      <c r="D48" s="2">
        <v>344.050249119027</v>
      </c>
      <c r="E48" s="2">
        <f t="shared" si="1"/>
        <v>75.413124127758152</v>
      </c>
      <c r="F48" s="2">
        <f t="shared" si="2"/>
        <v>81.597538623051591</v>
      </c>
      <c r="G48" s="2">
        <f t="shared" si="3"/>
        <v>80.950630980391253</v>
      </c>
      <c r="H48" s="4" t="s">
        <v>8</v>
      </c>
      <c r="I48" s="5">
        <f t="shared" si="30"/>
        <v>0.22614975294564776</v>
      </c>
      <c r="J48" s="5">
        <f t="shared" si="55"/>
        <v>0.14196441081686983</v>
      </c>
      <c r="K48" s="5">
        <f t="shared" si="32"/>
        <v>-4.0216981479805902E-3</v>
      </c>
      <c r="L48" s="5">
        <f t="shared" si="56"/>
        <v>0.19932344304165173</v>
      </c>
      <c r="M48" s="6">
        <f t="shared" si="42"/>
        <v>3.720590454685091E-3</v>
      </c>
    </row>
    <row r="49" spans="1:13" x14ac:dyDescent="0.2">
      <c r="A49" s="1">
        <v>35431</v>
      </c>
      <c r="B49" s="2">
        <v>272.32600000000002</v>
      </c>
      <c r="C49" s="2">
        <v>315.15781591631099</v>
      </c>
      <c r="D49" s="2">
        <v>344.81274165742298</v>
      </c>
      <c r="E49" s="2">
        <f t="shared" si="1"/>
        <v>63.660739123421791</v>
      </c>
      <c r="F49" s="2">
        <f t="shared" si="2"/>
        <v>74.06362656812064</v>
      </c>
      <c r="G49" s="2">
        <f t="shared" si="3"/>
        <v>81.130035739606072</v>
      </c>
      <c r="H49" s="4" t="s">
        <v>11</v>
      </c>
      <c r="I49" s="5">
        <f t="shared" si="30"/>
        <v>4.1519174041300122E-3</v>
      </c>
      <c r="J49" s="5">
        <f t="shared" ref="J49" si="60">+AVERAGE(B49:B49)/AVERAGE(B37:B37)-1</f>
        <v>4.1519174041300122E-3</v>
      </c>
      <c r="K49" s="5">
        <f t="shared" si="32"/>
        <v>-9.2330138654483807E-2</v>
      </c>
      <c r="L49" s="5">
        <f>+F49/F48-1</f>
        <v>-9.2330138654483807E-2</v>
      </c>
      <c r="M49" s="6">
        <f t="shared" si="42"/>
        <v>2.2162243461483211E-3</v>
      </c>
    </row>
    <row r="50" spans="1:13" x14ac:dyDescent="0.2">
      <c r="A50" s="1">
        <v>35462</v>
      </c>
      <c r="B50" s="2">
        <v>280.14800000000002</v>
      </c>
      <c r="C50" s="2">
        <v>338.05346029998401</v>
      </c>
      <c r="D50" s="2">
        <v>345.74384268263202</v>
      </c>
      <c r="E50" s="2">
        <f t="shared" si="1"/>
        <v>65.48926192852818</v>
      </c>
      <c r="F50" s="2">
        <f t="shared" si="2"/>
        <v>79.444214863982992</v>
      </c>
      <c r="G50" s="2">
        <f t="shared" si="3"/>
        <v>81.349111923071021</v>
      </c>
      <c r="H50" s="4" t="s">
        <v>1</v>
      </c>
      <c r="I50" s="5">
        <f t="shared" si="30"/>
        <v>-8.3585214262348662E-2</v>
      </c>
      <c r="J50" s="5">
        <f>+AVERAGE(B49:B50)/AVERAGE(B37:B38)-1</f>
        <v>-4.2340093603744022E-2</v>
      </c>
      <c r="K50" s="5">
        <f t="shared" si="32"/>
        <v>7.264818839128151E-2</v>
      </c>
      <c r="L50" s="5">
        <f>+F50/F48-1</f>
        <v>-2.6389567570366368E-2</v>
      </c>
      <c r="M50" s="6">
        <f t="shared" si="42"/>
        <v>2.7003092192403599E-3</v>
      </c>
    </row>
    <row r="51" spans="1:13" x14ac:dyDescent="0.2">
      <c r="A51" s="1">
        <v>35490</v>
      </c>
      <c r="B51" s="2">
        <v>355.40600000000001</v>
      </c>
      <c r="C51" s="2">
        <v>348.52503720694898</v>
      </c>
      <c r="D51" s="2">
        <v>347.25264466420498</v>
      </c>
      <c r="E51" s="2">
        <f t="shared" si="1"/>
        <v>83.082073136236872</v>
      </c>
      <c r="F51" s="2">
        <f t="shared" si="2"/>
        <v>81.905086600138048</v>
      </c>
      <c r="G51" s="2">
        <f t="shared" si="3"/>
        <v>81.704113765812139</v>
      </c>
      <c r="H51" s="4" t="s">
        <v>2</v>
      </c>
      <c r="I51" s="5">
        <f t="shared" si="30"/>
        <v>-1.685753803596135E-2</v>
      </c>
      <c r="J51" s="5">
        <f t="shared" ref="J51" si="61">+AVERAGE(B49:B51)/AVERAGE(B37:B39)-1</f>
        <v>-3.2523444160272641E-2</v>
      </c>
      <c r="K51" s="5">
        <f t="shared" si="32"/>
        <v>3.0976097383155432E-2</v>
      </c>
      <c r="L51" s="5">
        <f t="shared" ref="L51" si="62">+F51/F48-1</f>
        <v>3.7690839978299362E-3</v>
      </c>
      <c r="M51" s="6">
        <f t="shared" si="42"/>
        <v>4.3639301566908983E-3</v>
      </c>
    </row>
    <row r="52" spans="1:13" x14ac:dyDescent="0.2">
      <c r="A52" s="1">
        <v>35521</v>
      </c>
      <c r="B52" s="2">
        <v>366.24700000000001</v>
      </c>
      <c r="C52" s="2">
        <v>360.41277926470798</v>
      </c>
      <c r="D52" s="2">
        <v>349.09568944745803</v>
      </c>
      <c r="E52" s="2">
        <f t="shared" si="1"/>
        <v>85.616337484249982</v>
      </c>
      <c r="F52" s="2">
        <f t="shared" si="2"/>
        <v>84.69876406596299</v>
      </c>
      <c r="G52" s="2">
        <f t="shared" si="3"/>
        <v>82.137758672367156</v>
      </c>
      <c r="H52" s="4" t="s">
        <v>3</v>
      </c>
      <c r="I52" s="5">
        <f t="shared" si="30"/>
        <v>8.9696518893186417E-2</v>
      </c>
      <c r="J52" s="5">
        <f t="shared" ref="J52" si="63">+AVERAGE(B49:B52)/AVERAGE(B37:B40)-1</f>
        <v>-2.9266378972137019E-4</v>
      </c>
      <c r="K52" s="5">
        <f t="shared" si="32"/>
        <v>3.410871756309497E-2</v>
      </c>
      <c r="L52" s="5">
        <f t="shared" ref="L52" si="64">+F52/F48-1</f>
        <v>3.8006360182478494E-2</v>
      </c>
      <c r="M52" s="6">
        <f t="shared" si="42"/>
        <v>5.3075039501433441E-3</v>
      </c>
    </row>
    <row r="53" spans="1:13" x14ac:dyDescent="0.2">
      <c r="A53" s="1">
        <v>35551</v>
      </c>
      <c r="B53" s="2">
        <v>353.63099999999997</v>
      </c>
      <c r="C53" s="2">
        <v>343.43524125655898</v>
      </c>
      <c r="D53" s="2">
        <v>350.919210850843</v>
      </c>
      <c r="E53" s="2">
        <f t="shared" si="1"/>
        <v>82.667137316873038</v>
      </c>
      <c r="F53" s="2">
        <f t="shared" si="2"/>
        <v>80.708959683591203</v>
      </c>
      <c r="G53" s="2">
        <f t="shared" si="3"/>
        <v>82.566809976902604</v>
      </c>
      <c r="H53" s="4" t="s">
        <v>2</v>
      </c>
      <c r="I53" s="5">
        <f t="shared" si="30"/>
        <v>2.3237847222222108E-2</v>
      </c>
      <c r="J53" s="5">
        <f t="shared" ref="J53" si="65">+AVERAGE(B49:B53)/AVERAGE(B37:B41)-1</f>
        <v>4.7268687118082742E-3</v>
      </c>
      <c r="K53" s="5">
        <f t="shared" si="32"/>
        <v>-4.7105815844780796E-2</v>
      </c>
      <c r="L53" s="5">
        <f t="shared" ref="L53" si="66">+F53/F48-1</f>
        <v>-1.0889776265988527E-2</v>
      </c>
      <c r="M53" s="6">
        <f t="shared" si="42"/>
        <v>5.2235574901289272E-3</v>
      </c>
    </row>
    <row r="54" spans="1:13" x14ac:dyDescent="0.2">
      <c r="A54" s="1">
        <v>35582</v>
      </c>
      <c r="B54" s="2">
        <v>357.74200000000002</v>
      </c>
      <c r="C54" s="2">
        <v>352.90537826262801</v>
      </c>
      <c r="D54" s="2">
        <v>351.88495158248799</v>
      </c>
      <c r="E54" s="2">
        <f t="shared" si="1"/>
        <v>83.628152051185552</v>
      </c>
      <c r="F54" s="2">
        <f t="shared" si="2"/>
        <v>82.934488150106162</v>
      </c>
      <c r="G54" s="2">
        <f t="shared" si="3"/>
        <v>82.794036441031921</v>
      </c>
      <c r="H54" s="4" t="s">
        <v>4</v>
      </c>
      <c r="I54" s="5">
        <f t="shared" si="30"/>
        <v>2.1828049128820304E-2</v>
      </c>
      <c r="J54" s="5">
        <f t="shared" ref="J54" si="67">+AVERAGE(B49:B54)/AVERAGE(B37:B42)-1</f>
        <v>7.7657090650697924E-3</v>
      </c>
      <c r="K54" s="5">
        <f t="shared" si="32"/>
        <v>2.7574738606963134E-2</v>
      </c>
      <c r="L54" s="5">
        <f t="shared" ref="L54" si="68">+F54/F48-1</f>
        <v>1.638467960695178E-2</v>
      </c>
      <c r="M54" s="6">
        <f t="shared" si="42"/>
        <v>2.7520315268674267E-3</v>
      </c>
    </row>
    <row r="55" spans="1:13" x14ac:dyDescent="0.2">
      <c r="A55" s="1">
        <v>35612</v>
      </c>
      <c r="B55" s="2">
        <v>380.35399999999998</v>
      </c>
      <c r="C55" s="2">
        <v>362.35224570226598</v>
      </c>
      <c r="D55" s="2">
        <v>351.50462230907499</v>
      </c>
      <c r="E55" s="2">
        <f t="shared" si="1"/>
        <v>88.914083739892519</v>
      </c>
      <c r="F55" s="2">
        <f t="shared" si="2"/>
        <v>85.154548154817206</v>
      </c>
      <c r="G55" s="2">
        <f t="shared" si="3"/>
        <v>82.704549818825043</v>
      </c>
      <c r="H55" s="4" t="s">
        <v>4</v>
      </c>
      <c r="I55" s="5">
        <f t="shared" si="30"/>
        <v>7.8406577828182611E-2</v>
      </c>
      <c r="J55" s="5">
        <f t="shared" ref="J55" si="69">+AVERAGE(B49:B55)/AVERAGE(B37:B43)-1</f>
        <v>1.8491540746480961E-2</v>
      </c>
      <c r="K55" s="5">
        <f t="shared" si="32"/>
        <v>2.6768839529013322E-2</v>
      </c>
      <c r="L55" s="5">
        <f t="shared" ref="L55" si="70">+F55/F48-1</f>
        <v>4.3592117995097768E-2</v>
      </c>
      <c r="M55" s="6">
        <f t="shared" si="42"/>
        <v>-1.0808341524768394E-3</v>
      </c>
    </row>
    <row r="56" spans="1:13" x14ac:dyDescent="0.2">
      <c r="A56" s="1">
        <v>35643</v>
      </c>
      <c r="B56" s="2">
        <v>358.87400000000002</v>
      </c>
      <c r="C56" s="2">
        <v>337.72809848090901</v>
      </c>
      <c r="D56" s="2">
        <v>350.51279116421102</v>
      </c>
      <c r="E56" s="2">
        <f t="shared" si="1"/>
        <v>83.892775908943221</v>
      </c>
      <c r="F56" s="2">
        <f t="shared" si="2"/>
        <v>79.367753246816903</v>
      </c>
      <c r="G56" s="2">
        <f t="shared" si="3"/>
        <v>82.471184613572817</v>
      </c>
      <c r="H56" s="4" t="s">
        <v>3</v>
      </c>
      <c r="I56" s="5">
        <f t="shared" si="30"/>
        <v>1.6640226628895194E-2</v>
      </c>
      <c r="J56" s="5">
        <f t="shared" ref="J56" si="71">+AVERAGE(B49:B56)/AVERAGE(B37:B44)-1</f>
        <v>1.8247318659142975E-2</v>
      </c>
      <c r="K56" s="5">
        <f t="shared" si="32"/>
        <v>-6.7956380879145573E-2</v>
      </c>
      <c r="L56" s="5">
        <f t="shared" ref="L56" si="72">+F56/F48-1</f>
        <v>-2.7326625457851361E-2</v>
      </c>
      <c r="M56" s="6">
        <f t="shared" si="42"/>
        <v>-2.8216731215325863E-3</v>
      </c>
    </row>
    <row r="57" spans="1:13" x14ac:dyDescent="0.2">
      <c r="A57" s="1">
        <v>35674</v>
      </c>
      <c r="B57" s="2">
        <v>359.42399999999998</v>
      </c>
      <c r="C57" s="2">
        <v>353.15628942256802</v>
      </c>
      <c r="D57" s="2">
        <v>350.61195952796498</v>
      </c>
      <c r="E57" s="2">
        <f t="shared" si="1"/>
        <v>84.021347571281296</v>
      </c>
      <c r="F57" s="2">
        <f t="shared" si="2"/>
        <v>82.993453498617484</v>
      </c>
      <c r="G57" s="2">
        <f t="shared" si="3"/>
        <v>82.494517663439026</v>
      </c>
      <c r="H57" s="4" t="s">
        <v>5</v>
      </c>
      <c r="I57" s="5">
        <f t="shared" si="30"/>
        <v>5.9935122382777761E-2</v>
      </c>
      <c r="J57" s="5">
        <f t="shared" ref="J57" si="73">+AVERAGE(B49:B57)/AVERAGE(B37:B45)-1</f>
        <v>2.2935986733001901E-2</v>
      </c>
      <c r="K57" s="5">
        <f t="shared" si="32"/>
        <v>4.5682284094970216E-2</v>
      </c>
      <c r="L57" s="5">
        <f t="shared" ref="L57" si="74">+F57/F48-1</f>
        <v>1.710731596959647E-2</v>
      </c>
      <c r="M57" s="6">
        <f t="shared" si="42"/>
        <v>2.8292366570870087E-4</v>
      </c>
    </row>
    <row r="58" spans="1:13" x14ac:dyDescent="0.2">
      <c r="A58" s="1">
        <v>35704</v>
      </c>
      <c r="B58" s="2">
        <v>384.24700000000001</v>
      </c>
      <c r="C58" s="2">
        <v>356.748994590596</v>
      </c>
      <c r="D58" s="2">
        <v>353.13831684161602</v>
      </c>
      <c r="E58" s="2">
        <f t="shared" si="1"/>
        <v>89.824137342587392</v>
      </c>
      <c r="F58" s="2">
        <f t="shared" si="2"/>
        <v>83.837756766681892</v>
      </c>
      <c r="G58" s="2">
        <f t="shared" si="3"/>
        <v>83.088937284252111</v>
      </c>
      <c r="H58" s="4" t="s">
        <v>6</v>
      </c>
      <c r="I58" s="5">
        <f t="shared" si="30"/>
        <v>2.9324939726761423E-2</v>
      </c>
      <c r="J58" s="5">
        <f t="shared" ref="J58" si="75">+AVERAGE(B49:B58)/AVERAGE(B37:B46)-1</f>
        <v>2.3639878405099957E-2</v>
      </c>
      <c r="K58" s="5">
        <f t="shared" si="32"/>
        <v>1.0173130921446338E-2</v>
      </c>
      <c r="L58" s="5">
        <f t="shared" ref="L58" si="76">+F58/F48-1</f>
        <v>2.7454481856115986E-2</v>
      </c>
      <c r="M58" s="6">
        <f t="shared" si="42"/>
        <v>7.2055651411673249E-3</v>
      </c>
    </row>
    <row r="59" spans="1:13" x14ac:dyDescent="0.2">
      <c r="A59" s="1">
        <v>35735</v>
      </c>
      <c r="B59" s="2">
        <v>364.88</v>
      </c>
      <c r="C59" s="2">
        <v>348.29253383857701</v>
      </c>
      <c r="D59" s="2">
        <v>357.44068976385</v>
      </c>
      <c r="E59" s="2">
        <f t="shared" si="1"/>
        <v>85.296778461675132</v>
      </c>
      <c r="F59" s="2">
        <f t="shared" si="2"/>
        <v>81.850447172583756</v>
      </c>
      <c r="G59" s="2">
        <f t="shared" si="3"/>
        <v>84.101230702610593</v>
      </c>
      <c r="H59" s="4" t="s">
        <v>7</v>
      </c>
      <c r="I59" s="5">
        <f t="shared" si="30"/>
        <v>1.8671059857222616E-3</v>
      </c>
      <c r="J59" s="5">
        <f t="shared" ref="J59" si="77">+AVERAGE(B49:B59)/AVERAGE(B37:B47)-1</f>
        <v>2.1526715522984796E-2</v>
      </c>
      <c r="K59" s="5">
        <f t="shared" si="32"/>
        <v>-2.3704231491173622E-2</v>
      </c>
      <c r="L59" s="5">
        <f t="shared" ref="L59" si="78">+F59/F48-1</f>
        <v>3.0994629715548339E-3</v>
      </c>
      <c r="M59" s="6">
        <f t="shared" si="42"/>
        <v>1.2183251482629665E-2</v>
      </c>
    </row>
    <row r="60" spans="1:13" x14ac:dyDescent="0.2">
      <c r="A60" s="1">
        <v>35765</v>
      </c>
      <c r="B60" s="2">
        <v>336.58699999999999</v>
      </c>
      <c r="C60" s="2">
        <v>358.34061852471802</v>
      </c>
      <c r="D60" s="2">
        <v>362.50128498834198</v>
      </c>
      <c r="E60" s="2">
        <f t="shared" si="1"/>
        <v>78.682818384345111</v>
      </c>
      <c r="F60" s="2">
        <f t="shared" si="2"/>
        <v>84.211796167706936</v>
      </c>
      <c r="G60" s="2">
        <f t="shared" si="3"/>
        <v>85.291924148140566</v>
      </c>
      <c r="H60" s="4" t="s">
        <v>8</v>
      </c>
      <c r="I60" s="5">
        <f t="shared" si="30"/>
        <v>4.3357098574085651E-2</v>
      </c>
      <c r="J60" s="5">
        <f t="shared" ref="J60" si="79">+AVERAGE(B49:B60)/AVERAGE(B37:B48)-1</f>
        <v>2.3254889450565752E-2</v>
      </c>
      <c r="K60" s="5">
        <f t="shared" si="32"/>
        <v>2.8849555215553213E-2</v>
      </c>
      <c r="L60" s="5">
        <f t="shared" ref="L60" si="80">+F60/F48-1</f>
        <v>3.2038436315244612E-2</v>
      </c>
      <c r="M60" s="6">
        <f t="shared" si="42"/>
        <v>1.4157859945479023E-2</v>
      </c>
    </row>
    <row r="61" spans="1:13" x14ac:dyDescent="0.2">
      <c r="A61" s="1">
        <v>35796</v>
      </c>
      <c r="B61" s="2">
        <v>328.44</v>
      </c>
      <c r="C61" s="2">
        <v>374.79416715668998</v>
      </c>
      <c r="D61" s="2">
        <v>367.74823547528501</v>
      </c>
      <c r="E61" s="2">
        <f t="shared" si="1"/>
        <v>76.778321415129852</v>
      </c>
      <c r="F61" s="2">
        <f t="shared" si="2"/>
        <v>88.078460486520399</v>
      </c>
      <c r="G61" s="2">
        <f t="shared" si="3"/>
        <v>86.526464607647597</v>
      </c>
      <c r="H61" s="4" t="s">
        <v>12</v>
      </c>
      <c r="I61" s="5">
        <f t="shared" si="30"/>
        <v>0.20605450819973115</v>
      </c>
      <c r="J61" s="5">
        <f t="shared" ref="J61" si="81">+AVERAGE(B61:B61)/AVERAGE(B49:B49)-1</f>
        <v>0.20605450819973115</v>
      </c>
      <c r="K61" s="5">
        <f t="shared" si="32"/>
        <v>4.5915946396785534E-2</v>
      </c>
      <c r="L61" s="5">
        <f t="shared" ref="L61" si="82">+F61/F60-1</f>
        <v>4.5915946396785534E-2</v>
      </c>
      <c r="M61" s="6">
        <f t="shared" si="42"/>
        <v>1.4474294862463211E-2</v>
      </c>
    </row>
    <row r="62" spans="1:13" x14ac:dyDescent="0.2">
      <c r="A62" s="1">
        <v>35827</v>
      </c>
      <c r="B62" s="2">
        <v>331</v>
      </c>
      <c r="C62" s="2">
        <v>387.49018753572602</v>
      </c>
      <c r="D62" s="2">
        <v>371.411335537139</v>
      </c>
      <c r="E62" s="2">
        <f t="shared" si="1"/>
        <v>77.376764061648956</v>
      </c>
      <c r="F62" s="2">
        <f t="shared" si="2"/>
        <v>91.062087307007928</v>
      </c>
      <c r="G62" s="2">
        <f t="shared" si="3"/>
        <v>87.388345283829878</v>
      </c>
      <c r="H62" s="4" t="s">
        <v>1</v>
      </c>
      <c r="I62" s="5">
        <f t="shared" si="30"/>
        <v>0.18151834030583847</v>
      </c>
      <c r="J62" s="5">
        <f t="shared" ref="J62" si="83">+AVERAGE(B61:B62)/AVERAGE(B49:B50)-1</f>
        <v>0.19361273109684807</v>
      </c>
      <c r="K62" s="5">
        <f t="shared" si="32"/>
        <v>3.3874647717578421E-2</v>
      </c>
      <c r="L62" s="5">
        <f t="shared" ref="L62" si="84">+F62/F60-1</f>
        <v>8.1345980623174219E-2</v>
      </c>
      <c r="M62" s="6">
        <f t="shared" si="42"/>
        <v>9.9608909261514889E-3</v>
      </c>
    </row>
    <row r="63" spans="1:13" x14ac:dyDescent="0.2">
      <c r="A63" s="1">
        <v>35855</v>
      </c>
      <c r="B63" s="2">
        <v>332.29</v>
      </c>
      <c r="C63" s="2">
        <v>329.41175911601903</v>
      </c>
      <c r="D63" s="2">
        <v>373.03405734415099</v>
      </c>
      <c r="E63" s="2">
        <f t="shared" si="1"/>
        <v>77.678323051496463</v>
      </c>
      <c r="F63" s="2">
        <f t="shared" si="2"/>
        <v>77.413372863312361</v>
      </c>
      <c r="G63" s="2">
        <f t="shared" si="3"/>
        <v>87.770151007033462</v>
      </c>
      <c r="H63" s="4" t="s">
        <v>2</v>
      </c>
      <c r="I63" s="5">
        <f t="shared" si="30"/>
        <v>-6.5041107916017138E-2</v>
      </c>
      <c r="J63" s="5">
        <f t="shared" ref="J63" si="85">+AVERAGE(B61:B63)/AVERAGE(B49:B51)-1</f>
        <v>9.235802088381706E-2</v>
      </c>
      <c r="K63" s="5">
        <f t="shared" si="32"/>
        <v>-0.14988361070266387</v>
      </c>
      <c r="L63" s="5">
        <f t="shared" ref="L63" si="86">+F63/F60-1</f>
        <v>-8.0730059371439844E-2</v>
      </c>
      <c r="M63" s="6">
        <f t="shared" si="42"/>
        <v>4.3690691471902632E-3</v>
      </c>
    </row>
    <row r="64" spans="1:13" x14ac:dyDescent="0.2">
      <c r="A64" s="1">
        <v>35886</v>
      </c>
      <c r="B64" s="2">
        <v>370.30599999999998</v>
      </c>
      <c r="C64" s="2">
        <v>362.57023213232702</v>
      </c>
      <c r="D64" s="2">
        <v>372.90835628870201</v>
      </c>
      <c r="E64" s="2">
        <f t="shared" si="1"/>
        <v>86.565196352305051</v>
      </c>
      <c r="F64" s="2">
        <f t="shared" si="2"/>
        <v>85.205776030940214</v>
      </c>
      <c r="G64" s="2">
        <f t="shared" si="3"/>
        <v>87.740575153565686</v>
      </c>
      <c r="H64" s="4" t="s">
        <v>3</v>
      </c>
      <c r="I64" s="5">
        <f t="shared" si="30"/>
        <v>1.1082684636324558E-2</v>
      </c>
      <c r="J64" s="5">
        <f t="shared" ref="J64" si="87">+AVERAGE(B61:B64)/AVERAGE(B49:B52)-1</f>
        <v>6.8995476903008779E-2</v>
      </c>
      <c r="K64" s="5">
        <f t="shared" si="32"/>
        <v>0.10065965193619442</v>
      </c>
      <c r="L64" s="5">
        <f t="shared" ref="L64" si="88">+F64/F60-1</f>
        <v>1.1803332887637019E-2</v>
      </c>
      <c r="M64" s="6">
        <f t="shared" si="42"/>
        <v>-3.3696938114424757E-4</v>
      </c>
    </row>
    <row r="65" spans="1:13" x14ac:dyDescent="0.2">
      <c r="A65" s="1">
        <v>35916</v>
      </c>
      <c r="B65" s="2">
        <v>388.08800000000002</v>
      </c>
      <c r="C65" s="2">
        <v>376.44249771690698</v>
      </c>
      <c r="D65" s="2">
        <v>370.76351105766798</v>
      </c>
      <c r="E65" s="2">
        <f t="shared" si="1"/>
        <v>90.722035079024835</v>
      </c>
      <c r="F65" s="2">
        <f t="shared" si="2"/>
        <v>88.465826221740357</v>
      </c>
      <c r="G65" s="2">
        <f t="shared" si="3"/>
        <v>87.235920454863745</v>
      </c>
      <c r="H65" s="4" t="s">
        <v>2</v>
      </c>
      <c r="I65" s="5">
        <f t="shared" si="30"/>
        <v>9.7437724633870015E-2</v>
      </c>
      <c r="J65" s="5">
        <f t="shared" ref="J65" si="89">+AVERAGE(B61:B65)/AVERAGE(B49:B53)-1</f>
        <v>7.5174565260929249E-2</v>
      </c>
      <c r="K65" s="5">
        <f t="shared" si="32"/>
        <v>3.8260906040176623E-2</v>
      </c>
      <c r="L65" s="5">
        <f t="shared" ref="L65" si="90">+F65/F60-1</f>
        <v>5.0515845138388471E-2</v>
      </c>
      <c r="M65" s="6">
        <f t="shared" si="42"/>
        <v>-5.7516684591898404E-3</v>
      </c>
    </row>
    <row r="66" spans="1:13" x14ac:dyDescent="0.2">
      <c r="A66" s="1">
        <v>35947</v>
      </c>
      <c r="B66" s="2">
        <v>373.03399999999999</v>
      </c>
      <c r="C66" s="2">
        <v>370.093851539502</v>
      </c>
      <c r="D66" s="2">
        <v>367.10233079870198</v>
      </c>
      <c r="E66" s="2">
        <f t="shared" ref="E66:E129" si="91">+B66/AVERAGE(B$133:B$144)*100</f>
        <v>87.202911797501969</v>
      </c>
      <c r="F66" s="2">
        <f t="shared" ref="F66:F129" si="92">+C66/AVERAGE(C$133:C$144)*100</f>
        <v>86.973863351235778</v>
      </c>
      <c r="G66" s="2">
        <f t="shared" ref="G66:G129" si="93">+D66/AVERAGE(D$133:D$144)*100</f>
        <v>86.374491483790067</v>
      </c>
      <c r="H66" s="4" t="s">
        <v>4</v>
      </c>
      <c r="I66" s="5">
        <f t="shared" si="30"/>
        <v>4.274588949578173E-2</v>
      </c>
      <c r="J66" s="5">
        <f t="shared" ref="J66" si="94">+AVERAGE(B61:B66)/AVERAGE(B49:B54)-1</f>
        <v>6.9331654495089268E-2</v>
      </c>
      <c r="K66" s="5">
        <f t="shared" si="32"/>
        <v>-1.6864849786910496E-2</v>
      </c>
      <c r="L66" s="5">
        <f t="shared" ref="L66" si="95">+F66/F60-1</f>
        <v>3.279905321136023E-2</v>
      </c>
      <c r="M66" s="6">
        <f t="shared" si="42"/>
        <v>-9.8747048988768737E-3</v>
      </c>
    </row>
    <row r="67" spans="1:13" x14ac:dyDescent="0.2">
      <c r="A67" s="1">
        <v>35977</v>
      </c>
      <c r="B67" s="2">
        <v>357.16800000000001</v>
      </c>
      <c r="C67" s="2">
        <v>339.25243145038002</v>
      </c>
      <c r="D67" s="2">
        <v>362.25337865020202</v>
      </c>
      <c r="E67" s="2">
        <f t="shared" si="91"/>
        <v>83.493969989036344</v>
      </c>
      <c r="F67" s="2">
        <f t="shared" si="92"/>
        <v>79.725978942372393</v>
      </c>
      <c r="G67" s="2">
        <f t="shared" si="93"/>
        <v>85.233594951902944</v>
      </c>
      <c r="H67" s="4" t="s">
        <v>4</v>
      </c>
      <c r="I67" s="5">
        <f t="shared" si="30"/>
        <v>-6.0959001351372666E-2</v>
      </c>
      <c r="J67" s="5">
        <f t="shared" ref="J67" si="96">+AVERAGE(B61:B67)/AVERAGE(B49:B55)-1</f>
        <v>4.8385065181536957E-2</v>
      </c>
      <c r="K67" s="5">
        <f t="shared" si="32"/>
        <v>-8.3334051513768936E-2</v>
      </c>
      <c r="L67" s="5">
        <f t="shared" ref="L67" si="97">+F67/F60-1</f>
        <v>-5.326827629232711E-2</v>
      </c>
      <c r="M67" s="6">
        <f t="shared" si="42"/>
        <v>-1.3208720680008113E-2</v>
      </c>
    </row>
    <row r="68" spans="1:13" x14ac:dyDescent="0.2">
      <c r="A68" s="1">
        <v>36008</v>
      </c>
      <c r="B68" s="2">
        <v>387.41</v>
      </c>
      <c r="C68" s="2">
        <v>365.61808417945798</v>
      </c>
      <c r="D68" s="2">
        <v>355.78997496026398</v>
      </c>
      <c r="E68" s="2">
        <f t="shared" si="91"/>
        <v>90.563541284360781</v>
      </c>
      <c r="F68" s="2">
        <f t="shared" si="92"/>
        <v>85.92203615349905</v>
      </c>
      <c r="G68" s="2">
        <f t="shared" si="93"/>
        <v>83.712838584711761</v>
      </c>
      <c r="H68" s="4" t="s">
        <v>3</v>
      </c>
      <c r="I68" s="5">
        <f t="shared" si="30"/>
        <v>7.9515373083589136E-2</v>
      </c>
      <c r="J68" s="5">
        <f t="shared" ref="J68" si="98">+AVERAGE(B61:B68)/AVERAGE(B49:B56)-1</f>
        <v>5.2485238893570152E-2</v>
      </c>
      <c r="K68" s="5">
        <f t="shared" si="32"/>
        <v>7.7716916033170325E-2</v>
      </c>
      <c r="L68" s="5">
        <f t="shared" ref="L68" si="99">+F68/F60-1</f>
        <v>2.0308793585000817E-2</v>
      </c>
      <c r="M68" s="6">
        <f t="shared" si="42"/>
        <v>-1.7842217825604356E-2</v>
      </c>
    </row>
    <row r="69" spans="1:13" x14ac:dyDescent="0.2">
      <c r="A69" s="1">
        <v>36039</v>
      </c>
      <c r="B69" s="2">
        <v>351.71699999999998</v>
      </c>
      <c r="C69" s="2">
        <v>342.02195679564602</v>
      </c>
      <c r="D69" s="2">
        <v>347.332605313074</v>
      </c>
      <c r="E69" s="2">
        <f t="shared" si="91"/>
        <v>82.219707931936497</v>
      </c>
      <c r="F69" s="2">
        <f t="shared" si="92"/>
        <v>80.376830930118118</v>
      </c>
      <c r="G69" s="2">
        <f t="shared" si="93"/>
        <v>81.722927485599058</v>
      </c>
      <c r="H69" s="4" t="s">
        <v>5</v>
      </c>
      <c r="I69" s="5">
        <f t="shared" si="30"/>
        <v>-2.1442641559829112E-2</v>
      </c>
      <c r="J69" s="5">
        <f t="shared" ref="J69" si="100">+AVERAGE(B61:B69)/AVERAGE(B49:B57)-1</f>
        <v>4.3869757391983066E-2</v>
      </c>
      <c r="K69" s="5">
        <f t="shared" si="32"/>
        <v>-6.4537637509828882E-2</v>
      </c>
      <c r="L69" s="5">
        <f t="shared" ref="L69" si="101">+F69/F60-1</f>
        <v>-4.5539525483478838E-2</v>
      </c>
      <c r="M69" s="6">
        <f t="shared" si="42"/>
        <v>-2.3770680014619794E-2</v>
      </c>
    </row>
    <row r="70" spans="1:13" x14ac:dyDescent="0.2">
      <c r="A70" s="1">
        <v>36069</v>
      </c>
      <c r="B70" s="2">
        <v>362.12599999999998</v>
      </c>
      <c r="C70" s="2">
        <v>336.22012860088398</v>
      </c>
      <c r="D70" s="2">
        <v>336.75739188138601</v>
      </c>
      <c r="E70" s="2">
        <f t="shared" si="91"/>
        <v>84.652985083349492</v>
      </c>
      <c r="F70" s="2">
        <f t="shared" si="92"/>
        <v>79.013372957229521</v>
      </c>
      <c r="G70" s="2">
        <f t="shared" si="93"/>
        <v>79.234714783415299</v>
      </c>
      <c r="H70" s="4" t="s">
        <v>6</v>
      </c>
      <c r="I70" s="5">
        <f t="shared" si="30"/>
        <v>-5.7569740297257033E-2</v>
      </c>
      <c r="J70" s="5">
        <f t="shared" ref="J70" si="102">+AVERAGE(B61:B70)/AVERAGE(B49:B58)-1</f>
        <v>3.2631770450862074E-2</v>
      </c>
      <c r="K70" s="5">
        <f t="shared" si="32"/>
        <v>-1.6963320861381415E-2</v>
      </c>
      <c r="L70" s="5">
        <f t="shared" ref="L70" si="103">+F70/F60-1</f>
        <v>-6.1730344762208955E-2</v>
      </c>
      <c r="M70" s="6">
        <f t="shared" si="42"/>
        <v>-3.0446935501940109E-2</v>
      </c>
    </row>
    <row r="71" spans="1:13" x14ac:dyDescent="0.2">
      <c r="A71" s="1">
        <v>36100</v>
      </c>
      <c r="B71" s="2">
        <v>343.08699999999999</v>
      </c>
      <c r="C71" s="2">
        <v>329.17396858548</v>
      </c>
      <c r="D71" s="2">
        <v>324.55572148390303</v>
      </c>
      <c r="E71" s="2">
        <f t="shared" si="91"/>
        <v>80.202301666522516</v>
      </c>
      <c r="F71" s="2">
        <f t="shared" si="92"/>
        <v>77.357490926816268</v>
      </c>
      <c r="G71" s="2">
        <f t="shared" si="93"/>
        <v>76.363817522854688</v>
      </c>
      <c r="H71" s="4" t="s">
        <v>7</v>
      </c>
      <c r="I71" s="5">
        <f t="shared" si="30"/>
        <v>-5.9726485419864028E-2</v>
      </c>
      <c r="J71" s="5">
        <f t="shared" ref="J71" si="104">+AVERAGE(B61:B71)/AVERAGE(B49:B59)-1</f>
        <v>2.3840424868630805E-2</v>
      </c>
      <c r="K71" s="5">
        <f t="shared" si="32"/>
        <v>-2.0956984475394957E-2</v>
      </c>
      <c r="L71" s="5">
        <f t="shared" ref="L71" si="105">+F71/F60-1</f>
        <v>-8.139364736076149E-2</v>
      </c>
      <c r="M71" s="6">
        <f t="shared" si="42"/>
        <v>-3.6232821288094352E-2</v>
      </c>
    </row>
    <row r="72" spans="1:13" x14ac:dyDescent="0.2">
      <c r="A72" s="1">
        <v>36130</v>
      </c>
      <c r="B72" s="2">
        <v>290.72399999999999</v>
      </c>
      <c r="C72" s="2">
        <v>310.77759754545599</v>
      </c>
      <c r="D72" s="2">
        <v>311.90957715160698</v>
      </c>
      <c r="E72" s="2">
        <f t="shared" si="91"/>
        <v>67.961578111960208</v>
      </c>
      <c r="F72" s="2">
        <f t="shared" si="92"/>
        <v>73.034253849685584</v>
      </c>
      <c r="G72" s="2">
        <f t="shared" si="93"/>
        <v>73.388341220222216</v>
      </c>
      <c r="H72" s="4" t="s">
        <v>8</v>
      </c>
      <c r="I72" s="5">
        <f t="shared" si="30"/>
        <v>-0.13625897613395632</v>
      </c>
      <c r="J72" s="5">
        <f t="shared" ref="J72" si="106">+AVERAGE(B61:B72)/AVERAGE(B49:B60)-1</f>
        <v>1.0917377201089762E-2</v>
      </c>
      <c r="K72" s="5">
        <f t="shared" si="32"/>
        <v>-5.5886469756635027E-2</v>
      </c>
      <c r="L72" s="5">
        <f t="shared" ref="L72" si="107">+F72/F60-1</f>
        <v>-0.13273131350578715</v>
      </c>
      <c r="M72" s="6">
        <f t="shared" si="42"/>
        <v>-3.8964478193379337E-2</v>
      </c>
    </row>
    <row r="73" spans="1:13" x14ac:dyDescent="0.2">
      <c r="A73" s="1">
        <v>36161</v>
      </c>
      <c r="B73" s="2">
        <v>253.66399999999999</v>
      </c>
      <c r="C73" s="2">
        <v>302.74102660297899</v>
      </c>
      <c r="D73" s="2">
        <v>300.13626211943102</v>
      </c>
      <c r="E73" s="2">
        <f t="shared" si="91"/>
        <v>59.298185736961088</v>
      </c>
      <c r="F73" s="2">
        <f t="shared" si="92"/>
        <v>71.145620412367037</v>
      </c>
      <c r="G73" s="2">
        <f t="shared" si="93"/>
        <v>70.618230508121414</v>
      </c>
      <c r="H73" s="4" t="s">
        <v>13</v>
      </c>
      <c r="I73" s="5">
        <f t="shared" si="30"/>
        <v>-0.22767019851418824</v>
      </c>
      <c r="J73" s="5">
        <f t="shared" ref="J73" si="108">+AVERAGE(B73:B73)/AVERAGE(B61:B61)-1</f>
        <v>-0.22767019851418835</v>
      </c>
      <c r="K73" s="5">
        <f t="shared" si="32"/>
        <v>-2.5859556821181573E-2</v>
      </c>
      <c r="L73" s="5">
        <f t="shared" ref="L73" si="109">+F73/F72-1</f>
        <v>-2.5859556821181573E-2</v>
      </c>
      <c r="M73" s="6">
        <f t="shared" si="42"/>
        <v>-3.7745923481065091E-2</v>
      </c>
    </row>
    <row r="74" spans="1:13" x14ac:dyDescent="0.2">
      <c r="A74" s="1">
        <v>36192</v>
      </c>
      <c r="B74" s="2">
        <v>239.91499999999999</v>
      </c>
      <c r="C74" s="2">
        <v>293.36119597283403</v>
      </c>
      <c r="D74" s="2">
        <v>291.84071702103</v>
      </c>
      <c r="E74" s="2">
        <f t="shared" si="91"/>
        <v>56.084127945167694</v>
      </c>
      <c r="F74" s="2">
        <f t="shared" si="92"/>
        <v>68.94131438542162</v>
      </c>
      <c r="G74" s="2">
        <f t="shared" si="93"/>
        <v>68.666394659255232</v>
      </c>
      <c r="H74" s="4" t="s">
        <v>1</v>
      </c>
      <c r="I74" s="5">
        <f t="shared" si="30"/>
        <v>-0.27518126888217531</v>
      </c>
      <c r="J74" s="5">
        <f t="shared" ref="J74" si="110">+AVERAGE(B73:B74)/AVERAGE(B61:B62)-1</f>
        <v>-0.2515179546281695</v>
      </c>
      <c r="K74" s="5">
        <f t="shared" si="32"/>
        <v>-3.0983017846622718E-2</v>
      </c>
      <c r="L74" s="5">
        <f t="shared" ref="L74" si="111">+F74/F72-1</f>
        <v>-5.6041367557307931E-2</v>
      </c>
      <c r="M74" s="6">
        <f t="shared" si="42"/>
        <v>-2.7639263046129625E-2</v>
      </c>
    </row>
    <row r="75" spans="1:13" x14ac:dyDescent="0.2">
      <c r="A75" s="1">
        <v>36220</v>
      </c>
      <c r="B75" s="2">
        <v>279.26600000000002</v>
      </c>
      <c r="C75" s="2">
        <v>278.48497181955202</v>
      </c>
      <c r="D75" s="2">
        <v>288.97702209863701</v>
      </c>
      <c r="E75" s="2">
        <f t="shared" si="91"/>
        <v>65.283079735469656</v>
      </c>
      <c r="F75" s="2">
        <f t="shared" si="92"/>
        <v>65.445329025741046</v>
      </c>
      <c r="G75" s="2">
        <f t="shared" si="93"/>
        <v>67.992603806039327</v>
      </c>
      <c r="H75" s="4" t="s">
        <v>2</v>
      </c>
      <c r="I75" s="5">
        <f t="shared" si="30"/>
        <v>-0.15957145866562339</v>
      </c>
      <c r="J75" s="5">
        <f t="shared" ref="J75" si="112">+AVERAGE(B73:B75)/AVERAGE(B61:B63)-1</f>
        <v>-0.2207102739656962</v>
      </c>
      <c r="K75" s="5">
        <f t="shared" si="32"/>
        <v>-5.0709583808280834E-2</v>
      </c>
      <c r="L75" s="5">
        <f t="shared" ref="L75" si="113">+F75/F72-1</f>
        <v>-0.10390911694071081</v>
      </c>
      <c r="M75" s="6">
        <f t="shared" si="42"/>
        <v>-9.8125270237279238E-3</v>
      </c>
    </row>
    <row r="76" spans="1:13" x14ac:dyDescent="0.2">
      <c r="A76" s="1">
        <v>36251</v>
      </c>
      <c r="B76" s="2">
        <v>298.12299999999999</v>
      </c>
      <c r="C76" s="2">
        <v>288.16515807796901</v>
      </c>
      <c r="D76" s="2">
        <v>291.82351237122799</v>
      </c>
      <c r="E76" s="2">
        <f t="shared" si="91"/>
        <v>69.691217620395676</v>
      </c>
      <c r="F76" s="2">
        <f t="shared" si="92"/>
        <v>67.720220092836243</v>
      </c>
      <c r="G76" s="2">
        <f t="shared" si="93"/>
        <v>68.662346624815981</v>
      </c>
      <c r="H76" s="4" t="s">
        <v>3</v>
      </c>
      <c r="I76" s="5">
        <f t="shared" si="30"/>
        <v>-0.19492797848266019</v>
      </c>
      <c r="J76" s="5">
        <f t="shared" ref="J76" si="114">+AVERAGE(B73:B76)/AVERAGE(B61:B64)-1</f>
        <v>-0.21370066576801194</v>
      </c>
      <c r="K76" s="5">
        <f t="shared" si="32"/>
        <v>3.4760174652043396E-2</v>
      </c>
      <c r="L76" s="5">
        <f t="shared" ref="L76" si="115">+F76/F72-1</f>
        <v>-7.2760841341466209E-2</v>
      </c>
      <c r="M76" s="6">
        <f t="shared" si="42"/>
        <v>9.8502304851746381E-3</v>
      </c>
    </row>
    <row r="77" spans="1:13" x14ac:dyDescent="0.2">
      <c r="A77" s="1">
        <v>36281</v>
      </c>
      <c r="B77" s="2">
        <v>316.13200000000001</v>
      </c>
      <c r="C77" s="2">
        <v>302.03890083028398</v>
      </c>
      <c r="D77" s="2">
        <v>299.51686650745501</v>
      </c>
      <c r="E77" s="2">
        <f t="shared" si="91"/>
        <v>73.901121378662253</v>
      </c>
      <c r="F77" s="2">
        <f t="shared" si="92"/>
        <v>70.980617425271376</v>
      </c>
      <c r="G77" s="2">
        <f t="shared" si="93"/>
        <v>70.472494628713292</v>
      </c>
      <c r="H77" s="4" t="s">
        <v>2</v>
      </c>
      <c r="I77" s="5">
        <f t="shared" si="30"/>
        <v>-0.18541155614190608</v>
      </c>
      <c r="J77" s="5">
        <f t="shared" ref="J77" si="116">+AVERAGE(B73:B77)/AVERAGE(B61:B65)-1</f>
        <v>-0.20742758798805117</v>
      </c>
      <c r="K77" s="5">
        <f t="shared" si="32"/>
        <v>4.8145108329026742E-2</v>
      </c>
      <c r="L77" s="5">
        <f t="shared" ref="L77" si="117">+F77/F72-1</f>
        <v>-2.8118811600935545E-2</v>
      </c>
      <c r="M77" s="6">
        <f t="shared" si="42"/>
        <v>2.6363037281383672E-2</v>
      </c>
    </row>
    <row r="78" spans="1:13" x14ac:dyDescent="0.2">
      <c r="A78" s="1">
        <v>36312</v>
      </c>
      <c r="B78" s="2">
        <v>310.63499999999999</v>
      </c>
      <c r="C78" s="2">
        <v>310.049272892977</v>
      </c>
      <c r="D78" s="2">
        <v>309.66779451840898</v>
      </c>
      <c r="E78" s="2">
        <f t="shared" si="91"/>
        <v>72.616106055257774</v>
      </c>
      <c r="F78" s="2">
        <f t="shared" si="92"/>
        <v>72.863093997835733</v>
      </c>
      <c r="G78" s="2">
        <f t="shared" si="93"/>
        <v>72.860878388432553</v>
      </c>
      <c r="H78" s="4" t="s">
        <v>4</v>
      </c>
      <c r="I78" s="5">
        <f t="shared" si="30"/>
        <v>-0.16727429671290006</v>
      </c>
      <c r="J78" s="5">
        <f t="shared" ref="J78" si="118">+AVERAGE(B73:B78)/AVERAGE(B61:B66)-1</f>
        <v>-0.2003727466349654</v>
      </c>
      <c r="K78" s="5">
        <f t="shared" si="32"/>
        <v>2.6520994615836235E-2</v>
      </c>
      <c r="L78" s="5">
        <f t="shared" ref="L78" si="119">+F78/F72-1</f>
        <v>-2.343555836171296E-3</v>
      </c>
      <c r="M78" s="6">
        <f t="shared" si="42"/>
        <v>3.3891006303984783E-2</v>
      </c>
    </row>
    <row r="79" spans="1:13" x14ac:dyDescent="0.2">
      <c r="A79" s="1">
        <v>36342</v>
      </c>
      <c r="B79" s="2">
        <v>346.93</v>
      </c>
      <c r="C79" s="2">
        <v>331.23117052134597</v>
      </c>
      <c r="D79" s="2">
        <v>320.13679159476402</v>
      </c>
      <c r="E79" s="2">
        <f t="shared" si="91"/>
        <v>81.100666936277548</v>
      </c>
      <c r="F79" s="2">
        <f t="shared" si="92"/>
        <v>77.840943433016065</v>
      </c>
      <c r="G79" s="2">
        <f t="shared" si="93"/>
        <v>75.32409973831632</v>
      </c>
      <c r="H79" s="4" t="s">
        <v>4</v>
      </c>
      <c r="I79" s="5">
        <f t="shared" si="30"/>
        <v>-2.8664382027505209E-2</v>
      </c>
      <c r="J79" s="5">
        <f t="shared" ref="J79" si="120">+AVERAGE(B73:B79)/AVERAGE(B61:B67)-1</f>
        <v>-0.17564666902657144</v>
      </c>
      <c r="K79" s="5">
        <f t="shared" si="32"/>
        <v>6.831784325996626E-2</v>
      </c>
      <c r="L79" s="5">
        <f t="shared" ref="L79" si="121">+F79/F72-1</f>
        <v>6.5814180743508421E-2</v>
      </c>
      <c r="M79" s="6">
        <f t="shared" si="42"/>
        <v>3.3807187126566829E-2</v>
      </c>
    </row>
    <row r="80" spans="1:13" x14ac:dyDescent="0.2">
      <c r="A80" s="1">
        <v>36373</v>
      </c>
      <c r="B80" s="2">
        <v>350.23200000000003</v>
      </c>
      <c r="C80" s="2">
        <v>327.56365801827201</v>
      </c>
      <c r="D80" s="2">
        <v>329.64874236614003</v>
      </c>
      <c r="E80" s="2">
        <f t="shared" si="91"/>
        <v>81.872564443623673</v>
      </c>
      <c r="F80" s="2">
        <f t="shared" si="92"/>
        <v>76.979060075715125</v>
      </c>
      <c r="G80" s="2">
        <f t="shared" si="93"/>
        <v>77.562140311659775</v>
      </c>
      <c r="H80" s="4" t="s">
        <v>3</v>
      </c>
      <c r="I80" s="5">
        <f t="shared" si="30"/>
        <v>-9.596551457112612E-2</v>
      </c>
      <c r="J80" s="5">
        <f t="shared" ref="J80" si="122">+AVERAGE(B73:B80)/AVERAGE(B61:B68)-1</f>
        <v>-0.16488233226489446</v>
      </c>
      <c r="K80" s="5">
        <f t="shared" si="32"/>
        <v>-1.1072365252646432E-2</v>
      </c>
      <c r="L80" s="5">
        <f t="shared" ref="L80" si="123">+F80/F72-1</f>
        <v>5.4013096842866259E-2</v>
      </c>
      <c r="M80" s="6">
        <f t="shared" si="42"/>
        <v>2.9712144998992773E-2</v>
      </c>
    </row>
    <row r="81" spans="1:13" x14ac:dyDescent="0.2">
      <c r="A81" s="1">
        <v>36404</v>
      </c>
      <c r="B81" s="2">
        <v>347.84899999999999</v>
      </c>
      <c r="C81" s="2">
        <v>335.38556365510402</v>
      </c>
      <c r="D81" s="2">
        <v>337.27181018188202</v>
      </c>
      <c r="E81" s="2">
        <f t="shared" si="91"/>
        <v>81.315498495711552</v>
      </c>
      <c r="F81" s="2">
        <f t="shared" si="92"/>
        <v>78.817246117375078</v>
      </c>
      <c r="G81" s="2">
        <f t="shared" si="93"/>
        <v>79.35575084172261</v>
      </c>
      <c r="H81" s="4" t="s">
        <v>5</v>
      </c>
      <c r="I81" s="5">
        <f t="shared" si="30"/>
        <v>-1.0997478086074874E-2</v>
      </c>
      <c r="J81" s="5">
        <f t="shared" ref="J81" si="124">+AVERAGE(B73:B81)/AVERAGE(B61:B69)-1</f>
        <v>-0.14807080581701282</v>
      </c>
      <c r="K81" s="5">
        <f t="shared" si="32"/>
        <v>2.3879039830467574E-2</v>
      </c>
      <c r="L81" s="5">
        <f t="shared" ref="L81" si="125">+F81/F72-1</f>
        <v>7.9181917564211446E-2</v>
      </c>
      <c r="M81" s="6">
        <f t="shared" si="42"/>
        <v>2.3124819955403053E-2</v>
      </c>
    </row>
    <row r="82" spans="1:13" x14ac:dyDescent="0.2">
      <c r="A82" s="1">
        <v>36434</v>
      </c>
      <c r="B82" s="2">
        <v>361.89400000000001</v>
      </c>
      <c r="C82" s="2">
        <v>337.20122999818301</v>
      </c>
      <c r="D82" s="2">
        <v>343.01408031779403</v>
      </c>
      <c r="E82" s="2">
        <f t="shared" si="91"/>
        <v>84.59875121850871</v>
      </c>
      <c r="F82" s="2">
        <f t="shared" si="92"/>
        <v>79.243936579152546</v>
      </c>
      <c r="G82" s="2">
        <f t="shared" si="93"/>
        <v>80.706833690673307</v>
      </c>
      <c r="H82" s="4" t="s">
        <v>6</v>
      </c>
      <c r="I82" s="5">
        <f t="shared" si="30"/>
        <v>-6.4066098540271899E-4</v>
      </c>
      <c r="J82" s="5">
        <f t="shared" ref="J82" si="126">+AVERAGE(B73:B82)/AVERAGE(B61:B70)-1</f>
        <v>-0.13316445065151417</v>
      </c>
      <c r="K82" s="5">
        <f t="shared" si="32"/>
        <v>5.4136687437928988E-3</v>
      </c>
      <c r="L82" s="5">
        <f t="shared" ref="L82" si="127">+F82/F72-1</f>
        <v>8.5024250980195282E-2</v>
      </c>
      <c r="M82" s="6">
        <f t="shared" si="42"/>
        <v>1.7025645080789076E-2</v>
      </c>
    </row>
    <row r="83" spans="1:13" x14ac:dyDescent="0.2">
      <c r="A83" s="1">
        <v>36465</v>
      </c>
      <c r="B83" s="2">
        <v>361.44200000000001</v>
      </c>
      <c r="C83" s="2">
        <v>351.21088354992901</v>
      </c>
      <c r="D83" s="2">
        <v>348.09478409624802</v>
      </c>
      <c r="E83" s="2">
        <f t="shared" si="91"/>
        <v>84.493088688732684</v>
      </c>
      <c r="F83" s="2">
        <f t="shared" si="92"/>
        <v>82.536273613499787</v>
      </c>
      <c r="G83" s="2">
        <f t="shared" si="93"/>
        <v>81.902258422216008</v>
      </c>
      <c r="H83" s="4" t="s">
        <v>7</v>
      </c>
      <c r="I83" s="5">
        <f t="shared" si="30"/>
        <v>5.3499549676904179E-2</v>
      </c>
      <c r="J83" s="5">
        <f t="shared" ref="J83" si="128">+AVERAGE(B73:B83)/AVERAGE(B61:B71)-1</f>
        <v>-0.11684663102541715</v>
      </c>
      <c r="K83" s="5">
        <f t="shared" si="32"/>
        <v>4.1546863728289196E-2</v>
      </c>
      <c r="L83" s="5">
        <f t="shared" ref="L83" si="129">+F83/F72-1</f>
        <v>0.13010360567755863</v>
      </c>
      <c r="M83" s="6">
        <f t="shared" si="42"/>
        <v>1.4811939421690568E-2</v>
      </c>
    </row>
    <row r="84" spans="1:13" x14ac:dyDescent="0.2">
      <c r="A84" s="1">
        <v>36495</v>
      </c>
      <c r="B84" s="2">
        <v>338.62299999999999</v>
      </c>
      <c r="C84" s="2">
        <v>357.82206843894301</v>
      </c>
      <c r="D84" s="2">
        <v>352.68850423974402</v>
      </c>
      <c r="E84" s="2">
        <f t="shared" si="91"/>
        <v>79.158767301654834</v>
      </c>
      <c r="F84" s="2">
        <f t="shared" si="92"/>
        <v>84.089934363968879</v>
      </c>
      <c r="G84" s="2">
        <f t="shared" si="93"/>
        <v>82.983102121982327</v>
      </c>
      <c r="H84" s="4" t="s">
        <v>8</v>
      </c>
      <c r="I84" s="5">
        <f t="shared" si="30"/>
        <v>0.16475763954816247</v>
      </c>
      <c r="J84" s="5">
        <f t="shared" ref="J84" si="130">+AVERAGE(B73:B84)/AVERAGE(B61:B72)-1</f>
        <v>-9.7425149274444234E-2</v>
      </c>
      <c r="K84" s="5">
        <f t="shared" si="32"/>
        <v>1.8823974992432602E-2</v>
      </c>
      <c r="L84" s="5">
        <f t="shared" ref="L84" si="131">+F84/F72-1</f>
        <v>0.15137664768969072</v>
      </c>
      <c r="M84" s="6">
        <f t="shared" si="42"/>
        <v>1.3196750866068196E-2</v>
      </c>
    </row>
    <row r="85" spans="1:13" x14ac:dyDescent="0.2">
      <c r="A85" s="1">
        <v>36526</v>
      </c>
      <c r="B85" s="2">
        <v>302.15499999999997</v>
      </c>
      <c r="C85" s="2">
        <v>353.962899138311</v>
      </c>
      <c r="D85" s="2">
        <v>355.83054018397797</v>
      </c>
      <c r="E85" s="2">
        <f t="shared" si="91"/>
        <v>70.633764788663242</v>
      </c>
      <c r="F85" s="2">
        <f t="shared" si="92"/>
        <v>83.183010722826936</v>
      </c>
      <c r="G85" s="2">
        <f t="shared" si="93"/>
        <v>83.722383063938025</v>
      </c>
      <c r="H85" s="4" t="s">
        <v>14</v>
      </c>
      <c r="I85" s="5">
        <f t="shared" si="30"/>
        <v>0.19116232496530805</v>
      </c>
      <c r="J85" s="5">
        <f t="shared" ref="J85" si="132">+AVERAGE(B85:B85)/AVERAGE(B73:B73)-1</f>
        <v>0.19116232496530849</v>
      </c>
      <c r="K85" s="5">
        <f t="shared" si="32"/>
        <v>-1.0785162909230928E-2</v>
      </c>
      <c r="L85" s="5">
        <f t="shared" ref="L85" si="133">+F85/F84-1</f>
        <v>-1.0785162909230928E-2</v>
      </c>
      <c r="M85" s="6">
        <f t="shared" si="42"/>
        <v>8.9088130360441831E-3</v>
      </c>
    </row>
    <row r="86" spans="1:13" x14ac:dyDescent="0.2">
      <c r="A86" s="1">
        <v>36557</v>
      </c>
      <c r="B86" s="2">
        <v>324.71100000000001</v>
      </c>
      <c r="C86" s="2">
        <v>339.52933599847</v>
      </c>
      <c r="D86" s="2">
        <v>356.483515788452</v>
      </c>
      <c r="E86" s="2">
        <f t="shared" si="91"/>
        <v>75.906605544477628</v>
      </c>
      <c r="F86" s="2">
        <f t="shared" si="92"/>
        <v>79.79105286409991</v>
      </c>
      <c r="G86" s="2">
        <f t="shared" si="93"/>
        <v>83.876019886850742</v>
      </c>
      <c r="H86" s="4" t="s">
        <v>1</v>
      </c>
      <c r="I86" s="5">
        <f t="shared" si="30"/>
        <v>0.35344184398641199</v>
      </c>
      <c r="J86" s="5">
        <f t="shared" ref="J86" si="134">+AVERAGE(B85:B86)/AVERAGE(B73:B74)-1</f>
        <v>0.27004187779463895</v>
      </c>
      <c r="K86" s="5">
        <f t="shared" si="32"/>
        <v>-4.0777050857528141E-2</v>
      </c>
      <c r="L86" s="5">
        <f t="shared" ref="L86" si="135">+F86/F84-1</f>
        <v>-5.1122426630302753E-2</v>
      </c>
      <c r="M86" s="6">
        <f t="shared" si="42"/>
        <v>1.8350746513675631E-3</v>
      </c>
    </row>
    <row r="87" spans="1:13" x14ac:dyDescent="0.2">
      <c r="A87" s="1">
        <v>36586</v>
      </c>
      <c r="B87" s="2">
        <v>388.01499999999999</v>
      </c>
      <c r="C87" s="2">
        <v>386.36254055998899</v>
      </c>
      <c r="D87" s="2">
        <v>354.51684262346402</v>
      </c>
      <c r="E87" s="2">
        <f t="shared" si="91"/>
        <v>90.704970112932671</v>
      </c>
      <c r="F87" s="2">
        <f t="shared" si="92"/>
        <v>90.797084758145758</v>
      </c>
      <c r="G87" s="2">
        <f t="shared" si="93"/>
        <v>83.413286800490141</v>
      </c>
      <c r="H87" s="4" t="s">
        <v>2</v>
      </c>
      <c r="I87" s="5">
        <f t="shared" si="30"/>
        <v>0.3894100964671674</v>
      </c>
      <c r="J87" s="5">
        <f t="shared" ref="J87" si="136">+AVERAGE(B85:B87)/AVERAGE(B73:B75)-1</f>
        <v>0.31317534563851734</v>
      </c>
      <c r="K87" s="5">
        <f t="shared" si="32"/>
        <v>0.13793566445089178</v>
      </c>
      <c r="L87" s="5">
        <f t="shared" ref="L87" si="137">+F87/F84-1</f>
        <v>7.9761631934996302E-2</v>
      </c>
      <c r="M87" s="6">
        <f t="shared" si="42"/>
        <v>-5.5168698632198643E-3</v>
      </c>
    </row>
    <row r="88" spans="1:13" x14ac:dyDescent="0.2">
      <c r="A88" s="1">
        <v>36617</v>
      </c>
      <c r="B88" s="2">
        <v>379.714</v>
      </c>
      <c r="C88" s="2">
        <v>367.22771198058803</v>
      </c>
      <c r="D88" s="2">
        <v>352.12522463086299</v>
      </c>
      <c r="E88" s="2">
        <f t="shared" si="91"/>
        <v>88.764473078262739</v>
      </c>
      <c r="F88" s="2">
        <f t="shared" si="92"/>
        <v>86.300306551235963</v>
      </c>
      <c r="G88" s="2">
        <f t="shared" si="93"/>
        <v>82.850569621645349</v>
      </c>
      <c r="H88" s="4" t="s">
        <v>3</v>
      </c>
      <c r="I88" s="5">
        <f t="shared" si="30"/>
        <v>0.27368233916873241</v>
      </c>
      <c r="J88" s="5">
        <f t="shared" ref="J88" si="138">+AVERAGE(B85:B88)/AVERAGE(B73:B76)-1</f>
        <v>0.3021817645345144</v>
      </c>
      <c r="K88" s="5">
        <f t="shared" si="32"/>
        <v>-4.9525579140429099E-2</v>
      </c>
      <c r="L88" s="5">
        <f t="shared" ref="L88" si="139">+F88/F84-1</f>
        <v>2.6285811779800827E-2</v>
      </c>
      <c r="M88" s="6">
        <f t="shared" si="42"/>
        <v>-6.7461336248589854E-3</v>
      </c>
    </row>
    <row r="89" spans="1:13" x14ac:dyDescent="0.2">
      <c r="A89" s="1">
        <v>36647</v>
      </c>
      <c r="B89" s="2">
        <v>352.83600000000001</v>
      </c>
      <c r="C89" s="2">
        <v>336.95277922414402</v>
      </c>
      <c r="D89" s="2">
        <v>351.66502140703398</v>
      </c>
      <c r="E89" s="2">
        <f t="shared" si="91"/>
        <v>82.48129282312982</v>
      </c>
      <c r="F89" s="2">
        <f t="shared" si="92"/>
        <v>79.185549433349152</v>
      </c>
      <c r="G89" s="2">
        <f t="shared" si="93"/>
        <v>82.742289678690611</v>
      </c>
      <c r="H89" s="4" t="s">
        <v>2</v>
      </c>
      <c r="I89" s="5">
        <f t="shared" ref="I89:I152" si="140">+E89/E77-1</f>
        <v>0.11610339984563423</v>
      </c>
      <c r="J89" s="5">
        <f t="shared" ref="J89" si="141">+AVERAGE(B85:B89)/AVERAGE(B73:B77)-1</f>
        <v>0.25977290750486626</v>
      </c>
      <c r="K89" s="5">
        <f t="shared" ref="K89:K152" si="142">+F89/F88-1</f>
        <v>-8.2441852204346744E-2</v>
      </c>
      <c r="L89" s="5">
        <f t="shared" ref="L89" si="143">+F89/F84-1</f>
        <v>-5.8323091434367647E-2</v>
      </c>
      <c r="M89" s="6">
        <f t="shared" si="42"/>
        <v>-1.306930579345722E-3</v>
      </c>
    </row>
    <row r="90" spans="1:13" x14ac:dyDescent="0.2">
      <c r="A90" s="1">
        <v>36678</v>
      </c>
      <c r="B90" s="2">
        <v>338.28500000000003</v>
      </c>
      <c r="C90" s="2">
        <v>339.21264247594399</v>
      </c>
      <c r="D90" s="2">
        <v>354.84228165884002</v>
      </c>
      <c r="E90" s="2">
        <f t="shared" si="91"/>
        <v>79.079754170981616</v>
      </c>
      <c r="F90" s="2">
        <f t="shared" si="92"/>
        <v>79.716628338975212</v>
      </c>
      <c r="G90" s="2">
        <f t="shared" si="93"/>
        <v>83.489858450494154</v>
      </c>
      <c r="H90" s="4" t="s">
        <v>4</v>
      </c>
      <c r="I90" s="5">
        <f t="shared" si="140"/>
        <v>8.9011218954721638E-2</v>
      </c>
      <c r="J90" s="5">
        <f t="shared" ref="J90" si="144">+AVERAGE(B85:B90)/AVERAGE(B73:B78)-1</f>
        <v>0.22852859839727624</v>
      </c>
      <c r="K90" s="5">
        <f t="shared" si="142"/>
        <v>6.7067654316532721E-3</v>
      </c>
      <c r="L90" s="5">
        <f t="shared" ref="L90" si="145">+F90/F84-1</f>
        <v>-5.2007485296213463E-2</v>
      </c>
      <c r="M90" s="6">
        <f t="shared" si="42"/>
        <v>9.0349055447527249E-3</v>
      </c>
    </row>
    <row r="91" spans="1:13" x14ac:dyDescent="0.2">
      <c r="A91" s="1">
        <v>36708</v>
      </c>
      <c r="B91" s="2">
        <v>371.87700000000001</v>
      </c>
      <c r="C91" s="2">
        <v>357.797213198382</v>
      </c>
      <c r="D91" s="2">
        <v>362.41777929327401</v>
      </c>
      <c r="E91" s="2">
        <f t="shared" si="91"/>
        <v>86.932443773274386</v>
      </c>
      <c r="F91" s="2">
        <f t="shared" si="92"/>
        <v>84.084093260996966</v>
      </c>
      <c r="G91" s="2">
        <f t="shared" si="93"/>
        <v>85.27227632424416</v>
      </c>
      <c r="H91" s="4" t="s">
        <v>4</v>
      </c>
      <c r="I91" s="5">
        <f t="shared" si="140"/>
        <v>7.1907877669846743E-2</v>
      </c>
      <c r="J91" s="5">
        <f t="shared" ref="J91" si="146">+AVERAGE(B85:B91)/AVERAGE(B73:B79)-1</f>
        <v>0.20195386530311787</v>
      </c>
      <c r="K91" s="5">
        <f t="shared" si="142"/>
        <v>5.4787376398437004E-2</v>
      </c>
      <c r="L91" s="5">
        <f t="shared" ref="L91" si="147">+F91/F84-1</f>
        <v>-6.9462570236211718E-5</v>
      </c>
      <c r="M91" s="6">
        <f t="shared" si="42"/>
        <v>2.1348914788338114E-2</v>
      </c>
    </row>
    <row r="92" spans="1:13" x14ac:dyDescent="0.2">
      <c r="A92" s="1">
        <v>36739</v>
      </c>
      <c r="B92" s="2">
        <v>397.81</v>
      </c>
      <c r="C92" s="2">
        <v>375.883246281428</v>
      </c>
      <c r="D92" s="2">
        <v>373.27539266236403</v>
      </c>
      <c r="E92" s="2">
        <f t="shared" si="91"/>
        <v>92.994714535844608</v>
      </c>
      <c r="F92" s="2">
        <f t="shared" si="92"/>
        <v>88.334399401959359</v>
      </c>
      <c r="G92" s="2">
        <f t="shared" si="93"/>
        <v>87.826934126177321</v>
      </c>
      <c r="H92" s="4" t="s">
        <v>3</v>
      </c>
      <c r="I92" s="5">
        <f t="shared" si="140"/>
        <v>0.13584709563946173</v>
      </c>
      <c r="J92" s="5">
        <f t="shared" ref="J92" si="148">+AVERAGE(B85:B92)/AVERAGE(B73:B80)-1</f>
        <v>0.19228634884924034</v>
      </c>
      <c r="K92" s="5">
        <f t="shared" si="142"/>
        <v>5.054827823104957E-2</v>
      </c>
      <c r="L92" s="5">
        <f t="shared" ref="L92" si="149">+F92/F84-1</f>
        <v>5.047530444748638E-2</v>
      </c>
      <c r="M92" s="6">
        <f t="shared" si="42"/>
        <v>2.9958832014981951E-2</v>
      </c>
    </row>
    <row r="93" spans="1:13" x14ac:dyDescent="0.2">
      <c r="A93" s="1">
        <v>36770</v>
      </c>
      <c r="B93" s="2">
        <v>408.13200000000001</v>
      </c>
      <c r="C93" s="2">
        <v>394.84256319653701</v>
      </c>
      <c r="D93" s="2">
        <v>384.79139031910103</v>
      </c>
      <c r="E93" s="2">
        <f t="shared" si="91"/>
        <v>95.407653987942325</v>
      </c>
      <c r="F93" s="2">
        <f t="shared" si="92"/>
        <v>92.78993151022911</v>
      </c>
      <c r="G93" s="2">
        <f t="shared" si="93"/>
        <v>90.536501345118793</v>
      </c>
      <c r="H93" s="4" t="s">
        <v>5</v>
      </c>
      <c r="I93" s="5">
        <f t="shared" si="140"/>
        <v>0.17330220871700086</v>
      </c>
      <c r="J93" s="5">
        <f t="shared" ref="J93" si="150">+AVERAGE(B85:B93)/AVERAGE(B73:B81)-1</f>
        <v>0.18987868362582594</v>
      </c>
      <c r="K93" s="5">
        <f t="shared" si="142"/>
        <v>5.0439377393569851E-2</v>
      </c>
      <c r="L93" s="5">
        <f t="shared" ref="L93" si="151">+F93/F84-1</f>
        <v>0.10346062477113827</v>
      </c>
      <c r="M93" s="6">
        <f t="shared" ref="M93:M156" si="152">+G93/G92-1</f>
        <v>3.0851210347941249E-2</v>
      </c>
    </row>
    <row r="94" spans="1:13" x14ac:dyDescent="0.2">
      <c r="A94" s="1">
        <v>36800</v>
      </c>
      <c r="B94" s="2">
        <v>413.75599999999997</v>
      </c>
      <c r="C94" s="2">
        <v>391.26914044604899</v>
      </c>
      <c r="D94" s="2">
        <v>393.70836886359001</v>
      </c>
      <c r="E94" s="2">
        <f t="shared" si="91"/>
        <v>96.72235767701396</v>
      </c>
      <c r="F94" s="2">
        <f t="shared" si="92"/>
        <v>91.950159704498446</v>
      </c>
      <c r="G94" s="2">
        <f t="shared" si="93"/>
        <v>92.634552549741727</v>
      </c>
      <c r="H94" s="4" t="s">
        <v>6</v>
      </c>
      <c r="I94" s="5">
        <f t="shared" si="140"/>
        <v>0.14330715623911972</v>
      </c>
      <c r="J94" s="5">
        <f t="shared" ref="J94" si="153">+AVERAGE(B85:B94)/AVERAGE(B73:B82)-1</f>
        <v>0.1844500489589771</v>
      </c>
      <c r="K94" s="5">
        <f t="shared" si="142"/>
        <v>-9.050247069511963E-3</v>
      </c>
      <c r="L94" s="5">
        <f t="shared" ref="L94" si="154">+F94/F84-1</f>
        <v>9.3474033485481556E-2</v>
      </c>
      <c r="M94" s="6">
        <f t="shared" si="152"/>
        <v>2.3173539660267028E-2</v>
      </c>
    </row>
    <row r="95" spans="1:13" x14ac:dyDescent="0.2">
      <c r="A95" s="1">
        <v>36831</v>
      </c>
      <c r="B95" s="2">
        <v>407.68299999999999</v>
      </c>
      <c r="C95" s="2">
        <v>401.280882201363</v>
      </c>
      <c r="D95" s="2">
        <v>397.34074700747902</v>
      </c>
      <c r="E95" s="2">
        <f t="shared" si="91"/>
        <v>95.302692758142683</v>
      </c>
      <c r="F95" s="2">
        <f t="shared" si="92"/>
        <v>94.30296793330956</v>
      </c>
      <c r="G95" s="2">
        <f t="shared" si="93"/>
        <v>93.489204750866776</v>
      </c>
      <c r="H95" s="4" t="s">
        <v>7</v>
      </c>
      <c r="I95" s="5">
        <f t="shared" si="140"/>
        <v>0.12793477238395101</v>
      </c>
      <c r="J95" s="5">
        <f t="shared" ref="J95" si="155">+AVERAGE(B85:B95)/AVERAGE(B73:B83)-1</f>
        <v>0.1785566527277771</v>
      </c>
      <c r="K95" s="5">
        <f t="shared" si="142"/>
        <v>2.5587864516737779E-2</v>
      </c>
      <c r="L95" s="5">
        <f t="shared" ref="L95" si="156">+F95/F84-1</f>
        <v>0.12145369890687885</v>
      </c>
      <c r="M95" s="6">
        <f t="shared" si="152"/>
        <v>9.226062819984282E-3</v>
      </c>
    </row>
    <row r="96" spans="1:13" x14ac:dyDescent="0.2">
      <c r="A96" s="1">
        <v>36861</v>
      </c>
      <c r="B96" s="2">
        <v>394.23</v>
      </c>
      <c r="C96" s="2">
        <v>411.76327633766402</v>
      </c>
      <c r="D96" s="2">
        <v>395.46979961163998</v>
      </c>
      <c r="E96" s="2">
        <f t="shared" si="91"/>
        <v>92.157829897353068</v>
      </c>
      <c r="F96" s="2">
        <f t="shared" si="92"/>
        <v>96.766381771210447</v>
      </c>
      <c r="G96" s="2">
        <f t="shared" si="93"/>
        <v>93.048994715814914</v>
      </c>
      <c r="H96" s="4" t="s">
        <v>8</v>
      </c>
      <c r="I96" s="5">
        <f t="shared" si="140"/>
        <v>0.16421507103770283</v>
      </c>
      <c r="J96" s="5">
        <f t="shared" ref="J96" si="157">+AVERAGE(B85:B96)/AVERAGE(B73:B84)-1</f>
        <v>0.17728023591842201</v>
      </c>
      <c r="K96" s="5">
        <f t="shared" si="142"/>
        <v>2.6122336251845235E-2</v>
      </c>
      <c r="L96" s="5">
        <f t="shared" ref="L96" si="158">+F96/F84-1</f>
        <v>0.15074868952059983</v>
      </c>
      <c r="M96" s="6">
        <f t="shared" si="152"/>
        <v>-4.7086723673064323E-3</v>
      </c>
    </row>
    <row r="97" spans="1:13" x14ac:dyDescent="0.2">
      <c r="A97" s="1">
        <v>36892</v>
      </c>
      <c r="B97" s="2">
        <v>327.84699999999998</v>
      </c>
      <c r="C97" s="2">
        <v>382.32889059653502</v>
      </c>
      <c r="D97" s="2">
        <v>391.01996727077898</v>
      </c>
      <c r="E97" s="2">
        <f t="shared" si="91"/>
        <v>76.639697786463501</v>
      </c>
      <c r="F97" s="2">
        <f t="shared" si="92"/>
        <v>89.84915730874657</v>
      </c>
      <c r="G97" s="2">
        <f t="shared" si="93"/>
        <v>92.002005978931223</v>
      </c>
      <c r="H97" s="4" t="s">
        <v>15</v>
      </c>
      <c r="I97" s="5">
        <f t="shared" si="140"/>
        <v>8.5029206864026818E-2</v>
      </c>
      <c r="J97" s="5">
        <f t="shared" ref="J97" si="159">+AVERAGE(B97:B97)/AVERAGE(B85:B85)-1</f>
        <v>8.5029206864026818E-2</v>
      </c>
      <c r="K97" s="5">
        <f t="shared" si="142"/>
        <v>-7.1483756402286658E-2</v>
      </c>
      <c r="L97" s="5">
        <f t="shared" ref="L97" si="160">+F97/F96-1</f>
        <v>-7.1483756402286658E-2</v>
      </c>
      <c r="M97" s="6">
        <f t="shared" si="152"/>
        <v>-1.1252015565362594E-2</v>
      </c>
    </row>
    <row r="98" spans="1:13" x14ac:dyDescent="0.2">
      <c r="A98" s="1">
        <v>36923</v>
      </c>
      <c r="B98" s="2">
        <v>317.63099999999997</v>
      </c>
      <c r="C98" s="2">
        <v>362.73610336650898</v>
      </c>
      <c r="D98" s="2">
        <v>386.22531306649898</v>
      </c>
      <c r="E98" s="2">
        <f t="shared" si="91"/>
        <v>74.251537600198219</v>
      </c>
      <c r="F98" s="2">
        <f t="shared" si="92"/>
        <v>85.244756581402299</v>
      </c>
      <c r="G98" s="2">
        <f t="shared" si="93"/>
        <v>90.873885060073889</v>
      </c>
      <c r="H98" s="4" t="s">
        <v>1</v>
      </c>
      <c r="I98" s="5">
        <f t="shared" si="140"/>
        <v>-2.1804004176021574E-2</v>
      </c>
      <c r="J98" s="5">
        <f t="shared" ref="J98" si="161">+AVERAGE(B97:B98)/AVERAGE(B85:B86)-1</f>
        <v>2.9690555876375369E-2</v>
      </c>
      <c r="K98" s="5">
        <f t="shared" si="142"/>
        <v>-5.1245897738609547E-2</v>
      </c>
      <c r="L98" s="5">
        <f t="shared" ref="L98" si="162">+F98/F96-1</f>
        <v>-0.11906640487033293</v>
      </c>
      <c r="M98" s="6">
        <f t="shared" si="152"/>
        <v>-1.2261916540338036E-2</v>
      </c>
    </row>
    <row r="99" spans="1:13" x14ac:dyDescent="0.2">
      <c r="A99" s="1">
        <v>36951</v>
      </c>
      <c r="B99" s="2">
        <v>386.923</v>
      </c>
      <c r="C99" s="2">
        <v>381.290751501459</v>
      </c>
      <c r="D99" s="2">
        <v>381.76292029546602</v>
      </c>
      <c r="E99" s="2">
        <f t="shared" si="91"/>
        <v>90.449696921526879</v>
      </c>
      <c r="F99" s="2">
        <f t="shared" si="92"/>
        <v>89.605189549165772</v>
      </c>
      <c r="G99" s="2">
        <f t="shared" si="93"/>
        <v>89.823941014335134</v>
      </c>
      <c r="H99" s="4" t="s">
        <v>2</v>
      </c>
      <c r="I99" s="5">
        <f t="shared" si="140"/>
        <v>-2.8143241884976966E-3</v>
      </c>
      <c r="J99" s="5">
        <f t="shared" ref="J99" si="163">+AVERAGE(B97:B99)/AVERAGE(B85:B87)-1</f>
        <v>1.7263107694399649E-2</v>
      </c>
      <c r="K99" s="5">
        <f t="shared" si="142"/>
        <v>5.115191998465729E-2</v>
      </c>
      <c r="L99" s="5">
        <f t="shared" ref="L99" si="164">+F99/F96-1</f>
        <v>-7.4004960100463757E-2</v>
      </c>
      <c r="M99" s="6">
        <f t="shared" si="152"/>
        <v>-1.155385890065852E-2</v>
      </c>
    </row>
    <row r="100" spans="1:13" x14ac:dyDescent="0.2">
      <c r="A100" s="1">
        <v>36982</v>
      </c>
      <c r="B100" s="2">
        <v>387.17500000000001</v>
      </c>
      <c r="C100" s="2">
        <v>374.63674149296997</v>
      </c>
      <c r="D100" s="2">
        <v>377.63844488857802</v>
      </c>
      <c r="E100" s="2">
        <f t="shared" si="91"/>
        <v>90.5086061195436</v>
      </c>
      <c r="F100" s="2">
        <f t="shared" si="92"/>
        <v>88.041464686381047</v>
      </c>
      <c r="G100" s="2">
        <f t="shared" si="93"/>
        <v>88.853504610043572</v>
      </c>
      <c r="H100" s="4" t="s">
        <v>3</v>
      </c>
      <c r="I100" s="5">
        <f t="shared" si="140"/>
        <v>1.9648998983445409E-2</v>
      </c>
      <c r="J100" s="5">
        <f t="shared" ref="J100" si="165">+AVERAGE(B97:B100)/AVERAGE(B85:B88)-1</f>
        <v>1.7912727350951174E-2</v>
      </c>
      <c r="K100" s="5">
        <f t="shared" si="142"/>
        <v>-1.7451275653255771E-2</v>
      </c>
      <c r="L100" s="5">
        <f t="shared" ref="L100" si="166">+F100/F96-1</f>
        <v>-9.0164754795298174E-2</v>
      </c>
      <c r="M100" s="6">
        <f t="shared" si="152"/>
        <v>-1.0803761150233737E-2</v>
      </c>
    </row>
    <row r="101" spans="1:13" x14ac:dyDescent="0.2">
      <c r="A101" s="1">
        <v>37012</v>
      </c>
      <c r="B101" s="2">
        <v>396.452</v>
      </c>
      <c r="C101" s="2">
        <v>377.806619819155</v>
      </c>
      <c r="D101" s="2">
        <v>372.84201731844701</v>
      </c>
      <c r="E101" s="2">
        <f t="shared" si="91"/>
        <v>92.677259413198925</v>
      </c>
      <c r="F101" s="2">
        <f t="shared" si="92"/>
        <v>88.786401580725084</v>
      </c>
      <c r="G101" s="2">
        <f t="shared" si="93"/>
        <v>87.724966440842806</v>
      </c>
      <c r="H101" s="4" t="s">
        <v>2</v>
      </c>
      <c r="I101" s="5">
        <f t="shared" si="140"/>
        <v>0.12361550408688426</v>
      </c>
      <c r="J101" s="5">
        <f t="shared" ref="J101" si="167">+AVERAGE(B97:B101)/AVERAGE(B85:B89)-1</f>
        <v>3.9255913395149555E-2</v>
      </c>
      <c r="K101" s="5">
        <f t="shared" si="142"/>
        <v>8.4612051491603779E-3</v>
      </c>
      <c r="L101" s="5">
        <f t="shared" ref="L101" si="168">+F101/F96-1</f>
        <v>-8.246645213368442E-2</v>
      </c>
      <c r="M101" s="6">
        <f t="shared" si="152"/>
        <v>-1.2701110374358837E-2</v>
      </c>
    </row>
    <row r="102" spans="1:13" x14ac:dyDescent="0.2">
      <c r="A102" s="1">
        <v>37043</v>
      </c>
      <c r="B102" s="2">
        <v>375.24200000000002</v>
      </c>
      <c r="C102" s="2">
        <v>376.76839054866798</v>
      </c>
      <c r="D102" s="2">
        <v>366.28229526711101</v>
      </c>
      <c r="E102" s="2">
        <f t="shared" si="91"/>
        <v>87.719068580124699</v>
      </c>
      <c r="F102" s="2">
        <f t="shared" si="92"/>
        <v>88.542412629482129</v>
      </c>
      <c r="G102" s="2">
        <f t="shared" si="93"/>
        <v>86.181547592952583</v>
      </c>
      <c r="H102" s="4" t="s">
        <v>4</v>
      </c>
      <c r="I102" s="5">
        <f t="shared" si="140"/>
        <v>0.10924811918944077</v>
      </c>
      <c r="J102" s="5">
        <f t="shared" ref="J102" si="169">+AVERAGE(B97:B102)/AVERAGE(B85:B90)-1</f>
        <v>5.060804059613111E-2</v>
      </c>
      <c r="K102" s="5">
        <f t="shared" si="142"/>
        <v>-2.748044147516393E-3</v>
      </c>
      <c r="L102" s="5">
        <f t="shared" ref="L102" si="170">+F102/F96-1</f>
        <v>-8.4987874830048438E-2</v>
      </c>
      <c r="M102" s="6">
        <f t="shared" si="152"/>
        <v>-1.7593837997430528E-2</v>
      </c>
    </row>
    <row r="103" spans="1:13" x14ac:dyDescent="0.2">
      <c r="A103" s="1">
        <v>37073</v>
      </c>
      <c r="B103" s="2">
        <v>360.09</v>
      </c>
      <c r="C103" s="2">
        <v>349.06003202421402</v>
      </c>
      <c r="D103" s="2">
        <v>356.67404423417298</v>
      </c>
      <c r="E103" s="2">
        <f t="shared" si="91"/>
        <v>84.17703616603977</v>
      </c>
      <c r="F103" s="2">
        <f t="shared" si="92"/>
        <v>82.030812996123487</v>
      </c>
      <c r="G103" s="2">
        <f t="shared" si="93"/>
        <v>83.920848797570386</v>
      </c>
      <c r="H103" s="4" t="s">
        <v>4</v>
      </c>
      <c r="I103" s="5">
        <f t="shared" si="140"/>
        <v>-3.1695963988092934E-2</v>
      </c>
      <c r="J103" s="5">
        <f t="shared" ref="J103" si="171">+AVERAGE(B97:B103)/AVERAGE(B85:B91)-1</f>
        <v>3.815399864827107E-2</v>
      </c>
      <c r="K103" s="5">
        <f t="shared" si="142"/>
        <v>-7.3542152737663957E-2</v>
      </c>
      <c r="L103" s="5">
        <f t="shared" ref="L103" si="172">+F103/F96-1</f>
        <v>-0.15227983629611153</v>
      </c>
      <c r="M103" s="6">
        <f t="shared" si="152"/>
        <v>-2.6231819438423121E-2</v>
      </c>
    </row>
    <row r="104" spans="1:13" x14ac:dyDescent="0.2">
      <c r="A104" s="1">
        <v>37104</v>
      </c>
      <c r="B104" s="2">
        <v>275.923</v>
      </c>
      <c r="C104" s="2">
        <v>255.72637327032999</v>
      </c>
      <c r="D104" s="2">
        <v>343.84243092583398</v>
      </c>
      <c r="E104" s="2">
        <f t="shared" si="91"/>
        <v>64.501597795112872</v>
      </c>
      <c r="F104" s="2">
        <f t="shared" si="92"/>
        <v>60.096947170566125</v>
      </c>
      <c r="G104" s="2">
        <f t="shared" si="93"/>
        <v>80.901734012837082</v>
      </c>
      <c r="H104" s="4" t="s">
        <v>3</v>
      </c>
      <c r="I104" s="5">
        <f t="shared" si="140"/>
        <v>-0.30639501269450242</v>
      </c>
      <c r="J104" s="5">
        <f t="shared" ref="J104" si="173">+AVERAGE(B97:B104)/AVERAGE(B85:B92)-1</f>
        <v>-9.8479969377350818E-3</v>
      </c>
      <c r="K104" s="5">
        <f t="shared" si="142"/>
        <v>-0.26738569355144493</v>
      </c>
      <c r="L104" s="5">
        <f t="shared" ref="L104" si="174">+F104/F96-1</f>
        <v>-0.37894808020562021</v>
      </c>
      <c r="M104" s="6">
        <f t="shared" si="152"/>
        <v>-3.5975741761333446E-2</v>
      </c>
    </row>
    <row r="105" spans="1:13" x14ac:dyDescent="0.2">
      <c r="A105" s="1">
        <v>37135</v>
      </c>
      <c r="B105" s="2">
        <v>349.78300000000002</v>
      </c>
      <c r="C105" s="2">
        <v>339.0508004404</v>
      </c>
      <c r="D105" s="2">
        <v>330.30122220109303</v>
      </c>
      <c r="E105" s="2">
        <f t="shared" si="91"/>
        <v>81.767603213824032</v>
      </c>
      <c r="F105" s="2">
        <f t="shared" si="92"/>
        <v>79.678594669879288</v>
      </c>
      <c r="G105" s="2">
        <f t="shared" si="93"/>
        <v>77.715660486333888</v>
      </c>
      <c r="H105" s="4" t="s">
        <v>5</v>
      </c>
      <c r="I105" s="5">
        <f t="shared" si="140"/>
        <v>-0.14296600119569158</v>
      </c>
      <c r="J105" s="5">
        <f t="shared" ref="J105" si="175">+AVERAGE(B97:B105)/AVERAGE(B85:B93)-1</f>
        <v>-2.6495502576194152E-2</v>
      </c>
      <c r="K105" s="5">
        <f t="shared" si="142"/>
        <v>0.32583431307645072</v>
      </c>
      <c r="L105" s="5">
        <f t="shared" ref="L105" si="176">+F105/F96-1</f>
        <v>-0.17658805453460746</v>
      </c>
      <c r="M105" s="6">
        <f t="shared" si="152"/>
        <v>-3.9382017769824862E-2</v>
      </c>
    </row>
    <row r="106" spans="1:13" x14ac:dyDescent="0.2">
      <c r="A106" s="1">
        <v>37165</v>
      </c>
      <c r="B106" s="2">
        <v>336.11599999999999</v>
      </c>
      <c r="C106" s="2">
        <v>314.14967092962002</v>
      </c>
      <c r="D106" s="2">
        <v>318.62622341223198</v>
      </c>
      <c r="E106" s="2">
        <f t="shared" si="91"/>
        <v>78.572714288051941</v>
      </c>
      <c r="F106" s="2">
        <f t="shared" si="92"/>
        <v>73.826707570558369</v>
      </c>
      <c r="G106" s="2">
        <f t="shared" si="93"/>
        <v>74.968682331039375</v>
      </c>
      <c r="H106" s="4" t="s">
        <v>6</v>
      </c>
      <c r="I106" s="5">
        <f t="shared" si="140"/>
        <v>-0.18764682566536817</v>
      </c>
      <c r="J106" s="5">
        <f t="shared" ref="J106" si="177">+AVERAGE(B97:B106)/AVERAGE(B85:B94)-1</f>
        <v>-4.4627689241890089E-2</v>
      </c>
      <c r="K106" s="5">
        <f t="shared" si="142"/>
        <v>-7.3443653512793361E-2</v>
      </c>
      <c r="L106" s="5">
        <f t="shared" ref="L106" si="178">+F106/F96-1</f>
        <v>-0.23706243615566291</v>
      </c>
      <c r="M106" s="6">
        <f t="shared" si="152"/>
        <v>-3.5346520097806589E-2</v>
      </c>
    </row>
    <row r="107" spans="1:13" x14ac:dyDescent="0.2">
      <c r="A107" s="1">
        <v>37196</v>
      </c>
      <c r="B107" s="2">
        <v>312.46800000000002</v>
      </c>
      <c r="C107" s="2">
        <v>308.75868131918901</v>
      </c>
      <c r="D107" s="2">
        <v>311.17364118015701</v>
      </c>
      <c r="E107" s="2">
        <f t="shared" si="91"/>
        <v>73.044600340831806</v>
      </c>
      <c r="F107" s="2">
        <f t="shared" si="92"/>
        <v>72.559798672301497</v>
      </c>
      <c r="G107" s="2">
        <f t="shared" si="93"/>
        <v>73.215184882150709</v>
      </c>
      <c r="H107" s="4" t="s">
        <v>7</v>
      </c>
      <c r="I107" s="5">
        <f t="shared" si="140"/>
        <v>-0.23355155844123976</v>
      </c>
      <c r="J107" s="5">
        <f t="shared" ref="J107" si="179">+AVERAGE(B97:B107)/AVERAGE(B85:B95)-1</f>
        <v>-6.3482411393560811E-2</v>
      </c>
      <c r="K107" s="5">
        <f t="shared" si="142"/>
        <v>-1.7160576977458319E-2</v>
      </c>
      <c r="L107" s="5">
        <f t="shared" ref="L107" si="180">+F107/F96-1</f>
        <v>-0.25015488494900817</v>
      </c>
      <c r="M107" s="6">
        <f t="shared" si="152"/>
        <v>-2.3389732810638719E-2</v>
      </c>
    </row>
    <row r="108" spans="1:13" x14ac:dyDescent="0.2">
      <c r="A108" s="1">
        <v>37226</v>
      </c>
      <c r="B108" s="2">
        <v>282.351</v>
      </c>
      <c r="C108" s="2">
        <v>298.95141215172902</v>
      </c>
      <c r="D108" s="2">
        <v>309.89442617159602</v>
      </c>
      <c r="E108" s="2">
        <f t="shared" si="91"/>
        <v>66.004249877856921</v>
      </c>
      <c r="F108" s="2">
        <f t="shared" si="92"/>
        <v>70.255042500667514</v>
      </c>
      <c r="G108" s="2">
        <f t="shared" si="93"/>
        <v>72.914201922923809</v>
      </c>
      <c r="H108" s="4" t="s">
        <v>8</v>
      </c>
      <c r="I108" s="5">
        <f t="shared" si="140"/>
        <v>-0.28379118788524471</v>
      </c>
      <c r="J108" s="5">
        <f t="shared" ref="J108" si="181">+AVERAGE(B97:B108)/AVERAGE(B85:B96)-1</f>
        <v>-8.287253717401577E-2</v>
      </c>
      <c r="K108" s="5">
        <f t="shared" si="142"/>
        <v>-3.176354143487703E-2</v>
      </c>
      <c r="L108" s="5">
        <f t="shared" ref="L108" si="182">+F108/F96-1</f>
        <v>-0.27397262133067046</v>
      </c>
      <c r="M108" s="6">
        <f t="shared" si="152"/>
        <v>-4.110936272460064E-3</v>
      </c>
    </row>
    <row r="109" spans="1:13" x14ac:dyDescent="0.2">
      <c r="A109" s="1">
        <v>37257</v>
      </c>
      <c r="B109" s="2">
        <v>255.25299999999999</v>
      </c>
      <c r="C109" s="2">
        <v>309.71241468757199</v>
      </c>
      <c r="D109" s="2">
        <v>314.76549761308502</v>
      </c>
      <c r="E109" s="2">
        <f t="shared" si="91"/>
        <v>59.669640957788751</v>
      </c>
      <c r="F109" s="2">
        <f t="shared" si="92"/>
        <v>72.78393067371195</v>
      </c>
      <c r="G109" s="2">
        <f t="shared" si="93"/>
        <v>74.06030284204472</v>
      </c>
      <c r="H109" s="4" t="s">
        <v>16</v>
      </c>
      <c r="I109" s="5">
        <f t="shared" si="140"/>
        <v>-0.22142645807343053</v>
      </c>
      <c r="J109" s="5">
        <f t="shared" ref="J109" si="183">+AVERAGE(B109:B109)/AVERAGE(B97:B97)-1</f>
        <v>-0.22142645807343064</v>
      </c>
      <c r="K109" s="5">
        <f t="shared" si="142"/>
        <v>3.599582439965654E-2</v>
      </c>
      <c r="L109" s="5">
        <f t="shared" ref="L109" si="184">+F109/F108-1</f>
        <v>3.599582439965654E-2</v>
      </c>
      <c r="M109" s="6">
        <f t="shared" si="152"/>
        <v>1.5718486781661989E-2</v>
      </c>
    </row>
    <row r="110" spans="1:13" x14ac:dyDescent="0.2">
      <c r="A110" s="1">
        <v>37288</v>
      </c>
      <c r="B110" s="2">
        <v>305.92399999999998</v>
      </c>
      <c r="C110" s="2">
        <v>347.497986750991</v>
      </c>
      <c r="D110" s="2">
        <v>324.28456794271898</v>
      </c>
      <c r="E110" s="2">
        <f t="shared" si="91"/>
        <v>71.514831325667345</v>
      </c>
      <c r="F110" s="2">
        <f t="shared" si="92"/>
        <v>81.663724724927917</v>
      </c>
      <c r="G110" s="2">
        <f t="shared" si="93"/>
        <v>76.300018556547826</v>
      </c>
      <c r="H110" s="4" t="s">
        <v>1</v>
      </c>
      <c r="I110" s="5">
        <f t="shared" si="140"/>
        <v>-3.6857233708296522E-2</v>
      </c>
      <c r="J110" s="5">
        <f t="shared" ref="J110" si="185">+AVERAGE(B109:B110)/AVERAGE(B97:B98)-1</f>
        <v>-0.13060243726354737</v>
      </c>
      <c r="K110" s="5">
        <f t="shared" si="142"/>
        <v>0.12200212284527212</v>
      </c>
      <c r="L110" s="5">
        <f t="shared" ref="L110" si="186">+F110/F108-1</f>
        <v>0.16238951423525227</v>
      </c>
      <c r="M110" s="6">
        <f t="shared" si="152"/>
        <v>3.0241784445304676E-2</v>
      </c>
    </row>
    <row r="111" spans="1:13" x14ac:dyDescent="0.2">
      <c r="A111" s="1">
        <v>37316</v>
      </c>
      <c r="B111" s="2">
        <v>341.137</v>
      </c>
      <c r="C111" s="2">
        <v>331.050485880135</v>
      </c>
      <c r="D111" s="2">
        <v>336.22106780273299</v>
      </c>
      <c r="E111" s="2">
        <f t="shared" si="91"/>
        <v>79.74645668186929</v>
      </c>
      <c r="F111" s="2">
        <f t="shared" si="92"/>
        <v>77.798481659525422</v>
      </c>
      <c r="G111" s="2">
        <f t="shared" si="93"/>
        <v>79.108524575188127</v>
      </c>
      <c r="H111" s="4" t="s">
        <v>2</v>
      </c>
      <c r="I111" s="5">
        <f t="shared" si="140"/>
        <v>-0.11833362193511376</v>
      </c>
      <c r="J111" s="5">
        <f t="shared" ref="J111" si="187">+AVERAGE(B109:B111)/AVERAGE(B97:B99)-1</f>
        <v>-0.12600433358743357</v>
      </c>
      <c r="K111" s="5">
        <f t="shared" si="142"/>
        <v>-4.7331211972292397E-2</v>
      </c>
      <c r="L111" s="5">
        <f t="shared" ref="L111" si="188">+F111/F108-1</f>
        <v>0.10737220974261374</v>
      </c>
      <c r="M111" s="6">
        <f t="shared" si="152"/>
        <v>3.6808719994725125E-2</v>
      </c>
    </row>
    <row r="112" spans="1:13" x14ac:dyDescent="0.2">
      <c r="A112" s="1">
        <v>37347</v>
      </c>
      <c r="B112" s="2">
        <v>391.66199999999998</v>
      </c>
      <c r="C112" s="2">
        <v>380.33235893842698</v>
      </c>
      <c r="D112" s="2">
        <v>347.77465033487402</v>
      </c>
      <c r="E112" s="2">
        <f t="shared" si="91"/>
        <v>91.557517117563592</v>
      </c>
      <c r="F112" s="2">
        <f t="shared" si="92"/>
        <v>89.379962614248456</v>
      </c>
      <c r="G112" s="2">
        <f t="shared" si="93"/>
        <v>81.826935035449949</v>
      </c>
      <c r="H112" s="4" t="s">
        <v>3</v>
      </c>
      <c r="I112" s="5">
        <f t="shared" si="140"/>
        <v>1.1589074707819336E-2</v>
      </c>
      <c r="J112" s="5">
        <f t="shared" ref="J112" si="189">+AVERAGE(B109:B112)/AVERAGE(B97:B100)-1</f>
        <v>-8.8477122746510206E-2</v>
      </c>
      <c r="K112" s="5">
        <f t="shared" si="142"/>
        <v>0.14886512831198728</v>
      </c>
      <c r="L112" s="5">
        <f t="shared" ref="L112" si="190">+F112/F108-1</f>
        <v>0.27222131583507658</v>
      </c>
      <c r="M112" s="6">
        <f t="shared" si="152"/>
        <v>3.4363053474447458E-2</v>
      </c>
    </row>
    <row r="113" spans="1:13" x14ac:dyDescent="0.2">
      <c r="A113" s="1">
        <v>37377</v>
      </c>
      <c r="B113" s="2">
        <v>389.87</v>
      </c>
      <c r="C113" s="2">
        <v>368.63128068064498</v>
      </c>
      <c r="D113" s="2">
        <v>357.40319709484697</v>
      </c>
      <c r="E113" s="2">
        <f t="shared" si="91"/>
        <v>91.138607265000232</v>
      </c>
      <c r="F113" s="2">
        <f t="shared" si="92"/>
        <v>86.630152053437698</v>
      </c>
      <c r="G113" s="2">
        <f t="shared" si="93"/>
        <v>84.092409156279189</v>
      </c>
      <c r="H113" s="4" t="s">
        <v>2</v>
      </c>
      <c r="I113" s="5">
        <f t="shared" si="140"/>
        <v>-1.6602262064511986E-2</v>
      </c>
      <c r="J113" s="5">
        <f t="shared" ref="J113" si="191">+AVERAGE(B109:B113)/AVERAGE(B97:B101)-1</f>
        <v>-7.2786322677844018E-2</v>
      </c>
      <c r="K113" s="5">
        <f t="shared" si="142"/>
        <v>-3.0765402897722782E-2</v>
      </c>
      <c r="L113" s="5">
        <f t="shared" ref="L113" si="192">+F113/F108-1</f>
        <v>0.23308091447833945</v>
      </c>
      <c r="M113" s="6">
        <f t="shared" si="152"/>
        <v>2.7686166173128246E-2</v>
      </c>
    </row>
    <row r="114" spans="1:13" x14ac:dyDescent="0.2">
      <c r="A114" s="1">
        <v>37408</v>
      </c>
      <c r="B114" s="2">
        <v>357.69</v>
      </c>
      <c r="C114" s="2">
        <v>358.28627862871201</v>
      </c>
      <c r="D114" s="2">
        <v>365.05158012746602</v>
      </c>
      <c r="E114" s="2">
        <f t="shared" si="91"/>
        <v>83.615996184928136</v>
      </c>
      <c r="F114" s="2">
        <f t="shared" si="92"/>
        <v>84.199026026646521</v>
      </c>
      <c r="G114" s="2">
        <f t="shared" si="93"/>
        <v>85.891976033662942</v>
      </c>
      <c r="H114" s="4" t="s">
        <v>4</v>
      </c>
      <c r="I114" s="5">
        <f t="shared" si="140"/>
        <v>-4.677514777130487E-2</v>
      </c>
      <c r="J114" s="5">
        <f t="shared" ref="J114" si="193">+AVERAGE(B109:B114)/AVERAGE(B97:B102)-1</f>
        <v>-6.8332063141465782E-2</v>
      </c>
      <c r="K114" s="5">
        <f t="shared" si="142"/>
        <v>-2.8063277844549317E-2</v>
      </c>
      <c r="L114" s="5">
        <f t="shared" ref="L114" si="194">+F114/F108-1</f>
        <v>0.19847662217052275</v>
      </c>
      <c r="M114" s="6">
        <f t="shared" si="152"/>
        <v>2.1399873013976833E-2</v>
      </c>
    </row>
    <row r="115" spans="1:13" x14ac:dyDescent="0.2">
      <c r="A115" s="1">
        <v>37438</v>
      </c>
      <c r="B115" s="2">
        <v>378.536</v>
      </c>
      <c r="C115" s="2">
        <v>369.27676737495301</v>
      </c>
      <c r="D115" s="2">
        <v>370.80340747662598</v>
      </c>
      <c r="E115" s="2">
        <f t="shared" si="91"/>
        <v>88.489095954200437</v>
      </c>
      <c r="F115" s="2">
        <f t="shared" si="92"/>
        <v>86.781844580379868</v>
      </c>
      <c r="G115" s="2">
        <f t="shared" si="93"/>
        <v>87.245307572869848</v>
      </c>
      <c r="H115" s="4" t="s">
        <v>4</v>
      </c>
      <c r="I115" s="5">
        <f t="shared" si="140"/>
        <v>5.1226082368297066E-2</v>
      </c>
      <c r="J115" s="5">
        <f t="shared" ref="J115" si="195">+AVERAGE(B109:B115)/AVERAGE(B97:B103)-1</f>
        <v>-5.1458045904929195E-2</v>
      </c>
      <c r="K115" s="5">
        <f t="shared" si="142"/>
        <v>3.0675159507379091E-2</v>
      </c>
      <c r="L115" s="5">
        <f t="shared" ref="L115" si="196">+F115/F108-1</f>
        <v>0.23524008372146854</v>
      </c>
      <c r="M115" s="6">
        <f t="shared" si="152"/>
        <v>1.5756204498968529E-2</v>
      </c>
    </row>
    <row r="116" spans="1:13" x14ac:dyDescent="0.2">
      <c r="A116" s="1">
        <v>37469</v>
      </c>
      <c r="B116" s="2">
        <v>393.21</v>
      </c>
      <c r="C116" s="2">
        <v>375.23424800666902</v>
      </c>
      <c r="D116" s="2">
        <v>375.61749355606503</v>
      </c>
      <c r="E116" s="2">
        <f t="shared" si="91"/>
        <v>91.919387905380603</v>
      </c>
      <c r="F116" s="2">
        <f t="shared" si="92"/>
        <v>88.181881636454008</v>
      </c>
      <c r="G116" s="2">
        <f t="shared" si="93"/>
        <v>88.378000563857</v>
      </c>
      <c r="H116" s="4" t="s">
        <v>3</v>
      </c>
      <c r="I116" s="5">
        <f t="shared" si="140"/>
        <v>0.42507148733523481</v>
      </c>
      <c r="J116" s="5">
        <f t="shared" ref="J116" si="197">+AVERAGE(B109:B116)/AVERAGE(B97:B104)-1</f>
        <v>-4.9521041933192622E-3</v>
      </c>
      <c r="K116" s="5">
        <f t="shared" si="142"/>
        <v>1.6132833576467442E-2</v>
      </c>
      <c r="L116" s="5">
        <f t="shared" ref="L116" si="198">+F116/F108-1</f>
        <v>0.25516800641912885</v>
      </c>
      <c r="M116" s="6">
        <f t="shared" si="152"/>
        <v>1.2982852860494498E-2</v>
      </c>
    </row>
    <row r="117" spans="1:13" x14ac:dyDescent="0.2">
      <c r="A117" s="1">
        <v>37500</v>
      </c>
      <c r="B117" s="2">
        <v>388.44400000000002</v>
      </c>
      <c r="C117" s="2">
        <v>383.86044913497398</v>
      </c>
      <c r="D117" s="2">
        <v>380.17666790264099</v>
      </c>
      <c r="E117" s="2">
        <f t="shared" si="91"/>
        <v>90.805256009556388</v>
      </c>
      <c r="F117" s="2">
        <f t="shared" si="92"/>
        <v>90.209081048312896</v>
      </c>
      <c r="G117" s="2">
        <f t="shared" si="93"/>
        <v>89.450716078669075</v>
      </c>
      <c r="H117" s="4" t="s">
        <v>5</v>
      </c>
      <c r="I117" s="5">
        <f t="shared" si="140"/>
        <v>0.11052852768716614</v>
      </c>
      <c r="J117" s="5">
        <f t="shared" ref="J117" si="199">+AVERAGE(B109:B117)/AVERAGE(B97:B105)-1</f>
        <v>7.7618784123465456E-3</v>
      </c>
      <c r="K117" s="5">
        <f t="shared" si="142"/>
        <v>2.2988842767229567E-2</v>
      </c>
      <c r="L117" s="5">
        <f t="shared" ref="L117" si="200">+F117/F108-1</f>
        <v>0.28402286636515517</v>
      </c>
      <c r="M117" s="6">
        <f t="shared" si="152"/>
        <v>1.2137811536446774E-2</v>
      </c>
    </row>
    <row r="118" spans="1:13" x14ac:dyDescent="0.2">
      <c r="A118" s="1">
        <v>37530</v>
      </c>
      <c r="B118" s="2">
        <v>411.03100000000001</v>
      </c>
      <c r="C118" s="2">
        <v>388.28393010043999</v>
      </c>
      <c r="D118" s="2">
        <v>385.63888239768102</v>
      </c>
      <c r="E118" s="2">
        <f t="shared" si="91"/>
        <v>96.085343531793441</v>
      </c>
      <c r="F118" s="2">
        <f t="shared" si="92"/>
        <v>91.248620687858008</v>
      </c>
      <c r="G118" s="2">
        <f t="shared" si="93"/>
        <v>90.735905410913261</v>
      </c>
      <c r="H118" s="4" t="s">
        <v>6</v>
      </c>
      <c r="I118" s="5">
        <f t="shared" si="140"/>
        <v>0.22288436135143841</v>
      </c>
      <c r="J118" s="5">
        <f t="shared" ref="J118" si="201">+AVERAGE(B109:B118)/AVERAGE(B97:B106)-1</f>
        <v>2.8343251217841869E-2</v>
      </c>
      <c r="K118" s="5">
        <f t="shared" si="142"/>
        <v>1.1523669540413284E-2</v>
      </c>
      <c r="L118" s="5">
        <f t="shared" ref="L118" si="202">+F118/F108-1</f>
        <v>0.29881952155948133</v>
      </c>
      <c r="M118" s="6">
        <f t="shared" si="152"/>
        <v>1.4367568965170774E-2</v>
      </c>
    </row>
    <row r="119" spans="1:13" x14ac:dyDescent="0.2">
      <c r="A119" s="1">
        <v>37561</v>
      </c>
      <c r="B119" s="2">
        <v>372.2</v>
      </c>
      <c r="C119" s="2">
        <v>369.86706734613301</v>
      </c>
      <c r="D119" s="2">
        <v>393.02429597389499</v>
      </c>
      <c r="E119" s="2">
        <f t="shared" si="91"/>
        <v>87.007950404065667</v>
      </c>
      <c r="F119" s="2">
        <f t="shared" si="92"/>
        <v>86.920567957750464</v>
      </c>
      <c r="G119" s="2">
        <f t="shared" si="93"/>
        <v>92.473598932648912</v>
      </c>
      <c r="H119" s="4" t="s">
        <v>7</v>
      </c>
      <c r="I119" s="5">
        <f t="shared" si="140"/>
        <v>0.19116197498623833</v>
      </c>
      <c r="J119" s="5">
        <f t="shared" ref="J119" si="203">+AVERAGE(B109:B119)/AVERAGE(B97:B107)-1</f>
        <v>4.164181250245047E-2</v>
      </c>
      <c r="K119" s="5">
        <f t="shared" si="142"/>
        <v>-4.7431431812135383E-2</v>
      </c>
      <c r="L119" s="5">
        <f t="shared" ref="L119" si="204">+F119/F108-1</f>
        <v>0.23721465198636249</v>
      </c>
      <c r="M119" s="6">
        <f t="shared" si="152"/>
        <v>1.9151112383418711E-2</v>
      </c>
    </row>
    <row r="120" spans="1:13" x14ac:dyDescent="0.2">
      <c r="A120" s="1">
        <v>37591</v>
      </c>
      <c r="B120" s="2">
        <v>375.6</v>
      </c>
      <c r="C120" s="2">
        <v>391.78535805280097</v>
      </c>
      <c r="D120" s="2">
        <v>401.55587076645799</v>
      </c>
      <c r="E120" s="2">
        <f t="shared" si="91"/>
        <v>87.802757043973855</v>
      </c>
      <c r="F120" s="2">
        <f t="shared" si="92"/>
        <v>92.071473364269835</v>
      </c>
      <c r="G120" s="2">
        <f t="shared" si="93"/>
        <v>94.48096955505892</v>
      </c>
      <c r="H120" s="4" t="s">
        <v>8</v>
      </c>
      <c r="I120" s="5">
        <f t="shared" si="140"/>
        <v>0.33025914553162572</v>
      </c>
      <c r="J120" s="5">
        <f t="shared" ref="J120" si="205">+AVERAGE(B109:B120)/AVERAGE(B97:B108)-1</f>
        <v>6.1479050272869928E-2</v>
      </c>
      <c r="K120" s="5">
        <f t="shared" si="142"/>
        <v>5.9259914282003612E-2</v>
      </c>
      <c r="L120" s="5">
        <f t="shared" ref="L120" si="206">+F120/F108-1</f>
        <v>0.3105318862115134</v>
      </c>
      <c r="M120" s="6">
        <f t="shared" si="152"/>
        <v>2.1707499714291867E-2</v>
      </c>
    </row>
    <row r="121" spans="1:13" x14ac:dyDescent="0.2">
      <c r="A121" s="1">
        <v>37622</v>
      </c>
      <c r="B121" s="2">
        <v>362.70800000000003</v>
      </c>
      <c r="C121" s="2">
        <v>416.48446642968901</v>
      </c>
      <c r="D121" s="2">
        <v>410.08904629213498</v>
      </c>
      <c r="E121" s="2">
        <f t="shared" si="91"/>
        <v>84.789037278769086</v>
      </c>
      <c r="F121" s="2">
        <f t="shared" si="92"/>
        <v>97.875884510072225</v>
      </c>
      <c r="G121" s="2">
        <f t="shared" si="93"/>
        <v>96.488716809533386</v>
      </c>
      <c r="H121" s="4" t="s">
        <v>17</v>
      </c>
      <c r="I121" s="5">
        <f t="shared" si="140"/>
        <v>0.42097448413926597</v>
      </c>
      <c r="J121" s="5">
        <f t="shared" ref="J121" si="207">+AVERAGE(B121:B121)/AVERAGE(B109:B109)-1</f>
        <v>0.42097448413926597</v>
      </c>
      <c r="K121" s="5">
        <f t="shared" si="142"/>
        <v>6.3042448803202422E-2</v>
      </c>
      <c r="L121" s="5">
        <f t="shared" ref="L121" si="208">+F121/F120-1</f>
        <v>6.3042448803202422E-2</v>
      </c>
      <c r="M121" s="6">
        <f t="shared" si="152"/>
        <v>2.1250282082514449E-2</v>
      </c>
    </row>
    <row r="122" spans="1:13" x14ac:dyDescent="0.2">
      <c r="A122" s="1">
        <v>37653</v>
      </c>
      <c r="B122" s="2">
        <v>383.96499999999997</v>
      </c>
      <c r="C122" s="2">
        <v>421.67638953130501</v>
      </c>
      <c r="D122" s="2">
        <v>417.34091614142699</v>
      </c>
      <c r="E122" s="2">
        <f t="shared" si="91"/>
        <v>89.758215144806755</v>
      </c>
      <c r="F122" s="2">
        <f t="shared" si="92"/>
        <v>99.096011806139657</v>
      </c>
      <c r="G122" s="2">
        <f t="shared" si="93"/>
        <v>98.194989197334408</v>
      </c>
      <c r="H122" s="4" t="s">
        <v>1</v>
      </c>
      <c r="I122" s="5">
        <f t="shared" si="140"/>
        <v>0.2550993057099149</v>
      </c>
      <c r="J122" s="5">
        <f t="shared" ref="J122" si="209">+AVERAGE(B121:B122)/AVERAGE(B109:B110)-1</f>
        <v>0.33054811583511112</v>
      </c>
      <c r="K122" s="5">
        <f t="shared" si="142"/>
        <v>1.2466066612576876E-2</v>
      </c>
      <c r="L122" s="5">
        <f t="shared" ref="L122" si="210">+F122/F120-1</f>
        <v>7.629440678197974E-2</v>
      </c>
      <c r="M122" s="6">
        <f t="shared" si="152"/>
        <v>1.7683646795398467E-2</v>
      </c>
    </row>
    <row r="123" spans="1:13" x14ac:dyDescent="0.2">
      <c r="A123" s="1">
        <v>37681</v>
      </c>
      <c r="B123" s="2">
        <v>447.98399999999998</v>
      </c>
      <c r="C123" s="2">
        <v>434.46001867084698</v>
      </c>
      <c r="D123" s="2">
        <v>422.12267280020399</v>
      </c>
      <c r="E123" s="2">
        <f t="shared" si="91"/>
        <v>104.72372287430134</v>
      </c>
      <c r="F123" s="2">
        <f t="shared" si="92"/>
        <v>102.10022711339323</v>
      </c>
      <c r="G123" s="2">
        <f t="shared" si="93"/>
        <v>99.32007548840339</v>
      </c>
      <c r="H123" s="4" t="s">
        <v>2</v>
      </c>
      <c r="I123" s="5">
        <f t="shared" si="140"/>
        <v>0.31320847635993765</v>
      </c>
      <c r="J123" s="5">
        <f t="shared" ref="J123" si="211">+AVERAGE(B121:B123)/AVERAGE(B109:B111)-1</f>
        <v>0.32399253474954404</v>
      </c>
      <c r="K123" s="5">
        <f t="shared" si="142"/>
        <v>3.0316208013806634E-2</v>
      </c>
      <c r="L123" s="5">
        <f t="shared" ref="L123" si="212">+F123/F120-1</f>
        <v>0.10892357190207891</v>
      </c>
      <c r="M123" s="6">
        <f t="shared" si="152"/>
        <v>1.1457675185522875E-2</v>
      </c>
    </row>
    <row r="124" spans="1:13" x14ac:dyDescent="0.2">
      <c r="A124" s="1">
        <v>37712</v>
      </c>
      <c r="B124" s="2">
        <v>428.60599999999999</v>
      </c>
      <c r="C124" s="2">
        <v>419.27674359217002</v>
      </c>
      <c r="D124" s="2">
        <v>423.69795946595201</v>
      </c>
      <c r="E124" s="2">
        <f t="shared" si="91"/>
        <v>100.19379256014231</v>
      </c>
      <c r="F124" s="2">
        <f t="shared" si="92"/>
        <v>98.532083286026435</v>
      </c>
      <c r="G124" s="2">
        <f t="shared" si="93"/>
        <v>99.69072032849239</v>
      </c>
      <c r="H124" s="4" t="s">
        <v>3</v>
      </c>
      <c r="I124" s="5">
        <f t="shared" si="140"/>
        <v>9.4326230269977662E-2</v>
      </c>
      <c r="J124" s="5">
        <f t="shared" ref="J124" si="213">+AVERAGE(B121:B124)/AVERAGE(B109:B112)-1</f>
        <v>0.25447689910786608</v>
      </c>
      <c r="K124" s="5">
        <f t="shared" si="142"/>
        <v>-3.4947462197160384E-2</v>
      </c>
      <c r="L124" s="5">
        <f t="shared" ref="L124" si="214">+F124/F120-1</f>
        <v>7.016950729349114E-2</v>
      </c>
      <c r="M124" s="6">
        <f t="shared" si="152"/>
        <v>3.7318219732149771E-3</v>
      </c>
    </row>
    <row r="125" spans="1:13" x14ac:dyDescent="0.2">
      <c r="A125" s="1">
        <v>37742</v>
      </c>
      <c r="B125" s="2">
        <v>442.09299999999996</v>
      </c>
      <c r="C125" s="2">
        <v>418.71177938602898</v>
      </c>
      <c r="D125" s="2">
        <v>422.596353765836</v>
      </c>
      <c r="E125" s="2">
        <f t="shared" si="91"/>
        <v>103.346603487331</v>
      </c>
      <c r="F125" s="2">
        <f t="shared" si="92"/>
        <v>98.399313937227888</v>
      </c>
      <c r="G125" s="2">
        <f t="shared" si="93"/>
        <v>99.431526571928259</v>
      </c>
      <c r="H125" s="4" t="s">
        <v>2</v>
      </c>
      <c r="I125" s="5">
        <f t="shared" si="140"/>
        <v>0.13394977813117159</v>
      </c>
      <c r="J125" s="5">
        <f t="shared" ref="J125" si="215">+AVERAGE(B121:B125)/AVERAGE(B109:B113)-1</f>
        <v>0.2265706008744266</v>
      </c>
      <c r="K125" s="5">
        <f t="shared" si="142"/>
        <v>-1.3474732733818051E-3</v>
      </c>
      <c r="L125" s="5">
        <f t="shared" ref="L125" si="216">+F125/F120-1</f>
        <v>6.872748248442484E-2</v>
      </c>
      <c r="M125" s="6">
        <f t="shared" si="152"/>
        <v>-2.5999787714449107E-3</v>
      </c>
    </row>
    <row r="126" spans="1:13" x14ac:dyDescent="0.2">
      <c r="A126" s="1">
        <v>37773</v>
      </c>
      <c r="B126" s="2">
        <v>420.44099999999997</v>
      </c>
      <c r="C126" s="2">
        <v>420.88119960357801</v>
      </c>
      <c r="D126" s="2">
        <v>420.13721728927197</v>
      </c>
      <c r="E126" s="2">
        <f t="shared" si="91"/>
        <v>98.285087791068705</v>
      </c>
      <c r="F126" s="2">
        <f t="shared" si="92"/>
        <v>98.909138287909855</v>
      </c>
      <c r="G126" s="2">
        <f t="shared" si="93"/>
        <v>98.852923155844437</v>
      </c>
      <c r="H126" s="4" t="s">
        <v>4</v>
      </c>
      <c r="I126" s="5">
        <f t="shared" si="140"/>
        <v>0.17543403505829058</v>
      </c>
      <c r="J126" s="5">
        <f t="shared" ref="J126" si="217">+AVERAGE(B121:B126)/AVERAGE(B109:B114)-1</f>
        <v>0.2176111516034982</v>
      </c>
      <c r="K126" s="5">
        <f t="shared" si="142"/>
        <v>5.1811778993418045E-3</v>
      </c>
      <c r="L126" s="5">
        <f t="shared" ref="L126" si="218">+F126/F120-1</f>
        <v>7.4264749697092514E-2</v>
      </c>
      <c r="M126" s="6">
        <f t="shared" si="152"/>
        <v>-5.8191142792649586E-3</v>
      </c>
    </row>
    <row r="127" spans="1:13" x14ac:dyDescent="0.2">
      <c r="A127" s="1">
        <v>37803</v>
      </c>
      <c r="B127" s="2">
        <v>423.75</v>
      </c>
      <c r="C127" s="2">
        <v>414.729696716126</v>
      </c>
      <c r="D127" s="2">
        <v>417.861664303439</v>
      </c>
      <c r="E127" s="2">
        <f t="shared" si="91"/>
        <v>99.058621665026408</v>
      </c>
      <c r="F127" s="2">
        <f t="shared" si="92"/>
        <v>97.463505053765516</v>
      </c>
      <c r="G127" s="2">
        <f t="shared" si="93"/>
        <v>98.317514591240368</v>
      </c>
      <c r="H127" s="4" t="s">
        <v>4</v>
      </c>
      <c r="I127" s="5">
        <f t="shared" si="140"/>
        <v>0.11944438573874083</v>
      </c>
      <c r="J127" s="5">
        <f t="shared" ref="J127" si="219">+AVERAGE(B121:B127)/AVERAGE(B109:B115)-1</f>
        <v>0.20225637914904993</v>
      </c>
      <c r="K127" s="5">
        <f t="shared" si="142"/>
        <v>-1.4615770182289101E-2</v>
      </c>
      <c r="L127" s="5">
        <f t="shared" ref="L127" si="220">+F127/F120-1</f>
        <v>5.8563543000585527E-2</v>
      </c>
      <c r="M127" s="6">
        <f t="shared" si="152"/>
        <v>-5.4162137801426757E-3</v>
      </c>
    </row>
    <row r="128" spans="1:13" x14ac:dyDescent="0.2">
      <c r="A128" s="1">
        <v>37834</v>
      </c>
      <c r="B128" s="2">
        <v>438.10599999999999</v>
      </c>
      <c r="C128" s="2">
        <v>422.201501386968</v>
      </c>
      <c r="D128" s="2">
        <v>417.13161536019197</v>
      </c>
      <c r="E128" s="2">
        <f t="shared" si="91"/>
        <v>102.41457581870928</v>
      </c>
      <c r="F128" s="2">
        <f t="shared" si="92"/>
        <v>99.219415657861504</v>
      </c>
      <c r="G128" s="2">
        <f t="shared" si="93"/>
        <v>98.145743395742784</v>
      </c>
      <c r="H128" s="4" t="s">
        <v>3</v>
      </c>
      <c r="I128" s="5">
        <f t="shared" si="140"/>
        <v>0.11417817451234713</v>
      </c>
      <c r="J128" s="5">
        <f t="shared" ref="J128" si="221">+AVERAGE(B121:B128)/AVERAGE(B109:B116)-1</f>
        <v>0.18994576441323652</v>
      </c>
      <c r="K128" s="5">
        <f t="shared" si="142"/>
        <v>1.8016083077736056E-2</v>
      </c>
      <c r="L128" s="5">
        <f t="shared" ref="L128" si="222">+F128/F120-1</f>
        <v>7.7634711734346773E-2</v>
      </c>
      <c r="M128" s="6">
        <f t="shared" si="152"/>
        <v>-1.7471067714814881E-3</v>
      </c>
    </row>
    <row r="129" spans="1:13" x14ac:dyDescent="0.2">
      <c r="A129" s="1">
        <v>37865</v>
      </c>
      <c r="B129" s="2">
        <v>410.78699999999998</v>
      </c>
      <c r="C129" s="2">
        <v>412.00645161472602</v>
      </c>
      <c r="D129" s="2">
        <v>418.338210050003</v>
      </c>
      <c r="E129" s="2">
        <f t="shared" si="91"/>
        <v>96.028304467047079</v>
      </c>
      <c r="F129" s="2">
        <f t="shared" si="92"/>
        <v>96.823529149448717</v>
      </c>
      <c r="G129" s="2">
        <f t="shared" si="93"/>
        <v>98.429639721142635</v>
      </c>
      <c r="H129" s="4" t="s">
        <v>5</v>
      </c>
      <c r="I129" s="5">
        <f t="shared" si="140"/>
        <v>5.7519230571202007E-2</v>
      </c>
      <c r="J129" s="5">
        <f t="shared" ref="J129" si="223">+AVERAGE(B121:B129)/AVERAGE(B109:B117)-1</f>
        <v>0.17387933883161732</v>
      </c>
      <c r="K129" s="5">
        <f t="shared" si="142"/>
        <v>-2.4147355560675043E-2</v>
      </c>
      <c r="L129" s="5">
        <f t="shared" ref="L129" si="224">+F129/F120-1</f>
        <v>5.1612683185571884E-2</v>
      </c>
      <c r="M129" s="6">
        <f t="shared" si="152"/>
        <v>2.8925994707189595E-3</v>
      </c>
    </row>
    <row r="130" spans="1:13" x14ac:dyDescent="0.2">
      <c r="A130" s="1">
        <v>37895</v>
      </c>
      <c r="B130" s="2">
        <v>448.12200000000001</v>
      </c>
      <c r="C130" s="2">
        <v>422.54739665530099</v>
      </c>
      <c r="D130" s="2">
        <v>420.789769174139</v>
      </c>
      <c r="E130" s="2">
        <f t="shared" ref="E130:E193" si="225">+B130/AVERAGE(B$133:B$144)*100</f>
        <v>104.75598267321527</v>
      </c>
      <c r="F130" s="2">
        <f t="shared" ref="F130:F193" si="226">+C130/AVERAGE(C$133:C$144)*100</f>
        <v>99.300702735927487</v>
      </c>
      <c r="G130" s="2">
        <f t="shared" ref="G130:G193" si="227">+D130/AVERAGE(D$133:D$144)*100</f>
        <v>99.006460282943436</v>
      </c>
      <c r="H130" s="4" t="s">
        <v>6</v>
      </c>
      <c r="I130" s="5">
        <f t="shared" si="140"/>
        <v>9.0238935749371807E-2</v>
      </c>
      <c r="J130" s="5">
        <f t="shared" ref="J130" si="228">+AVERAGE(B121:B130)/AVERAGE(B109:B118)-1</f>
        <v>0.16436339338626937</v>
      </c>
      <c r="K130" s="5">
        <f t="shared" si="142"/>
        <v>2.5584417426627981E-2</v>
      </c>
      <c r="L130" s="5">
        <f t="shared" ref="L130" si="229">+F130/F120-1</f>
        <v>7.8517581043327844E-2</v>
      </c>
      <c r="M130" s="6">
        <f t="shared" si="152"/>
        <v>5.8602323795451383E-3</v>
      </c>
    </row>
    <row r="131" spans="1:13" x14ac:dyDescent="0.2">
      <c r="A131" s="1">
        <v>37926</v>
      </c>
      <c r="B131" s="2">
        <v>417.44</v>
      </c>
      <c r="C131" s="2">
        <v>415.68076225624901</v>
      </c>
      <c r="D131" s="2">
        <v>422.77830843253503</v>
      </c>
      <c r="E131" s="2">
        <f t="shared" si="225"/>
        <v>97.583554048020346</v>
      </c>
      <c r="F131" s="2">
        <f t="shared" si="226"/>
        <v>97.687010102500167</v>
      </c>
      <c r="G131" s="2">
        <f t="shared" si="227"/>
        <v>99.474338181909147</v>
      </c>
      <c r="H131" s="4" t="s">
        <v>7</v>
      </c>
      <c r="I131" s="5">
        <f t="shared" si="140"/>
        <v>0.12154755507791504</v>
      </c>
      <c r="J131" s="5">
        <f t="shared" ref="J131" si="230">+AVERAGE(B121:B131)/AVERAGE(B109:B119)-1</f>
        <v>0.160364340192378</v>
      </c>
      <c r="K131" s="5">
        <f t="shared" si="142"/>
        <v>-1.6250566098395591E-2</v>
      </c>
      <c r="L131" s="5">
        <f t="shared" ref="L131" si="231">+F131/F120-1</f>
        <v>6.0991059804301528E-2</v>
      </c>
      <c r="M131" s="6">
        <f t="shared" si="152"/>
        <v>4.7257310041042278E-3</v>
      </c>
    </row>
    <row r="132" spans="1:13" x14ac:dyDescent="0.2">
      <c r="A132" s="1">
        <v>37956</v>
      </c>
      <c r="B132" s="2">
        <v>409.16699999999997</v>
      </c>
      <c r="C132" s="2">
        <v>425.89253427520498</v>
      </c>
      <c r="D132" s="2">
        <v>423.08369376439703</v>
      </c>
      <c r="E132" s="2">
        <f t="shared" si="225"/>
        <v>95.649602479796712</v>
      </c>
      <c r="F132" s="2">
        <f t="shared" si="226"/>
        <v>100.08682642059388</v>
      </c>
      <c r="G132" s="2">
        <f t="shared" si="227"/>
        <v>99.546191451510566</v>
      </c>
      <c r="H132" s="4" t="s">
        <v>8</v>
      </c>
      <c r="I132" s="5">
        <f t="shared" si="140"/>
        <v>8.9369009584664427E-2</v>
      </c>
      <c r="J132" s="5">
        <f t="shared" ref="J132" si="232">+AVERAGE(B121:B132)/AVERAGE(B109:B120)-1</f>
        <v>0.15424910166292949</v>
      </c>
      <c r="K132" s="5">
        <f t="shared" si="142"/>
        <v>2.4566381093818368E-2</v>
      </c>
      <c r="L132" s="5">
        <f t="shared" ref="L132" si="233">+F132/F120-1</f>
        <v>8.7055770516588193E-2</v>
      </c>
      <c r="M132" s="6">
        <f t="shared" si="152"/>
        <v>7.2232970748720149E-4</v>
      </c>
    </row>
    <row r="133" spans="1:13" x14ac:dyDescent="0.2">
      <c r="A133" s="1">
        <v>37987</v>
      </c>
      <c r="B133" s="2">
        <v>384.7</v>
      </c>
      <c r="C133" s="2">
        <v>439.12380575756202</v>
      </c>
      <c r="D133" s="2">
        <v>420.70070685741399</v>
      </c>
      <c r="E133" s="2">
        <f t="shared" si="225"/>
        <v>89.930033639022199</v>
      </c>
      <c r="F133" s="2">
        <f t="shared" si="226"/>
        <v>103.19623986554218</v>
      </c>
      <c r="G133" s="2">
        <f t="shared" si="227"/>
        <v>98.985505056914903</v>
      </c>
      <c r="H133" s="4" t="s">
        <v>18</v>
      </c>
      <c r="I133" s="5">
        <f t="shared" si="140"/>
        <v>6.063279552698031E-2</v>
      </c>
      <c r="J133" s="5">
        <f t="shared" ref="J133" si="234">+AVERAGE(B133:B133)/AVERAGE(B121:B121)-1</f>
        <v>6.063279552698031E-2</v>
      </c>
      <c r="K133" s="5">
        <f t="shared" si="142"/>
        <v>3.1067159946521317E-2</v>
      </c>
      <c r="L133" s="5">
        <f t="shared" ref="L133" si="235">+F133/F132-1</f>
        <v>3.1067159946521317E-2</v>
      </c>
      <c r="M133" s="6">
        <f t="shared" si="152"/>
        <v>-5.6324243692313924E-3</v>
      </c>
    </row>
    <row r="134" spans="1:13" x14ac:dyDescent="0.2">
      <c r="A134" s="1">
        <v>38018</v>
      </c>
      <c r="B134" s="2">
        <v>410.3</v>
      </c>
      <c r="C134" s="2">
        <v>408.92605439986397</v>
      </c>
      <c r="D134" s="2">
        <v>416.30854968222002</v>
      </c>
      <c r="E134" s="2">
        <f t="shared" si="225"/>
        <v>95.914460104213191</v>
      </c>
      <c r="F134" s="2">
        <f t="shared" si="226"/>
        <v>96.09962075346084</v>
      </c>
      <c r="G134" s="2">
        <f t="shared" si="227"/>
        <v>97.952086550149048</v>
      </c>
      <c r="H134" s="4" t="s">
        <v>1</v>
      </c>
      <c r="I134" s="5">
        <f t="shared" si="140"/>
        <v>6.8586980584168122E-2</v>
      </c>
      <c r="J134" s="5">
        <f t="shared" ref="J134" si="236">+AVERAGE(B133:B134)/AVERAGE(B121:B122)-1</f>
        <v>6.4723111723606008E-2</v>
      </c>
      <c r="K134" s="5">
        <f t="shared" si="142"/>
        <v>-6.8768194668020532E-2</v>
      </c>
      <c r="L134" s="5">
        <f t="shared" ref="L134" si="237">+F134/F132-1</f>
        <v>-3.9837467224484113E-2</v>
      </c>
      <c r="M134" s="6">
        <f t="shared" si="152"/>
        <v>-1.0440099347592935E-2</v>
      </c>
    </row>
    <row r="135" spans="1:13" x14ac:dyDescent="0.2">
      <c r="A135" s="1">
        <v>38047</v>
      </c>
      <c r="B135" s="2">
        <v>419.8</v>
      </c>
      <c r="C135" s="2">
        <v>404.09425249435702</v>
      </c>
      <c r="D135" s="2">
        <v>411.53596911880601</v>
      </c>
      <c r="E135" s="2">
        <f t="shared" si="225"/>
        <v>98.135243362780145</v>
      </c>
      <c r="F135" s="2">
        <f t="shared" si="226"/>
        <v>94.964123697993145</v>
      </c>
      <c r="G135" s="2">
        <f t="shared" si="227"/>
        <v>96.829159277163825</v>
      </c>
      <c r="H135" s="4" t="s">
        <v>2</v>
      </c>
      <c r="I135" s="5">
        <f t="shared" si="140"/>
        <v>-6.2912961177185034E-2</v>
      </c>
      <c r="J135" s="5">
        <f t="shared" ref="J135" si="238">+AVERAGE(B133:B135)/AVERAGE(B121:B123)-1</f>
        <v>1.6860906519611918E-2</v>
      </c>
      <c r="K135" s="5">
        <f t="shared" si="142"/>
        <v>-1.1815832846840846E-2</v>
      </c>
      <c r="L135" s="5">
        <f t="shared" ref="L135" si="239">+F135/F132-1</f>
        <v>-5.1182587217558972E-2</v>
      </c>
      <c r="M135" s="6">
        <f t="shared" si="152"/>
        <v>-1.1464046479605194E-2</v>
      </c>
    </row>
    <row r="136" spans="1:13" x14ac:dyDescent="0.2">
      <c r="A136" s="1">
        <v>38078</v>
      </c>
      <c r="B136" s="2">
        <v>409</v>
      </c>
      <c r="C136" s="2">
        <v>401.30940899684299</v>
      </c>
      <c r="D136" s="2">
        <v>407.59293796339398</v>
      </c>
      <c r="E136" s="2">
        <f t="shared" si="225"/>
        <v>95.610563447777693</v>
      </c>
      <c r="F136" s="2">
        <f t="shared" si="226"/>
        <v>94.309671869626271</v>
      </c>
      <c r="G136" s="2">
        <f t="shared" si="227"/>
        <v>95.901414388667845</v>
      </c>
      <c r="H136" s="4" t="s">
        <v>3</v>
      </c>
      <c r="I136" s="5">
        <f t="shared" si="140"/>
        <v>-4.5743643346103369E-2</v>
      </c>
      <c r="J136" s="5">
        <f t="shared" ref="J136" si="240">+AVERAGE(B133:B136)/AVERAGE(B121:B124)-1</f>
        <v>3.308151544143545E-4</v>
      </c>
      <c r="K136" s="5">
        <f t="shared" si="142"/>
        <v>-6.8915691829913861E-3</v>
      </c>
      <c r="L136" s="5">
        <f t="shared" ref="L136" si="241">+F136/F132-1</f>
        <v>-5.7721428059776092E-2</v>
      </c>
      <c r="M136" s="6">
        <f t="shared" si="152"/>
        <v>-9.5812552274713303E-3</v>
      </c>
    </row>
    <row r="137" spans="1:13" x14ac:dyDescent="0.2">
      <c r="A137" s="1">
        <v>38108</v>
      </c>
      <c r="B137" s="2">
        <v>426</v>
      </c>
      <c r="C137" s="2">
        <v>403.48381359437701</v>
      </c>
      <c r="D137" s="2">
        <v>405.95100094503903</v>
      </c>
      <c r="E137" s="2">
        <f t="shared" si="225"/>
        <v>99.584596647318577</v>
      </c>
      <c r="F137" s="2">
        <f t="shared" si="226"/>
        <v>94.820667573957877</v>
      </c>
      <c r="G137" s="2">
        <f t="shared" si="227"/>
        <v>95.515087571564123</v>
      </c>
      <c r="H137" s="4" t="s">
        <v>2</v>
      </c>
      <c r="I137" s="5">
        <f t="shared" si="140"/>
        <v>-3.6401843051122595E-2</v>
      </c>
      <c r="J137" s="5">
        <f t="shared" ref="J137" si="242">+AVERAGE(B133:B137)/AVERAGE(B121:B125)-1</f>
        <v>-7.5318734397361586E-3</v>
      </c>
      <c r="K137" s="5">
        <f t="shared" si="142"/>
        <v>5.4182746499003009E-3</v>
      </c>
      <c r="L137" s="5">
        <f t="shared" ref="L137" si="243">+F137/F132-1</f>
        <v>-5.2615903960288146E-2</v>
      </c>
      <c r="M137" s="6">
        <f t="shared" si="152"/>
        <v>-4.0283745507445623E-3</v>
      </c>
    </row>
    <row r="138" spans="1:13" x14ac:dyDescent="0.2">
      <c r="A138" s="1">
        <v>38139</v>
      </c>
      <c r="B138" s="2">
        <v>410.2</v>
      </c>
      <c r="C138" s="2">
        <v>410.40396348653502</v>
      </c>
      <c r="D138" s="2">
        <v>407.752515292743</v>
      </c>
      <c r="E138" s="2">
        <f t="shared" si="225"/>
        <v>95.891083438333524</v>
      </c>
      <c r="F138" s="2">
        <f t="shared" si="226"/>
        <v>96.446936609736156</v>
      </c>
      <c r="G138" s="2">
        <f t="shared" si="227"/>
        <v>95.938960896871365</v>
      </c>
      <c r="H138" s="4" t="s">
        <v>4</v>
      </c>
      <c r="I138" s="5">
        <f t="shared" si="140"/>
        <v>-2.4357757687761161E-2</v>
      </c>
      <c r="J138" s="5">
        <f t="shared" ref="J138" si="244">+AVERAGE(B133:B138)/AVERAGE(B121:B126)-1</f>
        <v>-1.0377758119427871E-2</v>
      </c>
      <c r="K138" s="5">
        <f t="shared" si="142"/>
        <v>1.7150997534475465E-2</v>
      </c>
      <c r="L138" s="5">
        <f t="shared" ref="L138" si="245">+F138/F132-1</f>
        <v>-3.6367321664909746E-2</v>
      </c>
      <c r="M138" s="6">
        <f t="shared" si="152"/>
        <v>4.4377630391603251E-3</v>
      </c>
    </row>
    <row r="139" spans="1:13" x14ac:dyDescent="0.2">
      <c r="A139" s="1">
        <v>38169</v>
      </c>
      <c r="B139" s="2">
        <v>434.2</v>
      </c>
      <c r="C139" s="2">
        <v>423.56554892229201</v>
      </c>
      <c r="D139" s="2">
        <v>413.635737386801</v>
      </c>
      <c r="E139" s="2">
        <f t="shared" si="225"/>
        <v>101.50148324945008</v>
      </c>
      <c r="F139" s="2">
        <f t="shared" si="226"/>
        <v>99.539973493254777</v>
      </c>
      <c r="G139" s="2">
        <f t="shared" si="227"/>
        <v>97.323207941979618</v>
      </c>
      <c r="H139" s="4" t="s">
        <v>4</v>
      </c>
      <c r="I139" s="5">
        <f t="shared" si="140"/>
        <v>2.4660766961652092E-2</v>
      </c>
      <c r="J139" s="5">
        <f t="shared" ref="J139" si="246">+AVERAGE(B133:B139)/AVERAGE(B121:B127)-1</f>
        <v>-5.2747042752702145E-3</v>
      </c>
      <c r="K139" s="5">
        <f t="shared" si="142"/>
        <v>3.2069830232496876E-2</v>
      </c>
      <c r="L139" s="5">
        <f t="shared" ref="L139" si="247">+F139/F132-1</f>
        <v>-5.4637852642172025E-3</v>
      </c>
      <c r="M139" s="6">
        <f t="shared" si="152"/>
        <v>1.442841398497352E-2</v>
      </c>
    </row>
    <row r="140" spans="1:13" x14ac:dyDescent="0.2">
      <c r="A140" s="1">
        <v>38200</v>
      </c>
      <c r="B140" s="2">
        <v>428.9</v>
      </c>
      <c r="C140" s="2">
        <v>414.61946213544502</v>
      </c>
      <c r="D140" s="2">
        <v>423.01655053061199</v>
      </c>
      <c r="E140" s="2">
        <f t="shared" si="225"/>
        <v>100.26251995782849</v>
      </c>
      <c r="F140" s="2">
        <f t="shared" si="226"/>
        <v>97.437599388710979</v>
      </c>
      <c r="G140" s="2">
        <f t="shared" si="227"/>
        <v>99.530393505847456</v>
      </c>
      <c r="H140" s="4" t="s">
        <v>3</v>
      </c>
      <c r="I140" s="5">
        <f t="shared" si="140"/>
        <v>-2.1013179458852504E-2</v>
      </c>
      <c r="J140" s="5">
        <f t="shared" ref="J140" si="248">+AVERAGE(B133:B140)/AVERAGE(B121:B128)-1</f>
        <v>-7.3343921846139581E-3</v>
      </c>
      <c r="K140" s="5">
        <f t="shared" si="142"/>
        <v>-2.1120902796767038E-2</v>
      </c>
      <c r="L140" s="5">
        <f t="shared" ref="L140" si="249">+F140/F132-1</f>
        <v>-2.6469287983516221E-2</v>
      </c>
      <c r="M140" s="6">
        <f t="shared" si="152"/>
        <v>2.2678923255218697E-2</v>
      </c>
    </row>
    <row r="141" spans="1:13" x14ac:dyDescent="0.2">
      <c r="A141" s="1">
        <v>38231</v>
      </c>
      <c r="B141" s="2">
        <v>417.3</v>
      </c>
      <c r="C141" s="2">
        <v>421.319693534892</v>
      </c>
      <c r="D141" s="2">
        <v>434.29587891108503</v>
      </c>
      <c r="E141" s="2">
        <f t="shared" si="225"/>
        <v>97.550826715788844</v>
      </c>
      <c r="F141" s="2">
        <f t="shared" si="226"/>
        <v>99.012186504203655</v>
      </c>
      <c r="G141" s="2">
        <f t="shared" si="227"/>
        <v>102.18427546574233</v>
      </c>
      <c r="H141" s="4" t="s">
        <v>5</v>
      </c>
      <c r="I141" s="5">
        <f t="shared" si="140"/>
        <v>1.5854932118105181E-2</v>
      </c>
      <c r="J141" s="5">
        <f t="shared" ref="J141" si="250">+AVERAGE(B133:B141)/AVERAGE(B121:B129)-1</f>
        <v>-4.7998637732673544E-3</v>
      </c>
      <c r="K141" s="5">
        <f t="shared" si="142"/>
        <v>1.6159953912771696E-2</v>
      </c>
      <c r="L141" s="5">
        <f t="shared" ref="L141" si="251">+F141/F132-1</f>
        <v>-1.073707654466205E-2</v>
      </c>
      <c r="M141" s="6">
        <f t="shared" si="152"/>
        <v>2.666403564192632E-2</v>
      </c>
    </row>
    <row r="142" spans="1:13" x14ac:dyDescent="0.2">
      <c r="A142" s="1">
        <v>38261</v>
      </c>
      <c r="B142" s="2">
        <v>476.9</v>
      </c>
      <c r="C142" s="2">
        <v>447.75135593444202</v>
      </c>
      <c r="D142" s="2">
        <v>445.44833985994597</v>
      </c>
      <c r="E142" s="2">
        <f t="shared" si="225"/>
        <v>111.48331958006156</v>
      </c>
      <c r="F142" s="2">
        <f t="shared" si="226"/>
        <v>105.2237563104075</v>
      </c>
      <c r="G142" s="2">
        <f t="shared" si="227"/>
        <v>104.8083071387499</v>
      </c>
      <c r="H142" s="4" t="s">
        <v>6</v>
      </c>
      <c r="I142" s="5">
        <f t="shared" si="140"/>
        <v>6.4219118900656236E-2</v>
      </c>
      <c r="J142" s="5">
        <f t="shared" ref="J142" si="252">+AVERAGE(B133:B142)/AVERAGE(B121:B130)-1</f>
        <v>2.552678410540743E-3</v>
      </c>
      <c r="K142" s="5">
        <f t="shared" si="142"/>
        <v>6.273540687782031E-2</v>
      </c>
      <c r="L142" s="5">
        <f t="shared" ref="L142" si="253">+F142/F132-1</f>
        <v>5.1324735467450422E-2</v>
      </c>
      <c r="M142" s="6">
        <f t="shared" si="152"/>
        <v>2.5679407727339454E-2</v>
      </c>
    </row>
    <row r="143" spans="1:13" x14ac:dyDescent="0.2">
      <c r="A143" s="1">
        <v>38292</v>
      </c>
      <c r="B143" s="2">
        <v>465.7</v>
      </c>
      <c r="C143" s="2">
        <v>465.55688856657599</v>
      </c>
      <c r="D143" s="2">
        <v>454.23367151463299</v>
      </c>
      <c r="E143" s="2">
        <f t="shared" si="225"/>
        <v>108.86513300154053</v>
      </c>
      <c r="F143" s="2">
        <f t="shared" si="226"/>
        <v>109.40814347491002</v>
      </c>
      <c r="G143" s="2">
        <f t="shared" si="227"/>
        <v>106.87538351099481</v>
      </c>
      <c r="H143" s="4" t="s">
        <v>7</v>
      </c>
      <c r="I143" s="5">
        <f t="shared" si="140"/>
        <v>0.11560942889996184</v>
      </c>
      <c r="J143" s="5">
        <f t="shared" ref="J143" si="254">+AVERAGE(B133:B143)/AVERAGE(B121:B131)-1</f>
        <v>1.2759077526350859E-2</v>
      </c>
      <c r="K143" s="5">
        <f t="shared" si="142"/>
        <v>3.9766563285943635E-2</v>
      </c>
      <c r="L143" s="5">
        <f t="shared" ref="L143" si="255">+F143/F132-1</f>
        <v>9.3132307094494715E-2</v>
      </c>
      <c r="M143" s="6">
        <f t="shared" si="152"/>
        <v>1.972244785433297E-2</v>
      </c>
    </row>
    <row r="144" spans="1:13" x14ac:dyDescent="0.2">
      <c r="A144" s="1">
        <v>38322</v>
      </c>
      <c r="B144" s="2">
        <v>450.32400000000001</v>
      </c>
      <c r="C144" s="2">
        <v>466.12256609613399</v>
      </c>
      <c r="D144" s="2">
        <v>459.67738033965998</v>
      </c>
      <c r="E144" s="2">
        <f t="shared" si="225"/>
        <v>105.27073685588519</v>
      </c>
      <c r="F144" s="2">
        <f t="shared" si="226"/>
        <v>109.54108045819679</v>
      </c>
      <c r="G144" s="2">
        <f t="shared" si="227"/>
        <v>108.15621869535477</v>
      </c>
      <c r="H144" s="4" t="s">
        <v>8</v>
      </c>
      <c r="I144" s="5">
        <f t="shared" si="140"/>
        <v>0.10058729076391804</v>
      </c>
      <c r="J144" s="5">
        <f t="shared" ref="J144" si="256">+AVERAGE(B133:B144)/AVERAGE(B121:B132)-1</f>
        <v>1.9898994053249686E-2</v>
      </c>
      <c r="K144" s="5">
        <f t="shared" si="142"/>
        <v>1.215055653670305E-3</v>
      </c>
      <c r="L144" s="5">
        <f t="shared" ref="L144" si="257">+F144/F132-1</f>
        <v>9.4460523684439579E-2</v>
      </c>
      <c r="M144" s="6">
        <f t="shared" si="152"/>
        <v>1.1984379772805198E-2</v>
      </c>
    </row>
    <row r="145" spans="1:13" x14ac:dyDescent="0.2">
      <c r="A145" s="1">
        <v>38353</v>
      </c>
      <c r="B145" s="2">
        <v>410.1</v>
      </c>
      <c r="C145" s="2">
        <v>467.18898877788598</v>
      </c>
      <c r="D145" s="2">
        <v>461.50732991933597</v>
      </c>
      <c r="E145" s="2">
        <f t="shared" si="225"/>
        <v>95.867706772453872</v>
      </c>
      <c r="F145" s="2">
        <f t="shared" si="226"/>
        <v>109.79169499883706</v>
      </c>
      <c r="G145" s="2">
        <f t="shared" si="227"/>
        <v>108.58678246770019</v>
      </c>
      <c r="H145" s="4" t="s">
        <v>19</v>
      </c>
      <c r="I145" s="5">
        <f t="shared" si="140"/>
        <v>6.6025474395632999E-2</v>
      </c>
      <c r="J145" s="5">
        <f t="shared" ref="J145" si="258">+AVERAGE(B145:B145)/AVERAGE(B133:B133)-1</f>
        <v>6.6025474395632999E-2</v>
      </c>
      <c r="K145" s="5">
        <f t="shared" si="142"/>
        <v>2.2878589438042329E-3</v>
      </c>
      <c r="L145" s="5">
        <f t="shared" ref="L145" si="259">+F145/F144-1</f>
        <v>2.2878589438042329E-3</v>
      </c>
      <c r="M145" s="6">
        <f t="shared" si="152"/>
        <v>3.9809432831430236E-3</v>
      </c>
    </row>
    <row r="146" spans="1:13" x14ac:dyDescent="0.2">
      <c r="A146" s="1">
        <v>38384</v>
      </c>
      <c r="B146" s="2">
        <v>420.4</v>
      </c>
      <c r="C146" s="2">
        <v>453.05467025174499</v>
      </c>
      <c r="D146" s="2">
        <v>460.05289031111101</v>
      </c>
      <c r="E146" s="2">
        <f t="shared" si="225"/>
        <v>98.275503358058046</v>
      </c>
      <c r="F146" s="2">
        <f t="shared" si="226"/>
        <v>106.47006108640709</v>
      </c>
      <c r="G146" s="2">
        <f t="shared" si="227"/>
        <v>108.2445713973401</v>
      </c>
      <c r="H146" s="4" t="s">
        <v>1</v>
      </c>
      <c r="I146" s="5">
        <f t="shared" si="140"/>
        <v>2.4616134535705436E-2</v>
      </c>
      <c r="J146" s="5">
        <f t="shared" ref="J146" si="260">+AVERAGE(B145:B146)/AVERAGE(B133:B134)-1</f>
        <v>4.4654088050314567E-2</v>
      </c>
      <c r="K146" s="5">
        <f t="shared" si="142"/>
        <v>-3.0253963311752785E-2</v>
      </c>
      <c r="L146" s="5">
        <f t="shared" ref="L146" si="261">+F146/F144-1</f>
        <v>-2.803532116849683E-2</v>
      </c>
      <c r="M146" s="6">
        <f t="shared" si="152"/>
        <v>-3.1514983921904216E-3</v>
      </c>
    </row>
    <row r="147" spans="1:13" x14ac:dyDescent="0.2">
      <c r="A147" s="1">
        <v>38412</v>
      </c>
      <c r="B147" s="2">
        <v>465.9</v>
      </c>
      <c r="C147" s="2">
        <v>447.77660178217002</v>
      </c>
      <c r="D147" s="2">
        <v>456.67562483987302</v>
      </c>
      <c r="E147" s="2">
        <f t="shared" si="225"/>
        <v>108.91188633329982</v>
      </c>
      <c r="F147" s="2">
        <f t="shared" si="226"/>
        <v>105.22968920797213</v>
      </c>
      <c r="G147" s="2">
        <f t="shared" si="227"/>
        <v>107.44994395095675</v>
      </c>
      <c r="H147" s="4" t="s">
        <v>2</v>
      </c>
      <c r="I147" s="5">
        <f t="shared" si="140"/>
        <v>0.10981419723677921</v>
      </c>
      <c r="J147" s="5">
        <f t="shared" ref="J147" si="262">+AVERAGE(B145:B147)/AVERAGE(B133:B135)-1</f>
        <v>6.717155087257165E-2</v>
      </c>
      <c r="K147" s="5">
        <f t="shared" si="142"/>
        <v>-1.1649959301031299E-2</v>
      </c>
      <c r="L147" s="5">
        <f t="shared" ref="L147" si="263">+F147/F144-1</f>
        <v>-3.93586701189238E-2</v>
      </c>
      <c r="M147" s="6">
        <f t="shared" si="152"/>
        <v>-7.3410373945355101E-3</v>
      </c>
    </row>
    <row r="148" spans="1:13" x14ac:dyDescent="0.2">
      <c r="A148" s="1">
        <v>38443</v>
      </c>
      <c r="B148" s="2">
        <v>462.6</v>
      </c>
      <c r="C148" s="2">
        <v>454.80427934317902</v>
      </c>
      <c r="D148" s="2">
        <v>453.227044048381</v>
      </c>
      <c r="E148" s="2">
        <f t="shared" si="225"/>
        <v>108.14045635927133</v>
      </c>
      <c r="F148" s="2">
        <f t="shared" si="226"/>
        <v>106.88122777129922</v>
      </c>
      <c r="G148" s="2">
        <f t="shared" si="227"/>
        <v>106.63853692023098</v>
      </c>
      <c r="H148" s="4" t="s">
        <v>3</v>
      </c>
      <c r="I148" s="5">
        <f t="shared" si="140"/>
        <v>0.13105134474327662</v>
      </c>
      <c r="J148" s="5">
        <f t="shared" ref="J148" si="264">+AVERAGE(B145:B148)/AVERAGE(B133:B136)-1</f>
        <v>8.3261485404606539E-2</v>
      </c>
      <c r="K148" s="5">
        <f t="shared" si="142"/>
        <v>1.5694606491358565E-2</v>
      </c>
      <c r="L148" s="5">
        <f t="shared" ref="L148" si="265">+F148/F144-1</f>
        <v>-2.4281782467104884E-2</v>
      </c>
      <c r="M148" s="6">
        <f t="shared" si="152"/>
        <v>-7.5514886363842182E-3</v>
      </c>
    </row>
    <row r="149" spans="1:13" x14ac:dyDescent="0.2">
      <c r="A149" s="1">
        <v>38473</v>
      </c>
      <c r="B149" s="2">
        <v>482.1</v>
      </c>
      <c r="C149" s="2">
        <v>465.284557755089</v>
      </c>
      <c r="D149" s="2">
        <v>450.08546267530397</v>
      </c>
      <c r="E149" s="2">
        <f t="shared" si="225"/>
        <v>112.6989062058035</v>
      </c>
      <c r="F149" s="2">
        <f t="shared" si="226"/>
        <v>109.34414440363101</v>
      </c>
      <c r="G149" s="2">
        <f t="shared" si="227"/>
        <v>105.89936293306479</v>
      </c>
      <c r="H149" s="4" t="s">
        <v>2</v>
      </c>
      <c r="I149" s="5">
        <f t="shared" si="140"/>
        <v>0.13169014084507058</v>
      </c>
      <c r="J149" s="5">
        <f t="shared" ref="J149" si="266">+AVERAGE(B145:B149)/AVERAGE(B133:B137)-1</f>
        <v>9.3326178163723128E-2</v>
      </c>
      <c r="K149" s="5">
        <f t="shared" si="142"/>
        <v>2.3043491206911071E-2</v>
      </c>
      <c r="L149" s="5">
        <f t="shared" ref="L149" si="267">+F149/F144-1</f>
        <v>-1.797828300962756E-3</v>
      </c>
      <c r="M149" s="6">
        <f t="shared" si="152"/>
        <v>-6.9315841019003122E-3</v>
      </c>
    </row>
    <row r="150" spans="1:13" x14ac:dyDescent="0.2">
      <c r="A150" s="1">
        <v>38504</v>
      </c>
      <c r="B150" s="2">
        <v>441.4</v>
      </c>
      <c r="C150" s="2">
        <v>441.61733089322701</v>
      </c>
      <c r="D150" s="2">
        <v>446.85126841245199</v>
      </c>
      <c r="E150" s="2">
        <f t="shared" si="225"/>
        <v>103.18460319278502</v>
      </c>
      <c r="F150" s="2">
        <f t="shared" si="226"/>
        <v>103.78223045552377</v>
      </c>
      <c r="G150" s="2">
        <f t="shared" si="227"/>
        <v>105.13839831536312</v>
      </c>
      <c r="H150" s="4" t="s">
        <v>4</v>
      </c>
      <c r="I150" s="5">
        <f t="shared" si="140"/>
        <v>7.6060458313017998E-2</v>
      </c>
      <c r="J150" s="5">
        <f t="shared" ref="J150" si="268">+AVERAGE(B145:B150)/AVERAGE(B133:B138)-1</f>
        <v>9.0447154471544611E-2</v>
      </c>
      <c r="K150" s="5">
        <f t="shared" si="142"/>
        <v>-5.0866134427611231E-2</v>
      </c>
      <c r="L150" s="5">
        <f t="shared" ref="L150" si="269">+F150/F144-1</f>
        <v>-5.2572514152539496E-2</v>
      </c>
      <c r="M150" s="6">
        <f t="shared" si="152"/>
        <v>-7.1857336685080542E-3</v>
      </c>
    </row>
    <row r="151" spans="1:13" x14ac:dyDescent="0.2">
      <c r="A151" s="1">
        <v>38534</v>
      </c>
      <c r="B151" s="2">
        <v>454.7</v>
      </c>
      <c r="C151" s="2">
        <v>440.359175644804</v>
      </c>
      <c r="D151" s="2">
        <v>444.326141382728</v>
      </c>
      <c r="E151" s="2">
        <f t="shared" si="225"/>
        <v>106.29369975477879</v>
      </c>
      <c r="F151" s="2">
        <f t="shared" si="226"/>
        <v>103.48655782493077</v>
      </c>
      <c r="G151" s="2">
        <f t="shared" si="227"/>
        <v>104.5442681646505</v>
      </c>
      <c r="H151" s="4" t="s">
        <v>4</v>
      </c>
      <c r="I151" s="5">
        <f t="shared" si="140"/>
        <v>4.7213265776139934E-2</v>
      </c>
      <c r="J151" s="5">
        <f t="shared" ref="J151" si="270">+AVERAGE(B145:B151)/AVERAGE(B133:B139)-1</f>
        <v>8.39610254992742E-2</v>
      </c>
      <c r="K151" s="5">
        <f t="shared" si="142"/>
        <v>-2.8489716331517867E-3</v>
      </c>
      <c r="L151" s="5">
        <f t="shared" ref="L151" si="271">+F151/F144-1</f>
        <v>-5.527170818418714E-2</v>
      </c>
      <c r="M151" s="6">
        <f t="shared" si="152"/>
        <v>-5.650934009195363E-3</v>
      </c>
    </row>
    <row r="152" spans="1:13" x14ac:dyDescent="0.2">
      <c r="A152" s="1">
        <v>38565</v>
      </c>
      <c r="B152" s="2">
        <v>460.8</v>
      </c>
      <c r="C152" s="2">
        <v>446.09795826629397</v>
      </c>
      <c r="D152" s="2">
        <v>443.994481286123</v>
      </c>
      <c r="E152" s="2">
        <f t="shared" si="225"/>
        <v>107.71967637343758</v>
      </c>
      <c r="F152" s="2">
        <f t="shared" si="226"/>
        <v>104.83519978006642</v>
      </c>
      <c r="G152" s="2">
        <f t="shared" si="227"/>
        <v>104.46623277836626</v>
      </c>
      <c r="H152" s="4" t="s">
        <v>3</v>
      </c>
      <c r="I152" s="5">
        <f t="shared" si="140"/>
        <v>7.4376311494521063E-2</v>
      </c>
      <c r="J152" s="5">
        <f t="shared" ref="J152" si="272">+AVERAGE(B145:B152)/AVERAGE(B133:B140)-1</f>
        <v>8.272396256507486E-2</v>
      </c>
      <c r="K152" s="5">
        <f t="shared" si="142"/>
        <v>1.3032049606067186E-2</v>
      </c>
      <c r="L152" s="5">
        <f t="shared" ref="L152" si="273">+F152/F144-1</f>
        <v>-4.2959962220988301E-2</v>
      </c>
      <c r="M152" s="6">
        <f t="shared" si="152"/>
        <v>-7.4643390454787184E-4</v>
      </c>
    </row>
    <row r="153" spans="1:13" x14ac:dyDescent="0.2">
      <c r="A153" s="1">
        <v>38596</v>
      </c>
      <c r="B153" s="2">
        <v>408.2</v>
      </c>
      <c r="C153" s="2">
        <v>410.946264483927</v>
      </c>
      <c r="D153" s="2">
        <v>446.792395777107</v>
      </c>
      <c r="E153" s="2">
        <f t="shared" si="225"/>
        <v>95.423550120740472</v>
      </c>
      <c r="F153" s="2">
        <f t="shared" si="226"/>
        <v>96.57437999374865</v>
      </c>
      <c r="G153" s="2">
        <f t="shared" si="227"/>
        <v>105.12454633591865</v>
      </c>
      <c r="H153" s="4" t="s">
        <v>5</v>
      </c>
      <c r="I153" s="5">
        <f t="shared" ref="I153:I216" si="274">+E153/E141-1</f>
        <v>-2.1806853582554742E-2</v>
      </c>
      <c r="J153" s="5">
        <f t="shared" ref="J153" si="275">+AVERAGE(B145:B153)/AVERAGE(B133:B141)-1</f>
        <v>7.1061918511388988E-2</v>
      </c>
      <c r="K153" s="5">
        <f t="shared" ref="K153:K216" si="276">+F153/F152-1</f>
        <v>-7.8798149892861602E-2</v>
      </c>
      <c r="L153" s="5">
        <f t="shared" ref="L153" si="277">+F153/F144-1</f>
        <v>-0.11837294657136876</v>
      </c>
      <c r="M153" s="6">
        <f t="shared" si="152"/>
        <v>6.3016875409784845E-3</v>
      </c>
    </row>
    <row r="154" spans="1:13" x14ac:dyDescent="0.2">
      <c r="A154" s="1">
        <v>38626</v>
      </c>
      <c r="B154" s="2">
        <v>448</v>
      </c>
      <c r="C154" s="2">
        <v>416.61117666392198</v>
      </c>
      <c r="D154" s="2">
        <v>453.24479863410198</v>
      </c>
      <c r="E154" s="2">
        <f t="shared" si="225"/>
        <v>104.72746314084208</v>
      </c>
      <c r="F154" s="2">
        <f t="shared" si="226"/>
        <v>97.905662034209797</v>
      </c>
      <c r="G154" s="2">
        <f t="shared" si="227"/>
        <v>106.64271434757072</v>
      </c>
      <c r="H154" s="4" t="s">
        <v>6</v>
      </c>
      <c r="I154" s="5">
        <f t="shared" si="274"/>
        <v>-6.0599706437408085E-2</v>
      </c>
      <c r="J154" s="5">
        <f t="shared" ref="J154" si="278">+AVERAGE(B145:B154)/AVERAGE(B133:B142)-1</f>
        <v>5.6173381073198358E-2</v>
      </c>
      <c r="K154" s="5">
        <f t="shared" si="276"/>
        <v>1.3785043616612702E-2</v>
      </c>
      <c r="L154" s="5">
        <f t="shared" ref="L154" si="279">+F154/F144-1</f>
        <v>-0.1062196791862694</v>
      </c>
      <c r="M154" s="6">
        <f t="shared" si="152"/>
        <v>1.4441612968305817E-2</v>
      </c>
    </row>
    <row r="155" spans="1:13" x14ac:dyDescent="0.2">
      <c r="A155" s="1">
        <v>38657</v>
      </c>
      <c r="B155" s="2">
        <v>466.6</v>
      </c>
      <c r="C155" s="2">
        <v>465.39156515840699</v>
      </c>
      <c r="D155" s="2">
        <v>461.73681929106101</v>
      </c>
      <c r="E155" s="2">
        <f t="shared" si="225"/>
        <v>109.0755229944574</v>
      </c>
      <c r="F155" s="2">
        <f t="shared" si="226"/>
        <v>109.36929166623761</v>
      </c>
      <c r="G155" s="2">
        <f t="shared" si="227"/>
        <v>108.64077838687771</v>
      </c>
      <c r="H155" s="4" t="s">
        <v>7</v>
      </c>
      <c r="I155" s="5">
        <f t="shared" si="274"/>
        <v>1.9325746188534332E-3</v>
      </c>
      <c r="J155" s="5">
        <f t="shared" ref="J155" si="280">+AVERAGE(B145:B155)/AVERAGE(B133:B143)-1</f>
        <v>5.0779414904975395E-2</v>
      </c>
      <c r="K155" s="5">
        <f t="shared" si="276"/>
        <v>0.11708852576904327</v>
      </c>
      <c r="L155" s="5">
        <f t="shared" ref="L155" si="281">+F155/F144-1</f>
        <v>-1.5682590608071534E-3</v>
      </c>
      <c r="M155" s="6">
        <f t="shared" si="152"/>
        <v>1.8736057606288048E-2</v>
      </c>
    </row>
    <row r="156" spans="1:13" x14ac:dyDescent="0.2">
      <c r="A156" s="1">
        <v>38687</v>
      </c>
      <c r="B156" s="2">
        <v>464.78</v>
      </c>
      <c r="C156" s="2">
        <v>481.05124394905499</v>
      </c>
      <c r="D156" s="2">
        <v>469.57470786778202</v>
      </c>
      <c r="E156" s="2">
        <f t="shared" si="225"/>
        <v>108.65006767544772</v>
      </c>
      <c r="F156" s="2">
        <f t="shared" si="226"/>
        <v>113.04939269357577</v>
      </c>
      <c r="G156" s="2">
        <f t="shared" si="227"/>
        <v>110.48493349928998</v>
      </c>
      <c r="H156" s="4" t="s">
        <v>8</v>
      </c>
      <c r="I156" s="5">
        <f t="shared" si="274"/>
        <v>3.2101331485774764E-2</v>
      </c>
      <c r="J156" s="5">
        <f t="shared" ref="J156" si="282">+AVERAGE(B145:B156)/AVERAGE(B133:B144)-1</f>
        <v>4.9140868567812968E-2</v>
      </c>
      <c r="K156" s="5">
        <f t="shared" si="276"/>
        <v>3.3648394090077138E-2</v>
      </c>
      <c r="L156" s="5">
        <f t="shared" ref="L156" si="283">+F156/F144-1</f>
        <v>3.2027365630356686E-2</v>
      </c>
      <c r="M156" s="6">
        <f t="shared" si="152"/>
        <v>1.6974796570815132E-2</v>
      </c>
    </row>
    <row r="157" spans="1:13" x14ac:dyDescent="0.2">
      <c r="A157" s="1">
        <v>38718</v>
      </c>
      <c r="B157" s="2">
        <v>412.3</v>
      </c>
      <c r="C157" s="2">
        <v>475.97635220603701</v>
      </c>
      <c r="D157" s="2">
        <v>475.55868304006299</v>
      </c>
      <c r="E157" s="2">
        <f t="shared" si="225"/>
        <v>96.381993421806229</v>
      </c>
      <c r="F157" s="2">
        <f t="shared" si="226"/>
        <v>111.85676833858173</v>
      </c>
      <c r="G157" s="2">
        <f t="shared" si="227"/>
        <v>111.89288645734628</v>
      </c>
      <c r="H157" s="4" t="s">
        <v>20</v>
      </c>
      <c r="I157" s="5">
        <f t="shared" si="274"/>
        <v>5.3645452328701104E-3</v>
      </c>
      <c r="J157" s="5">
        <f t="shared" ref="J157" si="284">+AVERAGE(B157:B157)/AVERAGE(B145:B145)-1</f>
        <v>5.3645452328701104E-3</v>
      </c>
      <c r="K157" s="5">
        <f t="shared" si="276"/>
        <v>-1.0549586570771652E-2</v>
      </c>
      <c r="L157" s="5">
        <f t="shared" ref="L157:M172" si="285">+F157/F156-1</f>
        <v>-1.0549586570771652E-2</v>
      </c>
      <c r="M157" s="6">
        <f t="shared" si="285"/>
        <v>1.274339327058871E-2</v>
      </c>
    </row>
    <row r="158" spans="1:13" x14ac:dyDescent="0.2">
      <c r="A158" s="1">
        <v>38749</v>
      </c>
      <c r="B158" s="2">
        <v>445.9</v>
      </c>
      <c r="C158" s="2">
        <v>477.46085795187003</v>
      </c>
      <c r="D158" s="2">
        <v>479.96302268044701</v>
      </c>
      <c r="E158" s="2">
        <f t="shared" si="225"/>
        <v>104.23655315736937</v>
      </c>
      <c r="F158" s="2">
        <f t="shared" si="226"/>
        <v>112.2056344419907</v>
      </c>
      <c r="G158" s="2">
        <f t="shared" si="227"/>
        <v>112.92917134263259</v>
      </c>
      <c r="H158" s="4" t="s">
        <v>1</v>
      </c>
      <c r="I158" s="5">
        <f t="shared" si="274"/>
        <v>6.0656517602283522E-2</v>
      </c>
      <c r="J158" s="5">
        <f t="shared" ref="J158" si="286">+AVERAGE(B157:B158)/AVERAGE(B145:B146)-1</f>
        <v>3.3353401565322072E-2</v>
      </c>
      <c r="K158" s="5">
        <f t="shared" si="276"/>
        <v>3.1188644960040701E-3</v>
      </c>
      <c r="L158" s="5">
        <f t="shared" ref="L158" si="287">+F158/F156-1</f>
        <v>-7.4636248057705634E-3</v>
      </c>
      <c r="M158" s="6">
        <f t="shared" si="285"/>
        <v>9.2614009531457597E-3</v>
      </c>
    </row>
    <row r="159" spans="1:13" x14ac:dyDescent="0.2">
      <c r="A159" s="1">
        <v>38777</v>
      </c>
      <c r="B159" s="2">
        <v>505.1</v>
      </c>
      <c r="C159" s="2">
        <v>485.60160616559602</v>
      </c>
      <c r="D159" s="2">
        <v>482.24365949479397</v>
      </c>
      <c r="E159" s="2">
        <f t="shared" si="225"/>
        <v>118.07553935812352</v>
      </c>
      <c r="F159" s="2">
        <f t="shared" si="226"/>
        <v>114.1187500470519</v>
      </c>
      <c r="G159" s="2">
        <f t="shared" si="227"/>
        <v>113.46577606717858</v>
      </c>
      <c r="H159" s="4" t="s">
        <v>2</v>
      </c>
      <c r="I159" s="5">
        <f t="shared" si="274"/>
        <v>8.4138227087358075E-2</v>
      </c>
      <c r="J159" s="5">
        <f t="shared" ref="J159" si="288">+AVERAGE(B157:B159)/AVERAGE(B145:B147)-1</f>
        <v>5.1604443073125505E-2</v>
      </c>
      <c r="K159" s="5">
        <f t="shared" si="276"/>
        <v>1.7050085003086579E-2</v>
      </c>
      <c r="L159" s="5">
        <f t="shared" ref="L159" si="289">+F159/F156-1</f>
        <v>9.4592047599464379E-3</v>
      </c>
      <c r="M159" s="6">
        <f t="shared" si="285"/>
        <v>4.7516927483501892E-3</v>
      </c>
    </row>
    <row r="160" spans="1:13" x14ac:dyDescent="0.2">
      <c r="A160" s="1">
        <v>38808</v>
      </c>
      <c r="B160" s="2">
        <v>479.7</v>
      </c>
      <c r="C160" s="2">
        <v>471.56766220073803</v>
      </c>
      <c r="D160" s="2">
        <v>481.87366820012397</v>
      </c>
      <c r="E160" s="2">
        <f t="shared" si="225"/>
        <v>112.13786622469183</v>
      </c>
      <c r="F160" s="2">
        <f t="shared" si="226"/>
        <v>110.82070464694296</v>
      </c>
      <c r="G160" s="2">
        <f t="shared" si="227"/>
        <v>113.37872183938052</v>
      </c>
      <c r="H160" s="4" t="s">
        <v>3</v>
      </c>
      <c r="I160" s="5">
        <f t="shared" si="274"/>
        <v>3.6964980544746728E-2</v>
      </c>
      <c r="J160" s="5">
        <f t="shared" ref="J160" si="290">+AVERAGE(B157:B160)/AVERAGE(B145:B148)-1</f>
        <v>4.7754405912450393E-2</v>
      </c>
      <c r="K160" s="5">
        <f t="shared" si="276"/>
        <v>-2.8900118505934769E-2</v>
      </c>
      <c r="L160" s="5">
        <f t="shared" ref="L160" si="291">+F160/F156-1</f>
        <v>-1.971428588452262E-2</v>
      </c>
      <c r="M160" s="6">
        <f t="shared" si="285"/>
        <v>-7.6722894616720883E-4</v>
      </c>
    </row>
    <row r="161" spans="1:13" x14ac:dyDescent="0.2">
      <c r="A161" s="1">
        <v>38838</v>
      </c>
      <c r="B161" s="2">
        <v>492.1</v>
      </c>
      <c r="C161" s="2">
        <v>482.51391017093999</v>
      </c>
      <c r="D161" s="2">
        <v>479.64718090851301</v>
      </c>
      <c r="E161" s="2">
        <f t="shared" si="225"/>
        <v>115.03657279376873</v>
      </c>
      <c r="F161" s="2">
        <f t="shared" si="226"/>
        <v>113.39312640215135</v>
      </c>
      <c r="G161" s="2">
        <f t="shared" si="227"/>
        <v>112.8548578061841</v>
      </c>
      <c r="H161" s="4" t="s">
        <v>2</v>
      </c>
      <c r="I161" s="5">
        <f t="shared" si="274"/>
        <v>2.074258452603206E-2</v>
      </c>
      <c r="J161" s="5">
        <f t="shared" ref="J161" si="292">+AVERAGE(B157:B161)/AVERAGE(B145:B149)-1</f>
        <v>4.1943688367319876E-2</v>
      </c>
      <c r="K161" s="5">
        <f t="shared" si="276"/>
        <v>2.3212465246487346E-2</v>
      </c>
      <c r="L161" s="5">
        <f t="shared" ref="L161" si="293">+F161/F156-1</f>
        <v>3.0405621860110088E-3</v>
      </c>
      <c r="M161" s="6">
        <f t="shared" si="285"/>
        <v>-4.6204792636360681E-3</v>
      </c>
    </row>
    <row r="162" spans="1:13" x14ac:dyDescent="0.2">
      <c r="A162" s="1">
        <v>38869</v>
      </c>
      <c r="B162" s="2">
        <v>490.5</v>
      </c>
      <c r="C162" s="2">
        <v>490.83716567381401</v>
      </c>
      <c r="D162" s="2">
        <v>475.35041631244599</v>
      </c>
      <c r="E162" s="2">
        <f t="shared" si="225"/>
        <v>114.66254613969429</v>
      </c>
      <c r="F162" s="2">
        <f t="shared" si="226"/>
        <v>115.34913211187367</v>
      </c>
      <c r="G162" s="2">
        <f t="shared" si="227"/>
        <v>111.84388395536877</v>
      </c>
      <c r="H162" s="4" t="s">
        <v>4</v>
      </c>
      <c r="I162" s="5">
        <f t="shared" si="274"/>
        <v>0.11123697326687831</v>
      </c>
      <c r="J162" s="5">
        <f t="shared" ref="J162" si="294">+AVERAGE(B157:B162)/AVERAGE(B145:B150)-1</f>
        <v>5.3345759552656302E-2</v>
      </c>
      <c r="K162" s="5">
        <f t="shared" si="276"/>
        <v>1.7249773172187677E-2</v>
      </c>
      <c r="L162" s="5">
        <f t="shared" ref="L162" si="295">+F162/F156-1</f>
        <v>2.0342784366223166E-2</v>
      </c>
      <c r="M162" s="6">
        <f t="shared" si="285"/>
        <v>-8.9581775252560725E-3</v>
      </c>
    </row>
    <row r="163" spans="1:13" x14ac:dyDescent="0.2">
      <c r="A163" s="1">
        <v>38899</v>
      </c>
      <c r="B163" s="2">
        <v>481.6</v>
      </c>
      <c r="C163" s="2">
        <v>464.11176596509301</v>
      </c>
      <c r="D163" s="2">
        <v>467.87298274418401</v>
      </c>
      <c r="E163" s="2">
        <f t="shared" si="225"/>
        <v>112.58202287640525</v>
      </c>
      <c r="F163" s="2">
        <f t="shared" si="226"/>
        <v>109.0685326028452</v>
      </c>
      <c r="G163" s="2">
        <f t="shared" si="227"/>
        <v>110.08453930436299</v>
      </c>
      <c r="H163" s="4" t="s">
        <v>4</v>
      </c>
      <c r="I163" s="5">
        <f t="shared" si="274"/>
        <v>5.9159885638882859E-2</v>
      </c>
      <c r="J163" s="5">
        <f t="shared" ref="J163" si="296">+AVERAGE(B157:B163)/AVERAGE(B145:B151)-1</f>
        <v>5.4188448297845415E-2</v>
      </c>
      <c r="K163" s="5">
        <f t="shared" si="276"/>
        <v>-5.4448606539467592E-2</v>
      </c>
      <c r="L163" s="5">
        <f t="shared" ref="L163" si="297">+F163/F156-1</f>
        <v>-3.5213458435118139E-2</v>
      </c>
      <c r="M163" s="6">
        <f t="shared" si="285"/>
        <v>-1.5730360827846845E-2</v>
      </c>
    </row>
    <row r="164" spans="1:13" x14ac:dyDescent="0.2">
      <c r="A164" s="1">
        <v>38930</v>
      </c>
      <c r="B164" s="2">
        <v>464.3</v>
      </c>
      <c r="C164" s="2">
        <v>446.34332463394799</v>
      </c>
      <c r="D164" s="2">
        <v>456.296300834546</v>
      </c>
      <c r="E164" s="2">
        <f t="shared" si="225"/>
        <v>108.53785967922541</v>
      </c>
      <c r="F164" s="2">
        <f t="shared" si="226"/>
        <v>104.89286207529926</v>
      </c>
      <c r="G164" s="2">
        <f t="shared" si="227"/>
        <v>107.36069385549582</v>
      </c>
      <c r="H164" s="4" t="s">
        <v>3</v>
      </c>
      <c r="I164" s="5">
        <f t="shared" si="274"/>
        <v>7.5954861111111605E-3</v>
      </c>
      <c r="J164" s="5">
        <f t="shared" ref="J164" si="298">+AVERAGE(B157:B164)/AVERAGE(B145:B152)-1</f>
        <v>4.8221234018899439E-2</v>
      </c>
      <c r="K164" s="5">
        <f t="shared" si="276"/>
        <v>-3.8284832736779739E-2</v>
      </c>
      <c r="L164" s="5">
        <f t="shared" ref="L164" si="299">+F164/F156-1</f>
        <v>-7.215014980562573E-2</v>
      </c>
      <c r="M164" s="6">
        <f t="shared" si="285"/>
        <v>-2.4743215224221848E-2</v>
      </c>
    </row>
    <row r="165" spans="1:13" x14ac:dyDescent="0.2">
      <c r="A165" s="1">
        <v>38961</v>
      </c>
      <c r="B165" s="2">
        <v>481</v>
      </c>
      <c r="C165" s="2">
        <v>478.26666958673798</v>
      </c>
      <c r="D165" s="2">
        <v>442.17537823842798</v>
      </c>
      <c r="E165" s="2">
        <f t="shared" si="225"/>
        <v>112.44176288112733</v>
      </c>
      <c r="F165" s="2">
        <f t="shared" si="226"/>
        <v>112.39500411329517</v>
      </c>
      <c r="G165" s="2">
        <f t="shared" si="227"/>
        <v>104.03822105651361</v>
      </c>
      <c r="H165" s="4" t="s">
        <v>5</v>
      </c>
      <c r="I165" s="5">
        <f t="shared" si="274"/>
        <v>0.17834394904458617</v>
      </c>
      <c r="J165" s="5">
        <f t="shared" ref="J165" si="300">+AVERAGE(B157:B165)/AVERAGE(B145:B153)-1</f>
        <v>6.1479706454994787E-2</v>
      </c>
      <c r="K165" s="5">
        <f t="shared" si="276"/>
        <v>7.1521950012293001E-2</v>
      </c>
      <c r="L165" s="5">
        <f t="shared" ref="L165" si="301">+F165/F156-1</f>
        <v>-5.7885192011101205E-3</v>
      </c>
      <c r="M165" s="6">
        <f t="shared" si="285"/>
        <v>-3.0946826810323791E-2</v>
      </c>
    </row>
    <row r="166" spans="1:13" x14ac:dyDescent="0.2">
      <c r="A166" s="1">
        <v>38991</v>
      </c>
      <c r="B166" s="2">
        <v>484.2</v>
      </c>
      <c r="C166" s="2">
        <v>452.44777981194198</v>
      </c>
      <c r="D166" s="2">
        <v>428.70135812411701</v>
      </c>
      <c r="E166" s="2">
        <f t="shared" si="225"/>
        <v>113.1898161892762</v>
      </c>
      <c r="F166" s="2">
        <f t="shared" si="226"/>
        <v>106.32743886785083</v>
      </c>
      <c r="G166" s="2">
        <f t="shared" si="227"/>
        <v>100.86795615221875</v>
      </c>
      <c r="H166" s="4" t="s">
        <v>6</v>
      </c>
      <c r="I166" s="5">
        <f t="shared" si="274"/>
        <v>8.080357142857153E-2</v>
      </c>
      <c r="J166" s="5">
        <f t="shared" ref="J166" si="302">+AVERAGE(B157:B166)/AVERAGE(B145:B154)-1</f>
        <v>6.3423285887477032E-2</v>
      </c>
      <c r="K166" s="5">
        <f t="shared" si="276"/>
        <v>-5.3984296662582865E-2</v>
      </c>
      <c r="L166" s="5">
        <f t="shared" ref="L166" si="303">+F166/F156-1</f>
        <v>-5.9460326725903068E-2</v>
      </c>
      <c r="M166" s="6">
        <f t="shared" si="285"/>
        <v>-3.0472117574682156E-2</v>
      </c>
    </row>
    <row r="167" spans="1:13" x14ac:dyDescent="0.2">
      <c r="A167" s="1">
        <v>39022</v>
      </c>
      <c r="B167" s="2">
        <v>409.3</v>
      </c>
      <c r="C167" s="2">
        <v>406.18987555297099</v>
      </c>
      <c r="D167" s="2">
        <v>420.223545007837</v>
      </c>
      <c r="E167" s="2">
        <f t="shared" si="225"/>
        <v>95.680693445416665</v>
      </c>
      <c r="F167" s="2">
        <f t="shared" si="226"/>
        <v>95.456605355760246</v>
      </c>
      <c r="G167" s="2">
        <f t="shared" si="227"/>
        <v>98.873234965839728</v>
      </c>
      <c r="H167" s="4" t="s">
        <v>7</v>
      </c>
      <c r="I167" s="5">
        <f t="shared" si="274"/>
        <v>-0.12280325760822974</v>
      </c>
      <c r="J167" s="5">
        <f t="shared" ref="J167" si="304">+AVERAGE(B157:B167)/AVERAGE(B145:B155)-1</f>
        <v>4.5764916273776546E-2</v>
      </c>
      <c r="K167" s="5">
        <f t="shared" si="276"/>
        <v>-0.10223921151342141</v>
      </c>
      <c r="L167" s="5">
        <f t="shared" ref="L167" si="305">+F167/F156-1</f>
        <v>-0.15562036131853774</v>
      </c>
      <c r="M167" s="6">
        <f t="shared" si="285"/>
        <v>-1.9775568599494697E-2</v>
      </c>
    </row>
    <row r="168" spans="1:13" x14ac:dyDescent="0.2">
      <c r="A168" s="1">
        <v>39052</v>
      </c>
      <c r="B168" s="2">
        <v>386.73199999999997</v>
      </c>
      <c r="C168" s="2">
        <v>404.06808941609398</v>
      </c>
      <c r="D168" s="2">
        <v>419.23358054169898</v>
      </c>
      <c r="E168" s="2">
        <f t="shared" si="225"/>
        <v>90.405047489696727</v>
      </c>
      <c r="F168" s="2">
        <f t="shared" si="226"/>
        <v>94.957975246771284</v>
      </c>
      <c r="G168" s="2">
        <f t="shared" si="227"/>
        <v>98.640308966259028</v>
      </c>
      <c r="H168" s="4" t="s">
        <v>8</v>
      </c>
      <c r="I168" s="5">
        <f t="shared" si="274"/>
        <v>-0.16792460949266319</v>
      </c>
      <c r="J168" s="5">
        <f t="shared" ref="J168" si="306">+AVERAGE(B157:B168)/AVERAGE(B145:B156)-1</f>
        <v>2.7323333791346549E-2</v>
      </c>
      <c r="K168" s="5">
        <f t="shared" si="276"/>
        <v>-5.2236312734000867E-3</v>
      </c>
      <c r="L168" s="5">
        <f t="shared" ref="L168" si="307">+F168/F156-1</f>
        <v>-0.16003108920577658</v>
      </c>
      <c r="M168" s="6">
        <f t="shared" si="285"/>
        <v>-2.3558043757866409E-3</v>
      </c>
    </row>
    <row r="169" spans="1:13" x14ac:dyDescent="0.2">
      <c r="A169" s="1">
        <v>39083</v>
      </c>
      <c r="B169" s="2">
        <v>335.9</v>
      </c>
      <c r="C169" s="2">
        <v>406.595527713021</v>
      </c>
      <c r="D169" s="2">
        <v>424.699244568437</v>
      </c>
      <c r="E169" s="2">
        <f t="shared" si="225"/>
        <v>78.522220689751904</v>
      </c>
      <c r="F169" s="2">
        <f t="shared" si="226"/>
        <v>95.551935595345597</v>
      </c>
      <c r="G169" s="2">
        <f t="shared" si="227"/>
        <v>99.926309929270104</v>
      </c>
      <c r="H169" s="4" t="s">
        <v>21</v>
      </c>
      <c r="I169" s="5">
        <f t="shared" si="274"/>
        <v>-0.18530196458889159</v>
      </c>
      <c r="J169" s="5">
        <f t="shared" ref="J169" si="308">+AVERAGE(B169:B169)/AVERAGE(B157:B157)-1</f>
        <v>-0.1853019645888917</v>
      </c>
      <c r="K169" s="5">
        <f t="shared" si="276"/>
        <v>6.2549811854220039E-3</v>
      </c>
      <c r="L169" s="5">
        <f t="shared" ref="L169" si="309">+F169/F168-1</f>
        <v>6.2549811854220039E-3</v>
      </c>
      <c r="M169" s="6">
        <f t="shared" si="285"/>
        <v>1.3037276307102497E-2</v>
      </c>
    </row>
    <row r="170" spans="1:13" x14ac:dyDescent="0.2">
      <c r="A170" s="1">
        <v>39114</v>
      </c>
      <c r="B170" s="2">
        <v>415.6</v>
      </c>
      <c r="C170" s="2">
        <v>447.137610919792</v>
      </c>
      <c r="D170" s="2">
        <v>433.54992997848302</v>
      </c>
      <c r="E170" s="2">
        <f t="shared" si="225"/>
        <v>97.153423395834764</v>
      </c>
      <c r="F170" s="2">
        <f t="shared" si="226"/>
        <v>105.07952323327146</v>
      </c>
      <c r="G170" s="2">
        <f t="shared" si="227"/>
        <v>102.00876320575153</v>
      </c>
      <c r="H170" s="4" t="s">
        <v>1</v>
      </c>
      <c r="I170" s="5">
        <f t="shared" si="274"/>
        <v>-6.795245570755748E-2</v>
      </c>
      <c r="J170" s="5">
        <f t="shared" ref="J170" si="310">+AVERAGE(B169:B170)/AVERAGE(B157:B158)-1</f>
        <v>-0.1243299930086228</v>
      </c>
      <c r="K170" s="5">
        <f t="shared" si="276"/>
        <v>9.9711089875503811E-2</v>
      </c>
      <c r="L170" s="5">
        <f t="shared" ref="L170" si="311">+F170/F168-1</f>
        <v>0.10658976205207504</v>
      </c>
      <c r="M170" s="6">
        <f t="shared" si="285"/>
        <v>2.0839889694270086E-2</v>
      </c>
    </row>
    <row r="171" spans="1:13" x14ac:dyDescent="0.2">
      <c r="A171" s="1">
        <v>39142</v>
      </c>
      <c r="B171" s="2">
        <v>476.6</v>
      </c>
      <c r="C171" s="2">
        <v>456.55150867670699</v>
      </c>
      <c r="D171" s="2">
        <v>442.80632923474798</v>
      </c>
      <c r="E171" s="2">
        <f t="shared" si="225"/>
        <v>111.41318958242263</v>
      </c>
      <c r="F171" s="2">
        <f t="shared" si="226"/>
        <v>107.29183520145622</v>
      </c>
      <c r="G171" s="2">
        <f t="shared" si="227"/>
        <v>104.18667577032532</v>
      </c>
      <c r="H171" s="4" t="s">
        <v>2</v>
      </c>
      <c r="I171" s="5">
        <f t="shared" si="274"/>
        <v>-5.6424470401900573E-2</v>
      </c>
      <c r="J171" s="5">
        <f t="shared" ref="J171" si="312">+AVERAGE(B169:B171)/AVERAGE(B157:B159)-1</f>
        <v>-9.9171128878456916E-2</v>
      </c>
      <c r="K171" s="5">
        <f t="shared" si="276"/>
        <v>2.1053692480822672E-2</v>
      </c>
      <c r="L171" s="5">
        <f t="shared" ref="L171" si="313">+F171/F168-1</f>
        <v>0.12988756260474621</v>
      </c>
      <c r="M171" s="6">
        <f t="shared" si="285"/>
        <v>2.1350249685715195E-2</v>
      </c>
    </row>
    <row r="172" spans="1:13" x14ac:dyDescent="0.2">
      <c r="A172" s="1">
        <v>39173</v>
      </c>
      <c r="B172" s="2">
        <v>472.8</v>
      </c>
      <c r="C172" s="2">
        <v>466.86843136827099</v>
      </c>
      <c r="D172" s="2">
        <v>449.85479731491699</v>
      </c>
      <c r="E172" s="2">
        <f t="shared" si="225"/>
        <v>110.52487627899583</v>
      </c>
      <c r="F172" s="2">
        <f t="shared" si="226"/>
        <v>109.71636244136789</v>
      </c>
      <c r="G172" s="2">
        <f t="shared" si="227"/>
        <v>105.84509031876948</v>
      </c>
      <c r="H172" s="4" t="s">
        <v>3</v>
      </c>
      <c r="I172" s="5">
        <f t="shared" si="274"/>
        <v>-1.4383989993746016E-2</v>
      </c>
      <c r="J172" s="5">
        <f t="shared" ref="J172" si="314">+AVERAGE(B169:B172)/AVERAGE(B157:B160)-1</f>
        <v>-7.710255018990797E-2</v>
      </c>
      <c r="K172" s="5">
        <f t="shared" si="276"/>
        <v>2.2597499943581623E-2</v>
      </c>
      <c r="L172" s="5">
        <f t="shared" ref="L172" si="315">+F172/F168-1</f>
        <v>0.15542019673696039</v>
      </c>
      <c r="M172" s="6">
        <f t="shared" si="285"/>
        <v>1.5917722071294937E-2</v>
      </c>
    </row>
    <row r="173" spans="1:13" x14ac:dyDescent="0.2">
      <c r="A173" s="1">
        <v>39203</v>
      </c>
      <c r="B173" s="2">
        <v>444.6</v>
      </c>
      <c r="C173" s="2">
        <v>440.40606442173799</v>
      </c>
      <c r="D173" s="2">
        <v>452.854997832658</v>
      </c>
      <c r="E173" s="2">
        <f t="shared" si="225"/>
        <v>103.9326565009339</v>
      </c>
      <c r="F173" s="2">
        <f t="shared" si="226"/>
        <v>103.49757691660386</v>
      </c>
      <c r="G173" s="2">
        <f t="shared" si="227"/>
        <v>106.55099919574521</v>
      </c>
      <c r="H173" s="4" t="s">
        <v>2</v>
      </c>
      <c r="I173" s="5">
        <f t="shared" si="274"/>
        <v>-9.6525096525096554E-2</v>
      </c>
      <c r="J173" s="5">
        <f t="shared" ref="J173" si="316">+AVERAGE(B169:B173)/AVERAGE(B157:B161)-1</f>
        <v>-8.119566613849527E-2</v>
      </c>
      <c r="K173" s="5">
        <f t="shared" si="276"/>
        <v>-5.6680566019378653E-2</v>
      </c>
      <c r="L173" s="5">
        <f t="shared" ref="L173" si="317">+F173/F168-1</f>
        <v>8.9930325995687621E-2</v>
      </c>
      <c r="M173" s="6">
        <f t="shared" ref="M173:M236" si="318">+G173/G172-1</f>
        <v>6.6692642507060196E-3</v>
      </c>
    </row>
    <row r="174" spans="1:13" x14ac:dyDescent="0.2">
      <c r="A174" s="1">
        <v>39234</v>
      </c>
      <c r="B174" s="2">
        <v>446.3</v>
      </c>
      <c r="C174" s="2">
        <v>446.27527687098097</v>
      </c>
      <c r="D174" s="2">
        <v>452.74167842052799</v>
      </c>
      <c r="E174" s="2">
        <f t="shared" si="225"/>
        <v>104.33005982088798</v>
      </c>
      <c r="F174" s="2">
        <f t="shared" si="226"/>
        <v>104.87687051852784</v>
      </c>
      <c r="G174" s="2">
        <f t="shared" si="227"/>
        <v>106.52433658486862</v>
      </c>
      <c r="H174" s="4" t="s">
        <v>4</v>
      </c>
      <c r="I174" s="5">
        <f t="shared" si="274"/>
        <v>-9.0112130479103048E-2</v>
      </c>
      <c r="J174" s="5">
        <f t="shared" ref="J174" si="319">+AVERAGE(B169:B174)/AVERAGE(B157:B162)-1</f>
        <v>-8.2743488108720342E-2</v>
      </c>
      <c r="K174" s="5">
        <f t="shared" si="276"/>
        <v>1.3326820231118752E-2</v>
      </c>
      <c r="L174" s="5">
        <f t="shared" ref="L174" si="320">+F174/F168-1</f>
        <v>0.10445563151467696</v>
      </c>
      <c r="M174" s="6">
        <f t="shared" si="318"/>
        <v>-2.5023332561713296E-4</v>
      </c>
    </row>
    <row r="175" spans="1:13" x14ac:dyDescent="0.2">
      <c r="A175" s="1">
        <v>39264</v>
      </c>
      <c r="B175" s="2">
        <v>356.5</v>
      </c>
      <c r="C175" s="2">
        <v>337.159587202105</v>
      </c>
      <c r="D175" s="2">
        <v>453.376546662588</v>
      </c>
      <c r="E175" s="2">
        <f t="shared" si="225"/>
        <v>83.337813860960281</v>
      </c>
      <c r="F175" s="2">
        <f t="shared" si="226"/>
        <v>79.234150318611924</v>
      </c>
      <c r="G175" s="2">
        <f t="shared" si="227"/>
        <v>106.67371297658978</v>
      </c>
      <c r="H175" s="4" t="s">
        <v>4</v>
      </c>
      <c r="I175" s="5">
        <f t="shared" si="274"/>
        <v>-0.25975913621262459</v>
      </c>
      <c r="J175" s="5">
        <f t="shared" ref="J175" si="321">+AVERAGE(B169:B175)/AVERAGE(B157:B163)-1</f>
        <v>-0.10852080309627488</v>
      </c>
      <c r="K175" s="5">
        <f t="shared" si="276"/>
        <v>-0.24450310228684602</v>
      </c>
      <c r="L175" s="5">
        <f t="shared" ref="L175" si="322">+F175/F168-1</f>
        <v>-0.16558719672883915</v>
      </c>
      <c r="M175" s="6">
        <f t="shared" si="318"/>
        <v>1.4022747900630517E-3</v>
      </c>
    </row>
    <row r="176" spans="1:13" x14ac:dyDescent="0.2">
      <c r="A176" s="1">
        <v>39295</v>
      </c>
      <c r="B176" s="2">
        <v>485</v>
      </c>
      <c r="C176" s="2">
        <v>462.65893329256602</v>
      </c>
      <c r="D176" s="2">
        <v>457.42183089586803</v>
      </c>
      <c r="E176" s="2">
        <f t="shared" si="225"/>
        <v>113.37682951631341</v>
      </c>
      <c r="F176" s="2">
        <f t="shared" si="226"/>
        <v>108.72710982641442</v>
      </c>
      <c r="G176" s="2">
        <f t="shared" si="227"/>
        <v>107.62551670879914</v>
      </c>
      <c r="H176" s="4" t="s">
        <v>3</v>
      </c>
      <c r="I176" s="5">
        <f t="shared" si="274"/>
        <v>4.4583243592504651E-2</v>
      </c>
      <c r="J176" s="5">
        <f t="shared" ref="J176" si="323">+AVERAGE(B169:B176)/AVERAGE(B157:B164)-1</f>
        <v>-8.9672544080604544E-2</v>
      </c>
      <c r="K176" s="5">
        <f t="shared" si="276"/>
        <v>0.37222535218977004</v>
      </c>
      <c r="L176" s="5">
        <f t="shared" ref="L176" si="324">+F176/F168-1</f>
        <v>0.14500240284042176</v>
      </c>
      <c r="M176" s="6">
        <f t="shared" si="318"/>
        <v>8.922570571985533E-3</v>
      </c>
    </row>
    <row r="177" spans="1:13" x14ac:dyDescent="0.2">
      <c r="A177" s="1">
        <v>39326</v>
      </c>
      <c r="B177" s="2">
        <v>475.9</v>
      </c>
      <c r="C177" s="2">
        <v>465.80404222818203</v>
      </c>
      <c r="D177" s="2">
        <v>465.23977156023699</v>
      </c>
      <c r="E177" s="2">
        <f t="shared" si="225"/>
        <v>111.24955292126506</v>
      </c>
      <c r="F177" s="2">
        <f t="shared" si="226"/>
        <v>109.46622579295411</v>
      </c>
      <c r="G177" s="2">
        <f t="shared" si="227"/>
        <v>109.46497833211852</v>
      </c>
      <c r="H177" s="4" t="s">
        <v>5</v>
      </c>
      <c r="I177" s="5">
        <f t="shared" si="274"/>
        <v>-1.0602910602910631E-2</v>
      </c>
      <c r="J177" s="5">
        <f t="shared" ref="J177" si="325">+AVERAGE(B169:B177)/AVERAGE(B157:B165)-1</f>
        <v>-8.0728982951205008E-2</v>
      </c>
      <c r="K177" s="5">
        <f t="shared" si="276"/>
        <v>6.7978995093285199E-3</v>
      </c>
      <c r="L177" s="5">
        <f t="shared" ref="L177" si="326">+F177/F168-1</f>
        <v>0.15278601411287074</v>
      </c>
      <c r="M177" s="6">
        <f t="shared" si="318"/>
        <v>1.709131514133766E-2</v>
      </c>
    </row>
    <row r="178" spans="1:13" x14ac:dyDescent="0.2">
      <c r="A178" s="1">
        <v>39356</v>
      </c>
      <c r="B178" s="2">
        <v>497.5</v>
      </c>
      <c r="C178" s="2">
        <v>464.34695819918898</v>
      </c>
      <c r="D178" s="2">
        <v>474.45416957863301</v>
      </c>
      <c r="E178" s="2">
        <f t="shared" si="225"/>
        <v>116.29891275126994</v>
      </c>
      <c r="F178" s="2">
        <f t="shared" si="226"/>
        <v>109.12380392698213</v>
      </c>
      <c r="G178" s="2">
        <f t="shared" si="227"/>
        <v>111.6330085416696</v>
      </c>
      <c r="H178" s="4" t="s">
        <v>6</v>
      </c>
      <c r="I178" s="5">
        <f t="shared" si="274"/>
        <v>2.7467988434531021E-2</v>
      </c>
      <c r="J178" s="5">
        <f t="shared" ref="J178" si="327">+AVERAGE(B169:B178)/AVERAGE(B157:B166)-1</f>
        <v>-6.9668756729368342E-2</v>
      </c>
      <c r="K178" s="5">
        <f t="shared" si="276"/>
        <v>-3.1281051620399847E-3</v>
      </c>
      <c r="L178" s="5">
        <f t="shared" ref="L178" si="328">+F178/F168-1</f>
        <v>0.14917997823139673</v>
      </c>
      <c r="M178" s="6">
        <f t="shared" si="318"/>
        <v>1.9805697151587864E-2</v>
      </c>
    </row>
    <row r="179" spans="1:13" x14ac:dyDescent="0.2">
      <c r="A179" s="1">
        <v>39387</v>
      </c>
      <c r="B179" s="2">
        <v>490.5</v>
      </c>
      <c r="C179" s="2">
        <v>485.818329537355</v>
      </c>
      <c r="D179" s="2">
        <v>482.70747105379201</v>
      </c>
      <c r="E179" s="2">
        <f t="shared" si="225"/>
        <v>114.66254613969429</v>
      </c>
      <c r="F179" s="2">
        <f t="shared" si="226"/>
        <v>114.16968109830275</v>
      </c>
      <c r="G179" s="2">
        <f t="shared" si="227"/>
        <v>113.57490500532941</v>
      </c>
      <c r="H179" s="4" t="s">
        <v>7</v>
      </c>
      <c r="I179" s="5">
        <f t="shared" si="274"/>
        <v>0.1983874908380161</v>
      </c>
      <c r="J179" s="5">
        <f t="shared" ref="J179" si="329">+AVERAGE(B169:B179)/AVERAGE(B157:B167)-1</f>
        <v>-4.834823163622215E-2</v>
      </c>
      <c r="K179" s="5">
        <f t="shared" si="276"/>
        <v>4.6239931066707873E-2</v>
      </c>
      <c r="L179" s="5">
        <f t="shared" ref="L179" si="330">+F179/F168-1</f>
        <v>0.20231798120805755</v>
      </c>
      <c r="M179" s="6">
        <f t="shared" si="318"/>
        <v>1.7395360825870343E-2</v>
      </c>
    </row>
    <row r="180" spans="1:13" x14ac:dyDescent="0.2">
      <c r="A180" s="1">
        <v>39417</v>
      </c>
      <c r="B180" s="2">
        <v>489.91199999999998</v>
      </c>
      <c r="C180" s="2">
        <v>511.44626645482299</v>
      </c>
      <c r="D180" s="2">
        <v>488.66936927309399</v>
      </c>
      <c r="E180" s="2">
        <f t="shared" si="225"/>
        <v>114.52509134432192</v>
      </c>
      <c r="F180" s="2">
        <f t="shared" si="226"/>
        <v>120.19237148929956</v>
      </c>
      <c r="G180" s="2">
        <f t="shared" si="227"/>
        <v>114.97766353821571</v>
      </c>
      <c r="H180" s="4" t="s">
        <v>8</v>
      </c>
      <c r="I180" s="5">
        <f t="shared" si="274"/>
        <v>0.26679974762884906</v>
      </c>
      <c r="J180" s="5">
        <f t="shared" ref="J180" si="331">+AVERAGE(B169:B180)/AVERAGE(B157:B168)-1</f>
        <v>-2.6319727758365774E-2</v>
      </c>
      <c r="K180" s="5">
        <f t="shared" si="276"/>
        <v>5.2752099621011794E-2</v>
      </c>
      <c r="L180" s="5">
        <f t="shared" ref="L180" si="332">+F180/F168-1</f>
        <v>0.26574277912887867</v>
      </c>
      <c r="M180" s="6">
        <f t="shared" si="318"/>
        <v>1.2350954929880587E-2</v>
      </c>
    </row>
    <row r="181" spans="1:13" x14ac:dyDescent="0.2">
      <c r="A181" s="1">
        <v>39448</v>
      </c>
      <c r="B181" s="2">
        <v>417</v>
      </c>
      <c r="C181" s="2">
        <v>493.40613003013999</v>
      </c>
      <c r="D181" s="2">
        <v>492.26215102291502</v>
      </c>
      <c r="E181" s="2">
        <f t="shared" si="225"/>
        <v>97.480696718149886</v>
      </c>
      <c r="F181" s="2">
        <f t="shared" si="226"/>
        <v>115.95285128729867</v>
      </c>
      <c r="G181" s="2">
        <f t="shared" si="227"/>
        <v>115.82299921336072</v>
      </c>
      <c r="H181" s="4" t="s">
        <v>22</v>
      </c>
      <c r="I181" s="5">
        <f t="shared" si="274"/>
        <v>0.24144090503125937</v>
      </c>
      <c r="J181" s="5">
        <f t="shared" ref="J181" si="333">+AVERAGE(B181:B181)/AVERAGE(B169:B169)-1</f>
        <v>0.24144090503125937</v>
      </c>
      <c r="K181" s="5">
        <f t="shared" si="276"/>
        <v>-3.5272789358169243E-2</v>
      </c>
      <c r="L181" s="5">
        <f t="shared" ref="L181" si="334">+F181/F180-1</f>
        <v>-3.5272789358169243E-2</v>
      </c>
      <c r="M181" s="6">
        <f t="shared" si="318"/>
        <v>7.352173014578911E-3</v>
      </c>
    </row>
    <row r="182" spans="1:13" x14ac:dyDescent="0.2">
      <c r="A182" s="1">
        <v>39479</v>
      </c>
      <c r="B182" s="2">
        <v>441.9</v>
      </c>
      <c r="C182" s="2">
        <v>439.33975016909602</v>
      </c>
      <c r="D182" s="2">
        <v>493.98312725245501</v>
      </c>
      <c r="E182" s="2">
        <f t="shared" si="225"/>
        <v>103.3014865221833</v>
      </c>
      <c r="F182" s="2">
        <f t="shared" si="226"/>
        <v>103.24698785733423</v>
      </c>
      <c r="G182" s="2">
        <f t="shared" si="227"/>
        <v>116.22792294772873</v>
      </c>
      <c r="H182" s="4" t="s">
        <v>1</v>
      </c>
      <c r="I182" s="5">
        <f t="shared" si="274"/>
        <v>6.3282001924927611E-2</v>
      </c>
      <c r="J182" s="5">
        <f t="shared" ref="J182" si="335">+AVERAGE(B181:B182)/AVERAGE(B169:B170)-1</f>
        <v>0.14291417165668663</v>
      </c>
      <c r="K182" s="5">
        <f t="shared" si="276"/>
        <v>-0.10957784382966895</v>
      </c>
      <c r="L182" s="5">
        <f t="shared" ref="L182" si="336">+F182/F180-1</f>
        <v>-0.14098551698411188</v>
      </c>
      <c r="M182" s="6">
        <f t="shared" si="318"/>
        <v>3.4960563715165094E-3</v>
      </c>
    </row>
    <row r="183" spans="1:13" x14ac:dyDescent="0.2">
      <c r="A183" s="1">
        <v>39508</v>
      </c>
      <c r="B183" s="2">
        <v>509.2</v>
      </c>
      <c r="C183" s="2">
        <v>488.50794252737899</v>
      </c>
      <c r="D183" s="2">
        <v>495.21518844667298</v>
      </c>
      <c r="E183" s="2">
        <f t="shared" si="225"/>
        <v>119.03398265918925</v>
      </c>
      <c r="F183" s="2">
        <f t="shared" si="226"/>
        <v>114.80175329212325</v>
      </c>
      <c r="G183" s="2">
        <f t="shared" si="227"/>
        <v>116.51781121647372</v>
      </c>
      <c r="H183" s="4" t="s">
        <v>2</v>
      </c>
      <c r="I183" s="5">
        <f t="shared" si="274"/>
        <v>6.8401174989508817E-2</v>
      </c>
      <c r="J183" s="5">
        <f t="shared" ref="J183" si="337">+AVERAGE(B181:B183)/AVERAGE(B169:B171)-1</f>
        <v>0.11399723149580665</v>
      </c>
      <c r="K183" s="5">
        <f t="shared" si="276"/>
        <v>0.11191382600677224</v>
      </c>
      <c r="L183" s="5">
        <f t="shared" ref="L183" si="338">+F183/F180-1</f>
        <v>-4.4849919594574406E-2</v>
      </c>
      <c r="M183" s="6">
        <f t="shared" si="318"/>
        <v>2.4941361885590929E-3</v>
      </c>
    </row>
    <row r="184" spans="1:13" x14ac:dyDescent="0.2">
      <c r="A184" s="1">
        <v>39539</v>
      </c>
      <c r="B184" s="2">
        <v>501</v>
      </c>
      <c r="C184" s="2">
        <v>496.337510974054</v>
      </c>
      <c r="D184" s="2">
        <v>497.08545061793802</v>
      </c>
      <c r="E184" s="2">
        <f t="shared" si="225"/>
        <v>117.11709605705778</v>
      </c>
      <c r="F184" s="2">
        <f t="shared" si="226"/>
        <v>116.64174013153601</v>
      </c>
      <c r="G184" s="2">
        <f t="shared" si="227"/>
        <v>116.95786002693187</v>
      </c>
      <c r="H184" s="4" t="s">
        <v>3</v>
      </c>
      <c r="I184" s="5">
        <f t="shared" si="274"/>
        <v>5.9644670050761572E-2</v>
      </c>
      <c r="J184" s="5">
        <f t="shared" ref="J184" si="339">+AVERAGE(B181:B184)/AVERAGE(B169:B172)-1</f>
        <v>9.8888823563995532E-2</v>
      </c>
      <c r="K184" s="5">
        <f t="shared" si="276"/>
        <v>1.6027515143699489E-2</v>
      </c>
      <c r="L184" s="5">
        <f t="shared" ref="L184" si="340">+F184/F180-1</f>
        <v>-2.9541237216370697E-2</v>
      </c>
      <c r="M184" s="6">
        <f t="shared" si="318"/>
        <v>3.7766656090081341E-3</v>
      </c>
    </row>
    <row r="185" spans="1:13" x14ac:dyDescent="0.2">
      <c r="A185" s="1">
        <v>39569</v>
      </c>
      <c r="B185" s="2">
        <v>499.2</v>
      </c>
      <c r="C185" s="2">
        <v>497.41240431694001</v>
      </c>
      <c r="D185" s="2">
        <v>499.44223509223701</v>
      </c>
      <c r="E185" s="2">
        <f t="shared" si="225"/>
        <v>116.69631607122402</v>
      </c>
      <c r="F185" s="2">
        <f t="shared" si="226"/>
        <v>116.89434531892952</v>
      </c>
      <c r="G185" s="2">
        <f t="shared" si="227"/>
        <v>117.51238132365471</v>
      </c>
      <c r="H185" s="4" t="s">
        <v>2</v>
      </c>
      <c r="I185" s="5">
        <f t="shared" si="274"/>
        <v>0.12280701754385959</v>
      </c>
      <c r="J185" s="5">
        <f t="shared" ref="J185" si="341">+AVERAGE(B181:B185)/AVERAGE(B169:B173)-1</f>
        <v>0.10384525751573048</v>
      </c>
      <c r="K185" s="5">
        <f t="shared" si="276"/>
        <v>2.1656500246709509E-3</v>
      </c>
      <c r="L185" s="5">
        <f t="shared" ref="L185" si="342">+F185/F180-1</f>
        <v>-2.7439563172806269E-2</v>
      </c>
      <c r="M185" s="6">
        <f t="shared" si="318"/>
        <v>4.7412059060858436E-3</v>
      </c>
    </row>
    <row r="186" spans="1:13" x14ac:dyDescent="0.2">
      <c r="A186" s="1">
        <v>39600</v>
      </c>
      <c r="B186" s="2">
        <v>493.9</v>
      </c>
      <c r="C186" s="2">
        <v>495.04346022715998</v>
      </c>
      <c r="D186" s="2">
        <v>500.78555615365502</v>
      </c>
      <c r="E186" s="2">
        <f t="shared" si="225"/>
        <v>115.45735277960245</v>
      </c>
      <c r="F186" s="2">
        <f t="shared" si="226"/>
        <v>116.3376318834207</v>
      </c>
      <c r="G186" s="2">
        <f t="shared" si="227"/>
        <v>117.82844761864935</v>
      </c>
      <c r="H186" s="4" t="s">
        <v>4</v>
      </c>
      <c r="I186" s="5">
        <f t="shared" si="274"/>
        <v>0.10665471655836867</v>
      </c>
      <c r="J186" s="5">
        <f t="shared" ref="J186" si="343">+AVERAGE(B181:B186)/AVERAGE(B169:B174)-1</f>
        <v>0.10432903773439284</v>
      </c>
      <c r="K186" s="5">
        <f t="shared" si="276"/>
        <v>-4.7625352106631658E-3</v>
      </c>
      <c r="L186" s="5">
        <f t="shared" ref="L186" si="344">+F186/F180-1</f>
        <v>-3.2071416497693739E-2</v>
      </c>
      <c r="M186" s="6">
        <f t="shared" si="318"/>
        <v>2.6896424992368662E-3</v>
      </c>
    </row>
    <row r="187" spans="1:13" x14ac:dyDescent="0.2">
      <c r="A187" s="1">
        <v>39630</v>
      </c>
      <c r="B187" s="2">
        <v>528.70000000000005</v>
      </c>
      <c r="C187" s="2">
        <v>509.12587136557897</v>
      </c>
      <c r="D187" s="2">
        <v>497.59139373625101</v>
      </c>
      <c r="E187" s="2">
        <f t="shared" si="225"/>
        <v>123.59243250572145</v>
      </c>
      <c r="F187" s="2">
        <f t="shared" si="226"/>
        <v>119.64706730612198</v>
      </c>
      <c r="G187" s="2">
        <f t="shared" si="227"/>
        <v>117.0769019830778</v>
      </c>
      <c r="H187" s="4" t="s">
        <v>4</v>
      </c>
      <c r="I187" s="5">
        <f t="shared" si="274"/>
        <v>0.48302945301542755</v>
      </c>
      <c r="J187" s="5">
        <f t="shared" ref="J187" si="345">+AVERAGE(B181:B187)/AVERAGE(B169:B175)-1</f>
        <v>0.15012040837092533</v>
      </c>
      <c r="K187" s="5">
        <f t="shared" si="276"/>
        <v>2.8446817844956618E-2</v>
      </c>
      <c r="L187" s="5">
        <f t="shared" ref="L187" si="346">+F187/F180-1</f>
        <v>-4.5369283958768269E-3</v>
      </c>
      <c r="M187" s="6">
        <f t="shared" si="318"/>
        <v>-6.3783038032030337E-3</v>
      </c>
    </row>
    <row r="188" spans="1:13" x14ac:dyDescent="0.2">
      <c r="A188" s="1">
        <v>39661</v>
      </c>
      <c r="B188" s="2">
        <v>524</v>
      </c>
      <c r="C188" s="2">
        <v>496.23248846629502</v>
      </c>
      <c r="D188" s="2">
        <v>487.429209586355</v>
      </c>
      <c r="E188" s="2">
        <f t="shared" si="225"/>
        <v>122.49372920937778</v>
      </c>
      <c r="F188" s="2">
        <f t="shared" si="226"/>
        <v>116.61705932908377</v>
      </c>
      <c r="G188" s="2">
        <f t="shared" si="227"/>
        <v>114.68586979757744</v>
      </c>
      <c r="H188" s="4" t="s">
        <v>3</v>
      </c>
      <c r="I188" s="5">
        <f t="shared" si="274"/>
        <v>8.0412371134020555E-2</v>
      </c>
      <c r="J188" s="5">
        <f t="shared" ref="J188" si="347">+AVERAGE(B181:B188)/AVERAGE(B169:B176)-1</f>
        <v>0.14027320653598552</v>
      </c>
      <c r="K188" s="5">
        <f t="shared" si="276"/>
        <v>-2.5324548651792789E-2</v>
      </c>
      <c r="L188" s="5">
        <f t="shared" ref="L188" si="348">+F188/F180-1</f>
        <v>-2.9746581383778503E-2</v>
      </c>
      <c r="M188" s="6">
        <f t="shared" si="318"/>
        <v>-2.0422749022227848E-2</v>
      </c>
    </row>
    <row r="189" spans="1:13" x14ac:dyDescent="0.2">
      <c r="A189" s="1">
        <v>39692</v>
      </c>
      <c r="B189" s="2">
        <v>488.4</v>
      </c>
      <c r="C189" s="2">
        <v>475.005849684917</v>
      </c>
      <c r="D189" s="2">
        <v>470.81983953680498</v>
      </c>
      <c r="E189" s="2">
        <f t="shared" si="225"/>
        <v>114.1716361562216</v>
      </c>
      <c r="F189" s="2">
        <f t="shared" si="226"/>
        <v>111.62869550434576</v>
      </c>
      <c r="G189" s="2">
        <f t="shared" si="227"/>
        <v>110.77789708388022</v>
      </c>
      <c r="H189" s="4" t="s">
        <v>5</v>
      </c>
      <c r="I189" s="5">
        <f t="shared" si="274"/>
        <v>2.6266022273586875E-2</v>
      </c>
      <c r="J189" s="5">
        <f t="shared" ref="J189" si="349">+AVERAGE(B181:B189)/AVERAGE(B169:B177)-1</f>
        <v>0.12639414714007957</v>
      </c>
      <c r="K189" s="5">
        <f t="shared" si="276"/>
        <v>-4.2775592640020732E-2</v>
      </c>
      <c r="L189" s="5">
        <f t="shared" ref="L189" si="350">+F189/F180-1</f>
        <v>-7.1249746376093492E-2</v>
      </c>
      <c r="M189" s="6">
        <f t="shared" si="318"/>
        <v>-3.4075450799604723E-2</v>
      </c>
    </row>
    <row r="190" spans="1:13" x14ac:dyDescent="0.2">
      <c r="A190" s="1">
        <v>39722</v>
      </c>
      <c r="B190" s="2">
        <v>480.8</v>
      </c>
      <c r="C190" s="2">
        <v>446.37318089188699</v>
      </c>
      <c r="D190" s="2">
        <v>450.32731882492698</v>
      </c>
      <c r="E190" s="2">
        <f t="shared" si="225"/>
        <v>112.39500954936801</v>
      </c>
      <c r="F190" s="2">
        <f t="shared" si="226"/>
        <v>104.89987844178945</v>
      </c>
      <c r="G190" s="2">
        <f t="shared" si="227"/>
        <v>105.95626859718973</v>
      </c>
      <c r="H190" s="4" t="s">
        <v>6</v>
      </c>
      <c r="I190" s="5">
        <f t="shared" si="274"/>
        <v>-3.3567839195979943E-2</v>
      </c>
      <c r="J190" s="5">
        <f t="shared" ref="J190" si="351">+AVERAGE(B181:B190)/AVERAGE(B169:B178)-1</f>
        <v>0.10833503528717614</v>
      </c>
      <c r="K190" s="5">
        <f t="shared" si="276"/>
        <v>-6.0278560384093627E-2</v>
      </c>
      <c r="L190" s="5">
        <f t="shared" ref="L190" si="352">+F190/F180-1</f>
        <v>-0.1272334746209044</v>
      </c>
      <c r="M190" s="6">
        <f t="shared" si="318"/>
        <v>-4.3525185200433802E-2</v>
      </c>
    </row>
    <row r="191" spans="1:13" x14ac:dyDescent="0.2">
      <c r="A191" s="1">
        <v>39753</v>
      </c>
      <c r="B191" s="2">
        <v>391.2</v>
      </c>
      <c r="C191" s="2">
        <v>382.50837221728801</v>
      </c>
      <c r="D191" s="2">
        <v>429.50660534460201</v>
      </c>
      <c r="E191" s="2">
        <f t="shared" si="225"/>
        <v>91.449516921199589</v>
      </c>
      <c r="F191" s="2">
        <f t="shared" si="226"/>
        <v>89.891336366551741</v>
      </c>
      <c r="G191" s="2">
        <f t="shared" si="227"/>
        <v>101.05742054226172</v>
      </c>
      <c r="H191" s="4" t="s">
        <v>7</v>
      </c>
      <c r="I191" s="5">
        <f t="shared" si="274"/>
        <v>-0.20244648318042824</v>
      </c>
      <c r="J191" s="5">
        <f t="shared" ref="J191" si="353">+AVERAGE(B181:B191)/AVERAGE(B169:B179)-1</f>
        <v>7.7207383811157104E-2</v>
      </c>
      <c r="K191" s="5">
        <f t="shared" si="276"/>
        <v>-0.14307492342392159</v>
      </c>
      <c r="L191" s="5">
        <f t="shared" ref="L191" si="354">+F191/F180-1</f>
        <v>-0.25210447840648065</v>
      </c>
      <c r="M191" s="6">
        <f t="shared" si="318"/>
        <v>-4.6234622262433467E-2</v>
      </c>
    </row>
    <row r="192" spans="1:13" x14ac:dyDescent="0.2">
      <c r="A192" s="1">
        <v>39783</v>
      </c>
      <c r="B192" s="2">
        <v>266.09300000000002</v>
      </c>
      <c r="C192" s="2">
        <v>290.28236059584702</v>
      </c>
      <c r="D192" s="2">
        <v>304.819624047947</v>
      </c>
      <c r="E192" s="2">
        <f t="shared" si="225"/>
        <v>62.203671539143066</v>
      </c>
      <c r="F192" s="2">
        <f t="shared" si="226"/>
        <v>68.217773028965354</v>
      </c>
      <c r="G192" s="2">
        <f t="shared" si="227"/>
        <v>71.720165775407764</v>
      </c>
      <c r="H192" s="4" t="s">
        <v>8</v>
      </c>
      <c r="I192" s="5">
        <f t="shared" si="274"/>
        <v>-0.45685551690915915</v>
      </c>
      <c r="J192" s="5">
        <f t="shared" ref="J192" si="355">+AVERAGE(B181:B192)/AVERAGE(B169:B180)-1</f>
        <v>2.8638907080453802E-2</v>
      </c>
      <c r="K192" s="5">
        <f t="shared" si="276"/>
        <v>-0.2411084784545604</v>
      </c>
      <c r="L192" s="5">
        <f t="shared" ref="L192" si="356">+F192/F180-1</f>
        <v>-0.43242842966087391</v>
      </c>
      <c r="M192" s="6">
        <f t="shared" si="318"/>
        <v>-0.29030282595215517</v>
      </c>
    </row>
    <row r="193" spans="1:13" x14ac:dyDescent="0.2">
      <c r="A193" s="1">
        <v>39814</v>
      </c>
      <c r="B193" s="2">
        <v>284.2</v>
      </c>
      <c r="C193" s="2">
        <v>362.77473284056902</v>
      </c>
      <c r="D193" s="2">
        <v>290.12832517005899</v>
      </c>
      <c r="E193" s="2">
        <f t="shared" si="225"/>
        <v>66.436484429971685</v>
      </c>
      <c r="F193" s="2">
        <f t="shared" si="226"/>
        <v>85.253834696545937</v>
      </c>
      <c r="G193" s="2">
        <f t="shared" si="227"/>
        <v>68.263490719564075</v>
      </c>
      <c r="H193" s="4" t="s">
        <v>23</v>
      </c>
      <c r="I193" s="5">
        <f t="shared" si="274"/>
        <v>-0.31846522781774589</v>
      </c>
      <c r="J193" s="5">
        <f t="shared" ref="J193" si="357">+AVERAGE(B193:B193)/AVERAGE(B181:B181)-1</f>
        <v>-0.31846522781774578</v>
      </c>
      <c r="K193" s="5">
        <f t="shared" si="276"/>
        <v>0.24973054544520301</v>
      </c>
      <c r="L193" s="5">
        <f t="shared" ref="L193" si="358">+F193/F192-1</f>
        <v>0.24973054544520301</v>
      </c>
      <c r="M193" s="6">
        <f t="shared" si="318"/>
        <v>-4.81966964029098E-2</v>
      </c>
    </row>
    <row r="194" spans="1:13" x14ac:dyDescent="0.2">
      <c r="A194" s="1">
        <v>39845</v>
      </c>
      <c r="B194" s="2">
        <v>256.60000000000002</v>
      </c>
      <c r="C194" s="2">
        <v>293.18843129655397</v>
      </c>
      <c r="D194" s="2">
        <v>281.19827474576101</v>
      </c>
      <c r="E194" s="2">
        <f t="shared" ref="E194:E257" si="359">+B194/AVERAGE(B$133:B$144)*100</f>
        <v>59.984524647187676</v>
      </c>
      <c r="F194" s="2">
        <f t="shared" ref="F194:F257" si="360">+C194/AVERAGE(C$133:C$144)*100</f>
        <v>68.900713842385869</v>
      </c>
      <c r="G194" s="2">
        <f t="shared" ref="G194:G257" si="361">+D194/AVERAGE(D$133:D$144)*100</f>
        <v>66.162363868516394</v>
      </c>
      <c r="H194" s="4" t="s">
        <v>1</v>
      </c>
      <c r="I194" s="5">
        <f t="shared" si="274"/>
        <v>-0.41932563928490607</v>
      </c>
      <c r="J194" s="5">
        <f t="shared" ref="J194" si="362">+AVERAGE(B193:B194)/AVERAGE(B181:B182)-1</f>
        <v>-0.37035743392711606</v>
      </c>
      <c r="K194" s="5">
        <f t="shared" si="276"/>
        <v>-0.19181683630264457</v>
      </c>
      <c r="L194" s="5">
        <f t="shared" ref="L194" si="363">+F194/F192-1</f>
        <v>1.0011185987125915E-2</v>
      </c>
      <c r="M194" s="6">
        <f t="shared" si="318"/>
        <v>-3.0779657308756758E-2</v>
      </c>
    </row>
    <row r="195" spans="1:13" x14ac:dyDescent="0.2">
      <c r="A195" s="1">
        <v>39873</v>
      </c>
      <c r="B195" s="2">
        <v>258.89999999999998</v>
      </c>
      <c r="C195" s="2">
        <v>239.80073446256401</v>
      </c>
      <c r="D195" s="2">
        <v>278.24449015418702</v>
      </c>
      <c r="E195" s="2">
        <f t="shared" si="359"/>
        <v>60.522187962419672</v>
      </c>
      <c r="F195" s="2">
        <f t="shared" si="360"/>
        <v>56.354344239752685</v>
      </c>
      <c r="G195" s="2">
        <f t="shared" si="361"/>
        <v>65.467376066355698</v>
      </c>
      <c r="H195" s="4" t="s">
        <v>2</v>
      </c>
      <c r="I195" s="5">
        <f t="shared" si="274"/>
        <v>-0.4915553809897879</v>
      </c>
      <c r="J195" s="5">
        <f t="shared" ref="J195" si="364">+AVERAGE(B193:B195)/AVERAGE(B181:B183)-1</f>
        <v>-0.41546670565017174</v>
      </c>
      <c r="K195" s="5">
        <f t="shared" si="276"/>
        <v>-0.1820934632307829</v>
      </c>
      <c r="L195" s="5">
        <f t="shared" ref="L195" si="365">+F195/F192-1</f>
        <v>-0.17390524877110025</v>
      </c>
      <c r="M195" s="6">
        <f t="shared" si="318"/>
        <v>-1.0504277077249435E-2</v>
      </c>
    </row>
    <row r="196" spans="1:13" x14ac:dyDescent="0.2">
      <c r="A196" s="1">
        <v>39904</v>
      </c>
      <c r="B196" s="2">
        <v>278.89999999999998</v>
      </c>
      <c r="C196" s="2">
        <v>274.65756170770999</v>
      </c>
      <c r="D196" s="2">
        <v>281.51017269869698</v>
      </c>
      <c r="E196" s="2">
        <f t="shared" si="359"/>
        <v>65.197521138350126</v>
      </c>
      <c r="F196" s="2">
        <f t="shared" si="360"/>
        <v>64.545868949136775</v>
      </c>
      <c r="G196" s="2">
        <f t="shared" si="361"/>
        <v>66.235749474707077</v>
      </c>
      <c r="H196" s="4" t="s">
        <v>3</v>
      </c>
      <c r="I196" s="5">
        <f t="shared" si="274"/>
        <v>-0.44331337325349307</v>
      </c>
      <c r="J196" s="5">
        <f t="shared" ref="J196" si="366">+AVERAGE(B193:B196)/AVERAGE(B181:B184)-1</f>
        <v>-0.42293082232090318</v>
      </c>
      <c r="K196" s="5">
        <f t="shared" si="276"/>
        <v>0.14535746657851689</v>
      </c>
      <c r="L196" s="5">
        <f t="shared" ref="L196" si="367">+F196/F192-1</f>
        <v>-5.3826208578657164E-2</v>
      </c>
      <c r="M196" s="6">
        <f t="shared" si="318"/>
        <v>1.1736737509879358E-2</v>
      </c>
    </row>
    <row r="197" spans="1:13" x14ac:dyDescent="0.2">
      <c r="A197" s="1">
        <v>39934</v>
      </c>
      <c r="B197" s="2">
        <v>268.81100000000004</v>
      </c>
      <c r="C197" s="2">
        <v>266.61441272794201</v>
      </c>
      <c r="D197" s="2">
        <v>291.20909922326598</v>
      </c>
      <c r="E197" s="2">
        <f t="shared" si="359"/>
        <v>62.839049317752014</v>
      </c>
      <c r="F197" s="2">
        <f t="shared" si="360"/>
        <v>62.655689640915256</v>
      </c>
      <c r="G197" s="2">
        <f t="shared" si="361"/>
        <v>68.517783055577098</v>
      </c>
      <c r="H197" s="4" t="s">
        <v>2</v>
      </c>
      <c r="I197" s="5">
        <f t="shared" si="274"/>
        <v>-0.46151642628205114</v>
      </c>
      <c r="J197" s="5">
        <f t="shared" ref="J197" si="368">+AVERAGE(B193:B197)/AVERAGE(B181:B185)-1</f>
        <v>-0.43106405438500184</v>
      </c>
      <c r="K197" s="5">
        <f t="shared" si="276"/>
        <v>-2.9284280140546404E-2</v>
      </c>
      <c r="L197" s="5">
        <f t="shared" ref="L197" si="369">+F197/F192-1</f>
        <v>-8.1534226948282718E-2</v>
      </c>
      <c r="M197" s="6">
        <f t="shared" si="318"/>
        <v>3.445320086158965E-2</v>
      </c>
    </row>
    <row r="198" spans="1:13" x14ac:dyDescent="0.2">
      <c r="A198" s="1">
        <v>39965</v>
      </c>
      <c r="B198" s="2">
        <v>311.38799999999998</v>
      </c>
      <c r="C198" s="2">
        <v>314.68378693188203</v>
      </c>
      <c r="D198" s="2">
        <v>306.881010661875</v>
      </c>
      <c r="E198" s="2">
        <f t="shared" si="359"/>
        <v>72.792132349331538</v>
      </c>
      <c r="F198" s="2">
        <f t="shared" si="360"/>
        <v>73.9522274407243</v>
      </c>
      <c r="G198" s="2">
        <f t="shared" si="361"/>
        <v>72.205183727056664</v>
      </c>
      <c r="H198" s="4" t="s">
        <v>4</v>
      </c>
      <c r="I198" s="5">
        <f t="shared" si="274"/>
        <v>-0.36953229398663701</v>
      </c>
      <c r="J198" s="5">
        <f t="shared" ref="J198" si="370">+AVERAGE(B193:B198)/AVERAGE(B181:B186)-1</f>
        <v>-0.42044616029627557</v>
      </c>
      <c r="K198" s="5">
        <f t="shared" si="276"/>
        <v>0.1802954825738956</v>
      </c>
      <c r="L198" s="5">
        <f t="shared" ref="L198" si="371">+F198/F192-1</f>
        <v>8.4061002831682829E-2</v>
      </c>
      <c r="M198" s="6">
        <f t="shared" si="318"/>
        <v>5.3816695564837369E-2</v>
      </c>
    </row>
    <row r="199" spans="1:13" x14ac:dyDescent="0.2">
      <c r="A199" s="1">
        <v>39995</v>
      </c>
      <c r="B199" s="2">
        <v>355.327</v>
      </c>
      <c r="C199" s="2">
        <v>336.60892730161601</v>
      </c>
      <c r="D199" s="2">
        <v>327.15826382523898</v>
      </c>
      <c r="E199" s="2">
        <f t="shared" si="359"/>
        <v>83.063605570191939</v>
      </c>
      <c r="F199" s="2">
        <f t="shared" si="360"/>
        <v>79.104742551530919</v>
      </c>
      <c r="G199" s="2">
        <f t="shared" si="361"/>
        <v>76.976162507995056</v>
      </c>
      <c r="H199" s="4" t="s">
        <v>4</v>
      </c>
      <c r="I199" s="5">
        <f t="shared" si="274"/>
        <v>-0.32792320786835649</v>
      </c>
      <c r="J199" s="5">
        <f t="shared" ref="J199" si="372">+AVERAGE(B193:B199)/AVERAGE(B181:B187)-1</f>
        <v>-0.40602023061724024</v>
      </c>
      <c r="K199" s="5">
        <f t="shared" si="276"/>
        <v>6.9673562097052111E-2</v>
      </c>
      <c r="L199" s="5">
        <f t="shared" ref="L199" si="373">+F199/F192-1</f>
        <v>0.15959139442946846</v>
      </c>
      <c r="M199" s="6">
        <f t="shared" si="318"/>
        <v>6.6075294524188255E-2</v>
      </c>
    </row>
    <row r="200" spans="1:13" x14ac:dyDescent="0.2">
      <c r="A200" s="1">
        <v>40026</v>
      </c>
      <c r="B200" s="2">
        <v>371.3</v>
      </c>
      <c r="C200" s="2">
        <v>340.85798440246703</v>
      </c>
      <c r="D200" s="2">
        <v>349.76855933151103</v>
      </c>
      <c r="E200" s="2">
        <f t="shared" si="359"/>
        <v>86.797560411148794</v>
      </c>
      <c r="F200" s="2">
        <f t="shared" si="360"/>
        <v>80.103291730674925</v>
      </c>
      <c r="G200" s="2">
        <f t="shared" si="361"/>
        <v>82.296076365265989</v>
      </c>
      <c r="H200" s="4" t="s">
        <v>3</v>
      </c>
      <c r="I200" s="5">
        <f t="shared" si="274"/>
        <v>-0.291412213740458</v>
      </c>
      <c r="J200" s="5">
        <f t="shared" ref="J200" si="374">+AVERAGE(B193:B200)/AVERAGE(B181:B188)-1</f>
        <v>-0.39068022171702976</v>
      </c>
      <c r="K200" s="5">
        <f t="shared" si="276"/>
        <v>1.2623126590590061E-2</v>
      </c>
      <c r="L200" s="5">
        <f t="shared" ref="L200" si="375">+F200/F192-1</f>
        <v>0.17422906339471034</v>
      </c>
      <c r="M200" s="6">
        <f t="shared" si="318"/>
        <v>6.9111185644236128E-2</v>
      </c>
    </row>
    <row r="201" spans="1:13" x14ac:dyDescent="0.2">
      <c r="A201" s="1">
        <v>40057</v>
      </c>
      <c r="B201" s="2">
        <v>390.8</v>
      </c>
      <c r="C201" s="2">
        <v>373.84609620237399</v>
      </c>
      <c r="D201" s="2">
        <v>371.21716298089001</v>
      </c>
      <c r="E201" s="2">
        <f t="shared" si="359"/>
        <v>91.356010257680992</v>
      </c>
      <c r="F201" s="2">
        <f t="shared" si="360"/>
        <v>87.855659180081631</v>
      </c>
      <c r="G201" s="2">
        <f t="shared" si="361"/>
        <v>87.342658960428921</v>
      </c>
      <c r="H201" s="4" t="s">
        <v>5</v>
      </c>
      <c r="I201" s="5">
        <f t="shared" si="274"/>
        <v>-0.19983619983619993</v>
      </c>
      <c r="J201" s="5">
        <f t="shared" ref="J201" si="376">+AVERAGE(B193:B201)/AVERAGE(B181:B189)-1</f>
        <v>-0.3695124111461856</v>
      </c>
      <c r="K201" s="5">
        <f t="shared" si="276"/>
        <v>9.6779636415840198E-2</v>
      </c>
      <c r="L201" s="5">
        <f t="shared" ref="L201" si="377">+F201/F192-1</f>
        <v>0.28787052521896328</v>
      </c>
      <c r="M201" s="6">
        <f t="shared" si="318"/>
        <v>6.1322274621744999E-2</v>
      </c>
    </row>
    <row r="202" spans="1:13" x14ac:dyDescent="0.2">
      <c r="A202" s="1">
        <v>40087</v>
      </c>
      <c r="B202" s="2">
        <v>430.64799999999997</v>
      </c>
      <c r="C202" s="2">
        <v>393.931147518317</v>
      </c>
      <c r="D202" s="2">
        <v>389.19132316172301</v>
      </c>
      <c r="E202" s="2">
        <f t="shared" si="359"/>
        <v>100.6711440774048</v>
      </c>
      <c r="F202" s="2">
        <f t="shared" si="360"/>
        <v>92.575744372766707</v>
      </c>
      <c r="G202" s="2">
        <f t="shared" si="361"/>
        <v>91.571749367155178</v>
      </c>
      <c r="H202" s="4" t="s">
        <v>6</v>
      </c>
      <c r="I202" s="5">
        <f t="shared" si="274"/>
        <v>-0.10430948419301178</v>
      </c>
      <c r="J202" s="5">
        <f t="shared" ref="J202" si="378">+AVERAGE(B193:B202)/AVERAGE(B181:B190)-1</f>
        <v>-0.34340533568108755</v>
      </c>
      <c r="K202" s="5">
        <f t="shared" si="276"/>
        <v>5.3725454190834965E-2</v>
      </c>
      <c r="L202" s="5">
        <f t="shared" ref="L202" si="379">+F202/F192-1</f>
        <v>0.35706195412534103</v>
      </c>
      <c r="M202" s="6">
        <f t="shared" si="318"/>
        <v>4.8419528980017335E-2</v>
      </c>
    </row>
    <row r="203" spans="1:13" x14ac:dyDescent="0.2">
      <c r="A203" s="1">
        <v>40118</v>
      </c>
      <c r="B203" s="2">
        <v>414.5</v>
      </c>
      <c r="C203" s="2">
        <v>403.51373093405999</v>
      </c>
      <c r="D203" s="2">
        <v>402.75153208721599</v>
      </c>
      <c r="E203" s="2">
        <f t="shared" si="359"/>
        <v>96.896280071158571</v>
      </c>
      <c r="F203" s="2">
        <f t="shared" si="360"/>
        <v>94.827698294956335</v>
      </c>
      <c r="G203" s="2">
        <f t="shared" si="361"/>
        <v>94.762293398311598</v>
      </c>
      <c r="H203" s="4" t="s">
        <v>7</v>
      </c>
      <c r="I203" s="5">
        <f t="shared" si="274"/>
        <v>5.9560327198364016E-2</v>
      </c>
      <c r="J203" s="5">
        <f t="shared" ref="J203" si="380">+AVERAGE(B193:B203)/AVERAGE(B181:B191)-1</f>
        <v>-0.31352264326199453</v>
      </c>
      <c r="K203" s="5">
        <f t="shared" si="276"/>
        <v>2.4325528651672368E-2</v>
      </c>
      <c r="L203" s="5">
        <f t="shared" ref="L203" si="381">+F203/F192-1</f>
        <v>0.39007320357251141</v>
      </c>
      <c r="M203" s="6">
        <f t="shared" si="318"/>
        <v>3.4842012446043791E-2</v>
      </c>
    </row>
    <row r="204" spans="1:13" x14ac:dyDescent="0.2">
      <c r="A204" s="1">
        <v>40148</v>
      </c>
      <c r="B204" s="2">
        <v>391.714</v>
      </c>
      <c r="C204" s="2">
        <v>416.63661246758102</v>
      </c>
      <c r="D204" s="2">
        <v>412.41772374074901</v>
      </c>
      <c r="E204" s="2">
        <f t="shared" si="359"/>
        <v>91.569672983821022</v>
      </c>
      <c r="F204" s="2">
        <f t="shared" si="360"/>
        <v>97.911639572346317</v>
      </c>
      <c r="G204" s="2">
        <f t="shared" si="361"/>
        <v>97.036624881967001</v>
      </c>
      <c r="H204" s="4" t="s">
        <v>8</v>
      </c>
      <c r="I204" s="5">
        <f t="shared" si="274"/>
        <v>0.47209434295528263</v>
      </c>
      <c r="J204" s="5">
        <f t="shared" ref="J204" si="382">+AVERAGE(B193:B204)/AVERAGE(B181:B192)-1</f>
        <v>-0.27579798076043316</v>
      </c>
      <c r="K204" s="5">
        <f t="shared" si="276"/>
        <v>3.2521524120490142E-2</v>
      </c>
      <c r="L204" s="5">
        <f t="shared" ref="L204" si="383">+F204/F192-1</f>
        <v>0.43528050279174191</v>
      </c>
      <c r="M204" s="6">
        <f t="shared" si="318"/>
        <v>2.4000384563254151E-2</v>
      </c>
    </row>
    <row r="205" spans="1:13" x14ac:dyDescent="0.2">
      <c r="A205" s="1">
        <v>40179</v>
      </c>
      <c r="B205" s="2">
        <v>338.09100000000001</v>
      </c>
      <c r="C205" s="2">
        <v>416.32023688121802</v>
      </c>
      <c r="D205" s="2">
        <v>419.084392897025</v>
      </c>
      <c r="E205" s="2">
        <f t="shared" si="359"/>
        <v>79.034403439175094</v>
      </c>
      <c r="F205" s="2">
        <f t="shared" si="360"/>
        <v>97.837289763773327</v>
      </c>
      <c r="G205" s="2">
        <f t="shared" si="361"/>
        <v>98.605207018209981</v>
      </c>
      <c r="H205" s="4" t="s">
        <v>24</v>
      </c>
      <c r="I205" s="5">
        <f t="shared" si="274"/>
        <v>0.18962350457424382</v>
      </c>
      <c r="J205" s="5">
        <f t="shared" ref="J205" si="384">+AVERAGE(B205:B205)/AVERAGE(B193:B193)-1</f>
        <v>0.1896235045742436</v>
      </c>
      <c r="K205" s="5">
        <f t="shared" si="276"/>
        <v>-7.5935617969147273E-4</v>
      </c>
      <c r="L205" s="5">
        <f t="shared" ref="L205" si="385">+F205/F204-1</f>
        <v>-7.5935617969147273E-4</v>
      </c>
      <c r="M205" s="6">
        <f t="shared" si="318"/>
        <v>1.6164846398470267E-2</v>
      </c>
    </row>
    <row r="206" spans="1:13" x14ac:dyDescent="0.2">
      <c r="A206" s="1">
        <v>40210</v>
      </c>
      <c r="B206" s="2">
        <v>380.54</v>
      </c>
      <c r="C206" s="2">
        <v>423.646615024548</v>
      </c>
      <c r="D206" s="2">
        <v>422.60954314450697</v>
      </c>
      <c r="E206" s="2">
        <f t="shared" si="359"/>
        <v>88.957564338428668</v>
      </c>
      <c r="F206" s="2">
        <f t="shared" si="360"/>
        <v>99.559024423365344</v>
      </c>
      <c r="G206" s="2">
        <f t="shared" si="361"/>
        <v>99.434629864335065</v>
      </c>
      <c r="H206" s="4" t="s">
        <v>1</v>
      </c>
      <c r="I206" s="5">
        <f t="shared" si="274"/>
        <v>0.48300857365549477</v>
      </c>
      <c r="J206" s="5">
        <f t="shared" ref="J206" si="386">+AVERAGE(B205:B206)/AVERAGE(B193:B194)-1</f>
        <v>0.32882951183431985</v>
      </c>
      <c r="K206" s="5">
        <f t="shared" si="276"/>
        <v>1.759793902456952E-2</v>
      </c>
      <c r="L206" s="5">
        <f t="shared" ref="L206" si="387">+F206/F204-1</f>
        <v>1.6825219741129827E-2</v>
      </c>
      <c r="M206" s="6">
        <f t="shared" si="318"/>
        <v>8.4115522010101973E-3</v>
      </c>
    </row>
    <row r="207" spans="1:13" x14ac:dyDescent="0.2">
      <c r="A207" s="1">
        <v>40238</v>
      </c>
      <c r="B207" s="2">
        <v>442.82199999999995</v>
      </c>
      <c r="C207" s="2">
        <v>425.53360136859499</v>
      </c>
      <c r="D207" s="2">
        <v>424.31023675942203</v>
      </c>
      <c r="E207" s="2">
        <f t="shared" si="359"/>
        <v>103.51701938159368</v>
      </c>
      <c r="F207" s="2">
        <f t="shared" si="360"/>
        <v>100.00247543383227</v>
      </c>
      <c r="G207" s="2">
        <f t="shared" si="361"/>
        <v>99.834781358438676</v>
      </c>
      <c r="H207" s="4" t="s">
        <v>2</v>
      </c>
      <c r="I207" s="5">
        <f t="shared" si="274"/>
        <v>0.71039783700270376</v>
      </c>
      <c r="J207" s="5">
        <f t="shared" ref="J207" si="388">+AVERAGE(B205:B207)/AVERAGE(B193:B195)-1</f>
        <v>0.45236088533199958</v>
      </c>
      <c r="K207" s="5">
        <f t="shared" si="276"/>
        <v>4.4541518263698787E-3</v>
      </c>
      <c r="L207" s="5">
        <f t="shared" ref="L207" si="389">+F207/F204-1</f>
        <v>2.1354313650738588E-2</v>
      </c>
      <c r="M207" s="6">
        <f t="shared" si="318"/>
        <v>4.0242669445198498E-3</v>
      </c>
    </row>
    <row r="208" spans="1:13" x14ac:dyDescent="0.2">
      <c r="A208" s="1">
        <v>40269</v>
      </c>
      <c r="B208" s="2">
        <v>427.91199999999998</v>
      </c>
      <c r="C208" s="2">
        <v>423.06563222312701</v>
      </c>
      <c r="D208" s="2">
        <v>425.72823720912902</v>
      </c>
      <c r="E208" s="2">
        <f t="shared" si="359"/>
        <v>100.03155849893753</v>
      </c>
      <c r="F208" s="2">
        <f t="shared" si="360"/>
        <v>99.422490626410834</v>
      </c>
      <c r="G208" s="2">
        <f t="shared" si="361"/>
        <v>100.16841876003389</v>
      </c>
      <c r="H208" s="4" t="s">
        <v>3</v>
      </c>
      <c r="I208" s="5">
        <f t="shared" si="274"/>
        <v>0.53428468985299382</v>
      </c>
      <c r="J208" s="5">
        <f t="shared" ref="J208" si="390">+AVERAGE(B205:B208)/AVERAGE(B193:B196)-1</f>
        <v>0.47354440941961817</v>
      </c>
      <c r="K208" s="5">
        <f t="shared" si="276"/>
        <v>-5.7997045063669095E-3</v>
      </c>
      <c r="L208" s="5">
        <f t="shared" ref="L208" si="391">+F208/F204-1</f>
        <v>1.5430760435261259E-2</v>
      </c>
      <c r="M208" s="6">
        <f t="shared" si="318"/>
        <v>3.341895450217347E-3</v>
      </c>
    </row>
    <row r="209" spans="1:13" x14ac:dyDescent="0.2">
      <c r="A209" s="1">
        <v>40299</v>
      </c>
      <c r="B209" s="2">
        <v>438.4</v>
      </c>
      <c r="C209" s="2">
        <v>433.685182240399</v>
      </c>
      <c r="D209" s="2">
        <v>427.135591556495</v>
      </c>
      <c r="E209" s="2">
        <f t="shared" si="359"/>
        <v>102.48330321639546</v>
      </c>
      <c r="F209" s="2">
        <f t="shared" si="360"/>
        <v>101.91813676646903</v>
      </c>
      <c r="G209" s="2">
        <f t="shared" si="361"/>
        <v>100.49955126967163</v>
      </c>
      <c r="H209" s="4" t="s">
        <v>2</v>
      </c>
      <c r="I209" s="5">
        <f t="shared" si="274"/>
        <v>0.63088564084059029</v>
      </c>
      <c r="J209" s="5">
        <f t="shared" ref="J209" si="392">+AVERAGE(B205:B209)/AVERAGE(B193:B197)-1</f>
        <v>0.5049342776628658</v>
      </c>
      <c r="K209" s="5">
        <f t="shared" si="276"/>
        <v>2.5101424479857526E-2</v>
      </c>
      <c r="L209" s="5">
        <f t="shared" ref="L209" si="393">+F209/F204-1</f>
        <v>4.0919518982851288E-2</v>
      </c>
      <c r="M209" s="6">
        <f t="shared" si="318"/>
        <v>3.3057575804507078E-3</v>
      </c>
    </row>
    <row r="210" spans="1:13" x14ac:dyDescent="0.2">
      <c r="A210" s="1">
        <v>40330</v>
      </c>
      <c r="B210" s="2">
        <v>420.6</v>
      </c>
      <c r="C210" s="2">
        <v>424.973118192502</v>
      </c>
      <c r="D210" s="2">
        <v>428.64085314300303</v>
      </c>
      <c r="E210" s="2">
        <f t="shared" si="359"/>
        <v>98.322256689817365</v>
      </c>
      <c r="F210" s="2">
        <f t="shared" si="360"/>
        <v>99.870759148988853</v>
      </c>
      <c r="G210" s="2">
        <f t="shared" si="361"/>
        <v>100.85372010265571</v>
      </c>
      <c r="H210" s="4" t="s">
        <v>4</v>
      </c>
      <c r="I210" s="5">
        <f t="shared" si="274"/>
        <v>0.3507264249104014</v>
      </c>
      <c r="J210" s="5">
        <f t="shared" ref="J210" si="394">+AVERAGE(B205:B210)/AVERAGE(B193:B198)-1</f>
        <v>0.47598654207049784</v>
      </c>
      <c r="K210" s="5">
        <f t="shared" si="276"/>
        <v>-2.0088452187577377E-2</v>
      </c>
      <c r="L210" s="5">
        <f t="shared" ref="L210" si="395">+F210/F204-1</f>
        <v>2.0009056994648278E-2</v>
      </c>
      <c r="M210" s="6">
        <f t="shared" si="318"/>
        <v>3.5240837248491363E-3</v>
      </c>
    </row>
    <row r="211" spans="1:13" x14ac:dyDescent="0.2">
      <c r="A211" s="1">
        <v>40360</v>
      </c>
      <c r="B211" s="2">
        <v>437.34900000000005</v>
      </c>
      <c r="C211" s="2">
        <v>419.82281218918303</v>
      </c>
      <c r="D211" s="2">
        <v>430.145922650974</v>
      </c>
      <c r="E211" s="2">
        <f t="shared" si="359"/>
        <v>102.23761445800032</v>
      </c>
      <c r="F211" s="2">
        <f t="shared" si="360"/>
        <v>98.660412074357964</v>
      </c>
      <c r="G211" s="2">
        <f t="shared" si="361"/>
        <v>101.20784374201239</v>
      </c>
      <c r="H211" s="4" t="s">
        <v>4</v>
      </c>
      <c r="I211" s="5">
        <f t="shared" si="274"/>
        <v>0.23083525878979105</v>
      </c>
      <c r="J211" s="5">
        <f t="shared" ref="J211" si="396">+AVERAGE(B205:B211)/AVERAGE(B193:B199)-1</f>
        <v>0.43273757451122741</v>
      </c>
      <c r="K211" s="5">
        <f t="shared" si="276"/>
        <v>-1.2119133617731648E-2</v>
      </c>
      <c r="L211" s="5">
        <f t="shared" ref="L211" si="397">+F211/F204-1</f>
        <v>7.6474309416336705E-3</v>
      </c>
      <c r="M211" s="6">
        <f t="shared" si="318"/>
        <v>3.5112600605731181E-3</v>
      </c>
    </row>
    <row r="212" spans="1:13" x14ac:dyDescent="0.2">
      <c r="A212" s="1">
        <v>40391</v>
      </c>
      <c r="B212" s="2">
        <v>473.4144</v>
      </c>
      <c r="C212" s="2">
        <v>443.29037894738298</v>
      </c>
      <c r="D212" s="2">
        <v>431.18868634518901</v>
      </c>
      <c r="E212" s="2">
        <f t="shared" si="359"/>
        <v>110.66850251416042</v>
      </c>
      <c r="F212" s="2">
        <f t="shared" si="360"/>
        <v>104.17540492258644</v>
      </c>
      <c r="G212" s="2">
        <f t="shared" si="361"/>
        <v>101.45319272584918</v>
      </c>
      <c r="H212" s="4" t="s">
        <v>3</v>
      </c>
      <c r="I212" s="5">
        <f t="shared" si="274"/>
        <v>0.27501858335577722</v>
      </c>
      <c r="J212" s="5">
        <f t="shared" ref="J212" si="398">+AVERAGE(B205:B212)/AVERAGE(B193:B200)-1</f>
        <v>0.40818805529913749</v>
      </c>
      <c r="K212" s="5">
        <f t="shared" si="276"/>
        <v>5.589874127093597E-2</v>
      </c>
      <c r="L212" s="5">
        <f t="shared" ref="L212" si="399">+F212/F204-1</f>
        <v>6.3973653976163503E-2</v>
      </c>
      <c r="M212" s="6">
        <f t="shared" si="318"/>
        <v>2.4242091794999254E-3</v>
      </c>
    </row>
    <row r="213" spans="1:13" x14ac:dyDescent="0.2">
      <c r="A213" s="1">
        <v>40422</v>
      </c>
      <c r="B213" s="2">
        <v>450.79100000000005</v>
      </c>
      <c r="C213" s="2">
        <v>432.61594732638298</v>
      </c>
      <c r="D213" s="2">
        <v>432.009099475803</v>
      </c>
      <c r="E213" s="2">
        <f t="shared" si="359"/>
        <v>105.37990588554318</v>
      </c>
      <c r="F213" s="2">
        <f t="shared" si="360"/>
        <v>101.66686133750645</v>
      </c>
      <c r="G213" s="2">
        <f t="shared" si="361"/>
        <v>101.6462254609158</v>
      </c>
      <c r="H213" s="4" t="s">
        <v>5</v>
      </c>
      <c r="I213" s="5">
        <f t="shared" si="274"/>
        <v>0.1535081883316276</v>
      </c>
      <c r="J213" s="5">
        <f t="shared" ref="J213" si="400">+AVERAGE(B205:B213)/AVERAGE(B193:B201)-1</f>
        <v>0.37233762669177506</v>
      </c>
      <c r="K213" s="5">
        <f t="shared" si="276"/>
        <v>-2.4079998411756676E-2</v>
      </c>
      <c r="L213" s="5">
        <f t="shared" ref="L213" si="401">+F213/F204-1</f>
        <v>3.8353170078266441E-2</v>
      </c>
      <c r="M213" s="6">
        <f t="shared" si="318"/>
        <v>1.9026777756343538E-3</v>
      </c>
    </row>
    <row r="214" spans="1:13" x14ac:dyDescent="0.2">
      <c r="A214" s="1">
        <v>40452</v>
      </c>
      <c r="B214" s="2">
        <v>468.31800000000004</v>
      </c>
      <c r="C214" s="2">
        <v>430.35756269774299</v>
      </c>
      <c r="D214" s="2">
        <v>432.91404636483099</v>
      </c>
      <c r="E214" s="2">
        <f t="shared" si="359"/>
        <v>109.47713411426983</v>
      </c>
      <c r="F214" s="2">
        <f t="shared" si="360"/>
        <v>101.13612991554739</v>
      </c>
      <c r="G214" s="2">
        <f t="shared" si="361"/>
        <v>101.85914791005844</v>
      </c>
      <c r="H214" s="4" t="s">
        <v>6</v>
      </c>
      <c r="I214" s="5">
        <f t="shared" si="274"/>
        <v>8.7472831639761717E-2</v>
      </c>
      <c r="J214" s="5">
        <f t="shared" ref="J214" si="402">+AVERAGE(B205:B214)/AVERAGE(B193:B202)-1</f>
        <v>0.33408340957580474</v>
      </c>
      <c r="K214" s="5">
        <f t="shared" si="276"/>
        <v>-5.2202990726464282E-3</v>
      </c>
      <c r="L214" s="5">
        <f t="shared" ref="L214" si="403">+F214/F204-1</f>
        <v>3.293265598742745E-2</v>
      </c>
      <c r="M214" s="6">
        <f t="shared" si="318"/>
        <v>2.0947403425670696E-3</v>
      </c>
    </row>
    <row r="215" spans="1:13" x14ac:dyDescent="0.2">
      <c r="A215" s="1">
        <v>40483</v>
      </c>
      <c r="B215" s="2">
        <v>448.64999999999992</v>
      </c>
      <c r="C215" s="2">
        <v>435.20231111952802</v>
      </c>
      <c r="D215" s="2">
        <v>434.21680296204403</v>
      </c>
      <c r="E215" s="2">
        <f t="shared" si="359"/>
        <v>104.87941146905979</v>
      </c>
      <c r="F215" s="2">
        <f t="shared" si="360"/>
        <v>102.27466946559574</v>
      </c>
      <c r="G215" s="2">
        <f t="shared" si="361"/>
        <v>102.16566990452959</v>
      </c>
      <c r="H215" s="4" t="s">
        <v>7</v>
      </c>
      <c r="I215" s="5">
        <f t="shared" si="274"/>
        <v>8.2388419782870592E-2</v>
      </c>
      <c r="J215" s="5">
        <f t="shared" ref="J215" si="404">+AVERAGE(B205:B215)/AVERAGE(B193:B203)-1</f>
        <v>0.30527457257935797</v>
      </c>
      <c r="K215" s="5">
        <f t="shared" si="276"/>
        <v>1.1257495723823618E-2</v>
      </c>
      <c r="L215" s="5">
        <f t="shared" ref="L215" si="405">+F215/F204-1</f>
        <v>4.4560890945203768E-2</v>
      </c>
      <c r="M215" s="6">
        <f t="shared" si="318"/>
        <v>3.0092731066415634E-3</v>
      </c>
    </row>
    <row r="216" spans="1:13" x14ac:dyDescent="0.2">
      <c r="A216" s="1">
        <v>40513</v>
      </c>
      <c r="B216" s="2">
        <v>411.5</v>
      </c>
      <c r="C216" s="2">
        <v>434.28507088623797</v>
      </c>
      <c r="D216" s="2">
        <v>437.165823151555</v>
      </c>
      <c r="E216" s="2">
        <f t="shared" si="359"/>
        <v>96.194980094769008</v>
      </c>
      <c r="F216" s="2">
        <f t="shared" si="360"/>
        <v>102.05911352923371</v>
      </c>
      <c r="G216" s="2">
        <f t="shared" si="361"/>
        <v>102.85953670371404</v>
      </c>
      <c r="H216" s="4" t="s">
        <v>8</v>
      </c>
      <c r="I216" s="5">
        <f t="shared" si="274"/>
        <v>5.0511342459038877E-2</v>
      </c>
      <c r="J216" s="5">
        <f t="shared" ref="J216" si="406">+AVERAGE(B205:B216)/AVERAGE(B193:B204)-1</f>
        <v>0.28040735712747855</v>
      </c>
      <c r="K216" s="5">
        <f t="shared" si="276"/>
        <v>-2.1076180200664263E-3</v>
      </c>
      <c r="L216" s="5">
        <f t="shared" ref="L216" si="407">+F216/F204-1</f>
        <v>4.235935558839099E-2</v>
      </c>
      <c r="M216" s="6">
        <f t="shared" si="318"/>
        <v>6.7915846862536267E-3</v>
      </c>
    </row>
    <row r="217" spans="1:13" x14ac:dyDescent="0.2">
      <c r="A217" s="1">
        <v>40544</v>
      </c>
      <c r="B217" s="2">
        <v>361.5</v>
      </c>
      <c r="C217" s="2">
        <v>437.52328684199398</v>
      </c>
      <c r="D217" s="2">
        <v>442.52849636908599</v>
      </c>
      <c r="E217" s="2">
        <f t="shared" si="359"/>
        <v>84.506647154942883</v>
      </c>
      <c r="F217" s="2">
        <f t="shared" si="360"/>
        <v>102.82011010041738</v>
      </c>
      <c r="G217" s="2">
        <f t="shared" si="361"/>
        <v>104.12130524424659</v>
      </c>
      <c r="H217" s="4" t="s">
        <v>25</v>
      </c>
      <c r="I217" s="5">
        <f t="shared" ref="I217:I280" si="408">+E217/E205-1</f>
        <v>6.9238755246368466E-2</v>
      </c>
      <c r="J217" s="5">
        <f t="shared" ref="J217" si="409">+AVERAGE(B217:B217)/AVERAGE(B205:B205)-1</f>
        <v>6.9238755246368466E-2</v>
      </c>
      <c r="K217" s="5">
        <f t="shared" ref="K217:K280" si="410">+F217/F216-1</f>
        <v>7.4564293659642455E-3</v>
      </c>
      <c r="L217" s="5">
        <f t="shared" ref="L217" si="411">+F217/F216-1</f>
        <v>7.4564293659642455E-3</v>
      </c>
      <c r="M217" s="6">
        <f t="shared" si="318"/>
        <v>1.2266908650065744E-2</v>
      </c>
    </row>
    <row r="218" spans="1:13" x14ac:dyDescent="0.2">
      <c r="A218" s="1">
        <v>40575</v>
      </c>
      <c r="B218" s="2">
        <v>440.4</v>
      </c>
      <c r="C218" s="2">
        <v>492.47714795315602</v>
      </c>
      <c r="D218" s="2">
        <v>450.76156188129897</v>
      </c>
      <c r="E218" s="2">
        <f t="shared" si="359"/>
        <v>102.95083653398851</v>
      </c>
      <c r="F218" s="2">
        <f t="shared" si="360"/>
        <v>115.73453596029917</v>
      </c>
      <c r="G218" s="2">
        <f t="shared" si="361"/>
        <v>106.05844044418645</v>
      </c>
      <c r="H218" s="4" t="s">
        <v>1</v>
      </c>
      <c r="I218" s="5">
        <f t="shared" si="408"/>
        <v>0.15730278025963118</v>
      </c>
      <c r="J218" s="5">
        <f t="shared" ref="J218" si="412">+AVERAGE(B217:B218)/AVERAGE(B205:B206)-1</f>
        <v>0.11587170606333408</v>
      </c>
      <c r="K218" s="5">
        <f t="shared" si="410"/>
        <v>0.12560213996337044</v>
      </c>
      <c r="L218" s="5">
        <f t="shared" ref="L218" si="413">+F218/F216-1</f>
        <v>0.13399511281418564</v>
      </c>
      <c r="M218" s="6">
        <f t="shared" si="318"/>
        <v>1.8604599658021526E-2</v>
      </c>
    </row>
    <row r="219" spans="1:13" x14ac:dyDescent="0.2">
      <c r="A219" s="1">
        <v>40603</v>
      </c>
      <c r="B219" s="2">
        <v>471.1</v>
      </c>
      <c r="C219" s="2">
        <v>455.05793805665201</v>
      </c>
      <c r="D219" s="2">
        <v>460.53523782120197</v>
      </c>
      <c r="E219" s="2">
        <f t="shared" si="359"/>
        <v>110.12747295904175</v>
      </c>
      <c r="F219" s="2">
        <f t="shared" si="360"/>
        <v>106.94083880831506</v>
      </c>
      <c r="G219" s="2">
        <f t="shared" si="361"/>
        <v>108.35806160812665</v>
      </c>
      <c r="H219" s="4" t="s">
        <v>2</v>
      </c>
      <c r="I219" s="5">
        <f t="shared" si="408"/>
        <v>6.385861587726005E-2</v>
      </c>
      <c r="J219" s="5">
        <f t="shared" ref="J219" si="414">+AVERAGE(B217:B219)/AVERAGE(B205:B207)-1</f>
        <v>9.6040907380668727E-2</v>
      </c>
      <c r="K219" s="5">
        <f t="shared" si="410"/>
        <v>-7.5981616714656752E-2</v>
      </c>
      <c r="L219" s="5">
        <f t="shared" ref="L219" si="415">+F219/F216-1</f>
        <v>4.7832330796044431E-2</v>
      </c>
      <c r="M219" s="6">
        <f t="shared" si="318"/>
        <v>2.1682585132395849E-2</v>
      </c>
    </row>
    <row r="220" spans="1:13" x14ac:dyDescent="0.2">
      <c r="A220" s="1">
        <v>40634</v>
      </c>
      <c r="B220" s="2">
        <v>474.04299999999995</v>
      </c>
      <c r="C220" s="2">
        <v>467.29249129778799</v>
      </c>
      <c r="D220" s="2">
        <v>468.73071689709201</v>
      </c>
      <c r="E220" s="2">
        <f t="shared" si="359"/>
        <v>110.8154482358799</v>
      </c>
      <c r="F220" s="2">
        <f t="shared" si="360"/>
        <v>109.81601859671639</v>
      </c>
      <c r="G220" s="2">
        <f t="shared" si="361"/>
        <v>110.28635319948188</v>
      </c>
      <c r="H220" s="4" t="s">
        <v>3</v>
      </c>
      <c r="I220" s="5">
        <f t="shared" si="408"/>
        <v>0.10780487576884967</v>
      </c>
      <c r="J220" s="5">
        <f t="shared" ref="J220" si="416">+AVERAGE(B217:B220)/AVERAGE(B205:B208)-1</f>
        <v>9.9208174333774712E-2</v>
      </c>
      <c r="K220" s="5">
        <f t="shared" si="410"/>
        <v>2.688570447399341E-2</v>
      </c>
      <c r="L220" s="5">
        <f t="shared" ref="L220" si="417">+F220/F216-1</f>
        <v>7.6004041180122606E-2</v>
      </c>
      <c r="M220" s="6">
        <f t="shared" si="318"/>
        <v>1.7795552658821379E-2</v>
      </c>
    </row>
    <row r="221" spans="1:13" x14ac:dyDescent="0.2">
      <c r="A221" s="1">
        <v>40664</v>
      </c>
      <c r="B221" s="2">
        <v>495.77599999999995</v>
      </c>
      <c r="C221" s="2">
        <v>488.25824259433</v>
      </c>
      <c r="D221" s="2">
        <v>473.48842617870201</v>
      </c>
      <c r="E221" s="2">
        <f t="shared" si="359"/>
        <v>115.89589903150473</v>
      </c>
      <c r="F221" s="2">
        <f t="shared" si="360"/>
        <v>114.74307258784926</v>
      </c>
      <c r="G221" s="2">
        <f t="shared" si="361"/>
        <v>111.40578144972666</v>
      </c>
      <c r="H221" s="4" t="s">
        <v>2</v>
      </c>
      <c r="I221" s="5">
        <f t="shared" si="408"/>
        <v>0.13087591240875907</v>
      </c>
      <c r="J221" s="5">
        <f t="shared" ref="J221" si="418">+AVERAGE(B217:B221)/AVERAGE(B205:B209)-1</f>
        <v>0.10605469568712356</v>
      </c>
      <c r="K221" s="5">
        <f t="shared" si="410"/>
        <v>4.4866441654807909E-2</v>
      </c>
      <c r="L221" s="5">
        <f t="shared" ref="L221" si="419">+F221/F216-1</f>
        <v>0.1242805137140679</v>
      </c>
      <c r="M221" s="6">
        <f t="shared" si="318"/>
        <v>1.0150197352341461E-2</v>
      </c>
    </row>
    <row r="222" spans="1:13" x14ac:dyDescent="0.2">
      <c r="A222" s="1">
        <v>40695</v>
      </c>
      <c r="B222" s="2">
        <v>469.98199999999991</v>
      </c>
      <c r="C222" s="2">
        <v>473.88385623613402</v>
      </c>
      <c r="D222" s="2">
        <v>474.054408220597</v>
      </c>
      <c r="E222" s="2">
        <f t="shared" si="359"/>
        <v>109.86612183450721</v>
      </c>
      <c r="F222" s="2">
        <f t="shared" si="360"/>
        <v>111.36502156194032</v>
      </c>
      <c r="G222" s="2">
        <f t="shared" si="361"/>
        <v>111.53894979804871</v>
      </c>
      <c r="H222" s="4" t="s">
        <v>4</v>
      </c>
      <c r="I222" s="5">
        <f t="shared" si="408"/>
        <v>0.11740846409890593</v>
      </c>
      <c r="J222" s="5">
        <f t="shared" ref="J222" si="420">+AVERAGE(B217:B222)/AVERAGE(B205:B210)-1</f>
        <v>0.10800513812278822</v>
      </c>
      <c r="K222" s="5">
        <f t="shared" si="410"/>
        <v>-2.9440130456003244E-2</v>
      </c>
      <c r="L222" s="5">
        <f t="shared" ref="L222" si="421">+F222/F216-1</f>
        <v>9.1181548721183336E-2</v>
      </c>
      <c r="M222" s="6">
        <f t="shared" si="318"/>
        <v>1.1953450403481281E-3</v>
      </c>
    </row>
    <row r="223" spans="1:13" x14ac:dyDescent="0.2">
      <c r="A223" s="1">
        <v>40725</v>
      </c>
      <c r="B223" s="2">
        <v>490.988</v>
      </c>
      <c r="C223" s="2">
        <v>475.81413585313999</v>
      </c>
      <c r="D223" s="2">
        <v>471.47788672446598</v>
      </c>
      <c r="E223" s="2">
        <f t="shared" si="359"/>
        <v>114.77662426918698</v>
      </c>
      <c r="F223" s="2">
        <f t="shared" si="360"/>
        <v>111.81864670307897</v>
      </c>
      <c r="G223" s="2">
        <f t="shared" si="361"/>
        <v>110.93272718556575</v>
      </c>
      <c r="H223" s="4" t="s">
        <v>4</v>
      </c>
      <c r="I223" s="5">
        <f t="shared" si="408"/>
        <v>0.12264575887906437</v>
      </c>
      <c r="J223" s="5">
        <f t="shared" ref="J223" si="422">+AVERAGE(B217:B223)/AVERAGE(B205:B211)-1</f>
        <v>0.11022402081425953</v>
      </c>
      <c r="K223" s="5">
        <f t="shared" si="410"/>
        <v>4.0733179482781434E-3</v>
      </c>
      <c r="L223" s="5">
        <f t="shared" ref="L223" si="423">+F223/F216-1</f>
        <v>9.5626278108419394E-2</v>
      </c>
      <c r="M223" s="6">
        <f t="shared" si="318"/>
        <v>-5.4350754922882771E-3</v>
      </c>
    </row>
    <row r="224" spans="1:13" x14ac:dyDescent="0.2">
      <c r="A224" s="1">
        <v>40756</v>
      </c>
      <c r="B224" s="2">
        <v>489.5</v>
      </c>
      <c r="C224" s="2">
        <v>461.25291590493703</v>
      </c>
      <c r="D224" s="2">
        <v>467.72350592051799</v>
      </c>
      <c r="E224" s="2">
        <f t="shared" si="359"/>
        <v>114.42877948089776</v>
      </c>
      <c r="F224" s="2">
        <f t="shared" si="360"/>
        <v>108.39668887066922</v>
      </c>
      <c r="G224" s="2">
        <f t="shared" si="361"/>
        <v>110.0493693161892</v>
      </c>
      <c r="H224" s="4" t="s">
        <v>3</v>
      </c>
      <c r="I224" s="5">
        <f t="shared" si="408"/>
        <v>3.3977842668072578E-2</v>
      </c>
      <c r="J224" s="5">
        <f t="shared" ref="J224" si="424">+AVERAGE(B217:B224)/AVERAGE(B205:B212)-1</f>
        <v>9.9478364685315235E-2</v>
      </c>
      <c r="K224" s="5">
        <f t="shared" si="410"/>
        <v>-3.0602747692845433E-2</v>
      </c>
      <c r="L224" s="5">
        <f t="shared" ref="L224" si="425">+F224/F216-1</f>
        <v>6.2097103553816257E-2</v>
      </c>
      <c r="M224" s="6">
        <f t="shared" si="318"/>
        <v>-7.9630050733260349E-3</v>
      </c>
    </row>
    <row r="225" spans="1:13" x14ac:dyDescent="0.2">
      <c r="A225" s="1">
        <v>40787</v>
      </c>
      <c r="B225" s="2">
        <v>472.87599999999998</v>
      </c>
      <c r="C225" s="2">
        <v>454.07002345779301</v>
      </c>
      <c r="D225" s="2">
        <v>464.94611145441399</v>
      </c>
      <c r="E225" s="2">
        <f t="shared" si="359"/>
        <v>110.54264254506437</v>
      </c>
      <c r="F225" s="2">
        <f t="shared" si="360"/>
        <v>106.70867405073685</v>
      </c>
      <c r="G225" s="2">
        <f t="shared" si="361"/>
        <v>109.3958838585031</v>
      </c>
      <c r="H225" s="4" t="s">
        <v>5</v>
      </c>
      <c r="I225" s="5">
        <f t="shared" si="408"/>
        <v>4.8991661324205626E-2</v>
      </c>
      <c r="J225" s="5">
        <f t="shared" ref="J225" si="426">+AVERAGE(B217:B225)/AVERAGE(B205:B213)-1</f>
        <v>9.3504760231935657E-2</v>
      </c>
      <c r="K225" s="5">
        <f t="shared" si="410"/>
        <v>-1.5572568106267393E-2</v>
      </c>
      <c r="L225" s="5">
        <f t="shared" ref="L225" si="427">+F225/F216-1</f>
        <v>4.5557524073255085E-2</v>
      </c>
      <c r="M225" s="6">
        <f t="shared" si="318"/>
        <v>-5.938111792431422E-3</v>
      </c>
    </row>
    <row r="226" spans="1:13" x14ac:dyDescent="0.2">
      <c r="A226" s="1">
        <v>40817</v>
      </c>
      <c r="B226" s="2">
        <v>505.86</v>
      </c>
      <c r="C226" s="2">
        <v>467.58871584772203</v>
      </c>
      <c r="D226" s="2">
        <v>464.75480543965398</v>
      </c>
      <c r="E226" s="2">
        <f t="shared" si="359"/>
        <v>118.25320201880886</v>
      </c>
      <c r="F226" s="2">
        <f t="shared" si="360"/>
        <v>109.88563281327275</v>
      </c>
      <c r="G226" s="2">
        <f t="shared" si="361"/>
        <v>109.35087199571612</v>
      </c>
      <c r="H226" s="4" t="s">
        <v>6</v>
      </c>
      <c r="I226" s="5">
        <f t="shared" si="408"/>
        <v>8.0163478661934739E-2</v>
      </c>
      <c r="J226" s="5">
        <f t="shared" ref="J226" si="428">+AVERAGE(B217:B226)/AVERAGE(B205:B214)-1</f>
        <v>9.2044354527871741E-2</v>
      </c>
      <c r="K226" s="5">
        <f t="shared" si="410"/>
        <v>2.9772263509012964E-2</v>
      </c>
      <c r="L226" s="5">
        <f t="shared" ref="L226" si="429">+F226/F216-1</f>
        <v>7.6686138193795106E-2</v>
      </c>
      <c r="M226" s="6">
        <f t="shared" si="318"/>
        <v>-4.1145846808277042E-4</v>
      </c>
    </row>
    <row r="227" spans="1:13" x14ac:dyDescent="0.2">
      <c r="A227" s="1">
        <v>40848</v>
      </c>
      <c r="B227" s="2">
        <v>483.7</v>
      </c>
      <c r="C227" s="2">
        <v>468.66554494940499</v>
      </c>
      <c r="D227" s="2">
        <v>467.94270213270102</v>
      </c>
      <c r="E227" s="2">
        <f t="shared" si="359"/>
        <v>113.07293285987792</v>
      </c>
      <c r="F227" s="2">
        <f t="shared" si="360"/>
        <v>110.13869291344145</v>
      </c>
      <c r="G227" s="2">
        <f t="shared" si="361"/>
        <v>110.10094338634366</v>
      </c>
      <c r="H227" s="4" t="s">
        <v>7</v>
      </c>
      <c r="I227" s="5">
        <f t="shared" si="408"/>
        <v>7.8123258664883677E-2</v>
      </c>
      <c r="J227" s="5">
        <f t="shared" ref="J227" si="430">+AVERAGE(B217:B227)/AVERAGE(B205:B215)-1</f>
        <v>9.0723041128502269E-2</v>
      </c>
      <c r="K227" s="5">
        <f t="shared" si="410"/>
        <v>2.3029407365631194E-3</v>
      </c>
      <c r="L227" s="5">
        <f t="shared" ref="L227" si="431">+F227/F216-1</f>
        <v>7.9165682561934236E-2</v>
      </c>
      <c r="M227" s="6">
        <f t="shared" si="318"/>
        <v>6.8593087273864928E-3</v>
      </c>
    </row>
    <row r="228" spans="1:13" x14ac:dyDescent="0.2">
      <c r="A228" s="1">
        <v>40878</v>
      </c>
      <c r="B228" s="2">
        <v>454.774</v>
      </c>
      <c r="C228" s="2">
        <v>474.14448675299599</v>
      </c>
      <c r="D228" s="2">
        <v>472.62003690274202</v>
      </c>
      <c r="E228" s="2">
        <f t="shared" si="359"/>
        <v>106.31099848752972</v>
      </c>
      <c r="F228" s="2">
        <f t="shared" si="360"/>
        <v>111.42627100681605</v>
      </c>
      <c r="G228" s="2">
        <f t="shared" si="361"/>
        <v>111.20146054019217</v>
      </c>
      <c r="H228" s="4" t="s">
        <v>8</v>
      </c>
      <c r="I228" s="5">
        <f t="shared" si="408"/>
        <v>0.10516160388821372</v>
      </c>
      <c r="J228" s="5">
        <f t="shared" ref="J228" si="432">+AVERAGE(B217:B228)/AVERAGE(B205:B216)-1</f>
        <v>9.1879331636225192E-2</v>
      </c>
      <c r="K228" s="5">
        <f t="shared" si="410"/>
        <v>1.1690515470221818E-2</v>
      </c>
      <c r="L228" s="5">
        <f t="shared" ref="L228" si="433">+F228/F216-1</f>
        <v>9.1781685668857138E-2</v>
      </c>
      <c r="M228" s="6">
        <f t="shared" si="318"/>
        <v>9.9955288301827316E-3</v>
      </c>
    </row>
    <row r="229" spans="1:13" x14ac:dyDescent="0.2">
      <c r="A229" s="1">
        <v>40909</v>
      </c>
      <c r="B229" s="2">
        <v>396.8</v>
      </c>
      <c r="C229" s="2">
        <v>469.926119343153</v>
      </c>
      <c r="D229" s="2">
        <v>476.09309604122302</v>
      </c>
      <c r="E229" s="2">
        <f t="shared" si="359"/>
        <v>92.75861021046012</v>
      </c>
      <c r="F229" s="2">
        <f t="shared" si="360"/>
        <v>110.43493405500553</v>
      </c>
      <c r="G229" s="2">
        <f t="shared" si="361"/>
        <v>112.0186270134389</v>
      </c>
      <c r="H229" s="4" t="s">
        <v>26</v>
      </c>
      <c r="I229" s="5">
        <f t="shared" si="408"/>
        <v>9.7648686030428644E-2</v>
      </c>
      <c r="J229" s="5">
        <f t="shared" ref="J229" si="434">+AVERAGE(B229:B229)/AVERAGE(B217:B217)-1</f>
        <v>9.7648686030428866E-2</v>
      </c>
      <c r="K229" s="5">
        <f t="shared" si="410"/>
        <v>-8.8967973427908076E-3</v>
      </c>
      <c r="L229" s="5">
        <f t="shared" ref="L229" si="435">+F229/F228-1</f>
        <v>-8.8967973427908076E-3</v>
      </c>
      <c r="M229" s="6">
        <f t="shared" si="318"/>
        <v>7.3485228456273699E-3</v>
      </c>
    </row>
    <row r="230" spans="1:13" x14ac:dyDescent="0.2">
      <c r="A230" s="1">
        <v>40940</v>
      </c>
      <c r="B230" s="2">
        <v>449.97400000000005</v>
      </c>
      <c r="C230" s="2">
        <v>474.09697482783201</v>
      </c>
      <c r="D230" s="2">
        <v>476.21616372961898</v>
      </c>
      <c r="E230" s="2">
        <f t="shared" si="359"/>
        <v>105.18891852530643</v>
      </c>
      <c r="F230" s="2">
        <f t="shared" si="360"/>
        <v>111.41510547226427</v>
      </c>
      <c r="G230" s="2">
        <f t="shared" si="361"/>
        <v>112.04758326926043</v>
      </c>
      <c r="H230" s="4" t="s">
        <v>1</v>
      </c>
      <c r="I230" s="5">
        <f t="shared" si="408"/>
        <v>2.1739327883742332E-2</v>
      </c>
      <c r="J230" s="5">
        <f t="shared" ref="J230" si="436">+AVERAGE(B229:B230)/AVERAGE(B217:B218)-1</f>
        <v>5.5959595959596209E-2</v>
      </c>
      <c r="K230" s="5">
        <f t="shared" si="410"/>
        <v>8.8755557799358176E-3</v>
      </c>
      <c r="L230" s="5">
        <f t="shared" ref="L230" si="437">+F230/F228-1</f>
        <v>-1.0020558393353252E-4</v>
      </c>
      <c r="M230" s="6">
        <f t="shared" si="318"/>
        <v>2.5849500742447518E-4</v>
      </c>
    </row>
    <row r="231" spans="1:13" x14ac:dyDescent="0.2">
      <c r="A231" s="1">
        <v>40969</v>
      </c>
      <c r="B231" s="2">
        <v>496.69199999999995</v>
      </c>
      <c r="C231" s="2">
        <v>481.417245308639</v>
      </c>
      <c r="D231" s="2">
        <v>471.98773850387698</v>
      </c>
      <c r="E231" s="2">
        <f t="shared" si="359"/>
        <v>116.11002929096234</v>
      </c>
      <c r="F231" s="2">
        <f t="shared" si="360"/>
        <v>113.13540480132198</v>
      </c>
      <c r="G231" s="2">
        <f t="shared" si="361"/>
        <v>111.05268879976448</v>
      </c>
      <c r="H231" s="4" t="s">
        <v>2</v>
      </c>
      <c r="I231" s="5">
        <f t="shared" si="408"/>
        <v>5.4323922734026642E-2</v>
      </c>
      <c r="J231" s="5">
        <f t="shared" ref="J231" si="438">+AVERAGE(B229:B231)/AVERAGE(B217:B219)-1</f>
        <v>5.535428122545194E-2</v>
      </c>
      <c r="K231" s="5">
        <f t="shared" si="410"/>
        <v>1.5440449674806178E-2</v>
      </c>
      <c r="L231" s="5">
        <f t="shared" ref="L231" si="439">+F231/F228-1</f>
        <v>1.5338696871596724E-2</v>
      </c>
      <c r="M231" s="6">
        <f t="shared" si="318"/>
        <v>-8.8792139952285076E-3</v>
      </c>
    </row>
    <row r="232" spans="1:13" x14ac:dyDescent="0.2">
      <c r="A232" s="1">
        <v>41000</v>
      </c>
      <c r="B232" s="2">
        <v>480</v>
      </c>
      <c r="C232" s="2">
        <v>473.11761567859901</v>
      </c>
      <c r="D232" s="2">
        <v>465.39995138215897</v>
      </c>
      <c r="E232" s="2">
        <f t="shared" si="359"/>
        <v>112.20799622233079</v>
      </c>
      <c r="F232" s="2">
        <f t="shared" si="360"/>
        <v>111.1849512871492</v>
      </c>
      <c r="G232" s="2">
        <f t="shared" si="361"/>
        <v>109.5026665991322</v>
      </c>
      <c r="H232" s="4" t="s">
        <v>3</v>
      </c>
      <c r="I232" s="5">
        <f t="shared" si="408"/>
        <v>1.2566370561320372E-2</v>
      </c>
      <c r="J232" s="5">
        <f t="shared" ref="J232" si="440">+AVERAGE(B229:B232)/AVERAGE(B217:B220)-1</f>
        <v>4.3744200915489806E-2</v>
      </c>
      <c r="K232" s="5">
        <f t="shared" si="410"/>
        <v>-1.7239992357812151E-2</v>
      </c>
      <c r="L232" s="5">
        <f t="shared" ref="L232" si="441">+F232/F228-1</f>
        <v>-2.1657345030606789E-3</v>
      </c>
      <c r="M232" s="6">
        <f t="shared" si="318"/>
        <v>-1.3957538690729798E-2</v>
      </c>
    </row>
    <row r="233" spans="1:13" x14ac:dyDescent="0.2">
      <c r="A233" s="1">
        <v>41030</v>
      </c>
      <c r="B233" s="2">
        <v>458.4</v>
      </c>
      <c r="C233" s="2">
        <v>449.64858812961103</v>
      </c>
      <c r="D233" s="2">
        <v>459.58976390063299</v>
      </c>
      <c r="E233" s="2">
        <f t="shared" si="359"/>
        <v>107.1586363923259</v>
      </c>
      <c r="F233" s="2">
        <f t="shared" si="360"/>
        <v>105.66961514594826</v>
      </c>
      <c r="G233" s="2">
        <f t="shared" si="361"/>
        <v>108.13560366588844</v>
      </c>
      <c r="H233" s="4" t="s">
        <v>2</v>
      </c>
      <c r="I233" s="5">
        <f t="shared" si="408"/>
        <v>-7.538888530304011E-2</v>
      </c>
      <c r="J233" s="5">
        <f t="shared" ref="J233" si="442">+AVERAGE(B229:B233)/AVERAGE(B217:B221)-1</f>
        <v>1.7409786523121085E-2</v>
      </c>
      <c r="K233" s="5">
        <f t="shared" si="410"/>
        <v>-4.9605059653773598E-2</v>
      </c>
      <c r="L233" s="5">
        <f t="shared" ref="L233" si="443">+F233/F228-1</f>
        <v>-5.1663362767615628E-2</v>
      </c>
      <c r="M233" s="6">
        <f t="shared" si="318"/>
        <v>-1.2484288973969027E-2</v>
      </c>
    </row>
    <row r="234" spans="1:13" x14ac:dyDescent="0.2">
      <c r="A234" s="1">
        <v>41061</v>
      </c>
      <c r="B234" s="2">
        <v>451.09399999999994</v>
      </c>
      <c r="C234" s="2">
        <v>451.88310568077401</v>
      </c>
      <c r="D234" s="2">
        <v>457.28002302342998</v>
      </c>
      <c r="E234" s="2">
        <f t="shared" si="359"/>
        <v>105.45073718315849</v>
      </c>
      <c r="F234" s="2">
        <f t="shared" si="360"/>
        <v>106.1947376880882</v>
      </c>
      <c r="G234" s="2">
        <f t="shared" si="361"/>
        <v>107.59215112693647</v>
      </c>
      <c r="H234" s="4" t="s">
        <v>4</v>
      </c>
      <c r="I234" s="5">
        <f t="shared" si="408"/>
        <v>-4.0188773187058269E-2</v>
      </c>
      <c r="J234" s="5">
        <f t="shared" ref="J234" si="444">+AVERAGE(B229:B234)/AVERAGE(B217:B222)-1</f>
        <v>7.4310647924415996E-3</v>
      </c>
      <c r="K234" s="5">
        <f t="shared" si="410"/>
        <v>4.9694752972710976E-3</v>
      </c>
      <c r="L234" s="5">
        <f t="shared" ref="L234" si="445">+F234/F228-1</f>
        <v>-4.6950627275392121E-2</v>
      </c>
      <c r="M234" s="6">
        <f t="shared" si="318"/>
        <v>-5.0256577901123256E-3</v>
      </c>
    </row>
    <row r="235" spans="1:13" x14ac:dyDescent="0.2">
      <c r="A235" s="1">
        <v>41091</v>
      </c>
      <c r="B235" s="2">
        <v>343.97899999999998</v>
      </c>
      <c r="C235" s="2">
        <v>331.76720783153598</v>
      </c>
      <c r="D235" s="2">
        <v>346.00597998265101</v>
      </c>
      <c r="E235" s="2">
        <f t="shared" si="359"/>
        <v>80.410821526169002</v>
      </c>
      <c r="F235" s="2">
        <f t="shared" si="360"/>
        <v>77.96691481993237</v>
      </c>
      <c r="G235" s="2">
        <f t="shared" si="361"/>
        <v>81.410789482945972</v>
      </c>
      <c r="H235" s="4" t="s">
        <v>4</v>
      </c>
      <c r="I235" s="5">
        <f t="shared" si="408"/>
        <v>-0.29941464964520526</v>
      </c>
      <c r="J235" s="5">
        <f t="shared" ref="J235" si="446">+AVERAGE(B229:B235)/AVERAGE(B217:B223)-1</f>
        <v>-3.9593743533047898E-2</v>
      </c>
      <c r="K235" s="5">
        <f t="shared" si="410"/>
        <v>-0.26581187997342848</v>
      </c>
      <c r="L235" s="5">
        <f t="shared" ref="L235" si="447">+F235/F228-1</f>
        <v>-0.30028247274681696</v>
      </c>
      <c r="M235" s="6">
        <f t="shared" si="318"/>
        <v>-0.24333895520967797</v>
      </c>
    </row>
    <row r="236" spans="1:13" x14ac:dyDescent="0.2">
      <c r="A236" s="1">
        <v>41122</v>
      </c>
      <c r="B236" s="2">
        <v>379.93099999999998</v>
      </c>
      <c r="C236" s="2">
        <v>352.921477217904</v>
      </c>
      <c r="D236" s="2">
        <v>353.55554564658399</v>
      </c>
      <c r="E236" s="2">
        <f t="shared" si="359"/>
        <v>88.815200443221585</v>
      </c>
      <c r="F236" s="2">
        <f t="shared" si="360"/>
        <v>82.938271483253828</v>
      </c>
      <c r="G236" s="2">
        <f t="shared" si="361"/>
        <v>83.18710589512169</v>
      </c>
      <c r="H236" s="4" t="s">
        <v>3</v>
      </c>
      <c r="I236" s="5">
        <f t="shared" si="408"/>
        <v>-0.22383861082737488</v>
      </c>
      <c r="J236" s="5">
        <f t="shared" ref="J236" si="448">+AVERAGE(B229:B236)/AVERAGE(B217:B224)-1</f>
        <v>-6.4013133009629075E-2</v>
      </c>
      <c r="K236" s="5">
        <f t="shared" si="410"/>
        <v>6.3762387864172876E-2</v>
      </c>
      <c r="L236" s="5">
        <f t="shared" ref="L236" si="449">+F236/F228-1</f>
        <v>-0.25566681237873956</v>
      </c>
      <c r="M236" s="6">
        <f t="shared" si="318"/>
        <v>2.1819176837092558E-2</v>
      </c>
    </row>
    <row r="237" spans="1:13" x14ac:dyDescent="0.2">
      <c r="A237" s="1">
        <v>41153</v>
      </c>
      <c r="B237" s="2">
        <v>396.11399999999998</v>
      </c>
      <c r="C237" s="2">
        <v>376.89959804460602</v>
      </c>
      <c r="D237" s="2">
        <v>363.40461810801901</v>
      </c>
      <c r="E237" s="2">
        <f t="shared" si="359"/>
        <v>92.598246282525707</v>
      </c>
      <c r="F237" s="2">
        <f t="shared" si="360"/>
        <v>88.573247032093533</v>
      </c>
      <c r="G237" s="2">
        <f t="shared" si="361"/>
        <v>85.504466897958608</v>
      </c>
      <c r="H237" s="4" t="s">
        <v>5</v>
      </c>
      <c r="I237" s="5">
        <f t="shared" si="408"/>
        <v>-0.16233008230487489</v>
      </c>
      <c r="J237" s="5">
        <f t="shared" ref="J237" si="450">+AVERAGE(B229:B237)/AVERAGE(B217:B225)-1</f>
        <v>-7.5172490767888456E-2</v>
      </c>
      <c r="K237" s="5">
        <f t="shared" si="410"/>
        <v>6.7941801149997039E-2</v>
      </c>
      <c r="L237" s="5">
        <f t="shared" ref="L237" si="451">+F237/F228-1</f>
        <v>-0.20509547495603242</v>
      </c>
      <c r="M237" s="6">
        <f t="shared" ref="M237:M300" si="452">+G237/G236-1</f>
        <v>2.7857213902338751E-2</v>
      </c>
    </row>
    <row r="238" spans="1:13" x14ac:dyDescent="0.2">
      <c r="A238" s="1">
        <v>41183</v>
      </c>
      <c r="B238" s="2">
        <v>413.74299999999999</v>
      </c>
      <c r="C238" s="2">
        <v>377.12262279022002</v>
      </c>
      <c r="D238" s="2">
        <v>372.239610558739</v>
      </c>
      <c r="E238" s="2">
        <f t="shared" si="359"/>
        <v>96.719318710449613</v>
      </c>
      <c r="F238" s="2">
        <f t="shared" si="360"/>
        <v>88.625658936988145</v>
      </c>
      <c r="G238" s="2">
        <f t="shared" si="361"/>
        <v>87.583227821469379</v>
      </c>
      <c r="H238" s="4" t="s">
        <v>6</v>
      </c>
      <c r="I238" s="5">
        <f t="shared" si="408"/>
        <v>-0.18209979045585722</v>
      </c>
      <c r="J238" s="5">
        <f t="shared" ref="J238" si="453">+AVERAGE(B229:B238)/AVERAGE(B217:B226)-1</f>
        <v>-8.6749963880758396E-2</v>
      </c>
      <c r="K238" s="5">
        <f t="shared" si="410"/>
        <v>5.9173516440713669E-4</v>
      </c>
      <c r="L238" s="5">
        <f t="shared" ref="L238" si="454">+F238/F228-1</f>
        <v>-0.20462510199621753</v>
      </c>
      <c r="M238" s="6">
        <f t="shared" si="452"/>
        <v>2.4311723105549188E-2</v>
      </c>
    </row>
    <row r="239" spans="1:13" x14ac:dyDescent="0.2">
      <c r="A239" s="1">
        <v>41214</v>
      </c>
      <c r="B239" s="2">
        <v>395.4</v>
      </c>
      <c r="C239" s="2">
        <v>380.25159133516098</v>
      </c>
      <c r="D239" s="2">
        <v>378.46048063023102</v>
      </c>
      <c r="E239" s="2">
        <f t="shared" si="359"/>
        <v>92.431336888144983</v>
      </c>
      <c r="F239" s="2">
        <f t="shared" si="360"/>
        <v>89.360981832858968</v>
      </c>
      <c r="G239" s="2">
        <f t="shared" si="361"/>
        <v>89.046919124771094</v>
      </c>
      <c r="H239" s="4" t="s">
        <v>7</v>
      </c>
      <c r="I239" s="5">
        <f t="shared" si="408"/>
        <v>-0.18255116807938809</v>
      </c>
      <c r="J239" s="5">
        <f t="shared" ref="J239" si="455">+AVERAGE(B229:B239)/AVERAGE(B217:B227)-1</f>
        <v>-9.5737844822988083E-2</v>
      </c>
      <c r="K239" s="5">
        <f t="shared" si="410"/>
        <v>8.2969526510785485E-3</v>
      </c>
      <c r="L239" s="5">
        <f t="shared" ref="L239" si="456">+F239/F228-1</f>
        <v>-0.19802591412762371</v>
      </c>
      <c r="M239" s="6">
        <f t="shared" si="452"/>
        <v>1.67120045665059E-2</v>
      </c>
    </row>
    <row r="240" spans="1:13" x14ac:dyDescent="0.2">
      <c r="A240" s="1">
        <v>41244</v>
      </c>
      <c r="B240" s="2">
        <v>333.87399999999997</v>
      </c>
      <c r="C240" s="2">
        <v>349.14975304320097</v>
      </c>
      <c r="D240" s="2">
        <v>383.386980932482</v>
      </c>
      <c r="E240" s="2">
        <f t="shared" si="359"/>
        <v>78.048609439030145</v>
      </c>
      <c r="F240" s="2">
        <f t="shared" si="360"/>
        <v>82.051897873952839</v>
      </c>
      <c r="G240" s="2">
        <f t="shared" si="361"/>
        <v>90.206061747145242</v>
      </c>
      <c r="H240" s="4" t="s">
        <v>8</v>
      </c>
      <c r="I240" s="5">
        <f t="shared" si="408"/>
        <v>-0.26584633246403711</v>
      </c>
      <c r="J240" s="5">
        <f t="shared" ref="J240" si="457">+AVERAGE(B229:B240)/AVERAGE(B217:B228)-1</f>
        <v>-0.10952644319159499</v>
      </c>
      <c r="K240" s="5">
        <f t="shared" si="410"/>
        <v>-8.1792789302349678E-2</v>
      </c>
      <c r="L240" s="5">
        <f t="shared" ref="L240" si="458">+F240/F228-1</f>
        <v>-0.26362161155932751</v>
      </c>
      <c r="M240" s="6">
        <f t="shared" si="452"/>
        <v>1.301721197956307E-2</v>
      </c>
    </row>
    <row r="241" spans="1:13" x14ac:dyDescent="0.2">
      <c r="A241" s="1">
        <v>41275</v>
      </c>
      <c r="B241" s="2">
        <v>320</v>
      </c>
      <c r="C241" s="2">
        <v>388.34713422646098</v>
      </c>
      <c r="D241" s="2">
        <v>388.90420136215999</v>
      </c>
      <c r="E241" s="2">
        <f t="shared" si="359"/>
        <v>74.805330814887199</v>
      </c>
      <c r="F241" s="2">
        <f t="shared" si="360"/>
        <v>91.263473966281623</v>
      </c>
      <c r="G241" s="2">
        <f t="shared" si="361"/>
        <v>91.504193273525345</v>
      </c>
      <c r="H241" s="4" t="s">
        <v>27</v>
      </c>
      <c r="I241" s="5">
        <f t="shared" si="408"/>
        <v>-0.19354838709677413</v>
      </c>
      <c r="J241" s="5">
        <f t="shared" ref="J241" si="459">+AVERAGE(B241:B241)/AVERAGE(B229:B229)-1</f>
        <v>-0.19354838709677424</v>
      </c>
      <c r="K241" s="5">
        <f t="shared" si="410"/>
        <v>0.11226524103658764</v>
      </c>
      <c r="L241" s="5">
        <f t="shared" ref="L241" si="460">+F241/F240-1</f>
        <v>0.11226524103658764</v>
      </c>
      <c r="M241" s="6">
        <f t="shared" si="452"/>
        <v>1.4390734959906171E-2</v>
      </c>
    </row>
    <row r="242" spans="1:13" x14ac:dyDescent="0.2">
      <c r="A242" s="1">
        <v>41306</v>
      </c>
      <c r="B242" s="2">
        <v>320.8</v>
      </c>
      <c r="C242" s="2">
        <v>384.76621596135601</v>
      </c>
      <c r="D242" s="2">
        <v>396.38567599596001</v>
      </c>
      <c r="E242" s="2">
        <f t="shared" si="359"/>
        <v>74.99234414192442</v>
      </c>
      <c r="F242" s="2">
        <f t="shared" si="360"/>
        <v>90.421940677993689</v>
      </c>
      <c r="G242" s="2">
        <f t="shared" si="361"/>
        <v>93.264488735658205</v>
      </c>
      <c r="H242" s="4" t="s">
        <v>1</v>
      </c>
      <c r="I242" s="5">
        <f t="shared" si="408"/>
        <v>-0.28706991959535455</v>
      </c>
      <c r="J242" s="5">
        <f t="shared" ref="J242" si="461">+AVERAGE(B241:B242)/AVERAGE(B229:B230)-1</f>
        <v>-0.2432455413132667</v>
      </c>
      <c r="K242" s="5">
        <f t="shared" si="410"/>
        <v>-9.2209210510532102E-3</v>
      </c>
      <c r="L242" s="5">
        <f t="shared" ref="L242" si="462">+F242/F240-1</f>
        <v>0.10200913106115861</v>
      </c>
      <c r="M242" s="6">
        <f t="shared" si="452"/>
        <v>1.9237320161612281E-2</v>
      </c>
    </row>
    <row r="243" spans="1:13" x14ac:dyDescent="0.2">
      <c r="A243" s="1">
        <v>41334</v>
      </c>
      <c r="B243" s="2">
        <v>467.59300000000002</v>
      </c>
      <c r="C243" s="2">
        <v>453.09912814037898</v>
      </c>
      <c r="D243" s="2">
        <v>406.61837722194701</v>
      </c>
      <c r="E243" s="2">
        <f t="shared" si="359"/>
        <v>109.30765328664233</v>
      </c>
      <c r="F243" s="2">
        <f t="shared" si="360"/>
        <v>106.48050890745262</v>
      </c>
      <c r="G243" s="2">
        <f t="shared" si="361"/>
        <v>95.672112688840983</v>
      </c>
      <c r="H243" s="4" t="s">
        <v>2</v>
      </c>
      <c r="I243" s="5">
        <f t="shared" si="408"/>
        <v>-5.858560234511534E-2</v>
      </c>
      <c r="J243" s="5">
        <f t="shared" ref="J243" si="463">+AVERAGE(B241:B243)/AVERAGE(B229:B231)-1</f>
        <v>-0.17497502728018433</v>
      </c>
      <c r="K243" s="5">
        <f t="shared" si="410"/>
        <v>0.17759592538105262</v>
      </c>
      <c r="L243" s="5">
        <f t="shared" ref="L243" si="464">+F243/F240-1</f>
        <v>0.2977214624703346</v>
      </c>
      <c r="M243" s="6">
        <f t="shared" si="452"/>
        <v>2.5815012614359256E-2</v>
      </c>
    </row>
    <row r="244" spans="1:13" x14ac:dyDescent="0.2">
      <c r="A244" s="1">
        <v>41365</v>
      </c>
      <c r="B244" s="2">
        <v>428.9</v>
      </c>
      <c r="C244" s="2">
        <v>424.80554716041399</v>
      </c>
      <c r="D244" s="2">
        <v>418.39284989425698</v>
      </c>
      <c r="E244" s="2">
        <f t="shared" si="359"/>
        <v>100.26251995782849</v>
      </c>
      <c r="F244" s="2">
        <f t="shared" si="360"/>
        <v>99.83137913771381</v>
      </c>
      <c r="G244" s="2">
        <f t="shared" si="361"/>
        <v>98.442495778885245</v>
      </c>
      <c r="H244" s="4" t="s">
        <v>3</v>
      </c>
      <c r="I244" s="5">
        <f t="shared" si="408"/>
        <v>-0.10645833333333343</v>
      </c>
      <c r="J244" s="5">
        <f t="shared" ref="J244" si="465">+AVERAGE(B241:B244)/AVERAGE(B229:B232)-1</f>
        <v>-0.15693903807364651</v>
      </c>
      <c r="K244" s="5">
        <f t="shared" si="410"/>
        <v>-6.2444571668209159E-2</v>
      </c>
      <c r="L244" s="5">
        <f t="shared" ref="L244" si="466">+F244/F240-1</f>
        <v>0.21668580160173256</v>
      </c>
      <c r="M244" s="6">
        <f t="shared" si="452"/>
        <v>2.8957059817990238E-2</v>
      </c>
    </row>
    <row r="245" spans="1:13" x14ac:dyDescent="0.2">
      <c r="A245" s="1">
        <v>41395</v>
      </c>
      <c r="B245" s="2">
        <v>448.7</v>
      </c>
      <c r="C245" s="2">
        <v>440.16781574128697</v>
      </c>
      <c r="D245" s="2">
        <v>429.28841791743599</v>
      </c>
      <c r="E245" s="2">
        <f t="shared" si="359"/>
        <v>104.89109980199964</v>
      </c>
      <c r="F245" s="2">
        <f t="shared" si="360"/>
        <v>103.44158731264</v>
      </c>
      <c r="G245" s="2">
        <f t="shared" si="361"/>
        <v>101.00608382634215</v>
      </c>
      <c r="H245" s="4" t="s">
        <v>2</v>
      </c>
      <c r="I245" s="5">
        <f t="shared" si="408"/>
        <v>-2.1160558464223267E-2</v>
      </c>
      <c r="J245" s="5">
        <f t="shared" ref="J245" si="467">+AVERAGE(B241:B245)/AVERAGE(B229:B233)-1</f>
        <v>-0.12966274093220187</v>
      </c>
      <c r="K245" s="5">
        <f t="shared" si="410"/>
        <v>3.6163060213222575E-2</v>
      </c>
      <c r="L245" s="5">
        <f t="shared" ref="L245" si="468">+F245/F240-1</f>
        <v>0.26068488350562902</v>
      </c>
      <c r="M245" s="6">
        <f t="shared" si="452"/>
        <v>2.6041477587230855E-2</v>
      </c>
    </row>
    <row r="246" spans="1:13" x14ac:dyDescent="0.2">
      <c r="A246" s="1">
        <v>41426</v>
      </c>
      <c r="B246" s="2">
        <v>416.51499999999999</v>
      </c>
      <c r="C246" s="2">
        <v>413.796167565769</v>
      </c>
      <c r="D246" s="2">
        <v>437.81758400762197</v>
      </c>
      <c r="E246" s="2">
        <f t="shared" si="359"/>
        <v>97.36731988863356</v>
      </c>
      <c r="F246" s="2">
        <f t="shared" si="360"/>
        <v>97.244121142306838</v>
      </c>
      <c r="G246" s="2">
        <f t="shared" si="361"/>
        <v>103.01288771183579</v>
      </c>
      <c r="H246" s="4" t="s">
        <v>4</v>
      </c>
      <c r="I246" s="5">
        <f t="shared" si="408"/>
        <v>-7.6655863301218652E-2</v>
      </c>
      <c r="J246" s="5">
        <f t="shared" ref="J246" si="469">+AVERAGE(B241:B246)/AVERAGE(B229:B234)-1</f>
        <v>-0.12091358819741216</v>
      </c>
      <c r="K246" s="5">
        <f t="shared" si="410"/>
        <v>-5.991271336161974E-2</v>
      </c>
      <c r="L246" s="5">
        <f t="shared" ref="L246" si="470">+F246/F240-1</f>
        <v>0.1851538314408292</v>
      </c>
      <c r="M246" s="6">
        <f t="shared" si="452"/>
        <v>1.9868148625026283E-2</v>
      </c>
    </row>
    <row r="247" spans="1:13" x14ac:dyDescent="0.2">
      <c r="A247" s="1">
        <v>41456</v>
      </c>
      <c r="B247" s="2">
        <v>461.53099999999995</v>
      </c>
      <c r="C247" s="2">
        <v>450.30919845872103</v>
      </c>
      <c r="D247" s="2">
        <v>443.16002572048399</v>
      </c>
      <c r="E247" s="2">
        <f t="shared" si="359"/>
        <v>107.8905598010178</v>
      </c>
      <c r="F247" s="2">
        <f t="shared" si="360"/>
        <v>105.82486180096137</v>
      </c>
      <c r="G247" s="2">
        <f t="shared" si="361"/>
        <v>104.26989603762405</v>
      </c>
      <c r="H247" s="4" t="s">
        <v>4</v>
      </c>
      <c r="I247" s="5">
        <f t="shared" si="408"/>
        <v>0.3417417923768602</v>
      </c>
      <c r="J247" s="5">
        <f t="shared" ref="J247" si="471">+AVERAGE(B241:B247)/AVERAGE(B229:B235)-1</f>
        <v>-6.9192141930665363E-2</v>
      </c>
      <c r="K247" s="5">
        <f t="shared" si="410"/>
        <v>8.823917125126246E-2</v>
      </c>
      <c r="L247" s="5">
        <f t="shared" ref="L247" si="472">+F247/F240-1</f>
        <v>0.2897308233324265</v>
      </c>
      <c r="M247" s="6">
        <f t="shared" si="452"/>
        <v>1.2202437517377041E-2</v>
      </c>
    </row>
    <row r="248" spans="1:13" x14ac:dyDescent="0.2">
      <c r="A248" s="1">
        <v>41487</v>
      </c>
      <c r="B248" s="2">
        <v>478.94400000000002</v>
      </c>
      <c r="C248" s="2">
        <v>452.11613721319998</v>
      </c>
      <c r="D248" s="2">
        <v>446.172088656771</v>
      </c>
      <c r="E248" s="2">
        <f t="shared" si="359"/>
        <v>111.96113863064167</v>
      </c>
      <c r="F248" s="2">
        <f t="shared" si="360"/>
        <v>106.24950123677574</v>
      </c>
      <c r="G248" s="2">
        <f t="shared" si="361"/>
        <v>104.97859599023104</v>
      </c>
      <c r="H248" s="4" t="s">
        <v>3</v>
      </c>
      <c r="I248" s="5">
        <f t="shared" si="408"/>
        <v>0.2606078472143627</v>
      </c>
      <c r="J248" s="5">
        <f t="shared" ref="J248" si="473">+AVERAGE(B241:B248)/AVERAGE(B229:B236)-1</f>
        <v>-3.2945120875242595E-2</v>
      </c>
      <c r="K248" s="5">
        <f t="shared" si="410"/>
        <v>4.0126623232736858E-3</v>
      </c>
      <c r="L248" s="5">
        <f t="shared" ref="L248" si="474">+F248/F240-1</f>
        <v>0.29490607761437748</v>
      </c>
      <c r="M248" s="6">
        <f t="shared" si="452"/>
        <v>6.7967839188338708E-3</v>
      </c>
    </row>
    <row r="249" spans="1:13" x14ac:dyDescent="0.2">
      <c r="A249" s="1">
        <v>41518</v>
      </c>
      <c r="B249" s="2">
        <v>462.59299999999996</v>
      </c>
      <c r="C249" s="2">
        <v>445.61115887529297</v>
      </c>
      <c r="D249" s="2">
        <v>447.75957297271702</v>
      </c>
      <c r="E249" s="2">
        <f t="shared" si="359"/>
        <v>108.13881999265973</v>
      </c>
      <c r="F249" s="2">
        <f t="shared" si="360"/>
        <v>104.7207995447308</v>
      </c>
      <c r="G249" s="2">
        <f t="shared" si="361"/>
        <v>105.35211078167899</v>
      </c>
      <c r="H249" s="4" t="s">
        <v>5</v>
      </c>
      <c r="I249" s="5">
        <f t="shared" si="408"/>
        <v>0.1678279485198706</v>
      </c>
      <c r="J249" s="5">
        <f t="shared" ref="J249" si="475">+AVERAGE(B241:B249)/AVERAGE(B229:B237)-1</f>
        <v>-1.230422965680622E-2</v>
      </c>
      <c r="K249" s="5">
        <f t="shared" si="410"/>
        <v>-1.4387848171053985E-2</v>
      </c>
      <c r="L249" s="5">
        <f t="shared" ref="L249" si="476">+F249/F240-1</f>
        <v>0.27627516557388665</v>
      </c>
      <c r="M249" s="6">
        <f t="shared" si="452"/>
        <v>3.5580090200739711E-3</v>
      </c>
    </row>
    <row r="250" spans="1:13" x14ac:dyDescent="0.2">
      <c r="A250" s="1">
        <v>41548</v>
      </c>
      <c r="B250" s="2">
        <v>477.3</v>
      </c>
      <c r="C250" s="2">
        <v>440.28472917408601</v>
      </c>
      <c r="D250" s="2">
        <v>448.37084454839601</v>
      </c>
      <c r="E250" s="2">
        <f t="shared" si="359"/>
        <v>111.57682624358019</v>
      </c>
      <c r="F250" s="2">
        <f t="shared" si="360"/>
        <v>103.46906254057447</v>
      </c>
      <c r="G250" s="2">
        <f t="shared" si="361"/>
        <v>105.49593517906948</v>
      </c>
      <c r="H250" s="4" t="s">
        <v>6</v>
      </c>
      <c r="I250" s="5">
        <f t="shared" si="408"/>
        <v>0.15361468351126173</v>
      </c>
      <c r="J250" s="5">
        <f t="shared" ref="J250" si="477">+AVERAGE(B241:B250)/AVERAGE(B229:B238)-1</f>
        <v>3.784868354596016E-3</v>
      </c>
      <c r="K250" s="5">
        <f t="shared" si="410"/>
        <v>-1.1953088685325186E-2</v>
      </c>
      <c r="L250" s="5">
        <f t="shared" ref="L250" si="478">+F250/F240-1</f>
        <v>0.26101973533290379</v>
      </c>
      <c r="M250" s="6">
        <f t="shared" si="452"/>
        <v>1.3651781281205366E-3</v>
      </c>
    </row>
    <row r="251" spans="1:13" x14ac:dyDescent="0.2">
      <c r="A251" s="1">
        <v>41579</v>
      </c>
      <c r="B251" s="2">
        <v>469.22099999999995</v>
      </c>
      <c r="C251" s="2">
        <v>453.47238068706503</v>
      </c>
      <c r="D251" s="2">
        <v>448.75863990605899</v>
      </c>
      <c r="E251" s="2">
        <f t="shared" si="359"/>
        <v>109.68822540716307</v>
      </c>
      <c r="F251" s="2">
        <f t="shared" si="360"/>
        <v>106.56822507959636</v>
      </c>
      <c r="G251" s="2">
        <f t="shared" si="361"/>
        <v>105.58717847557769</v>
      </c>
      <c r="H251" s="4" t="s">
        <v>7</v>
      </c>
      <c r="I251" s="5">
        <f t="shared" si="408"/>
        <v>0.18669954476479522</v>
      </c>
      <c r="J251" s="5">
        <f t="shared" ref="J251" si="479">+AVERAGE(B241:B251)/AVERAGE(B229:B239)-1</f>
        <v>1.9298058589995559E-2</v>
      </c>
      <c r="K251" s="5">
        <f t="shared" si="410"/>
        <v>2.995255260775731E-2</v>
      </c>
      <c r="L251" s="5">
        <f t="shared" ref="L251" si="480">+F251/F240-1</f>
        <v>0.298790495294883</v>
      </c>
      <c r="M251" s="6">
        <f t="shared" si="452"/>
        <v>8.6489869352157633E-4</v>
      </c>
    </row>
    <row r="252" spans="1:13" x14ac:dyDescent="0.2">
      <c r="A252" s="1">
        <v>41609</v>
      </c>
      <c r="B252" s="2">
        <v>433.61399999999998</v>
      </c>
      <c r="C252" s="2">
        <v>448.64993124766698</v>
      </c>
      <c r="D252" s="2">
        <v>449.95603066880801</v>
      </c>
      <c r="E252" s="2">
        <f t="shared" si="359"/>
        <v>101.3644959873953</v>
      </c>
      <c r="F252" s="2">
        <f t="shared" si="360"/>
        <v>105.43492589935941</v>
      </c>
      <c r="G252" s="2">
        <f t="shared" si="361"/>
        <v>105.86890923445031</v>
      </c>
      <c r="H252" s="4" t="s">
        <v>8</v>
      </c>
      <c r="I252" s="5">
        <f t="shared" si="408"/>
        <v>0.29873545109831867</v>
      </c>
      <c r="J252" s="5">
        <f t="shared" ref="J252" si="481">+AVERAGE(B241:B252)/AVERAGE(B229:B240)-1</f>
        <v>3.7972370301767366E-2</v>
      </c>
      <c r="K252" s="5">
        <f t="shared" si="410"/>
        <v>-1.0634494281860141E-2</v>
      </c>
      <c r="L252" s="5">
        <f t="shared" ref="L252" si="482">+F252/F240-1</f>
        <v>0.28497851519933537</v>
      </c>
      <c r="M252" s="6">
        <f t="shared" si="452"/>
        <v>2.6682288791133324E-3</v>
      </c>
    </row>
    <row r="253" spans="1:13" x14ac:dyDescent="0.2">
      <c r="A253" s="1">
        <v>41640</v>
      </c>
      <c r="B253" s="2">
        <v>397.1</v>
      </c>
      <c r="C253" s="2">
        <v>460.058856791442</v>
      </c>
      <c r="D253" s="2">
        <v>453.107214073656</v>
      </c>
      <c r="E253" s="2">
        <f t="shared" si="359"/>
        <v>92.828740208099092</v>
      </c>
      <c r="F253" s="2">
        <f t="shared" si="360"/>
        <v>108.11607914495123</v>
      </c>
      <c r="G253" s="2">
        <f t="shared" si="361"/>
        <v>106.61034245709895</v>
      </c>
      <c r="H253" s="4" t="s">
        <v>28</v>
      </c>
      <c r="I253" s="5">
        <f t="shared" si="408"/>
        <v>0.24093750000000003</v>
      </c>
      <c r="J253" s="5">
        <f t="shared" ref="J253" si="483">+AVERAGE(B253:B253)/AVERAGE(B241:B241)-1</f>
        <v>0.24093750000000003</v>
      </c>
      <c r="K253" s="5">
        <f t="shared" si="410"/>
        <v>2.5429460140665938E-2</v>
      </c>
      <c r="L253" s="5">
        <f t="shared" ref="L253" si="484">+F253/F252-1</f>
        <v>2.5429460140665938E-2</v>
      </c>
      <c r="M253" s="6">
        <f t="shared" si="452"/>
        <v>7.0033140797427507E-3</v>
      </c>
    </row>
    <row r="254" spans="1:13" x14ac:dyDescent="0.2">
      <c r="A254" s="1">
        <v>41671</v>
      </c>
      <c r="B254" s="2">
        <v>380.3</v>
      </c>
      <c r="C254" s="2">
        <v>445.36862738946098</v>
      </c>
      <c r="D254" s="2">
        <v>458.84635868215901</v>
      </c>
      <c r="E254" s="2">
        <f t="shared" si="359"/>
        <v>88.901460340317513</v>
      </c>
      <c r="F254" s="2">
        <f t="shared" si="360"/>
        <v>104.66380346057707</v>
      </c>
      <c r="G254" s="2">
        <f t="shared" si="361"/>
        <v>107.96068990935525</v>
      </c>
      <c r="H254" s="4" t="s">
        <v>1</v>
      </c>
      <c r="I254" s="5">
        <f t="shared" si="408"/>
        <v>0.18547381546134667</v>
      </c>
      <c r="J254" s="5">
        <f t="shared" ref="J254" si="485">+AVERAGE(B253:B254)/AVERAGE(B241:B242)-1</f>
        <v>0.21317103620474431</v>
      </c>
      <c r="K254" s="5">
        <f t="shared" si="410"/>
        <v>-3.1931195726638273E-2</v>
      </c>
      <c r="L254" s="5">
        <f t="shared" ref="L254" si="486">+F254/F252-1</f>
        <v>-7.3137286549468383E-3</v>
      </c>
      <c r="M254" s="6">
        <f t="shared" si="452"/>
        <v>1.2666195616055642E-2</v>
      </c>
    </row>
    <row r="255" spans="1:13" x14ac:dyDescent="0.2">
      <c r="A255" s="1">
        <v>41699</v>
      </c>
      <c r="B255" s="2">
        <v>471.75400000000002</v>
      </c>
      <c r="C255" s="2">
        <v>457.98474946284102</v>
      </c>
      <c r="D255" s="2">
        <v>465.04537100931202</v>
      </c>
      <c r="E255" s="2">
        <f t="shared" si="359"/>
        <v>110.28035635389469</v>
      </c>
      <c r="F255" s="2">
        <f t="shared" si="360"/>
        <v>107.62865378886075</v>
      </c>
      <c r="G255" s="2">
        <f t="shared" si="361"/>
        <v>109.41923836448122</v>
      </c>
      <c r="H255" s="4" t="s">
        <v>2</v>
      </c>
      <c r="I255" s="5">
        <f t="shared" si="408"/>
        <v>8.8987645238489677E-3</v>
      </c>
      <c r="J255" s="5">
        <f t="shared" ref="J255" si="487">+AVERAGE(B253:B255)/AVERAGE(B241:B243)-1</f>
        <v>0.12699556926108335</v>
      </c>
      <c r="K255" s="5">
        <f t="shared" si="410"/>
        <v>2.8327370401749485E-2</v>
      </c>
      <c r="L255" s="5">
        <f t="shared" ref="L255" si="488">+F255/F252-1</f>
        <v>2.0806463046175949E-2</v>
      </c>
      <c r="M255" s="6">
        <f t="shared" si="452"/>
        <v>1.3509995687787546E-2</v>
      </c>
    </row>
    <row r="256" spans="1:13" x14ac:dyDescent="0.2">
      <c r="A256" s="1">
        <v>41730</v>
      </c>
      <c r="B256" s="2">
        <v>485.78499999999997</v>
      </c>
      <c r="C256" s="2">
        <v>486.65323120454701</v>
      </c>
      <c r="D256" s="2">
        <v>469.69739780083</v>
      </c>
      <c r="E256" s="2">
        <f t="shared" si="359"/>
        <v>113.56033634346868</v>
      </c>
      <c r="F256" s="2">
        <f t="shared" si="360"/>
        <v>114.36588706933419</v>
      </c>
      <c r="G256" s="2">
        <f t="shared" si="361"/>
        <v>110.51380087410109</v>
      </c>
      <c r="H256" s="4" t="s">
        <v>3</v>
      </c>
      <c r="I256" s="5">
        <f t="shared" si="408"/>
        <v>0.13262998367917933</v>
      </c>
      <c r="J256" s="5">
        <f t="shared" ref="J256" si="489">+AVERAGE(B253:B256)/AVERAGE(B241:B244)-1</f>
        <v>0.12856755348524951</v>
      </c>
      <c r="K256" s="5">
        <f t="shared" si="410"/>
        <v>6.2597022663594126E-2</v>
      </c>
      <c r="L256" s="5">
        <f t="shared" ref="L256" si="490">+F256/F252-1</f>
        <v>8.4705908348621017E-2</v>
      </c>
      <c r="M256" s="6">
        <f t="shared" si="452"/>
        <v>1.0003382640754843E-2</v>
      </c>
    </row>
    <row r="257" spans="1:13" x14ac:dyDescent="0.2">
      <c r="A257" s="1">
        <v>41760</v>
      </c>
      <c r="B257" s="2">
        <v>482.88799999999998</v>
      </c>
      <c r="C257" s="2">
        <v>474.67209712769801</v>
      </c>
      <c r="D257" s="2">
        <v>471.07051075223598</v>
      </c>
      <c r="E257" s="2">
        <f t="shared" si="359"/>
        <v>112.88311433293514</v>
      </c>
      <c r="F257" s="2">
        <f t="shared" si="360"/>
        <v>111.55026202271956</v>
      </c>
      <c r="G257" s="2">
        <f t="shared" si="361"/>
        <v>110.83687682044405</v>
      </c>
      <c r="H257" s="4" t="s">
        <v>2</v>
      </c>
      <c r="I257" s="5">
        <f t="shared" si="408"/>
        <v>7.619344773790937E-2</v>
      </c>
      <c r="J257" s="5">
        <f t="shared" ref="J257" si="491">+AVERAGE(B253:B257)/AVERAGE(B241:B245)-1</f>
        <v>0.11673455042389347</v>
      </c>
      <c r="K257" s="5">
        <f t="shared" si="410"/>
        <v>-2.4619448322974691E-2</v>
      </c>
      <c r="L257" s="5">
        <f t="shared" ref="L257" si="492">+F257/F252-1</f>
        <v>5.8001047292406849E-2</v>
      </c>
      <c r="M257" s="6">
        <f t="shared" si="452"/>
        <v>2.9233991029862239E-3</v>
      </c>
    </row>
    <row r="258" spans="1:13" x14ac:dyDescent="0.2">
      <c r="A258" s="1">
        <v>41791</v>
      </c>
      <c r="B258" s="2">
        <v>477.41999999999996</v>
      </c>
      <c r="C258" s="2">
        <v>473.240905445203</v>
      </c>
      <c r="D258" s="2">
        <v>468.008866640939</v>
      </c>
      <c r="E258" s="2">
        <f t="shared" ref="E258:E317" si="493">+B258/AVERAGE(B$133:B$144)*100</f>
        <v>111.60487824263576</v>
      </c>
      <c r="F258" s="2">
        <f t="shared" ref="F258:F313" si="494">+C258/AVERAGE(C$133:C$144)*100</f>
        <v>111.2139249846819</v>
      </c>
      <c r="G258" s="2">
        <f t="shared" ref="G258:G313" si="495">+D258/AVERAGE(D$133:D$144)*100</f>
        <v>110.11651105038136</v>
      </c>
      <c r="H258" s="4" t="s">
        <v>4</v>
      </c>
      <c r="I258" s="5">
        <f t="shared" si="408"/>
        <v>0.14622522598225762</v>
      </c>
      <c r="J258" s="5">
        <f t="shared" ref="J258" si="496">+AVERAGE(B253:B258)/AVERAGE(B241:B246)-1</f>
        <v>0.12184725295399623</v>
      </c>
      <c r="K258" s="5">
        <f t="shared" si="410"/>
        <v>-3.0151165218165188E-3</v>
      </c>
      <c r="L258" s="5">
        <f t="shared" ref="L258" si="497">+F258/F252-1</f>
        <v>5.4811050854616239E-2</v>
      </c>
      <c r="M258" s="6">
        <f t="shared" si="452"/>
        <v>-6.4993329903157981E-3</v>
      </c>
    </row>
    <row r="259" spans="1:13" x14ac:dyDescent="0.2">
      <c r="A259" s="1">
        <v>41821</v>
      </c>
      <c r="B259" s="2">
        <v>476.65600000000001</v>
      </c>
      <c r="C259" s="2">
        <v>464.00767204941002</v>
      </c>
      <c r="D259" s="2">
        <v>461.528036884931</v>
      </c>
      <c r="E259" s="2">
        <f t="shared" si="493"/>
        <v>111.42628051531523</v>
      </c>
      <c r="F259" s="2">
        <f t="shared" si="494"/>
        <v>109.04407002406782</v>
      </c>
      <c r="G259" s="2">
        <f t="shared" si="495"/>
        <v>108.59165455233</v>
      </c>
      <c r="H259" s="4" t="s">
        <v>4</v>
      </c>
      <c r="I259" s="5">
        <f t="shared" si="408"/>
        <v>3.2771363137037657E-2</v>
      </c>
      <c r="J259" s="5">
        <f t="shared" ref="J259" si="498">+AVERAGE(B253:B259)/AVERAGE(B241:B247)-1</f>
        <v>0.10749294964209621</v>
      </c>
      <c r="K259" s="5">
        <f t="shared" si="410"/>
        <v>-1.9510640964366166E-2</v>
      </c>
      <c r="L259" s="5">
        <f t="shared" ref="L259" si="499">+F259/F252-1</f>
        <v>3.4231011156146129E-2</v>
      </c>
      <c r="M259" s="6">
        <f t="shared" si="452"/>
        <v>-1.3847664473801702E-2</v>
      </c>
    </row>
    <row r="260" spans="1:13" x14ac:dyDescent="0.2">
      <c r="A260" s="1">
        <v>41852</v>
      </c>
      <c r="B260" s="2">
        <v>467.38299999999998</v>
      </c>
      <c r="C260" s="2">
        <v>440.16195069797101</v>
      </c>
      <c r="D260" s="2">
        <v>454.38916392789798</v>
      </c>
      <c r="E260" s="2">
        <f t="shared" si="493"/>
        <v>109.25856228829507</v>
      </c>
      <c r="F260" s="2">
        <f t="shared" si="494"/>
        <v>103.44020899880478</v>
      </c>
      <c r="G260" s="2">
        <f t="shared" si="495"/>
        <v>106.91196889059765</v>
      </c>
      <c r="H260" s="4" t="s">
        <v>3</v>
      </c>
      <c r="I260" s="5">
        <f t="shared" si="408"/>
        <v>-2.4138521413777037E-2</v>
      </c>
      <c r="J260" s="5">
        <f t="shared" ref="J260" si="500">+AVERAGE(B253:B260)/AVERAGE(B241:B248)-1</f>
        <v>8.8634312528660608E-2</v>
      </c>
      <c r="K260" s="5">
        <f t="shared" si="410"/>
        <v>-5.1390791117996382E-2</v>
      </c>
      <c r="L260" s="5">
        <f t="shared" ref="L260" si="501">+F260/F252-1</f>
        <v>-1.8918938705933641E-2</v>
      </c>
      <c r="M260" s="6">
        <f t="shared" si="452"/>
        <v>-1.5467907443319384E-2</v>
      </c>
    </row>
    <row r="261" spans="1:13" x14ac:dyDescent="0.2">
      <c r="A261" s="1">
        <v>41883</v>
      </c>
      <c r="B261" s="2">
        <v>463.815</v>
      </c>
      <c r="C261" s="2">
        <v>449.06491794183501</v>
      </c>
      <c r="D261" s="2">
        <v>449.42561783822703</v>
      </c>
      <c r="E261" s="2">
        <f t="shared" si="493"/>
        <v>108.42448284970907</v>
      </c>
      <c r="F261" s="2">
        <f t="shared" si="494"/>
        <v>105.53244980007004</v>
      </c>
      <c r="G261" s="2">
        <f t="shared" si="495"/>
        <v>105.74410986742306</v>
      </c>
      <c r="H261" s="4" t="s">
        <v>5</v>
      </c>
      <c r="I261" s="5">
        <f t="shared" si="408"/>
        <v>2.6416309801486904E-3</v>
      </c>
      <c r="J261" s="5">
        <f t="shared" ref="J261" si="502">+AVERAGE(B253:B261)/AVERAGE(B241:B249)-1</f>
        <v>7.8181331814158872E-2</v>
      </c>
      <c r="K261" s="5">
        <f t="shared" si="410"/>
        <v>2.0226571673781502E-2</v>
      </c>
      <c r="L261" s="5">
        <f t="shared" ref="L261" si="503">+F261/F252-1</f>
        <v>9.249676981204491E-4</v>
      </c>
      <c r="M261" s="6">
        <f t="shared" si="452"/>
        <v>-1.0923557346227963E-2</v>
      </c>
    </row>
    <row r="262" spans="1:13" x14ac:dyDescent="0.2">
      <c r="A262" s="1">
        <v>41913</v>
      </c>
      <c r="B262" s="2">
        <v>477.5</v>
      </c>
      <c r="C262" s="2">
        <v>439.43039383517402</v>
      </c>
      <c r="D262" s="2">
        <v>448.129916184553</v>
      </c>
      <c r="E262" s="2">
        <f t="shared" si="493"/>
        <v>111.62357957533948</v>
      </c>
      <c r="F262" s="2">
        <f t="shared" si="494"/>
        <v>103.26828956173794</v>
      </c>
      <c r="G262" s="2">
        <f t="shared" si="495"/>
        <v>105.43924781109313</v>
      </c>
      <c r="H262" s="4" t="s">
        <v>6</v>
      </c>
      <c r="I262" s="5">
        <f t="shared" si="408"/>
        <v>4.1902367483759306E-4</v>
      </c>
      <c r="J262" s="5">
        <f t="shared" ref="J262" si="504">+AVERAGE(B253:B262)/AVERAGE(B241:B250)-1</f>
        <v>6.9515204269280595E-2</v>
      </c>
      <c r="K262" s="5">
        <f t="shared" si="410"/>
        <v>-2.1454635447405224E-2</v>
      </c>
      <c r="L262" s="5">
        <f t="shared" ref="L262" si="505">+F262/F252-1</f>
        <v>-2.054951259404858E-2</v>
      </c>
      <c r="M262" s="6">
        <f t="shared" si="452"/>
        <v>-2.8830169047917575E-3</v>
      </c>
    </row>
    <row r="263" spans="1:13" x14ac:dyDescent="0.2">
      <c r="A263" s="1">
        <v>41944</v>
      </c>
      <c r="B263" s="2">
        <v>461.3</v>
      </c>
      <c r="C263" s="2">
        <v>445.09949685690202</v>
      </c>
      <c r="D263" s="2">
        <v>448.31914309635101</v>
      </c>
      <c r="E263" s="2">
        <f t="shared" si="493"/>
        <v>107.83655970283583</v>
      </c>
      <c r="F263" s="2">
        <f t="shared" si="494"/>
        <v>104.60055647048236</v>
      </c>
      <c r="G263" s="2">
        <f t="shared" si="495"/>
        <v>105.48377048749795</v>
      </c>
      <c r="H263" s="4" t="s">
        <v>7</v>
      </c>
      <c r="I263" s="5">
        <f t="shared" si="408"/>
        <v>-1.6881171132579254E-2</v>
      </c>
      <c r="J263" s="5">
        <f t="shared" ref="J263" si="506">+AVERAGE(B253:B263)/AVERAGE(B241:B251)-1</f>
        <v>6.0984445393265307E-2</v>
      </c>
      <c r="K263" s="5">
        <f t="shared" si="410"/>
        <v>1.2901026194957366E-2</v>
      </c>
      <c r="L263" s="5">
        <f t="shared" ref="L263" si="507">+F263/F252-1</f>
        <v>-7.9135961993607173E-3</v>
      </c>
      <c r="M263" s="6">
        <f t="shared" si="452"/>
        <v>4.2225904802162262E-4</v>
      </c>
    </row>
    <row r="264" spans="1:13" x14ac:dyDescent="0.2">
      <c r="A264" s="1">
        <v>41974</v>
      </c>
      <c r="B264" s="2">
        <v>446.2</v>
      </c>
      <c r="C264" s="2">
        <v>464.72693896553102</v>
      </c>
      <c r="D264" s="2">
        <v>445.92495291585499</v>
      </c>
      <c r="E264" s="2">
        <f t="shared" si="493"/>
        <v>104.30668315500833</v>
      </c>
      <c r="F264" s="2">
        <f t="shared" si="494"/>
        <v>109.21310126361841</v>
      </c>
      <c r="G264" s="2">
        <f t="shared" si="495"/>
        <v>104.92044810568169</v>
      </c>
      <c r="H264" s="4" t="s">
        <v>8</v>
      </c>
      <c r="I264" s="5">
        <f t="shared" si="408"/>
        <v>2.9025815587135018E-2</v>
      </c>
      <c r="J264" s="5">
        <f t="shared" ref="J264" si="508">+AVERAGE(B253:B264)/AVERAGE(B241:B252)-1</f>
        <v>5.8312158159218752E-2</v>
      </c>
      <c r="K264" s="5">
        <f t="shared" si="410"/>
        <v>4.4096751955977176E-2</v>
      </c>
      <c r="L264" s="5">
        <f t="shared" ref="L264" si="509">+F264/F252-1</f>
        <v>3.5834191867933463E-2</v>
      </c>
      <c r="M264" s="6">
        <f t="shared" si="452"/>
        <v>-5.3403701746045362E-3</v>
      </c>
    </row>
    <row r="265" spans="1:13" x14ac:dyDescent="0.2">
      <c r="A265" s="1">
        <v>42005</v>
      </c>
      <c r="B265" s="2">
        <v>385.9</v>
      </c>
      <c r="C265" s="2">
        <v>442.99477316677297</v>
      </c>
      <c r="D265" s="2">
        <v>439.74218304869999</v>
      </c>
      <c r="E265" s="2">
        <f t="shared" si="493"/>
        <v>90.21055362957803</v>
      </c>
      <c r="F265" s="2">
        <f t="shared" si="494"/>
        <v>104.10593611984449</v>
      </c>
      <c r="G265" s="2">
        <f t="shared" si="495"/>
        <v>103.46572129401879</v>
      </c>
      <c r="H265" s="4" t="s">
        <v>29</v>
      </c>
      <c r="I265" s="5">
        <f t="shared" si="408"/>
        <v>-2.8204482498111361E-2</v>
      </c>
      <c r="J265" s="5">
        <f>+AVERAGE(B265:B265)/AVERAGE(B253:B253)-1</f>
        <v>-2.8204482498111472E-2</v>
      </c>
      <c r="K265" s="5">
        <f t="shared" si="410"/>
        <v>-4.6763301148698755E-2</v>
      </c>
      <c r="L265" s="5">
        <f t="shared" ref="L265" si="510">+F265/F264-1</f>
        <v>-4.6763301148698755E-2</v>
      </c>
      <c r="M265" s="6">
        <f t="shared" si="452"/>
        <v>-1.3865045736343173E-2</v>
      </c>
    </row>
    <row r="266" spans="1:13" x14ac:dyDescent="0.2">
      <c r="A266" s="1">
        <v>42036</v>
      </c>
      <c r="B266" s="2">
        <v>376.7</v>
      </c>
      <c r="C266" s="2">
        <v>439.68782052579201</v>
      </c>
      <c r="D266" s="2">
        <v>429.88937159467901</v>
      </c>
      <c r="E266" s="2">
        <f t="shared" si="493"/>
        <v>88.05990036865002</v>
      </c>
      <c r="F266" s="2">
        <f t="shared" si="494"/>
        <v>103.32878609179279</v>
      </c>
      <c r="G266" s="2">
        <f t="shared" si="495"/>
        <v>101.1474805539637</v>
      </c>
      <c r="H266" s="4" t="s">
        <v>1</v>
      </c>
      <c r="I266" s="5">
        <f t="shared" si="408"/>
        <v>-9.4662108861426342E-3</v>
      </c>
      <c r="J266" s="5">
        <f>+AVERAGE(B265:B266)/AVERAGE(B253:B254)-1</f>
        <v>-1.9037818368922266E-2</v>
      </c>
      <c r="K266" s="5">
        <f t="shared" si="410"/>
        <v>-7.4649924588070515E-3</v>
      </c>
      <c r="L266" s="5">
        <f t="shared" ref="L266" si="511">+F266/F264-1</f>
        <v>-5.3879205917081952E-2</v>
      </c>
      <c r="M266" s="6">
        <f t="shared" si="452"/>
        <v>-2.2405881977735742E-2</v>
      </c>
    </row>
    <row r="267" spans="1:13" x14ac:dyDescent="0.2">
      <c r="A267" s="1">
        <v>42064</v>
      </c>
      <c r="B267" s="2">
        <v>429.8</v>
      </c>
      <c r="C267" s="2">
        <v>416.61572503869797</v>
      </c>
      <c r="D267" s="2">
        <v>419.76105242070003</v>
      </c>
      <c r="E267" s="2">
        <f t="shared" si="493"/>
        <v>100.47290995074538</v>
      </c>
      <c r="F267" s="2">
        <f t="shared" si="494"/>
        <v>97.906730924505041</v>
      </c>
      <c r="G267" s="2">
        <f t="shared" si="495"/>
        <v>98.764416364927925</v>
      </c>
      <c r="H267" s="4" t="s">
        <v>2</v>
      </c>
      <c r="I267" s="5">
        <f t="shared" si="408"/>
        <v>-8.8931943343352748E-2</v>
      </c>
      <c r="J267" s="5">
        <f>+AVERAGE(B265:B267)/AVERAGE(B253:B255)-1</f>
        <v>-4.5433949697155085E-2</v>
      </c>
      <c r="K267" s="5">
        <f t="shared" si="410"/>
        <v>-5.2473810758514428E-2</v>
      </c>
      <c r="L267" s="5">
        <f t="shared" ref="L267" si="512">+F267/F264-1</f>
        <v>-0.10352576942048441</v>
      </c>
      <c r="M267" s="6">
        <f t="shared" si="452"/>
        <v>-2.3560292119825688E-2</v>
      </c>
    </row>
    <row r="268" spans="1:13" x14ac:dyDescent="0.2">
      <c r="A268" s="1">
        <v>42095</v>
      </c>
      <c r="B268" s="2">
        <v>383.8</v>
      </c>
      <c r="C268" s="2">
        <v>388.15257378993499</v>
      </c>
      <c r="D268" s="2">
        <v>413.39233850957299</v>
      </c>
      <c r="E268" s="2">
        <f t="shared" si="493"/>
        <v>89.719643646105339</v>
      </c>
      <c r="F268" s="2">
        <f t="shared" si="494"/>
        <v>91.217751313096286</v>
      </c>
      <c r="G268" s="2">
        <f t="shared" si="495"/>
        <v>97.265939293745888</v>
      </c>
      <c r="H268" s="4" t="s">
        <v>3</v>
      </c>
      <c r="I268" s="5">
        <f t="shared" si="408"/>
        <v>-0.20993855306359799</v>
      </c>
      <c r="J268" s="5">
        <f>+AVERAGE(B265:B268)/AVERAGE(B253:B256)-1</f>
        <v>-9.1495435862586572E-2</v>
      </c>
      <c r="K268" s="5">
        <f t="shared" si="410"/>
        <v>-6.8319915783589646E-2</v>
      </c>
      <c r="L268" s="5">
        <f t="shared" ref="L268" si="513">+F268/F264-1</f>
        <v>-0.16477281335583516</v>
      </c>
      <c r="M268" s="6">
        <f t="shared" si="452"/>
        <v>-1.5172236381626236E-2</v>
      </c>
    </row>
    <row r="269" spans="1:13" x14ac:dyDescent="0.2">
      <c r="A269" s="1">
        <v>42125</v>
      </c>
      <c r="B269" s="2">
        <v>410.9</v>
      </c>
      <c r="C269" s="2">
        <v>403.70478808707998</v>
      </c>
      <c r="D269" s="2">
        <v>413.39783200988199</v>
      </c>
      <c r="E269" s="2">
        <f t="shared" si="493"/>
        <v>96.054720099491092</v>
      </c>
      <c r="F269" s="2">
        <f t="shared" si="494"/>
        <v>94.872597659401094</v>
      </c>
      <c r="G269" s="2">
        <f t="shared" si="495"/>
        <v>97.267231844230722</v>
      </c>
      <c r="H269" s="4" t="s">
        <v>2</v>
      </c>
      <c r="I269" s="5">
        <f t="shared" si="408"/>
        <v>-0.14907804708338157</v>
      </c>
      <c r="J269" s="5">
        <f>+AVERAGE(B265:B269)/AVERAGE(B253:B257)-1</f>
        <v>-0.1040329114939984</v>
      </c>
      <c r="K269" s="5">
        <f t="shared" si="410"/>
        <v>4.0067270829335477E-2</v>
      </c>
      <c r="L269" s="5">
        <f t="shared" ref="L269" si="514">+F269/F264-1</f>
        <v>-0.13130753946453944</v>
      </c>
      <c r="M269" s="6">
        <f t="shared" si="452"/>
        <v>1.328882951434629E-5</v>
      </c>
    </row>
    <row r="270" spans="1:13" x14ac:dyDescent="0.2">
      <c r="A270" s="1">
        <v>42156</v>
      </c>
      <c r="B270" s="2">
        <v>444.6</v>
      </c>
      <c r="C270" s="2">
        <v>442.40567672503101</v>
      </c>
      <c r="D270" s="2">
        <v>419.10174647709601</v>
      </c>
      <c r="E270" s="2">
        <f t="shared" si="493"/>
        <v>103.9326565009339</v>
      </c>
      <c r="F270" s="2">
        <f t="shared" si="494"/>
        <v>103.96749557777216</v>
      </c>
      <c r="G270" s="2">
        <f t="shared" si="495"/>
        <v>98.609290094040077</v>
      </c>
      <c r="H270" s="4" t="s">
        <v>4</v>
      </c>
      <c r="I270" s="5">
        <f t="shared" si="408"/>
        <v>-6.8744501696619276E-2</v>
      </c>
      <c r="J270" s="5">
        <f>+AVERAGE(B265:B270)/AVERAGE(B253:B258)-1</f>
        <v>-9.7782132769278718E-2</v>
      </c>
      <c r="K270" s="5">
        <f t="shared" si="410"/>
        <v>9.5864329034420992E-2</v>
      </c>
      <c r="L270" s="5">
        <f t="shared" ref="L270" si="515">+F270/F264-1</f>
        <v>-4.8030919598047284E-2</v>
      </c>
      <c r="M270" s="6">
        <f t="shared" si="452"/>
        <v>1.3797640010549506E-2</v>
      </c>
    </row>
    <row r="271" spans="1:13" x14ac:dyDescent="0.2">
      <c r="A271" s="1">
        <v>42186</v>
      </c>
      <c r="B271" s="2">
        <v>431</v>
      </c>
      <c r="C271" s="2">
        <v>415.825874933151</v>
      </c>
      <c r="D271" s="2">
        <v>426.554424961059</v>
      </c>
      <c r="E271" s="2">
        <f t="shared" si="493"/>
        <v>100.75342994130119</v>
      </c>
      <c r="F271" s="2">
        <f t="shared" si="494"/>
        <v>97.721112290577338</v>
      </c>
      <c r="G271" s="2">
        <f t="shared" si="495"/>
        <v>100.36281018976911</v>
      </c>
      <c r="H271" s="4" t="s">
        <v>4</v>
      </c>
      <c r="I271" s="5">
        <f t="shared" si="408"/>
        <v>-9.578396159914071E-2</v>
      </c>
      <c r="J271" s="5">
        <f>+AVERAGE(B265:B271)/AVERAGE(B253:B259)-1</f>
        <v>-9.7481858682311406E-2</v>
      </c>
      <c r="K271" s="5">
        <f t="shared" si="410"/>
        <v>-6.0080155364733767E-2</v>
      </c>
      <c r="L271" s="5">
        <f t="shared" ref="L271" si="516">+F271/F264-1</f>
        <v>-0.10522536985101938</v>
      </c>
      <c r="M271" s="6">
        <f t="shared" si="452"/>
        <v>1.7782504001973454E-2</v>
      </c>
    </row>
    <row r="272" spans="1:13" x14ac:dyDescent="0.2">
      <c r="A272" s="1">
        <v>42217</v>
      </c>
      <c r="B272" s="2">
        <v>473.5</v>
      </c>
      <c r="C272" s="2">
        <v>446.68825075142701</v>
      </c>
      <c r="D272" s="2">
        <v>430.98489751667501</v>
      </c>
      <c r="E272" s="2">
        <f t="shared" si="493"/>
        <v>110.6885129401534</v>
      </c>
      <c r="F272" s="2">
        <f t="shared" si="494"/>
        <v>104.97392139817939</v>
      </c>
      <c r="G272" s="2">
        <f t="shared" si="495"/>
        <v>101.40524381635933</v>
      </c>
      <c r="H272" s="4" t="s">
        <v>3</v>
      </c>
      <c r="I272" s="5">
        <f t="shared" si="408"/>
        <v>1.3087767419867724E-2</v>
      </c>
      <c r="J272" s="5">
        <f>+AVERAGE(B265:B272)/AVERAGE(B253:B260)-1</f>
        <v>-8.328172064520345E-2</v>
      </c>
      <c r="K272" s="5">
        <f t="shared" si="410"/>
        <v>7.4219469443159269E-2</v>
      </c>
      <c r="L272" s="5">
        <f t="shared" ref="L272" si="517">+F272/F264-1</f>
        <v>-3.8815671530162854E-2</v>
      </c>
      <c r="M272" s="6">
        <f t="shared" si="452"/>
        <v>1.0386652432501142E-2</v>
      </c>
    </row>
    <row r="273" spans="1:13" x14ac:dyDescent="0.2">
      <c r="A273" s="1">
        <v>42248</v>
      </c>
      <c r="B273" s="2">
        <v>446.4</v>
      </c>
      <c r="C273" s="2">
        <v>433.00643614168303</v>
      </c>
      <c r="D273" s="2">
        <v>429.75841145695898</v>
      </c>
      <c r="E273" s="2">
        <f t="shared" si="493"/>
        <v>104.35343648676762</v>
      </c>
      <c r="F273" s="2">
        <f t="shared" si="494"/>
        <v>101.75862811698906</v>
      </c>
      <c r="G273" s="2">
        <f t="shared" si="495"/>
        <v>101.11666730558251</v>
      </c>
      <c r="H273" s="4" t="s">
        <v>5</v>
      </c>
      <c r="I273" s="5">
        <f t="shared" si="408"/>
        <v>-3.7547297952847614E-2</v>
      </c>
      <c r="J273" s="5">
        <f>+AVERAGE(B265:B273)/AVERAGE(B253:B261)-1</f>
        <v>-7.8111896343765252E-2</v>
      </c>
      <c r="K273" s="5">
        <f t="shared" si="410"/>
        <v>-3.0629448136878845E-2</v>
      </c>
      <c r="L273" s="5">
        <f t="shared" ref="L273" si="518">+F273/F264-1</f>
        <v>-6.8256217069010416E-2</v>
      </c>
      <c r="M273" s="6">
        <f t="shared" si="452"/>
        <v>-2.8457750301298379E-3</v>
      </c>
    </row>
    <row r="274" spans="1:13" x14ac:dyDescent="0.2">
      <c r="A274" s="1">
        <v>42278</v>
      </c>
      <c r="B274" s="2">
        <v>468.7</v>
      </c>
      <c r="C274" s="2">
        <v>429.39965799855003</v>
      </c>
      <c r="D274" s="2">
        <v>422.60761646589901</v>
      </c>
      <c r="E274" s="2">
        <f t="shared" si="493"/>
        <v>109.56643297793009</v>
      </c>
      <c r="F274" s="2">
        <f t="shared" si="494"/>
        <v>100.91101763101591</v>
      </c>
      <c r="G274" s="2">
        <f t="shared" si="495"/>
        <v>99.434176541457347</v>
      </c>
      <c r="H274" s="4" t="s">
        <v>6</v>
      </c>
      <c r="I274" s="5">
        <f t="shared" si="408"/>
        <v>-1.8429319371727648E-2</v>
      </c>
      <c r="J274" s="5">
        <f>+AVERAGE(B265:B274)/AVERAGE(B253:B262)-1</f>
        <v>-7.1890348013284644E-2</v>
      </c>
      <c r="K274" s="5">
        <f t="shared" si="410"/>
        <v>-8.3296178580422042E-3</v>
      </c>
      <c r="L274" s="5">
        <f t="shared" ref="L274" si="519">+F274/F264-1</f>
        <v>-7.6017286722432242E-2</v>
      </c>
      <c r="M274" s="6">
        <f t="shared" si="452"/>
        <v>-1.6639104204656419E-2</v>
      </c>
    </row>
    <row r="275" spans="1:13" x14ac:dyDescent="0.2">
      <c r="A275" s="1">
        <v>42309</v>
      </c>
      <c r="B275" s="2">
        <v>404.9</v>
      </c>
      <c r="C275" s="2">
        <v>387.11565514817499</v>
      </c>
      <c r="D275" s="2">
        <v>410.500386776352</v>
      </c>
      <c r="E275" s="2">
        <f t="shared" si="493"/>
        <v>94.652120146711951</v>
      </c>
      <c r="F275" s="2">
        <f t="shared" si="494"/>
        <v>90.974070366007766</v>
      </c>
      <c r="G275" s="2">
        <f t="shared" si="495"/>
        <v>96.585499973709005</v>
      </c>
      <c r="H275" s="4" t="s">
        <v>7</v>
      </c>
      <c r="I275" s="5">
        <f t="shared" si="408"/>
        <v>-0.1222631693041405</v>
      </c>
      <c r="J275" s="5">
        <f>+AVERAGE(B265:B275)/AVERAGE(B253:B263)-1</f>
        <v>-7.6499122057335223E-2</v>
      </c>
      <c r="K275" s="5">
        <f t="shared" si="410"/>
        <v>-9.8472371979667073E-2</v>
      </c>
      <c r="L275" s="5">
        <f t="shared" ref="L275" si="520">+F275/F264-1</f>
        <v>-0.16700405616708291</v>
      </c>
      <c r="M275" s="6">
        <f t="shared" si="452"/>
        <v>-2.8648867691488666E-2</v>
      </c>
    </row>
    <row r="276" spans="1:13" x14ac:dyDescent="0.2">
      <c r="A276" s="1">
        <v>42339</v>
      </c>
      <c r="B276" s="2">
        <v>371.6</v>
      </c>
      <c r="C276" s="2">
        <v>395.079378154143</v>
      </c>
      <c r="D276" s="2">
        <v>395.86076037413102</v>
      </c>
      <c r="E276" s="2">
        <f t="shared" si="493"/>
        <v>86.867690408787766</v>
      </c>
      <c r="F276" s="2">
        <f t="shared" si="494"/>
        <v>92.845584182319357</v>
      </c>
      <c r="G276" s="2">
        <f t="shared" si="495"/>
        <v>93.140982791665067</v>
      </c>
      <c r="H276" s="4" t="s">
        <v>8</v>
      </c>
      <c r="I276" s="5">
        <f t="shared" si="408"/>
        <v>-0.16718960107575065</v>
      </c>
      <c r="J276" s="5">
        <f>+AVERAGE(B265:B276)/AVERAGE(B253:B264)-1</f>
        <v>-8.3872545348564032E-2</v>
      </c>
      <c r="K276" s="5">
        <f t="shared" si="410"/>
        <v>2.0571947685555925E-2</v>
      </c>
      <c r="L276" s="5">
        <f t="shared" ref="L276" si="521">+F276/F264-1</f>
        <v>-0.14986770718827191</v>
      </c>
      <c r="M276" s="6">
        <f t="shared" si="452"/>
        <v>-3.5662880898080451E-2</v>
      </c>
    </row>
    <row r="277" spans="1:13" x14ac:dyDescent="0.2">
      <c r="A277" s="1">
        <v>42370</v>
      </c>
      <c r="B277" s="2">
        <v>329.5</v>
      </c>
      <c r="C277" s="2">
        <v>380.84293643315198</v>
      </c>
      <c r="D277" s="2">
        <v>380.76670869596597</v>
      </c>
      <c r="E277" s="2">
        <f t="shared" si="493"/>
        <v>77.026114073454167</v>
      </c>
      <c r="F277" s="2">
        <f t="shared" si="494"/>
        <v>89.499950820136519</v>
      </c>
      <c r="G277" s="2">
        <f t="shared" si="495"/>
        <v>89.58954514403419</v>
      </c>
      <c r="H277" s="4" t="s">
        <v>30</v>
      </c>
      <c r="I277" s="5">
        <f t="shared" si="408"/>
        <v>-0.14615185281160914</v>
      </c>
      <c r="J277" s="5">
        <f>+AVERAGE(B277:B277)/AVERAGE(B265:B265)-1</f>
        <v>-0.14615185281160914</v>
      </c>
      <c r="K277" s="5">
        <f t="shared" si="410"/>
        <v>-3.6034383235858281E-2</v>
      </c>
      <c r="L277" s="5">
        <f t="shared" ref="L277" si="522">+F277/F276-1</f>
        <v>-3.6034383235858281E-2</v>
      </c>
      <c r="M277" s="6">
        <f t="shared" si="452"/>
        <v>-3.8129699098995218E-2</v>
      </c>
    </row>
    <row r="278" spans="1:13" x14ac:dyDescent="0.2">
      <c r="A278" s="1">
        <v>42401</v>
      </c>
      <c r="B278" s="2">
        <v>338.8</v>
      </c>
      <c r="C278" s="2">
        <v>363.96178277732702</v>
      </c>
      <c r="D278" s="2">
        <v>367.12998287940201</v>
      </c>
      <c r="E278" s="2">
        <f t="shared" si="493"/>
        <v>79.200144000261815</v>
      </c>
      <c r="F278" s="2">
        <f t="shared" si="494"/>
        <v>85.532797231484622</v>
      </c>
      <c r="G278" s="2">
        <f t="shared" si="495"/>
        <v>86.380997665332785</v>
      </c>
      <c r="H278" s="4" t="s">
        <v>1</v>
      </c>
      <c r="I278" s="5">
        <f t="shared" si="408"/>
        <v>-0.10061056543668701</v>
      </c>
      <c r="J278" s="5">
        <f>+AVERAGE(B277:B278)/AVERAGE(B265:B266)-1</f>
        <v>-0.12365591397849462</v>
      </c>
      <c r="K278" s="5">
        <f t="shared" si="410"/>
        <v>-4.4325762777506772E-2</v>
      </c>
      <c r="L278" s="5">
        <f t="shared" ref="L278" si="523">+F278/F276-1</f>
        <v>-7.8762894490218671E-2</v>
      </c>
      <c r="M278" s="6">
        <f t="shared" si="452"/>
        <v>-3.5813860574277823E-2</v>
      </c>
    </row>
    <row r="279" spans="1:13" x14ac:dyDescent="0.2">
      <c r="A279" s="1">
        <v>42430</v>
      </c>
      <c r="B279" s="2">
        <v>317.7</v>
      </c>
      <c r="C279" s="2">
        <v>306.16473829734201</v>
      </c>
      <c r="D279" s="2">
        <v>356.47286649783399</v>
      </c>
      <c r="E279" s="2">
        <f t="shared" si="493"/>
        <v>74.267667499655204</v>
      </c>
      <c r="F279" s="2">
        <f t="shared" si="494"/>
        <v>71.950209388435923</v>
      </c>
      <c r="G279" s="2">
        <f t="shared" si="495"/>
        <v>83.873514244732377</v>
      </c>
      <c r="H279" s="4" t="s">
        <v>2</v>
      </c>
      <c r="I279" s="5">
        <f t="shared" si="408"/>
        <v>-0.26081898557468586</v>
      </c>
      <c r="J279" s="5">
        <f>+AVERAGE(B277:B279)/AVERAGE(B265:B267)-1</f>
        <v>-0.17309627641730951</v>
      </c>
      <c r="K279" s="5">
        <f t="shared" si="410"/>
        <v>-0.15879976199409207</v>
      </c>
      <c r="L279" s="5">
        <f t="shared" ref="L279" si="524">+F279/F276-1</f>
        <v>-0.22505512758529822</v>
      </c>
      <c r="M279" s="6">
        <f t="shared" si="452"/>
        <v>-2.9028183146427522E-2</v>
      </c>
    </row>
    <row r="280" spans="1:13" x14ac:dyDescent="0.2">
      <c r="A280" s="1">
        <v>42461</v>
      </c>
      <c r="B280" s="2">
        <v>319.10000000000002</v>
      </c>
      <c r="C280" s="2">
        <v>324.39562025182403</v>
      </c>
      <c r="D280" s="2">
        <v>347.39702759336399</v>
      </c>
      <c r="E280" s="2">
        <f t="shared" si="493"/>
        <v>74.59494082197034</v>
      </c>
      <c r="F280" s="2">
        <f t="shared" si="494"/>
        <v>76.234555721902069</v>
      </c>
      <c r="G280" s="2">
        <f t="shared" si="495"/>
        <v>81.738085225644369</v>
      </c>
      <c r="H280" s="4" t="s">
        <v>3</v>
      </c>
      <c r="I280" s="5">
        <f t="shared" si="408"/>
        <v>-0.16857738405419487</v>
      </c>
      <c r="J280" s="5">
        <f>+AVERAGE(B277:B280)/AVERAGE(B265:B268)-1</f>
        <v>-0.17199593960157333</v>
      </c>
      <c r="K280" s="5">
        <f t="shared" si="410"/>
        <v>5.9545988397842642E-2</v>
      </c>
      <c r="L280" s="5">
        <f t="shared" ref="L280" si="525">+F280/F276-1</f>
        <v>-0.17891026920352493</v>
      </c>
      <c r="M280" s="6">
        <f t="shared" si="452"/>
        <v>-2.5460111434666866E-2</v>
      </c>
    </row>
    <row r="281" spans="1:13" x14ac:dyDescent="0.2">
      <c r="A281" s="1">
        <v>42491</v>
      </c>
      <c r="B281" s="2">
        <v>379.1</v>
      </c>
      <c r="C281" s="2">
        <v>374.43791292298198</v>
      </c>
      <c r="D281" s="2">
        <v>339.46245026511002</v>
      </c>
      <c r="E281" s="2">
        <f t="shared" si="493"/>
        <v>88.620940349761682</v>
      </c>
      <c r="F281" s="2">
        <f t="shared" si="494"/>
        <v>87.994739000978484</v>
      </c>
      <c r="G281" s="2">
        <f t="shared" si="495"/>
        <v>79.871180484463238</v>
      </c>
      <c r="H281" s="4" t="s">
        <v>2</v>
      </c>
      <c r="I281" s="5">
        <f t="shared" ref="I281:I312" si="526">+E281/E269-1</f>
        <v>-7.7391092723290256E-2</v>
      </c>
      <c r="J281" s="5">
        <f>+AVERAGE(B277:B281)/AVERAGE(B265:B269)-1</f>
        <v>-0.15243319410195755</v>
      </c>
      <c r="K281" s="5">
        <f t="shared" ref="K281:K312" si="527">+F281/F280-1</f>
        <v>0.15426315753680897</v>
      </c>
      <c r="L281" s="5">
        <f t="shared" ref="L281" si="528">+F281/F276-1</f>
        <v>-5.2246374709812193E-2</v>
      </c>
      <c r="M281" s="6">
        <f t="shared" si="452"/>
        <v>-2.2840084105559821E-2</v>
      </c>
    </row>
    <row r="282" spans="1:13" x14ac:dyDescent="0.2">
      <c r="A282" s="1">
        <v>42522</v>
      </c>
      <c r="B282" s="2">
        <v>372.4</v>
      </c>
      <c r="C282" s="2">
        <v>372.683707311094</v>
      </c>
      <c r="D282" s="2">
        <v>332.881139912972</v>
      </c>
      <c r="E282" s="2">
        <f t="shared" si="493"/>
        <v>87.054703735824972</v>
      </c>
      <c r="F282" s="2">
        <f t="shared" si="494"/>
        <v>87.582492111321542</v>
      </c>
      <c r="G282" s="2">
        <f t="shared" si="495"/>
        <v>78.322682185021392</v>
      </c>
      <c r="H282" s="4" t="s">
        <v>4</v>
      </c>
      <c r="I282" s="5">
        <f t="shared" si="526"/>
        <v>-0.16239316239316248</v>
      </c>
      <c r="J282" s="5">
        <f>+AVERAGE(B277:B282)/AVERAGE(B265:B270)-1</f>
        <v>-0.15425422543899325</v>
      </c>
      <c r="K282" s="5">
        <f t="shared" si="527"/>
        <v>-4.6849038287659628E-3</v>
      </c>
      <c r="L282" s="5">
        <f t="shared" ref="L282" si="529">+F282/F276-1</f>
        <v>-5.6686509297661059E-2</v>
      </c>
      <c r="M282" s="6">
        <f t="shared" si="452"/>
        <v>-1.9387447262571356E-2</v>
      </c>
    </row>
    <row r="283" spans="1:13" x14ac:dyDescent="0.2">
      <c r="A283" s="1">
        <v>42552</v>
      </c>
      <c r="B283" s="2">
        <v>356.1</v>
      </c>
      <c r="C283" s="2">
        <v>338.11330374414501</v>
      </c>
      <c r="D283" s="2">
        <v>328.613730717762</v>
      </c>
      <c r="E283" s="2">
        <f t="shared" si="493"/>
        <v>83.244307197441671</v>
      </c>
      <c r="F283" s="2">
        <f t="shared" si="494"/>
        <v>79.458278365749564</v>
      </c>
      <c r="G283" s="2">
        <f t="shared" si="495"/>
        <v>77.318615285234728</v>
      </c>
      <c r="H283" s="4" t="s">
        <v>4</v>
      </c>
      <c r="I283" s="5">
        <f t="shared" si="526"/>
        <v>-0.17378190255220405</v>
      </c>
      <c r="J283" s="5">
        <f>+AVERAGE(B277:B283)/AVERAGE(B265:B271)-1</f>
        <v>-0.15719425716980484</v>
      </c>
      <c r="K283" s="5">
        <f t="shared" si="527"/>
        <v>-9.2760705361588869E-2</v>
      </c>
      <c r="L283" s="5">
        <f t="shared" ref="L283" si="530">+F283/F276-1</f>
        <v>-0.14418893407231259</v>
      </c>
      <c r="M283" s="6">
        <f t="shared" si="452"/>
        <v>-1.2819618426942569E-2</v>
      </c>
    </row>
    <row r="284" spans="1:13" x14ac:dyDescent="0.2">
      <c r="A284" s="1">
        <v>42583</v>
      </c>
      <c r="B284" s="2">
        <v>343.2</v>
      </c>
      <c r="C284" s="2">
        <v>316.38970164731097</v>
      </c>
      <c r="D284" s="2">
        <v>326.500344758425</v>
      </c>
      <c r="E284" s="2">
        <f t="shared" si="493"/>
        <v>80.228717298966515</v>
      </c>
      <c r="F284" s="2">
        <f t="shared" si="494"/>
        <v>74.353125733769147</v>
      </c>
      <c r="G284" s="2">
        <f t="shared" si="495"/>
        <v>76.821362551509068</v>
      </c>
      <c r="H284" s="4" t="s">
        <v>3</v>
      </c>
      <c r="I284" s="5">
        <f t="shared" si="526"/>
        <v>-0.27518479408658925</v>
      </c>
      <c r="J284" s="5">
        <f>+AVERAGE(B277:B284)/AVERAGE(B265:B272)-1</f>
        <v>-0.1739404112463282</v>
      </c>
      <c r="K284" s="5">
        <f t="shared" si="527"/>
        <v>-6.4249474529025186E-2</v>
      </c>
      <c r="L284" s="5">
        <f t="shared" ref="L284" si="531">+F284/F276-1</f>
        <v>-0.19917434535429135</v>
      </c>
      <c r="M284" s="6">
        <f t="shared" si="452"/>
        <v>-6.431216232872905E-3</v>
      </c>
    </row>
    <row r="285" spans="1:13" x14ac:dyDescent="0.2">
      <c r="A285" s="1">
        <v>42614</v>
      </c>
      <c r="B285" s="2">
        <v>322.10000000000002</v>
      </c>
      <c r="C285" s="2">
        <v>308.74430243191398</v>
      </c>
      <c r="D285" s="2">
        <v>326.40577855185398</v>
      </c>
      <c r="E285" s="2">
        <f t="shared" si="493"/>
        <v>75.296240798359904</v>
      </c>
      <c r="F285" s="2">
        <f t="shared" si="494"/>
        <v>72.556419563538128</v>
      </c>
      <c r="G285" s="2">
        <f t="shared" si="495"/>
        <v>76.799112330470294</v>
      </c>
      <c r="H285" s="4" t="s">
        <v>5</v>
      </c>
      <c r="I285" s="5">
        <f t="shared" si="526"/>
        <v>-0.2784498207885302</v>
      </c>
      <c r="J285" s="5">
        <f>+AVERAGE(B277:B285)/AVERAGE(B265:B273)-1</f>
        <v>-0.18627399143446322</v>
      </c>
      <c r="K285" s="5">
        <f t="shared" si="527"/>
        <v>-2.4164500853190107E-2</v>
      </c>
      <c r="L285" s="5">
        <f t="shared" ref="L285" si="532">+F285/F276-1</f>
        <v>-0.21852589756923413</v>
      </c>
      <c r="M285" s="6">
        <f t="shared" si="452"/>
        <v>-2.8963585518093637E-4</v>
      </c>
    </row>
    <row r="286" spans="1:13" x14ac:dyDescent="0.2">
      <c r="A286" s="1">
        <v>42644</v>
      </c>
      <c r="B286" s="2">
        <v>376.6</v>
      </c>
      <c r="C286" s="2">
        <v>337.46706964153702</v>
      </c>
      <c r="D286" s="2">
        <v>329.048551821221</v>
      </c>
      <c r="E286" s="2">
        <f t="shared" si="493"/>
        <v>88.036523702770381</v>
      </c>
      <c r="F286" s="2">
        <f t="shared" si="494"/>
        <v>79.306410194205142</v>
      </c>
      <c r="G286" s="2">
        <f t="shared" si="495"/>
        <v>77.420923139330824</v>
      </c>
      <c r="H286" s="4" t="s">
        <v>6</v>
      </c>
      <c r="I286" s="5">
        <f t="shared" si="526"/>
        <v>-0.1965009601024108</v>
      </c>
      <c r="J286" s="5">
        <f>+AVERAGE(B277:B286)/AVERAGE(B265:B274)-1</f>
        <v>-0.18740150071742778</v>
      </c>
      <c r="K286" s="5">
        <f t="shared" si="527"/>
        <v>9.3030922298419139E-2</v>
      </c>
      <c r="L286" s="5">
        <f t="shared" ref="L286" si="533">+F286/F276-1</f>
        <v>-0.14582464106777071</v>
      </c>
      <c r="M286" s="6">
        <f t="shared" si="452"/>
        <v>8.0965884890029649E-3</v>
      </c>
    </row>
    <row r="287" spans="1:13" x14ac:dyDescent="0.2">
      <c r="A287" s="1">
        <v>42675</v>
      </c>
      <c r="B287" s="2">
        <v>359.3</v>
      </c>
      <c r="C287" s="2">
        <v>340.89082337273697</v>
      </c>
      <c r="D287" s="2">
        <v>334.624923438785</v>
      </c>
      <c r="E287" s="2">
        <f t="shared" si="493"/>
        <v>83.99236050559054</v>
      </c>
      <c r="F287" s="2">
        <f t="shared" si="494"/>
        <v>80.111009049136101</v>
      </c>
      <c r="G287" s="2">
        <f t="shared" si="495"/>
        <v>78.732972185011889</v>
      </c>
      <c r="H287" s="4" t="s">
        <v>7</v>
      </c>
      <c r="I287" s="5">
        <f t="shared" si="526"/>
        <v>-0.11262040009878971</v>
      </c>
      <c r="J287" s="5">
        <f>+AVERAGE(B277:B287)/AVERAGE(B265:B275)-1</f>
        <v>-0.18089858683046256</v>
      </c>
      <c r="K287" s="5">
        <f t="shared" si="527"/>
        <v>1.0145445405493225E-2</v>
      </c>
      <c r="L287" s="5">
        <f t="shared" ref="L287" si="534">+F287/F276-1</f>
        <v>-0.13715865159700624</v>
      </c>
      <c r="M287" s="6">
        <f t="shared" si="452"/>
        <v>1.6946956875208308E-2</v>
      </c>
    </row>
    <row r="288" spans="1:13" x14ac:dyDescent="0.2">
      <c r="A288" s="1">
        <v>42705</v>
      </c>
      <c r="B288" s="2">
        <v>312.60000000000002</v>
      </c>
      <c r="C288" s="2">
        <v>340.10286646543699</v>
      </c>
      <c r="D288" s="2">
        <v>342.78748991437101</v>
      </c>
      <c r="E288" s="2">
        <f t="shared" si="493"/>
        <v>73.075457539792936</v>
      </c>
      <c r="F288" s="2">
        <f t="shared" si="494"/>
        <v>79.925835326046411</v>
      </c>
      <c r="G288" s="2">
        <f t="shared" si="495"/>
        <v>80.653519861724888</v>
      </c>
      <c r="H288" s="4" t="s">
        <v>8</v>
      </c>
      <c r="I288" s="5">
        <f t="shared" si="526"/>
        <v>-0.15877287405812701</v>
      </c>
      <c r="J288" s="5">
        <f>+AVERAGE(B277:B288)/AVERAGE(B265:B276)-1</f>
        <v>-0.17926329607382951</v>
      </c>
      <c r="K288" s="5">
        <f t="shared" si="527"/>
        <v>-2.3114641206942732E-3</v>
      </c>
      <c r="L288" s="5">
        <f t="shared" ref="L288" si="535">+F288/F276-1</f>
        <v>-0.13915307841569124</v>
      </c>
      <c r="M288" s="6">
        <f t="shared" si="452"/>
        <v>2.4393181451348944E-2</v>
      </c>
    </row>
    <row r="289" spans="1:13" x14ac:dyDescent="0.2">
      <c r="A289" s="1">
        <v>42736</v>
      </c>
      <c r="B289" s="2">
        <v>291.3</v>
      </c>
      <c r="C289" s="2">
        <v>337.41128236072802</v>
      </c>
      <c r="D289" s="2">
        <v>351.66861709183098</v>
      </c>
      <c r="E289" s="2">
        <f t="shared" si="493"/>
        <v>68.096227707427005</v>
      </c>
      <c r="F289" s="2">
        <f t="shared" si="494"/>
        <v>79.293299910644279</v>
      </c>
      <c r="G289" s="2">
        <f t="shared" si="495"/>
        <v>82.743135697415696</v>
      </c>
      <c r="H289" s="4" t="s">
        <v>31</v>
      </c>
      <c r="I289" s="5">
        <f t="shared" si="526"/>
        <v>-0.11593323216995455</v>
      </c>
      <c r="J289" s="5">
        <f>+AVERAGE(B289:B289)/AVERAGE(B277:B277)-1</f>
        <v>-0.11593323216995444</v>
      </c>
      <c r="K289" s="5">
        <f t="shared" si="527"/>
        <v>-7.9140294602088046E-3</v>
      </c>
      <c r="L289" s="5">
        <f t="shared" ref="L289" si="536">+F289/F288-1</f>
        <v>-7.9140294602088046E-3</v>
      </c>
      <c r="M289" s="6">
        <f t="shared" si="452"/>
        <v>2.5908551037491234E-2</v>
      </c>
    </row>
    <row r="290" spans="1:13" x14ac:dyDescent="0.2">
      <c r="A290" s="1">
        <v>42767</v>
      </c>
      <c r="B290" s="2">
        <v>305.10000000000002</v>
      </c>
      <c r="C290" s="2">
        <v>363.11585437405398</v>
      </c>
      <c r="D290" s="2">
        <v>359.90848956156901</v>
      </c>
      <c r="E290" s="2">
        <f t="shared" si="493"/>
        <v>71.32220759881902</v>
      </c>
      <c r="F290" s="2">
        <f t="shared" si="494"/>
        <v>85.333999923598668</v>
      </c>
      <c r="G290" s="2">
        <f t="shared" si="495"/>
        <v>84.681872487553818</v>
      </c>
      <c r="H290" s="4" t="s">
        <v>1</v>
      </c>
      <c r="I290" s="5">
        <f t="shared" si="526"/>
        <v>-9.9468713105076545E-2</v>
      </c>
      <c r="J290" s="5">
        <f>+AVERAGE(B289:B290)/AVERAGE(B277:B278)-1</f>
        <v>-0.10758641328744556</v>
      </c>
      <c r="K290" s="5">
        <f t="shared" si="527"/>
        <v>7.6181720520670293E-2</v>
      </c>
      <c r="L290" s="5">
        <f t="shared" ref="L290" si="537">+F290/F288-1</f>
        <v>6.7664786679931366E-2</v>
      </c>
      <c r="M290" s="6">
        <f t="shared" si="452"/>
        <v>2.3430787022961086E-2</v>
      </c>
    </row>
    <row r="291" spans="1:13" x14ac:dyDescent="0.2">
      <c r="A291" s="1">
        <v>42795</v>
      </c>
      <c r="B291" s="2">
        <v>392.3</v>
      </c>
      <c r="C291" s="2">
        <v>382.52002923079601</v>
      </c>
      <c r="D291" s="2">
        <v>366.46726845267602</v>
      </c>
      <c r="E291" s="2">
        <f t="shared" si="493"/>
        <v>91.706660245875781</v>
      </c>
      <c r="F291" s="2">
        <f t="shared" si="494"/>
        <v>89.894075821681056</v>
      </c>
      <c r="G291" s="2">
        <f t="shared" si="495"/>
        <v>86.225069421883902</v>
      </c>
      <c r="H291" s="4" t="s">
        <v>2</v>
      </c>
      <c r="I291" s="5">
        <f t="shared" si="526"/>
        <v>0.23481271639911871</v>
      </c>
      <c r="J291" s="5">
        <f>+AVERAGE(B289:B291)/AVERAGE(B277:B279)-1</f>
        <v>2.7383367139959258E-3</v>
      </c>
      <c r="K291" s="5">
        <f t="shared" si="527"/>
        <v>5.3437971994341193E-2</v>
      </c>
      <c r="L291" s="5">
        <f t="shared" ref="L291" si="538">+F291/F288-1</f>
        <v>0.12471862764987796</v>
      </c>
      <c r="M291" s="6">
        <f t="shared" si="452"/>
        <v>1.8223462578214722E-2</v>
      </c>
    </row>
    <row r="292" spans="1:13" x14ac:dyDescent="0.2">
      <c r="A292" s="1">
        <v>42826</v>
      </c>
      <c r="B292" s="2">
        <v>367.4</v>
      </c>
      <c r="C292" s="2">
        <v>370.79271924106803</v>
      </c>
      <c r="D292" s="2">
        <v>372.04636183547802</v>
      </c>
      <c r="E292" s="2">
        <f t="shared" si="493"/>
        <v>85.885870441842357</v>
      </c>
      <c r="F292" s="2">
        <f t="shared" si="494"/>
        <v>87.138100675697544</v>
      </c>
      <c r="G292" s="2">
        <f t="shared" si="495"/>
        <v>87.53775886417553</v>
      </c>
      <c r="H292" s="4" t="s">
        <v>3</v>
      </c>
      <c r="I292" s="5">
        <f t="shared" si="526"/>
        <v>0.15136320902538358</v>
      </c>
      <c r="J292" s="5">
        <f>+AVERAGE(B289:B292)/AVERAGE(B277:B280)-1</f>
        <v>3.9077465328327232E-2</v>
      </c>
      <c r="K292" s="5">
        <f t="shared" si="527"/>
        <v>-3.0658028583000485E-2</v>
      </c>
      <c r="L292" s="5">
        <f t="shared" ref="L292" si="539">+F292/F288-1</f>
        <v>9.0236971815554901E-2</v>
      </c>
      <c r="M292" s="6">
        <f t="shared" si="452"/>
        <v>1.5223988233269647E-2</v>
      </c>
    </row>
    <row r="293" spans="1:13" x14ac:dyDescent="0.2">
      <c r="A293" s="1">
        <v>42856</v>
      </c>
      <c r="B293" s="2">
        <v>394.1</v>
      </c>
      <c r="C293" s="2">
        <v>392.250841495835</v>
      </c>
      <c r="D293" s="2">
        <v>377.28640723128501</v>
      </c>
      <c r="E293" s="2">
        <f t="shared" si="493"/>
        <v>92.127440231709528</v>
      </c>
      <c r="F293" s="2">
        <f t="shared" si="494"/>
        <v>92.180864247685761</v>
      </c>
      <c r="G293" s="2">
        <f t="shared" si="495"/>
        <v>88.770674643898502</v>
      </c>
      <c r="H293" s="4" t="s">
        <v>2</v>
      </c>
      <c r="I293" s="5">
        <f t="shared" si="526"/>
        <v>3.956739646531271E-2</v>
      </c>
      <c r="J293" s="5">
        <f>+AVERAGE(B289:B293)/AVERAGE(B277:B281)-1</f>
        <v>3.918774492340571E-2</v>
      </c>
      <c r="K293" s="5">
        <f t="shared" si="527"/>
        <v>5.7870937430182234E-2</v>
      </c>
      <c r="L293" s="5">
        <f t="shared" ref="L293" si="540">+F293/F288-1</f>
        <v>0.15333000739556435</v>
      </c>
      <c r="M293" s="6">
        <f t="shared" si="452"/>
        <v>1.408438821967084E-2</v>
      </c>
    </row>
    <row r="294" spans="1:13" x14ac:dyDescent="0.2">
      <c r="A294" s="1">
        <v>42887</v>
      </c>
      <c r="B294" s="2">
        <v>372.2</v>
      </c>
      <c r="C294" s="2">
        <v>377.11226802862598</v>
      </c>
      <c r="D294" s="2">
        <v>382.42814049321902</v>
      </c>
      <c r="E294" s="2">
        <f t="shared" si="493"/>
        <v>87.007950404065667</v>
      </c>
      <c r="F294" s="2">
        <f t="shared" si="494"/>
        <v>88.623225517421275</v>
      </c>
      <c r="G294" s="2">
        <f t="shared" si="495"/>
        <v>89.980458833714422</v>
      </c>
      <c r="H294" s="4" t="s">
        <v>4</v>
      </c>
      <c r="I294" s="5">
        <f t="shared" si="526"/>
        <v>-5.370569280344073E-4</v>
      </c>
      <c r="J294" s="5">
        <f>+AVERAGE(B289:B294)/AVERAGE(B277:B282)-1</f>
        <v>3.1994554118447871E-2</v>
      </c>
      <c r="K294" s="5">
        <f t="shared" si="527"/>
        <v>-3.8594113423641496E-2</v>
      </c>
      <c r="L294" s="5">
        <f t="shared" ref="L294" si="541">+F294/F288-1</f>
        <v>0.1088182582752506</v>
      </c>
      <c r="M294" s="6">
        <f t="shared" si="452"/>
        <v>1.3628196413612237E-2</v>
      </c>
    </row>
    <row r="295" spans="1:13" x14ac:dyDescent="0.2">
      <c r="A295" s="1">
        <v>42917</v>
      </c>
      <c r="B295" s="2">
        <v>398.8</v>
      </c>
      <c r="C295" s="2">
        <v>378.94924014441602</v>
      </c>
      <c r="D295" s="2">
        <v>387.88155449723502</v>
      </c>
      <c r="E295" s="2">
        <f t="shared" si="493"/>
        <v>93.226143528053171</v>
      </c>
      <c r="F295" s="2">
        <f t="shared" si="494"/>
        <v>89.054922939883596</v>
      </c>
      <c r="G295" s="2">
        <f t="shared" si="495"/>
        <v>91.263577522780295</v>
      </c>
      <c r="H295" s="4" t="s">
        <v>4</v>
      </c>
      <c r="I295" s="5">
        <f t="shared" si="526"/>
        <v>0.11991013760179703</v>
      </c>
      <c r="J295" s="5">
        <f>+AVERAGE(B289:B295)/AVERAGE(B277:B283)-1</f>
        <v>4.4970365151075553E-2</v>
      </c>
      <c r="K295" s="5">
        <f t="shared" si="527"/>
        <v>4.8711544850899013E-3</v>
      </c>
      <c r="L295" s="5">
        <f t="shared" ref="L295" si="542">+F295/F288-1</f>
        <v>0.11421948330719767</v>
      </c>
      <c r="M295" s="6">
        <f t="shared" si="452"/>
        <v>1.4259970505786201E-2</v>
      </c>
    </row>
    <row r="296" spans="1:13" x14ac:dyDescent="0.2">
      <c r="A296" s="1">
        <v>42948</v>
      </c>
      <c r="B296" s="2">
        <v>417.4</v>
      </c>
      <c r="C296" s="2">
        <v>390.38872508533802</v>
      </c>
      <c r="D296" s="2">
        <v>393.72696663792101</v>
      </c>
      <c r="E296" s="2">
        <f t="shared" si="493"/>
        <v>97.574203381668482</v>
      </c>
      <c r="F296" s="2">
        <f t="shared" si="494"/>
        <v>91.743257793114935</v>
      </c>
      <c r="G296" s="2">
        <f t="shared" si="495"/>
        <v>92.638928368596041</v>
      </c>
      <c r="H296" s="4" t="s">
        <v>3</v>
      </c>
      <c r="I296" s="5">
        <f t="shared" si="526"/>
        <v>0.21620046620046618</v>
      </c>
      <c r="J296" s="5">
        <f>+AVERAGE(B289:B296)/AVERAGE(B277:B284)-1</f>
        <v>6.6294132588265331E-2</v>
      </c>
      <c r="K296" s="5">
        <f t="shared" si="527"/>
        <v>3.0187380601587765E-2</v>
      </c>
      <c r="L296" s="5">
        <f t="shared" ref="L296" si="543">+F296/F288-1</f>
        <v>0.14785485092349648</v>
      </c>
      <c r="M296" s="6">
        <f t="shared" si="452"/>
        <v>1.5070095684912577E-2</v>
      </c>
    </row>
    <row r="297" spans="1:13" x14ac:dyDescent="0.2">
      <c r="A297" s="1">
        <v>42979</v>
      </c>
      <c r="B297" s="2">
        <v>422.7</v>
      </c>
      <c r="C297" s="2">
        <v>407.50441132661001</v>
      </c>
      <c r="D297" s="2">
        <v>400.46975925758898</v>
      </c>
      <c r="E297" s="2">
        <f t="shared" si="493"/>
        <v>98.813166673290056</v>
      </c>
      <c r="F297" s="2">
        <f t="shared" si="494"/>
        <v>95.765527685248315</v>
      </c>
      <c r="G297" s="2">
        <f t="shared" si="495"/>
        <v>94.225421383874192</v>
      </c>
      <c r="H297" s="4" t="s">
        <v>5</v>
      </c>
      <c r="I297" s="5">
        <f t="shared" si="526"/>
        <v>0.31232536479354223</v>
      </c>
      <c r="J297" s="5">
        <f>+AVERAGE(B289:B297)/AVERAGE(B277:B285)-1</f>
        <v>9.2040285899935181E-2</v>
      </c>
      <c r="K297" s="5">
        <f t="shared" si="527"/>
        <v>4.3842675624227168E-2</v>
      </c>
      <c r="L297" s="5">
        <f t="shared" ref="L297" si="544">+F297/F288-1</f>
        <v>0.198179878816231</v>
      </c>
      <c r="M297" s="6">
        <f t="shared" si="452"/>
        <v>1.7125554485752925E-2</v>
      </c>
    </row>
    <row r="298" spans="1:13" x14ac:dyDescent="0.2">
      <c r="A298" s="1">
        <v>43009</v>
      </c>
      <c r="B298" s="2">
        <v>447.1</v>
      </c>
      <c r="C298" s="2">
        <v>410.62297315259502</v>
      </c>
      <c r="D298" s="2">
        <v>408.40192304957998</v>
      </c>
      <c r="E298" s="2">
        <f t="shared" si="493"/>
        <v>104.51707314792522</v>
      </c>
      <c r="F298" s="2">
        <f t="shared" si="494"/>
        <v>96.498404951318349</v>
      </c>
      <c r="G298" s="2">
        <f t="shared" si="495"/>
        <v>96.091758250787322</v>
      </c>
      <c r="H298" s="4" t="s">
        <v>6</v>
      </c>
      <c r="I298" s="5">
        <f t="shared" si="526"/>
        <v>0.18720127456186941</v>
      </c>
      <c r="J298" s="5">
        <f>+AVERAGE(B289:B298)/AVERAGE(B277:B286)-1</f>
        <v>0.10241417240780426</v>
      </c>
      <c r="K298" s="5">
        <f t="shared" si="527"/>
        <v>7.6528296119118266E-3</v>
      </c>
      <c r="L298" s="5">
        <f t="shared" ref="L298" si="545">+F298/F288-1</f>
        <v>0.20734934527323268</v>
      </c>
      <c r="M298" s="6">
        <f t="shared" si="452"/>
        <v>1.9807148002126462E-2</v>
      </c>
    </row>
    <row r="299" spans="1:13" x14ac:dyDescent="0.2">
      <c r="A299" s="1">
        <v>43040</v>
      </c>
      <c r="B299" s="2">
        <v>435</v>
      </c>
      <c r="C299" s="2">
        <v>414.11896731301101</v>
      </c>
      <c r="D299" s="2">
        <v>418.11056979247502</v>
      </c>
      <c r="E299" s="2">
        <f t="shared" si="493"/>
        <v>101.68849657648728</v>
      </c>
      <c r="F299" s="2">
        <f t="shared" si="494"/>
        <v>97.319980660074165</v>
      </c>
      <c r="G299" s="2">
        <f t="shared" si="495"/>
        <v>98.376078874927259</v>
      </c>
      <c r="H299" s="4" t="s">
        <v>7</v>
      </c>
      <c r="I299" s="5">
        <f t="shared" si="526"/>
        <v>0.2106874478151961</v>
      </c>
      <c r="J299" s="5">
        <f>+AVERAGE(B289:B299)/AVERAGE(B277:B287)-1</f>
        <v>0.11261438422612025</v>
      </c>
      <c r="K299" s="5">
        <f t="shared" si="527"/>
        <v>8.5138786404841404E-3</v>
      </c>
      <c r="L299" s="5">
        <f t="shared" ref="L299" si="546">+F299/F288-1</f>
        <v>0.217628571075557</v>
      </c>
      <c r="M299" s="6">
        <f t="shared" si="452"/>
        <v>2.3772284592588511E-2</v>
      </c>
    </row>
    <row r="300" spans="1:13" x14ac:dyDescent="0.2">
      <c r="A300" s="1">
        <v>43070</v>
      </c>
      <c r="B300" s="2">
        <v>380.8</v>
      </c>
      <c r="C300" s="2">
        <v>408.83049919053798</v>
      </c>
      <c r="D300" s="2">
        <v>429.37992923725301</v>
      </c>
      <c r="E300" s="2">
        <f t="shared" si="493"/>
        <v>89.018343669715776</v>
      </c>
      <c r="F300" s="2">
        <f t="shared" si="494"/>
        <v>96.07716481239656</v>
      </c>
      <c r="G300" s="2">
        <f t="shared" si="495"/>
        <v>101.02761527153076</v>
      </c>
      <c r="H300" s="4" t="s">
        <v>8</v>
      </c>
      <c r="I300" s="5">
        <f t="shared" si="526"/>
        <v>0.21817018554062706</v>
      </c>
      <c r="J300" s="5">
        <f>+AVERAGE(B289:B300)/AVERAGE(B277:B288)-1</f>
        <v>0.12061068702290068</v>
      </c>
      <c r="K300" s="5">
        <f t="shared" si="527"/>
        <v>-1.2770407877685463E-2</v>
      </c>
      <c r="L300" s="5">
        <f t="shared" ref="L300" si="547">+F300/F288-1</f>
        <v>0.20207895757939887</v>
      </c>
      <c r="M300" s="6">
        <f t="shared" si="452"/>
        <v>2.6953060407851837E-2</v>
      </c>
    </row>
    <row r="301" spans="1:13" x14ac:dyDescent="0.2">
      <c r="A301" s="1">
        <v>43101</v>
      </c>
      <c r="B301" s="2">
        <v>343.8</v>
      </c>
      <c r="C301" s="2">
        <v>385.27363005822099</v>
      </c>
      <c r="D301" s="2">
        <v>439.53945333633601</v>
      </c>
      <c r="E301" s="2">
        <f t="shared" si="493"/>
        <v>80.368977294244431</v>
      </c>
      <c r="F301" s="2">
        <f t="shared" si="494"/>
        <v>90.541185469928621</v>
      </c>
      <c r="G301" s="2">
        <f t="shared" si="495"/>
        <v>103.41802158103685</v>
      </c>
      <c r="H301" s="4" t="s">
        <v>32</v>
      </c>
      <c r="I301" s="5">
        <f t="shared" si="526"/>
        <v>0.18022657054582902</v>
      </c>
      <c r="J301" s="5">
        <f>+AVERAGE(B301:B301)/AVERAGE(B289:B289)-1</f>
        <v>0.18022657054582902</v>
      </c>
      <c r="K301" s="5">
        <f t="shared" si="527"/>
        <v>-5.7620136410953426E-2</v>
      </c>
      <c r="L301" s="5">
        <f>+F301/F300-1</f>
        <v>-5.7620136410953426E-2</v>
      </c>
      <c r="M301" s="6">
        <f t="shared" ref="M301:M304" si="548">+G301/G300-1</f>
        <v>2.3660919869101349E-2</v>
      </c>
    </row>
    <row r="302" spans="1:13" x14ac:dyDescent="0.2">
      <c r="A302" s="1">
        <v>43132</v>
      </c>
      <c r="B302" s="2">
        <v>417.3</v>
      </c>
      <c r="C302" s="2">
        <v>476.975151720018</v>
      </c>
      <c r="D302" s="2">
        <v>446.85129784815598</v>
      </c>
      <c r="E302" s="2">
        <f t="shared" si="493"/>
        <v>97.550826715788844</v>
      </c>
      <c r="F302" s="2">
        <f t="shared" si="494"/>
        <v>112.09149110439616</v>
      </c>
      <c r="G302" s="2">
        <f t="shared" si="495"/>
        <v>105.13840524120843</v>
      </c>
      <c r="H302" s="4" t="s">
        <v>1</v>
      </c>
      <c r="I302" s="5">
        <f t="shared" si="526"/>
        <v>0.36774827925270404</v>
      </c>
      <c r="J302" s="5">
        <f>+AVERAGE(B301:B302)/AVERAGE(B289:B290)-1</f>
        <v>0.27615694164989923</v>
      </c>
      <c r="K302" s="5">
        <f t="shared" si="527"/>
        <v>0.23801660562115146</v>
      </c>
      <c r="L302" s="5">
        <f>+F302/F300-1</f>
        <v>0.16668191992623527</v>
      </c>
      <c r="M302" s="6">
        <f t="shared" si="548"/>
        <v>1.6635240491653658E-2</v>
      </c>
    </row>
    <row r="303" spans="1:13" x14ac:dyDescent="0.2">
      <c r="A303" s="1">
        <v>43160</v>
      </c>
      <c r="B303" s="2">
        <v>473.9</v>
      </c>
      <c r="C303" s="2">
        <v>465.434587920198</v>
      </c>
      <c r="D303" s="2">
        <v>450.09332332939601</v>
      </c>
      <c r="E303" s="2">
        <f t="shared" si="493"/>
        <v>110.782019603672</v>
      </c>
      <c r="F303" s="2">
        <f t="shared" si="494"/>
        <v>109.37940222546317</v>
      </c>
      <c r="G303" s="2">
        <f t="shared" si="495"/>
        <v>105.9012124446123</v>
      </c>
      <c r="H303" s="4" t="s">
        <v>2</v>
      </c>
      <c r="I303" s="5">
        <f t="shared" si="526"/>
        <v>0.20800407851134306</v>
      </c>
      <c r="J303" s="5">
        <f>+AVERAGE(B301:B303)/AVERAGE(B289:B291)-1</f>
        <v>0.24911499949428539</v>
      </c>
      <c r="K303" s="5">
        <f t="shared" si="527"/>
        <v>-2.4195314490081055E-2</v>
      </c>
      <c r="L303" s="5">
        <f>+F303/F300-1</f>
        <v>0.13845368396372848</v>
      </c>
      <c r="M303" s="6">
        <f t="shared" si="548"/>
        <v>7.2552670135506148E-3</v>
      </c>
    </row>
    <row r="304" spans="1:13" x14ac:dyDescent="0.2">
      <c r="A304" s="1">
        <v>43191</v>
      </c>
      <c r="B304" s="2">
        <v>463</v>
      </c>
      <c r="C304" s="2">
        <v>465.11329769475799</v>
      </c>
      <c r="D304" s="2">
        <v>448.97392696310101</v>
      </c>
      <c r="E304" s="2">
        <f t="shared" si="493"/>
        <v>108.23396302278991</v>
      </c>
      <c r="F304" s="2">
        <f t="shared" si="494"/>
        <v>109.30389745269467</v>
      </c>
      <c r="G304" s="2">
        <f t="shared" si="495"/>
        <v>105.63783277143732</v>
      </c>
      <c r="H304" s="4" t="s">
        <v>3</v>
      </c>
      <c r="I304" s="5">
        <f t="shared" si="526"/>
        <v>0.26020685900925433</v>
      </c>
      <c r="J304" s="5">
        <f>+AVERAGE(B301:B304)/AVERAGE(B289:B292)-1</f>
        <v>0.25212005014379479</v>
      </c>
      <c r="K304" s="5">
        <f t="shared" si="527"/>
        <v>-6.9030156713467683E-4</v>
      </c>
      <c r="L304" s="5">
        <f>+F304/F300-1</f>
        <v>0.13766780760157804</v>
      </c>
      <c r="M304" s="6">
        <f t="shared" si="548"/>
        <v>-2.4870317071462589E-3</v>
      </c>
    </row>
    <row r="305" spans="1:13" x14ac:dyDescent="0.2">
      <c r="A305" s="1">
        <v>43221</v>
      </c>
      <c r="B305" s="2">
        <v>438.1</v>
      </c>
      <c r="C305" s="2">
        <v>438.28385206192502</v>
      </c>
      <c r="D305" s="2">
        <v>443.72999567528802</v>
      </c>
      <c r="E305" s="2">
        <f t="shared" si="493"/>
        <v>102.41317321875651</v>
      </c>
      <c r="F305" s="2">
        <f t="shared" si="494"/>
        <v>102.99884664314247</v>
      </c>
      <c r="G305" s="2">
        <f t="shared" si="495"/>
        <v>104.40400269093819</v>
      </c>
      <c r="H305" s="4" t="s">
        <v>2</v>
      </c>
      <c r="I305" s="5">
        <f t="shared" si="526"/>
        <v>0.11164679015478307</v>
      </c>
      <c r="J305" s="5">
        <f>+AVERAGE(B301:B305)/AVERAGE(B289:B293)-1</f>
        <v>0.22048908696149017</v>
      </c>
      <c r="K305" s="5">
        <f t="shared" si="527"/>
        <v>-5.7683677860443594E-2</v>
      </c>
      <c r="L305" s="5">
        <f>+F305/F300-1</f>
        <v>7.2042944275691578E-2</v>
      </c>
      <c r="M305" s="6">
        <f t="shared" ref="M305:M316" si="549">+G305/G304-1</f>
        <v>-1.1679812507784937E-2</v>
      </c>
    </row>
    <row r="306" spans="1:13" x14ac:dyDescent="0.2">
      <c r="A306" s="1">
        <v>43252</v>
      </c>
      <c r="B306" s="2">
        <v>413.5</v>
      </c>
      <c r="C306" s="2">
        <v>421.464484254323</v>
      </c>
      <c r="D306" s="2">
        <v>437.31695155886001</v>
      </c>
      <c r="E306" s="2">
        <f t="shared" si="493"/>
        <v>96.662513412362046</v>
      </c>
      <c r="F306" s="2">
        <f t="shared" si="494"/>
        <v>99.046213030702106</v>
      </c>
      <c r="G306" s="2">
        <f t="shared" si="495"/>
        <v>102.89509528843162</v>
      </c>
      <c r="H306" s="4" t="s">
        <v>4</v>
      </c>
      <c r="I306" s="5">
        <f t="shared" si="526"/>
        <v>0.11096184846856527</v>
      </c>
      <c r="J306" s="5">
        <f>+AVERAGE(B301:B306)/AVERAGE(B289:B294)-1</f>
        <v>0.20128156803618569</v>
      </c>
      <c r="K306" s="5">
        <f t="shared" si="527"/>
        <v>-3.8375513331085687E-2</v>
      </c>
      <c r="L306" s="5">
        <f>+F306/F300-1</f>
        <v>3.0902745976143287E-2</v>
      </c>
      <c r="M306" s="6">
        <f t="shared" si="549"/>
        <v>-1.445258192804455E-2</v>
      </c>
    </row>
    <row r="307" spans="1:13" x14ac:dyDescent="0.2">
      <c r="A307" s="1">
        <v>43282</v>
      </c>
      <c r="B307" s="2">
        <v>463.8</v>
      </c>
      <c r="C307" s="2">
        <v>444.16229105193401</v>
      </c>
      <c r="D307" s="2">
        <v>431.66112210981203</v>
      </c>
      <c r="E307" s="2">
        <f t="shared" si="493"/>
        <v>108.42097634982713</v>
      </c>
      <c r="F307" s="2">
        <f t="shared" si="494"/>
        <v>104.38030852722635</v>
      </c>
      <c r="G307" s="2">
        <f t="shared" si="495"/>
        <v>101.56435082947463</v>
      </c>
      <c r="H307" s="4" t="s">
        <v>4</v>
      </c>
      <c r="I307" s="5">
        <f t="shared" si="526"/>
        <v>0.16298896690070208</v>
      </c>
      <c r="J307" s="5">
        <f>+AVERAGE(B301:B307)/AVERAGE(B289:B295)-1</f>
        <v>0.19522449627161698</v>
      </c>
      <c r="K307" s="5">
        <f t="shared" si="527"/>
        <v>5.3854613248774941E-2</v>
      </c>
      <c r="L307" s="5">
        <f>+F307/F300-1</f>
        <v>8.6421614657788748E-2</v>
      </c>
      <c r="M307" s="6">
        <f t="shared" si="549"/>
        <v>-1.2933021299282421E-2</v>
      </c>
    </row>
    <row r="308" spans="1:13" x14ac:dyDescent="0.2">
      <c r="A308" s="1">
        <v>43313</v>
      </c>
      <c r="B308" s="2">
        <v>455.3</v>
      </c>
      <c r="C308" s="2">
        <v>428.20668757184802</v>
      </c>
      <c r="D308" s="2">
        <v>428.08493354838703</v>
      </c>
      <c r="E308" s="2">
        <f t="shared" si="493"/>
        <v>106.4339597500567</v>
      </c>
      <c r="F308" s="2">
        <f t="shared" si="494"/>
        <v>100.63066375201348</v>
      </c>
      <c r="G308" s="2">
        <f t="shared" si="495"/>
        <v>100.72291931970683</v>
      </c>
      <c r="H308" s="4" t="s">
        <v>3</v>
      </c>
      <c r="I308" s="5">
        <f t="shared" si="526"/>
        <v>9.0800191662673946E-2</v>
      </c>
      <c r="J308" s="5">
        <f>+AVERAGE(B301:B308)/AVERAGE(B289:B296)-1</f>
        <v>0.18039202341250959</v>
      </c>
      <c r="K308" s="5">
        <f t="shared" si="527"/>
        <v>-3.5922913316881244E-2</v>
      </c>
      <c r="L308" s="5">
        <f>+F308/F300-1</f>
        <v>4.7394185168850855E-2</v>
      </c>
      <c r="M308" s="6">
        <f t="shared" si="549"/>
        <v>-8.2847131192770318E-3</v>
      </c>
    </row>
    <row r="309" spans="1:13" x14ac:dyDescent="0.2">
      <c r="A309" s="1">
        <v>43344</v>
      </c>
      <c r="B309" s="2">
        <v>434.7</v>
      </c>
      <c r="C309" s="2">
        <v>415.761698478433</v>
      </c>
      <c r="D309" s="2">
        <v>425.42141583178</v>
      </c>
      <c r="E309" s="2">
        <f t="shared" si="493"/>
        <v>101.61836657884832</v>
      </c>
      <c r="F309" s="2">
        <f t="shared" si="494"/>
        <v>97.706030510159238</v>
      </c>
      <c r="G309" s="2">
        <f t="shared" si="495"/>
        <v>100.09622760726398</v>
      </c>
      <c r="H309" s="4" t="s">
        <v>5</v>
      </c>
      <c r="I309" s="5">
        <f t="shared" si="526"/>
        <v>2.8388928317955919E-2</v>
      </c>
      <c r="J309" s="5">
        <f>+AVERAGE(B301:B309)/AVERAGE(B289:B297)-1</f>
        <v>0.16127688691875175</v>
      </c>
      <c r="K309" s="5">
        <f t="shared" si="527"/>
        <v>-2.9063042345238599E-2</v>
      </c>
      <c r="L309" s="5">
        <f>+F309/F300-1</f>
        <v>1.6953723613131633E-2</v>
      </c>
      <c r="M309" s="6">
        <f t="shared" si="549"/>
        <v>-6.2219375359212625E-3</v>
      </c>
    </row>
    <row r="310" spans="1:13" x14ac:dyDescent="0.2">
      <c r="A310" s="1">
        <v>43374</v>
      </c>
      <c r="B310" s="2">
        <v>446.2</v>
      </c>
      <c r="C310" s="2">
        <v>412.964985563563</v>
      </c>
      <c r="D310" s="2">
        <v>420.764463865952</v>
      </c>
      <c r="E310" s="2">
        <f t="shared" si="493"/>
        <v>104.30668315500833</v>
      </c>
      <c r="F310" s="2">
        <f t="shared" si="494"/>
        <v>97.048789310720991</v>
      </c>
      <c r="G310" s="2">
        <f t="shared" si="495"/>
        <v>99.000506267010778</v>
      </c>
      <c r="H310" s="4" t="s">
        <v>6</v>
      </c>
      <c r="I310" s="5">
        <f t="shared" si="526"/>
        <v>-2.0129724893761525E-3</v>
      </c>
      <c r="J310" s="5">
        <f>+AVERAGE(B301:B310)/AVERAGE(B289:B298)-1</f>
        <v>0.14210692154185511</v>
      </c>
      <c r="K310" s="5">
        <f t="shared" si="527"/>
        <v>-6.7267209199529665E-3</v>
      </c>
      <c r="L310" s="5">
        <f>+F310/F300-1</f>
        <v>1.0112959725879334E-2</v>
      </c>
      <c r="M310" s="6">
        <f t="shared" si="549"/>
        <v>-1.0946679674606385E-2</v>
      </c>
    </row>
    <row r="311" spans="1:13" x14ac:dyDescent="0.2">
      <c r="A311" s="1">
        <v>43405</v>
      </c>
      <c r="B311" s="2">
        <v>456</v>
      </c>
      <c r="C311" s="2">
        <v>432.88165079937301</v>
      </c>
      <c r="D311" s="2">
        <v>413.55493025571599</v>
      </c>
      <c r="E311" s="2">
        <f t="shared" si="493"/>
        <v>106.59759641121427</v>
      </c>
      <c r="F311" s="2">
        <f t="shared" si="494"/>
        <v>101.7293029518582</v>
      </c>
      <c r="G311" s="2">
        <f t="shared" si="495"/>
        <v>97.304195055734681</v>
      </c>
      <c r="H311" s="4" t="s">
        <v>7</v>
      </c>
      <c r="I311" s="5">
        <f t="shared" si="526"/>
        <v>4.8275862068965614E-2</v>
      </c>
      <c r="J311" s="5">
        <f>+AVERAGE(B301:B311)/AVERAGE(B289:B299)-1</f>
        <v>0.13248809916576354</v>
      </c>
      <c r="K311" s="5">
        <f t="shared" si="527"/>
        <v>4.8228459874461782E-2</v>
      </c>
      <c r="L311" s="5">
        <f>+F311/F300-1</f>
        <v>5.8829152072692681E-2</v>
      </c>
      <c r="M311" s="6">
        <f t="shared" si="549"/>
        <v>-1.7134369057679733E-2</v>
      </c>
    </row>
    <row r="312" spans="1:13" x14ac:dyDescent="0.2">
      <c r="A312" s="1">
        <v>43435</v>
      </c>
      <c r="B312" s="2">
        <v>356.1</v>
      </c>
      <c r="C312" s="2">
        <v>382.18336666081001</v>
      </c>
      <c r="D312" s="2">
        <v>404.95871342648297</v>
      </c>
      <c r="E312" s="2">
        <f t="shared" si="493"/>
        <v>83.244307197441671</v>
      </c>
      <c r="F312" s="2">
        <f t="shared" si="494"/>
        <v>89.814958472836608</v>
      </c>
      <c r="G312" s="2">
        <f t="shared" si="495"/>
        <v>95.281614987408872</v>
      </c>
      <c r="H312" s="4" t="s">
        <v>8</v>
      </c>
      <c r="I312" s="5">
        <f t="shared" si="526"/>
        <v>-6.4863445378151252E-2</v>
      </c>
      <c r="J312" s="5">
        <f>+AVERAGE(B301:B312)/AVERAGE(B289:B300)-1</f>
        <v>0.11623632195839306</v>
      </c>
      <c r="K312" s="5">
        <f t="shared" si="527"/>
        <v>-0.11711811772326675</v>
      </c>
      <c r="L312" s="5">
        <f>+F312/F300-1</f>
        <v>-6.5178925208583594E-2</v>
      </c>
      <c r="M312" s="6">
        <f t="shared" si="549"/>
        <v>-2.078615487407609E-2</v>
      </c>
    </row>
    <row r="313" spans="1:13" x14ac:dyDescent="0.2">
      <c r="A313" s="1">
        <v>43466</v>
      </c>
      <c r="B313" s="2">
        <v>371</v>
      </c>
      <c r="C313" s="2">
        <v>408.61558911752701</v>
      </c>
      <c r="D313" s="2">
        <v>397.93701568806301</v>
      </c>
      <c r="E313" s="2">
        <f t="shared" si="493"/>
        <v>86.727430413509836</v>
      </c>
      <c r="F313" s="2">
        <f t="shared" si="494"/>
        <v>96.026659895211068</v>
      </c>
      <c r="G313" s="2">
        <f t="shared" si="495"/>
        <v>93.629499158589823</v>
      </c>
      <c r="H313" s="4" t="s">
        <v>33</v>
      </c>
      <c r="I313" s="5">
        <f>+E313/E301-1</f>
        <v>7.9115764979639236E-2</v>
      </c>
      <c r="J313" s="5">
        <f>+AVERAGE(B$313:B313)/AVERAGE(B$301:B301)-1</f>
        <v>7.9115764979639236E-2</v>
      </c>
      <c r="K313" s="5">
        <f>+F313/F312-1</f>
        <v>6.9161101090450483E-2</v>
      </c>
      <c r="L313" s="5">
        <f>+F313/F$312-1</f>
        <v>6.9161101090450483E-2</v>
      </c>
      <c r="M313" s="6">
        <f t="shared" si="549"/>
        <v>-1.7339292884963942E-2</v>
      </c>
    </row>
    <row r="314" spans="1:13" x14ac:dyDescent="0.2">
      <c r="A314" s="1">
        <v>43497</v>
      </c>
      <c r="B314" s="2">
        <v>318</v>
      </c>
      <c r="C314" s="2">
        <v>381.794036994549</v>
      </c>
      <c r="D314" s="2">
        <v>393.98324476493701</v>
      </c>
      <c r="E314" s="2">
        <f t="shared" si="493"/>
        <v>74.337797497294162</v>
      </c>
      <c r="F314" s="2">
        <f t="shared" ref="F314:F317" si="550">+C314/AVERAGE(C$133:C$144)*100</f>
        <v>89.723464099041664</v>
      </c>
      <c r="G314" s="2">
        <f t="shared" ref="G314:G317" si="551">+D314/AVERAGE(D$133:D$144)*100</f>
        <v>92.699227339869978</v>
      </c>
      <c r="H314" s="4" t="s">
        <v>1</v>
      </c>
      <c r="I314" s="5">
        <f>+E314/E302-1</f>
        <v>-0.23795830337886414</v>
      </c>
      <c r="J314" s="5">
        <f>+AVERAGE(B$313:B314)/AVERAGE(B$301:B302)-1</f>
        <v>-9.473130994613066E-2</v>
      </c>
      <c r="K314" s="5">
        <f>+F314/F313-1</f>
        <v>-6.5640060823189739E-2</v>
      </c>
      <c r="L314" s="5">
        <f t="shared" ref="L314:L323" si="552">+F314/F$312-1</f>
        <v>-1.0186986149152144E-3</v>
      </c>
      <c r="M314" s="6">
        <f t="shared" si="549"/>
        <v>-9.9356701368673583E-3</v>
      </c>
    </row>
    <row r="315" spans="1:13" x14ac:dyDescent="0.2">
      <c r="A315" s="1">
        <v>43525</v>
      </c>
      <c r="B315" s="2">
        <v>391</v>
      </c>
      <c r="C315" s="2">
        <v>384.494997808302</v>
      </c>
      <c r="D315" s="2">
        <v>393.029581963449</v>
      </c>
      <c r="E315" s="2">
        <f t="shared" si="493"/>
        <v>91.402763589440298</v>
      </c>
      <c r="F315" s="2">
        <f t="shared" si="550"/>
        <v>90.358203086882753</v>
      </c>
      <c r="G315" s="2">
        <f t="shared" si="551"/>
        <v>92.474842658502482</v>
      </c>
      <c r="H315" s="4" t="s">
        <v>2</v>
      </c>
      <c r="I315" s="5">
        <f>+E315/E303-1</f>
        <v>-0.17493142013082918</v>
      </c>
      <c r="J315" s="5">
        <f>+AVERAGE(B$313:B315)/AVERAGE(B$301:B303)-1</f>
        <v>-0.125506072874494</v>
      </c>
      <c r="K315" s="5">
        <f>+F315/F314-1</f>
        <v>7.074392347808045E-3</v>
      </c>
      <c r="L315" s="5">
        <f t="shared" si="552"/>
        <v>6.0484870592067974E-3</v>
      </c>
      <c r="M315" s="6">
        <f t="shared" si="549"/>
        <v>-2.4205669001405861E-3</v>
      </c>
    </row>
    <row r="316" spans="1:13" x14ac:dyDescent="0.2">
      <c r="A316" s="1">
        <v>43556</v>
      </c>
      <c r="B316" s="2">
        <v>421</v>
      </c>
      <c r="C316" s="2">
        <v>421.99131211253302</v>
      </c>
      <c r="D316" s="2">
        <v>394.87085288903398</v>
      </c>
      <c r="E316" s="2">
        <f t="shared" si="493"/>
        <v>98.415763353335976</v>
      </c>
      <c r="F316" s="2">
        <f t="shared" si="550"/>
        <v>99.170020151406703</v>
      </c>
      <c r="G316" s="2">
        <f t="shared" si="551"/>
        <v>92.908070198995802</v>
      </c>
      <c r="H316" s="4" t="s">
        <v>3</v>
      </c>
      <c r="I316" s="5">
        <f t="shared" ref="I316:I317" si="553">+E316/E304-1</f>
        <v>-9.0712742980561423E-2</v>
      </c>
      <c r="J316" s="5">
        <f>+AVERAGE(B$313:B316)/AVERAGE(B$301:B304)-1</f>
        <v>-0.11601884570082455</v>
      </c>
      <c r="K316" s="5">
        <f t="shared" ref="K316:K317" si="554">+F316/F315-1</f>
        <v>9.7520941801499283E-2</v>
      </c>
      <c r="L316" s="5">
        <f t="shared" si="552"/>
        <v>0.10415928301519406</v>
      </c>
      <c r="M316" s="6">
        <f t="shared" si="549"/>
        <v>4.684815113372709E-3</v>
      </c>
    </row>
    <row r="317" spans="1:13" x14ac:dyDescent="0.2">
      <c r="A317" s="1">
        <v>43586</v>
      </c>
      <c r="B317" s="2">
        <v>407</v>
      </c>
      <c r="C317" s="2">
        <v>408.79880145057302</v>
      </c>
      <c r="D317" s="2">
        <v>398.47136050669701</v>
      </c>
      <c r="E317" s="2">
        <f t="shared" si="493"/>
        <v>95.143030130184655</v>
      </c>
      <c r="F317" s="2">
        <f t="shared" si="550"/>
        <v>96.069715688632996</v>
      </c>
      <c r="G317" s="2">
        <f t="shared" si="551"/>
        <v>93.755223672204579</v>
      </c>
      <c r="H317" s="4" t="s">
        <v>2</v>
      </c>
      <c r="I317" s="5">
        <f t="shared" si="553"/>
        <v>-7.0988358822186792E-2</v>
      </c>
      <c r="J317" s="5">
        <f>+AVERAGE(B$313:B317)/AVERAGE(B$301:B305)-1</f>
        <v>-0.1067833902907166</v>
      </c>
      <c r="K317" s="5">
        <f t="shared" si="554"/>
        <v>-3.1262517220832953E-2</v>
      </c>
      <c r="L317" s="5">
        <f t="shared" si="552"/>
        <v>6.9640484415389059E-2</v>
      </c>
      <c r="M317" s="6">
        <f>+G317/G316-1</f>
        <v>9.1181903939485665E-3</v>
      </c>
    </row>
    <row r="318" spans="1:13" x14ac:dyDescent="0.2">
      <c r="A318" s="1">
        <v>43617</v>
      </c>
      <c r="B318" s="2">
        <v>412</v>
      </c>
      <c r="C318" s="2">
        <v>420.75308616431897</v>
      </c>
      <c r="E318" s="2">
        <f t="shared" ref="E318:E338" si="555">+B318/AVERAGE(B$133:B$144)*100</f>
        <v>96.311863424167271</v>
      </c>
      <c r="F318" s="2">
        <f t="shared" ref="F318:F338" si="556">+C318/AVERAGE(C$133:C$144)*100</f>
        <v>98.879031003735264</v>
      </c>
      <c r="H318" s="4" t="s">
        <v>4</v>
      </c>
      <c r="I318" s="5">
        <f t="shared" ref="I318:I324" si="557">+E318/E306-1</f>
        <v>-3.6275695284159193E-3</v>
      </c>
      <c r="J318" s="5">
        <f>+AVERAGE(B$313:B318)/AVERAGE(B$301:B306)-1</f>
        <v>-9.0053341700658929E-2</v>
      </c>
      <c r="K318" s="5">
        <f t="shared" ref="K318:K324" si="558">+F318/F317-1</f>
        <v>2.9242465171932075E-2</v>
      </c>
      <c r="L318" s="5">
        <f t="shared" si="552"/>
        <v>0.1009194090273946</v>
      </c>
      <c r="M318" s="6">
        <f t="shared" ref="M318:M325" si="559">+G318/G317-1</f>
        <v>-1</v>
      </c>
    </row>
    <row r="319" spans="1:13" x14ac:dyDescent="0.2">
      <c r="A319" s="1">
        <v>43647</v>
      </c>
      <c r="B319" s="2">
        <v>418</v>
      </c>
      <c r="C319" s="2">
        <v>397.89086159039999</v>
      </c>
      <c r="E319" s="2">
        <f t="shared" si="555"/>
        <v>97.714463376946398</v>
      </c>
      <c r="F319" s="2">
        <f t="shared" si="556"/>
        <v>93.506296526450754</v>
      </c>
      <c r="H319" s="4" t="s">
        <v>4</v>
      </c>
      <c r="I319" s="5">
        <f t="shared" si="557"/>
        <v>-9.8749460974558056E-2</v>
      </c>
      <c r="J319" s="5">
        <f>+AVERAGE(B$313:B319)/AVERAGE(B$301:B307)-1</f>
        <v>-9.1391783367624657E-2</v>
      </c>
      <c r="K319" s="5">
        <f t="shared" si="558"/>
        <v>-5.4336439412331461E-2</v>
      </c>
      <c r="L319" s="5">
        <f t="shared" si="552"/>
        <v>4.1099368260917757E-2</v>
      </c>
      <c r="M319" s="6" t="e">
        <f t="shared" si="559"/>
        <v>#DIV/0!</v>
      </c>
    </row>
    <row r="320" spans="1:13" x14ac:dyDescent="0.2">
      <c r="A320" s="1">
        <v>43678</v>
      </c>
      <c r="B320" s="2">
        <v>436</v>
      </c>
      <c r="C320" s="2">
        <v>410.76773526934102</v>
      </c>
      <c r="E320" s="2">
        <f t="shared" si="555"/>
        <v>101.92226323528382</v>
      </c>
      <c r="F320" s="2">
        <f t="shared" si="556"/>
        <v>96.532424756046069</v>
      </c>
      <c r="H320" s="4" t="s">
        <v>3</v>
      </c>
      <c r="I320" s="5">
        <f t="shared" si="557"/>
        <v>-4.2389633208873234E-2</v>
      </c>
      <c r="J320" s="5">
        <f>+AVERAGE(B$313:B320)/AVERAGE(B$301:B308)-1</f>
        <v>-8.4959783204082262E-2</v>
      </c>
      <c r="K320" s="5">
        <f t="shared" si="558"/>
        <v>3.2362828408451616E-2</v>
      </c>
      <c r="L320" s="5">
        <f t="shared" si="552"/>
        <v>7.4792288472093071E-2</v>
      </c>
      <c r="M320" s="6" t="e">
        <f t="shared" si="559"/>
        <v>#DIV/0!</v>
      </c>
    </row>
    <row r="321" spans="1:13" x14ac:dyDescent="0.2">
      <c r="A321" s="1">
        <v>43709</v>
      </c>
      <c r="B321" s="2">
        <v>406</v>
      </c>
      <c r="C321" s="2">
        <v>385.97120661747402</v>
      </c>
      <c r="E321" s="2">
        <f t="shared" si="555"/>
        <v>94.90926347138813</v>
      </c>
      <c r="F321" s="2">
        <f t="shared" si="556"/>
        <v>90.705119369638439</v>
      </c>
      <c r="H321" s="4" t="s">
        <v>5</v>
      </c>
      <c r="I321" s="5">
        <f t="shared" si="557"/>
        <v>-6.6022544283413809E-2</v>
      </c>
      <c r="J321" s="5">
        <f>+AVERAGE(B$313:B321)/AVERAGE(B$301:B309)-1</f>
        <v>-8.2850847978685249E-2</v>
      </c>
      <c r="K321" s="5">
        <f t="shared" si="558"/>
        <v>-6.0366300765097636E-2</v>
      </c>
      <c r="L321" s="5">
        <f t="shared" si="552"/>
        <v>9.9110539261793029E-3</v>
      </c>
      <c r="M321" s="6" t="e">
        <f t="shared" si="559"/>
        <v>#DIV/0!</v>
      </c>
    </row>
    <row r="322" spans="1:13" x14ac:dyDescent="0.2">
      <c r="A322" s="1">
        <v>43739</v>
      </c>
      <c r="B322" s="2">
        <v>382</v>
      </c>
      <c r="C322" s="2">
        <v>349.68169847249402</v>
      </c>
      <c r="E322" s="2">
        <f t="shared" si="555"/>
        <v>89.298863660271593</v>
      </c>
      <c r="F322" s="2">
        <f t="shared" si="556"/>
        <v>82.176907648865864</v>
      </c>
      <c r="H322" s="4" t="s">
        <v>6</v>
      </c>
      <c r="I322" s="5">
        <f t="shared" si="557"/>
        <v>-0.14388166741371577</v>
      </c>
      <c r="J322" s="5">
        <f>+AVERAGE(B$313:B322)/AVERAGE(B$301:B310)-1</f>
        <v>-8.9111642449880568E-2</v>
      </c>
      <c r="K322" s="5">
        <f t="shared" si="558"/>
        <v>-9.4021283253249432E-2</v>
      </c>
      <c r="L322" s="5">
        <f t="shared" si="552"/>
        <v>-8.5042079335601706E-2</v>
      </c>
      <c r="M322" s="6" t="e">
        <f t="shared" si="559"/>
        <v>#DIV/0!</v>
      </c>
    </row>
    <row r="323" spans="1:13" x14ac:dyDescent="0.2">
      <c r="A323" s="1">
        <v>43770</v>
      </c>
      <c r="B323" s="2">
        <v>358</v>
      </c>
      <c r="C323" s="2">
        <v>331.63454821205499</v>
      </c>
      <c r="E323" s="2">
        <f t="shared" si="555"/>
        <v>83.688463849155042</v>
      </c>
      <c r="F323" s="2">
        <f t="shared" si="556"/>
        <v>77.935739161193467</v>
      </c>
      <c r="H323" s="4" t="s">
        <v>7</v>
      </c>
      <c r="I323" s="5">
        <f t="shared" si="557"/>
        <v>-0.21491228070175461</v>
      </c>
      <c r="J323" s="5">
        <f>+AVERAGE(B$313:B323)/AVERAGE(B$301:B311)-1</f>
        <v>-0.10104877642750132</v>
      </c>
      <c r="K323" s="5">
        <f t="shared" si="558"/>
        <v>-5.1610222494554159E-2</v>
      </c>
      <c r="L323" s="5">
        <f t="shared" si="552"/>
        <v>-0.13226326119424592</v>
      </c>
      <c r="M323" s="6" t="e">
        <f t="shared" si="559"/>
        <v>#DIV/0!</v>
      </c>
    </row>
    <row r="324" spans="1:13" x14ac:dyDescent="0.2">
      <c r="A324" s="1">
        <v>43800</v>
      </c>
      <c r="B324" s="2">
        <v>326</v>
      </c>
      <c r="C324" s="2">
        <v>347.141731135719</v>
      </c>
      <c r="E324" s="2">
        <f t="shared" si="555"/>
        <v>76.207930767666326</v>
      </c>
      <c r="F324" s="2">
        <f t="shared" si="556"/>
        <v>81.580002914711699</v>
      </c>
      <c r="H324" s="4" t="s">
        <v>8</v>
      </c>
      <c r="I324" s="5">
        <f t="shared" si="557"/>
        <v>-8.4526818309463847E-2</v>
      </c>
      <c r="J324" s="5">
        <f>+AVERAGE(B$313:B324)/AVERAGE(B$301:B312)-1</f>
        <v>-9.9908944727512328E-2</v>
      </c>
      <c r="K324" s="5">
        <f t="shared" si="558"/>
        <v>4.6759853601707091E-2</v>
      </c>
      <c r="L324" s="5">
        <f>+F324/F$312-1</f>
        <v>-9.1688018322866216E-2</v>
      </c>
      <c r="M324" s="6" t="e">
        <f t="shared" si="559"/>
        <v>#DIV/0!</v>
      </c>
    </row>
    <row r="325" spans="1:13" x14ac:dyDescent="0.2">
      <c r="A325" s="1">
        <v>43831</v>
      </c>
      <c r="B325" s="2">
        <v>298</v>
      </c>
      <c r="C325" s="2">
        <v>332.67396159926602</v>
      </c>
      <c r="E325" s="2">
        <f t="shared" si="555"/>
        <v>69.6624643213637</v>
      </c>
      <c r="F325" s="2">
        <f t="shared" si="556"/>
        <v>78.180006385652035</v>
      </c>
      <c r="H325" s="4" t="s">
        <v>37</v>
      </c>
      <c r="I325" s="5">
        <f>+E325/E313-1</f>
        <v>-0.19676549865229109</v>
      </c>
      <c r="J325" s="5">
        <f>+AVERAGE(B$325:B325)/AVERAGE(B$313:B313)-1</f>
        <v>-0.19676549865229109</v>
      </c>
      <c r="K325" s="5">
        <f>+F325/F324-1</f>
        <v>-4.1676837553122015E-2</v>
      </c>
      <c r="L325" s="5">
        <f>+F325/F324-1</f>
        <v>-4.1676837553122015E-2</v>
      </c>
      <c r="M325" s="6" t="e">
        <f t="shared" si="559"/>
        <v>#DIV/0!</v>
      </c>
    </row>
    <row r="326" spans="1:13" x14ac:dyDescent="0.2">
      <c r="A326" s="1">
        <v>43862</v>
      </c>
      <c r="B326" s="2">
        <v>344</v>
      </c>
      <c r="C326" s="2">
        <v>378.36092779328197</v>
      </c>
      <c r="E326" s="2">
        <f t="shared" si="555"/>
        <v>80.415730626003736</v>
      </c>
      <c r="F326" s="2">
        <f t="shared" si="556"/>
        <v>88.9166666629351</v>
      </c>
      <c r="H326" s="4" t="s">
        <v>1</v>
      </c>
      <c r="I326" s="5">
        <f t="shared" ref="I326:I334" si="560">+E326/E314-1</f>
        <v>8.1761006289307936E-2</v>
      </c>
      <c r="J326" s="5">
        <f>+AVERAGE(B$325:B326)/AVERAGE(B$313:B314)-1</f>
        <v>-6.8214804063860712E-2</v>
      </c>
      <c r="K326" s="5">
        <f t="shared" ref="K326:K334" si="561">+F326/F325-1</f>
        <v>0.13733255820318657</v>
      </c>
      <c r="L326" s="5">
        <f t="shared" ref="L326:L334" si="562">+F326/F325-1</f>
        <v>0.13733255820318657</v>
      </c>
      <c r="M326" s="3"/>
    </row>
    <row r="327" spans="1:13" x14ac:dyDescent="0.2">
      <c r="A327" s="1">
        <v>43891</v>
      </c>
      <c r="B327" s="2">
        <v>286</v>
      </c>
      <c r="C327" s="2">
        <v>284.13112503099597</v>
      </c>
      <c r="E327" s="2">
        <f t="shared" si="555"/>
        <v>66.857264415805432</v>
      </c>
      <c r="F327" s="2">
        <f t="shared" si="556"/>
        <v>66.772202616938358</v>
      </c>
      <c r="H327" s="4" t="s">
        <v>2</v>
      </c>
      <c r="I327" s="5">
        <f t="shared" si="560"/>
        <v>-0.26854219948849112</v>
      </c>
      <c r="J327" s="5">
        <f>+AVERAGE(B$325:B327)/AVERAGE(B$313:B315)-1</f>
        <v>-0.14074074074074083</v>
      </c>
      <c r="K327" s="5">
        <f t="shared" si="561"/>
        <v>-0.24904739321753788</v>
      </c>
      <c r="L327" s="5">
        <f t="shared" si="562"/>
        <v>-0.24904739321753788</v>
      </c>
      <c r="M327" s="3"/>
    </row>
    <row r="328" spans="1:13" x14ac:dyDescent="0.2">
      <c r="A328" s="1">
        <v>43922</v>
      </c>
      <c r="B328" s="2">
        <v>107</v>
      </c>
      <c r="C328" s="2">
        <v>108.23108393609699</v>
      </c>
      <c r="E328" s="2">
        <f t="shared" si="555"/>
        <v>25.013032491227904</v>
      </c>
      <c r="F328" s="2">
        <f t="shared" si="556"/>
        <v>25.434833530622715</v>
      </c>
      <c r="H328" s="4" t="s">
        <v>3</v>
      </c>
      <c r="I328" s="5">
        <f t="shared" si="560"/>
        <v>-0.74584323040380052</v>
      </c>
      <c r="J328" s="5">
        <f>+AVERAGE(B$325:B328)/AVERAGE(B$313:B316)-1</f>
        <v>-0.31045969353764158</v>
      </c>
      <c r="K328" s="5">
        <f t="shared" si="561"/>
        <v>-0.61908050754985033</v>
      </c>
      <c r="L328" s="5">
        <f t="shared" si="562"/>
        <v>-0.61908050754985033</v>
      </c>
      <c r="M328" s="3"/>
    </row>
    <row r="329" spans="1:13" x14ac:dyDescent="0.2">
      <c r="A329" s="1">
        <v>43952</v>
      </c>
      <c r="B329" s="2">
        <v>194</v>
      </c>
      <c r="C329" s="2">
        <v>195.263929358865</v>
      </c>
      <c r="E329" s="2">
        <f t="shared" si="555"/>
        <v>45.35073180652536</v>
      </c>
      <c r="F329" s="2">
        <f t="shared" si="556"/>
        <v>45.887977438259639</v>
      </c>
      <c r="H329" s="4" t="s">
        <v>2</v>
      </c>
      <c r="I329" s="5">
        <f t="shared" si="560"/>
        <v>-0.5233415233415234</v>
      </c>
      <c r="J329" s="5">
        <f>+AVERAGE(B$325:B329)/AVERAGE(B$313:B317)-1</f>
        <v>-0.3558700209643606</v>
      </c>
      <c r="K329" s="5">
        <f t="shared" si="561"/>
        <v>0.80413909070849643</v>
      </c>
      <c r="L329" s="5">
        <f t="shared" si="562"/>
        <v>0.80413909070849643</v>
      </c>
      <c r="M329" s="3"/>
    </row>
    <row r="330" spans="1:13" x14ac:dyDescent="0.2">
      <c r="A330" s="1">
        <v>43983</v>
      </c>
      <c r="B330" s="2">
        <v>241</v>
      </c>
      <c r="C330" s="2">
        <v>248.82405416417899</v>
      </c>
      <c r="E330" s="2">
        <f t="shared" si="555"/>
        <v>56.337764769961915</v>
      </c>
      <c r="F330" s="2">
        <f t="shared" si="556"/>
        <v>58.474868456618822</v>
      </c>
      <c r="H330" s="4" t="s">
        <v>4</v>
      </c>
      <c r="I330" s="5">
        <f t="shared" si="560"/>
        <v>-0.41504854368932043</v>
      </c>
      <c r="J330" s="5">
        <f>+AVERAGE(B$325:B330)/AVERAGE(B$313:B318)-1</f>
        <v>-0.36637931034482762</v>
      </c>
      <c r="K330" s="5">
        <f t="shared" si="561"/>
        <v>0.27429605140680513</v>
      </c>
      <c r="L330" s="5">
        <f t="shared" si="562"/>
        <v>0.27429605140680513</v>
      </c>
      <c r="M330" s="3"/>
    </row>
    <row r="331" spans="1:13" x14ac:dyDescent="0.2">
      <c r="A331" s="1">
        <v>44013</v>
      </c>
      <c r="B331" s="2">
        <v>325</v>
      </c>
      <c r="C331" s="2">
        <v>306.29989832019999</v>
      </c>
      <c r="E331" s="2">
        <f t="shared" si="555"/>
        <v>75.974164108869815</v>
      </c>
      <c r="F331" s="2">
        <f t="shared" si="556"/>
        <v>71.981972654185128</v>
      </c>
      <c r="H331" s="4" t="s">
        <v>4</v>
      </c>
      <c r="I331" s="5">
        <f t="shared" si="560"/>
        <v>-0.22248803827751185</v>
      </c>
      <c r="J331" s="5">
        <f>+AVERAGE(B$325:B331)/AVERAGE(B$313:B319)-1</f>
        <v>-0.34441197954711467</v>
      </c>
      <c r="K331" s="5">
        <f t="shared" si="561"/>
        <v>0.23098990308267076</v>
      </c>
      <c r="L331" s="5">
        <f t="shared" si="562"/>
        <v>0.23098990308267076</v>
      </c>
      <c r="M331" s="3"/>
    </row>
    <row r="332" spans="1:13" x14ac:dyDescent="0.2">
      <c r="A332" s="1">
        <v>44044</v>
      </c>
      <c r="B332" s="2">
        <v>336</v>
      </c>
      <c r="C332" s="2">
        <v>312.61894020942401</v>
      </c>
      <c r="E332" s="2">
        <f t="shared" si="555"/>
        <v>78.545597355631557</v>
      </c>
      <c r="F332" s="2">
        <f t="shared" si="556"/>
        <v>73.466978372323752</v>
      </c>
      <c r="H332" s="4" t="s">
        <v>3</v>
      </c>
      <c r="I332" s="5">
        <f t="shared" si="560"/>
        <v>-0.22935779816513768</v>
      </c>
      <c r="J332" s="5">
        <f>+AVERAGE(B$325:B332)/AVERAGE(B$313:B320)-1</f>
        <v>-0.32860743541272841</v>
      </c>
      <c r="K332" s="5">
        <f t="shared" si="561"/>
        <v>2.0630244815224241E-2</v>
      </c>
      <c r="L332" s="5">
        <f t="shared" si="562"/>
        <v>2.0630244815224241E-2</v>
      </c>
      <c r="M332" s="3"/>
    </row>
    <row r="333" spans="1:13" x14ac:dyDescent="0.2">
      <c r="A333" s="1">
        <v>44075</v>
      </c>
      <c r="B333" s="2">
        <v>358</v>
      </c>
      <c r="C333" s="2">
        <v>335.71275851652803</v>
      </c>
      <c r="E333" s="2">
        <f t="shared" si="555"/>
        <v>83.688463849155042</v>
      </c>
      <c r="F333" s="2">
        <f t="shared" si="556"/>
        <v>78.894138508449245</v>
      </c>
      <c r="H333" s="4" t="s">
        <v>5</v>
      </c>
      <c r="I333" s="5">
        <f t="shared" si="560"/>
        <v>-0.11822660098522175</v>
      </c>
      <c r="J333" s="5">
        <f>+AVERAGE(B$325:B333)/AVERAGE(B$313:B321)-1</f>
        <v>-0.30474860335195531</v>
      </c>
      <c r="K333" s="5">
        <f t="shared" si="561"/>
        <v>7.3872102220145175E-2</v>
      </c>
      <c r="L333" s="5">
        <f t="shared" si="562"/>
        <v>7.3872102220145175E-2</v>
      </c>
      <c r="M333" s="3"/>
    </row>
    <row r="334" spans="1:13" x14ac:dyDescent="0.2">
      <c r="A334" s="1">
        <v>44105</v>
      </c>
      <c r="B334" s="2">
        <v>382</v>
      </c>
      <c r="C334" s="2">
        <v>346.77106523618198</v>
      </c>
      <c r="E334" s="2">
        <f t="shared" si="555"/>
        <v>89.298863660271593</v>
      </c>
      <c r="F334" s="2">
        <f t="shared" si="556"/>
        <v>81.492894617286098</v>
      </c>
      <c r="H334" s="4" t="s">
        <v>6</v>
      </c>
      <c r="I334" s="5">
        <f t="shared" si="560"/>
        <v>0</v>
      </c>
      <c r="J334" s="5">
        <f>+AVERAGE(B$325:B334)/AVERAGE(B$313:B322)-1</f>
        <v>-0.27536597677940422</v>
      </c>
      <c r="K334" s="5">
        <f t="shared" si="561"/>
        <v>3.2939786883642075E-2</v>
      </c>
      <c r="L334" s="5">
        <f t="shared" si="562"/>
        <v>3.2939786883642075E-2</v>
      </c>
      <c r="M334" s="3"/>
    </row>
    <row r="335" spans="1:13" x14ac:dyDescent="0.2">
      <c r="A335" s="1">
        <v>44136</v>
      </c>
      <c r="B335" s="2">
        <v>391</v>
      </c>
      <c r="C335" s="2">
        <v>364.55120761029298</v>
      </c>
      <c r="E335" s="2">
        <f t="shared" si="555"/>
        <v>91.402763589440298</v>
      </c>
      <c r="F335" s="2">
        <f t="shared" si="556"/>
        <v>85.671314947099091</v>
      </c>
      <c r="H335" s="4" t="s">
        <v>7</v>
      </c>
      <c r="I335" s="5">
        <f t="shared" ref="I335:I338" si="563">+E335/E323-1</f>
        <v>9.2178770949720823E-2</v>
      </c>
      <c r="J335" s="5">
        <f>+AVERAGE(B$325:B335)/AVERAGE(B$313:B323)-1</f>
        <v>-0.24490740740740746</v>
      </c>
      <c r="K335" s="5">
        <f t="shared" ref="K335:K338" si="564">+F335/F334-1</f>
        <v>5.1273431253559654E-2</v>
      </c>
      <c r="L335" s="5">
        <f t="shared" ref="L335:L338" si="565">+F335/F334-1</f>
        <v>5.1273431253559654E-2</v>
      </c>
      <c r="M335" s="3"/>
    </row>
    <row r="336" spans="1:13" x14ac:dyDescent="0.2">
      <c r="A336" s="1">
        <v>44166</v>
      </c>
      <c r="B336" s="2">
        <v>388</v>
      </c>
      <c r="C336" s="2">
        <v>405.25303818740502</v>
      </c>
      <c r="E336" s="2">
        <f t="shared" si="555"/>
        <v>90.70146361305072</v>
      </c>
      <c r="F336" s="2">
        <f t="shared" si="556"/>
        <v>95.236443997563867</v>
      </c>
      <c r="H336" s="4" t="s">
        <v>8</v>
      </c>
      <c r="I336" s="5">
        <f t="shared" si="563"/>
        <v>0.19018404907975461</v>
      </c>
      <c r="J336" s="5">
        <f>+AVERAGE(B$325:B336)/AVERAGE(B$313:B324)-1</f>
        <v>-0.21437795953508398</v>
      </c>
      <c r="K336" s="5">
        <f t="shared" si="564"/>
        <v>0.11164914483186261</v>
      </c>
      <c r="L336" s="5">
        <f t="shared" si="565"/>
        <v>0.11164914483186261</v>
      </c>
      <c r="M336" s="3"/>
    </row>
    <row r="337" spans="1:13" x14ac:dyDescent="0.2">
      <c r="A337" s="1">
        <v>44197</v>
      </c>
      <c r="B337" s="2">
        <v>371</v>
      </c>
      <c r="C337" s="2">
        <v>403.746586274349</v>
      </c>
      <c r="E337" s="2">
        <f t="shared" si="555"/>
        <v>86.727430413509836</v>
      </c>
      <c r="F337" s="2">
        <f t="shared" si="556"/>
        <v>94.882420437630827</v>
      </c>
      <c r="H337" s="4" t="s">
        <v>38</v>
      </c>
      <c r="I337" s="5">
        <f t="shared" si="563"/>
        <v>0.24496644295302006</v>
      </c>
      <c r="J337" s="5">
        <f>+AVERAGE(B$325:B337)/AVERAGE(B$313:B325)-1</f>
        <v>-0.1866909385113269</v>
      </c>
      <c r="K337" s="5">
        <f t="shared" si="564"/>
        <v>-3.7173118301445651E-3</v>
      </c>
      <c r="L337" s="5">
        <f t="shared" si="565"/>
        <v>-3.7173118301445651E-3</v>
      </c>
      <c r="M337" s="3"/>
    </row>
    <row r="338" spans="1:13" x14ac:dyDescent="0.2">
      <c r="A338" s="1">
        <v>44228</v>
      </c>
      <c r="B338" s="2">
        <v>331</v>
      </c>
      <c r="C338" s="2">
        <v>404.77029356970797</v>
      </c>
      <c r="E338" s="2">
        <f t="shared" si="555"/>
        <v>77.376764061648956</v>
      </c>
      <c r="F338" s="2">
        <f t="shared" si="556"/>
        <v>95.122996653765867</v>
      </c>
      <c r="H338" s="4" t="s">
        <v>1</v>
      </c>
      <c r="I338" s="5">
        <f t="shared" si="563"/>
        <v>-3.779069767441845E-2</v>
      </c>
      <c r="J338" s="5">
        <f>+AVERAGE(B$325:B338)/AVERAGE(B$313:B326)-1</f>
        <v>-0.17700453857791232</v>
      </c>
      <c r="K338" s="5">
        <f t="shared" si="564"/>
        <v>2.5355193830998157E-3</v>
      </c>
      <c r="L338" s="5">
        <f t="shared" si="565"/>
        <v>2.5355193830998157E-3</v>
      </c>
      <c r="M338" s="3"/>
    </row>
    <row r="339" spans="1:13" x14ac:dyDescent="0.2">
      <c r="A339" s="1">
        <v>44256</v>
      </c>
      <c r="B339" s="2">
        <v>423</v>
      </c>
      <c r="C339" s="2">
        <v>424.75144323958102</v>
      </c>
      <c r="E339" s="2">
        <f t="shared" ref="E339:E341" si="566">+B339/AVERAGE(B$133:B$144)*100</f>
        <v>98.883296670929013</v>
      </c>
      <c r="F339" s="2">
        <f t="shared" ref="F339:F341" si="567">+C339/AVERAGE(C$133:C$144)*100</f>
        <v>99.818664451972026</v>
      </c>
      <c r="H339" s="4" t="s">
        <v>2</v>
      </c>
      <c r="I339" s="5">
        <f t="shared" ref="I339:I340" si="568">+E339/E327-1</f>
        <v>0.47902097902097895</v>
      </c>
      <c r="J339" s="5">
        <f>+AVERAGE(B$325:B339)/AVERAGE(B$313:B327)-1</f>
        <v>-0.14334409759598143</v>
      </c>
      <c r="K339" s="5">
        <f t="shared" ref="K339:K340" si="569">+F339/F338-1</f>
        <v>4.9364170215302705E-2</v>
      </c>
      <c r="L339" s="5">
        <f t="shared" ref="L339:L340" si="570">+F339/F338-1</f>
        <v>4.9364170215302705E-2</v>
      </c>
      <c r="M339" s="3"/>
    </row>
    <row r="340" spans="1:13" x14ac:dyDescent="0.2">
      <c r="A340" s="1">
        <v>44287</v>
      </c>
      <c r="B340" s="2">
        <v>346</v>
      </c>
      <c r="C340" s="2">
        <v>349.649734838092</v>
      </c>
      <c r="E340" s="2">
        <f t="shared" si="566"/>
        <v>80.883263943596788</v>
      </c>
      <c r="F340" s="2">
        <f t="shared" si="567"/>
        <v>82.169396038610444</v>
      </c>
      <c r="H340" s="4" t="s">
        <v>3</v>
      </c>
      <c r="I340" s="5">
        <f t="shared" si="568"/>
        <v>2.2336448598130847</v>
      </c>
      <c r="J340" s="5">
        <f>+AVERAGE(B$325:B340)/AVERAGE(B$313:B328)-1</f>
        <v>-9.85741946840345E-2</v>
      </c>
      <c r="K340" s="5">
        <f t="shared" si="569"/>
        <v>-0.17681330951741558</v>
      </c>
      <c r="L340" s="5">
        <f t="shared" si="570"/>
        <v>-0.17681330951741558</v>
      </c>
      <c r="M340" s="3"/>
    </row>
    <row r="341" spans="1:13" x14ac:dyDescent="0.2">
      <c r="A341" s="1">
        <v>44317</v>
      </c>
      <c r="B341" s="2">
        <v>391</v>
      </c>
      <c r="C341" s="2">
        <v>391.174069234515</v>
      </c>
      <c r="E341" s="2">
        <f t="shared" si="566"/>
        <v>91.402763589440298</v>
      </c>
      <c r="F341" s="2">
        <f t="shared" si="567"/>
        <v>91.927817505280061</v>
      </c>
      <c r="H341" s="4" t="s">
        <v>2</v>
      </c>
      <c r="I341" s="5">
        <f t="shared" ref="I341:I374" si="571">+E341/E329-1</f>
        <v>1.0154639175257736</v>
      </c>
      <c r="J341" s="5">
        <f>+AVERAGE(B$325:B341)/AVERAGE(B$313:B329)-1</f>
        <v>-6.1787234042553041E-2</v>
      </c>
      <c r="K341" s="5">
        <f t="shared" ref="K341" si="572">+F341/F340-1</f>
        <v>0.11875980519662388</v>
      </c>
      <c r="L341" s="5">
        <f t="shared" ref="L341" si="573">+F341/F340-1</f>
        <v>0.11875980519662388</v>
      </c>
      <c r="M341" s="3"/>
    </row>
    <row r="342" spans="1:13" x14ac:dyDescent="0.2">
      <c r="A342" s="1">
        <v>44348</v>
      </c>
      <c r="B342" s="2">
        <v>400</v>
      </c>
      <c r="C342" s="2">
        <v>406.38085910098999</v>
      </c>
      <c r="E342" s="2">
        <f t="shared" ref="E342:E375" si="574">+B342/AVERAGE(B$133:B$144)*100</f>
        <v>93.506663518609002</v>
      </c>
      <c r="F342" s="2">
        <f t="shared" ref="F342:F375" si="575">+C342/AVERAGE(C$133:C$144)*100</f>
        <v>95.501487422670152</v>
      </c>
      <c r="H342" s="4" t="s">
        <v>4</v>
      </c>
      <c r="I342" s="5">
        <f t="shared" si="571"/>
        <v>0.65975103734439866</v>
      </c>
      <c r="J342" s="5">
        <f>+AVERAGE(B$325:B342)/AVERAGE(B$313:B330)-1</f>
        <v>-3.3355134074558479E-2</v>
      </c>
      <c r="K342" s="5">
        <f t="shared" ref="K342:K374" si="576">+F342/F341-1</f>
        <v>3.8874739054746144E-2</v>
      </c>
      <c r="L342" s="5">
        <f t="shared" ref="L342:L374" si="577">+F342/F341-1</f>
        <v>3.8874739054746144E-2</v>
      </c>
      <c r="M342" s="3"/>
    </row>
    <row r="343" spans="1:13" x14ac:dyDescent="0.2">
      <c r="A343" s="1">
        <v>44378</v>
      </c>
      <c r="B343" s="2">
        <v>430</v>
      </c>
      <c r="C343" s="2">
        <v>411.71172138656402</v>
      </c>
      <c r="E343" s="2">
        <f t="shared" si="574"/>
        <v>100.51966328250468</v>
      </c>
      <c r="F343" s="2">
        <f t="shared" si="575"/>
        <v>96.75426610580989</v>
      </c>
      <c r="H343" s="4" t="s">
        <v>4</v>
      </c>
      <c r="I343" s="5">
        <f t="shared" si="571"/>
        <v>0.32307692307692304</v>
      </c>
      <c r="J343" s="5">
        <f>+AVERAGE(B$325:B343)/AVERAGE(B$313:B331)-1</f>
        <v>-1.5370284117373068E-2</v>
      </c>
      <c r="K343" s="5">
        <f t="shared" si="576"/>
        <v>1.311789708148936E-2</v>
      </c>
      <c r="L343" s="5">
        <f t="shared" si="577"/>
        <v>1.311789708148936E-2</v>
      </c>
      <c r="M343" s="3"/>
    </row>
    <row r="344" spans="1:13" x14ac:dyDescent="0.2">
      <c r="A344" s="1">
        <v>44409</v>
      </c>
      <c r="B344" s="2">
        <v>423</v>
      </c>
      <c r="C344" s="2">
        <v>402.85671323885799</v>
      </c>
      <c r="E344" s="2">
        <f t="shared" si="574"/>
        <v>98.883296670929013</v>
      </c>
      <c r="F344" s="2">
        <f t="shared" si="575"/>
        <v>94.673295926464831</v>
      </c>
      <c r="H344" s="4" t="s">
        <v>3</v>
      </c>
      <c r="I344" s="5">
        <f t="shared" si="571"/>
        <v>0.2589285714285714</v>
      </c>
      <c r="J344" s="5">
        <f>+AVERAGE(B$325:B344)/AVERAGE(B$313:B332)-1</f>
        <v>-1.7706949977867037E-3</v>
      </c>
      <c r="K344" s="5">
        <f t="shared" si="576"/>
        <v>-2.1507787336935813E-2</v>
      </c>
      <c r="L344" s="5">
        <f t="shared" si="577"/>
        <v>-2.1507787336935813E-2</v>
      </c>
      <c r="M344" s="3"/>
    </row>
    <row r="345" spans="1:13" x14ac:dyDescent="0.2">
      <c r="A345" s="1">
        <v>44440</v>
      </c>
      <c r="B345" s="2">
        <v>432</v>
      </c>
      <c r="C345" s="2">
        <v>406.86025085522402</v>
      </c>
      <c r="E345" s="2">
        <f t="shared" si="574"/>
        <v>100.98719660009772</v>
      </c>
      <c r="F345" s="2">
        <f t="shared" si="575"/>
        <v>95.614146827172604</v>
      </c>
      <c r="H345" s="4" t="s">
        <v>5</v>
      </c>
      <c r="I345" s="5">
        <f t="shared" si="571"/>
        <v>0.2067039106145252</v>
      </c>
      <c r="J345" s="5">
        <f>+AVERAGE(B$325:B345)/AVERAGE(B$313:B333)-1</f>
        <v>8.6895585143658138E-3</v>
      </c>
      <c r="K345" s="5">
        <f t="shared" si="576"/>
        <v>9.9378699294314643E-3</v>
      </c>
      <c r="L345" s="5">
        <f t="shared" si="577"/>
        <v>9.9378699294314643E-3</v>
      </c>
      <c r="M345" s="3"/>
    </row>
    <row r="346" spans="1:13" x14ac:dyDescent="0.2">
      <c r="A346" s="1">
        <v>44470</v>
      </c>
      <c r="B346" s="2">
        <v>448</v>
      </c>
      <c r="C346" s="2">
        <v>407.890325678073</v>
      </c>
      <c r="E346" s="2">
        <f t="shared" si="574"/>
        <v>104.72746314084208</v>
      </c>
      <c r="F346" s="2">
        <f t="shared" si="575"/>
        <v>95.856219443378848</v>
      </c>
      <c r="H346" s="4" t="s">
        <v>6</v>
      </c>
      <c r="I346" s="5">
        <f t="shared" si="571"/>
        <v>0.17277486910994755</v>
      </c>
      <c r="J346" s="5">
        <f>+AVERAGE(B$325:B346)/AVERAGE(B$313:B334)-1</f>
        <v>1.7028069708660443E-2</v>
      </c>
      <c r="K346" s="5">
        <f t="shared" si="576"/>
        <v>2.5317656878098838E-3</v>
      </c>
      <c r="L346" s="5">
        <f t="shared" si="577"/>
        <v>2.5317656878098838E-3</v>
      </c>
      <c r="M346" s="3"/>
    </row>
    <row r="347" spans="1:13" x14ac:dyDescent="0.2">
      <c r="A347" s="1">
        <v>44501</v>
      </c>
      <c r="B347" s="2">
        <v>451</v>
      </c>
      <c r="C347" s="2">
        <v>426.26764778781501</v>
      </c>
      <c r="E347" s="2">
        <f t="shared" si="574"/>
        <v>105.42876311723164</v>
      </c>
      <c r="F347" s="2">
        <f t="shared" si="575"/>
        <v>100.17497992882222</v>
      </c>
      <c r="H347" s="4" t="s">
        <v>7</v>
      </c>
      <c r="I347" s="5">
        <f t="shared" si="571"/>
        <v>0.15345268542199486</v>
      </c>
      <c r="J347" s="5">
        <f>+AVERAGE(B$325:B347)/AVERAGE(B$313:B335)-1</f>
        <v>2.3773394031360695E-2</v>
      </c>
      <c r="K347" s="5">
        <f t="shared" si="576"/>
        <v>4.505456725209589E-2</v>
      </c>
      <c r="L347" s="5">
        <f t="shared" si="577"/>
        <v>4.505456725209589E-2</v>
      </c>
      <c r="M347" s="3"/>
    </row>
    <row r="348" spans="1:13" x14ac:dyDescent="0.2">
      <c r="A348" s="1">
        <v>44531</v>
      </c>
      <c r="B348" s="2">
        <v>429</v>
      </c>
      <c r="C348" s="2">
        <v>444.59285786904098</v>
      </c>
      <c r="E348" s="2">
        <f t="shared" si="574"/>
        <v>100.28589662370815</v>
      </c>
      <c r="F348" s="2">
        <f t="shared" si="575"/>
        <v>104.48149383295046</v>
      </c>
      <c r="H348" s="4" t="s">
        <v>8</v>
      </c>
      <c r="I348" s="5">
        <f t="shared" si="571"/>
        <v>0.10567010309278357</v>
      </c>
      <c r="J348" s="5">
        <f>+AVERAGE(B$325:B348)/AVERAGE(B$313:B336)-1</f>
        <v>2.7603664416586238E-2</v>
      </c>
      <c r="K348" s="5">
        <f t="shared" si="576"/>
        <v>4.2989915318058181E-2</v>
      </c>
      <c r="L348" s="5">
        <f t="shared" si="577"/>
        <v>4.2989915318058181E-2</v>
      </c>
      <c r="M348" s="3"/>
    </row>
    <row r="349" spans="1:13" x14ac:dyDescent="0.2">
      <c r="A349" s="1">
        <v>44562</v>
      </c>
      <c r="B349" s="2">
        <v>354</v>
      </c>
      <c r="C349" s="2">
        <v>387.420592407274</v>
      </c>
      <c r="E349" s="2">
        <f t="shared" si="574"/>
        <v>82.753397213968967</v>
      </c>
      <c r="F349" s="2">
        <f t="shared" si="575"/>
        <v>91.04573211178726</v>
      </c>
      <c r="H349" s="4" t="s">
        <v>39</v>
      </c>
      <c r="I349" s="5">
        <f t="shared" si="571"/>
        <v>-4.5822102425875921E-2</v>
      </c>
      <c r="J349" s="5">
        <f>+AVERAGE(B$325:B349)/AVERAGE(B$313:B337)-1</f>
        <v>2.4460597669320405E-2</v>
      </c>
      <c r="K349" s="5">
        <f t="shared" si="576"/>
        <v>-0.1285946556492088</v>
      </c>
      <c r="L349" s="5">
        <f t="shared" si="577"/>
        <v>-0.1285946556492088</v>
      </c>
      <c r="M349" s="3"/>
    </row>
    <row r="350" spans="1:13" x14ac:dyDescent="0.2">
      <c r="A350" s="1">
        <v>44593</v>
      </c>
      <c r="B350" s="2">
        <v>319</v>
      </c>
      <c r="C350" s="2">
        <v>394.70402220734201</v>
      </c>
      <c r="E350" s="2">
        <f t="shared" si="574"/>
        <v>74.571564156090673</v>
      </c>
      <c r="F350" s="2">
        <f t="shared" si="575"/>
        <v>92.757373700871639</v>
      </c>
      <c r="H350" s="4" t="s">
        <v>1</v>
      </c>
      <c r="I350" s="5">
        <f t="shared" si="571"/>
        <v>-3.6253776435045459E-2</v>
      </c>
      <c r="J350" s="5">
        <f>+AVERAGE(B$325:B350)/AVERAGE(B$313:B338)-1</f>
        <v>2.222716159146465E-2</v>
      </c>
      <c r="K350" s="5">
        <f t="shared" si="576"/>
        <v>1.8799800379251108E-2</v>
      </c>
      <c r="L350" s="5">
        <f t="shared" si="577"/>
        <v>1.8799800379251108E-2</v>
      </c>
      <c r="M350" s="3"/>
    </row>
    <row r="351" spans="1:13" x14ac:dyDescent="0.2">
      <c r="A351" s="1">
        <v>44621</v>
      </c>
      <c r="B351" s="2">
        <v>417</v>
      </c>
      <c r="C351" s="2">
        <v>419.52356169070299</v>
      </c>
      <c r="E351" s="2">
        <f t="shared" si="574"/>
        <v>97.480696718149886</v>
      </c>
      <c r="F351" s="2">
        <f t="shared" si="575"/>
        <v>98.590086745108835</v>
      </c>
      <c r="H351" s="4" t="s">
        <v>2</v>
      </c>
      <c r="I351" s="5">
        <f t="shared" si="571"/>
        <v>-1.4184397163120477E-2</v>
      </c>
      <c r="J351" s="5">
        <f>+AVERAGE(B$325:B351)/AVERAGE(B$313:B339)-1</f>
        <v>2.0592293811697138E-2</v>
      </c>
      <c r="K351" s="5">
        <f t="shared" si="576"/>
        <v>6.2881394885616393E-2</v>
      </c>
      <c r="L351" s="5">
        <f t="shared" si="577"/>
        <v>6.2881394885616393E-2</v>
      </c>
      <c r="M351" s="3"/>
    </row>
    <row r="352" spans="1:13" x14ac:dyDescent="0.2">
      <c r="A352" s="1">
        <v>44652</v>
      </c>
      <c r="B352" s="2">
        <v>355</v>
      </c>
      <c r="C352" s="2">
        <v>360.72967915720199</v>
      </c>
      <c r="E352" s="2">
        <f t="shared" si="574"/>
        <v>82.987163872765493</v>
      </c>
      <c r="F352" s="2">
        <f t="shared" si="575"/>
        <v>84.773237089038474</v>
      </c>
      <c r="H352" s="4" t="s">
        <v>3</v>
      </c>
      <c r="I352" s="5">
        <f t="shared" si="571"/>
        <v>2.6011560693641744E-2</v>
      </c>
      <c r="J352" s="5">
        <f>+AVERAGE(B$325:B352)/AVERAGE(B$313:B340)-1</f>
        <v>2.0784273574280698E-2</v>
      </c>
      <c r="K352" s="5">
        <f t="shared" si="576"/>
        <v>-0.14014441119006149</v>
      </c>
      <c r="L352" s="5">
        <f t="shared" si="577"/>
        <v>-0.14014441119006149</v>
      </c>
      <c r="M352" s="3"/>
    </row>
    <row r="353" spans="1:13" x14ac:dyDescent="0.2">
      <c r="A353" s="1">
        <v>44682</v>
      </c>
      <c r="B353" s="2">
        <v>447</v>
      </c>
      <c r="C353" s="2">
        <v>445.18749656943203</v>
      </c>
      <c r="E353" s="2">
        <f t="shared" si="574"/>
        <v>104.49369648204556</v>
      </c>
      <c r="F353" s="2">
        <f t="shared" si="575"/>
        <v>104.62123683288422</v>
      </c>
      <c r="H353" s="4" t="s">
        <v>2</v>
      </c>
      <c r="I353" s="5">
        <f t="shared" si="571"/>
        <v>0.14322250639386191</v>
      </c>
      <c r="J353" s="5">
        <f>+AVERAGE(B$325:B353)/AVERAGE(B$313:B341)-1</f>
        <v>2.5497145107304497E-2</v>
      </c>
      <c r="K353" s="5">
        <f t="shared" si="576"/>
        <v>0.23413049242179018</v>
      </c>
      <c r="L353" s="5">
        <f t="shared" si="577"/>
        <v>0.23413049242179018</v>
      </c>
      <c r="M353" s="3"/>
    </row>
    <row r="354" spans="1:13" x14ac:dyDescent="0.2">
      <c r="A354" s="1">
        <v>44713</v>
      </c>
      <c r="B354" s="2">
        <v>464</v>
      </c>
      <c r="C354" s="2">
        <v>470.18303328424003</v>
      </c>
      <c r="E354" s="2">
        <f t="shared" si="574"/>
        <v>108.46772968158645</v>
      </c>
      <c r="F354" s="2">
        <f t="shared" si="575"/>
        <v>110.49531008641533</v>
      </c>
      <c r="H354" s="4" t="s">
        <v>4</v>
      </c>
      <c r="I354" s="5">
        <f t="shared" si="571"/>
        <v>0.16000000000000014</v>
      </c>
      <c r="J354" s="5">
        <f>+AVERAGE(B$325:B354)/AVERAGE(B$313:B342)-1</f>
        <v>3.0592915324872072E-2</v>
      </c>
      <c r="K354" s="5">
        <f t="shared" si="576"/>
        <v>5.614608879948535E-2</v>
      </c>
      <c r="L354" s="5">
        <f t="shared" si="577"/>
        <v>5.614608879948535E-2</v>
      </c>
      <c r="M354" s="3"/>
    </row>
    <row r="355" spans="1:13" x14ac:dyDescent="0.2">
      <c r="A355" s="1">
        <v>44743</v>
      </c>
      <c r="B355" s="2">
        <v>463</v>
      </c>
      <c r="C355" s="2">
        <v>447.179467449279</v>
      </c>
      <c r="E355" s="2">
        <f t="shared" si="574"/>
        <v>108.23396302278991</v>
      </c>
      <c r="F355" s="2">
        <f t="shared" si="575"/>
        <v>105.0893597222075</v>
      </c>
      <c r="H355" s="4" t="s">
        <v>4</v>
      </c>
      <c r="I355" s="5">
        <f t="shared" si="571"/>
        <v>7.6744186046511453E-2</v>
      </c>
      <c r="J355" s="5">
        <f>+AVERAGE(B$325:B355)/AVERAGE(B$313:B343)-1</f>
        <v>3.2398980706225045E-2</v>
      </c>
      <c r="K355" s="5">
        <f t="shared" si="576"/>
        <v>-4.8924704224821647E-2</v>
      </c>
      <c r="L355" s="5">
        <f t="shared" si="577"/>
        <v>-4.8924704224821647E-2</v>
      </c>
      <c r="M355" s="3"/>
    </row>
    <row r="356" spans="1:13" x14ac:dyDescent="0.2">
      <c r="A356" s="1">
        <v>44774</v>
      </c>
      <c r="B356" s="2">
        <v>456</v>
      </c>
      <c r="C356" s="2">
        <v>436.905098598069</v>
      </c>
      <c r="E356" s="2">
        <f t="shared" si="574"/>
        <v>106.59759641121427</v>
      </c>
      <c r="F356" s="2">
        <f t="shared" si="575"/>
        <v>102.67483284269257</v>
      </c>
      <c r="H356" s="4" t="s">
        <v>3</v>
      </c>
      <c r="I356" s="5">
        <f t="shared" si="571"/>
        <v>7.8014184397163344E-2</v>
      </c>
      <c r="J356" s="5">
        <f>+AVERAGE(B$325:B356)/AVERAGE(B$313:B344)-1</f>
        <v>3.4089913241609038E-2</v>
      </c>
      <c r="K356" s="5">
        <f t="shared" si="576"/>
        <v>-2.2975940531919536E-2</v>
      </c>
      <c r="L356" s="5">
        <f t="shared" si="577"/>
        <v>-2.2975940531919536E-2</v>
      </c>
      <c r="M356" s="3"/>
    </row>
    <row r="357" spans="1:13" x14ac:dyDescent="0.2">
      <c r="A357" s="1">
        <v>44805</v>
      </c>
      <c r="B357" s="2">
        <v>429</v>
      </c>
      <c r="C357" s="2">
        <v>400.44111875904002</v>
      </c>
      <c r="E357" s="2">
        <f t="shared" si="574"/>
        <v>100.28589662370815</v>
      </c>
      <c r="F357" s="2">
        <f t="shared" si="575"/>
        <v>94.105619421368218</v>
      </c>
      <c r="H357" s="4" t="s">
        <v>5</v>
      </c>
      <c r="I357" s="5">
        <f t="shared" si="571"/>
        <v>-6.9444444444444198E-3</v>
      </c>
      <c r="J357" s="5">
        <f>+AVERAGE(B$325:B357)/AVERAGE(B$313:B345)-1</f>
        <v>3.259309296630919E-2</v>
      </c>
      <c r="K357" s="5">
        <f t="shared" si="576"/>
        <v>-8.3459726050425509E-2</v>
      </c>
      <c r="L357" s="5">
        <f t="shared" si="577"/>
        <v>-8.3459726050425509E-2</v>
      </c>
      <c r="M357" s="3"/>
    </row>
    <row r="358" spans="1:13" x14ac:dyDescent="0.2">
      <c r="A358" s="1">
        <v>44835</v>
      </c>
      <c r="B358" s="2">
        <v>493</v>
      </c>
      <c r="C358" s="2">
        <v>448.68379560719001</v>
      </c>
      <c r="E358" s="2">
        <f t="shared" si="574"/>
        <v>115.24696278668559</v>
      </c>
      <c r="F358" s="2">
        <f t="shared" si="575"/>
        <v>105.442884189305</v>
      </c>
      <c r="H358" s="4" t="s">
        <v>6</v>
      </c>
      <c r="I358" s="5">
        <f t="shared" si="571"/>
        <v>0.1004464285714286</v>
      </c>
      <c r="J358" s="5">
        <f>+AVERAGE(B$325:B358)/AVERAGE(B$313:B346)-1</f>
        <v>3.5066308681148906E-2</v>
      </c>
      <c r="K358" s="5">
        <f t="shared" si="576"/>
        <v>0.12047383395005284</v>
      </c>
      <c r="L358" s="5">
        <f t="shared" si="577"/>
        <v>0.12047383395005284</v>
      </c>
      <c r="M358" s="3"/>
    </row>
    <row r="359" spans="1:13" x14ac:dyDescent="0.2">
      <c r="A359" s="1">
        <v>44866</v>
      </c>
      <c r="B359" s="2">
        <v>459</v>
      </c>
      <c r="C359" s="2">
        <v>433.849897549557</v>
      </c>
      <c r="E359" s="2">
        <f t="shared" si="574"/>
        <v>107.29889638760382</v>
      </c>
      <c r="F359" s="2">
        <f t="shared" si="575"/>
        <v>101.95684566890276</v>
      </c>
      <c r="H359" s="4" t="s">
        <v>7</v>
      </c>
      <c r="I359" s="5">
        <f t="shared" si="571"/>
        <v>1.7738359201773912E-2</v>
      </c>
      <c r="J359" s="5">
        <f>+AVERAGE(B$325:B359)/AVERAGE(B$313:B347)-1</f>
        <v>3.4452990111442539E-2</v>
      </c>
      <c r="K359" s="5">
        <f t="shared" si="576"/>
        <v>-3.3060917739538009E-2</v>
      </c>
      <c r="L359" s="5">
        <f t="shared" si="577"/>
        <v>-3.3060917739538009E-2</v>
      </c>
      <c r="M359" s="3"/>
    </row>
    <row r="360" spans="1:13" x14ac:dyDescent="0.2">
      <c r="A360" s="1">
        <v>44896</v>
      </c>
      <c r="B360" s="2">
        <v>440</v>
      </c>
      <c r="C360" s="2">
        <v>459.709460983513</v>
      </c>
      <c r="E360" s="2">
        <f t="shared" si="574"/>
        <v>102.8573298704699</v>
      </c>
      <c r="F360" s="2">
        <f t="shared" si="575"/>
        <v>108.03396942297692</v>
      </c>
      <c r="H360" s="4" t="s">
        <v>8</v>
      </c>
      <c r="I360" s="5">
        <f t="shared" si="571"/>
        <v>2.564102564102555E-2</v>
      </c>
      <c r="J360" s="5">
        <f>+AVERAGE(B$325:B360)/AVERAGE(B$313:B348)-1</f>
        <v>3.4165970693189607E-2</v>
      </c>
      <c r="K360" s="5">
        <f t="shared" si="576"/>
        <v>5.960486237294127E-2</v>
      </c>
      <c r="L360" s="5">
        <f t="shared" si="577"/>
        <v>5.960486237294127E-2</v>
      </c>
      <c r="M360" s="3"/>
    </row>
    <row r="361" spans="1:13" x14ac:dyDescent="0.2">
      <c r="A361" s="1">
        <v>44927</v>
      </c>
      <c r="B361" s="2">
        <v>442</v>
      </c>
      <c r="C361" s="2">
        <v>477.77505506480702</v>
      </c>
      <c r="E361" s="2">
        <f t="shared" si="574"/>
        <v>103.32486318806293</v>
      </c>
      <c r="F361" s="2">
        <f t="shared" si="575"/>
        <v>112.2794722986648</v>
      </c>
      <c r="H361" s="4" t="s">
        <v>40</v>
      </c>
      <c r="I361" s="5">
        <f t="shared" si="571"/>
        <v>0.24858757062146886</v>
      </c>
      <c r="J361" s="5">
        <f>+AVERAGE(B$325:B361)/AVERAGE(B$313:B349)-1</f>
        <v>3.9778188539741244E-2</v>
      </c>
      <c r="K361" s="5">
        <f t="shared" si="576"/>
        <v>3.9297851392146699E-2</v>
      </c>
      <c r="L361" s="5">
        <f t="shared" si="577"/>
        <v>3.9297851392146699E-2</v>
      </c>
      <c r="M361" s="3"/>
    </row>
    <row r="362" spans="1:13" x14ac:dyDescent="0.2">
      <c r="A362" s="1">
        <v>44958</v>
      </c>
      <c r="B362" s="2">
        <v>358</v>
      </c>
      <c r="C362" s="2">
        <v>433.43952967805097</v>
      </c>
      <c r="E362" s="2">
        <f t="shared" si="574"/>
        <v>83.688463849155042</v>
      </c>
      <c r="F362" s="2">
        <f t="shared" si="575"/>
        <v>101.86040721408477</v>
      </c>
      <c r="H362" s="4" t="s">
        <v>1</v>
      </c>
      <c r="I362" s="5">
        <f t="shared" si="571"/>
        <v>0.12225705329153591</v>
      </c>
      <c r="J362" s="5">
        <f>+AVERAGE(B$325:B362)/AVERAGE(B$313:B350)-1</f>
        <v>4.1678705576422947E-2</v>
      </c>
      <c r="K362" s="5">
        <f t="shared" si="576"/>
        <v>-9.2795814508863983E-2</v>
      </c>
      <c r="L362" s="5">
        <f t="shared" si="577"/>
        <v>-9.2795814508863983E-2</v>
      </c>
      <c r="M362" s="3"/>
    </row>
    <row r="363" spans="1:13" x14ac:dyDescent="0.2">
      <c r="A363" s="1">
        <v>44986</v>
      </c>
      <c r="B363" s="2">
        <v>413</v>
      </c>
      <c r="C363" s="2">
        <v>413.73845297301199</v>
      </c>
      <c r="E363" s="2">
        <f t="shared" si="574"/>
        <v>96.545630082963783</v>
      </c>
      <c r="F363" s="2">
        <f t="shared" si="575"/>
        <v>97.230557931021551</v>
      </c>
      <c r="H363" s="4" t="s">
        <v>2</v>
      </c>
      <c r="I363" s="5">
        <f t="shared" si="571"/>
        <v>-9.5923261390888914E-3</v>
      </c>
      <c r="J363" s="5">
        <f>+AVERAGE(B$325:B363)/AVERAGE(B$313:B351)-1</f>
        <v>4.0179510553257192E-2</v>
      </c>
      <c r="K363" s="5">
        <f t="shared" si="576"/>
        <v>-4.5452884095902424E-2</v>
      </c>
      <c r="L363" s="5">
        <f t="shared" si="577"/>
        <v>-4.5452884095902424E-2</v>
      </c>
      <c r="M363" s="3"/>
    </row>
    <row r="364" spans="1:13" x14ac:dyDescent="0.2">
      <c r="A364" s="1">
        <v>45017</v>
      </c>
      <c r="B364" s="2">
        <v>430</v>
      </c>
      <c r="C364" s="2">
        <v>436.60810566349699</v>
      </c>
      <c r="E364" s="2">
        <f t="shared" si="574"/>
        <v>100.51966328250468</v>
      </c>
      <c r="F364" s="2">
        <f t="shared" si="575"/>
        <v>102.60503805199205</v>
      </c>
      <c r="H364" s="4" t="s">
        <v>3</v>
      </c>
      <c r="I364" s="5">
        <f t="shared" si="571"/>
        <v>0.21126760563380276</v>
      </c>
      <c r="J364" s="5">
        <f>+AVERAGE(B$325:B364)/AVERAGE(B$313:B352)-1</f>
        <v>4.4334975369458185E-2</v>
      </c>
      <c r="K364" s="5">
        <f t="shared" si="576"/>
        <v>5.5275627697038754E-2</v>
      </c>
      <c r="L364" s="5">
        <f t="shared" si="577"/>
        <v>5.5275627697038754E-2</v>
      </c>
      <c r="M364" s="3"/>
    </row>
    <row r="365" spans="1:13" x14ac:dyDescent="0.2">
      <c r="A365" s="1">
        <v>45047</v>
      </c>
      <c r="B365" s="2">
        <v>442</v>
      </c>
      <c r="C365" s="2">
        <v>437.60686061520101</v>
      </c>
      <c r="E365" s="2">
        <f t="shared" si="574"/>
        <v>103.32486318806293</v>
      </c>
      <c r="F365" s="2">
        <f t="shared" si="575"/>
        <v>102.83975034545365</v>
      </c>
      <c r="H365" s="4" t="s">
        <v>2</v>
      </c>
      <c r="I365" s="5">
        <f t="shared" si="571"/>
        <v>-1.1185682326622093E-2</v>
      </c>
      <c r="J365" s="5">
        <f>+AVERAGE(B$325:B365)/AVERAGE(B$313:B353)-1</f>
        <v>4.2687379672044168E-2</v>
      </c>
      <c r="K365" s="5">
        <f t="shared" si="576"/>
        <v>2.2875318592314731E-3</v>
      </c>
      <c r="L365" s="5">
        <f t="shared" si="577"/>
        <v>2.2875318592314731E-3</v>
      </c>
      <c r="M365" s="3"/>
    </row>
    <row r="366" spans="1:13" x14ac:dyDescent="0.2">
      <c r="A366" s="1">
        <v>45078</v>
      </c>
      <c r="B366" s="2">
        <v>423</v>
      </c>
      <c r="C366" s="2">
        <v>430.705225910894</v>
      </c>
      <c r="E366" s="2">
        <f t="shared" si="574"/>
        <v>98.883296670929013</v>
      </c>
      <c r="F366" s="2">
        <f t="shared" si="575"/>
        <v>101.21783246928359</v>
      </c>
      <c r="H366" s="4" t="s">
        <v>4</v>
      </c>
      <c r="I366" s="5">
        <f t="shared" si="571"/>
        <v>-8.8362068965517349E-2</v>
      </c>
      <c r="J366" s="5">
        <f>+AVERAGE(B$325:B366)/AVERAGE(B$313:B354)-1</f>
        <v>3.8771172795775133E-2</v>
      </c>
      <c r="K366" s="5">
        <f t="shared" si="576"/>
        <v>-1.5771312850544672E-2</v>
      </c>
      <c r="L366" s="5">
        <f t="shared" si="577"/>
        <v>-1.5771312850544672E-2</v>
      </c>
      <c r="M366" s="3"/>
    </row>
    <row r="367" spans="1:13" x14ac:dyDescent="0.2">
      <c r="A367" s="1">
        <v>45108</v>
      </c>
      <c r="B367" s="2">
        <v>346</v>
      </c>
      <c r="C367" s="2">
        <v>332.91544787611201</v>
      </c>
      <c r="E367" s="2">
        <f t="shared" si="574"/>
        <v>80.883263943596788</v>
      </c>
      <c r="F367" s="2">
        <f t="shared" si="575"/>
        <v>78.236756840587276</v>
      </c>
      <c r="H367" s="4" t="s">
        <v>4</v>
      </c>
      <c r="I367" s="5">
        <f t="shared" si="571"/>
        <v>-0.25269978401727855</v>
      </c>
      <c r="J367" s="5">
        <f>+AVERAGE(B$325:B367)/AVERAGE(B$313:B355)-1</f>
        <v>3.0331457160725606E-2</v>
      </c>
      <c r="K367" s="5">
        <f t="shared" si="576"/>
        <v>-0.22704571979122701</v>
      </c>
      <c r="L367" s="5">
        <f t="shared" si="577"/>
        <v>-0.22704571979122701</v>
      </c>
      <c r="M367" s="3"/>
    </row>
    <row r="368" spans="1:13" x14ac:dyDescent="0.2">
      <c r="A368" s="1">
        <v>45139</v>
      </c>
      <c r="B368" s="2">
        <v>422</v>
      </c>
      <c r="C368" s="2">
        <v>401.19093597240402</v>
      </c>
      <c r="E368" s="2">
        <f t="shared" si="574"/>
        <v>98.649530012132487</v>
      </c>
      <c r="F368" s="2">
        <f t="shared" si="575"/>
        <v>94.28183013003644</v>
      </c>
      <c r="H368" s="4" t="s">
        <v>3</v>
      </c>
      <c r="I368" s="5">
        <f t="shared" si="571"/>
        <v>-7.4561403508772051E-2</v>
      </c>
      <c r="J368" s="5">
        <f>+AVERAGE(B$325:B368)/AVERAGE(B$313:B356)-1</f>
        <v>2.7423081600389088E-2</v>
      </c>
      <c r="K368" s="5">
        <f t="shared" si="576"/>
        <v>0.20508356861138943</v>
      </c>
      <c r="L368" s="5">
        <f t="shared" si="577"/>
        <v>0.20508356861138943</v>
      </c>
      <c r="M368" s="3"/>
    </row>
    <row r="369" spans="1:13" x14ac:dyDescent="0.2">
      <c r="A369" s="1">
        <v>45170</v>
      </c>
      <c r="B369" s="2">
        <v>447</v>
      </c>
      <c r="C369" s="2">
        <v>416.15844932654397</v>
      </c>
      <c r="E369" s="2">
        <f t="shared" si="574"/>
        <v>104.49369648204556</v>
      </c>
      <c r="F369" s="2">
        <f t="shared" si="575"/>
        <v>97.799268897948039</v>
      </c>
      <c r="H369" s="4" t="s">
        <v>5</v>
      </c>
      <c r="I369" s="5">
        <f t="shared" si="571"/>
        <v>4.1958041958042092E-2</v>
      </c>
      <c r="J369" s="5">
        <f>+AVERAGE(B$325:B369)/AVERAGE(B$313:B357)-1</f>
        <v>2.7792592592592591E-2</v>
      </c>
      <c r="K369" s="5">
        <f t="shared" si="576"/>
        <v>3.7307705663543356E-2</v>
      </c>
      <c r="L369" s="5">
        <f t="shared" si="577"/>
        <v>3.7307705663543356E-2</v>
      </c>
      <c r="M369" s="3"/>
    </row>
    <row r="370" spans="1:13" x14ac:dyDescent="0.2">
      <c r="A370" s="1">
        <v>45200</v>
      </c>
      <c r="B370" s="2">
        <v>459</v>
      </c>
      <c r="C370" s="2">
        <v>413.01785494175198</v>
      </c>
      <c r="E370" s="2">
        <f t="shared" si="574"/>
        <v>107.29889638760382</v>
      </c>
      <c r="F370" s="2">
        <f t="shared" si="575"/>
        <v>97.061213872909605</v>
      </c>
      <c r="H370" s="4" t="s">
        <v>6</v>
      </c>
      <c r="I370" s="5">
        <f t="shared" si="571"/>
        <v>-6.8965517241379337E-2</v>
      </c>
      <c r="J370" s="5">
        <f>+AVERAGE(B$325:B370)/AVERAGE(B$313:B358)-1</f>
        <v>2.5046061722708401E-2</v>
      </c>
      <c r="K370" s="5">
        <f t="shared" si="576"/>
        <v>-7.5466313128432772E-3</v>
      </c>
      <c r="L370" s="5">
        <f t="shared" si="577"/>
        <v>-7.5466313128432772E-3</v>
      </c>
      <c r="M370" s="3"/>
    </row>
    <row r="371" spans="1:13" x14ac:dyDescent="0.2">
      <c r="A371" s="1">
        <v>45231</v>
      </c>
      <c r="B371" s="2">
        <v>413</v>
      </c>
      <c r="C371" s="2">
        <v>387.81894848832798</v>
      </c>
      <c r="E371" s="2">
        <f t="shared" si="574"/>
        <v>96.545630082963783</v>
      </c>
      <c r="F371" s="2">
        <f t="shared" si="575"/>
        <v>91.139347737160662</v>
      </c>
      <c r="H371" s="4" t="s">
        <v>7</v>
      </c>
      <c r="I371" s="5">
        <f t="shared" si="571"/>
        <v>-0.10021786492374729</v>
      </c>
      <c r="J371" s="5">
        <f>+AVERAGE(B$325:B371)/AVERAGE(B$313:B359)-1</f>
        <v>2.1820833567061104E-2</v>
      </c>
      <c r="K371" s="5">
        <f t="shared" si="576"/>
        <v>-6.1011663665189064E-2</v>
      </c>
      <c r="L371" s="5">
        <f t="shared" si="577"/>
        <v>-6.1011663665189064E-2</v>
      </c>
      <c r="M371" s="3"/>
    </row>
    <row r="372" spans="1:13" x14ac:dyDescent="0.2">
      <c r="A372" s="1">
        <v>45261</v>
      </c>
      <c r="B372" s="2">
        <v>333</v>
      </c>
      <c r="C372" s="2">
        <v>358.16334506782198</v>
      </c>
      <c r="E372" s="2">
        <f t="shared" si="574"/>
        <v>77.844297379241993</v>
      </c>
      <c r="F372" s="2">
        <f t="shared" si="575"/>
        <v>84.17013603919699</v>
      </c>
      <c r="H372" s="4" t="s">
        <v>8</v>
      </c>
      <c r="I372" s="5">
        <f t="shared" si="571"/>
        <v>-0.24318181818181817</v>
      </c>
      <c r="J372" s="5">
        <f>+AVERAGE(B$325:B372)/AVERAGE(B$313:B360)-1</f>
        <v>1.5437674494990894E-2</v>
      </c>
      <c r="K372" s="5">
        <f t="shared" si="576"/>
        <v>-7.6467649494951218E-2</v>
      </c>
      <c r="L372" s="5">
        <f t="shared" si="577"/>
        <v>-7.6467649494951218E-2</v>
      </c>
      <c r="M372" s="3"/>
    </row>
    <row r="373" spans="1:13" x14ac:dyDescent="0.2">
      <c r="A373" s="1">
        <v>45292</v>
      </c>
      <c r="B373" s="2">
        <v>408</v>
      </c>
      <c r="C373" s="2">
        <v>444.24224427356597</v>
      </c>
      <c r="E373" s="2">
        <f t="shared" si="574"/>
        <v>95.376796788981181</v>
      </c>
      <c r="F373" s="2">
        <f t="shared" si="575"/>
        <v>104.39909792495286</v>
      </c>
      <c r="H373" s="4" t="s">
        <v>41</v>
      </c>
      <c r="I373" s="5">
        <f t="shared" si="571"/>
        <v>-7.6923076923076872E-2</v>
      </c>
      <c r="J373" s="5">
        <f>+AVERAGE(B$325:B373)/AVERAGE(B$313:B361)-1</f>
        <v>1.3255652359826842E-2</v>
      </c>
      <c r="K373" s="5">
        <f t="shared" si="576"/>
        <v>0.24033419497308994</v>
      </c>
      <c r="L373" s="5">
        <f t="shared" si="577"/>
        <v>0.24033419497308994</v>
      </c>
      <c r="M373" s="3"/>
    </row>
    <row r="374" spans="1:13" x14ac:dyDescent="0.2">
      <c r="A374" s="1">
        <v>45323</v>
      </c>
      <c r="B374" s="2">
        <v>323.60000000000002</v>
      </c>
      <c r="C374" s="2">
        <v>363.08281621582398</v>
      </c>
      <c r="E374" s="2">
        <f t="shared" si="574"/>
        <v>75.646890786554692</v>
      </c>
      <c r="F374" s="2">
        <f t="shared" si="575"/>
        <v>85.326235794993678</v>
      </c>
      <c r="H374" s="4" t="s">
        <v>1</v>
      </c>
      <c r="I374" s="5">
        <f t="shared" si="571"/>
        <v>-9.6089385474860012E-2</v>
      </c>
      <c r="J374" s="5">
        <f>+AVERAGE(B$325:B374)/AVERAGE(B$313:B362)-1</f>
        <v>1.1202601353123232E-2</v>
      </c>
      <c r="K374" s="5">
        <f t="shared" si="576"/>
        <v>-0.18269182884769442</v>
      </c>
      <c r="L374" s="5">
        <f t="shared" si="577"/>
        <v>-0.18269182884769442</v>
      </c>
      <c r="M374" s="3"/>
    </row>
    <row r="375" spans="1:13" x14ac:dyDescent="0.2">
      <c r="A375" s="1">
        <v>45352</v>
      </c>
      <c r="B375" s="2">
        <v>241.4</v>
      </c>
      <c r="C375" s="2">
        <v>239.58367366488301</v>
      </c>
      <c r="E375" s="2">
        <f t="shared" si="574"/>
        <v>56.431271433480532</v>
      </c>
      <c r="F375" s="2">
        <f t="shared" si="575"/>
        <v>56.303333891761518</v>
      </c>
      <c r="H375" s="4" t="s">
        <v>2</v>
      </c>
      <c r="I375" s="5">
        <f t="shared" ref="I375" si="578">+E375/E363-1</f>
        <v>-0.4154963680387409</v>
      </c>
      <c r="J375" s="5">
        <f>+AVERAGE(B$325:B375)/AVERAGE(B$313:B363)-1</f>
        <v>2.1560574948666922E-3</v>
      </c>
      <c r="K375" s="5">
        <f t="shared" ref="K375" si="579">+F375/F374-1</f>
        <v>-0.34014042261237321</v>
      </c>
      <c r="L375" s="5">
        <f t="shared" ref="L375" si="580">+F375/F374-1</f>
        <v>-0.34014042261237321</v>
      </c>
      <c r="M375" s="3"/>
    </row>
    <row r="376" spans="1:13" x14ac:dyDescent="0.2">
      <c r="A376" s="1">
        <v>45383</v>
      </c>
      <c r="B376" s="2">
        <v>316.89999999999998</v>
      </c>
      <c r="C376" s="2">
        <v>325.15191524129</v>
      </c>
      <c r="E376" s="2">
        <f t="shared" ref="E376:E385" si="581">+B376/AVERAGE(B$133:B$144)*100</f>
        <v>74.080654172617983</v>
      </c>
      <c r="F376" s="2">
        <f t="shared" ref="F376:F385" si="582">+C376/AVERAGE(C$133:C$144)*100</f>
        <v>76.41228873960398</v>
      </c>
      <c r="H376" s="4" t="s">
        <v>3</v>
      </c>
      <c r="I376" s="5">
        <f t="shared" ref="I376:I380" si="583">+E376/E364-1</f>
        <v>-0.26302325581395347</v>
      </c>
      <c r="J376" s="5">
        <f>+AVERAGE(B$325:B376)/AVERAGE(B$313:B364)-1</f>
        <v>-3.5710698141635522E-3</v>
      </c>
      <c r="K376" s="5">
        <f t="shared" ref="K376:K380" si="584">+F376/F375-1</f>
        <v>0.35715389228105487</v>
      </c>
      <c r="L376" s="5">
        <f t="shared" ref="L376:L380" si="585">+F376/F375-1</f>
        <v>0.35715389228105487</v>
      </c>
      <c r="M376" s="3"/>
    </row>
    <row r="377" spans="1:13" x14ac:dyDescent="0.2">
      <c r="A377" s="1">
        <v>45413</v>
      </c>
      <c r="B377" s="2">
        <v>312.10000000000002</v>
      </c>
      <c r="C377" s="2">
        <v>304.519225693865</v>
      </c>
      <c r="E377" s="2">
        <f t="shared" si="581"/>
        <v>72.958574210394673</v>
      </c>
      <c r="F377" s="2">
        <f t="shared" si="582"/>
        <v>71.563505886818106</v>
      </c>
      <c r="H377" s="4" t="s">
        <v>2</v>
      </c>
      <c r="I377" s="5">
        <f t="shared" si="583"/>
        <v>-0.29389140271493208</v>
      </c>
      <c r="J377" s="5">
        <f>+AVERAGE(B$325:B377)/AVERAGE(B$313:B365)-1</f>
        <v>-9.8761792452829456E-3</v>
      </c>
      <c r="K377" s="5">
        <f t="shared" si="584"/>
        <v>-6.3455537489649605E-2</v>
      </c>
      <c r="L377" s="5">
        <f t="shared" si="585"/>
        <v>-6.3455537489649605E-2</v>
      </c>
      <c r="M377" s="3"/>
    </row>
    <row r="378" spans="1:13" x14ac:dyDescent="0.2">
      <c r="A378" s="1">
        <v>45444</v>
      </c>
      <c r="B378" s="2">
        <v>274.8</v>
      </c>
      <c r="C378" s="2">
        <v>282.51988287777402</v>
      </c>
      <c r="E378" s="2">
        <f t="shared" si="581"/>
        <v>64.239077837284384</v>
      </c>
      <c r="F378" s="2">
        <f t="shared" si="582"/>
        <v>66.39355283857229</v>
      </c>
      <c r="H378" s="4" t="s">
        <v>4</v>
      </c>
      <c r="I378" s="5">
        <f t="shared" si="583"/>
        <v>-0.35035460992907796</v>
      </c>
      <c r="J378" s="5">
        <f>+AVERAGE(B$325:B378)/AVERAGE(B$313:B366)-1</f>
        <v>-1.6808664259927886E-2</v>
      </c>
      <c r="K378" s="5">
        <f t="shared" si="584"/>
        <v>-7.2242869940195464E-2</v>
      </c>
      <c r="L378" s="5">
        <f t="shared" si="585"/>
        <v>-7.2242869940195464E-2</v>
      </c>
      <c r="M378" s="3"/>
    </row>
    <row r="379" spans="1:13" x14ac:dyDescent="0.2">
      <c r="A379" s="1">
        <v>45474</v>
      </c>
      <c r="B379" s="2">
        <v>313.89999999999998</v>
      </c>
      <c r="C379" s="2">
        <v>305.40888783535303</v>
      </c>
      <c r="E379" s="2">
        <f t="shared" si="581"/>
        <v>73.379354196228405</v>
      </c>
      <c r="F379" s="2">
        <f t="shared" si="582"/>
        <v>71.772580836863014</v>
      </c>
      <c r="H379" s="4" t="s">
        <v>4</v>
      </c>
      <c r="I379" s="5">
        <f t="shared" si="583"/>
        <v>-9.2774566473988518E-2</v>
      </c>
      <c r="J379" s="5">
        <f>+AVERAGE(B$325:B379)/AVERAGE(B$313:B367)-1</f>
        <v>-1.8053122484730677E-2</v>
      </c>
      <c r="K379" s="5">
        <f t="shared" si="584"/>
        <v>8.1017324247870448E-2</v>
      </c>
      <c r="L379" s="5">
        <f t="shared" si="585"/>
        <v>8.1017324247870448E-2</v>
      </c>
      <c r="M379" s="3"/>
    </row>
    <row r="380" spans="1:13" x14ac:dyDescent="0.2">
      <c r="A380" s="1">
        <v>45505</v>
      </c>
      <c r="B380" s="2">
        <v>346.9</v>
      </c>
      <c r="C380" s="2">
        <v>322.430436789726</v>
      </c>
      <c r="E380" s="2">
        <f t="shared" si="581"/>
        <v>81.093653936513647</v>
      </c>
      <c r="F380" s="2">
        <f t="shared" si="582"/>
        <v>75.772728006630288</v>
      </c>
      <c r="H380" s="4" t="s">
        <v>3</v>
      </c>
      <c r="I380" s="5">
        <f t="shared" si="583"/>
        <v>-0.17796208530805691</v>
      </c>
      <c r="J380" s="5">
        <f>+AVERAGE(B$325:B380)/AVERAGE(B$313:B368)-1</f>
        <v>-2.1185535904934105E-2</v>
      </c>
      <c r="K380" s="5">
        <f t="shared" si="584"/>
        <v>5.5733639826321513E-2</v>
      </c>
      <c r="L380" s="5">
        <f t="shared" si="585"/>
        <v>5.5733639826321513E-2</v>
      </c>
      <c r="M380" s="3"/>
    </row>
    <row r="381" spans="1:13" x14ac:dyDescent="0.2">
      <c r="A381" s="1">
        <v>45536</v>
      </c>
      <c r="B381" s="2">
        <v>370.9</v>
      </c>
      <c r="C381" s="2">
        <v>338.92735732130598</v>
      </c>
      <c r="E381" s="2">
        <f t="shared" si="581"/>
        <v>86.704053747630184</v>
      </c>
      <c r="F381" s="2">
        <f t="shared" si="582"/>
        <v>79.649584933762156</v>
      </c>
      <c r="H381" s="4" t="s">
        <v>5</v>
      </c>
      <c r="I381" s="5">
        <f t="shared" ref="I381:I386" si="586">+E381/E369-1</f>
        <v>-0.17024608501118588</v>
      </c>
      <c r="J381" s="5">
        <f>+AVERAGE(B$325:B381)/AVERAGE(B$313:B369)-1</f>
        <v>-2.4215552523874306E-2</v>
      </c>
      <c r="K381" s="5">
        <f t="shared" ref="K381" si="587">+F381/F380-1</f>
        <v>5.1164278086868409E-2</v>
      </c>
      <c r="L381" s="5">
        <f t="shared" ref="L381" si="588">+F381/F380-1</f>
        <v>5.1164278086868409E-2</v>
      </c>
      <c r="M381" s="3"/>
    </row>
    <row r="382" spans="1:13" x14ac:dyDescent="0.2">
      <c r="A382" s="1">
        <v>45566</v>
      </c>
      <c r="B382" s="2">
        <v>359.6</v>
      </c>
      <c r="C382" s="2">
        <v>313.77781971842802</v>
      </c>
      <c r="E382" s="2">
        <f t="shared" si="581"/>
        <v>84.062490503229498</v>
      </c>
      <c r="F382" s="2">
        <f t="shared" si="582"/>
        <v>73.739320719102537</v>
      </c>
      <c r="H382" s="15" t="s">
        <v>6</v>
      </c>
      <c r="I382" s="5">
        <f t="shared" si="586"/>
        <v>-0.21655773420479285</v>
      </c>
      <c r="J382" s="5">
        <f>+AVERAGE(B$325:B382)/AVERAGE(B$313:B370)-1</f>
        <v>-2.814824713795705E-2</v>
      </c>
      <c r="K382" s="5">
        <f t="shared" ref="K382" si="589">+F382/F381-1</f>
        <v>-7.4203327231079586E-2</v>
      </c>
      <c r="L382" s="5">
        <f t="shared" ref="L382" si="590">+F382/F381-1</f>
        <v>-7.4203327231079586E-2</v>
      </c>
      <c r="M382" s="3"/>
    </row>
    <row r="383" spans="1:13" x14ac:dyDescent="0.2">
      <c r="A383" s="1">
        <v>45597</v>
      </c>
      <c r="B383" s="2">
        <v>338.5</v>
      </c>
      <c r="C383" s="2">
        <v>312.35615296425902</v>
      </c>
      <c r="E383" s="2">
        <f t="shared" si="581"/>
        <v>79.130014002622858</v>
      </c>
      <c r="F383" s="2">
        <f t="shared" si="582"/>
        <v>73.405222085759263</v>
      </c>
      <c r="H383" s="15" t="s">
        <v>7</v>
      </c>
      <c r="I383" s="5">
        <f t="shared" si="586"/>
        <v>-0.18038740920096852</v>
      </c>
      <c r="J383" s="5">
        <f>+AVERAGE(B$325:B383)/AVERAGE(B$313:B371)-1</f>
        <v>-3.0898434082757387E-2</v>
      </c>
      <c r="K383" s="5">
        <f t="shared" ref="K383" si="591">+F383/F382-1</f>
        <v>-4.5308070387027888E-3</v>
      </c>
      <c r="L383" s="5">
        <f t="shared" ref="L383" si="592">+F383/F382-1</f>
        <v>-4.5308070387027888E-3</v>
      </c>
      <c r="M383" s="3"/>
    </row>
    <row r="384" spans="1:13" x14ac:dyDescent="0.2">
      <c r="A384" s="1">
        <v>45627</v>
      </c>
      <c r="B384" s="2">
        <v>256.3</v>
      </c>
      <c r="C384" s="2">
        <v>289.04406028594798</v>
      </c>
      <c r="E384" s="2">
        <f t="shared" si="581"/>
        <v>59.914394649548719</v>
      </c>
      <c r="F384" s="2">
        <f t="shared" si="582"/>
        <v>67.926766405934615</v>
      </c>
      <c r="H384" s="15" t="s">
        <v>8</v>
      </c>
      <c r="I384" s="5">
        <f t="shared" si="586"/>
        <v>-0.23033033033033035</v>
      </c>
      <c r="J384" s="5">
        <f>+AVERAGE(B$325:B384)/AVERAGE(B$313:B372)-1</f>
        <v>-3.3761586548825107E-2</v>
      </c>
      <c r="K384" s="5">
        <f t="shared" ref="K384" si="593">+F384/F383-1</f>
        <v>-7.4633050948666457E-2</v>
      </c>
      <c r="L384" s="5">
        <f t="shared" ref="L384" si="594">+F384/F383-1</f>
        <v>-7.4633050948666457E-2</v>
      </c>
      <c r="M384" s="3"/>
    </row>
    <row r="385" spans="1:14" x14ac:dyDescent="0.2">
      <c r="A385" s="1">
        <v>45658</v>
      </c>
      <c r="B385" s="2">
        <v>299.7</v>
      </c>
      <c r="C385" s="2">
        <v>335.895626225304</v>
      </c>
      <c r="E385" s="2">
        <f t="shared" si="581"/>
        <v>70.05986764131778</v>
      </c>
      <c r="F385" s="2">
        <f t="shared" si="582"/>
        <v>78.937113313483906</v>
      </c>
      <c r="H385" s="4" t="s">
        <v>42</v>
      </c>
      <c r="I385" s="5">
        <f t="shared" si="586"/>
        <v>-0.2654411764705884</v>
      </c>
      <c r="J385" s="5">
        <f>+AVERAGE(B$325:B385)/AVERAGE(B$313:B373)-1</f>
        <v>-3.7766385628945409E-2</v>
      </c>
      <c r="K385" s="5">
        <f>+F385/F384-1</f>
        <v>0.16209143302583806</v>
      </c>
      <c r="L385" s="5">
        <f t="shared" ref="L385" si="595">+F385/F384-1</f>
        <v>0.16209143302583806</v>
      </c>
      <c r="M385" s="3"/>
    </row>
    <row r="386" spans="1:14" x14ac:dyDescent="0.2">
      <c r="A386" s="1">
        <v>45689</v>
      </c>
      <c r="B386" s="2">
        <v>316.39999999999998</v>
      </c>
      <c r="C386" s="2">
        <v>388.46062657551499</v>
      </c>
      <c r="E386" s="2">
        <f t="shared" ref="E386:E392" si="596">+B386/AVERAGE(B$133:B$144)*100</f>
        <v>73.963770843219706</v>
      </c>
      <c r="F386" s="2">
        <f t="shared" ref="F386:F392" si="597">+C386/AVERAGE(C$133:C$144)*100</f>
        <v>91.290145222820939</v>
      </c>
      <c r="H386" s="4" t="s">
        <v>1</v>
      </c>
      <c r="I386" s="5">
        <f t="shared" si="586"/>
        <v>-2.2249690976514525E-2</v>
      </c>
      <c r="J386" s="5">
        <f>+AVERAGE(B$325:B386)/AVERAGE(B$313:B374)-1</f>
        <v>-3.7556527045212951E-2</v>
      </c>
      <c r="K386" s="5">
        <f>+F386/F385-1</f>
        <v>0.15649206552916728</v>
      </c>
      <c r="L386" s="5">
        <f t="shared" ref="L386" si="598">+F386/F385-1</f>
        <v>0.15649206552916728</v>
      </c>
      <c r="M386" s="3"/>
    </row>
    <row r="387" spans="1:14" x14ac:dyDescent="0.2">
      <c r="A387" s="1">
        <v>45717</v>
      </c>
      <c r="B387" s="2">
        <v>330.8</v>
      </c>
      <c r="C387" s="2">
        <v>326.94753239818402</v>
      </c>
      <c r="E387" s="2">
        <f t="shared" si="596"/>
        <v>77.330010729889636</v>
      </c>
      <c r="F387" s="2">
        <f t="shared" si="597"/>
        <v>76.834267544669771</v>
      </c>
      <c r="H387" s="4" t="s">
        <v>2</v>
      </c>
      <c r="I387" s="5">
        <f>+E387/E375-1</f>
        <v>0.37033968516984239</v>
      </c>
      <c r="J387" s="5">
        <f>+AVERAGE(B$325:B387)/AVERAGE(B$313:B375)-1</f>
        <v>-3.3482290632240841E-2</v>
      </c>
      <c r="K387" s="5">
        <f>+F387/F386-1</f>
        <v>-0.15835091118397582</v>
      </c>
      <c r="L387" s="5">
        <f t="shared" ref="L387" si="599">+F387/F386-1</f>
        <v>-0.15835091118397582</v>
      </c>
      <c r="M387" s="3"/>
    </row>
    <row r="388" spans="1:14" x14ac:dyDescent="0.2">
      <c r="A388" s="1">
        <v>45748</v>
      </c>
      <c r="B388" s="2">
        <v>317.39999999999998</v>
      </c>
      <c r="C388" s="2">
        <v>325.42413193099998</v>
      </c>
      <c r="E388" s="2">
        <f t="shared" si="596"/>
        <v>74.197537502016232</v>
      </c>
      <c r="F388" s="2">
        <f t="shared" si="597"/>
        <v>76.476260991707804</v>
      </c>
      <c r="H388" s="4" t="s">
        <v>3</v>
      </c>
      <c r="I388" s="5">
        <f t="shared" ref="I388:I389" si="600">+E388/E376-1</f>
        <v>1.5777847901543574E-3</v>
      </c>
      <c r="J388" s="5">
        <f>+AVERAGE(B$325:B388)/AVERAGE(B$313:B376)-1</f>
        <v>-3.3028519618213514E-2</v>
      </c>
      <c r="K388" s="5">
        <f t="shared" ref="K388:K389" si="601">+F388/F387-1</f>
        <v>-4.6594646425676123E-3</v>
      </c>
      <c r="L388" s="5">
        <f t="shared" ref="L388:L389" si="602">+F388/F387-1</f>
        <v>-4.6594646425676123E-3</v>
      </c>
      <c r="M388" s="3"/>
    </row>
    <row r="389" spans="1:14" x14ac:dyDescent="0.2">
      <c r="A389" s="1">
        <v>45778</v>
      </c>
      <c r="B389" s="2">
        <v>350.3</v>
      </c>
      <c r="C389" s="2">
        <v>339.98027685928503</v>
      </c>
      <c r="E389" s="2">
        <f t="shared" si="596"/>
        <v>81.888460576421835</v>
      </c>
      <c r="F389" s="2">
        <f t="shared" si="597"/>
        <v>79.897026169640839</v>
      </c>
      <c r="H389" s="4" t="s">
        <v>2</v>
      </c>
      <c r="I389" s="5">
        <f t="shared" si="600"/>
        <v>0.12239666773470037</v>
      </c>
      <c r="J389" s="5">
        <f>+AVERAGE(B$325:B389)/AVERAGE(B$313:B377)-1</f>
        <v>-3.107230713392739E-2</v>
      </c>
      <c r="K389" s="5">
        <f t="shared" si="601"/>
        <v>4.4729764943711725E-2</v>
      </c>
      <c r="L389" s="5">
        <f t="shared" si="602"/>
        <v>4.4729764943711725E-2</v>
      </c>
      <c r="M389" s="3"/>
    </row>
    <row r="390" spans="1:14" x14ac:dyDescent="0.2">
      <c r="A390" s="1">
        <v>45809</v>
      </c>
      <c r="B390" s="2">
        <v>320.10000000000002</v>
      </c>
      <c r="C390" s="2">
        <v>330.95389473308001</v>
      </c>
      <c r="E390" s="2">
        <f t="shared" si="596"/>
        <v>74.828707480766852</v>
      </c>
      <c r="F390" s="2">
        <f t="shared" si="597"/>
        <v>77.775782268033367</v>
      </c>
      <c r="H390" s="4" t="s">
        <v>4</v>
      </c>
      <c r="I390" s="5">
        <f>+E390/E378-1</f>
        <v>0.16484716157205237</v>
      </c>
      <c r="J390" s="5">
        <f>+AVERAGE(B$325:B390)/AVERAGE(B$313:B378)-1</f>
        <v>-2.8924927607909989E-2</v>
      </c>
      <c r="K390" s="5">
        <f>+F390/F389-1</f>
        <v>-2.6549722853308144E-2</v>
      </c>
      <c r="L390" s="5">
        <f t="shared" ref="L390" si="603">+F390/F389-1</f>
        <v>-2.6549722853308144E-2</v>
      </c>
      <c r="M390" s="3"/>
    </row>
    <row r="391" spans="1:14" x14ac:dyDescent="0.2">
      <c r="A391" s="1">
        <v>45839</v>
      </c>
      <c r="B391" s="2">
        <v>327.5</v>
      </c>
      <c r="C391" s="2">
        <v>320.63436401949201</v>
      </c>
      <c r="E391" s="2">
        <f t="shared" si="596"/>
        <v>76.558580755861115</v>
      </c>
      <c r="F391" s="2">
        <f t="shared" si="597"/>
        <v>75.350642130203525</v>
      </c>
      <c r="H391" s="4" t="s">
        <v>4</v>
      </c>
      <c r="I391" s="5">
        <f>+E391/E379-1</f>
        <v>4.3325899968142734E-2</v>
      </c>
      <c r="J391" s="5">
        <f>+AVERAGE(B$325:B391)/AVERAGE(B$313:B379)-1</f>
        <v>-2.8031529561918678E-2</v>
      </c>
      <c r="K391" s="5">
        <f>+F391/F390-1</f>
        <v>-3.1181173202118995E-2</v>
      </c>
      <c r="L391" s="5">
        <f t="shared" ref="L391" si="604">+F391/F390-1</f>
        <v>-3.1181173202118995E-2</v>
      </c>
      <c r="M391" s="2">
        <v>-0.2654411764705884</v>
      </c>
      <c r="N391" s="2">
        <v>0.23727213460385066</v>
      </c>
    </row>
    <row r="392" spans="1:14" x14ac:dyDescent="0.2">
      <c r="A392" s="1">
        <v>45870</v>
      </c>
      <c r="B392" s="2">
        <v>370.3</v>
      </c>
      <c r="C392" s="2">
        <v>342.15677253485302</v>
      </c>
      <c r="E392" s="2">
        <f t="shared" si="596"/>
        <v>86.563793752352282</v>
      </c>
      <c r="F392" s="2">
        <f t="shared" si="597"/>
        <v>80.408513287527214</v>
      </c>
      <c r="H392" s="4" t="s">
        <v>3</v>
      </c>
      <c r="I392" s="5">
        <f>+E392/E380-1</f>
        <v>6.745459786682062E-2</v>
      </c>
      <c r="J392" s="5">
        <f>+AVERAGE(B$325:B392)/AVERAGE(B$313:B380)-1</f>
        <v>-2.6744285458912054E-2</v>
      </c>
      <c r="K392" s="5">
        <f>+F392/F391-1</f>
        <v>6.7124459916132473E-2</v>
      </c>
      <c r="L392" s="5">
        <f t="shared" ref="L392" si="605">+F392/F391-1</f>
        <v>6.7124459916132473E-2</v>
      </c>
      <c r="M392" s="3"/>
    </row>
    <row r="393" spans="1:14" x14ac:dyDescent="0.2">
      <c r="A393" s="1">
        <v>45901</v>
      </c>
      <c r="B393" s="2">
        <v>356.7</v>
      </c>
      <c r="C393" s="2">
        <v>324.69516511538501</v>
      </c>
      <c r="E393" s="2">
        <f t="shared" ref="E393:E397" si="606">+B393/AVERAGE(B$133:B$144)*100</f>
        <v>83.384567192719572</v>
      </c>
      <c r="F393" s="2">
        <f t="shared" ref="F393:F397" si="607">+C393/AVERAGE(C$133:C$144)*100</f>
        <v>76.304950228383447</v>
      </c>
      <c r="H393" s="4" t="s">
        <v>5</v>
      </c>
      <c r="I393" s="5">
        <f>+E393/E381-1</f>
        <v>-3.8285252089511945E-2</v>
      </c>
      <c r="J393" s="5">
        <f>+AVERAGE(B$325:B393)/AVERAGE(B$313:B381)-1</f>
        <v>-2.6908269006072127E-2</v>
      </c>
      <c r="K393" s="5">
        <f>+F393/F392-1</f>
        <v>-5.1033937718387157E-2</v>
      </c>
      <c r="L393" s="5">
        <f t="shared" ref="L393" si="608">+F393/F392-1</f>
        <v>-5.1033937718387157E-2</v>
      </c>
      <c r="M393" s="3"/>
    </row>
    <row r="394" spans="1:14" x14ac:dyDescent="0.2">
      <c r="A394" s="1">
        <v>45931</v>
      </c>
      <c r="B394" s="2">
        <v>373.2</v>
      </c>
      <c r="C394" s="2">
        <v>328.55605143732799</v>
      </c>
      <c r="E394" s="2">
        <f t="shared" si="606"/>
        <v>87.241717062862193</v>
      </c>
      <c r="F394" s="2">
        <f t="shared" si="607"/>
        <v>77.212277377922661</v>
      </c>
      <c r="H394" s="15" t="s">
        <v>6</v>
      </c>
      <c r="I394" s="5">
        <f t="shared" ref="I394:I396" si="609">+E394/E382-1</f>
        <v>3.7819799777530472E-2</v>
      </c>
      <c r="J394" s="5">
        <f>+AVERAGE(B$325:B394)/AVERAGE(B$313:B382)-1</f>
        <v>-2.6028696562383158E-2</v>
      </c>
      <c r="K394" s="5">
        <f t="shared" ref="K394:K395" si="610">+F394/F393-1</f>
        <v>1.1890803241775938E-2</v>
      </c>
      <c r="L394" s="5">
        <f t="shared" ref="L394:L395" si="611">+F394/F393-1</f>
        <v>1.1890803241775938E-2</v>
      </c>
      <c r="M394" s="3"/>
    </row>
    <row r="395" spans="1:14" x14ac:dyDescent="0.2">
      <c r="A395" s="1">
        <v>45962</v>
      </c>
      <c r="B395" s="2">
        <v>374.9</v>
      </c>
      <c r="C395" s="2">
        <v>349.20135137456703</v>
      </c>
      <c r="E395" s="2">
        <f t="shared" si="606"/>
        <v>87.639120382816287</v>
      </c>
      <c r="F395" s="2">
        <f t="shared" si="607"/>
        <v>82.064023733927854</v>
      </c>
      <c r="H395" s="15" t="s">
        <v>7</v>
      </c>
      <c r="I395" s="5">
        <f t="shared" si="609"/>
        <v>0.10753323485967514</v>
      </c>
      <c r="J395" s="5">
        <f>+AVERAGE(B$325:B395)/AVERAGE(B$313:B383)-1</f>
        <v>-2.4341830338487025E-2</v>
      </c>
      <c r="K395" s="5">
        <f t="shared" si="610"/>
        <v>6.2836462292879647E-2</v>
      </c>
      <c r="L395" s="5">
        <f t="shared" si="611"/>
        <v>6.2836462292879647E-2</v>
      </c>
      <c r="M395" s="3"/>
    </row>
    <row r="396" spans="1:14" x14ac:dyDescent="0.2">
      <c r="A396" s="1">
        <v>45992</v>
      </c>
      <c r="B396" s="2">
        <v>286.8</v>
      </c>
      <c r="C396" s="2">
        <v>323.44042717151899</v>
      </c>
      <c r="E396" s="2">
        <f t="shared" si="606"/>
        <v>67.044277742842652</v>
      </c>
      <c r="F396" s="2">
        <f t="shared" si="607"/>
        <v>76.010080681057929</v>
      </c>
      <c r="H396" s="15" t="s">
        <v>8</v>
      </c>
      <c r="I396" s="5">
        <f t="shared" si="609"/>
        <v>0.11900117050331649</v>
      </c>
      <c r="J396" s="5">
        <f>+AVERAGE(B$325:B396)/AVERAGE(B$313:B384)-1</f>
        <v>-2.2984045325025071E-2</v>
      </c>
      <c r="K396" s="5">
        <f t="shared" ref="K396" si="612">+F396/F395-1</f>
        <v>-7.377097511691999E-2</v>
      </c>
      <c r="L396" s="5">
        <f t="shared" ref="L396" si="613">+F396/F395-1</f>
        <v>-7.377097511691999E-2</v>
      </c>
      <c r="M396" s="3"/>
    </row>
    <row r="397" spans="1:14" x14ac:dyDescent="0.2">
      <c r="A397" s="1">
        <v>46023</v>
      </c>
      <c r="B397" s="2">
        <v>351.4</v>
      </c>
      <c r="C397" s="2">
        <v>386.39125612099798</v>
      </c>
      <c r="E397" s="2">
        <f t="shared" si="606"/>
        <v>82.145603901097999</v>
      </c>
      <c r="F397" s="2">
        <f t="shared" si="607"/>
        <v>90.803833055284059</v>
      </c>
      <c r="H397" s="4" t="s">
        <v>43</v>
      </c>
      <c r="I397" s="5">
        <f>+E397/E385-1</f>
        <v>0.17250583917250606</v>
      </c>
      <c r="J397" s="5">
        <f>+AVERAGE(B$397:B397)/AVERAGE(B$385:B385)-1</f>
        <v>0.17250583917250584</v>
      </c>
      <c r="K397" s="5">
        <f>+F397/F396-1</f>
        <v>0.19462882083103494</v>
      </c>
      <c r="L397" s="5">
        <f t="shared" ref="L397" si="614">+F397/F396-1</f>
        <v>0.19462882083103494</v>
      </c>
      <c r="M397" s="3"/>
    </row>
    <row r="398" spans="1:14" x14ac:dyDescent="0.2">
      <c r="A398" s="1">
        <v>46054</v>
      </c>
      <c r="B398" s="2">
        <v>272.2</v>
      </c>
      <c r="C398" s="2">
        <v>341.993377592493</v>
      </c>
      <c r="E398" s="2">
        <f t="shared" ref="E398:E401" si="615">+B398/AVERAGE(B$133:B$144)*100</f>
        <v>63.631284524413424</v>
      </c>
      <c r="F398" s="2">
        <f t="shared" ref="F398:F401" si="616">+C398/AVERAGE(C$133:C$144)*100</f>
        <v>80.370114677742194</v>
      </c>
      <c r="H398" s="4" t="s">
        <v>1</v>
      </c>
      <c r="I398" s="5">
        <f>+E398/E386-1</f>
        <v>-0.13969658659924133</v>
      </c>
      <c r="J398" s="5">
        <f>+AVERAGE(B$397:B398)/AVERAGE(B$385:B386)-1</f>
        <v>1.2173348482389157E-2</v>
      </c>
      <c r="K398" s="5">
        <f>+F398/F397-1</f>
        <v>-0.11490394211871546</v>
      </c>
      <c r="L398" s="5">
        <f t="shared" ref="L398" si="617">+F398/F397-1</f>
        <v>-0.11490394211871546</v>
      </c>
      <c r="M398" s="3"/>
    </row>
    <row r="399" spans="1:14" x14ac:dyDescent="0.2">
      <c r="A399" s="1">
        <v>46082</v>
      </c>
      <c r="B399" s="2">
        <v>387.4</v>
      </c>
      <c r="C399" s="2">
        <v>382.492975617757</v>
      </c>
      <c r="E399" s="2">
        <f t="shared" si="615"/>
        <v>90.561203617772819</v>
      </c>
      <c r="F399" s="2">
        <f t="shared" si="616"/>
        <v>89.887718090435797</v>
      </c>
      <c r="H399" s="4" t="s">
        <v>2</v>
      </c>
      <c r="I399" s="5">
        <f>+E399/E387-1</f>
        <v>0.17110036275695295</v>
      </c>
      <c r="J399" s="5">
        <f>+AVERAGE(B$397:B399)/AVERAGE(B$385:B387)-1</f>
        <v>6.7694582321258912E-2</v>
      </c>
      <c r="K399" s="5">
        <f>+F399/F398-1</f>
        <v>0.11842217036588876</v>
      </c>
      <c r="L399" s="5">
        <f t="shared" ref="L399" si="618">+F399/F398-1</f>
        <v>0.11842217036588876</v>
      </c>
      <c r="M399" s="3"/>
    </row>
    <row r="400" spans="1:14" x14ac:dyDescent="0.2">
      <c r="A400" s="1">
        <v>46113</v>
      </c>
      <c r="B400" s="2">
        <v>375.6</v>
      </c>
      <c r="C400" s="2">
        <v>383.936184176795</v>
      </c>
      <c r="E400" s="2">
        <f t="shared" si="615"/>
        <v>87.802757043973855</v>
      </c>
      <c r="F400" s="2">
        <f t="shared" si="616"/>
        <v>90.226879153174252</v>
      </c>
      <c r="H400" s="4" t="s">
        <v>3</v>
      </c>
      <c r="I400" s="5">
        <f>+E400/E388-1</f>
        <v>0.1833648393194709</v>
      </c>
      <c r="J400" s="5">
        <f>+AVERAGE(B$397:B400)/AVERAGE(B$385:B388)-1</f>
        <v>9.6733370244404204E-2</v>
      </c>
      <c r="K400" s="5">
        <f>+F400/F399-1</f>
        <v>3.7731635638722505E-3</v>
      </c>
      <c r="L400" s="5">
        <f t="shared" ref="L400" si="619">+F400/F399-1</f>
        <v>3.7731635638722505E-3</v>
      </c>
      <c r="M400" s="3"/>
    </row>
    <row r="401" spans="1:17" x14ac:dyDescent="0.2">
      <c r="A401" s="1">
        <v>46143</v>
      </c>
      <c r="B401" s="2">
        <v>399.4</v>
      </c>
      <c r="C401" s="2">
        <v>387.717838881332</v>
      </c>
      <c r="E401" s="2">
        <f t="shared" si="615"/>
        <v>93.366403523331073</v>
      </c>
      <c r="F401" s="2">
        <f t="shared" si="616"/>
        <v>91.115586485505744</v>
      </c>
      <c r="H401" s="4" t="s">
        <v>2</v>
      </c>
      <c r="I401" s="5">
        <f>+E401/E389-1</f>
        <v>0.1401655723665427</v>
      </c>
      <c r="J401" s="5">
        <f>+AVERAGE(B$397:B401)/AVERAGE(B$385:B389)-1</f>
        <v>0.10615632354762794</v>
      </c>
      <c r="K401" s="5">
        <f>+F401/F400-1</f>
        <v>9.8496960182206106E-3</v>
      </c>
      <c r="L401" s="5">
        <f t="shared" ref="L401" si="620">+F401/F400-1</f>
        <v>9.8496960182206106E-3</v>
      </c>
      <c r="M401" s="3"/>
    </row>
    <row r="402" spans="1:17" x14ac:dyDescent="0.2">
      <c r="K402" s="3"/>
      <c r="L402" s="3"/>
      <c r="M402" s="3"/>
    </row>
    <row r="403" spans="1:17" x14ac:dyDescent="0.2">
      <c r="J403" s="16"/>
      <c r="K403" s="6"/>
      <c r="L403" s="16"/>
      <c r="M403" s="6"/>
      <c r="N403" s="16"/>
      <c r="O403" s="6"/>
    </row>
    <row r="404" spans="1:17" x14ac:dyDescent="0.2">
      <c r="L404" s="3"/>
      <c r="M404" s="3"/>
    </row>
    <row r="405" spans="1:17" x14ac:dyDescent="0.2">
      <c r="L405" s="3"/>
      <c r="M405" s="3"/>
    </row>
    <row r="406" spans="1:17" x14ac:dyDescent="0.2">
      <c r="K406" s="3"/>
      <c r="L406" s="3"/>
      <c r="M406" s="3"/>
    </row>
    <row r="407" spans="1:17" x14ac:dyDescent="0.2">
      <c r="F407" s="16">
        <v>6.745459786682062E-2</v>
      </c>
      <c r="G407" s="16">
        <v>6.6005047012966722E-2</v>
      </c>
      <c r="H407" s="16">
        <v>-3.8285252089511945E-2</v>
      </c>
      <c r="I407" s="16">
        <v>-4.8417972267083886E-2</v>
      </c>
      <c r="J407" s="16">
        <v>3.7819799777530472E-2</v>
      </c>
      <c r="K407" s="16">
        <v>4.625981306008331E-3</v>
      </c>
      <c r="L407" s="16">
        <v>0.10753323485967514</v>
      </c>
      <c r="M407" s="16">
        <v>6.205931227143191E-2</v>
      </c>
    </row>
    <row r="408" spans="1:17" x14ac:dyDescent="0.2">
      <c r="L408" s="3"/>
      <c r="M408" s="3"/>
    </row>
    <row r="409" spans="1:17" x14ac:dyDescent="0.2">
      <c r="K409" s="3"/>
      <c r="L409" s="3"/>
      <c r="M409" s="3"/>
    </row>
    <row r="410" spans="1:17" x14ac:dyDescent="0.2">
      <c r="K410" s="3"/>
      <c r="L410" s="3"/>
      <c r="M410" s="3"/>
    </row>
    <row r="411" spans="1:17" x14ac:dyDescent="0.2"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</row>
    <row r="413" spans="1:17" x14ac:dyDescent="0.2">
      <c r="N413" s="3"/>
      <c r="O413" s="3"/>
    </row>
    <row r="415" spans="1:17" x14ac:dyDescent="0.2">
      <c r="K415" s="3"/>
      <c r="L415" s="3"/>
      <c r="M415" s="3"/>
    </row>
    <row r="416" spans="1:17" x14ac:dyDescent="0.2">
      <c r="K416" s="3"/>
      <c r="L416" s="3"/>
      <c r="M416" s="3"/>
    </row>
    <row r="417" spans="3:17" x14ac:dyDescent="0.2">
      <c r="H417" s="16">
        <v>-3.8285252089511945E-2</v>
      </c>
      <c r="I417" s="16">
        <v>-2.6908269006072127E-2</v>
      </c>
      <c r="J417" s="16">
        <v>3.7819799777530472E-2</v>
      </c>
      <c r="K417" s="16">
        <v>-2.6028696562383158E-2</v>
      </c>
      <c r="L417" s="16">
        <v>0.10753323485967514</v>
      </c>
      <c r="M417" s="16">
        <v>-2.4341830338487025E-2</v>
      </c>
      <c r="N417" s="16">
        <v>0.11900117050331649</v>
      </c>
      <c r="O417" s="16">
        <v>-2.2984045325025071E-2</v>
      </c>
    </row>
    <row r="419" spans="3:17" x14ac:dyDescent="0.2">
      <c r="L419" s="3"/>
      <c r="M419" s="3"/>
    </row>
    <row r="420" spans="3:17" x14ac:dyDescent="0.2">
      <c r="K420" s="3"/>
      <c r="L420" s="3"/>
      <c r="M420" s="3"/>
    </row>
    <row r="421" spans="3:17" x14ac:dyDescent="0.2">
      <c r="K421" s="3"/>
      <c r="L421" s="3"/>
      <c r="M421" s="3"/>
    </row>
    <row r="422" spans="3:17" x14ac:dyDescent="0.2">
      <c r="F422" s="16"/>
      <c r="G422" s="16"/>
      <c r="H422" s="16"/>
      <c r="I422" s="16"/>
      <c r="J422" s="16"/>
      <c r="K422" s="16"/>
      <c r="L422" s="16"/>
      <c r="M422" s="16"/>
    </row>
    <row r="423" spans="3:17" x14ac:dyDescent="0.2">
      <c r="L423" s="3"/>
      <c r="M423" s="3"/>
    </row>
    <row r="424" spans="3:17" x14ac:dyDescent="0.2">
      <c r="K424" s="3"/>
      <c r="L424" s="3"/>
      <c r="M424" s="3"/>
    </row>
    <row r="425" spans="3:17" x14ac:dyDescent="0.2">
      <c r="K425" s="3"/>
      <c r="L425" s="3"/>
      <c r="M425" s="3"/>
    </row>
    <row r="426" spans="3:17" x14ac:dyDescent="0.2">
      <c r="K426" s="3"/>
      <c r="L426" s="3"/>
      <c r="M426" s="3"/>
    </row>
    <row r="427" spans="3:17" x14ac:dyDescent="0.2">
      <c r="C427" s="16">
        <v>4.3325899968142734E-2</v>
      </c>
      <c r="D427" s="16">
        <v>-3.3026670597034458E-2</v>
      </c>
      <c r="E427" s="16"/>
      <c r="F427" s="16"/>
      <c r="G427" s="16"/>
      <c r="H427" s="16"/>
      <c r="K427" s="3"/>
      <c r="L427" s="3"/>
      <c r="M427" s="3"/>
    </row>
    <row r="428" spans="3:17" x14ac:dyDescent="0.2">
      <c r="J428" s="2">
        <v>3.7819799777530472E-2</v>
      </c>
      <c r="K428" s="3">
        <v>8.9068194259782629E-3</v>
      </c>
      <c r="L428" s="2">
        <v>0.10753323485967514</v>
      </c>
      <c r="M428" s="3">
        <v>6.203904800330684E-2</v>
      </c>
      <c r="N428" s="2">
        <v>0.11900117050331649</v>
      </c>
      <c r="O428" s="3">
        <v>-7.8185350938175024E-2</v>
      </c>
      <c r="P428" s="2">
        <v>0.17250583917250606</v>
      </c>
      <c r="Q428" s="3">
        <v>0.17236270763912787</v>
      </c>
    </row>
    <row r="431" spans="3:17" x14ac:dyDescent="0.2">
      <c r="L431" s="3"/>
      <c r="M431" s="3"/>
    </row>
    <row r="432" spans="3:17" x14ac:dyDescent="0.2">
      <c r="K432" s="3"/>
      <c r="L432" s="3"/>
      <c r="M432" s="3"/>
    </row>
    <row r="433" spans="6:22" x14ac:dyDescent="0.2">
      <c r="K433" s="3"/>
      <c r="L433" s="3"/>
      <c r="M433" s="3"/>
    </row>
    <row r="434" spans="6:22" x14ac:dyDescent="0.2">
      <c r="F434" s="16"/>
      <c r="G434" s="16"/>
      <c r="H434" s="16"/>
      <c r="I434" s="16"/>
      <c r="J434" s="16"/>
      <c r="K434" s="16"/>
      <c r="L434" s="16"/>
      <c r="M434" s="16"/>
      <c r="N434" s="16"/>
      <c r="O434" s="16"/>
    </row>
    <row r="436" spans="6:22" x14ac:dyDescent="0.2">
      <c r="L436" s="3"/>
      <c r="M436" s="3"/>
    </row>
    <row r="437" spans="6:22" x14ac:dyDescent="0.2">
      <c r="K437" s="3"/>
      <c r="L437" s="3"/>
      <c r="M437" s="3"/>
    </row>
    <row r="438" spans="6:22" x14ac:dyDescent="0.2">
      <c r="K438" s="3"/>
      <c r="L438" s="3"/>
      <c r="M438" s="3"/>
    </row>
    <row r="439" spans="6:22" x14ac:dyDescent="0.2">
      <c r="K439" s="3"/>
      <c r="L439" s="3"/>
      <c r="M439" s="3"/>
    </row>
    <row r="440" spans="6:22" x14ac:dyDescent="0.2">
      <c r="K440" s="3"/>
      <c r="L440" s="3"/>
      <c r="M440" s="3"/>
    </row>
    <row r="441" spans="6:22" x14ac:dyDescent="0.2">
      <c r="F441" s="2">
        <v>0.10753323485967514</v>
      </c>
      <c r="G441" s="2">
        <v>6.0530984851268954E-2</v>
      </c>
      <c r="H441" s="2">
        <v>0.11900117050331649</v>
      </c>
      <c r="I441" s="2">
        <v>-7.5101786982000429E-2</v>
      </c>
      <c r="J441" s="2">
        <v>0.17250583917250606</v>
      </c>
      <c r="K441" s="2">
        <v>0.20129018664485265</v>
      </c>
      <c r="L441" s="2">
        <v>-0.13969658659924133</v>
      </c>
      <c r="M441" s="2">
        <v>-0.12752362159292507</v>
      </c>
    </row>
    <row r="442" spans="6:22" x14ac:dyDescent="0.2">
      <c r="L442" s="3"/>
      <c r="M442" s="3"/>
    </row>
    <row r="443" spans="6:22" x14ac:dyDescent="0.2">
      <c r="K443" s="3"/>
      <c r="L443" s="3"/>
      <c r="M443" s="3"/>
    </row>
    <row r="444" spans="6:22" x14ac:dyDescent="0.2">
      <c r="K444" s="3"/>
      <c r="L444" s="3"/>
      <c r="M444" s="3"/>
    </row>
    <row r="445" spans="6:22" x14ac:dyDescent="0.2">
      <c r="K445" s="3"/>
      <c r="L445" s="3"/>
      <c r="M445" s="3"/>
    </row>
    <row r="446" spans="6:22" x14ac:dyDescent="0.2">
      <c r="K446" s="3"/>
      <c r="L446" s="3"/>
      <c r="M446" s="3"/>
    </row>
    <row r="447" spans="6:22" x14ac:dyDescent="0.2">
      <c r="U447" s="2">
        <v>6.745459786682062E-2</v>
      </c>
      <c r="V447" s="2">
        <v>6.6884488298437406E-2</v>
      </c>
    </row>
    <row r="452" spans="4:14" x14ac:dyDescent="0.2">
      <c r="D452" s="2">
        <v>0.11900117050331649</v>
      </c>
      <c r="E452" s="2">
        <v>-7.2736896137975293E-2</v>
      </c>
      <c r="F452" s="2">
        <v>0.17250583917250606</v>
      </c>
      <c r="G452" s="2">
        <v>0.1914181455656363</v>
      </c>
      <c r="H452" s="2">
        <v>-0.13969658659924133</v>
      </c>
      <c r="I452" s="2">
        <v>-0.11356768669089456</v>
      </c>
      <c r="J452" s="2">
        <v>0.17110036275695295</v>
      </c>
      <c r="K452" s="2">
        <v>0.11687635006582764</v>
      </c>
      <c r="M452" s="3"/>
    </row>
    <row r="453" spans="4:14" x14ac:dyDescent="0.2">
      <c r="K453" s="3"/>
      <c r="L453" s="3"/>
      <c r="M453" s="3"/>
    </row>
    <row r="454" spans="4:14" x14ac:dyDescent="0.2">
      <c r="K454" s="3"/>
      <c r="L454" s="3"/>
      <c r="M454" s="3"/>
    </row>
    <row r="455" spans="4:14" x14ac:dyDescent="0.2">
      <c r="K455" s="3"/>
      <c r="L455" s="3"/>
      <c r="M455" s="3"/>
    </row>
    <row r="456" spans="4:14" x14ac:dyDescent="0.2">
      <c r="K456" s="3"/>
      <c r="L456" s="3"/>
      <c r="M456" s="3"/>
    </row>
    <row r="457" spans="4:14" x14ac:dyDescent="0.2">
      <c r="G457" s="2">
        <v>-0.11490394211871546</v>
      </c>
      <c r="H457" s="2">
        <v>-0.11490394211871546</v>
      </c>
      <c r="I457" s="2">
        <v>0.11842217036588876</v>
      </c>
      <c r="J457" s="2">
        <v>0.11842217036588876</v>
      </c>
      <c r="K457" s="2">
        <v>3.7731635638722505E-3</v>
      </c>
      <c r="L457" s="2">
        <v>3.7731635638722505E-3</v>
      </c>
      <c r="M457" s="2">
        <v>9.8496960182206106E-3</v>
      </c>
      <c r="N457" s="2">
        <v>9.8496960182206106E-3</v>
      </c>
    </row>
    <row r="458" spans="4:14" x14ac:dyDescent="0.2">
      <c r="M458" s="3"/>
    </row>
    <row r="459" spans="4:14" x14ac:dyDescent="0.2">
      <c r="K459" s="3"/>
      <c r="L459" s="3"/>
      <c r="M459" s="3"/>
    </row>
    <row r="460" spans="4:14" x14ac:dyDescent="0.2">
      <c r="K460" s="3"/>
      <c r="L460" s="3"/>
      <c r="M460" s="3"/>
    </row>
    <row r="461" spans="4:14" x14ac:dyDescent="0.2">
      <c r="K461" s="3"/>
      <c r="L461" s="3"/>
      <c r="M461" s="3"/>
    </row>
    <row r="462" spans="4:14" x14ac:dyDescent="0.2">
      <c r="K462" s="3"/>
      <c r="L462" s="3"/>
      <c r="M462" s="3"/>
    </row>
    <row r="463" spans="4:14" x14ac:dyDescent="0.2">
      <c r="K463" s="3"/>
      <c r="L463" s="3"/>
      <c r="M463" s="3"/>
    </row>
    <row r="464" spans="4:14" x14ac:dyDescent="0.2">
      <c r="K464" s="3"/>
      <c r="L464" s="3"/>
      <c r="M464" s="3"/>
    </row>
    <row r="465" spans="11:18" x14ac:dyDescent="0.2">
      <c r="K465" s="3"/>
      <c r="L465" s="3"/>
      <c r="M465" s="3"/>
    </row>
    <row r="466" spans="11:18" x14ac:dyDescent="0.2">
      <c r="K466" s="3"/>
      <c r="L466" s="3"/>
      <c r="M466" s="3"/>
    </row>
    <row r="467" spans="11:18" x14ac:dyDescent="0.2">
      <c r="K467" s="3"/>
      <c r="L467" s="3"/>
      <c r="M467" s="3"/>
    </row>
    <row r="468" spans="11:18" x14ac:dyDescent="0.2">
      <c r="K468" s="5" t="e">
        <f>+G468/G456-1</f>
        <v>#DIV/0!</v>
      </c>
      <c r="L468" s="5">
        <f>+AVERAGE(D$325:D468)/AVERAGE(D$313:D456)-1</f>
        <v>-0.99984790027736781</v>
      </c>
      <c r="M468" s="5" t="e">
        <f>+H468/H467-1</f>
        <v>#DIV/0!</v>
      </c>
      <c r="N468" s="5" t="e">
        <f t="shared" ref="N468:N471" si="621">+H468/H467-1</f>
        <v>#DIV/0!</v>
      </c>
    </row>
    <row r="469" spans="11:18" x14ac:dyDescent="0.2">
      <c r="K469" s="5">
        <f>+G469/G457-1</f>
        <v>-1</v>
      </c>
      <c r="L469" s="5">
        <f>+AVERAGE(D$325:D469)/AVERAGE(D$313:D457)-1</f>
        <v>-0.99984790027736781</v>
      </c>
      <c r="M469" s="5" t="e">
        <f>+H469/H468-1</f>
        <v>#DIV/0!</v>
      </c>
      <c r="N469" s="5" t="e">
        <f t="shared" si="621"/>
        <v>#DIV/0!</v>
      </c>
    </row>
    <row r="470" spans="11:18" x14ac:dyDescent="0.2">
      <c r="K470" s="5">
        <f>+G470/I457-1</f>
        <v>-1</v>
      </c>
      <c r="L470" s="5">
        <f>+AVERAGE(D$325:D470)/AVERAGE(D$313:D458)-1</f>
        <v>-0.99984790027736781</v>
      </c>
      <c r="M470" s="5" t="e">
        <f>+H470/H469-1</f>
        <v>#DIV/0!</v>
      </c>
      <c r="N470" s="5" t="e">
        <f t="shared" si="621"/>
        <v>#DIV/0!</v>
      </c>
    </row>
    <row r="471" spans="11:18" x14ac:dyDescent="0.2">
      <c r="K471" s="5">
        <f>+G471/K457-1</f>
        <v>-1</v>
      </c>
      <c r="L471" s="5">
        <f>+AVERAGE(D$325:D471)/AVERAGE(D$313:D459)-1</f>
        <v>-0.99984790027736781</v>
      </c>
      <c r="M471" s="5" t="e">
        <f>+H471/H470-1</f>
        <v>#DIV/0!</v>
      </c>
      <c r="N471" s="5" t="e">
        <f t="shared" si="621"/>
        <v>#DIV/0!</v>
      </c>
    </row>
    <row r="472" spans="11:18" x14ac:dyDescent="0.2">
      <c r="K472" s="3"/>
      <c r="L472" s="3"/>
      <c r="M472" s="3"/>
    </row>
    <row r="473" spans="11:18" x14ac:dyDescent="0.2">
      <c r="K473" s="3"/>
      <c r="L473" s="3"/>
      <c r="M473" s="3"/>
    </row>
    <row r="474" spans="11:18" x14ac:dyDescent="0.2">
      <c r="K474" s="3"/>
      <c r="L474" s="3"/>
      <c r="M474" s="3"/>
    </row>
    <row r="475" spans="11:18" x14ac:dyDescent="0.2">
      <c r="K475" s="3"/>
      <c r="L475" s="3"/>
      <c r="M475" s="3"/>
    </row>
    <row r="476" spans="11:18" x14ac:dyDescent="0.2">
      <c r="K476" s="3"/>
      <c r="L476" s="3"/>
      <c r="M476" s="3"/>
    </row>
    <row r="477" spans="11:18" x14ac:dyDescent="0.2">
      <c r="K477" s="3"/>
      <c r="L477" s="3"/>
      <c r="M477" s="3"/>
    </row>
    <row r="478" spans="11:18" x14ac:dyDescent="0.2">
      <c r="K478" s="3"/>
      <c r="L478" s="3"/>
      <c r="M478" s="3"/>
    </row>
    <row r="479" spans="11:18" x14ac:dyDescent="0.2">
      <c r="K479" s="6">
        <v>0.17250583917250606</v>
      </c>
      <c r="L479" s="6">
        <v>0.19254435201803988</v>
      </c>
      <c r="M479" s="6">
        <v>-0.13969658659924133</v>
      </c>
      <c r="N479" s="6">
        <v>-0.11338325528264859</v>
      </c>
      <c r="O479" s="6">
        <v>0.17110036275695295</v>
      </c>
      <c r="P479" s="6">
        <v>0.11762576108697798</v>
      </c>
      <c r="Q479" s="6">
        <v>0.1833648393194709</v>
      </c>
      <c r="R479" s="6">
        <v>3.6063921192170945E-3</v>
      </c>
    </row>
    <row r="482" spans="11:13" x14ac:dyDescent="0.2">
      <c r="M482" s="3"/>
    </row>
    <row r="483" spans="11:13" x14ac:dyDescent="0.2">
      <c r="K483" s="3"/>
      <c r="L483" s="3"/>
      <c r="M483" s="3"/>
    </row>
    <row r="484" spans="11:13" x14ac:dyDescent="0.2">
      <c r="K484" s="3"/>
      <c r="L484" s="3"/>
      <c r="M484" s="3"/>
    </row>
    <row r="485" spans="11:13" x14ac:dyDescent="0.2">
      <c r="K485" s="3"/>
      <c r="L485" s="3"/>
      <c r="M485" s="3"/>
    </row>
    <row r="486" spans="11:13" x14ac:dyDescent="0.2">
      <c r="K486" s="3"/>
      <c r="L486" s="3"/>
      <c r="M486" s="3"/>
    </row>
    <row r="487" spans="11:13" x14ac:dyDescent="0.2">
      <c r="K487" s="3"/>
      <c r="L487" s="3"/>
      <c r="M487" s="3"/>
    </row>
    <row r="488" spans="11:13" x14ac:dyDescent="0.2">
      <c r="K488" s="3"/>
      <c r="L488" s="3"/>
      <c r="M488" s="3"/>
    </row>
    <row r="489" spans="11:13" x14ac:dyDescent="0.2">
      <c r="K489" s="3"/>
      <c r="L489" s="3"/>
      <c r="M489" s="3"/>
    </row>
    <row r="490" spans="11:13" x14ac:dyDescent="0.2">
      <c r="K490" s="3"/>
      <c r="L490" s="3"/>
      <c r="M490" s="3"/>
    </row>
    <row r="491" spans="11:13" x14ac:dyDescent="0.2">
      <c r="K491" s="3"/>
      <c r="L491" s="3"/>
      <c r="M491" s="3"/>
    </row>
    <row r="492" spans="11:13" x14ac:dyDescent="0.2">
      <c r="K492" s="3"/>
      <c r="L492" s="3"/>
      <c r="M492" s="3"/>
    </row>
    <row r="493" spans="11:13" x14ac:dyDescent="0.2">
      <c r="K493" s="3"/>
      <c r="L493" s="3"/>
      <c r="M493" s="3"/>
    </row>
    <row r="494" spans="11:13" x14ac:dyDescent="0.2">
      <c r="K494" s="3"/>
      <c r="L494" s="3"/>
      <c r="M494" s="3"/>
    </row>
    <row r="495" spans="11:13" x14ac:dyDescent="0.2">
      <c r="K495" s="3"/>
      <c r="L495" s="3"/>
      <c r="M495" s="3"/>
    </row>
    <row r="496" spans="11:13" x14ac:dyDescent="0.2">
      <c r="K496" s="3"/>
      <c r="L496" s="3"/>
      <c r="M496" s="3"/>
    </row>
    <row r="497" spans="11:13" x14ac:dyDescent="0.2">
      <c r="K497" s="3"/>
      <c r="L497" s="3"/>
      <c r="M497" s="3"/>
    </row>
    <row r="498" spans="11:13" x14ac:dyDescent="0.2">
      <c r="K498" s="3"/>
      <c r="L498" s="3"/>
      <c r="M498" s="3"/>
    </row>
    <row r="499" spans="11:13" x14ac:dyDescent="0.2">
      <c r="K499" s="3"/>
      <c r="L499" s="3"/>
      <c r="M499" s="3"/>
    </row>
    <row r="500" spans="11:13" x14ac:dyDescent="0.2">
      <c r="K500" s="3"/>
      <c r="L500" s="3"/>
      <c r="M500" s="3"/>
    </row>
    <row r="501" spans="11:13" x14ac:dyDescent="0.2">
      <c r="K501" s="3"/>
      <c r="L501" s="3"/>
      <c r="M501" s="3"/>
    </row>
    <row r="502" spans="11:13" x14ac:dyDescent="0.2">
      <c r="K502" s="3"/>
      <c r="L502" s="3"/>
      <c r="M502" s="3"/>
    </row>
    <row r="503" spans="11:13" x14ac:dyDescent="0.2">
      <c r="K503" s="3"/>
      <c r="L503" s="3"/>
      <c r="M503" s="3"/>
    </row>
    <row r="504" spans="11:13" x14ac:dyDescent="0.2">
      <c r="K504" s="3"/>
      <c r="L504" s="3"/>
      <c r="M504" s="3"/>
    </row>
    <row r="505" spans="11:13" x14ac:dyDescent="0.2">
      <c r="K505" s="3"/>
      <c r="L505" s="3"/>
      <c r="M505" s="3"/>
    </row>
    <row r="506" spans="11:13" x14ac:dyDescent="0.2">
      <c r="K506" s="3"/>
      <c r="L506" s="3"/>
      <c r="M506" s="3"/>
    </row>
    <row r="507" spans="11:13" x14ac:dyDescent="0.2">
      <c r="K507" s="3"/>
      <c r="L507" s="3"/>
      <c r="M507" s="3"/>
    </row>
    <row r="508" spans="11:13" x14ac:dyDescent="0.2">
      <c r="K508" s="3"/>
      <c r="L508" s="3"/>
      <c r="M508" s="3"/>
    </row>
    <row r="509" spans="11:13" x14ac:dyDescent="0.2">
      <c r="K509" s="3"/>
      <c r="L509" s="3"/>
      <c r="M509" s="3"/>
    </row>
    <row r="510" spans="11:13" x14ac:dyDescent="0.2">
      <c r="K510" s="3"/>
      <c r="L510" s="3"/>
      <c r="M510" s="3"/>
    </row>
    <row r="511" spans="11:13" x14ac:dyDescent="0.2">
      <c r="K511" s="3"/>
      <c r="L511" s="3"/>
      <c r="M511" s="3"/>
    </row>
    <row r="512" spans="11:13" x14ac:dyDescent="0.2">
      <c r="K512" s="3"/>
      <c r="L512" s="3"/>
      <c r="M512" s="3"/>
    </row>
    <row r="513" spans="11:13" x14ac:dyDescent="0.2">
      <c r="K513" s="3"/>
      <c r="L513" s="3"/>
      <c r="M513" s="3"/>
    </row>
    <row r="514" spans="11:13" x14ac:dyDescent="0.2">
      <c r="K514" s="3"/>
      <c r="L514" s="3"/>
      <c r="M514" s="3"/>
    </row>
    <row r="515" spans="11:13" x14ac:dyDescent="0.2">
      <c r="K515" s="3"/>
      <c r="L515" s="3"/>
      <c r="M515" s="3"/>
    </row>
    <row r="516" spans="11:13" x14ac:dyDescent="0.2">
      <c r="K516" s="3"/>
      <c r="L516" s="3"/>
      <c r="M516" s="3"/>
    </row>
    <row r="517" spans="11:13" x14ac:dyDescent="0.2">
      <c r="K517" s="3"/>
      <c r="L517" s="3"/>
      <c r="M517" s="3"/>
    </row>
    <row r="518" spans="11:13" x14ac:dyDescent="0.2">
      <c r="K518" s="3"/>
      <c r="L518" s="3"/>
      <c r="M518" s="3"/>
    </row>
    <row r="519" spans="11:13" x14ac:dyDescent="0.2">
      <c r="K519" s="3"/>
      <c r="L519" s="3"/>
      <c r="M519" s="3"/>
    </row>
    <row r="520" spans="11:13" x14ac:dyDescent="0.2">
      <c r="K520" s="3"/>
      <c r="L520" s="3"/>
      <c r="M520" s="3"/>
    </row>
    <row r="521" spans="11:13" x14ac:dyDescent="0.2">
      <c r="K521" s="3"/>
      <c r="L521" s="3"/>
      <c r="M521" s="3"/>
    </row>
    <row r="522" spans="11:13" x14ac:dyDescent="0.2">
      <c r="K522" s="3"/>
      <c r="L522" s="3"/>
      <c r="M522" s="3"/>
    </row>
    <row r="523" spans="11:13" x14ac:dyDescent="0.2">
      <c r="K523" s="3"/>
      <c r="L523" s="3"/>
      <c r="M523" s="3"/>
    </row>
    <row r="524" spans="11:13" x14ac:dyDescent="0.2">
      <c r="K524" s="3"/>
      <c r="L524" s="3"/>
      <c r="M524" s="3"/>
    </row>
    <row r="525" spans="11:13" x14ac:dyDescent="0.2">
      <c r="K525" s="3"/>
      <c r="L525" s="3"/>
      <c r="M525" s="3"/>
    </row>
    <row r="526" spans="11:13" x14ac:dyDescent="0.2">
      <c r="K526" s="3"/>
      <c r="L526" s="3"/>
      <c r="M526" s="3"/>
    </row>
    <row r="527" spans="11:13" x14ac:dyDescent="0.2">
      <c r="K527" s="3"/>
      <c r="L527" s="3"/>
      <c r="M527" s="3"/>
    </row>
    <row r="528" spans="11:13" x14ac:dyDescent="0.2">
      <c r="K528" s="3"/>
      <c r="L528" s="3"/>
      <c r="M528" s="3"/>
    </row>
    <row r="529" spans="11:13" x14ac:dyDescent="0.2">
      <c r="K529" s="3"/>
      <c r="L529" s="3"/>
      <c r="M529" s="3"/>
    </row>
    <row r="530" spans="11:13" x14ac:dyDescent="0.2">
      <c r="K530" s="3"/>
      <c r="L530" s="3"/>
      <c r="M530" s="3"/>
    </row>
    <row r="531" spans="11:13" x14ac:dyDescent="0.2">
      <c r="K531" s="3"/>
      <c r="L531" s="3"/>
      <c r="M531" s="3"/>
    </row>
    <row r="532" spans="11:13" x14ac:dyDescent="0.2">
      <c r="K532" s="3"/>
      <c r="L532" s="3"/>
      <c r="M532" s="3"/>
    </row>
    <row r="533" spans="11:13" x14ac:dyDescent="0.2">
      <c r="K533" s="3"/>
      <c r="L533" s="3"/>
      <c r="M533" s="3"/>
    </row>
    <row r="534" spans="11:13" x14ac:dyDescent="0.2">
      <c r="K534" s="3"/>
      <c r="L534" s="3"/>
      <c r="M534" s="3"/>
    </row>
    <row r="535" spans="11:13" x14ac:dyDescent="0.2">
      <c r="K535" s="3"/>
      <c r="L535" s="3"/>
      <c r="M535" s="3"/>
    </row>
    <row r="536" spans="11:13" x14ac:dyDescent="0.2">
      <c r="K536" s="3"/>
      <c r="L536" s="3"/>
      <c r="M536" s="3"/>
    </row>
    <row r="537" spans="11:13" x14ac:dyDescent="0.2">
      <c r="K537" s="3"/>
      <c r="L537" s="3"/>
      <c r="M537" s="3"/>
    </row>
    <row r="538" spans="11:13" x14ac:dyDescent="0.2">
      <c r="K538" s="3"/>
      <c r="L538" s="3"/>
      <c r="M538" s="3"/>
    </row>
    <row r="539" spans="11:13" x14ac:dyDescent="0.2">
      <c r="K539" s="3"/>
      <c r="L539" s="3"/>
      <c r="M539" s="3"/>
    </row>
    <row r="540" spans="11:13" x14ac:dyDescent="0.2">
      <c r="K540" s="3"/>
      <c r="L540" s="3"/>
      <c r="M540" s="3"/>
    </row>
    <row r="541" spans="11:13" x14ac:dyDescent="0.2">
      <c r="K541" s="3"/>
      <c r="L541" s="3"/>
      <c r="M541" s="3"/>
    </row>
    <row r="542" spans="11:13" x14ac:dyDescent="0.2">
      <c r="K542" s="3"/>
      <c r="L542" s="3"/>
      <c r="M542" s="3"/>
    </row>
    <row r="543" spans="11:13" x14ac:dyDescent="0.2">
      <c r="K543" s="3"/>
      <c r="L543" s="3"/>
      <c r="M543" s="3"/>
    </row>
    <row r="544" spans="11:13" x14ac:dyDescent="0.2">
      <c r="K544" s="3"/>
      <c r="L544" s="3"/>
      <c r="M544" s="3"/>
    </row>
    <row r="545" spans="11:13" x14ac:dyDescent="0.2">
      <c r="K545" s="3"/>
      <c r="L545" s="3"/>
      <c r="M545" s="3"/>
    </row>
    <row r="546" spans="11:13" x14ac:dyDescent="0.2">
      <c r="K546" s="3"/>
      <c r="L546" s="3"/>
      <c r="M546" s="3"/>
    </row>
    <row r="547" spans="11:13" x14ac:dyDescent="0.2">
      <c r="K547" s="3"/>
      <c r="L547" s="3"/>
      <c r="M547" s="3"/>
    </row>
    <row r="548" spans="11:13" x14ac:dyDescent="0.2">
      <c r="K548" s="3"/>
      <c r="L548" s="3"/>
      <c r="M548" s="3"/>
    </row>
    <row r="549" spans="11:13" x14ac:dyDescent="0.2">
      <c r="K549" s="3"/>
      <c r="L549" s="3"/>
      <c r="M549" s="3"/>
    </row>
    <row r="550" spans="11:13" x14ac:dyDescent="0.2">
      <c r="K550" s="3"/>
      <c r="L550" s="3"/>
      <c r="M550" s="3"/>
    </row>
    <row r="551" spans="11:13" x14ac:dyDescent="0.2">
      <c r="K551" s="3"/>
      <c r="L551" s="3"/>
      <c r="M551" s="3"/>
    </row>
    <row r="552" spans="11:13" x14ac:dyDescent="0.2">
      <c r="K552" s="3"/>
      <c r="L552" s="3"/>
      <c r="M552" s="3"/>
    </row>
    <row r="553" spans="11:13" x14ac:dyDescent="0.2">
      <c r="K553" s="3"/>
      <c r="L553" s="3"/>
      <c r="M553" s="3"/>
    </row>
    <row r="554" spans="11:13" x14ac:dyDescent="0.2">
      <c r="K554" s="3"/>
      <c r="L554" s="3"/>
      <c r="M554" s="3"/>
    </row>
    <row r="555" spans="11:13" x14ac:dyDescent="0.2">
      <c r="K555" s="3"/>
      <c r="L555" s="3"/>
      <c r="M555" s="3"/>
    </row>
    <row r="556" spans="11:13" x14ac:dyDescent="0.2">
      <c r="K556" s="3"/>
      <c r="L556" s="3"/>
      <c r="M556" s="3"/>
    </row>
    <row r="557" spans="11:13" x14ac:dyDescent="0.2">
      <c r="K557" s="3"/>
      <c r="L557" s="3"/>
      <c r="M557" s="3"/>
    </row>
    <row r="558" spans="11:13" x14ac:dyDescent="0.2">
      <c r="K558" s="3"/>
      <c r="L558" s="3"/>
      <c r="M558" s="3"/>
    </row>
    <row r="559" spans="11:13" x14ac:dyDescent="0.2">
      <c r="K559" s="3"/>
      <c r="L559" s="3"/>
      <c r="M559" s="3"/>
    </row>
    <row r="560" spans="11:13" x14ac:dyDescent="0.2">
      <c r="K560" s="3"/>
      <c r="L560" s="3"/>
      <c r="M560" s="3"/>
    </row>
    <row r="561" spans="11:13" x14ac:dyDescent="0.2">
      <c r="K561" s="3"/>
      <c r="L561" s="3"/>
      <c r="M561" s="3"/>
    </row>
    <row r="562" spans="11:13" x14ac:dyDescent="0.2">
      <c r="K562" s="3"/>
      <c r="L562" s="3"/>
      <c r="M562" s="3"/>
    </row>
    <row r="563" spans="11:13" x14ac:dyDescent="0.2">
      <c r="K563" s="3"/>
      <c r="L563" s="3"/>
      <c r="M563" s="3"/>
    </row>
    <row r="564" spans="11:13" x14ac:dyDescent="0.2">
      <c r="K564" s="3"/>
      <c r="L564" s="3"/>
      <c r="M564" s="3"/>
    </row>
    <row r="565" spans="11:13" x14ac:dyDescent="0.2">
      <c r="K565" s="3"/>
      <c r="L565" s="3"/>
      <c r="M565" s="3"/>
    </row>
    <row r="566" spans="11:13" x14ac:dyDescent="0.2">
      <c r="K566" s="3"/>
      <c r="L566" s="3"/>
      <c r="M566" s="3"/>
    </row>
    <row r="567" spans="11:13" x14ac:dyDescent="0.2">
      <c r="K567" s="3"/>
      <c r="L567" s="3"/>
      <c r="M567" s="3"/>
    </row>
    <row r="568" spans="11:13" x14ac:dyDescent="0.2">
      <c r="K568" s="3"/>
      <c r="L568" s="3"/>
      <c r="M568" s="3"/>
    </row>
    <row r="569" spans="11:13" x14ac:dyDescent="0.2">
      <c r="K569" s="3"/>
      <c r="L569" s="3"/>
      <c r="M569" s="3"/>
    </row>
    <row r="570" spans="11:13" x14ac:dyDescent="0.2">
      <c r="K570" s="3"/>
      <c r="L570" s="3"/>
      <c r="M570" s="3"/>
    </row>
    <row r="571" spans="11:13" x14ac:dyDescent="0.2">
      <c r="K571" s="3"/>
      <c r="L571" s="3"/>
      <c r="M571" s="3"/>
    </row>
    <row r="572" spans="11:13" x14ac:dyDescent="0.2">
      <c r="K572" s="3"/>
      <c r="L572" s="3"/>
      <c r="M572" s="3"/>
    </row>
    <row r="573" spans="11:13" x14ac:dyDescent="0.2">
      <c r="K573" s="3"/>
      <c r="L573" s="3"/>
      <c r="M573" s="3"/>
    </row>
    <row r="574" spans="11:13" x14ac:dyDescent="0.2">
      <c r="K574" s="3"/>
      <c r="L574" s="3"/>
      <c r="M574" s="3"/>
    </row>
    <row r="575" spans="11:13" x14ac:dyDescent="0.2">
      <c r="K575" s="3"/>
      <c r="L575" s="3"/>
      <c r="M575" s="3"/>
    </row>
    <row r="576" spans="11:13" x14ac:dyDescent="0.2">
      <c r="K576" s="3"/>
      <c r="L576" s="3"/>
      <c r="M576" s="3"/>
    </row>
    <row r="577" spans="11:13" x14ac:dyDescent="0.2">
      <c r="K577" s="3"/>
      <c r="L577" s="3"/>
      <c r="M577" s="3"/>
    </row>
    <row r="578" spans="11:13" x14ac:dyDescent="0.2">
      <c r="K578" s="3"/>
      <c r="L578" s="3"/>
      <c r="M578" s="3"/>
    </row>
    <row r="579" spans="11:13" x14ac:dyDescent="0.2">
      <c r="K579" s="3"/>
      <c r="L579" s="3"/>
      <c r="M579" s="3"/>
    </row>
    <row r="580" spans="11:13" x14ac:dyDescent="0.2">
      <c r="K580" s="3"/>
      <c r="L580" s="3"/>
      <c r="M580" s="3"/>
    </row>
    <row r="581" spans="11:13" x14ac:dyDescent="0.2">
      <c r="K581" s="3"/>
      <c r="L581" s="3"/>
      <c r="M581" s="3"/>
    </row>
    <row r="582" spans="11:13" x14ac:dyDescent="0.2">
      <c r="K582" s="3"/>
      <c r="L582" s="3"/>
      <c r="M582" s="3"/>
    </row>
    <row r="583" spans="11:13" x14ac:dyDescent="0.2">
      <c r="K583" s="3"/>
      <c r="L583" s="3"/>
      <c r="M583" s="3"/>
    </row>
    <row r="584" spans="11:13" x14ac:dyDescent="0.2">
      <c r="K584" s="3"/>
      <c r="L584" s="3"/>
      <c r="M584" s="3"/>
    </row>
    <row r="585" spans="11:13" x14ac:dyDescent="0.2">
      <c r="K585" s="3"/>
      <c r="L585" s="3"/>
      <c r="M585" s="3"/>
    </row>
    <row r="586" spans="11:13" x14ac:dyDescent="0.2">
      <c r="K586" s="3"/>
      <c r="L586" s="3"/>
      <c r="M586" s="3"/>
    </row>
    <row r="587" spans="11:13" x14ac:dyDescent="0.2">
      <c r="K587" s="3"/>
      <c r="L587" s="3"/>
      <c r="M587" s="3"/>
    </row>
    <row r="588" spans="11:13" x14ac:dyDescent="0.2">
      <c r="K588" s="3"/>
      <c r="L588" s="3"/>
      <c r="M588" s="3"/>
    </row>
    <row r="589" spans="11:13" x14ac:dyDescent="0.2">
      <c r="K589" s="3"/>
      <c r="L589" s="3"/>
      <c r="M589" s="3"/>
    </row>
    <row r="590" spans="11:13" x14ac:dyDescent="0.2">
      <c r="K590" s="3"/>
      <c r="L590" s="3"/>
      <c r="M590" s="3"/>
    </row>
    <row r="591" spans="11:13" x14ac:dyDescent="0.2">
      <c r="K591" s="3"/>
      <c r="L591" s="3"/>
      <c r="M591" s="3"/>
    </row>
    <row r="592" spans="11:13" x14ac:dyDescent="0.2">
      <c r="K592" s="3"/>
      <c r="L592" s="3"/>
      <c r="M592" s="3"/>
    </row>
    <row r="593" spans="11:13" x14ac:dyDescent="0.2">
      <c r="K593" s="3"/>
      <c r="L593" s="3"/>
      <c r="M593" s="3"/>
    </row>
    <row r="594" spans="11:13" x14ac:dyDescent="0.2">
      <c r="K594" s="3"/>
      <c r="L594" s="3"/>
      <c r="M594" s="3"/>
    </row>
    <row r="595" spans="11:13" x14ac:dyDescent="0.2">
      <c r="K595" s="3"/>
      <c r="L595" s="3"/>
      <c r="M595" s="3"/>
    </row>
    <row r="596" spans="11:13" x14ac:dyDescent="0.2">
      <c r="K596" s="3"/>
      <c r="L596" s="3"/>
      <c r="M596" s="3"/>
    </row>
    <row r="597" spans="11:13" x14ac:dyDescent="0.2">
      <c r="K597" s="3"/>
      <c r="L597" s="3"/>
      <c r="M597" s="3"/>
    </row>
    <row r="598" spans="11:13" x14ac:dyDescent="0.2">
      <c r="K598" s="3"/>
      <c r="L598" s="3"/>
      <c r="M598" s="3"/>
    </row>
    <row r="599" spans="11:13" x14ac:dyDescent="0.2">
      <c r="K599" s="3"/>
      <c r="L599" s="3"/>
      <c r="M599" s="3"/>
    </row>
    <row r="600" spans="11:13" x14ac:dyDescent="0.2">
      <c r="K600" s="3"/>
      <c r="L600" s="3"/>
      <c r="M600" s="3"/>
    </row>
    <row r="601" spans="11:13" x14ac:dyDescent="0.2">
      <c r="K601" s="3"/>
      <c r="L601" s="3"/>
      <c r="M601" s="3"/>
    </row>
    <row r="602" spans="11:13" x14ac:dyDescent="0.2">
      <c r="K602" s="3"/>
      <c r="L602" s="3"/>
      <c r="M602" s="3"/>
    </row>
    <row r="603" spans="11:13" x14ac:dyDescent="0.2">
      <c r="K603" s="3"/>
      <c r="L603" s="3"/>
      <c r="M603" s="3"/>
    </row>
    <row r="604" spans="11:13" x14ac:dyDescent="0.2">
      <c r="K604" s="3"/>
      <c r="L604" s="3"/>
      <c r="M604" s="3"/>
    </row>
    <row r="605" spans="11:13" x14ac:dyDescent="0.2">
      <c r="K605" s="3"/>
      <c r="L605" s="3"/>
      <c r="M605" s="3"/>
    </row>
    <row r="606" spans="11:13" x14ac:dyDescent="0.2">
      <c r="K606" s="3"/>
      <c r="L606" s="3"/>
      <c r="M606" s="3"/>
    </row>
    <row r="607" spans="11:13" x14ac:dyDescent="0.2">
      <c r="K607" s="3"/>
      <c r="L607" s="3"/>
      <c r="M607" s="3"/>
    </row>
    <row r="608" spans="11:13" x14ac:dyDescent="0.2">
      <c r="K608" s="3"/>
      <c r="L608" s="3"/>
      <c r="M608" s="3"/>
    </row>
    <row r="609" spans="11:13" x14ac:dyDescent="0.2">
      <c r="K609" s="3"/>
      <c r="L609" s="3"/>
      <c r="M609" s="3"/>
    </row>
    <row r="610" spans="11:13" x14ac:dyDescent="0.2">
      <c r="K610" s="3"/>
      <c r="L610" s="3"/>
      <c r="M610" s="3"/>
    </row>
    <row r="611" spans="11:13" x14ac:dyDescent="0.2">
      <c r="K611" s="3"/>
      <c r="L611" s="3"/>
      <c r="M611" s="3"/>
    </row>
    <row r="612" spans="11:13" x14ac:dyDescent="0.2">
      <c r="K612" s="3"/>
      <c r="L612" s="3"/>
      <c r="M612" s="3"/>
    </row>
    <row r="613" spans="11:13" x14ac:dyDescent="0.2">
      <c r="K613" s="3"/>
      <c r="L613" s="3"/>
      <c r="M613" s="3"/>
    </row>
    <row r="614" spans="11:13" x14ac:dyDescent="0.2">
      <c r="K614" s="3"/>
      <c r="L614" s="3"/>
      <c r="M614" s="3"/>
    </row>
    <row r="615" spans="11:13" x14ac:dyDescent="0.2">
      <c r="K615" s="3"/>
      <c r="L615" s="3"/>
      <c r="M615" s="3"/>
    </row>
    <row r="616" spans="11:13" x14ac:dyDescent="0.2">
      <c r="K616" s="3"/>
      <c r="L616" s="3"/>
      <c r="M616" s="3"/>
    </row>
    <row r="617" spans="11:13" x14ac:dyDescent="0.2">
      <c r="K617" s="3"/>
      <c r="L617" s="3"/>
      <c r="M617" s="3"/>
    </row>
    <row r="618" spans="11:13" x14ac:dyDescent="0.2">
      <c r="K618" s="3"/>
      <c r="L618" s="3"/>
      <c r="M618" s="3"/>
    </row>
    <row r="619" spans="11:13" x14ac:dyDescent="0.2">
      <c r="K619" s="3"/>
      <c r="L619" s="3"/>
      <c r="M619" s="3"/>
    </row>
    <row r="620" spans="11:13" x14ac:dyDescent="0.2">
      <c r="K620" s="3"/>
      <c r="L620" s="3"/>
      <c r="M620" s="3"/>
    </row>
    <row r="621" spans="11:13" x14ac:dyDescent="0.2">
      <c r="K621" s="3"/>
      <c r="L621" s="3"/>
      <c r="M621" s="3"/>
    </row>
    <row r="622" spans="11:13" x14ac:dyDescent="0.2">
      <c r="K622" s="3"/>
      <c r="L622" s="3"/>
      <c r="M622" s="3"/>
    </row>
    <row r="623" spans="11:13" x14ac:dyDescent="0.2">
      <c r="K623" s="3"/>
      <c r="L623" s="3"/>
      <c r="M623" s="3"/>
    </row>
    <row r="624" spans="11:13" x14ac:dyDescent="0.2">
      <c r="K624" s="3"/>
      <c r="L624" s="3"/>
      <c r="M624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9470-00E3-4C89-B599-12B9CEFC6DA0}">
  <dimension ref="A1:C402"/>
  <sheetViews>
    <sheetView workbookViewId="0">
      <selection activeCell="C2" sqref="C2:C402"/>
    </sheetView>
  </sheetViews>
  <sheetFormatPr baseColWidth="10" defaultRowHeight="15" x14ac:dyDescent="0.25"/>
  <sheetData>
    <row r="1" spans="1:3" x14ac:dyDescent="0.25">
      <c r="A1" s="12" t="s">
        <v>34</v>
      </c>
      <c r="B1" s="12" t="s">
        <v>35</v>
      </c>
      <c r="C1" s="12" t="s">
        <v>36</v>
      </c>
    </row>
    <row r="2" spans="1:3" x14ac:dyDescent="0.25">
      <c r="A2" s="13">
        <v>1993</v>
      </c>
      <c r="B2" s="13">
        <v>1</v>
      </c>
      <c r="C2" s="13">
        <v>243.194674670377</v>
      </c>
    </row>
    <row r="3" spans="1:3" x14ac:dyDescent="0.25">
      <c r="A3" s="13">
        <v>1993</v>
      </c>
      <c r="B3" s="13">
        <v>2</v>
      </c>
      <c r="C3" s="13">
        <v>234.06139758715301</v>
      </c>
    </row>
    <row r="4" spans="1:3" x14ac:dyDescent="0.25">
      <c r="A4" s="13">
        <v>1993</v>
      </c>
      <c r="B4" s="13">
        <v>3</v>
      </c>
      <c r="C4" s="13">
        <v>227.84255339145099</v>
      </c>
    </row>
    <row r="5" spans="1:3" x14ac:dyDescent="0.25">
      <c r="A5" s="13">
        <v>1993</v>
      </c>
      <c r="B5" s="13">
        <v>4</v>
      </c>
      <c r="C5" s="13">
        <v>245.05176587143001</v>
      </c>
    </row>
    <row r="6" spans="1:3" x14ac:dyDescent="0.25">
      <c r="A6" s="13">
        <v>1993</v>
      </c>
      <c r="B6" s="13">
        <v>5</v>
      </c>
      <c r="C6" s="13">
        <v>247.99736948207899</v>
      </c>
    </row>
    <row r="7" spans="1:3" x14ac:dyDescent="0.25">
      <c r="A7" s="13">
        <v>1993</v>
      </c>
      <c r="B7" s="13">
        <v>6</v>
      </c>
      <c r="C7" s="13">
        <v>251.213006003732</v>
      </c>
    </row>
    <row r="8" spans="1:3" x14ac:dyDescent="0.25">
      <c r="A8" s="13">
        <v>1993</v>
      </c>
      <c r="B8" s="13">
        <v>7</v>
      </c>
      <c r="C8" s="13">
        <v>239.233009180707</v>
      </c>
    </row>
    <row r="9" spans="1:3" x14ac:dyDescent="0.25">
      <c r="A9" s="13">
        <v>1993</v>
      </c>
      <c r="B9" s="13">
        <v>8</v>
      </c>
      <c r="C9" s="13">
        <v>245.45786549219699</v>
      </c>
    </row>
    <row r="10" spans="1:3" x14ac:dyDescent="0.25">
      <c r="A10" s="13">
        <v>1993</v>
      </c>
      <c r="B10" s="13">
        <v>9</v>
      </c>
      <c r="C10" s="13">
        <v>254.82449520082901</v>
      </c>
    </row>
    <row r="11" spans="1:3" x14ac:dyDescent="0.25">
      <c r="A11" s="13">
        <v>1993</v>
      </c>
      <c r="B11" s="13">
        <v>10</v>
      </c>
      <c r="C11" s="13">
        <v>237.43709255812499</v>
      </c>
    </row>
    <row r="12" spans="1:3" x14ac:dyDescent="0.25">
      <c r="A12" s="13">
        <v>1993</v>
      </c>
      <c r="B12" s="13">
        <v>11</v>
      </c>
      <c r="C12" s="13">
        <v>233.84554372054501</v>
      </c>
    </row>
    <row r="13" spans="1:3" x14ac:dyDescent="0.25">
      <c r="A13" s="13">
        <v>1993</v>
      </c>
      <c r="B13" s="13">
        <v>12</v>
      </c>
      <c r="C13" s="13">
        <v>232.98815627176799</v>
      </c>
    </row>
    <row r="14" spans="1:3" x14ac:dyDescent="0.25">
      <c r="A14" s="13">
        <v>1994</v>
      </c>
      <c r="B14" s="13">
        <v>1</v>
      </c>
      <c r="C14" s="13">
        <v>259.78990583172799</v>
      </c>
    </row>
    <row r="15" spans="1:3" x14ac:dyDescent="0.25">
      <c r="A15" s="13">
        <v>1994</v>
      </c>
      <c r="B15" s="13">
        <v>2</v>
      </c>
      <c r="C15" s="13">
        <v>250.46368744076699</v>
      </c>
    </row>
    <row r="16" spans="1:3" x14ac:dyDescent="0.25">
      <c r="A16" s="13">
        <v>1994</v>
      </c>
      <c r="B16" s="13">
        <v>3</v>
      </c>
      <c r="C16" s="13">
        <v>267.31420137219101</v>
      </c>
    </row>
    <row r="17" spans="1:3" x14ac:dyDescent="0.25">
      <c r="A17" s="13">
        <v>1994</v>
      </c>
      <c r="B17" s="13">
        <v>4</v>
      </c>
      <c r="C17" s="13">
        <v>285.37715443042498</v>
      </c>
    </row>
    <row r="18" spans="1:3" x14ac:dyDescent="0.25">
      <c r="A18" s="13">
        <v>1994</v>
      </c>
      <c r="B18" s="13">
        <v>5</v>
      </c>
      <c r="C18" s="13">
        <v>264.81046325985602</v>
      </c>
    </row>
    <row r="19" spans="1:3" x14ac:dyDescent="0.25">
      <c r="A19" s="13">
        <v>1994</v>
      </c>
      <c r="B19" s="13">
        <v>6</v>
      </c>
      <c r="C19" s="13">
        <v>262.80379759115198</v>
      </c>
    </row>
    <row r="20" spans="1:3" x14ac:dyDescent="0.25">
      <c r="A20" s="13">
        <v>1994</v>
      </c>
      <c r="B20" s="13">
        <v>7</v>
      </c>
      <c r="C20" s="13">
        <v>269.25903764642999</v>
      </c>
    </row>
    <row r="21" spans="1:3" x14ac:dyDescent="0.25">
      <c r="A21" s="13">
        <v>1994</v>
      </c>
      <c r="B21" s="13">
        <v>8</v>
      </c>
      <c r="C21" s="13">
        <v>292.24788146068499</v>
      </c>
    </row>
    <row r="22" spans="1:3" x14ac:dyDescent="0.25">
      <c r="A22" s="13">
        <v>1994</v>
      </c>
      <c r="B22" s="13">
        <v>9</v>
      </c>
      <c r="C22" s="13">
        <v>288.53037001824799</v>
      </c>
    </row>
    <row r="23" spans="1:3" x14ac:dyDescent="0.25">
      <c r="A23" s="13">
        <v>1994</v>
      </c>
      <c r="B23" s="13">
        <v>10</v>
      </c>
      <c r="C23" s="13">
        <v>297.11997147718398</v>
      </c>
    </row>
    <row r="24" spans="1:3" x14ac:dyDescent="0.25">
      <c r="A24" s="13">
        <v>1994</v>
      </c>
      <c r="B24" s="13">
        <v>11</v>
      </c>
      <c r="C24" s="13">
        <v>272.57612103040702</v>
      </c>
    </row>
    <row r="25" spans="1:3" x14ac:dyDescent="0.25">
      <c r="A25" s="13">
        <v>1994</v>
      </c>
      <c r="B25" s="13">
        <v>12</v>
      </c>
      <c r="C25" s="13">
        <v>301.68826962835402</v>
      </c>
    </row>
    <row r="26" spans="1:3" x14ac:dyDescent="0.25">
      <c r="A26" s="13">
        <v>1995</v>
      </c>
      <c r="B26" s="13">
        <v>1</v>
      </c>
      <c r="C26" s="13">
        <v>296.33996481720499</v>
      </c>
    </row>
    <row r="27" spans="1:3" x14ac:dyDescent="0.25">
      <c r="A27" s="13">
        <v>1995</v>
      </c>
      <c r="B27" s="13">
        <v>2</v>
      </c>
      <c r="C27" s="13">
        <v>293.59300640912301</v>
      </c>
    </row>
    <row r="28" spans="1:3" x14ac:dyDescent="0.25">
      <c r="A28" s="13">
        <v>1995</v>
      </c>
      <c r="B28" s="13">
        <v>3</v>
      </c>
      <c r="C28" s="13">
        <v>296.33967048753402</v>
      </c>
    </row>
    <row r="29" spans="1:3" x14ac:dyDescent="0.25">
      <c r="A29" s="13">
        <v>1995</v>
      </c>
      <c r="B29" s="13">
        <v>4</v>
      </c>
      <c r="C29" s="13">
        <v>286.855778716065</v>
      </c>
    </row>
    <row r="30" spans="1:3" x14ac:dyDescent="0.25">
      <c r="A30" s="13">
        <v>1995</v>
      </c>
      <c r="B30" s="13">
        <v>5</v>
      </c>
      <c r="C30" s="13">
        <v>294.86838268637899</v>
      </c>
    </row>
    <row r="31" spans="1:3" x14ac:dyDescent="0.25">
      <c r="A31" s="13">
        <v>1995</v>
      </c>
      <c r="B31" s="13">
        <v>6</v>
      </c>
      <c r="C31" s="13">
        <v>294.80106054782999</v>
      </c>
    </row>
    <row r="32" spans="1:3" x14ac:dyDescent="0.25">
      <c r="A32" s="13">
        <v>1995</v>
      </c>
      <c r="B32" s="13">
        <v>7</v>
      </c>
      <c r="C32" s="13">
        <v>306.55142854424003</v>
      </c>
    </row>
    <row r="33" spans="1:3" x14ac:dyDescent="0.25">
      <c r="A33" s="13">
        <v>1995</v>
      </c>
      <c r="B33" s="13">
        <v>8</v>
      </c>
      <c r="C33" s="13">
        <v>297.68097567362599</v>
      </c>
    </row>
    <row r="34" spans="1:3" x14ac:dyDescent="0.25">
      <c r="A34" s="13">
        <v>1995</v>
      </c>
      <c r="B34" s="13">
        <v>9</v>
      </c>
      <c r="C34" s="13">
        <v>297.17243088325199</v>
      </c>
    </row>
    <row r="35" spans="1:3" x14ac:dyDescent="0.25">
      <c r="A35" s="13">
        <v>1995</v>
      </c>
      <c r="B35" s="13">
        <v>10</v>
      </c>
      <c r="C35" s="13">
        <v>303.78529194465398</v>
      </c>
    </row>
    <row r="36" spans="1:3" x14ac:dyDescent="0.25">
      <c r="A36" s="13">
        <v>1995</v>
      </c>
      <c r="B36" s="13">
        <v>11</v>
      </c>
      <c r="C36" s="13">
        <v>316.26681340627903</v>
      </c>
    </row>
    <row r="37" spans="1:3" x14ac:dyDescent="0.25">
      <c r="A37" s="13">
        <v>1995</v>
      </c>
      <c r="B37" s="13">
        <v>12</v>
      </c>
      <c r="C37" s="13">
        <v>289.51018312393097</v>
      </c>
    </row>
    <row r="38" spans="1:3" x14ac:dyDescent="0.25">
      <c r="A38" s="13">
        <v>1996</v>
      </c>
      <c r="B38" s="13">
        <v>1</v>
      </c>
      <c r="C38" s="13">
        <v>309.89276731577002</v>
      </c>
    </row>
    <row r="39" spans="1:3" x14ac:dyDescent="0.25">
      <c r="A39" s="13">
        <v>1996</v>
      </c>
      <c r="B39" s="13">
        <v>2</v>
      </c>
      <c r="C39" s="13">
        <v>331.33886273390402</v>
      </c>
    </row>
    <row r="40" spans="1:3" x14ac:dyDescent="0.25">
      <c r="A40" s="13">
        <v>1996</v>
      </c>
      <c r="B40" s="13">
        <v>3</v>
      </c>
      <c r="C40" s="13">
        <v>352.04713886263698</v>
      </c>
    </row>
    <row r="41" spans="1:3" x14ac:dyDescent="0.25">
      <c r="A41" s="13">
        <v>1996</v>
      </c>
      <c r="B41" s="13">
        <v>4</v>
      </c>
      <c r="C41" s="13">
        <v>330.984377634824</v>
      </c>
    </row>
    <row r="42" spans="1:3" x14ac:dyDescent="0.25">
      <c r="A42" s="13">
        <v>1996</v>
      </c>
      <c r="B42" s="13">
        <v>5</v>
      </c>
      <c r="C42" s="13">
        <v>335.88837553443301</v>
      </c>
    </row>
    <row r="43" spans="1:3" x14ac:dyDescent="0.25">
      <c r="A43" s="13">
        <v>1996</v>
      </c>
      <c r="B43" s="13">
        <v>6</v>
      </c>
      <c r="C43" s="13">
        <v>343.15521318928899</v>
      </c>
    </row>
    <row r="44" spans="1:3" x14ac:dyDescent="0.25">
      <c r="A44" s="13">
        <v>1996</v>
      </c>
      <c r="B44" s="13">
        <v>7</v>
      </c>
      <c r="C44" s="13">
        <v>335.51644066206097</v>
      </c>
    </row>
    <row r="45" spans="1:3" x14ac:dyDescent="0.25">
      <c r="A45" s="13">
        <v>1996</v>
      </c>
      <c r="B45" s="13">
        <v>8</v>
      </c>
      <c r="C45" s="13">
        <v>333.44302773917099</v>
      </c>
    </row>
    <row r="46" spans="1:3" x14ac:dyDescent="0.25">
      <c r="A46" s="13">
        <v>1996</v>
      </c>
      <c r="B46" s="13">
        <v>9</v>
      </c>
      <c r="C46" s="13">
        <v>333.45934655159903</v>
      </c>
    </row>
    <row r="47" spans="1:3" x14ac:dyDescent="0.25">
      <c r="A47" s="13">
        <v>1996</v>
      </c>
      <c r="B47" s="13">
        <v>10</v>
      </c>
      <c r="C47" s="13">
        <v>344.609089213255</v>
      </c>
    </row>
    <row r="48" spans="1:3" x14ac:dyDescent="0.25">
      <c r="A48" s="13">
        <v>1996</v>
      </c>
      <c r="B48" s="13">
        <v>11</v>
      </c>
      <c r="C48" s="13">
        <v>348.61838754334701</v>
      </c>
    </row>
    <row r="49" spans="1:3" x14ac:dyDescent="0.25">
      <c r="A49" s="13">
        <v>1996</v>
      </c>
      <c r="B49" s="13">
        <v>12</v>
      </c>
      <c r="C49" s="13">
        <v>347.21634961981198</v>
      </c>
    </row>
    <row r="50" spans="1:3" x14ac:dyDescent="0.25">
      <c r="A50" s="13">
        <v>1997</v>
      </c>
      <c r="B50" s="13">
        <v>1</v>
      </c>
      <c r="C50" s="13">
        <v>315.15781591631099</v>
      </c>
    </row>
    <row r="51" spans="1:3" x14ac:dyDescent="0.25">
      <c r="A51" s="13">
        <v>1997</v>
      </c>
      <c r="B51" s="13">
        <v>2</v>
      </c>
      <c r="C51" s="13">
        <v>338.05346029998401</v>
      </c>
    </row>
    <row r="52" spans="1:3" x14ac:dyDescent="0.25">
      <c r="A52" s="13">
        <v>1997</v>
      </c>
      <c r="B52" s="13">
        <v>3</v>
      </c>
      <c r="C52" s="13">
        <v>348.52503720694898</v>
      </c>
    </row>
    <row r="53" spans="1:3" x14ac:dyDescent="0.25">
      <c r="A53" s="13">
        <v>1997</v>
      </c>
      <c r="B53" s="13">
        <v>4</v>
      </c>
      <c r="C53" s="13">
        <v>360.41277926470798</v>
      </c>
    </row>
    <row r="54" spans="1:3" x14ac:dyDescent="0.25">
      <c r="A54" s="13">
        <v>1997</v>
      </c>
      <c r="B54" s="13">
        <v>5</v>
      </c>
      <c r="C54" s="13">
        <v>343.43524125655898</v>
      </c>
    </row>
    <row r="55" spans="1:3" x14ac:dyDescent="0.25">
      <c r="A55" s="13">
        <v>1997</v>
      </c>
      <c r="B55" s="13">
        <v>6</v>
      </c>
      <c r="C55" s="13">
        <v>352.90537826262801</v>
      </c>
    </row>
    <row r="56" spans="1:3" x14ac:dyDescent="0.25">
      <c r="A56" s="13">
        <v>1997</v>
      </c>
      <c r="B56" s="13">
        <v>7</v>
      </c>
      <c r="C56" s="13">
        <v>362.35224570226598</v>
      </c>
    </row>
    <row r="57" spans="1:3" x14ac:dyDescent="0.25">
      <c r="A57" s="13">
        <v>1997</v>
      </c>
      <c r="B57" s="13">
        <v>8</v>
      </c>
      <c r="C57" s="13">
        <v>337.72809848090901</v>
      </c>
    </row>
    <row r="58" spans="1:3" x14ac:dyDescent="0.25">
      <c r="A58" s="13">
        <v>1997</v>
      </c>
      <c r="B58" s="13">
        <v>9</v>
      </c>
      <c r="C58" s="13">
        <v>353.15628942256802</v>
      </c>
    </row>
    <row r="59" spans="1:3" x14ac:dyDescent="0.25">
      <c r="A59" s="13">
        <v>1997</v>
      </c>
      <c r="B59" s="13">
        <v>10</v>
      </c>
      <c r="C59" s="13">
        <v>356.748994590596</v>
      </c>
    </row>
    <row r="60" spans="1:3" x14ac:dyDescent="0.25">
      <c r="A60" s="13">
        <v>1997</v>
      </c>
      <c r="B60" s="13">
        <v>11</v>
      </c>
      <c r="C60" s="13">
        <v>348.29253383857701</v>
      </c>
    </row>
    <row r="61" spans="1:3" x14ac:dyDescent="0.25">
      <c r="A61" s="13">
        <v>1997</v>
      </c>
      <c r="B61" s="13">
        <v>12</v>
      </c>
      <c r="C61" s="13">
        <v>358.34061852471802</v>
      </c>
    </row>
    <row r="62" spans="1:3" x14ac:dyDescent="0.25">
      <c r="A62" s="13">
        <v>1998</v>
      </c>
      <c r="B62" s="13">
        <v>1</v>
      </c>
      <c r="C62" s="13">
        <v>374.79416715668998</v>
      </c>
    </row>
    <row r="63" spans="1:3" x14ac:dyDescent="0.25">
      <c r="A63" s="13">
        <v>1998</v>
      </c>
      <c r="B63" s="13">
        <v>2</v>
      </c>
      <c r="C63" s="13">
        <v>387.49018753572602</v>
      </c>
    </row>
    <row r="64" spans="1:3" x14ac:dyDescent="0.25">
      <c r="A64" s="13">
        <v>1998</v>
      </c>
      <c r="B64" s="13">
        <v>3</v>
      </c>
      <c r="C64" s="13">
        <v>329.41175911601903</v>
      </c>
    </row>
    <row r="65" spans="1:3" x14ac:dyDescent="0.25">
      <c r="A65" s="13">
        <v>1998</v>
      </c>
      <c r="B65" s="13">
        <v>4</v>
      </c>
      <c r="C65" s="13">
        <v>362.57023213232702</v>
      </c>
    </row>
    <row r="66" spans="1:3" x14ac:dyDescent="0.25">
      <c r="A66" s="13">
        <v>1998</v>
      </c>
      <c r="B66" s="13">
        <v>5</v>
      </c>
      <c r="C66" s="13">
        <v>376.44249771690698</v>
      </c>
    </row>
    <row r="67" spans="1:3" x14ac:dyDescent="0.25">
      <c r="A67" s="13">
        <v>1998</v>
      </c>
      <c r="B67" s="13">
        <v>6</v>
      </c>
      <c r="C67" s="13">
        <v>370.093851539502</v>
      </c>
    </row>
    <row r="68" spans="1:3" x14ac:dyDescent="0.25">
      <c r="A68" s="13">
        <v>1998</v>
      </c>
      <c r="B68" s="13">
        <v>7</v>
      </c>
      <c r="C68" s="13">
        <v>339.25243145038002</v>
      </c>
    </row>
    <row r="69" spans="1:3" x14ac:dyDescent="0.25">
      <c r="A69" s="13">
        <v>1998</v>
      </c>
      <c r="B69" s="13">
        <v>8</v>
      </c>
      <c r="C69" s="13">
        <v>365.61808417945798</v>
      </c>
    </row>
    <row r="70" spans="1:3" x14ac:dyDescent="0.25">
      <c r="A70" s="13">
        <v>1998</v>
      </c>
      <c r="B70" s="13">
        <v>9</v>
      </c>
      <c r="C70" s="13">
        <v>342.02195679564602</v>
      </c>
    </row>
    <row r="71" spans="1:3" x14ac:dyDescent="0.25">
      <c r="A71" s="13">
        <v>1998</v>
      </c>
      <c r="B71" s="13">
        <v>10</v>
      </c>
      <c r="C71" s="13">
        <v>336.22012860088398</v>
      </c>
    </row>
    <row r="72" spans="1:3" x14ac:dyDescent="0.25">
      <c r="A72" s="13">
        <v>1998</v>
      </c>
      <c r="B72" s="13">
        <v>11</v>
      </c>
      <c r="C72" s="13">
        <v>329.17396858548</v>
      </c>
    </row>
    <row r="73" spans="1:3" x14ac:dyDescent="0.25">
      <c r="A73" s="13">
        <v>1998</v>
      </c>
      <c r="B73" s="13">
        <v>12</v>
      </c>
      <c r="C73" s="13">
        <v>310.77759754545599</v>
      </c>
    </row>
    <row r="74" spans="1:3" x14ac:dyDescent="0.25">
      <c r="A74" s="13">
        <v>1999</v>
      </c>
      <c r="B74" s="13">
        <v>1</v>
      </c>
      <c r="C74" s="13">
        <v>302.74102660297899</v>
      </c>
    </row>
    <row r="75" spans="1:3" x14ac:dyDescent="0.25">
      <c r="A75" s="13">
        <v>1999</v>
      </c>
      <c r="B75" s="13">
        <v>2</v>
      </c>
      <c r="C75" s="13">
        <v>293.36119597283403</v>
      </c>
    </row>
    <row r="76" spans="1:3" x14ac:dyDescent="0.25">
      <c r="A76" s="13">
        <v>1999</v>
      </c>
      <c r="B76" s="13">
        <v>3</v>
      </c>
      <c r="C76" s="13">
        <v>278.48497181955202</v>
      </c>
    </row>
    <row r="77" spans="1:3" x14ac:dyDescent="0.25">
      <c r="A77" s="13">
        <v>1999</v>
      </c>
      <c r="B77" s="13">
        <v>4</v>
      </c>
      <c r="C77" s="13">
        <v>288.16515807796901</v>
      </c>
    </row>
    <row r="78" spans="1:3" x14ac:dyDescent="0.25">
      <c r="A78" s="13">
        <v>1999</v>
      </c>
      <c r="B78" s="13">
        <v>5</v>
      </c>
      <c r="C78" s="13">
        <v>302.03890083028398</v>
      </c>
    </row>
    <row r="79" spans="1:3" x14ac:dyDescent="0.25">
      <c r="A79" s="13">
        <v>1999</v>
      </c>
      <c r="B79" s="13">
        <v>6</v>
      </c>
      <c r="C79" s="13">
        <v>310.049272892977</v>
      </c>
    </row>
    <row r="80" spans="1:3" x14ac:dyDescent="0.25">
      <c r="A80" s="13">
        <v>1999</v>
      </c>
      <c r="B80" s="13">
        <v>7</v>
      </c>
      <c r="C80" s="13">
        <v>331.23117052134597</v>
      </c>
    </row>
    <row r="81" spans="1:3" x14ac:dyDescent="0.25">
      <c r="A81" s="13">
        <v>1999</v>
      </c>
      <c r="B81" s="13">
        <v>8</v>
      </c>
      <c r="C81" s="13">
        <v>327.56365801827201</v>
      </c>
    </row>
    <row r="82" spans="1:3" x14ac:dyDescent="0.25">
      <c r="A82" s="13">
        <v>1999</v>
      </c>
      <c r="B82" s="13">
        <v>9</v>
      </c>
      <c r="C82" s="13">
        <v>335.38556365510402</v>
      </c>
    </row>
    <row r="83" spans="1:3" x14ac:dyDescent="0.25">
      <c r="A83" s="13">
        <v>1999</v>
      </c>
      <c r="B83" s="13">
        <v>10</v>
      </c>
      <c r="C83" s="13">
        <v>337.20122999818301</v>
      </c>
    </row>
    <row r="84" spans="1:3" x14ac:dyDescent="0.25">
      <c r="A84" s="13">
        <v>1999</v>
      </c>
      <c r="B84" s="13">
        <v>11</v>
      </c>
      <c r="C84" s="13">
        <v>351.21088354992901</v>
      </c>
    </row>
    <row r="85" spans="1:3" x14ac:dyDescent="0.25">
      <c r="A85" s="13">
        <v>1999</v>
      </c>
      <c r="B85" s="13">
        <v>12</v>
      </c>
      <c r="C85" s="13">
        <v>357.82206843894301</v>
      </c>
    </row>
    <row r="86" spans="1:3" x14ac:dyDescent="0.25">
      <c r="A86" s="13">
        <v>2000</v>
      </c>
      <c r="B86" s="13">
        <v>1</v>
      </c>
      <c r="C86" s="13">
        <v>353.962899138311</v>
      </c>
    </row>
    <row r="87" spans="1:3" x14ac:dyDescent="0.25">
      <c r="A87" s="13">
        <v>2000</v>
      </c>
      <c r="B87" s="13">
        <v>2</v>
      </c>
      <c r="C87" s="13">
        <v>339.52933599847</v>
      </c>
    </row>
    <row r="88" spans="1:3" x14ac:dyDescent="0.25">
      <c r="A88" s="13">
        <v>2000</v>
      </c>
      <c r="B88" s="13">
        <v>3</v>
      </c>
      <c r="C88" s="13">
        <v>386.36254055998899</v>
      </c>
    </row>
    <row r="89" spans="1:3" x14ac:dyDescent="0.25">
      <c r="A89" s="13">
        <v>2000</v>
      </c>
      <c r="B89" s="13">
        <v>4</v>
      </c>
      <c r="C89" s="13">
        <v>367.22771198058803</v>
      </c>
    </row>
    <row r="90" spans="1:3" x14ac:dyDescent="0.25">
      <c r="A90" s="13">
        <v>2000</v>
      </c>
      <c r="B90" s="13">
        <v>5</v>
      </c>
      <c r="C90" s="13">
        <v>336.95277922414402</v>
      </c>
    </row>
    <row r="91" spans="1:3" x14ac:dyDescent="0.25">
      <c r="A91" s="13">
        <v>2000</v>
      </c>
      <c r="B91" s="13">
        <v>6</v>
      </c>
      <c r="C91" s="13">
        <v>339.21264247594399</v>
      </c>
    </row>
    <row r="92" spans="1:3" x14ac:dyDescent="0.25">
      <c r="A92" s="13">
        <v>2000</v>
      </c>
      <c r="B92" s="13">
        <v>7</v>
      </c>
      <c r="C92" s="13">
        <v>357.797213198382</v>
      </c>
    </row>
    <row r="93" spans="1:3" x14ac:dyDescent="0.25">
      <c r="A93" s="13">
        <v>2000</v>
      </c>
      <c r="B93" s="13">
        <v>8</v>
      </c>
      <c r="C93" s="13">
        <v>375.883246281428</v>
      </c>
    </row>
    <row r="94" spans="1:3" x14ac:dyDescent="0.25">
      <c r="A94" s="13">
        <v>2000</v>
      </c>
      <c r="B94" s="13">
        <v>9</v>
      </c>
      <c r="C94" s="13">
        <v>394.84256319653701</v>
      </c>
    </row>
    <row r="95" spans="1:3" x14ac:dyDescent="0.25">
      <c r="A95" s="13">
        <v>2000</v>
      </c>
      <c r="B95" s="13">
        <v>10</v>
      </c>
      <c r="C95" s="13">
        <v>391.26914044604899</v>
      </c>
    </row>
    <row r="96" spans="1:3" x14ac:dyDescent="0.25">
      <c r="A96" s="13">
        <v>2000</v>
      </c>
      <c r="B96" s="13">
        <v>11</v>
      </c>
      <c r="C96" s="13">
        <v>401.280882201363</v>
      </c>
    </row>
    <row r="97" spans="1:3" x14ac:dyDescent="0.25">
      <c r="A97" s="13">
        <v>2000</v>
      </c>
      <c r="B97" s="13">
        <v>12</v>
      </c>
      <c r="C97" s="13">
        <v>411.76327633766402</v>
      </c>
    </row>
    <row r="98" spans="1:3" x14ac:dyDescent="0.25">
      <c r="A98" s="13">
        <v>2001</v>
      </c>
      <c r="B98" s="13">
        <v>1</v>
      </c>
      <c r="C98" s="13">
        <v>382.32889059653502</v>
      </c>
    </row>
    <row r="99" spans="1:3" x14ac:dyDescent="0.25">
      <c r="A99" s="13">
        <v>2001</v>
      </c>
      <c r="B99" s="13">
        <v>2</v>
      </c>
      <c r="C99" s="13">
        <v>362.73610336650898</v>
      </c>
    </row>
    <row r="100" spans="1:3" x14ac:dyDescent="0.25">
      <c r="A100" s="13">
        <v>2001</v>
      </c>
      <c r="B100" s="13">
        <v>3</v>
      </c>
      <c r="C100" s="13">
        <v>381.290751501459</v>
      </c>
    </row>
    <row r="101" spans="1:3" x14ac:dyDescent="0.25">
      <c r="A101" s="13">
        <v>2001</v>
      </c>
      <c r="B101" s="13">
        <v>4</v>
      </c>
      <c r="C101" s="13">
        <v>374.63674149296997</v>
      </c>
    </row>
    <row r="102" spans="1:3" x14ac:dyDescent="0.25">
      <c r="A102" s="13">
        <v>2001</v>
      </c>
      <c r="B102" s="13">
        <v>5</v>
      </c>
      <c r="C102" s="13">
        <v>377.806619819155</v>
      </c>
    </row>
    <row r="103" spans="1:3" x14ac:dyDescent="0.25">
      <c r="A103" s="13">
        <v>2001</v>
      </c>
      <c r="B103" s="13">
        <v>6</v>
      </c>
      <c r="C103" s="13">
        <v>376.76839054866798</v>
      </c>
    </row>
    <row r="104" spans="1:3" x14ac:dyDescent="0.25">
      <c r="A104" s="13">
        <v>2001</v>
      </c>
      <c r="B104" s="13">
        <v>7</v>
      </c>
      <c r="C104" s="13">
        <v>349.06003202421402</v>
      </c>
    </row>
    <row r="105" spans="1:3" x14ac:dyDescent="0.25">
      <c r="A105" s="13">
        <v>2001</v>
      </c>
      <c r="B105" s="13">
        <v>8</v>
      </c>
      <c r="C105" s="13">
        <v>255.72637327032999</v>
      </c>
    </row>
    <row r="106" spans="1:3" x14ac:dyDescent="0.25">
      <c r="A106" s="13">
        <v>2001</v>
      </c>
      <c r="B106" s="13">
        <v>9</v>
      </c>
      <c r="C106" s="13">
        <v>339.0508004404</v>
      </c>
    </row>
    <row r="107" spans="1:3" x14ac:dyDescent="0.25">
      <c r="A107" s="13">
        <v>2001</v>
      </c>
      <c r="B107" s="13">
        <v>10</v>
      </c>
      <c r="C107" s="13">
        <v>314.14967092962002</v>
      </c>
    </row>
    <row r="108" spans="1:3" x14ac:dyDescent="0.25">
      <c r="A108" s="13">
        <v>2001</v>
      </c>
      <c r="B108" s="13">
        <v>11</v>
      </c>
      <c r="C108" s="13">
        <v>308.75868131918901</v>
      </c>
    </row>
    <row r="109" spans="1:3" x14ac:dyDescent="0.25">
      <c r="A109" s="13">
        <v>2001</v>
      </c>
      <c r="B109" s="13">
        <v>12</v>
      </c>
      <c r="C109" s="13">
        <v>298.95141215172902</v>
      </c>
    </row>
    <row r="110" spans="1:3" x14ac:dyDescent="0.25">
      <c r="A110" s="13">
        <v>2002</v>
      </c>
      <c r="B110" s="13">
        <v>1</v>
      </c>
      <c r="C110" s="13">
        <v>309.71241468757199</v>
      </c>
    </row>
    <row r="111" spans="1:3" x14ac:dyDescent="0.25">
      <c r="A111" s="13">
        <v>2002</v>
      </c>
      <c r="B111" s="13">
        <v>2</v>
      </c>
      <c r="C111" s="13">
        <v>347.497986750991</v>
      </c>
    </row>
    <row r="112" spans="1:3" x14ac:dyDescent="0.25">
      <c r="A112" s="13">
        <v>2002</v>
      </c>
      <c r="B112" s="13">
        <v>3</v>
      </c>
      <c r="C112" s="13">
        <v>331.050485880135</v>
      </c>
    </row>
    <row r="113" spans="1:3" x14ac:dyDescent="0.25">
      <c r="A113" s="13">
        <v>2002</v>
      </c>
      <c r="B113" s="13">
        <v>4</v>
      </c>
      <c r="C113" s="13">
        <v>380.33235893842698</v>
      </c>
    </row>
    <row r="114" spans="1:3" x14ac:dyDescent="0.25">
      <c r="A114" s="13">
        <v>2002</v>
      </c>
      <c r="B114" s="13">
        <v>5</v>
      </c>
      <c r="C114" s="13">
        <v>368.63128068064498</v>
      </c>
    </row>
    <row r="115" spans="1:3" x14ac:dyDescent="0.25">
      <c r="A115" s="13">
        <v>2002</v>
      </c>
      <c r="B115" s="13">
        <v>6</v>
      </c>
      <c r="C115" s="13">
        <v>358.28627862871201</v>
      </c>
    </row>
    <row r="116" spans="1:3" x14ac:dyDescent="0.25">
      <c r="A116" s="13">
        <v>2002</v>
      </c>
      <c r="B116" s="13">
        <v>7</v>
      </c>
      <c r="C116" s="13">
        <v>369.27676737495301</v>
      </c>
    </row>
    <row r="117" spans="1:3" x14ac:dyDescent="0.25">
      <c r="A117" s="13">
        <v>2002</v>
      </c>
      <c r="B117" s="13">
        <v>8</v>
      </c>
      <c r="C117" s="13">
        <v>375.23424800666902</v>
      </c>
    </row>
    <row r="118" spans="1:3" x14ac:dyDescent="0.25">
      <c r="A118" s="13">
        <v>2002</v>
      </c>
      <c r="B118" s="13">
        <v>9</v>
      </c>
      <c r="C118" s="13">
        <v>383.86044913497398</v>
      </c>
    </row>
    <row r="119" spans="1:3" x14ac:dyDescent="0.25">
      <c r="A119" s="13">
        <v>2002</v>
      </c>
      <c r="B119" s="13">
        <v>10</v>
      </c>
      <c r="C119" s="13">
        <v>388.28393010043999</v>
      </c>
    </row>
    <row r="120" spans="1:3" x14ac:dyDescent="0.25">
      <c r="A120" s="13">
        <v>2002</v>
      </c>
      <c r="B120" s="13">
        <v>11</v>
      </c>
      <c r="C120" s="13">
        <v>369.86706734613301</v>
      </c>
    </row>
    <row r="121" spans="1:3" x14ac:dyDescent="0.25">
      <c r="A121" s="13">
        <v>2002</v>
      </c>
      <c r="B121" s="13">
        <v>12</v>
      </c>
      <c r="C121" s="13">
        <v>391.78535805280097</v>
      </c>
    </row>
    <row r="122" spans="1:3" x14ac:dyDescent="0.25">
      <c r="A122" s="13">
        <v>2003</v>
      </c>
      <c r="B122" s="13">
        <v>1</v>
      </c>
      <c r="C122" s="13">
        <v>416.48446642968901</v>
      </c>
    </row>
    <row r="123" spans="1:3" x14ac:dyDescent="0.25">
      <c r="A123" s="13">
        <v>2003</v>
      </c>
      <c r="B123" s="13">
        <v>2</v>
      </c>
      <c r="C123" s="13">
        <v>421.67638953130501</v>
      </c>
    </row>
    <row r="124" spans="1:3" x14ac:dyDescent="0.25">
      <c r="A124" s="13">
        <v>2003</v>
      </c>
      <c r="B124" s="13">
        <v>3</v>
      </c>
      <c r="C124" s="13">
        <v>434.46001867084698</v>
      </c>
    </row>
    <row r="125" spans="1:3" x14ac:dyDescent="0.25">
      <c r="A125" s="13">
        <v>2003</v>
      </c>
      <c r="B125" s="13">
        <v>4</v>
      </c>
      <c r="C125" s="13">
        <v>419.27674359217002</v>
      </c>
    </row>
    <row r="126" spans="1:3" x14ac:dyDescent="0.25">
      <c r="A126" s="13">
        <v>2003</v>
      </c>
      <c r="B126" s="13">
        <v>5</v>
      </c>
      <c r="C126" s="13">
        <v>418.71177938602898</v>
      </c>
    </row>
    <row r="127" spans="1:3" x14ac:dyDescent="0.25">
      <c r="A127" s="13">
        <v>2003</v>
      </c>
      <c r="B127" s="13">
        <v>6</v>
      </c>
      <c r="C127" s="13">
        <v>420.88119960357801</v>
      </c>
    </row>
    <row r="128" spans="1:3" x14ac:dyDescent="0.25">
      <c r="A128" s="13">
        <v>2003</v>
      </c>
      <c r="B128" s="13">
        <v>7</v>
      </c>
      <c r="C128" s="13">
        <v>414.729696716126</v>
      </c>
    </row>
    <row r="129" spans="1:3" x14ac:dyDescent="0.25">
      <c r="A129" s="13">
        <v>2003</v>
      </c>
      <c r="B129" s="13">
        <v>8</v>
      </c>
      <c r="C129" s="13">
        <v>422.201501386968</v>
      </c>
    </row>
    <row r="130" spans="1:3" x14ac:dyDescent="0.25">
      <c r="A130" s="13">
        <v>2003</v>
      </c>
      <c r="B130" s="13">
        <v>9</v>
      </c>
      <c r="C130" s="13">
        <v>412.00645161472602</v>
      </c>
    </row>
    <row r="131" spans="1:3" x14ac:dyDescent="0.25">
      <c r="A131" s="13">
        <v>2003</v>
      </c>
      <c r="B131" s="13">
        <v>10</v>
      </c>
      <c r="C131" s="13">
        <v>422.54739665530099</v>
      </c>
    </row>
    <row r="132" spans="1:3" x14ac:dyDescent="0.25">
      <c r="A132" s="13">
        <v>2003</v>
      </c>
      <c r="B132" s="13">
        <v>11</v>
      </c>
      <c r="C132" s="13">
        <v>415.68076225624901</v>
      </c>
    </row>
    <row r="133" spans="1:3" x14ac:dyDescent="0.25">
      <c r="A133" s="13">
        <v>2003</v>
      </c>
      <c r="B133" s="13">
        <v>12</v>
      </c>
      <c r="C133" s="13">
        <v>425.89253427520498</v>
      </c>
    </row>
    <row r="134" spans="1:3" x14ac:dyDescent="0.25">
      <c r="A134" s="13">
        <v>2004</v>
      </c>
      <c r="B134" s="13">
        <v>1</v>
      </c>
      <c r="C134" s="13">
        <v>439.12380575756202</v>
      </c>
    </row>
    <row r="135" spans="1:3" x14ac:dyDescent="0.25">
      <c r="A135" s="13">
        <v>2004</v>
      </c>
      <c r="B135" s="13">
        <v>2</v>
      </c>
      <c r="C135" s="13">
        <v>408.92605439986397</v>
      </c>
    </row>
    <row r="136" spans="1:3" x14ac:dyDescent="0.25">
      <c r="A136" s="13">
        <v>2004</v>
      </c>
      <c r="B136" s="13">
        <v>3</v>
      </c>
      <c r="C136" s="13">
        <v>404.09425249435702</v>
      </c>
    </row>
    <row r="137" spans="1:3" x14ac:dyDescent="0.25">
      <c r="A137" s="13">
        <v>2004</v>
      </c>
      <c r="B137" s="13">
        <v>4</v>
      </c>
      <c r="C137" s="13">
        <v>401.30940899684299</v>
      </c>
    </row>
    <row r="138" spans="1:3" x14ac:dyDescent="0.25">
      <c r="A138" s="13">
        <v>2004</v>
      </c>
      <c r="B138" s="13">
        <v>5</v>
      </c>
      <c r="C138" s="13">
        <v>403.48381359437701</v>
      </c>
    </row>
    <row r="139" spans="1:3" x14ac:dyDescent="0.25">
      <c r="A139" s="13">
        <v>2004</v>
      </c>
      <c r="B139" s="13">
        <v>6</v>
      </c>
      <c r="C139" s="13">
        <v>410.40396348653502</v>
      </c>
    </row>
    <row r="140" spans="1:3" x14ac:dyDescent="0.25">
      <c r="A140" s="13">
        <v>2004</v>
      </c>
      <c r="B140" s="13">
        <v>7</v>
      </c>
      <c r="C140" s="13">
        <v>423.56554892229201</v>
      </c>
    </row>
    <row r="141" spans="1:3" x14ac:dyDescent="0.25">
      <c r="A141" s="13">
        <v>2004</v>
      </c>
      <c r="B141" s="13">
        <v>8</v>
      </c>
      <c r="C141" s="13">
        <v>414.61946213544502</v>
      </c>
    </row>
    <row r="142" spans="1:3" x14ac:dyDescent="0.25">
      <c r="A142" s="13">
        <v>2004</v>
      </c>
      <c r="B142" s="13">
        <v>9</v>
      </c>
      <c r="C142" s="13">
        <v>421.319693534892</v>
      </c>
    </row>
    <row r="143" spans="1:3" x14ac:dyDescent="0.25">
      <c r="A143" s="13">
        <v>2004</v>
      </c>
      <c r="B143" s="13">
        <v>10</v>
      </c>
      <c r="C143" s="13">
        <v>447.75135593444202</v>
      </c>
    </row>
    <row r="144" spans="1:3" x14ac:dyDescent="0.25">
      <c r="A144" s="13">
        <v>2004</v>
      </c>
      <c r="B144" s="13">
        <v>11</v>
      </c>
      <c r="C144" s="13">
        <v>465.55688856657599</v>
      </c>
    </row>
    <row r="145" spans="1:3" x14ac:dyDescent="0.25">
      <c r="A145" s="13">
        <v>2004</v>
      </c>
      <c r="B145" s="13">
        <v>12</v>
      </c>
      <c r="C145" s="13">
        <v>466.12256609613399</v>
      </c>
    </row>
    <row r="146" spans="1:3" x14ac:dyDescent="0.25">
      <c r="A146" s="13">
        <v>2005</v>
      </c>
      <c r="B146" s="13">
        <v>1</v>
      </c>
      <c r="C146" s="13">
        <v>467.18898877788598</v>
      </c>
    </row>
    <row r="147" spans="1:3" x14ac:dyDescent="0.25">
      <c r="A147" s="13">
        <v>2005</v>
      </c>
      <c r="B147" s="13">
        <v>2</v>
      </c>
      <c r="C147" s="13">
        <v>453.05467025174499</v>
      </c>
    </row>
    <row r="148" spans="1:3" x14ac:dyDescent="0.25">
      <c r="A148" s="13">
        <v>2005</v>
      </c>
      <c r="B148" s="13">
        <v>3</v>
      </c>
      <c r="C148" s="13">
        <v>447.77660178217002</v>
      </c>
    </row>
    <row r="149" spans="1:3" x14ac:dyDescent="0.25">
      <c r="A149" s="13">
        <v>2005</v>
      </c>
      <c r="B149" s="13">
        <v>4</v>
      </c>
      <c r="C149" s="13">
        <v>454.80427934317902</v>
      </c>
    </row>
    <row r="150" spans="1:3" x14ac:dyDescent="0.25">
      <c r="A150" s="13">
        <v>2005</v>
      </c>
      <c r="B150" s="13">
        <v>5</v>
      </c>
      <c r="C150" s="13">
        <v>465.284557755089</v>
      </c>
    </row>
    <row r="151" spans="1:3" x14ac:dyDescent="0.25">
      <c r="A151" s="13">
        <v>2005</v>
      </c>
      <c r="B151" s="13">
        <v>6</v>
      </c>
      <c r="C151" s="13">
        <v>441.61733089322701</v>
      </c>
    </row>
    <row r="152" spans="1:3" x14ac:dyDescent="0.25">
      <c r="A152" s="13">
        <v>2005</v>
      </c>
      <c r="B152" s="13">
        <v>7</v>
      </c>
      <c r="C152" s="13">
        <v>440.359175644804</v>
      </c>
    </row>
    <row r="153" spans="1:3" x14ac:dyDescent="0.25">
      <c r="A153" s="13">
        <v>2005</v>
      </c>
      <c r="B153" s="13">
        <v>8</v>
      </c>
      <c r="C153" s="13">
        <v>446.09795826629397</v>
      </c>
    </row>
    <row r="154" spans="1:3" x14ac:dyDescent="0.25">
      <c r="A154" s="13">
        <v>2005</v>
      </c>
      <c r="B154" s="13">
        <v>9</v>
      </c>
      <c r="C154" s="13">
        <v>410.946264483927</v>
      </c>
    </row>
    <row r="155" spans="1:3" x14ac:dyDescent="0.25">
      <c r="A155" s="13">
        <v>2005</v>
      </c>
      <c r="B155" s="13">
        <v>10</v>
      </c>
      <c r="C155" s="13">
        <v>416.61117666392198</v>
      </c>
    </row>
    <row r="156" spans="1:3" x14ac:dyDescent="0.25">
      <c r="A156" s="13">
        <v>2005</v>
      </c>
      <c r="B156" s="13">
        <v>11</v>
      </c>
      <c r="C156" s="13">
        <v>465.39156515840699</v>
      </c>
    </row>
    <row r="157" spans="1:3" x14ac:dyDescent="0.25">
      <c r="A157" s="13">
        <v>2005</v>
      </c>
      <c r="B157" s="13">
        <v>12</v>
      </c>
      <c r="C157" s="13">
        <v>481.05124394905499</v>
      </c>
    </row>
    <row r="158" spans="1:3" x14ac:dyDescent="0.25">
      <c r="A158" s="13">
        <v>2006</v>
      </c>
      <c r="B158" s="13">
        <v>1</v>
      </c>
      <c r="C158" s="13">
        <v>475.97635220603701</v>
      </c>
    </row>
    <row r="159" spans="1:3" x14ac:dyDescent="0.25">
      <c r="A159" s="13">
        <v>2006</v>
      </c>
      <c r="B159" s="13">
        <v>2</v>
      </c>
      <c r="C159" s="13">
        <v>477.46085795187003</v>
      </c>
    </row>
    <row r="160" spans="1:3" x14ac:dyDescent="0.25">
      <c r="A160" s="13">
        <v>2006</v>
      </c>
      <c r="B160" s="13">
        <v>3</v>
      </c>
      <c r="C160" s="13">
        <v>485.60160616559602</v>
      </c>
    </row>
    <row r="161" spans="1:3" x14ac:dyDescent="0.25">
      <c r="A161" s="13">
        <v>2006</v>
      </c>
      <c r="B161" s="13">
        <v>4</v>
      </c>
      <c r="C161" s="13">
        <v>471.56766220073803</v>
      </c>
    </row>
    <row r="162" spans="1:3" x14ac:dyDescent="0.25">
      <c r="A162" s="13">
        <v>2006</v>
      </c>
      <c r="B162" s="13">
        <v>5</v>
      </c>
      <c r="C162" s="13">
        <v>482.51391017093999</v>
      </c>
    </row>
    <row r="163" spans="1:3" x14ac:dyDescent="0.25">
      <c r="A163" s="13">
        <v>2006</v>
      </c>
      <c r="B163" s="13">
        <v>6</v>
      </c>
      <c r="C163" s="13">
        <v>490.83716567381401</v>
      </c>
    </row>
    <row r="164" spans="1:3" x14ac:dyDescent="0.25">
      <c r="A164" s="13">
        <v>2006</v>
      </c>
      <c r="B164" s="13">
        <v>7</v>
      </c>
      <c r="C164" s="13">
        <v>464.11176596509301</v>
      </c>
    </row>
    <row r="165" spans="1:3" x14ac:dyDescent="0.25">
      <c r="A165" s="13">
        <v>2006</v>
      </c>
      <c r="B165" s="13">
        <v>8</v>
      </c>
      <c r="C165" s="13">
        <v>446.34332463394799</v>
      </c>
    </row>
    <row r="166" spans="1:3" x14ac:dyDescent="0.25">
      <c r="A166" s="13">
        <v>2006</v>
      </c>
      <c r="B166" s="13">
        <v>9</v>
      </c>
      <c r="C166" s="13">
        <v>478.26666958673798</v>
      </c>
    </row>
    <row r="167" spans="1:3" x14ac:dyDescent="0.25">
      <c r="A167" s="13">
        <v>2006</v>
      </c>
      <c r="B167" s="13">
        <v>10</v>
      </c>
      <c r="C167" s="13">
        <v>452.44777981194198</v>
      </c>
    </row>
    <row r="168" spans="1:3" x14ac:dyDescent="0.25">
      <c r="A168" s="13">
        <v>2006</v>
      </c>
      <c r="B168" s="13">
        <v>11</v>
      </c>
      <c r="C168" s="13">
        <v>406.18987555297099</v>
      </c>
    </row>
    <row r="169" spans="1:3" x14ac:dyDescent="0.25">
      <c r="A169" s="13">
        <v>2006</v>
      </c>
      <c r="B169" s="13">
        <v>12</v>
      </c>
      <c r="C169" s="13">
        <v>404.06808941609398</v>
      </c>
    </row>
    <row r="170" spans="1:3" x14ac:dyDescent="0.25">
      <c r="A170" s="13">
        <v>2007</v>
      </c>
      <c r="B170" s="13">
        <v>1</v>
      </c>
      <c r="C170" s="13">
        <v>406.595527713021</v>
      </c>
    </row>
    <row r="171" spans="1:3" x14ac:dyDescent="0.25">
      <c r="A171" s="13">
        <v>2007</v>
      </c>
      <c r="B171" s="13">
        <v>2</v>
      </c>
      <c r="C171" s="13">
        <v>447.137610919792</v>
      </c>
    </row>
    <row r="172" spans="1:3" x14ac:dyDescent="0.25">
      <c r="A172" s="13">
        <v>2007</v>
      </c>
      <c r="B172" s="13">
        <v>3</v>
      </c>
      <c r="C172" s="13">
        <v>456.55150867670699</v>
      </c>
    </row>
    <row r="173" spans="1:3" x14ac:dyDescent="0.25">
      <c r="A173" s="13">
        <v>2007</v>
      </c>
      <c r="B173" s="13">
        <v>4</v>
      </c>
      <c r="C173" s="13">
        <v>466.86843136827099</v>
      </c>
    </row>
    <row r="174" spans="1:3" x14ac:dyDescent="0.25">
      <c r="A174" s="13">
        <v>2007</v>
      </c>
      <c r="B174" s="13">
        <v>5</v>
      </c>
      <c r="C174" s="13">
        <v>440.40606442173799</v>
      </c>
    </row>
    <row r="175" spans="1:3" x14ac:dyDescent="0.25">
      <c r="A175" s="13">
        <v>2007</v>
      </c>
      <c r="B175" s="13">
        <v>6</v>
      </c>
      <c r="C175" s="13">
        <v>446.27527687098097</v>
      </c>
    </row>
    <row r="176" spans="1:3" x14ac:dyDescent="0.25">
      <c r="A176" s="13">
        <v>2007</v>
      </c>
      <c r="B176" s="13">
        <v>7</v>
      </c>
      <c r="C176" s="13">
        <v>337.159587202105</v>
      </c>
    </row>
    <row r="177" spans="1:3" x14ac:dyDescent="0.25">
      <c r="A177" s="13">
        <v>2007</v>
      </c>
      <c r="B177" s="13">
        <v>8</v>
      </c>
      <c r="C177" s="13">
        <v>462.65893329256602</v>
      </c>
    </row>
    <row r="178" spans="1:3" x14ac:dyDescent="0.25">
      <c r="A178" s="13">
        <v>2007</v>
      </c>
      <c r="B178" s="13">
        <v>9</v>
      </c>
      <c r="C178" s="13">
        <v>465.80404222818203</v>
      </c>
    </row>
    <row r="179" spans="1:3" x14ac:dyDescent="0.25">
      <c r="A179" s="13">
        <v>2007</v>
      </c>
      <c r="B179" s="13">
        <v>10</v>
      </c>
      <c r="C179" s="13">
        <v>464.34695819918898</v>
      </c>
    </row>
    <row r="180" spans="1:3" x14ac:dyDescent="0.25">
      <c r="A180" s="13">
        <v>2007</v>
      </c>
      <c r="B180" s="13">
        <v>11</v>
      </c>
      <c r="C180" s="13">
        <v>485.818329537355</v>
      </c>
    </row>
    <row r="181" spans="1:3" x14ac:dyDescent="0.25">
      <c r="A181" s="13">
        <v>2007</v>
      </c>
      <c r="B181" s="13">
        <v>12</v>
      </c>
      <c r="C181" s="13">
        <v>511.44626645482299</v>
      </c>
    </row>
    <row r="182" spans="1:3" x14ac:dyDescent="0.25">
      <c r="A182" s="13">
        <v>2008</v>
      </c>
      <c r="B182" s="13">
        <v>1</v>
      </c>
      <c r="C182" s="13">
        <v>493.40613003013999</v>
      </c>
    </row>
    <row r="183" spans="1:3" x14ac:dyDescent="0.25">
      <c r="A183" s="13">
        <v>2008</v>
      </c>
      <c r="B183" s="13">
        <v>2</v>
      </c>
      <c r="C183" s="13">
        <v>439.33975016909602</v>
      </c>
    </row>
    <row r="184" spans="1:3" x14ac:dyDescent="0.25">
      <c r="A184" s="13">
        <v>2008</v>
      </c>
      <c r="B184" s="13">
        <v>3</v>
      </c>
      <c r="C184" s="13">
        <v>488.50794252737899</v>
      </c>
    </row>
    <row r="185" spans="1:3" x14ac:dyDescent="0.25">
      <c r="A185" s="13">
        <v>2008</v>
      </c>
      <c r="B185" s="13">
        <v>4</v>
      </c>
      <c r="C185" s="13">
        <v>496.337510974054</v>
      </c>
    </row>
    <row r="186" spans="1:3" x14ac:dyDescent="0.25">
      <c r="A186" s="13">
        <v>2008</v>
      </c>
      <c r="B186" s="13">
        <v>5</v>
      </c>
      <c r="C186" s="13">
        <v>497.41240431694001</v>
      </c>
    </row>
    <row r="187" spans="1:3" x14ac:dyDescent="0.25">
      <c r="A187" s="13">
        <v>2008</v>
      </c>
      <c r="B187" s="13">
        <v>6</v>
      </c>
      <c r="C187" s="13">
        <v>495.04346022715998</v>
      </c>
    </row>
    <row r="188" spans="1:3" x14ac:dyDescent="0.25">
      <c r="A188" s="13">
        <v>2008</v>
      </c>
      <c r="B188" s="13">
        <v>7</v>
      </c>
      <c r="C188" s="13">
        <v>509.12587136557897</v>
      </c>
    </row>
    <row r="189" spans="1:3" x14ac:dyDescent="0.25">
      <c r="A189" s="13">
        <v>2008</v>
      </c>
      <c r="B189" s="13">
        <v>8</v>
      </c>
      <c r="C189" s="13">
        <v>496.23248846629502</v>
      </c>
    </row>
    <row r="190" spans="1:3" x14ac:dyDescent="0.25">
      <c r="A190" s="13">
        <v>2008</v>
      </c>
      <c r="B190" s="13">
        <v>9</v>
      </c>
      <c r="C190" s="13">
        <v>475.005849684917</v>
      </c>
    </row>
    <row r="191" spans="1:3" x14ac:dyDescent="0.25">
      <c r="A191" s="13">
        <v>2008</v>
      </c>
      <c r="B191" s="13">
        <v>10</v>
      </c>
      <c r="C191" s="13">
        <v>446.37318089188699</v>
      </c>
    </row>
    <row r="192" spans="1:3" x14ac:dyDescent="0.25">
      <c r="A192" s="13">
        <v>2008</v>
      </c>
      <c r="B192" s="13">
        <v>11</v>
      </c>
      <c r="C192" s="13">
        <v>382.50837221728801</v>
      </c>
    </row>
    <row r="193" spans="1:3" x14ac:dyDescent="0.25">
      <c r="A193" s="13">
        <v>2008</v>
      </c>
      <c r="B193" s="13">
        <v>12</v>
      </c>
      <c r="C193" s="13">
        <v>290.28236059584702</v>
      </c>
    </row>
    <row r="194" spans="1:3" x14ac:dyDescent="0.25">
      <c r="A194" s="13">
        <v>2009</v>
      </c>
      <c r="B194" s="13">
        <v>1</v>
      </c>
      <c r="C194" s="13">
        <v>362.77473284056902</v>
      </c>
    </row>
    <row r="195" spans="1:3" x14ac:dyDescent="0.25">
      <c r="A195" s="13">
        <v>2009</v>
      </c>
      <c r="B195" s="13">
        <v>2</v>
      </c>
      <c r="C195" s="13">
        <v>293.18843129655397</v>
      </c>
    </row>
    <row r="196" spans="1:3" x14ac:dyDescent="0.25">
      <c r="A196" s="13">
        <v>2009</v>
      </c>
      <c r="B196" s="13">
        <v>3</v>
      </c>
      <c r="C196" s="13">
        <v>239.80073446256401</v>
      </c>
    </row>
    <row r="197" spans="1:3" x14ac:dyDescent="0.25">
      <c r="A197" s="13">
        <v>2009</v>
      </c>
      <c r="B197" s="13">
        <v>4</v>
      </c>
      <c r="C197" s="13">
        <v>274.65756170770999</v>
      </c>
    </row>
    <row r="198" spans="1:3" x14ac:dyDescent="0.25">
      <c r="A198" s="13">
        <v>2009</v>
      </c>
      <c r="B198" s="13">
        <v>5</v>
      </c>
      <c r="C198" s="13">
        <v>266.61441272794201</v>
      </c>
    </row>
    <row r="199" spans="1:3" x14ac:dyDescent="0.25">
      <c r="A199" s="13">
        <v>2009</v>
      </c>
      <c r="B199" s="13">
        <v>6</v>
      </c>
      <c r="C199" s="13">
        <v>314.68378693188203</v>
      </c>
    </row>
    <row r="200" spans="1:3" x14ac:dyDescent="0.25">
      <c r="A200" s="13">
        <v>2009</v>
      </c>
      <c r="B200" s="13">
        <v>7</v>
      </c>
      <c r="C200" s="13">
        <v>336.60892730161601</v>
      </c>
    </row>
    <row r="201" spans="1:3" x14ac:dyDescent="0.25">
      <c r="A201" s="13">
        <v>2009</v>
      </c>
      <c r="B201" s="13">
        <v>8</v>
      </c>
      <c r="C201" s="13">
        <v>340.85798440246703</v>
      </c>
    </row>
    <row r="202" spans="1:3" x14ac:dyDescent="0.25">
      <c r="A202" s="13">
        <v>2009</v>
      </c>
      <c r="B202" s="13">
        <v>9</v>
      </c>
      <c r="C202" s="13">
        <v>373.84609620237399</v>
      </c>
    </row>
    <row r="203" spans="1:3" x14ac:dyDescent="0.25">
      <c r="A203" s="13">
        <v>2009</v>
      </c>
      <c r="B203" s="13">
        <v>10</v>
      </c>
      <c r="C203" s="13">
        <v>393.931147518317</v>
      </c>
    </row>
    <row r="204" spans="1:3" x14ac:dyDescent="0.25">
      <c r="A204" s="13">
        <v>2009</v>
      </c>
      <c r="B204" s="13">
        <v>11</v>
      </c>
      <c r="C204" s="13">
        <v>403.51373093405999</v>
      </c>
    </row>
    <row r="205" spans="1:3" x14ac:dyDescent="0.25">
      <c r="A205" s="13">
        <v>2009</v>
      </c>
      <c r="B205" s="13">
        <v>12</v>
      </c>
      <c r="C205" s="13">
        <v>416.63661246758102</v>
      </c>
    </row>
    <row r="206" spans="1:3" x14ac:dyDescent="0.25">
      <c r="A206" s="13">
        <v>2010</v>
      </c>
      <c r="B206" s="13">
        <v>1</v>
      </c>
      <c r="C206" s="13">
        <v>416.32023688121802</v>
      </c>
    </row>
    <row r="207" spans="1:3" x14ac:dyDescent="0.25">
      <c r="A207" s="13">
        <v>2010</v>
      </c>
      <c r="B207" s="13">
        <v>2</v>
      </c>
      <c r="C207" s="13">
        <v>423.646615024548</v>
      </c>
    </row>
    <row r="208" spans="1:3" x14ac:dyDescent="0.25">
      <c r="A208" s="13">
        <v>2010</v>
      </c>
      <c r="B208" s="13">
        <v>3</v>
      </c>
      <c r="C208" s="13">
        <v>425.53360136859499</v>
      </c>
    </row>
    <row r="209" spans="1:3" x14ac:dyDescent="0.25">
      <c r="A209" s="13">
        <v>2010</v>
      </c>
      <c r="B209" s="13">
        <v>4</v>
      </c>
      <c r="C209" s="13">
        <v>423.06563222312701</v>
      </c>
    </row>
    <row r="210" spans="1:3" x14ac:dyDescent="0.25">
      <c r="A210" s="13">
        <v>2010</v>
      </c>
      <c r="B210" s="13">
        <v>5</v>
      </c>
      <c r="C210" s="13">
        <v>433.685182240399</v>
      </c>
    </row>
    <row r="211" spans="1:3" x14ac:dyDescent="0.25">
      <c r="A211" s="13">
        <v>2010</v>
      </c>
      <c r="B211" s="13">
        <v>6</v>
      </c>
      <c r="C211" s="13">
        <v>424.973118192502</v>
      </c>
    </row>
    <row r="212" spans="1:3" x14ac:dyDescent="0.25">
      <c r="A212" s="13">
        <v>2010</v>
      </c>
      <c r="B212" s="13">
        <v>7</v>
      </c>
      <c r="C212" s="13">
        <v>419.82281218918303</v>
      </c>
    </row>
    <row r="213" spans="1:3" x14ac:dyDescent="0.25">
      <c r="A213" s="13">
        <v>2010</v>
      </c>
      <c r="B213" s="13">
        <v>8</v>
      </c>
      <c r="C213" s="13">
        <v>443.29037894738298</v>
      </c>
    </row>
    <row r="214" spans="1:3" x14ac:dyDescent="0.25">
      <c r="A214" s="13">
        <v>2010</v>
      </c>
      <c r="B214" s="13">
        <v>9</v>
      </c>
      <c r="C214" s="13">
        <v>432.61594732638298</v>
      </c>
    </row>
    <row r="215" spans="1:3" x14ac:dyDescent="0.25">
      <c r="A215" s="13">
        <v>2010</v>
      </c>
      <c r="B215" s="13">
        <v>10</v>
      </c>
      <c r="C215" s="13">
        <v>430.35756269774299</v>
      </c>
    </row>
    <row r="216" spans="1:3" x14ac:dyDescent="0.25">
      <c r="A216" s="13">
        <v>2010</v>
      </c>
      <c r="B216" s="13">
        <v>11</v>
      </c>
      <c r="C216" s="13">
        <v>435.20231111952802</v>
      </c>
    </row>
    <row r="217" spans="1:3" x14ac:dyDescent="0.25">
      <c r="A217" s="13">
        <v>2010</v>
      </c>
      <c r="B217" s="13">
        <v>12</v>
      </c>
      <c r="C217" s="13">
        <v>434.28507088623797</v>
      </c>
    </row>
    <row r="218" spans="1:3" x14ac:dyDescent="0.25">
      <c r="A218" s="13">
        <v>2011</v>
      </c>
      <c r="B218" s="13">
        <v>1</v>
      </c>
      <c r="C218" s="13">
        <v>437.52328684199398</v>
      </c>
    </row>
    <row r="219" spans="1:3" x14ac:dyDescent="0.25">
      <c r="A219" s="13">
        <v>2011</v>
      </c>
      <c r="B219" s="13">
        <v>2</v>
      </c>
      <c r="C219" s="13">
        <v>492.47714795315602</v>
      </c>
    </row>
    <row r="220" spans="1:3" x14ac:dyDescent="0.25">
      <c r="A220" s="13">
        <v>2011</v>
      </c>
      <c r="B220" s="13">
        <v>3</v>
      </c>
      <c r="C220" s="13">
        <v>455.05793805665201</v>
      </c>
    </row>
    <row r="221" spans="1:3" x14ac:dyDescent="0.25">
      <c r="A221" s="13">
        <v>2011</v>
      </c>
      <c r="B221" s="13">
        <v>4</v>
      </c>
      <c r="C221" s="13">
        <v>467.29249129778799</v>
      </c>
    </row>
    <row r="222" spans="1:3" x14ac:dyDescent="0.25">
      <c r="A222" s="13">
        <v>2011</v>
      </c>
      <c r="B222" s="13">
        <v>5</v>
      </c>
      <c r="C222" s="13">
        <v>488.25824259433</v>
      </c>
    </row>
    <row r="223" spans="1:3" x14ac:dyDescent="0.25">
      <c r="A223" s="13">
        <v>2011</v>
      </c>
      <c r="B223" s="13">
        <v>6</v>
      </c>
      <c r="C223" s="13">
        <v>473.88385623613402</v>
      </c>
    </row>
    <row r="224" spans="1:3" x14ac:dyDescent="0.25">
      <c r="A224" s="13">
        <v>2011</v>
      </c>
      <c r="B224" s="13">
        <v>7</v>
      </c>
      <c r="C224" s="13">
        <v>475.81413585313999</v>
      </c>
    </row>
    <row r="225" spans="1:3" x14ac:dyDescent="0.25">
      <c r="A225" s="13">
        <v>2011</v>
      </c>
      <c r="B225" s="13">
        <v>8</v>
      </c>
      <c r="C225" s="13">
        <v>461.25291590493703</v>
      </c>
    </row>
    <row r="226" spans="1:3" x14ac:dyDescent="0.25">
      <c r="A226" s="13">
        <v>2011</v>
      </c>
      <c r="B226" s="13">
        <v>9</v>
      </c>
      <c r="C226" s="13">
        <v>454.07002345779301</v>
      </c>
    </row>
    <row r="227" spans="1:3" x14ac:dyDescent="0.25">
      <c r="A227" s="13">
        <v>2011</v>
      </c>
      <c r="B227" s="13">
        <v>10</v>
      </c>
      <c r="C227" s="13">
        <v>467.58871584772203</v>
      </c>
    </row>
    <row r="228" spans="1:3" x14ac:dyDescent="0.25">
      <c r="A228" s="13">
        <v>2011</v>
      </c>
      <c r="B228" s="13">
        <v>11</v>
      </c>
      <c r="C228" s="13">
        <v>468.66554494940499</v>
      </c>
    </row>
    <row r="229" spans="1:3" x14ac:dyDescent="0.25">
      <c r="A229" s="13">
        <v>2011</v>
      </c>
      <c r="B229" s="13">
        <v>12</v>
      </c>
      <c r="C229" s="13">
        <v>474.14448675299599</v>
      </c>
    </row>
    <row r="230" spans="1:3" x14ac:dyDescent="0.25">
      <c r="A230" s="13">
        <v>2012</v>
      </c>
      <c r="B230" s="13">
        <v>1</v>
      </c>
      <c r="C230" s="13">
        <v>469.926119343153</v>
      </c>
    </row>
    <row r="231" spans="1:3" x14ac:dyDescent="0.25">
      <c r="A231" s="13">
        <v>2012</v>
      </c>
      <c r="B231" s="13">
        <v>2</v>
      </c>
      <c r="C231" s="13">
        <v>474.09697482783201</v>
      </c>
    </row>
    <row r="232" spans="1:3" x14ac:dyDescent="0.25">
      <c r="A232" s="13">
        <v>2012</v>
      </c>
      <c r="B232" s="13">
        <v>3</v>
      </c>
      <c r="C232" s="13">
        <v>481.417245308639</v>
      </c>
    </row>
    <row r="233" spans="1:3" x14ac:dyDescent="0.25">
      <c r="A233" s="13">
        <v>2012</v>
      </c>
      <c r="B233" s="13">
        <v>4</v>
      </c>
      <c r="C233" s="13">
        <v>473.11761567859901</v>
      </c>
    </row>
    <row r="234" spans="1:3" x14ac:dyDescent="0.25">
      <c r="A234" s="13">
        <v>2012</v>
      </c>
      <c r="B234" s="13">
        <v>5</v>
      </c>
      <c r="C234" s="13">
        <v>449.64858812961103</v>
      </c>
    </row>
    <row r="235" spans="1:3" x14ac:dyDescent="0.25">
      <c r="A235" s="13">
        <v>2012</v>
      </c>
      <c r="B235" s="13">
        <v>6</v>
      </c>
      <c r="C235" s="13">
        <v>451.88310568077401</v>
      </c>
    </row>
    <row r="236" spans="1:3" x14ac:dyDescent="0.25">
      <c r="A236" s="13">
        <v>2012</v>
      </c>
      <c r="B236" s="13">
        <v>7</v>
      </c>
      <c r="C236" s="13">
        <v>331.76720783153598</v>
      </c>
    </row>
    <row r="237" spans="1:3" x14ac:dyDescent="0.25">
      <c r="A237" s="13">
        <v>2012</v>
      </c>
      <c r="B237" s="13">
        <v>8</v>
      </c>
      <c r="C237" s="13">
        <v>352.921477217904</v>
      </c>
    </row>
    <row r="238" spans="1:3" x14ac:dyDescent="0.25">
      <c r="A238" s="13">
        <v>2012</v>
      </c>
      <c r="B238" s="13">
        <v>9</v>
      </c>
      <c r="C238" s="13">
        <v>376.89959804460602</v>
      </c>
    </row>
    <row r="239" spans="1:3" x14ac:dyDescent="0.25">
      <c r="A239" s="13">
        <v>2012</v>
      </c>
      <c r="B239" s="13">
        <v>10</v>
      </c>
      <c r="C239" s="13">
        <v>377.12262279022002</v>
      </c>
    </row>
    <row r="240" spans="1:3" x14ac:dyDescent="0.25">
      <c r="A240" s="13">
        <v>2012</v>
      </c>
      <c r="B240" s="13">
        <v>11</v>
      </c>
      <c r="C240" s="13">
        <v>380.25159133516098</v>
      </c>
    </row>
    <row r="241" spans="1:3" x14ac:dyDescent="0.25">
      <c r="A241" s="13">
        <v>2012</v>
      </c>
      <c r="B241" s="13">
        <v>12</v>
      </c>
      <c r="C241" s="13">
        <v>349.14975304320097</v>
      </c>
    </row>
    <row r="242" spans="1:3" x14ac:dyDescent="0.25">
      <c r="A242" s="13">
        <v>2013</v>
      </c>
      <c r="B242" s="13">
        <v>1</v>
      </c>
      <c r="C242" s="13">
        <v>388.34713422646098</v>
      </c>
    </row>
    <row r="243" spans="1:3" x14ac:dyDescent="0.25">
      <c r="A243" s="13">
        <v>2013</v>
      </c>
      <c r="B243" s="13">
        <v>2</v>
      </c>
      <c r="C243" s="13">
        <v>384.76621596135601</v>
      </c>
    </row>
    <row r="244" spans="1:3" x14ac:dyDescent="0.25">
      <c r="A244" s="13">
        <v>2013</v>
      </c>
      <c r="B244" s="13">
        <v>3</v>
      </c>
      <c r="C244" s="13">
        <v>453.09912814037898</v>
      </c>
    </row>
    <row r="245" spans="1:3" x14ac:dyDescent="0.25">
      <c r="A245" s="13">
        <v>2013</v>
      </c>
      <c r="B245" s="13">
        <v>4</v>
      </c>
      <c r="C245" s="13">
        <v>424.80554716041399</v>
      </c>
    </row>
    <row r="246" spans="1:3" x14ac:dyDescent="0.25">
      <c r="A246" s="13">
        <v>2013</v>
      </c>
      <c r="B246" s="13">
        <v>5</v>
      </c>
      <c r="C246" s="13">
        <v>440.16781574128697</v>
      </c>
    </row>
    <row r="247" spans="1:3" x14ac:dyDescent="0.25">
      <c r="A247" s="13">
        <v>2013</v>
      </c>
      <c r="B247" s="13">
        <v>6</v>
      </c>
      <c r="C247" s="13">
        <v>413.796167565769</v>
      </c>
    </row>
    <row r="248" spans="1:3" x14ac:dyDescent="0.25">
      <c r="A248" s="13">
        <v>2013</v>
      </c>
      <c r="B248" s="13">
        <v>7</v>
      </c>
      <c r="C248" s="13">
        <v>450.30919845872103</v>
      </c>
    </row>
    <row r="249" spans="1:3" x14ac:dyDescent="0.25">
      <c r="A249" s="13">
        <v>2013</v>
      </c>
      <c r="B249" s="13">
        <v>8</v>
      </c>
      <c r="C249" s="13">
        <v>452.11613721319998</v>
      </c>
    </row>
    <row r="250" spans="1:3" x14ac:dyDescent="0.25">
      <c r="A250" s="13">
        <v>2013</v>
      </c>
      <c r="B250" s="13">
        <v>9</v>
      </c>
      <c r="C250" s="13">
        <v>445.61115887529297</v>
      </c>
    </row>
    <row r="251" spans="1:3" x14ac:dyDescent="0.25">
      <c r="A251" s="13">
        <v>2013</v>
      </c>
      <c r="B251" s="13">
        <v>10</v>
      </c>
      <c r="C251" s="13">
        <v>440.28472917408601</v>
      </c>
    </row>
    <row r="252" spans="1:3" x14ac:dyDescent="0.25">
      <c r="A252" s="13">
        <v>2013</v>
      </c>
      <c r="B252" s="13">
        <v>11</v>
      </c>
      <c r="C252" s="13">
        <v>453.47238068706503</v>
      </c>
    </row>
    <row r="253" spans="1:3" x14ac:dyDescent="0.25">
      <c r="A253" s="13">
        <v>2013</v>
      </c>
      <c r="B253" s="13">
        <v>12</v>
      </c>
      <c r="C253" s="13">
        <v>448.64993124766698</v>
      </c>
    </row>
    <row r="254" spans="1:3" x14ac:dyDescent="0.25">
      <c r="A254" s="13">
        <v>2014</v>
      </c>
      <c r="B254" s="13">
        <v>1</v>
      </c>
      <c r="C254" s="13">
        <v>460.058856791442</v>
      </c>
    </row>
    <row r="255" spans="1:3" x14ac:dyDescent="0.25">
      <c r="A255" s="13">
        <v>2014</v>
      </c>
      <c r="B255" s="13">
        <v>2</v>
      </c>
      <c r="C255" s="13">
        <v>445.36862738946098</v>
      </c>
    </row>
    <row r="256" spans="1:3" x14ac:dyDescent="0.25">
      <c r="A256" s="13">
        <v>2014</v>
      </c>
      <c r="B256" s="13">
        <v>3</v>
      </c>
      <c r="C256" s="13">
        <v>457.98474946284102</v>
      </c>
    </row>
    <row r="257" spans="1:3" x14ac:dyDescent="0.25">
      <c r="A257" s="13">
        <v>2014</v>
      </c>
      <c r="B257" s="13">
        <v>4</v>
      </c>
      <c r="C257" s="13">
        <v>486.65323120454701</v>
      </c>
    </row>
    <row r="258" spans="1:3" x14ac:dyDescent="0.25">
      <c r="A258" s="13">
        <v>2014</v>
      </c>
      <c r="B258" s="13">
        <v>5</v>
      </c>
      <c r="C258" s="13">
        <v>474.67209712769801</v>
      </c>
    </row>
    <row r="259" spans="1:3" x14ac:dyDescent="0.25">
      <c r="A259" s="13">
        <v>2014</v>
      </c>
      <c r="B259" s="13">
        <v>6</v>
      </c>
      <c r="C259" s="13">
        <v>473.240905445203</v>
      </c>
    </row>
    <row r="260" spans="1:3" x14ac:dyDescent="0.25">
      <c r="A260" s="13">
        <v>2014</v>
      </c>
      <c r="B260" s="13">
        <v>7</v>
      </c>
      <c r="C260" s="13">
        <v>464.00767204941002</v>
      </c>
    </row>
    <row r="261" spans="1:3" x14ac:dyDescent="0.25">
      <c r="A261" s="13">
        <v>2014</v>
      </c>
      <c r="B261" s="13">
        <v>8</v>
      </c>
      <c r="C261" s="13">
        <v>440.16195069797101</v>
      </c>
    </row>
    <row r="262" spans="1:3" x14ac:dyDescent="0.25">
      <c r="A262" s="13">
        <v>2014</v>
      </c>
      <c r="B262" s="13">
        <v>9</v>
      </c>
      <c r="C262" s="13">
        <v>449.06491794183501</v>
      </c>
    </row>
    <row r="263" spans="1:3" x14ac:dyDescent="0.25">
      <c r="A263" s="13">
        <v>2014</v>
      </c>
      <c r="B263" s="13">
        <v>10</v>
      </c>
      <c r="C263" s="13">
        <v>439.43039383517402</v>
      </c>
    </row>
    <row r="264" spans="1:3" x14ac:dyDescent="0.25">
      <c r="A264" s="13">
        <v>2014</v>
      </c>
      <c r="B264" s="13">
        <v>11</v>
      </c>
      <c r="C264" s="13">
        <v>445.09949685690202</v>
      </c>
    </row>
    <row r="265" spans="1:3" x14ac:dyDescent="0.25">
      <c r="A265" s="13">
        <v>2014</v>
      </c>
      <c r="B265" s="13">
        <v>12</v>
      </c>
      <c r="C265" s="13">
        <v>464.72693896553102</v>
      </c>
    </row>
    <row r="266" spans="1:3" x14ac:dyDescent="0.25">
      <c r="A266" s="13">
        <v>2015</v>
      </c>
      <c r="B266" s="13">
        <v>1</v>
      </c>
      <c r="C266" s="13">
        <v>442.99477316677297</v>
      </c>
    </row>
    <row r="267" spans="1:3" x14ac:dyDescent="0.25">
      <c r="A267" s="13">
        <v>2015</v>
      </c>
      <c r="B267" s="13">
        <v>2</v>
      </c>
      <c r="C267" s="13">
        <v>439.68782052579201</v>
      </c>
    </row>
    <row r="268" spans="1:3" x14ac:dyDescent="0.25">
      <c r="A268" s="13">
        <v>2015</v>
      </c>
      <c r="B268" s="13">
        <v>3</v>
      </c>
      <c r="C268" s="13">
        <v>416.61572503869797</v>
      </c>
    </row>
    <row r="269" spans="1:3" x14ac:dyDescent="0.25">
      <c r="A269" s="13">
        <v>2015</v>
      </c>
      <c r="B269" s="13">
        <v>4</v>
      </c>
      <c r="C269" s="13">
        <v>388.15257378993499</v>
      </c>
    </row>
    <row r="270" spans="1:3" x14ac:dyDescent="0.25">
      <c r="A270" s="13">
        <v>2015</v>
      </c>
      <c r="B270" s="13">
        <v>5</v>
      </c>
      <c r="C270" s="13">
        <v>403.70478808707998</v>
      </c>
    </row>
    <row r="271" spans="1:3" x14ac:dyDescent="0.25">
      <c r="A271" s="13">
        <v>2015</v>
      </c>
      <c r="B271" s="13">
        <v>6</v>
      </c>
      <c r="C271" s="13">
        <v>442.40567672503101</v>
      </c>
    </row>
    <row r="272" spans="1:3" x14ac:dyDescent="0.25">
      <c r="A272" s="13">
        <v>2015</v>
      </c>
      <c r="B272" s="13">
        <v>7</v>
      </c>
      <c r="C272" s="13">
        <v>415.825874933151</v>
      </c>
    </row>
    <row r="273" spans="1:3" x14ac:dyDescent="0.25">
      <c r="A273" s="13">
        <v>2015</v>
      </c>
      <c r="B273" s="13">
        <v>8</v>
      </c>
      <c r="C273" s="13">
        <v>446.68825075142701</v>
      </c>
    </row>
    <row r="274" spans="1:3" x14ac:dyDescent="0.25">
      <c r="A274" s="13">
        <v>2015</v>
      </c>
      <c r="B274" s="13">
        <v>9</v>
      </c>
      <c r="C274" s="13">
        <v>433.00643614168303</v>
      </c>
    </row>
    <row r="275" spans="1:3" x14ac:dyDescent="0.25">
      <c r="A275" s="13">
        <v>2015</v>
      </c>
      <c r="B275" s="13">
        <v>10</v>
      </c>
      <c r="C275" s="13">
        <v>429.39965799855003</v>
      </c>
    </row>
    <row r="276" spans="1:3" x14ac:dyDescent="0.25">
      <c r="A276" s="13">
        <v>2015</v>
      </c>
      <c r="B276" s="13">
        <v>11</v>
      </c>
      <c r="C276" s="13">
        <v>387.11565514817499</v>
      </c>
    </row>
    <row r="277" spans="1:3" x14ac:dyDescent="0.25">
      <c r="A277" s="13">
        <v>2015</v>
      </c>
      <c r="B277" s="13">
        <v>12</v>
      </c>
      <c r="C277" s="13">
        <v>395.079378154143</v>
      </c>
    </row>
    <row r="278" spans="1:3" x14ac:dyDescent="0.25">
      <c r="A278" s="13">
        <v>2016</v>
      </c>
      <c r="B278" s="13">
        <v>1</v>
      </c>
      <c r="C278" s="13">
        <v>380.84293643315198</v>
      </c>
    </row>
    <row r="279" spans="1:3" x14ac:dyDescent="0.25">
      <c r="A279" s="13">
        <v>2016</v>
      </c>
      <c r="B279" s="13">
        <v>2</v>
      </c>
      <c r="C279" s="13">
        <v>363.96178277732702</v>
      </c>
    </row>
    <row r="280" spans="1:3" x14ac:dyDescent="0.25">
      <c r="A280" s="13">
        <v>2016</v>
      </c>
      <c r="B280" s="13">
        <v>3</v>
      </c>
      <c r="C280" s="13">
        <v>306.16473829734201</v>
      </c>
    </row>
    <row r="281" spans="1:3" x14ac:dyDescent="0.25">
      <c r="A281" s="13">
        <v>2016</v>
      </c>
      <c r="B281" s="13">
        <v>4</v>
      </c>
      <c r="C281" s="13">
        <v>324.39562025182403</v>
      </c>
    </row>
    <row r="282" spans="1:3" x14ac:dyDescent="0.25">
      <c r="A282" s="13">
        <v>2016</v>
      </c>
      <c r="B282" s="13">
        <v>5</v>
      </c>
      <c r="C282" s="13">
        <v>374.43791292298198</v>
      </c>
    </row>
    <row r="283" spans="1:3" x14ac:dyDescent="0.25">
      <c r="A283" s="13">
        <v>2016</v>
      </c>
      <c r="B283" s="13">
        <v>6</v>
      </c>
      <c r="C283" s="13">
        <v>372.683707311094</v>
      </c>
    </row>
    <row r="284" spans="1:3" x14ac:dyDescent="0.25">
      <c r="A284" s="13">
        <v>2016</v>
      </c>
      <c r="B284" s="13">
        <v>7</v>
      </c>
      <c r="C284" s="13">
        <v>338.11330374414501</v>
      </c>
    </row>
    <row r="285" spans="1:3" x14ac:dyDescent="0.25">
      <c r="A285" s="13">
        <v>2016</v>
      </c>
      <c r="B285" s="13">
        <v>8</v>
      </c>
      <c r="C285" s="13">
        <v>316.38970164731097</v>
      </c>
    </row>
    <row r="286" spans="1:3" x14ac:dyDescent="0.25">
      <c r="A286" s="13">
        <v>2016</v>
      </c>
      <c r="B286" s="13">
        <v>9</v>
      </c>
      <c r="C286" s="13">
        <v>308.74430243191398</v>
      </c>
    </row>
    <row r="287" spans="1:3" x14ac:dyDescent="0.25">
      <c r="A287" s="13">
        <v>2016</v>
      </c>
      <c r="B287" s="13">
        <v>10</v>
      </c>
      <c r="C287" s="13">
        <v>337.46706964153702</v>
      </c>
    </row>
    <row r="288" spans="1:3" x14ac:dyDescent="0.25">
      <c r="A288" s="13">
        <v>2016</v>
      </c>
      <c r="B288" s="13">
        <v>11</v>
      </c>
      <c r="C288" s="13">
        <v>340.89082337273697</v>
      </c>
    </row>
    <row r="289" spans="1:3" x14ac:dyDescent="0.25">
      <c r="A289" s="13">
        <v>2016</v>
      </c>
      <c r="B289" s="13">
        <v>12</v>
      </c>
      <c r="C289" s="13">
        <v>340.10286646543699</v>
      </c>
    </row>
    <row r="290" spans="1:3" x14ac:dyDescent="0.25">
      <c r="A290" s="13">
        <v>2017</v>
      </c>
      <c r="B290" s="13">
        <v>1</v>
      </c>
      <c r="C290" s="13">
        <v>337.41128236072802</v>
      </c>
    </row>
    <row r="291" spans="1:3" x14ac:dyDescent="0.25">
      <c r="A291" s="13">
        <v>2017</v>
      </c>
      <c r="B291" s="13">
        <v>2</v>
      </c>
      <c r="C291" s="13">
        <v>363.11585437405398</v>
      </c>
    </row>
    <row r="292" spans="1:3" x14ac:dyDescent="0.25">
      <c r="A292" s="13">
        <v>2017</v>
      </c>
      <c r="B292" s="13">
        <v>3</v>
      </c>
      <c r="C292" s="13">
        <v>382.52002923079601</v>
      </c>
    </row>
    <row r="293" spans="1:3" x14ac:dyDescent="0.25">
      <c r="A293" s="13">
        <v>2017</v>
      </c>
      <c r="B293" s="13">
        <v>4</v>
      </c>
      <c r="C293" s="13">
        <v>370.79271924106803</v>
      </c>
    </row>
    <row r="294" spans="1:3" x14ac:dyDescent="0.25">
      <c r="A294" s="13">
        <v>2017</v>
      </c>
      <c r="B294" s="13">
        <v>5</v>
      </c>
      <c r="C294" s="13">
        <v>392.250841495835</v>
      </c>
    </row>
    <row r="295" spans="1:3" x14ac:dyDescent="0.25">
      <c r="A295" s="13">
        <v>2017</v>
      </c>
      <c r="B295" s="13">
        <v>6</v>
      </c>
      <c r="C295" s="13">
        <v>377.11226802862598</v>
      </c>
    </row>
    <row r="296" spans="1:3" x14ac:dyDescent="0.25">
      <c r="A296" s="13">
        <v>2017</v>
      </c>
      <c r="B296" s="13">
        <v>7</v>
      </c>
      <c r="C296" s="13">
        <v>378.94924014441602</v>
      </c>
    </row>
    <row r="297" spans="1:3" x14ac:dyDescent="0.25">
      <c r="A297" s="13">
        <v>2017</v>
      </c>
      <c r="B297" s="13">
        <v>8</v>
      </c>
      <c r="C297" s="13">
        <v>390.38872508533802</v>
      </c>
    </row>
    <row r="298" spans="1:3" x14ac:dyDescent="0.25">
      <c r="A298" s="13">
        <v>2017</v>
      </c>
      <c r="B298" s="13">
        <v>9</v>
      </c>
      <c r="C298" s="13">
        <v>407.50441132661001</v>
      </c>
    </row>
    <row r="299" spans="1:3" x14ac:dyDescent="0.25">
      <c r="A299" s="13">
        <v>2017</v>
      </c>
      <c r="B299" s="13">
        <v>10</v>
      </c>
      <c r="C299" s="13">
        <v>410.62297315259502</v>
      </c>
    </row>
    <row r="300" spans="1:3" x14ac:dyDescent="0.25">
      <c r="A300" s="13">
        <v>2017</v>
      </c>
      <c r="B300" s="13">
        <v>11</v>
      </c>
      <c r="C300" s="13">
        <v>414.11896731301101</v>
      </c>
    </row>
    <row r="301" spans="1:3" x14ac:dyDescent="0.25">
      <c r="A301" s="13">
        <v>2017</v>
      </c>
      <c r="B301" s="13">
        <v>12</v>
      </c>
      <c r="C301" s="13">
        <v>408.83049919053798</v>
      </c>
    </row>
    <row r="302" spans="1:3" x14ac:dyDescent="0.25">
      <c r="A302" s="13">
        <v>2018</v>
      </c>
      <c r="B302" s="13">
        <v>1</v>
      </c>
      <c r="C302" s="13">
        <v>385.27363005822099</v>
      </c>
    </row>
    <row r="303" spans="1:3" x14ac:dyDescent="0.25">
      <c r="A303" s="13">
        <v>2018</v>
      </c>
      <c r="B303" s="13">
        <v>2</v>
      </c>
      <c r="C303" s="13">
        <v>476.975151720018</v>
      </c>
    </row>
    <row r="304" spans="1:3" x14ac:dyDescent="0.25">
      <c r="A304" s="13">
        <v>2018</v>
      </c>
      <c r="B304" s="13">
        <v>3</v>
      </c>
      <c r="C304" s="13">
        <v>465.434587920198</v>
      </c>
    </row>
    <row r="305" spans="1:3" x14ac:dyDescent="0.25">
      <c r="A305" s="13">
        <v>2018</v>
      </c>
      <c r="B305" s="13">
        <v>4</v>
      </c>
      <c r="C305" s="13">
        <v>465.11329769475799</v>
      </c>
    </row>
    <row r="306" spans="1:3" x14ac:dyDescent="0.25">
      <c r="A306" s="13">
        <v>2018</v>
      </c>
      <c r="B306" s="13">
        <v>5</v>
      </c>
      <c r="C306" s="13">
        <v>438.28385206192502</v>
      </c>
    </row>
    <row r="307" spans="1:3" x14ac:dyDescent="0.25">
      <c r="A307" s="13">
        <v>2018</v>
      </c>
      <c r="B307" s="13">
        <v>6</v>
      </c>
      <c r="C307" s="13">
        <v>421.464484254323</v>
      </c>
    </row>
    <row r="308" spans="1:3" x14ac:dyDescent="0.25">
      <c r="A308" s="13">
        <v>2018</v>
      </c>
      <c r="B308" s="13">
        <v>7</v>
      </c>
      <c r="C308" s="13">
        <v>444.16229105193401</v>
      </c>
    </row>
    <row r="309" spans="1:3" x14ac:dyDescent="0.25">
      <c r="A309" s="13">
        <v>2018</v>
      </c>
      <c r="B309" s="13">
        <v>8</v>
      </c>
      <c r="C309" s="13">
        <v>428.20668757184802</v>
      </c>
    </row>
    <row r="310" spans="1:3" x14ac:dyDescent="0.25">
      <c r="A310" s="13">
        <v>2018</v>
      </c>
      <c r="B310" s="13">
        <v>9</v>
      </c>
      <c r="C310" s="13">
        <v>415.761698478433</v>
      </c>
    </row>
    <row r="311" spans="1:3" x14ac:dyDescent="0.25">
      <c r="A311" s="13">
        <v>2018</v>
      </c>
      <c r="B311" s="13">
        <v>10</v>
      </c>
      <c r="C311" s="13">
        <v>412.964985563563</v>
      </c>
    </row>
    <row r="312" spans="1:3" x14ac:dyDescent="0.25">
      <c r="A312" s="13">
        <v>2018</v>
      </c>
      <c r="B312" s="13">
        <v>11</v>
      </c>
      <c r="C312" s="13">
        <v>432.88165079937301</v>
      </c>
    </row>
    <row r="313" spans="1:3" x14ac:dyDescent="0.25">
      <c r="A313" s="13">
        <v>2018</v>
      </c>
      <c r="B313" s="13">
        <v>12</v>
      </c>
      <c r="C313" s="13">
        <v>382.18336666081001</v>
      </c>
    </row>
    <row r="314" spans="1:3" x14ac:dyDescent="0.25">
      <c r="A314" s="13">
        <v>2019</v>
      </c>
      <c r="B314" s="13">
        <v>1</v>
      </c>
      <c r="C314" s="13">
        <v>408.61558911752701</v>
      </c>
    </row>
    <row r="315" spans="1:3" x14ac:dyDescent="0.25">
      <c r="A315" s="13">
        <v>2019</v>
      </c>
      <c r="B315" s="13">
        <v>2</v>
      </c>
      <c r="C315" s="13">
        <v>381.794036994549</v>
      </c>
    </row>
    <row r="316" spans="1:3" x14ac:dyDescent="0.25">
      <c r="A316" s="13">
        <v>2019</v>
      </c>
      <c r="B316" s="13">
        <v>3</v>
      </c>
      <c r="C316" s="13">
        <v>384.494997808302</v>
      </c>
    </row>
    <row r="317" spans="1:3" x14ac:dyDescent="0.25">
      <c r="A317" s="13">
        <v>2019</v>
      </c>
      <c r="B317" s="13">
        <v>4</v>
      </c>
      <c r="C317" s="13">
        <v>421.99131211253302</v>
      </c>
    </row>
    <row r="318" spans="1:3" x14ac:dyDescent="0.25">
      <c r="A318" s="13">
        <v>2019</v>
      </c>
      <c r="B318" s="13">
        <v>5</v>
      </c>
      <c r="C318" s="13">
        <v>408.79880145057302</v>
      </c>
    </row>
    <row r="319" spans="1:3" x14ac:dyDescent="0.25">
      <c r="A319" s="13">
        <v>2019</v>
      </c>
      <c r="B319" s="13">
        <v>6</v>
      </c>
      <c r="C319" s="13">
        <v>420.75308616431897</v>
      </c>
    </row>
    <row r="320" spans="1:3" x14ac:dyDescent="0.25">
      <c r="A320" s="13">
        <v>2019</v>
      </c>
      <c r="B320" s="13">
        <v>7</v>
      </c>
      <c r="C320" s="13">
        <v>397.89086159039999</v>
      </c>
    </row>
    <row r="321" spans="1:3" x14ac:dyDescent="0.25">
      <c r="A321" s="13">
        <v>2019</v>
      </c>
      <c r="B321" s="13">
        <v>8</v>
      </c>
      <c r="C321" s="13">
        <v>410.76773526934102</v>
      </c>
    </row>
    <row r="322" spans="1:3" x14ac:dyDescent="0.25">
      <c r="A322" s="13">
        <v>2019</v>
      </c>
      <c r="B322" s="13">
        <v>9</v>
      </c>
      <c r="C322" s="13">
        <v>385.97120661747402</v>
      </c>
    </row>
    <row r="323" spans="1:3" x14ac:dyDescent="0.25">
      <c r="A323" s="13">
        <v>2019</v>
      </c>
      <c r="B323" s="13">
        <v>10</v>
      </c>
      <c r="C323" s="13">
        <v>349.68169847249402</v>
      </c>
    </row>
    <row r="324" spans="1:3" x14ac:dyDescent="0.25">
      <c r="A324" s="13">
        <v>2019</v>
      </c>
      <c r="B324" s="13">
        <v>11</v>
      </c>
      <c r="C324" s="13">
        <v>331.63454821205499</v>
      </c>
    </row>
    <row r="325" spans="1:3" x14ac:dyDescent="0.25">
      <c r="A325" s="13">
        <v>2019</v>
      </c>
      <c r="B325" s="13">
        <v>12</v>
      </c>
      <c r="C325" s="13">
        <v>347.141731135719</v>
      </c>
    </row>
    <row r="326" spans="1:3" x14ac:dyDescent="0.25">
      <c r="A326" s="13">
        <v>2020</v>
      </c>
      <c r="B326" s="13">
        <v>1</v>
      </c>
      <c r="C326" s="13">
        <v>332.67396159926602</v>
      </c>
    </row>
    <row r="327" spans="1:3" x14ac:dyDescent="0.25">
      <c r="A327" s="13">
        <v>2020</v>
      </c>
      <c r="B327" s="13">
        <v>2</v>
      </c>
      <c r="C327" s="13">
        <v>378.36092779328197</v>
      </c>
    </row>
    <row r="328" spans="1:3" x14ac:dyDescent="0.25">
      <c r="A328" s="13">
        <v>2020</v>
      </c>
      <c r="B328" s="13">
        <v>3</v>
      </c>
      <c r="C328" s="13">
        <v>284.13112503099597</v>
      </c>
    </row>
    <row r="329" spans="1:3" x14ac:dyDescent="0.25">
      <c r="A329" s="13">
        <v>2020</v>
      </c>
      <c r="B329" s="13">
        <v>4</v>
      </c>
      <c r="C329" s="13">
        <v>108.23108393609699</v>
      </c>
    </row>
    <row r="330" spans="1:3" x14ac:dyDescent="0.25">
      <c r="A330" s="13">
        <v>2020</v>
      </c>
      <c r="B330" s="13">
        <v>5</v>
      </c>
      <c r="C330" s="13">
        <v>195.263929358865</v>
      </c>
    </row>
    <row r="331" spans="1:3" x14ac:dyDescent="0.25">
      <c r="A331" s="13">
        <v>2020</v>
      </c>
      <c r="B331" s="13">
        <v>6</v>
      </c>
      <c r="C331" s="13">
        <v>248.82405416417899</v>
      </c>
    </row>
    <row r="332" spans="1:3" x14ac:dyDescent="0.25">
      <c r="A332" s="13">
        <v>2020</v>
      </c>
      <c r="B332" s="13">
        <v>7</v>
      </c>
      <c r="C332" s="13">
        <v>306.29989832019999</v>
      </c>
    </row>
    <row r="333" spans="1:3" x14ac:dyDescent="0.25">
      <c r="A333" s="13">
        <v>2020</v>
      </c>
      <c r="B333" s="13">
        <v>8</v>
      </c>
      <c r="C333" s="13">
        <v>312.61894020942401</v>
      </c>
    </row>
    <row r="334" spans="1:3" x14ac:dyDescent="0.25">
      <c r="A334" s="13">
        <v>2020</v>
      </c>
      <c r="B334" s="13">
        <v>9</v>
      </c>
      <c r="C334" s="13">
        <v>335.71275851652803</v>
      </c>
    </row>
    <row r="335" spans="1:3" x14ac:dyDescent="0.25">
      <c r="A335" s="13">
        <v>2020</v>
      </c>
      <c r="B335" s="13">
        <v>10</v>
      </c>
      <c r="C335" s="13">
        <v>346.77106523618198</v>
      </c>
    </row>
    <row r="336" spans="1:3" x14ac:dyDescent="0.25">
      <c r="A336" s="13">
        <v>2020</v>
      </c>
      <c r="B336" s="13">
        <v>11</v>
      </c>
      <c r="C336" s="13">
        <v>364.55120761029298</v>
      </c>
    </row>
    <row r="337" spans="1:3" x14ac:dyDescent="0.25">
      <c r="A337" s="13">
        <v>2020</v>
      </c>
      <c r="B337" s="13">
        <v>12</v>
      </c>
      <c r="C337" s="13">
        <v>405.25303818740502</v>
      </c>
    </row>
    <row r="338" spans="1:3" x14ac:dyDescent="0.25">
      <c r="A338" s="13">
        <v>2021</v>
      </c>
      <c r="B338" s="13">
        <v>1</v>
      </c>
      <c r="C338" s="13">
        <v>403.746586274349</v>
      </c>
    </row>
    <row r="339" spans="1:3" x14ac:dyDescent="0.25">
      <c r="A339" s="13">
        <v>2021</v>
      </c>
      <c r="B339" s="13">
        <v>2</v>
      </c>
      <c r="C339" s="13">
        <v>404.77029356970797</v>
      </c>
    </row>
    <row r="340" spans="1:3" x14ac:dyDescent="0.25">
      <c r="A340" s="13">
        <v>2021</v>
      </c>
      <c r="B340" s="13">
        <v>3</v>
      </c>
      <c r="C340" s="13">
        <v>424.75144323958102</v>
      </c>
    </row>
    <row r="341" spans="1:3" x14ac:dyDescent="0.25">
      <c r="A341" s="13">
        <v>2021</v>
      </c>
      <c r="B341" s="13">
        <v>4</v>
      </c>
      <c r="C341" s="13">
        <v>349.649734838092</v>
      </c>
    </row>
    <row r="342" spans="1:3" x14ac:dyDescent="0.25">
      <c r="A342" s="13">
        <v>2021</v>
      </c>
      <c r="B342" s="13">
        <v>5</v>
      </c>
      <c r="C342" s="13">
        <v>391.174069234515</v>
      </c>
    </row>
    <row r="343" spans="1:3" x14ac:dyDescent="0.25">
      <c r="A343" s="13">
        <v>2021</v>
      </c>
      <c r="B343" s="13">
        <v>6</v>
      </c>
      <c r="C343" s="13">
        <v>406.38085910098999</v>
      </c>
    </row>
    <row r="344" spans="1:3" x14ac:dyDescent="0.25">
      <c r="A344" s="13">
        <v>2021</v>
      </c>
      <c r="B344" s="13">
        <v>7</v>
      </c>
      <c r="C344" s="13">
        <v>411.71172138656402</v>
      </c>
    </row>
    <row r="345" spans="1:3" x14ac:dyDescent="0.25">
      <c r="A345" s="13">
        <v>2021</v>
      </c>
      <c r="B345" s="13">
        <v>8</v>
      </c>
      <c r="C345" s="13">
        <v>402.85671323885799</v>
      </c>
    </row>
    <row r="346" spans="1:3" x14ac:dyDescent="0.25">
      <c r="A346" s="13">
        <v>2021</v>
      </c>
      <c r="B346" s="13">
        <v>9</v>
      </c>
      <c r="C346" s="13">
        <v>406.86025085522402</v>
      </c>
    </row>
    <row r="347" spans="1:3" x14ac:dyDescent="0.25">
      <c r="A347" s="13">
        <v>2021</v>
      </c>
      <c r="B347" s="13">
        <v>10</v>
      </c>
      <c r="C347" s="13">
        <v>407.890325678073</v>
      </c>
    </row>
    <row r="348" spans="1:3" x14ac:dyDescent="0.25">
      <c r="A348" s="13">
        <v>2021</v>
      </c>
      <c r="B348" s="13">
        <v>11</v>
      </c>
      <c r="C348" s="13">
        <v>426.26764778781501</v>
      </c>
    </row>
    <row r="349" spans="1:3" x14ac:dyDescent="0.25">
      <c r="A349" s="13">
        <v>2021</v>
      </c>
      <c r="B349" s="13">
        <v>12</v>
      </c>
      <c r="C349" s="13">
        <v>444.59285786904098</v>
      </c>
    </row>
    <row r="350" spans="1:3" x14ac:dyDescent="0.25">
      <c r="A350" s="13">
        <v>2022</v>
      </c>
      <c r="B350" s="13">
        <v>1</v>
      </c>
      <c r="C350" s="13">
        <v>387.420592407274</v>
      </c>
    </row>
    <row r="351" spans="1:3" x14ac:dyDescent="0.25">
      <c r="A351" s="13">
        <v>2022</v>
      </c>
      <c r="B351" s="13">
        <v>2</v>
      </c>
      <c r="C351" s="13">
        <v>394.70402220734201</v>
      </c>
    </row>
    <row r="352" spans="1:3" x14ac:dyDescent="0.25">
      <c r="A352" s="13">
        <v>2022</v>
      </c>
      <c r="B352" s="13">
        <v>3</v>
      </c>
      <c r="C352" s="13">
        <v>419.52356169070299</v>
      </c>
    </row>
    <row r="353" spans="1:3" x14ac:dyDescent="0.25">
      <c r="A353" s="13">
        <v>2022</v>
      </c>
      <c r="B353" s="13">
        <v>4</v>
      </c>
      <c r="C353" s="13">
        <v>360.72967915720199</v>
      </c>
    </row>
    <row r="354" spans="1:3" x14ac:dyDescent="0.25">
      <c r="A354" s="13">
        <v>2022</v>
      </c>
      <c r="B354" s="13">
        <v>5</v>
      </c>
      <c r="C354" s="13">
        <v>445.18749656943203</v>
      </c>
    </row>
    <row r="355" spans="1:3" x14ac:dyDescent="0.25">
      <c r="A355" s="13">
        <v>2022</v>
      </c>
      <c r="B355" s="13">
        <v>6</v>
      </c>
      <c r="C355" s="13">
        <v>470.18303328424003</v>
      </c>
    </row>
    <row r="356" spans="1:3" x14ac:dyDescent="0.25">
      <c r="A356" s="13">
        <v>2022</v>
      </c>
      <c r="B356" s="13">
        <v>7</v>
      </c>
      <c r="C356" s="13">
        <v>447.179467449279</v>
      </c>
    </row>
    <row r="357" spans="1:3" x14ac:dyDescent="0.25">
      <c r="A357" s="13">
        <v>2022</v>
      </c>
      <c r="B357" s="13">
        <v>8</v>
      </c>
      <c r="C357" s="13">
        <v>436.905098598069</v>
      </c>
    </row>
    <row r="358" spans="1:3" x14ac:dyDescent="0.25">
      <c r="A358" s="13">
        <v>2022</v>
      </c>
      <c r="B358" s="13">
        <v>9</v>
      </c>
      <c r="C358" s="13">
        <v>400.44111875904002</v>
      </c>
    </row>
    <row r="359" spans="1:3" x14ac:dyDescent="0.25">
      <c r="A359" s="13">
        <v>2022</v>
      </c>
      <c r="B359" s="13">
        <v>10</v>
      </c>
      <c r="C359" s="13">
        <v>448.68379560719001</v>
      </c>
    </row>
    <row r="360" spans="1:3" x14ac:dyDescent="0.25">
      <c r="A360" s="13">
        <v>2022</v>
      </c>
      <c r="B360" s="13">
        <v>11</v>
      </c>
      <c r="C360" s="13">
        <v>433.849897549557</v>
      </c>
    </row>
    <row r="361" spans="1:3" x14ac:dyDescent="0.25">
      <c r="A361" s="13">
        <v>2022</v>
      </c>
      <c r="B361" s="13">
        <v>12</v>
      </c>
      <c r="C361" s="13">
        <v>459.709460983513</v>
      </c>
    </row>
    <row r="362" spans="1:3" x14ac:dyDescent="0.25">
      <c r="A362" s="13">
        <v>2023</v>
      </c>
      <c r="B362" s="13">
        <v>1</v>
      </c>
      <c r="C362" s="13">
        <v>477.77505506480702</v>
      </c>
    </row>
    <row r="363" spans="1:3" x14ac:dyDescent="0.25">
      <c r="A363" s="13">
        <v>2023</v>
      </c>
      <c r="B363" s="13">
        <v>2</v>
      </c>
      <c r="C363" s="13">
        <v>433.43952967805097</v>
      </c>
    </row>
    <row r="364" spans="1:3" x14ac:dyDescent="0.25">
      <c r="A364" s="13">
        <v>2023</v>
      </c>
      <c r="B364" s="13">
        <v>3</v>
      </c>
      <c r="C364" s="13">
        <v>413.73845297301199</v>
      </c>
    </row>
    <row r="365" spans="1:3" x14ac:dyDescent="0.25">
      <c r="A365" s="13">
        <v>2023</v>
      </c>
      <c r="B365" s="13">
        <v>4</v>
      </c>
      <c r="C365" s="13">
        <v>436.60810566349699</v>
      </c>
    </row>
    <row r="366" spans="1:3" x14ac:dyDescent="0.25">
      <c r="A366" s="13">
        <v>2023</v>
      </c>
      <c r="B366" s="13">
        <v>5</v>
      </c>
      <c r="C366" s="13">
        <v>437.60686061520101</v>
      </c>
    </row>
    <row r="367" spans="1:3" x14ac:dyDescent="0.25">
      <c r="A367" s="13">
        <v>2023</v>
      </c>
      <c r="B367" s="13">
        <v>6</v>
      </c>
      <c r="C367" s="13">
        <v>430.705225910894</v>
      </c>
    </row>
    <row r="368" spans="1:3" x14ac:dyDescent="0.25">
      <c r="A368" s="13">
        <v>2023</v>
      </c>
      <c r="B368" s="13">
        <v>7</v>
      </c>
      <c r="C368" s="13">
        <v>332.91544787611201</v>
      </c>
    </row>
    <row r="369" spans="1:3" x14ac:dyDescent="0.25">
      <c r="A369" s="13">
        <v>2023</v>
      </c>
      <c r="B369" s="13">
        <v>8</v>
      </c>
      <c r="C369" s="13">
        <v>401.19093597240402</v>
      </c>
    </row>
    <row r="370" spans="1:3" x14ac:dyDescent="0.25">
      <c r="A370" s="13">
        <v>2023</v>
      </c>
      <c r="B370" s="13">
        <v>9</v>
      </c>
      <c r="C370" s="13">
        <v>416.15844932654397</v>
      </c>
    </row>
    <row r="371" spans="1:3" x14ac:dyDescent="0.25">
      <c r="A371" s="13">
        <v>2023</v>
      </c>
      <c r="B371" s="13">
        <v>10</v>
      </c>
      <c r="C371" s="13">
        <v>413.01785494175198</v>
      </c>
    </row>
    <row r="372" spans="1:3" x14ac:dyDescent="0.25">
      <c r="A372" s="13">
        <v>2023</v>
      </c>
      <c r="B372" s="13">
        <v>11</v>
      </c>
      <c r="C372" s="13">
        <v>387.81894848832798</v>
      </c>
    </row>
    <row r="373" spans="1:3" x14ac:dyDescent="0.25">
      <c r="A373" s="13">
        <v>2023</v>
      </c>
      <c r="B373" s="13">
        <v>12</v>
      </c>
      <c r="C373" s="13">
        <v>358.16334506782198</v>
      </c>
    </row>
    <row r="374" spans="1:3" x14ac:dyDescent="0.25">
      <c r="A374" s="13">
        <v>2024</v>
      </c>
      <c r="B374" s="13">
        <v>1</v>
      </c>
      <c r="C374" s="13">
        <v>444.24224427356597</v>
      </c>
    </row>
    <row r="375" spans="1:3" x14ac:dyDescent="0.25">
      <c r="A375" s="13">
        <v>2024</v>
      </c>
      <c r="B375" s="13">
        <v>2</v>
      </c>
      <c r="C375" s="13">
        <v>363.08281621582398</v>
      </c>
    </row>
    <row r="376" spans="1:3" x14ac:dyDescent="0.25">
      <c r="A376" s="13">
        <v>2024</v>
      </c>
      <c r="B376" s="13">
        <v>3</v>
      </c>
      <c r="C376" s="13">
        <v>239.58367366488301</v>
      </c>
    </row>
    <row r="377" spans="1:3" x14ac:dyDescent="0.25">
      <c r="A377" s="13">
        <v>2024</v>
      </c>
      <c r="B377" s="13">
        <v>4</v>
      </c>
      <c r="C377" s="13">
        <v>325.15191524129</v>
      </c>
    </row>
    <row r="378" spans="1:3" x14ac:dyDescent="0.25">
      <c r="A378" s="13">
        <v>2024</v>
      </c>
      <c r="B378" s="13">
        <v>5</v>
      </c>
      <c r="C378" s="13">
        <v>304.519225693865</v>
      </c>
    </row>
    <row r="379" spans="1:3" x14ac:dyDescent="0.25">
      <c r="A379" s="13">
        <v>2024</v>
      </c>
      <c r="B379" s="13">
        <v>6</v>
      </c>
      <c r="C379" s="13">
        <v>282.51988287777402</v>
      </c>
    </row>
    <row r="380" spans="1:3" x14ac:dyDescent="0.25">
      <c r="A380" s="13">
        <v>2024</v>
      </c>
      <c r="B380" s="13">
        <v>7</v>
      </c>
      <c r="C380" s="13">
        <v>305.40888783535303</v>
      </c>
    </row>
    <row r="381" spans="1:3" x14ac:dyDescent="0.25">
      <c r="A381" s="13">
        <v>2024</v>
      </c>
      <c r="B381" s="13">
        <v>8</v>
      </c>
      <c r="C381" s="13">
        <v>322.430436789726</v>
      </c>
    </row>
    <row r="382" spans="1:3" x14ac:dyDescent="0.25">
      <c r="A382" s="13">
        <v>2024</v>
      </c>
      <c r="B382" s="13">
        <v>9</v>
      </c>
      <c r="C382" s="13">
        <v>338.92735732130598</v>
      </c>
    </row>
    <row r="383" spans="1:3" x14ac:dyDescent="0.25">
      <c r="A383" s="13">
        <v>2024</v>
      </c>
      <c r="B383" s="13">
        <v>10</v>
      </c>
      <c r="C383" s="13">
        <v>313.77781971842802</v>
      </c>
    </row>
    <row r="384" spans="1:3" x14ac:dyDescent="0.25">
      <c r="A384" s="13">
        <v>2024</v>
      </c>
      <c r="B384" s="13">
        <v>11</v>
      </c>
      <c r="C384" s="13">
        <v>312.35615296425902</v>
      </c>
    </row>
    <row r="385" spans="1:3" x14ac:dyDescent="0.25">
      <c r="A385" s="13">
        <v>2024</v>
      </c>
      <c r="B385" s="13">
        <v>12</v>
      </c>
      <c r="C385" s="13">
        <v>289.04406028594798</v>
      </c>
    </row>
    <row r="386" spans="1:3" x14ac:dyDescent="0.25">
      <c r="A386" s="13">
        <v>2025</v>
      </c>
      <c r="B386" s="13">
        <v>1</v>
      </c>
      <c r="C386" s="13">
        <v>335.895626225304</v>
      </c>
    </row>
    <row r="387" spans="1:3" x14ac:dyDescent="0.25">
      <c r="A387" s="13">
        <v>2025</v>
      </c>
      <c r="B387" s="13">
        <v>2</v>
      </c>
      <c r="C387" s="13">
        <v>388.46062657551499</v>
      </c>
    </row>
    <row r="388" spans="1:3" x14ac:dyDescent="0.25">
      <c r="A388" s="13">
        <v>2025</v>
      </c>
      <c r="B388" s="13">
        <v>3</v>
      </c>
      <c r="C388" s="13">
        <v>326.94753239818402</v>
      </c>
    </row>
    <row r="389" spans="1:3" x14ac:dyDescent="0.25">
      <c r="A389" s="13">
        <v>2025</v>
      </c>
      <c r="B389" s="13">
        <v>4</v>
      </c>
      <c r="C389" s="13">
        <v>325.42413193099998</v>
      </c>
    </row>
    <row r="390" spans="1:3" x14ac:dyDescent="0.25">
      <c r="A390" s="13">
        <v>2025</v>
      </c>
      <c r="B390" s="13">
        <v>5</v>
      </c>
      <c r="C390" s="13">
        <v>339.98027685928503</v>
      </c>
    </row>
    <row r="391" spans="1:3" x14ac:dyDescent="0.25">
      <c r="A391" s="13">
        <v>2025</v>
      </c>
      <c r="B391" s="13">
        <v>6</v>
      </c>
      <c r="C391" s="13">
        <v>330.95389473308001</v>
      </c>
    </row>
    <row r="392" spans="1:3" x14ac:dyDescent="0.25">
      <c r="A392" s="13">
        <v>2025</v>
      </c>
      <c r="B392" s="13">
        <v>7</v>
      </c>
      <c r="C392" s="13">
        <v>320.63436401949201</v>
      </c>
    </row>
    <row r="393" spans="1:3" x14ac:dyDescent="0.25">
      <c r="A393" s="13">
        <v>2025</v>
      </c>
      <c r="B393" s="13">
        <v>8</v>
      </c>
      <c r="C393" s="13">
        <v>342.15677253485302</v>
      </c>
    </row>
    <row r="394" spans="1:3" x14ac:dyDescent="0.25">
      <c r="A394" s="13">
        <v>2025</v>
      </c>
      <c r="B394" s="13">
        <v>9</v>
      </c>
      <c r="C394" s="13">
        <v>324.69516511538501</v>
      </c>
    </row>
    <row r="395" spans="1:3" x14ac:dyDescent="0.25">
      <c r="A395" s="13">
        <v>2025</v>
      </c>
      <c r="B395" s="13">
        <v>10</v>
      </c>
      <c r="C395" s="13">
        <v>328.55605143732799</v>
      </c>
    </row>
    <row r="396" spans="1:3" x14ac:dyDescent="0.25">
      <c r="A396" s="13">
        <v>2025</v>
      </c>
      <c r="B396" s="13">
        <v>11</v>
      </c>
      <c r="C396" s="13">
        <v>349.20135137456703</v>
      </c>
    </row>
    <row r="397" spans="1:3" x14ac:dyDescent="0.25">
      <c r="A397" s="13">
        <v>2025</v>
      </c>
      <c r="B397" s="13">
        <v>12</v>
      </c>
      <c r="C397" s="13">
        <v>323.44042717151899</v>
      </c>
    </row>
    <row r="398" spans="1:3" x14ac:dyDescent="0.25">
      <c r="A398" s="13">
        <v>2026</v>
      </c>
      <c r="B398" s="13">
        <v>1</v>
      </c>
      <c r="C398" s="13">
        <v>386.39125612099798</v>
      </c>
    </row>
    <row r="399" spans="1:3" x14ac:dyDescent="0.25">
      <c r="A399" s="13">
        <v>2026</v>
      </c>
      <c r="B399" s="13">
        <v>2</v>
      </c>
      <c r="C399" s="13">
        <v>341.993377592493</v>
      </c>
    </row>
    <row r="400" spans="1:3" x14ac:dyDescent="0.25">
      <c r="A400" s="13">
        <v>2026</v>
      </c>
      <c r="B400" s="13">
        <v>3</v>
      </c>
      <c r="C400" s="13">
        <v>382.492975617757</v>
      </c>
    </row>
    <row r="401" spans="1:3" x14ac:dyDescent="0.25">
      <c r="A401" s="13">
        <v>2026</v>
      </c>
      <c r="B401" s="13">
        <v>4</v>
      </c>
      <c r="C401" s="13">
        <v>383.936184176795</v>
      </c>
    </row>
    <row r="402" spans="1:3" x14ac:dyDescent="0.25">
      <c r="A402" s="13">
        <v>2026</v>
      </c>
      <c r="B402" s="13">
        <v>5</v>
      </c>
      <c r="C402" s="13">
        <v>387.717838881332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4B29-ECF4-423D-A6A4-24EF961A1C7E}">
  <dimension ref="A1:C397"/>
  <sheetViews>
    <sheetView topLeftCell="A361" workbookViewId="0">
      <selection activeCell="C2" sqref="C2:C397"/>
    </sheetView>
  </sheetViews>
  <sheetFormatPr baseColWidth="10" defaultRowHeight="15" x14ac:dyDescent="0.25"/>
  <sheetData>
    <row r="1" spans="1:3" x14ac:dyDescent="0.25">
      <c r="A1" s="9" t="s">
        <v>34</v>
      </c>
      <c r="B1" s="9" t="s">
        <v>35</v>
      </c>
      <c r="C1" s="9" t="s">
        <v>36</v>
      </c>
    </row>
    <row r="2" spans="1:3" x14ac:dyDescent="0.25">
      <c r="A2" s="10">
        <v>1993</v>
      </c>
      <c r="B2" s="10">
        <v>1</v>
      </c>
      <c r="C2" s="10">
        <v>242.77755215376101</v>
      </c>
    </row>
    <row r="3" spans="1:3" x14ac:dyDescent="0.25">
      <c r="A3" s="10">
        <v>1993</v>
      </c>
      <c r="B3" s="10">
        <v>2</v>
      </c>
      <c r="C3" s="10">
        <v>233.78219618494799</v>
      </c>
    </row>
    <row r="4" spans="1:3" x14ac:dyDescent="0.25">
      <c r="A4" s="10">
        <v>1993</v>
      </c>
      <c r="B4" s="10">
        <v>3</v>
      </c>
      <c r="C4" s="10">
        <v>227.260699669594</v>
      </c>
    </row>
    <row r="5" spans="1:3" x14ac:dyDescent="0.25">
      <c r="A5" s="10">
        <v>1993</v>
      </c>
      <c r="B5" s="10">
        <v>4</v>
      </c>
      <c r="C5" s="10">
        <v>245.79266781568799</v>
      </c>
    </row>
    <row r="6" spans="1:3" x14ac:dyDescent="0.25">
      <c r="A6" s="10">
        <v>1993</v>
      </c>
      <c r="B6" s="10">
        <v>5</v>
      </c>
      <c r="C6" s="10">
        <v>247.38142204079799</v>
      </c>
    </row>
    <row r="7" spans="1:3" x14ac:dyDescent="0.25">
      <c r="A7" s="10">
        <v>1993</v>
      </c>
      <c r="B7" s="10">
        <v>6</v>
      </c>
      <c r="C7" s="10">
        <v>251.50982335733099</v>
      </c>
    </row>
    <row r="8" spans="1:3" x14ac:dyDescent="0.25">
      <c r="A8" s="10">
        <v>1993</v>
      </c>
      <c r="B8" s="10">
        <v>7</v>
      </c>
      <c r="C8" s="10">
        <v>239.61139473484999</v>
      </c>
    </row>
    <row r="9" spans="1:3" x14ac:dyDescent="0.25">
      <c r="A9" s="10">
        <v>1993</v>
      </c>
      <c r="B9" s="10">
        <v>8</v>
      </c>
      <c r="C9" s="10">
        <v>245.225052877346</v>
      </c>
    </row>
    <row r="10" spans="1:3" x14ac:dyDescent="0.25">
      <c r="A10" s="10">
        <v>1993</v>
      </c>
      <c r="B10" s="10">
        <v>9</v>
      </c>
      <c r="C10" s="10">
        <v>255.19068497878399</v>
      </c>
    </row>
    <row r="11" spans="1:3" x14ac:dyDescent="0.25">
      <c r="A11" s="10">
        <v>1993</v>
      </c>
      <c r="B11" s="10">
        <v>10</v>
      </c>
      <c r="C11" s="10">
        <v>237.161806287498</v>
      </c>
    </row>
    <row r="12" spans="1:3" x14ac:dyDescent="0.25">
      <c r="A12" s="10">
        <v>1993</v>
      </c>
      <c r="B12" s="10">
        <v>11</v>
      </c>
      <c r="C12" s="10">
        <v>234.002558515706</v>
      </c>
    </row>
    <row r="13" spans="1:3" x14ac:dyDescent="0.25">
      <c r="A13" s="10">
        <v>1993</v>
      </c>
      <c r="B13" s="10">
        <v>12</v>
      </c>
      <c r="C13" s="10">
        <v>233.259063230706</v>
      </c>
    </row>
    <row r="14" spans="1:3" x14ac:dyDescent="0.25">
      <c r="A14" s="10">
        <v>1994</v>
      </c>
      <c r="B14" s="10">
        <v>1</v>
      </c>
      <c r="C14" s="10">
        <v>259.38622568946801</v>
      </c>
    </row>
    <row r="15" spans="1:3" x14ac:dyDescent="0.25">
      <c r="A15" s="10">
        <v>1994</v>
      </c>
      <c r="B15" s="10">
        <v>2</v>
      </c>
      <c r="C15" s="10">
        <v>250.185901968758</v>
      </c>
    </row>
    <row r="16" spans="1:3" x14ac:dyDescent="0.25">
      <c r="A16" s="10">
        <v>1994</v>
      </c>
      <c r="B16" s="10">
        <v>3</v>
      </c>
      <c r="C16" s="10">
        <v>266.73463097579202</v>
      </c>
    </row>
    <row r="17" spans="1:3" x14ac:dyDescent="0.25">
      <c r="A17" s="10">
        <v>1994</v>
      </c>
      <c r="B17" s="10">
        <v>4</v>
      </c>
      <c r="C17" s="10">
        <v>285.463412980003</v>
      </c>
    </row>
    <row r="18" spans="1:3" x14ac:dyDescent="0.25">
      <c r="A18" s="10">
        <v>1994</v>
      </c>
      <c r="B18" s="10">
        <v>5</v>
      </c>
      <c r="C18" s="10">
        <v>264.79075636984498</v>
      </c>
    </row>
    <row r="19" spans="1:3" x14ac:dyDescent="0.25">
      <c r="A19" s="10">
        <v>1994</v>
      </c>
      <c r="B19" s="10">
        <v>6</v>
      </c>
      <c r="C19" s="10">
        <v>263.17250619146398</v>
      </c>
    </row>
    <row r="20" spans="1:3" x14ac:dyDescent="0.25">
      <c r="A20" s="10">
        <v>1994</v>
      </c>
      <c r="B20" s="10">
        <v>7</v>
      </c>
      <c r="C20" s="10">
        <v>269.08391484517398</v>
      </c>
    </row>
    <row r="21" spans="1:3" x14ac:dyDescent="0.25">
      <c r="A21" s="10">
        <v>1994</v>
      </c>
      <c r="B21" s="10">
        <v>8</v>
      </c>
      <c r="C21" s="10">
        <v>292.58713257090199</v>
      </c>
    </row>
    <row r="22" spans="1:3" x14ac:dyDescent="0.25">
      <c r="A22" s="10">
        <v>1994</v>
      </c>
      <c r="B22" s="10">
        <v>9</v>
      </c>
      <c r="C22" s="10">
        <v>288.88259633581703</v>
      </c>
    </row>
    <row r="23" spans="1:3" x14ac:dyDescent="0.25">
      <c r="A23" s="10">
        <v>1994</v>
      </c>
      <c r="B23" s="10">
        <v>10</v>
      </c>
      <c r="C23" s="10">
        <v>296.72961662143001</v>
      </c>
    </row>
    <row r="24" spans="1:3" x14ac:dyDescent="0.25">
      <c r="A24" s="10">
        <v>1994</v>
      </c>
      <c r="B24" s="10">
        <v>11</v>
      </c>
      <c r="C24" s="10">
        <v>272.80507945254402</v>
      </c>
    </row>
    <row r="25" spans="1:3" x14ac:dyDescent="0.25">
      <c r="A25" s="10">
        <v>1994</v>
      </c>
      <c r="B25" s="10">
        <v>12</v>
      </c>
      <c r="C25" s="10">
        <v>301.30689132395003</v>
      </c>
    </row>
    <row r="26" spans="1:3" x14ac:dyDescent="0.25">
      <c r="A26" s="10">
        <v>1995</v>
      </c>
      <c r="B26" s="10">
        <v>1</v>
      </c>
      <c r="C26" s="10">
        <v>296.49422694256498</v>
      </c>
    </row>
    <row r="27" spans="1:3" x14ac:dyDescent="0.25">
      <c r="A27" s="10">
        <v>1995</v>
      </c>
      <c r="B27" s="10">
        <v>2</v>
      </c>
      <c r="C27" s="10">
        <v>293.51331592176598</v>
      </c>
    </row>
    <row r="28" spans="1:3" x14ac:dyDescent="0.25">
      <c r="A28" s="10">
        <v>1995</v>
      </c>
      <c r="B28" s="10">
        <v>3</v>
      </c>
      <c r="C28" s="10">
        <v>295.75207988777601</v>
      </c>
    </row>
    <row r="29" spans="1:3" x14ac:dyDescent="0.25">
      <c r="A29" s="10">
        <v>1995</v>
      </c>
      <c r="B29" s="10">
        <v>4</v>
      </c>
      <c r="C29" s="10">
        <v>286.25177696886601</v>
      </c>
    </row>
    <row r="30" spans="1:3" x14ac:dyDescent="0.25">
      <c r="A30" s="10">
        <v>1995</v>
      </c>
      <c r="B30" s="10">
        <v>5</v>
      </c>
      <c r="C30" s="10">
        <v>295.41703811385298</v>
      </c>
    </row>
    <row r="31" spans="1:3" x14ac:dyDescent="0.25">
      <c r="A31" s="10">
        <v>1995</v>
      </c>
      <c r="B31" s="10">
        <v>6</v>
      </c>
      <c r="C31" s="10">
        <v>295.21999368434803</v>
      </c>
    </row>
    <row r="32" spans="1:3" x14ac:dyDescent="0.25">
      <c r="A32" s="10">
        <v>1995</v>
      </c>
      <c r="B32" s="10">
        <v>7</v>
      </c>
      <c r="C32" s="10">
        <v>306.44345165643603</v>
      </c>
    </row>
    <row r="33" spans="1:3" x14ac:dyDescent="0.25">
      <c r="A33" s="10">
        <v>1995</v>
      </c>
      <c r="B33" s="10">
        <v>8</v>
      </c>
      <c r="C33" s="10">
        <v>298.02926245082102</v>
      </c>
    </row>
    <row r="34" spans="1:3" x14ac:dyDescent="0.25">
      <c r="A34" s="10">
        <v>1995</v>
      </c>
      <c r="B34" s="10">
        <v>9</v>
      </c>
      <c r="C34" s="10">
        <v>296.87689305920202</v>
      </c>
    </row>
    <row r="35" spans="1:3" x14ac:dyDescent="0.25">
      <c r="A35" s="10">
        <v>1995</v>
      </c>
      <c r="B35" s="10">
        <v>10</v>
      </c>
      <c r="C35" s="10">
        <v>303.81833103162398</v>
      </c>
    </row>
    <row r="36" spans="1:3" x14ac:dyDescent="0.25">
      <c r="A36" s="10">
        <v>1995</v>
      </c>
      <c r="B36" s="10">
        <v>11</v>
      </c>
      <c r="C36" s="10">
        <v>316.58943087078501</v>
      </c>
    </row>
    <row r="37" spans="1:3" x14ac:dyDescent="0.25">
      <c r="A37" s="10">
        <v>1995</v>
      </c>
      <c r="B37" s="10">
        <v>12</v>
      </c>
      <c r="C37" s="10">
        <v>288.47192342274002</v>
      </c>
    </row>
    <row r="38" spans="1:3" x14ac:dyDescent="0.25">
      <c r="A38" s="10">
        <v>1996</v>
      </c>
      <c r="B38" s="10">
        <v>1</v>
      </c>
      <c r="C38" s="10">
        <v>310.59039922004598</v>
      </c>
    </row>
    <row r="39" spans="1:3" x14ac:dyDescent="0.25">
      <c r="A39" s="10">
        <v>1996</v>
      </c>
      <c r="B39" s="10">
        <v>2</v>
      </c>
      <c r="C39" s="10">
        <v>333.08098567844701</v>
      </c>
    </row>
    <row r="40" spans="1:3" x14ac:dyDescent="0.25">
      <c r="A40" s="10">
        <v>1996</v>
      </c>
      <c r="B40" s="10">
        <v>3</v>
      </c>
      <c r="C40" s="10">
        <v>350.376815178009</v>
      </c>
    </row>
    <row r="41" spans="1:3" x14ac:dyDescent="0.25">
      <c r="A41" s="10">
        <v>1996</v>
      </c>
      <c r="B41" s="10">
        <v>4</v>
      </c>
      <c r="C41" s="10">
        <v>331.41702794933599</v>
      </c>
    </row>
    <row r="42" spans="1:3" x14ac:dyDescent="0.25">
      <c r="A42" s="10">
        <v>1996</v>
      </c>
      <c r="B42" s="10">
        <v>5</v>
      </c>
      <c r="C42" s="10">
        <v>336.44331318109698</v>
      </c>
    </row>
    <row r="43" spans="1:3" x14ac:dyDescent="0.25">
      <c r="A43" s="10">
        <v>1996</v>
      </c>
      <c r="B43" s="10">
        <v>6</v>
      </c>
      <c r="C43" s="10">
        <v>342.34415645976901</v>
      </c>
    </row>
    <row r="44" spans="1:3" x14ac:dyDescent="0.25">
      <c r="A44" s="10">
        <v>1996</v>
      </c>
      <c r="B44" s="10">
        <v>7</v>
      </c>
      <c r="C44" s="10">
        <v>336.69271169401401</v>
      </c>
    </row>
    <row r="45" spans="1:3" x14ac:dyDescent="0.25">
      <c r="A45" s="10">
        <v>1996</v>
      </c>
      <c r="B45" s="10">
        <v>8</v>
      </c>
      <c r="C45" s="10">
        <v>333.21089651832602</v>
      </c>
    </row>
    <row r="46" spans="1:3" x14ac:dyDescent="0.25">
      <c r="A46" s="10">
        <v>1996</v>
      </c>
      <c r="B46" s="10">
        <v>9</v>
      </c>
      <c r="C46" s="10">
        <v>333.09904009531698</v>
      </c>
    </row>
    <row r="47" spans="1:3" x14ac:dyDescent="0.25">
      <c r="A47" s="10">
        <v>1996</v>
      </c>
      <c r="B47" s="10">
        <v>10</v>
      </c>
      <c r="C47" s="10">
        <v>345.11118521284197</v>
      </c>
    </row>
    <row r="48" spans="1:3" x14ac:dyDescent="0.25">
      <c r="A48" s="10">
        <v>1996</v>
      </c>
      <c r="B48" s="10">
        <v>11</v>
      </c>
      <c r="C48" s="10">
        <v>348.40058897072902</v>
      </c>
    </row>
    <row r="49" spans="1:3" x14ac:dyDescent="0.25">
      <c r="A49" s="10">
        <v>1996</v>
      </c>
      <c r="B49" s="10">
        <v>12</v>
      </c>
      <c r="C49" s="10">
        <v>346.664661076122</v>
      </c>
    </row>
    <row r="50" spans="1:3" x14ac:dyDescent="0.25">
      <c r="A50" s="10">
        <v>1997</v>
      </c>
      <c r="B50" s="10">
        <v>1</v>
      </c>
      <c r="C50" s="10">
        <v>315.83033985214303</v>
      </c>
    </row>
    <row r="51" spans="1:3" x14ac:dyDescent="0.25">
      <c r="A51" s="10">
        <v>1997</v>
      </c>
      <c r="B51" s="10">
        <v>2</v>
      </c>
      <c r="C51" s="10">
        <v>338.42941681704502</v>
      </c>
    </row>
    <row r="52" spans="1:3" x14ac:dyDescent="0.25">
      <c r="A52" s="10">
        <v>1997</v>
      </c>
      <c r="B52" s="10">
        <v>3</v>
      </c>
      <c r="C52" s="10">
        <v>346.93554054273898</v>
      </c>
    </row>
    <row r="53" spans="1:3" x14ac:dyDescent="0.25">
      <c r="A53" s="10">
        <v>1997</v>
      </c>
      <c r="B53" s="10">
        <v>4</v>
      </c>
      <c r="C53" s="10">
        <v>360.74454869874</v>
      </c>
    </row>
    <row r="54" spans="1:3" x14ac:dyDescent="0.25">
      <c r="A54" s="10">
        <v>1997</v>
      </c>
      <c r="B54" s="10">
        <v>5</v>
      </c>
      <c r="C54" s="10">
        <v>343.41153778987302</v>
      </c>
    </row>
    <row r="55" spans="1:3" x14ac:dyDescent="0.25">
      <c r="A55" s="10">
        <v>1997</v>
      </c>
      <c r="B55" s="10">
        <v>6</v>
      </c>
      <c r="C55" s="10">
        <v>352.68162295169702</v>
      </c>
    </row>
    <row r="56" spans="1:3" x14ac:dyDescent="0.25">
      <c r="A56" s="10">
        <v>1997</v>
      </c>
      <c r="B56" s="10">
        <v>7</v>
      </c>
      <c r="C56" s="10">
        <v>363.498251952381</v>
      </c>
    </row>
    <row r="57" spans="1:3" x14ac:dyDescent="0.25">
      <c r="A57" s="10">
        <v>1997</v>
      </c>
      <c r="B57" s="10">
        <v>8</v>
      </c>
      <c r="C57" s="10">
        <v>336.963089158017</v>
      </c>
    </row>
    <row r="58" spans="1:3" x14ac:dyDescent="0.25">
      <c r="A58" s="10">
        <v>1997</v>
      </c>
      <c r="B58" s="10">
        <v>9</v>
      </c>
      <c r="C58" s="10">
        <v>353.35968204853401</v>
      </c>
    </row>
    <row r="59" spans="1:3" x14ac:dyDescent="0.25">
      <c r="A59" s="10">
        <v>1997</v>
      </c>
      <c r="B59" s="10">
        <v>10</v>
      </c>
      <c r="C59" s="10">
        <v>357.16292533760901</v>
      </c>
    </row>
    <row r="60" spans="1:3" x14ac:dyDescent="0.25">
      <c r="A60" s="10">
        <v>1997</v>
      </c>
      <c r="B60" s="10">
        <v>11</v>
      </c>
      <c r="C60" s="10">
        <v>347.47788461957799</v>
      </c>
    </row>
    <row r="61" spans="1:3" x14ac:dyDescent="0.25">
      <c r="A61" s="10">
        <v>1997</v>
      </c>
      <c r="B61" s="10">
        <v>12</v>
      </c>
      <c r="C61" s="10">
        <v>358.28932468609497</v>
      </c>
    </row>
    <row r="62" spans="1:3" x14ac:dyDescent="0.25">
      <c r="A62" s="10">
        <v>1998</v>
      </c>
      <c r="B62" s="10">
        <v>1</v>
      </c>
      <c r="C62" s="10">
        <v>374.89357162392702</v>
      </c>
    </row>
    <row r="63" spans="1:3" x14ac:dyDescent="0.25">
      <c r="A63" s="10">
        <v>1998</v>
      </c>
      <c r="B63" s="10">
        <v>2</v>
      </c>
      <c r="C63" s="10">
        <v>387.741978269519</v>
      </c>
    </row>
    <row r="64" spans="1:3" x14ac:dyDescent="0.25">
      <c r="A64" s="10">
        <v>1998</v>
      </c>
      <c r="B64" s="10">
        <v>3</v>
      </c>
      <c r="C64" s="10">
        <v>328.79215898958898</v>
      </c>
    </row>
    <row r="65" spans="1:3" x14ac:dyDescent="0.25">
      <c r="A65" s="10">
        <v>1998</v>
      </c>
      <c r="B65" s="10">
        <v>4</v>
      </c>
      <c r="C65" s="10">
        <v>362.84709791535403</v>
      </c>
    </row>
    <row r="66" spans="1:3" x14ac:dyDescent="0.25">
      <c r="A66" s="10">
        <v>1998</v>
      </c>
      <c r="B66" s="10">
        <v>5</v>
      </c>
      <c r="C66" s="10">
        <v>375.83925829519802</v>
      </c>
    </row>
    <row r="67" spans="1:3" x14ac:dyDescent="0.25">
      <c r="A67" s="10">
        <v>1998</v>
      </c>
      <c r="B67" s="10">
        <v>6</v>
      </c>
      <c r="C67" s="10">
        <v>370.41795882219299</v>
      </c>
    </row>
    <row r="68" spans="1:3" x14ac:dyDescent="0.25">
      <c r="A68" s="10">
        <v>1998</v>
      </c>
      <c r="B68" s="10">
        <v>7</v>
      </c>
      <c r="C68" s="10">
        <v>340.38603843370799</v>
      </c>
    </row>
    <row r="69" spans="1:3" x14ac:dyDescent="0.25">
      <c r="A69" s="10">
        <v>1998</v>
      </c>
      <c r="B69" s="10">
        <v>8</v>
      </c>
      <c r="C69" s="10">
        <v>364.90075815532998</v>
      </c>
    </row>
    <row r="70" spans="1:3" x14ac:dyDescent="0.25">
      <c r="A70" s="10">
        <v>1998</v>
      </c>
      <c r="B70" s="10">
        <v>9</v>
      </c>
      <c r="C70" s="10">
        <v>342.23774956522999</v>
      </c>
    </row>
    <row r="71" spans="1:3" x14ac:dyDescent="0.25">
      <c r="A71" s="10">
        <v>1998</v>
      </c>
      <c r="B71" s="10">
        <v>10</v>
      </c>
      <c r="C71" s="10">
        <v>335.98642787553501</v>
      </c>
    </row>
    <row r="72" spans="1:3" x14ac:dyDescent="0.25">
      <c r="A72" s="10">
        <v>1998</v>
      </c>
      <c r="B72" s="10">
        <v>11</v>
      </c>
      <c r="C72" s="10">
        <v>328.87125244568102</v>
      </c>
    </row>
    <row r="73" spans="1:3" x14ac:dyDescent="0.25">
      <c r="A73" s="10">
        <v>1998</v>
      </c>
      <c r="B73" s="10">
        <v>12</v>
      </c>
      <c r="C73" s="10">
        <v>310.60762459707598</v>
      </c>
    </row>
    <row r="74" spans="1:3" x14ac:dyDescent="0.25">
      <c r="A74" s="10">
        <v>1999</v>
      </c>
      <c r="B74" s="10">
        <v>1</v>
      </c>
      <c r="C74" s="10">
        <v>302.115189199844</v>
      </c>
    </row>
    <row r="75" spans="1:3" x14ac:dyDescent="0.25">
      <c r="A75" s="10">
        <v>1999</v>
      </c>
      <c r="B75" s="10">
        <v>2</v>
      </c>
      <c r="C75" s="10">
        <v>293.74014194457101</v>
      </c>
    </row>
    <row r="76" spans="1:3" x14ac:dyDescent="0.25">
      <c r="A76" s="10">
        <v>1999</v>
      </c>
      <c r="B76" s="10">
        <v>3</v>
      </c>
      <c r="C76" s="10">
        <v>278.73143364956599</v>
      </c>
    </row>
    <row r="77" spans="1:3" x14ac:dyDescent="0.25">
      <c r="A77" s="10">
        <v>1999</v>
      </c>
      <c r="B77" s="10">
        <v>4</v>
      </c>
      <c r="C77" s="10">
        <v>288.48540214629702</v>
      </c>
    </row>
    <row r="78" spans="1:3" x14ac:dyDescent="0.25">
      <c r="A78" s="10">
        <v>1999</v>
      </c>
      <c r="B78" s="10">
        <v>5</v>
      </c>
      <c r="C78" s="10">
        <v>301.33368856117397</v>
      </c>
    </row>
    <row r="79" spans="1:3" x14ac:dyDescent="0.25">
      <c r="A79" s="10">
        <v>1999</v>
      </c>
      <c r="B79" s="10">
        <v>6</v>
      </c>
      <c r="C79" s="10">
        <v>310.34909039014599</v>
      </c>
    </row>
    <row r="80" spans="1:3" x14ac:dyDescent="0.25">
      <c r="A80" s="10">
        <v>1999</v>
      </c>
      <c r="B80" s="10">
        <v>7</v>
      </c>
      <c r="C80" s="10">
        <v>331.63963564031098</v>
      </c>
    </row>
    <row r="81" spans="1:3" x14ac:dyDescent="0.25">
      <c r="A81" s="10">
        <v>1999</v>
      </c>
      <c r="B81" s="10">
        <v>8</v>
      </c>
      <c r="C81" s="10">
        <v>327.58280909278602</v>
      </c>
    </row>
    <row r="82" spans="1:3" x14ac:dyDescent="0.25">
      <c r="A82" s="10">
        <v>1999</v>
      </c>
      <c r="B82" s="10">
        <v>9</v>
      </c>
      <c r="C82" s="10">
        <v>335.76391184960403</v>
      </c>
    </row>
    <row r="83" spans="1:3" x14ac:dyDescent="0.25">
      <c r="A83" s="10">
        <v>1999</v>
      </c>
      <c r="B83" s="10">
        <v>10</v>
      </c>
      <c r="C83" s="10">
        <v>336.45919013587098</v>
      </c>
    </row>
    <row r="84" spans="1:3" x14ac:dyDescent="0.25">
      <c r="A84" s="10">
        <v>1999</v>
      </c>
      <c r="B84" s="10">
        <v>11</v>
      </c>
      <c r="C84" s="10">
        <v>351.03428424170801</v>
      </c>
    </row>
    <row r="85" spans="1:3" x14ac:dyDescent="0.25">
      <c r="A85" s="10">
        <v>1999</v>
      </c>
      <c r="B85" s="10">
        <v>12</v>
      </c>
      <c r="C85" s="10">
        <v>357.757721773931</v>
      </c>
    </row>
    <row r="86" spans="1:3" x14ac:dyDescent="0.25">
      <c r="A86" s="10">
        <v>2000</v>
      </c>
      <c r="B86" s="10">
        <v>1</v>
      </c>
      <c r="C86" s="10">
        <v>353.25100854764099</v>
      </c>
    </row>
    <row r="87" spans="1:3" x14ac:dyDescent="0.25">
      <c r="A87" s="10">
        <v>2000</v>
      </c>
      <c r="B87" s="10">
        <v>2</v>
      </c>
      <c r="C87" s="10">
        <v>341.45814728570298</v>
      </c>
    </row>
    <row r="88" spans="1:3" x14ac:dyDescent="0.25">
      <c r="A88" s="10">
        <v>2000</v>
      </c>
      <c r="B88" s="10">
        <v>3</v>
      </c>
      <c r="C88" s="10">
        <v>386.89646556855502</v>
      </c>
    </row>
    <row r="89" spans="1:3" x14ac:dyDescent="0.25">
      <c r="A89" s="10">
        <v>2000</v>
      </c>
      <c r="B89" s="10">
        <v>4</v>
      </c>
      <c r="C89" s="10">
        <v>366.40062541985401</v>
      </c>
    </row>
    <row r="90" spans="1:3" x14ac:dyDescent="0.25">
      <c r="A90" s="10">
        <v>2000</v>
      </c>
      <c r="B90" s="10">
        <v>5</v>
      </c>
      <c r="C90" s="10">
        <v>337.30623525525101</v>
      </c>
    </row>
    <row r="91" spans="1:3" x14ac:dyDescent="0.25">
      <c r="A91" s="10">
        <v>2000</v>
      </c>
      <c r="B91" s="10">
        <v>6</v>
      </c>
      <c r="C91" s="10">
        <v>339.51177716893699</v>
      </c>
    </row>
    <row r="92" spans="1:3" x14ac:dyDescent="0.25">
      <c r="A92" s="10">
        <v>2000</v>
      </c>
      <c r="B92" s="10">
        <v>7</v>
      </c>
      <c r="C92" s="10">
        <v>357.41725372555197</v>
      </c>
    </row>
    <row r="93" spans="1:3" x14ac:dyDescent="0.25">
      <c r="A93" s="10">
        <v>2000</v>
      </c>
      <c r="B93" s="10">
        <v>8</v>
      </c>
      <c r="C93" s="10">
        <v>376.66076564187603</v>
      </c>
    </row>
    <row r="94" spans="1:3" x14ac:dyDescent="0.25">
      <c r="A94" s="10">
        <v>2000</v>
      </c>
      <c r="B94" s="10">
        <v>9</v>
      </c>
      <c r="C94" s="10">
        <v>394.84535193934698</v>
      </c>
    </row>
    <row r="95" spans="1:3" x14ac:dyDescent="0.25">
      <c r="A95" s="10">
        <v>2000</v>
      </c>
      <c r="B95" s="10">
        <v>10</v>
      </c>
      <c r="C95" s="10">
        <v>391.283291671001</v>
      </c>
    </row>
    <row r="96" spans="1:3" x14ac:dyDescent="0.25">
      <c r="A96" s="10">
        <v>2000</v>
      </c>
      <c r="B96" s="10">
        <v>11</v>
      </c>
      <c r="C96" s="10">
        <v>400.77033356845601</v>
      </c>
    </row>
    <row r="97" spans="1:3" x14ac:dyDescent="0.25">
      <c r="A97" s="10">
        <v>2000</v>
      </c>
      <c r="B97" s="10">
        <v>12</v>
      </c>
      <c r="C97" s="10">
        <v>410.73975499899899</v>
      </c>
    </row>
    <row r="98" spans="1:3" x14ac:dyDescent="0.25">
      <c r="A98" s="10">
        <v>2001</v>
      </c>
      <c r="B98" s="10">
        <v>1</v>
      </c>
      <c r="C98" s="10">
        <v>382.39828089612797</v>
      </c>
    </row>
    <row r="99" spans="1:3" x14ac:dyDescent="0.25">
      <c r="A99" s="10">
        <v>2001</v>
      </c>
      <c r="B99" s="10">
        <v>2</v>
      </c>
      <c r="C99" s="10">
        <v>363.16827120466098</v>
      </c>
    </row>
    <row r="100" spans="1:3" x14ac:dyDescent="0.25">
      <c r="A100" s="10">
        <v>2001</v>
      </c>
      <c r="B100" s="10">
        <v>3</v>
      </c>
      <c r="C100" s="10">
        <v>381.26440034970602</v>
      </c>
    </row>
    <row r="101" spans="1:3" x14ac:dyDescent="0.25">
      <c r="A101" s="10">
        <v>2001</v>
      </c>
      <c r="B101" s="10">
        <v>4</v>
      </c>
      <c r="C101" s="10">
        <v>374.45058629143898</v>
      </c>
    </row>
    <row r="102" spans="1:3" x14ac:dyDescent="0.25">
      <c r="A102" s="10">
        <v>2001</v>
      </c>
      <c r="B102" s="10">
        <v>5</v>
      </c>
      <c r="C102" s="10">
        <v>377.99244621681498</v>
      </c>
    </row>
    <row r="103" spans="1:3" x14ac:dyDescent="0.25">
      <c r="A103" s="10">
        <v>2001</v>
      </c>
      <c r="B103" s="10">
        <v>6</v>
      </c>
      <c r="C103" s="10">
        <v>376.49022201479801</v>
      </c>
    </row>
    <row r="104" spans="1:3" x14ac:dyDescent="0.25">
      <c r="A104" s="10">
        <v>2001</v>
      </c>
      <c r="B104" s="10">
        <v>7</v>
      </c>
      <c r="C104" s="10">
        <v>349.07155216517202</v>
      </c>
    </row>
    <row r="105" spans="1:3" x14ac:dyDescent="0.25">
      <c r="A105" s="10">
        <v>2001</v>
      </c>
      <c r="B105" s="10">
        <v>8</v>
      </c>
      <c r="C105" s="10">
        <v>256.68774505877201</v>
      </c>
    </row>
    <row r="106" spans="1:3" x14ac:dyDescent="0.25">
      <c r="A106" s="10">
        <v>2001</v>
      </c>
      <c r="B106" s="10">
        <v>9</v>
      </c>
      <c r="C106" s="10">
        <v>338.734818727245</v>
      </c>
    </row>
    <row r="107" spans="1:3" x14ac:dyDescent="0.25">
      <c r="A107" s="10">
        <v>2001</v>
      </c>
      <c r="B107" s="10">
        <v>10</v>
      </c>
      <c r="C107" s="10">
        <v>315.02331800701</v>
      </c>
    </row>
    <row r="108" spans="1:3" x14ac:dyDescent="0.25">
      <c r="A108" s="10">
        <v>2001</v>
      </c>
      <c r="B108" s="10">
        <v>11</v>
      </c>
      <c r="C108" s="10">
        <v>308.04521665683302</v>
      </c>
    </row>
    <row r="109" spans="1:3" x14ac:dyDescent="0.25">
      <c r="A109" s="10">
        <v>2001</v>
      </c>
      <c r="B109" s="10">
        <v>12</v>
      </c>
      <c r="C109" s="10">
        <v>298.206261917137</v>
      </c>
    </row>
    <row r="110" spans="1:3" x14ac:dyDescent="0.25">
      <c r="A110" s="10">
        <v>2002</v>
      </c>
      <c r="B110" s="10">
        <v>1</v>
      </c>
      <c r="C110" s="10">
        <v>309.47129003464102</v>
      </c>
    </row>
    <row r="111" spans="1:3" x14ac:dyDescent="0.25">
      <c r="A111" s="10">
        <v>2002</v>
      </c>
      <c r="B111" s="10">
        <v>2</v>
      </c>
      <c r="C111" s="10">
        <v>347.71447217145101</v>
      </c>
    </row>
    <row r="112" spans="1:3" x14ac:dyDescent="0.25">
      <c r="A112" s="10">
        <v>2002</v>
      </c>
      <c r="B112" s="10">
        <v>3</v>
      </c>
      <c r="C112" s="10">
        <v>330.45920004516302</v>
      </c>
    </row>
    <row r="113" spans="1:3" x14ac:dyDescent="0.25">
      <c r="A113" s="10">
        <v>2002</v>
      </c>
      <c r="B113" s="10">
        <v>4</v>
      </c>
      <c r="C113" s="10">
        <v>380.68148946878898</v>
      </c>
    </row>
    <row r="114" spans="1:3" x14ac:dyDescent="0.25">
      <c r="A114" s="10">
        <v>2002</v>
      </c>
      <c r="B114" s="10">
        <v>5</v>
      </c>
      <c r="C114" s="10">
        <v>368.71736916984202</v>
      </c>
    </row>
    <row r="115" spans="1:3" x14ac:dyDescent="0.25">
      <c r="A115" s="10">
        <v>2002</v>
      </c>
      <c r="B115" s="10">
        <v>6</v>
      </c>
      <c r="C115" s="10">
        <v>357.30991090796101</v>
      </c>
    </row>
    <row r="116" spans="1:3" x14ac:dyDescent="0.25">
      <c r="A116" s="10">
        <v>2002</v>
      </c>
      <c r="B116" s="10">
        <v>7</v>
      </c>
      <c r="C116" s="10">
        <v>369.63976497807198</v>
      </c>
    </row>
    <row r="117" spans="1:3" x14ac:dyDescent="0.25">
      <c r="A117" s="10">
        <v>2002</v>
      </c>
      <c r="B117" s="10">
        <v>8</v>
      </c>
      <c r="C117" s="10">
        <v>375.32439550756999</v>
      </c>
    </row>
    <row r="118" spans="1:3" x14ac:dyDescent="0.25">
      <c r="A118" s="10">
        <v>2002</v>
      </c>
      <c r="B118" s="10">
        <v>9</v>
      </c>
      <c r="C118" s="10">
        <v>384.91666984946102</v>
      </c>
    </row>
    <row r="119" spans="1:3" x14ac:dyDescent="0.25">
      <c r="A119" s="10">
        <v>2002</v>
      </c>
      <c r="B119" s="10">
        <v>10</v>
      </c>
      <c r="C119" s="10">
        <v>390.27017199907903</v>
      </c>
    </row>
    <row r="120" spans="1:3" x14ac:dyDescent="0.25">
      <c r="A120" s="10">
        <v>2002</v>
      </c>
      <c r="B120" s="10">
        <v>11</v>
      </c>
      <c r="C120" s="10">
        <v>368.25508499991503</v>
      </c>
    </row>
    <row r="121" spans="1:3" x14ac:dyDescent="0.25">
      <c r="A121" s="10">
        <v>2002</v>
      </c>
      <c r="B121" s="10">
        <v>12</v>
      </c>
      <c r="C121" s="10">
        <v>391.47147270216198</v>
      </c>
    </row>
    <row r="122" spans="1:3" x14ac:dyDescent="0.25">
      <c r="A122" s="10">
        <v>2003</v>
      </c>
      <c r="B122" s="10">
        <v>1</v>
      </c>
      <c r="C122" s="10">
        <v>415.629037490999</v>
      </c>
    </row>
    <row r="123" spans="1:3" x14ac:dyDescent="0.25">
      <c r="A123" s="10">
        <v>2003</v>
      </c>
      <c r="B123" s="10">
        <v>2</v>
      </c>
      <c r="C123" s="10">
        <v>421.91237916442202</v>
      </c>
    </row>
    <row r="124" spans="1:3" x14ac:dyDescent="0.25">
      <c r="A124" s="10">
        <v>2003</v>
      </c>
      <c r="B124" s="10">
        <v>3</v>
      </c>
      <c r="C124" s="10">
        <v>433.66416766520098</v>
      </c>
    </row>
    <row r="125" spans="1:3" x14ac:dyDescent="0.25">
      <c r="A125" s="10">
        <v>2003</v>
      </c>
      <c r="B125" s="10">
        <v>4</v>
      </c>
      <c r="C125" s="10">
        <v>419.54531601356501</v>
      </c>
    </row>
    <row r="126" spans="1:3" x14ac:dyDescent="0.25">
      <c r="A126" s="10">
        <v>2003</v>
      </c>
      <c r="B126" s="10">
        <v>5</v>
      </c>
      <c r="C126" s="10">
        <v>418.15224507066398</v>
      </c>
    </row>
    <row r="127" spans="1:3" x14ac:dyDescent="0.25">
      <c r="A127" s="10">
        <v>2003</v>
      </c>
      <c r="B127" s="10">
        <v>6</v>
      </c>
      <c r="C127" s="10">
        <v>420.38551350242301</v>
      </c>
    </row>
    <row r="128" spans="1:3" x14ac:dyDescent="0.25">
      <c r="A128" s="10">
        <v>2003</v>
      </c>
      <c r="B128" s="10">
        <v>7</v>
      </c>
      <c r="C128" s="10">
        <v>414.97289590696198</v>
      </c>
    </row>
    <row r="129" spans="1:3" x14ac:dyDescent="0.25">
      <c r="A129" s="10">
        <v>2003</v>
      </c>
      <c r="B129" s="10">
        <v>8</v>
      </c>
      <c r="C129" s="10">
        <v>421.33755379395097</v>
      </c>
    </row>
    <row r="130" spans="1:3" x14ac:dyDescent="0.25">
      <c r="A130" s="10">
        <v>2003</v>
      </c>
      <c r="B130" s="10">
        <v>9</v>
      </c>
      <c r="C130" s="10">
        <v>414.58945100453099</v>
      </c>
    </row>
    <row r="131" spans="1:3" x14ac:dyDescent="0.25">
      <c r="A131" s="10">
        <v>2003</v>
      </c>
      <c r="B131" s="10">
        <v>10</v>
      </c>
      <c r="C131" s="10">
        <v>426.07305541666898</v>
      </c>
    </row>
    <row r="132" spans="1:3" x14ac:dyDescent="0.25">
      <c r="A132" s="10">
        <v>2003</v>
      </c>
      <c r="B132" s="10">
        <v>11</v>
      </c>
      <c r="C132" s="10">
        <v>412.89026443263202</v>
      </c>
    </row>
    <row r="133" spans="1:3" x14ac:dyDescent="0.25">
      <c r="A133" s="10">
        <v>2003</v>
      </c>
      <c r="B133" s="10">
        <v>12</v>
      </c>
      <c r="C133" s="10">
        <v>425.61627568222701</v>
      </c>
    </row>
    <row r="134" spans="1:3" x14ac:dyDescent="0.25">
      <c r="A134" s="10">
        <v>2004</v>
      </c>
      <c r="B134" s="10">
        <v>1</v>
      </c>
      <c r="C134" s="10">
        <v>437.42536947698301</v>
      </c>
    </row>
    <row r="135" spans="1:3" x14ac:dyDescent="0.25">
      <c r="A135" s="10">
        <v>2004</v>
      </c>
      <c r="B135" s="10">
        <v>2</v>
      </c>
      <c r="C135" s="10">
        <v>409.79043133506701</v>
      </c>
    </row>
    <row r="136" spans="1:3" x14ac:dyDescent="0.25">
      <c r="A136" s="10">
        <v>2004</v>
      </c>
      <c r="B136" s="10">
        <v>3</v>
      </c>
      <c r="C136" s="10">
        <v>404.253585079662</v>
      </c>
    </row>
    <row r="137" spans="1:3" x14ac:dyDescent="0.25">
      <c r="A137" s="10">
        <v>2004</v>
      </c>
      <c r="B137" s="10">
        <v>4</v>
      </c>
      <c r="C137" s="10">
        <v>401.53242199803299</v>
      </c>
    </row>
    <row r="138" spans="1:3" x14ac:dyDescent="0.25">
      <c r="A138" s="10">
        <v>2004</v>
      </c>
      <c r="B138" s="10">
        <v>5</v>
      </c>
      <c r="C138" s="10">
        <v>402.420597509674</v>
      </c>
    </row>
    <row r="139" spans="1:3" x14ac:dyDescent="0.25">
      <c r="A139" s="10">
        <v>2004</v>
      </c>
      <c r="B139" s="10">
        <v>6</v>
      </c>
      <c r="C139" s="10">
        <v>410.49198709706297</v>
      </c>
    </row>
    <row r="140" spans="1:3" x14ac:dyDescent="0.25">
      <c r="A140" s="10">
        <v>2004</v>
      </c>
      <c r="B140" s="10">
        <v>7</v>
      </c>
      <c r="C140" s="10">
        <v>423.26252026334299</v>
      </c>
    </row>
    <row r="141" spans="1:3" x14ac:dyDescent="0.25">
      <c r="A141" s="10">
        <v>2004</v>
      </c>
      <c r="B141" s="10">
        <v>8</v>
      </c>
      <c r="C141" s="10">
        <v>414.035700489345</v>
      </c>
    </row>
    <row r="142" spans="1:3" x14ac:dyDescent="0.25">
      <c r="A142" s="10">
        <v>2004</v>
      </c>
      <c r="B142" s="10">
        <v>9</v>
      </c>
      <c r="C142" s="10">
        <v>424.83770206259499</v>
      </c>
    </row>
    <row r="143" spans="1:3" x14ac:dyDescent="0.25">
      <c r="A143" s="10">
        <v>2004</v>
      </c>
      <c r="B143" s="10">
        <v>10</v>
      </c>
      <c r="C143" s="10">
        <v>451.51323011827299</v>
      </c>
    </row>
    <row r="144" spans="1:3" x14ac:dyDescent="0.25">
      <c r="A144" s="10">
        <v>2004</v>
      </c>
      <c r="B144" s="10">
        <v>11</v>
      </c>
      <c r="C144" s="10">
        <v>463.73051380614902</v>
      </c>
    </row>
    <row r="145" spans="1:3" x14ac:dyDescent="0.25">
      <c r="A145" s="10">
        <v>2004</v>
      </c>
      <c r="B145" s="10">
        <v>12</v>
      </c>
      <c r="C145" s="10">
        <v>464.436738020527</v>
      </c>
    </row>
    <row r="146" spans="1:3" x14ac:dyDescent="0.25">
      <c r="A146" s="10">
        <v>2005</v>
      </c>
      <c r="B146" s="10">
        <v>1</v>
      </c>
      <c r="C146" s="10">
        <v>464.57419855693399</v>
      </c>
    </row>
    <row r="147" spans="1:3" x14ac:dyDescent="0.25">
      <c r="A147" s="10">
        <v>2005</v>
      </c>
      <c r="B147" s="10">
        <v>2</v>
      </c>
      <c r="C147" s="10">
        <v>452.69625258657999</v>
      </c>
    </row>
    <row r="148" spans="1:3" x14ac:dyDescent="0.25">
      <c r="A148" s="10">
        <v>2005</v>
      </c>
      <c r="B148" s="10">
        <v>3</v>
      </c>
      <c r="C148" s="10">
        <v>447.74191642872501</v>
      </c>
    </row>
    <row r="149" spans="1:3" x14ac:dyDescent="0.25">
      <c r="A149" s="10">
        <v>2005</v>
      </c>
      <c r="B149" s="10">
        <v>4</v>
      </c>
      <c r="C149" s="10">
        <v>454.44074957655602</v>
      </c>
    </row>
    <row r="150" spans="1:3" x14ac:dyDescent="0.25">
      <c r="A150" s="10">
        <v>2005</v>
      </c>
      <c r="B150" s="10">
        <v>5</v>
      </c>
      <c r="C150" s="10">
        <v>464.94934601440201</v>
      </c>
    </row>
    <row r="151" spans="1:3" x14ac:dyDescent="0.25">
      <c r="A151" s="10">
        <v>2005</v>
      </c>
      <c r="B151" s="10">
        <v>6</v>
      </c>
      <c r="C151" s="10">
        <v>441.82676100418303</v>
      </c>
    </row>
    <row r="152" spans="1:3" x14ac:dyDescent="0.25">
      <c r="A152" s="10">
        <v>2005</v>
      </c>
      <c r="B152" s="10">
        <v>7</v>
      </c>
      <c r="C152" s="10">
        <v>439.80459241813702</v>
      </c>
    </row>
    <row r="153" spans="1:3" x14ac:dyDescent="0.25">
      <c r="A153" s="10">
        <v>2005</v>
      </c>
      <c r="B153" s="10">
        <v>8</v>
      </c>
      <c r="C153" s="10">
        <v>446.33784491087499</v>
      </c>
    </row>
    <row r="154" spans="1:3" x14ac:dyDescent="0.25">
      <c r="A154" s="10">
        <v>2005</v>
      </c>
      <c r="B154" s="10">
        <v>9</v>
      </c>
      <c r="C154" s="10">
        <v>415.22352054719602</v>
      </c>
    </row>
    <row r="155" spans="1:3" x14ac:dyDescent="0.25">
      <c r="A155" s="10">
        <v>2005</v>
      </c>
      <c r="B155" s="10">
        <v>10</v>
      </c>
      <c r="C155" s="10">
        <v>421.58783093910398</v>
      </c>
    </row>
    <row r="156" spans="1:3" x14ac:dyDescent="0.25">
      <c r="A156" s="10">
        <v>2005</v>
      </c>
      <c r="B156" s="10">
        <v>11</v>
      </c>
      <c r="C156" s="10">
        <v>463.07159749109502</v>
      </c>
    </row>
    <row r="157" spans="1:3" x14ac:dyDescent="0.25">
      <c r="A157" s="10">
        <v>2005</v>
      </c>
      <c r="B157" s="10">
        <v>12</v>
      </c>
      <c r="C157" s="10">
        <v>475.84582218692299</v>
      </c>
    </row>
    <row r="158" spans="1:3" x14ac:dyDescent="0.25">
      <c r="A158" s="10">
        <v>2006</v>
      </c>
      <c r="B158" s="10">
        <v>1</v>
      </c>
      <c r="C158" s="10">
        <v>474.02250820308302</v>
      </c>
    </row>
    <row r="159" spans="1:3" x14ac:dyDescent="0.25">
      <c r="A159" s="10">
        <v>2006</v>
      </c>
      <c r="B159" s="10">
        <v>2</v>
      </c>
      <c r="C159" s="10">
        <v>477.502461156621</v>
      </c>
    </row>
    <row r="160" spans="1:3" x14ac:dyDescent="0.25">
      <c r="A160" s="10">
        <v>2006</v>
      </c>
      <c r="B160" s="10">
        <v>3</v>
      </c>
      <c r="C160" s="10">
        <v>485.66734949798001</v>
      </c>
    </row>
    <row r="161" spans="1:3" x14ac:dyDescent="0.25">
      <c r="A161" s="10">
        <v>2006</v>
      </c>
      <c r="B161" s="10">
        <v>4</v>
      </c>
      <c r="C161" s="10">
        <v>470.87540534214202</v>
      </c>
    </row>
    <row r="162" spans="1:3" x14ac:dyDescent="0.25">
      <c r="A162" s="10">
        <v>2006</v>
      </c>
      <c r="B162" s="10">
        <v>5</v>
      </c>
      <c r="C162" s="10">
        <v>483.01233038254901</v>
      </c>
    </row>
    <row r="163" spans="1:3" x14ac:dyDescent="0.25">
      <c r="A163" s="10">
        <v>2006</v>
      </c>
      <c r="B163" s="10">
        <v>6</v>
      </c>
      <c r="C163" s="10">
        <v>491.298287391347</v>
      </c>
    </row>
    <row r="164" spans="1:3" x14ac:dyDescent="0.25">
      <c r="A164" s="10">
        <v>2006</v>
      </c>
      <c r="B164" s="10">
        <v>7</v>
      </c>
      <c r="C164" s="10">
        <v>463.85473715416299</v>
      </c>
    </row>
    <row r="165" spans="1:3" x14ac:dyDescent="0.25">
      <c r="A165" s="10">
        <v>2006</v>
      </c>
      <c r="B165" s="10">
        <v>8</v>
      </c>
      <c r="C165" s="10">
        <v>446.913856816372</v>
      </c>
    </row>
    <row r="166" spans="1:3" x14ac:dyDescent="0.25">
      <c r="A166" s="10">
        <v>2006</v>
      </c>
      <c r="B166" s="10">
        <v>9</v>
      </c>
      <c r="C166" s="10">
        <v>482.41691563722298</v>
      </c>
    </row>
    <row r="167" spans="1:3" x14ac:dyDescent="0.25">
      <c r="A167" s="10">
        <v>2006</v>
      </c>
      <c r="B167" s="10">
        <v>10</v>
      </c>
      <c r="C167" s="10">
        <v>458.59204541579902</v>
      </c>
    </row>
    <row r="168" spans="1:3" x14ac:dyDescent="0.25">
      <c r="A168" s="10">
        <v>2006</v>
      </c>
      <c r="B168" s="10">
        <v>11</v>
      </c>
      <c r="C168" s="10">
        <v>403.37738463521498</v>
      </c>
    </row>
    <row r="169" spans="1:3" x14ac:dyDescent="0.25">
      <c r="A169" s="10">
        <v>2006</v>
      </c>
      <c r="B169" s="10">
        <v>12</v>
      </c>
      <c r="C169" s="10">
        <v>395.46509952435599</v>
      </c>
    </row>
    <row r="170" spans="1:3" x14ac:dyDescent="0.25">
      <c r="A170" s="10">
        <v>2007</v>
      </c>
      <c r="B170" s="10">
        <v>1</v>
      </c>
      <c r="C170" s="10">
        <v>405.16692697725802</v>
      </c>
    </row>
    <row r="171" spans="1:3" x14ac:dyDescent="0.25">
      <c r="A171" s="10">
        <v>2007</v>
      </c>
      <c r="B171" s="10">
        <v>2</v>
      </c>
      <c r="C171" s="10">
        <v>447.94343658770703</v>
      </c>
    </row>
    <row r="172" spans="1:3" x14ac:dyDescent="0.25">
      <c r="A172" s="10">
        <v>2007</v>
      </c>
      <c r="B172" s="10">
        <v>3</v>
      </c>
      <c r="C172" s="10">
        <v>456.18802276409099</v>
      </c>
    </row>
    <row r="173" spans="1:3" x14ac:dyDescent="0.25">
      <c r="A173" s="10">
        <v>2007</v>
      </c>
      <c r="B173" s="10">
        <v>4</v>
      </c>
      <c r="C173" s="10">
        <v>467.13926199631197</v>
      </c>
    </row>
    <row r="174" spans="1:3" x14ac:dyDescent="0.25">
      <c r="A174" s="10">
        <v>2007</v>
      </c>
      <c r="B174" s="10">
        <v>5</v>
      </c>
      <c r="C174" s="10">
        <v>441.25698585512498</v>
      </c>
    </row>
    <row r="175" spans="1:3" x14ac:dyDescent="0.25">
      <c r="A175" s="10">
        <v>2007</v>
      </c>
      <c r="B175" s="10">
        <v>6</v>
      </c>
      <c r="C175" s="10">
        <v>446.52150405441603</v>
      </c>
    </row>
    <row r="176" spans="1:3" x14ac:dyDescent="0.25">
      <c r="A176" s="10">
        <v>2007</v>
      </c>
      <c r="B176" s="10">
        <v>7</v>
      </c>
      <c r="C176" s="10">
        <v>337.871847759535</v>
      </c>
    </row>
    <row r="177" spans="1:3" x14ac:dyDescent="0.25">
      <c r="A177" s="10">
        <v>2007</v>
      </c>
      <c r="B177" s="10">
        <v>8</v>
      </c>
      <c r="C177" s="10">
        <v>463.91916829107998</v>
      </c>
    </row>
    <row r="178" spans="1:3" x14ac:dyDescent="0.25">
      <c r="A178" s="10">
        <v>2007</v>
      </c>
      <c r="B178" s="10">
        <v>9</v>
      </c>
      <c r="C178" s="10">
        <v>469.06742606101699</v>
      </c>
    </row>
    <row r="179" spans="1:3" x14ac:dyDescent="0.25">
      <c r="A179" s="10">
        <v>2007</v>
      </c>
      <c r="B179" s="10">
        <v>10</v>
      </c>
      <c r="C179" s="10">
        <v>470.65712932479403</v>
      </c>
    </row>
    <row r="180" spans="1:3" x14ac:dyDescent="0.25">
      <c r="A180" s="10">
        <v>2007</v>
      </c>
      <c r="B180" s="10">
        <v>11</v>
      </c>
      <c r="C180" s="10">
        <v>482.477090864101</v>
      </c>
    </row>
    <row r="181" spans="1:3" x14ac:dyDescent="0.25">
      <c r="A181" s="10">
        <v>2007</v>
      </c>
      <c r="B181" s="10">
        <v>12</v>
      </c>
      <c r="C181" s="10">
        <v>501.04610326476899</v>
      </c>
    </row>
    <row r="182" spans="1:3" x14ac:dyDescent="0.25">
      <c r="A182" s="10">
        <v>2008</v>
      </c>
      <c r="B182" s="10">
        <v>1</v>
      </c>
      <c r="C182" s="10">
        <v>492.11279190805999</v>
      </c>
    </row>
    <row r="183" spans="1:3" x14ac:dyDescent="0.25">
      <c r="A183" s="10">
        <v>2008</v>
      </c>
      <c r="B183" s="10">
        <v>2</v>
      </c>
      <c r="C183" s="10">
        <v>442.53306890326201</v>
      </c>
    </row>
    <row r="184" spans="1:3" x14ac:dyDescent="0.25">
      <c r="A184" s="10">
        <v>2008</v>
      </c>
      <c r="B184" s="10">
        <v>3</v>
      </c>
      <c r="C184" s="10">
        <v>487.72975255578899</v>
      </c>
    </row>
    <row r="185" spans="1:3" x14ac:dyDescent="0.25">
      <c r="A185" s="10">
        <v>2008</v>
      </c>
      <c r="B185" s="10">
        <v>4</v>
      </c>
      <c r="C185" s="10">
        <v>497.51474022029799</v>
      </c>
    </row>
    <row r="186" spans="1:3" x14ac:dyDescent="0.25">
      <c r="A186" s="10">
        <v>2008</v>
      </c>
      <c r="B186" s="10">
        <v>5</v>
      </c>
      <c r="C186" s="10">
        <v>498.34127239423299</v>
      </c>
    </row>
    <row r="187" spans="1:3" x14ac:dyDescent="0.25">
      <c r="A187" s="10">
        <v>2008</v>
      </c>
      <c r="B187" s="10">
        <v>6</v>
      </c>
      <c r="C187" s="10">
        <v>495.59806409477</v>
      </c>
    </row>
    <row r="188" spans="1:3" x14ac:dyDescent="0.25">
      <c r="A188" s="10">
        <v>2008</v>
      </c>
      <c r="B188" s="10">
        <v>7</v>
      </c>
      <c r="C188" s="10">
        <v>510.685904217987</v>
      </c>
    </row>
    <row r="189" spans="1:3" x14ac:dyDescent="0.25">
      <c r="A189" s="10">
        <v>2008</v>
      </c>
      <c r="B189" s="10">
        <v>8</v>
      </c>
      <c r="C189" s="10">
        <v>496.775017713426</v>
      </c>
    </row>
    <row r="190" spans="1:3" x14ac:dyDescent="0.25">
      <c r="A190" s="10">
        <v>2008</v>
      </c>
      <c r="B190" s="10">
        <v>9</v>
      </c>
      <c r="C190" s="10">
        <v>478.46372033083901</v>
      </c>
    </row>
    <row r="191" spans="1:3" x14ac:dyDescent="0.25">
      <c r="A191" s="10">
        <v>2008</v>
      </c>
      <c r="B191" s="10">
        <v>10</v>
      </c>
      <c r="C191" s="10">
        <v>451.08636683880297</v>
      </c>
    </row>
    <row r="192" spans="1:3" x14ac:dyDescent="0.25">
      <c r="A192" s="10">
        <v>2008</v>
      </c>
      <c r="B192" s="10">
        <v>11</v>
      </c>
      <c r="C192" s="10">
        <v>378.28977922711698</v>
      </c>
    </row>
    <row r="193" spans="1:3" x14ac:dyDescent="0.25">
      <c r="A193" s="10">
        <v>2008</v>
      </c>
      <c r="B193" s="10">
        <v>12</v>
      </c>
      <c r="C193" s="10">
        <v>281.33800821786502</v>
      </c>
    </row>
    <row r="194" spans="1:3" x14ac:dyDescent="0.25">
      <c r="A194" s="10">
        <v>2009</v>
      </c>
      <c r="B194" s="10">
        <v>1</v>
      </c>
      <c r="C194" s="10">
        <v>360.93705492938</v>
      </c>
    </row>
    <row r="195" spans="1:3" x14ac:dyDescent="0.25">
      <c r="A195" s="10">
        <v>2009</v>
      </c>
      <c r="B195" s="10">
        <v>2</v>
      </c>
      <c r="C195" s="10">
        <v>294.88063325011098</v>
      </c>
    </row>
    <row r="196" spans="1:3" x14ac:dyDescent="0.25">
      <c r="A196" s="10">
        <v>2009</v>
      </c>
      <c r="B196" s="10">
        <v>3</v>
      </c>
      <c r="C196" s="10">
        <v>239.78703867602101</v>
      </c>
    </row>
    <row r="197" spans="1:3" x14ac:dyDescent="0.25">
      <c r="A197" s="10">
        <v>2009</v>
      </c>
      <c r="B197" s="10">
        <v>4</v>
      </c>
      <c r="C197" s="10">
        <v>275.96166987958799</v>
      </c>
    </row>
    <row r="198" spans="1:3" x14ac:dyDescent="0.25">
      <c r="A198" s="10">
        <v>2009</v>
      </c>
      <c r="B198" s="10">
        <v>5</v>
      </c>
      <c r="C198" s="10">
        <v>267.57178366227998</v>
      </c>
    </row>
    <row r="199" spans="1:3" x14ac:dyDescent="0.25">
      <c r="A199" s="10">
        <v>2009</v>
      </c>
      <c r="B199" s="10">
        <v>6</v>
      </c>
      <c r="C199" s="10">
        <v>316.03851480994803</v>
      </c>
    </row>
    <row r="200" spans="1:3" x14ac:dyDescent="0.25">
      <c r="A200" s="10">
        <v>2009</v>
      </c>
      <c r="B200" s="10">
        <v>7</v>
      </c>
      <c r="C200" s="10">
        <v>338.15880674962</v>
      </c>
    </row>
    <row r="201" spans="1:3" x14ac:dyDescent="0.25">
      <c r="A201" s="10">
        <v>2009</v>
      </c>
      <c r="B201" s="10">
        <v>8</v>
      </c>
      <c r="C201" s="10">
        <v>341.72474059805199</v>
      </c>
    </row>
    <row r="202" spans="1:3" x14ac:dyDescent="0.25">
      <c r="A202" s="10">
        <v>2009</v>
      </c>
      <c r="B202" s="10">
        <v>9</v>
      </c>
      <c r="C202" s="10">
        <v>376.202946683726</v>
      </c>
    </row>
    <row r="203" spans="1:3" x14ac:dyDescent="0.25">
      <c r="A203" s="10">
        <v>2009</v>
      </c>
      <c r="B203" s="10">
        <v>10</v>
      </c>
      <c r="C203" s="10">
        <v>396.49271691503299</v>
      </c>
    </row>
    <row r="204" spans="1:3" x14ac:dyDescent="0.25">
      <c r="A204" s="10">
        <v>2009</v>
      </c>
      <c r="B204" s="10">
        <v>11</v>
      </c>
      <c r="C204" s="10">
        <v>400.30945059253798</v>
      </c>
    </row>
    <row r="205" spans="1:3" x14ac:dyDescent="0.25">
      <c r="A205" s="10">
        <v>2009</v>
      </c>
      <c r="B205" s="10">
        <v>12</v>
      </c>
      <c r="C205" s="10">
        <v>408.80083120422302</v>
      </c>
    </row>
    <row r="206" spans="1:3" x14ac:dyDescent="0.25">
      <c r="A206" s="10">
        <v>2010</v>
      </c>
      <c r="B206" s="10">
        <v>1</v>
      </c>
      <c r="C206" s="10">
        <v>414.05686302302399</v>
      </c>
    </row>
    <row r="207" spans="1:3" x14ac:dyDescent="0.25">
      <c r="A207" s="10">
        <v>2010</v>
      </c>
      <c r="B207" s="10">
        <v>2</v>
      </c>
      <c r="C207" s="10">
        <v>425.32336531848301</v>
      </c>
    </row>
    <row r="208" spans="1:3" x14ac:dyDescent="0.25">
      <c r="A208" s="10">
        <v>2010</v>
      </c>
      <c r="B208" s="10">
        <v>3</v>
      </c>
      <c r="C208" s="10">
        <v>426.18276466838199</v>
      </c>
    </row>
    <row r="209" spans="1:3" x14ac:dyDescent="0.25">
      <c r="A209" s="10">
        <v>2010</v>
      </c>
      <c r="B209" s="10">
        <v>4</v>
      </c>
      <c r="C209" s="10">
        <v>424.33880034661399</v>
      </c>
    </row>
    <row r="210" spans="1:3" x14ac:dyDescent="0.25">
      <c r="A210" s="10">
        <v>2010</v>
      </c>
      <c r="B210" s="10">
        <v>5</v>
      </c>
      <c r="C210" s="10">
        <v>434.91458623396198</v>
      </c>
    </row>
    <row r="211" spans="1:3" x14ac:dyDescent="0.25">
      <c r="A211" s="10">
        <v>2010</v>
      </c>
      <c r="B211" s="10">
        <v>6</v>
      </c>
      <c r="C211" s="10">
        <v>427.05877626954202</v>
      </c>
    </row>
    <row r="212" spans="1:3" x14ac:dyDescent="0.25">
      <c r="A212" s="10">
        <v>2010</v>
      </c>
      <c r="B212" s="10">
        <v>7</v>
      </c>
      <c r="C212" s="10">
        <v>420.28138181090401</v>
      </c>
    </row>
    <row r="213" spans="1:3" x14ac:dyDescent="0.25">
      <c r="A213" s="10">
        <v>2010</v>
      </c>
      <c r="B213" s="10">
        <v>8</v>
      </c>
      <c r="C213" s="10">
        <v>444.27944860547802</v>
      </c>
    </row>
    <row r="214" spans="1:3" x14ac:dyDescent="0.25">
      <c r="A214" s="10">
        <v>2010</v>
      </c>
      <c r="B214" s="10">
        <v>9</v>
      </c>
      <c r="C214" s="10">
        <v>434.01510235384802</v>
      </c>
    </row>
    <row r="215" spans="1:3" x14ac:dyDescent="0.25">
      <c r="A215" s="10">
        <v>2010</v>
      </c>
      <c r="B215" s="10">
        <v>10</v>
      </c>
      <c r="C215" s="10">
        <v>430.91195994385203</v>
      </c>
    </row>
    <row r="216" spans="1:3" x14ac:dyDescent="0.25">
      <c r="A216" s="10">
        <v>2010</v>
      </c>
      <c r="B216" s="10">
        <v>11</v>
      </c>
      <c r="C216" s="10">
        <v>433.22872894343101</v>
      </c>
    </row>
    <row r="217" spans="1:3" x14ac:dyDescent="0.25">
      <c r="A217" s="10">
        <v>2010</v>
      </c>
      <c r="B217" s="10">
        <v>12</v>
      </c>
      <c r="C217" s="10">
        <v>429.08657923473999</v>
      </c>
    </row>
    <row r="218" spans="1:3" x14ac:dyDescent="0.25">
      <c r="A218" s="10">
        <v>2011</v>
      </c>
      <c r="B218" s="10">
        <v>1</v>
      </c>
      <c r="C218" s="10">
        <v>435.42204592199801</v>
      </c>
    </row>
    <row r="219" spans="1:3" x14ac:dyDescent="0.25">
      <c r="A219" s="10">
        <v>2011</v>
      </c>
      <c r="B219" s="10">
        <v>2</v>
      </c>
      <c r="C219" s="10">
        <v>493.27956537398501</v>
      </c>
    </row>
    <row r="220" spans="1:3" x14ac:dyDescent="0.25">
      <c r="A220" s="10">
        <v>2011</v>
      </c>
      <c r="B220" s="10">
        <v>3</v>
      </c>
      <c r="C220" s="10">
        <v>455.65953673884201</v>
      </c>
    </row>
    <row r="221" spans="1:3" x14ac:dyDescent="0.25">
      <c r="A221" s="10">
        <v>2011</v>
      </c>
      <c r="B221" s="10">
        <v>4</v>
      </c>
      <c r="C221" s="10">
        <v>467.77451452603299</v>
      </c>
    </row>
    <row r="222" spans="1:3" x14ac:dyDescent="0.25">
      <c r="A222" s="10">
        <v>2011</v>
      </c>
      <c r="B222" s="10">
        <v>5</v>
      </c>
      <c r="C222" s="10">
        <v>489.98074287523002</v>
      </c>
    </row>
    <row r="223" spans="1:3" x14ac:dyDescent="0.25">
      <c r="A223" s="10">
        <v>2011</v>
      </c>
      <c r="B223" s="10">
        <v>6</v>
      </c>
      <c r="C223" s="10">
        <v>476.76100437682197</v>
      </c>
    </row>
    <row r="224" spans="1:3" x14ac:dyDescent="0.25">
      <c r="A224" s="10">
        <v>2011</v>
      </c>
      <c r="B224" s="10">
        <v>7</v>
      </c>
      <c r="C224" s="10">
        <v>475.20858344991098</v>
      </c>
    </row>
    <row r="225" spans="1:3" x14ac:dyDescent="0.25">
      <c r="A225" s="10">
        <v>2011</v>
      </c>
      <c r="B225" s="10">
        <v>8</v>
      </c>
      <c r="C225" s="10">
        <v>462.315383059081</v>
      </c>
    </row>
    <row r="226" spans="1:3" x14ac:dyDescent="0.25">
      <c r="A226" s="10">
        <v>2011</v>
      </c>
      <c r="B226" s="10">
        <v>9</v>
      </c>
      <c r="C226" s="10">
        <v>454.752624072549</v>
      </c>
    </row>
    <row r="227" spans="1:3" x14ac:dyDescent="0.25">
      <c r="A227" s="10">
        <v>2011</v>
      </c>
      <c r="B227" s="10">
        <v>10</v>
      </c>
      <c r="C227" s="10">
        <v>467.10634987653498</v>
      </c>
    </row>
    <row r="228" spans="1:3" x14ac:dyDescent="0.25">
      <c r="A228" s="10">
        <v>2011</v>
      </c>
      <c r="B228" s="10">
        <v>11</v>
      </c>
      <c r="C228" s="10">
        <v>467.30497367206601</v>
      </c>
    </row>
    <row r="229" spans="1:3" x14ac:dyDescent="0.25">
      <c r="A229" s="10">
        <v>2011</v>
      </c>
      <c r="B229" s="10">
        <v>12</v>
      </c>
      <c r="C229" s="10">
        <v>471.02744678766999</v>
      </c>
    </row>
    <row r="230" spans="1:3" x14ac:dyDescent="0.25">
      <c r="A230" s="10">
        <v>2012</v>
      </c>
      <c r="B230" s="10">
        <v>1</v>
      </c>
      <c r="C230" s="10">
        <v>468.54739528983299</v>
      </c>
    </row>
    <row r="231" spans="1:3" x14ac:dyDescent="0.25">
      <c r="A231" s="10">
        <v>2012</v>
      </c>
      <c r="B231" s="10">
        <v>2</v>
      </c>
      <c r="C231" s="10">
        <v>475.57140502256499</v>
      </c>
    </row>
    <row r="232" spans="1:3" x14ac:dyDescent="0.25">
      <c r="A232" s="10">
        <v>2012</v>
      </c>
      <c r="B232" s="10">
        <v>3</v>
      </c>
      <c r="C232" s="10">
        <v>481.08456242808199</v>
      </c>
    </row>
    <row r="233" spans="1:3" x14ac:dyDescent="0.25">
      <c r="A233" s="10">
        <v>2012</v>
      </c>
      <c r="B233" s="10">
        <v>4</v>
      </c>
      <c r="C233" s="10">
        <v>473.149386220287</v>
      </c>
    </row>
    <row r="234" spans="1:3" x14ac:dyDescent="0.25">
      <c r="A234" s="10">
        <v>2012</v>
      </c>
      <c r="B234" s="10">
        <v>5</v>
      </c>
      <c r="C234" s="10">
        <v>451.29254196095701</v>
      </c>
    </row>
    <row r="235" spans="1:3" x14ac:dyDescent="0.25">
      <c r="A235" s="10">
        <v>2012</v>
      </c>
      <c r="B235" s="10">
        <v>6</v>
      </c>
      <c r="C235" s="10">
        <v>456.32650459103502</v>
      </c>
    </row>
    <row r="236" spans="1:3" x14ac:dyDescent="0.25">
      <c r="A236" s="10">
        <v>2012</v>
      </c>
      <c r="B236" s="10">
        <v>7</v>
      </c>
      <c r="C236" s="10">
        <v>331.06611151267401</v>
      </c>
    </row>
    <row r="237" spans="1:3" x14ac:dyDescent="0.25">
      <c r="A237" s="10">
        <v>2012</v>
      </c>
      <c r="B237" s="10">
        <v>8</v>
      </c>
      <c r="C237" s="10">
        <v>353.32065337159298</v>
      </c>
    </row>
    <row r="238" spans="1:3" x14ac:dyDescent="0.25">
      <c r="A238" s="10">
        <v>2012</v>
      </c>
      <c r="B238" s="10">
        <v>9</v>
      </c>
      <c r="C238" s="10">
        <v>375.70019419074703</v>
      </c>
    </row>
    <row r="239" spans="1:3" x14ac:dyDescent="0.25">
      <c r="A239" s="10">
        <v>2012</v>
      </c>
      <c r="B239" s="10">
        <v>10</v>
      </c>
      <c r="C239" s="10">
        <v>376.95490779122599</v>
      </c>
    </row>
    <row r="240" spans="1:3" x14ac:dyDescent="0.25">
      <c r="A240" s="10">
        <v>2012</v>
      </c>
      <c r="B240" s="10">
        <v>11</v>
      </c>
      <c r="C240" s="10">
        <v>379.46138356681899</v>
      </c>
    </row>
    <row r="241" spans="1:3" x14ac:dyDescent="0.25">
      <c r="A241" s="10">
        <v>2012</v>
      </c>
      <c r="B241" s="10">
        <v>12</v>
      </c>
      <c r="C241" s="10">
        <v>347.61621298503098</v>
      </c>
    </row>
    <row r="242" spans="1:3" x14ac:dyDescent="0.25">
      <c r="A242" s="10">
        <v>2013</v>
      </c>
      <c r="B242" s="10">
        <v>1</v>
      </c>
      <c r="C242" s="10">
        <v>387.86516504570102</v>
      </c>
    </row>
    <row r="243" spans="1:3" x14ac:dyDescent="0.25">
      <c r="A243" s="10">
        <v>2013</v>
      </c>
      <c r="B243" s="10">
        <v>2</v>
      </c>
      <c r="C243" s="10">
        <v>383.76125186118003</v>
      </c>
    </row>
    <row r="244" spans="1:3" x14ac:dyDescent="0.25">
      <c r="A244" s="10">
        <v>2013</v>
      </c>
      <c r="B244" s="10">
        <v>3</v>
      </c>
      <c r="C244" s="10">
        <v>451.91204536857799</v>
      </c>
    </row>
    <row r="245" spans="1:3" x14ac:dyDescent="0.25">
      <c r="A245" s="10">
        <v>2013</v>
      </c>
      <c r="B245" s="10">
        <v>4</v>
      </c>
      <c r="C245" s="10">
        <v>425.07318063726501</v>
      </c>
    </row>
    <row r="246" spans="1:3" x14ac:dyDescent="0.25">
      <c r="A246" s="10">
        <v>2013</v>
      </c>
      <c r="B246" s="10">
        <v>5</v>
      </c>
      <c r="C246" s="10">
        <v>440.79670528536798</v>
      </c>
    </row>
    <row r="247" spans="1:3" x14ac:dyDescent="0.25">
      <c r="A247" s="10">
        <v>2013</v>
      </c>
      <c r="B247" s="10">
        <v>6</v>
      </c>
      <c r="C247" s="10">
        <v>419.48906380452399</v>
      </c>
    </row>
    <row r="248" spans="1:3" x14ac:dyDescent="0.25">
      <c r="A248" s="10">
        <v>2013</v>
      </c>
      <c r="B248" s="10">
        <v>7</v>
      </c>
      <c r="C248" s="10">
        <v>449.71142290181803</v>
      </c>
    </row>
    <row r="249" spans="1:3" x14ac:dyDescent="0.25">
      <c r="A249" s="10">
        <v>2013</v>
      </c>
      <c r="B249" s="10">
        <v>8</v>
      </c>
      <c r="C249" s="10">
        <v>451.57990735015397</v>
      </c>
    </row>
    <row r="250" spans="1:3" x14ac:dyDescent="0.25">
      <c r="A250" s="10">
        <v>2013</v>
      </c>
      <c r="B250" s="10">
        <v>9</v>
      </c>
      <c r="C250" s="10">
        <v>444.821570391693</v>
      </c>
    </row>
    <row r="251" spans="1:3" x14ac:dyDescent="0.25">
      <c r="A251" s="10">
        <v>2013</v>
      </c>
      <c r="B251" s="10">
        <v>10</v>
      </c>
      <c r="C251" s="10">
        <v>440.06938636884098</v>
      </c>
    </row>
    <row r="252" spans="1:3" x14ac:dyDescent="0.25">
      <c r="A252" s="10">
        <v>2013</v>
      </c>
      <c r="B252" s="10">
        <v>11</v>
      </c>
      <c r="C252" s="10">
        <v>452.083772139644</v>
      </c>
    </row>
    <row r="253" spans="1:3" x14ac:dyDescent="0.25">
      <c r="A253" s="10">
        <v>2013</v>
      </c>
      <c r="B253" s="10">
        <v>12</v>
      </c>
      <c r="C253" s="10">
        <v>448.24138955421898</v>
      </c>
    </row>
    <row r="254" spans="1:3" x14ac:dyDescent="0.25">
      <c r="A254" s="10">
        <v>2014</v>
      </c>
      <c r="B254" s="10">
        <v>1</v>
      </c>
      <c r="C254" s="10">
        <v>459.79841672757902</v>
      </c>
    </row>
    <row r="255" spans="1:3" x14ac:dyDescent="0.25">
      <c r="A255" s="10">
        <v>2014</v>
      </c>
      <c r="B255" s="10">
        <v>2</v>
      </c>
      <c r="C255" s="10">
        <v>444.34126046132201</v>
      </c>
    </row>
    <row r="256" spans="1:3" x14ac:dyDescent="0.25">
      <c r="A256" s="10">
        <v>2014</v>
      </c>
      <c r="B256" s="10">
        <v>3</v>
      </c>
      <c r="C256" s="10">
        <v>456.590917585135</v>
      </c>
    </row>
    <row r="257" spans="1:3" x14ac:dyDescent="0.25">
      <c r="A257" s="10">
        <v>2014</v>
      </c>
      <c r="B257" s="10">
        <v>4</v>
      </c>
      <c r="C257" s="10">
        <v>486.75645948257102</v>
      </c>
    </row>
    <row r="258" spans="1:3" x14ac:dyDescent="0.25">
      <c r="A258" s="10">
        <v>2014</v>
      </c>
      <c r="B258" s="10">
        <v>5</v>
      </c>
      <c r="C258" s="10">
        <v>473.65460194424702</v>
      </c>
    </row>
    <row r="259" spans="1:3" x14ac:dyDescent="0.25">
      <c r="A259" s="10">
        <v>2014</v>
      </c>
      <c r="B259" s="10">
        <v>6</v>
      </c>
      <c r="C259" s="10">
        <v>481.26188987551598</v>
      </c>
    </row>
    <row r="260" spans="1:3" x14ac:dyDescent="0.25">
      <c r="A260" s="10">
        <v>2014</v>
      </c>
      <c r="B260" s="10">
        <v>7</v>
      </c>
      <c r="C260" s="10">
        <v>463.066429857706</v>
      </c>
    </row>
    <row r="261" spans="1:3" x14ac:dyDescent="0.25">
      <c r="A261" s="10">
        <v>2014</v>
      </c>
      <c r="B261" s="10">
        <v>8</v>
      </c>
      <c r="C261" s="10">
        <v>438.69126454745998</v>
      </c>
    </row>
    <row r="262" spans="1:3" x14ac:dyDescent="0.25">
      <c r="A262" s="10">
        <v>2014</v>
      </c>
      <c r="B262" s="10">
        <v>9</v>
      </c>
      <c r="C262" s="10">
        <v>448.66906972758898</v>
      </c>
    </row>
    <row r="263" spans="1:3" x14ac:dyDescent="0.25">
      <c r="A263" s="10">
        <v>2014</v>
      </c>
      <c r="B263" s="10">
        <v>10</v>
      </c>
      <c r="C263" s="10">
        <v>439.22713295769398</v>
      </c>
    </row>
    <row r="264" spans="1:3" x14ac:dyDescent="0.25">
      <c r="A264" s="10">
        <v>2014</v>
      </c>
      <c r="B264" s="10">
        <v>11</v>
      </c>
      <c r="C264" s="10">
        <v>442.95985951045202</v>
      </c>
    </row>
    <row r="265" spans="1:3" x14ac:dyDescent="0.25">
      <c r="A265" s="10">
        <v>2014</v>
      </c>
      <c r="B265" s="10">
        <v>12</v>
      </c>
      <c r="C265" s="10">
        <v>465.171394789006</v>
      </c>
    </row>
    <row r="266" spans="1:3" x14ac:dyDescent="0.25">
      <c r="A266" s="10">
        <v>2015</v>
      </c>
      <c r="B266" s="10">
        <v>1</v>
      </c>
      <c r="C266" s="10">
        <v>442.35304160595302</v>
      </c>
    </row>
    <row r="267" spans="1:3" x14ac:dyDescent="0.25">
      <c r="A267" s="10">
        <v>2015</v>
      </c>
      <c r="B267" s="10">
        <v>2</v>
      </c>
      <c r="C267" s="10">
        <v>438.81364405788202</v>
      </c>
    </row>
    <row r="268" spans="1:3" x14ac:dyDescent="0.25">
      <c r="A268" s="10">
        <v>2015</v>
      </c>
      <c r="B268" s="10">
        <v>3</v>
      </c>
      <c r="C268" s="10">
        <v>415.802887188071</v>
      </c>
    </row>
    <row r="269" spans="1:3" x14ac:dyDescent="0.25">
      <c r="A269" s="10">
        <v>2015</v>
      </c>
      <c r="B269" s="10">
        <v>4</v>
      </c>
      <c r="C269" s="10">
        <v>388.393121733236</v>
      </c>
    </row>
    <row r="270" spans="1:3" x14ac:dyDescent="0.25">
      <c r="A270" s="10">
        <v>2015</v>
      </c>
      <c r="B270" s="10">
        <v>5</v>
      </c>
      <c r="C270" s="10">
        <v>401.685301261782</v>
      </c>
    </row>
    <row r="271" spans="1:3" x14ac:dyDescent="0.25">
      <c r="A271" s="10">
        <v>2015</v>
      </c>
      <c r="B271" s="10">
        <v>6</v>
      </c>
      <c r="C271" s="10">
        <v>450.62146493032998</v>
      </c>
    </row>
    <row r="272" spans="1:3" x14ac:dyDescent="0.25">
      <c r="A272" s="10">
        <v>2015</v>
      </c>
      <c r="B272" s="10">
        <v>7</v>
      </c>
      <c r="C272" s="10">
        <v>415.20807322264301</v>
      </c>
    </row>
    <row r="273" spans="1:3" x14ac:dyDescent="0.25">
      <c r="A273" s="10">
        <v>2015</v>
      </c>
      <c r="B273" s="10">
        <v>8</v>
      </c>
      <c r="C273" s="10">
        <v>445.18960680527601</v>
      </c>
    </row>
    <row r="274" spans="1:3" x14ac:dyDescent="0.25">
      <c r="A274" s="10">
        <v>2015</v>
      </c>
      <c r="B274" s="10">
        <v>9</v>
      </c>
      <c r="C274" s="10">
        <v>432.57372404240499</v>
      </c>
    </row>
    <row r="275" spans="1:3" x14ac:dyDescent="0.25">
      <c r="A275" s="10">
        <v>2015</v>
      </c>
      <c r="B275" s="10">
        <v>10</v>
      </c>
      <c r="C275" s="10">
        <v>428.57851959587299</v>
      </c>
    </row>
    <row r="276" spans="1:3" x14ac:dyDescent="0.25">
      <c r="A276" s="10">
        <v>2015</v>
      </c>
      <c r="B276" s="10">
        <v>11</v>
      </c>
      <c r="C276" s="10">
        <v>385.71423095011801</v>
      </c>
    </row>
    <row r="277" spans="1:3" x14ac:dyDescent="0.25">
      <c r="A277" s="10">
        <v>2015</v>
      </c>
      <c r="B277" s="10">
        <v>12</v>
      </c>
      <c r="C277" s="10">
        <v>395.54731653874899</v>
      </c>
    </row>
    <row r="278" spans="1:3" x14ac:dyDescent="0.25">
      <c r="A278" s="10">
        <v>2016</v>
      </c>
      <c r="B278" s="10">
        <v>1</v>
      </c>
      <c r="C278" s="10">
        <v>379.65225278227399</v>
      </c>
    </row>
    <row r="279" spans="1:3" x14ac:dyDescent="0.25">
      <c r="A279" s="10">
        <v>2016</v>
      </c>
      <c r="B279" s="10">
        <v>2</v>
      </c>
      <c r="C279" s="10">
        <v>364.97103502159399</v>
      </c>
    </row>
    <row r="280" spans="1:3" x14ac:dyDescent="0.25">
      <c r="A280" s="10">
        <v>2016</v>
      </c>
      <c r="B280" s="10">
        <v>3</v>
      </c>
      <c r="C280" s="10">
        <v>305.91281993142502</v>
      </c>
    </row>
    <row r="281" spans="1:3" x14ac:dyDescent="0.25">
      <c r="A281" s="10">
        <v>2016</v>
      </c>
      <c r="B281" s="10">
        <v>4</v>
      </c>
      <c r="C281" s="10">
        <v>324.14355593930998</v>
      </c>
    </row>
    <row r="282" spans="1:3" x14ac:dyDescent="0.25">
      <c r="A282" s="10">
        <v>2016</v>
      </c>
      <c r="B282" s="10">
        <v>5</v>
      </c>
      <c r="C282" s="10">
        <v>372.97998627538198</v>
      </c>
    </row>
    <row r="283" spans="1:3" x14ac:dyDescent="0.25">
      <c r="A283" s="10">
        <v>2016</v>
      </c>
      <c r="B283" s="10">
        <v>6</v>
      </c>
      <c r="C283" s="10">
        <v>380.01117308086299</v>
      </c>
    </row>
    <row r="284" spans="1:3" x14ac:dyDescent="0.25">
      <c r="A284" s="10">
        <v>2016</v>
      </c>
      <c r="B284" s="10">
        <v>7</v>
      </c>
      <c r="C284" s="10">
        <v>336.56665578838198</v>
      </c>
    </row>
    <row r="285" spans="1:3" x14ac:dyDescent="0.25">
      <c r="A285" s="10">
        <v>2016</v>
      </c>
      <c r="B285" s="10">
        <v>8</v>
      </c>
      <c r="C285" s="10">
        <v>316.04965020319997</v>
      </c>
    </row>
    <row r="286" spans="1:3" x14ac:dyDescent="0.25">
      <c r="A286" s="10">
        <v>2016</v>
      </c>
      <c r="B286" s="10">
        <v>9</v>
      </c>
      <c r="C286" s="10">
        <v>308.37978271994399</v>
      </c>
    </row>
    <row r="287" spans="1:3" x14ac:dyDescent="0.25">
      <c r="A287" s="10">
        <v>2016</v>
      </c>
      <c r="B287" s="10">
        <v>10</v>
      </c>
      <c r="C287" s="10">
        <v>336.10558434201198</v>
      </c>
    </row>
    <row r="288" spans="1:3" x14ac:dyDescent="0.25">
      <c r="A288" s="10">
        <v>2016</v>
      </c>
      <c r="B288" s="10">
        <v>11</v>
      </c>
      <c r="C288" s="10">
        <v>340.25953227595801</v>
      </c>
    </row>
    <row r="289" spans="1:3" x14ac:dyDescent="0.25">
      <c r="A289" s="10">
        <v>2016</v>
      </c>
      <c r="B289" s="10">
        <v>12</v>
      </c>
      <c r="C289" s="10">
        <v>339.89704108231501</v>
      </c>
    </row>
    <row r="290" spans="1:3" x14ac:dyDescent="0.25">
      <c r="A290" s="10">
        <v>2017</v>
      </c>
      <c r="B290" s="10">
        <v>1</v>
      </c>
      <c r="C290" s="10">
        <v>336.94359505207399</v>
      </c>
    </row>
    <row r="291" spans="1:3" x14ac:dyDescent="0.25">
      <c r="A291" s="10">
        <v>2017</v>
      </c>
      <c r="B291" s="10">
        <v>2</v>
      </c>
      <c r="C291" s="10">
        <v>362.78592197125101</v>
      </c>
    </row>
    <row r="292" spans="1:3" x14ac:dyDescent="0.25">
      <c r="A292" s="10">
        <v>2017</v>
      </c>
      <c r="B292" s="10">
        <v>3</v>
      </c>
      <c r="C292" s="10">
        <v>382.514809307512</v>
      </c>
    </row>
    <row r="293" spans="1:3" x14ac:dyDescent="0.25">
      <c r="A293" s="10">
        <v>2017</v>
      </c>
      <c r="B293" s="10">
        <v>4</v>
      </c>
      <c r="C293" s="10">
        <v>370.08279128455803</v>
      </c>
    </row>
    <row r="294" spans="1:3" x14ac:dyDescent="0.25">
      <c r="A294" s="10">
        <v>2017</v>
      </c>
      <c r="B294" s="10">
        <v>5</v>
      </c>
      <c r="C294" s="10">
        <v>391.76586726551898</v>
      </c>
    </row>
    <row r="295" spans="1:3" x14ac:dyDescent="0.25">
      <c r="A295" s="10">
        <v>2017</v>
      </c>
      <c r="B295" s="10">
        <v>6</v>
      </c>
      <c r="C295" s="10">
        <v>382.23198774345298</v>
      </c>
    </row>
    <row r="296" spans="1:3" x14ac:dyDescent="0.25">
      <c r="A296" s="10">
        <v>2017</v>
      </c>
      <c r="B296" s="10">
        <v>7</v>
      </c>
      <c r="C296" s="10">
        <v>377.83837358117398</v>
      </c>
    </row>
    <row r="297" spans="1:3" x14ac:dyDescent="0.25">
      <c r="A297" s="10">
        <v>2017</v>
      </c>
      <c r="B297" s="10">
        <v>8</v>
      </c>
      <c r="C297" s="10">
        <v>390.237211103687</v>
      </c>
    </row>
    <row r="298" spans="1:3" x14ac:dyDescent="0.25">
      <c r="A298" s="10">
        <v>2017</v>
      </c>
      <c r="B298" s="10">
        <v>9</v>
      </c>
      <c r="C298" s="10">
        <v>406.74497783895703</v>
      </c>
    </row>
    <row r="299" spans="1:3" x14ac:dyDescent="0.25">
      <c r="A299" s="10">
        <v>2017</v>
      </c>
      <c r="B299" s="10">
        <v>10</v>
      </c>
      <c r="C299" s="10">
        <v>409.90304684703801</v>
      </c>
    </row>
    <row r="300" spans="1:3" x14ac:dyDescent="0.25">
      <c r="A300" s="10">
        <v>2017</v>
      </c>
      <c r="B300" s="10">
        <v>11</v>
      </c>
      <c r="C300" s="10">
        <v>413.940808426996</v>
      </c>
    </row>
    <row r="301" spans="1:3" x14ac:dyDescent="0.25">
      <c r="A301" s="10">
        <v>2017</v>
      </c>
      <c r="B301" s="10">
        <v>12</v>
      </c>
      <c r="C301" s="10">
        <v>407.87222900685401</v>
      </c>
    </row>
    <row r="302" spans="1:3" x14ac:dyDescent="0.25">
      <c r="A302" s="10">
        <v>2018</v>
      </c>
      <c r="B302" s="10">
        <v>1</v>
      </c>
      <c r="C302" s="10">
        <v>385.48528630646899</v>
      </c>
    </row>
    <row r="303" spans="1:3" x14ac:dyDescent="0.25">
      <c r="A303" s="10">
        <v>2018</v>
      </c>
      <c r="B303" s="10">
        <v>2</v>
      </c>
      <c r="C303" s="10">
        <v>476.88113176646101</v>
      </c>
    </row>
    <row r="304" spans="1:3" x14ac:dyDescent="0.25">
      <c r="A304" s="10">
        <v>2018</v>
      </c>
      <c r="B304" s="10">
        <v>3</v>
      </c>
      <c r="C304" s="10">
        <v>465.08764917038701</v>
      </c>
    </row>
    <row r="305" spans="1:3" x14ac:dyDescent="0.25">
      <c r="A305" s="10">
        <v>2018</v>
      </c>
      <c r="B305" s="10">
        <v>4</v>
      </c>
      <c r="C305" s="10">
        <v>465.01797776335002</v>
      </c>
    </row>
    <row r="306" spans="1:3" x14ac:dyDescent="0.25">
      <c r="A306" s="10">
        <v>2018</v>
      </c>
      <c r="B306" s="10">
        <v>5</v>
      </c>
      <c r="C306" s="10">
        <v>438.17315064385002</v>
      </c>
    </row>
    <row r="307" spans="1:3" x14ac:dyDescent="0.25">
      <c r="A307" s="10">
        <v>2018</v>
      </c>
      <c r="B307" s="10">
        <v>6</v>
      </c>
      <c r="C307" s="10">
        <v>424.04264332661597</v>
      </c>
    </row>
    <row r="308" spans="1:3" x14ac:dyDescent="0.25">
      <c r="A308" s="10">
        <v>2018</v>
      </c>
      <c r="B308" s="10">
        <v>7</v>
      </c>
      <c r="C308" s="10">
        <v>443.85472237208302</v>
      </c>
    </row>
    <row r="309" spans="1:3" x14ac:dyDescent="0.25">
      <c r="A309" s="10">
        <v>2018</v>
      </c>
      <c r="B309" s="10">
        <v>8</v>
      </c>
      <c r="C309" s="10">
        <v>428.24462910532799</v>
      </c>
    </row>
    <row r="310" spans="1:3" x14ac:dyDescent="0.25">
      <c r="A310" s="10">
        <v>2018</v>
      </c>
      <c r="B310" s="10">
        <v>9</v>
      </c>
      <c r="C310" s="10">
        <v>414.59558243075799</v>
      </c>
    </row>
    <row r="311" spans="1:3" x14ac:dyDescent="0.25">
      <c r="A311" s="10">
        <v>2018</v>
      </c>
      <c r="B311" s="10">
        <v>10</v>
      </c>
      <c r="C311" s="10">
        <v>413.011360544654</v>
      </c>
    </row>
    <row r="312" spans="1:3" x14ac:dyDescent="0.25">
      <c r="A312" s="10">
        <v>2018</v>
      </c>
      <c r="B312" s="10">
        <v>11</v>
      </c>
      <c r="C312" s="10">
        <v>433.14366578533799</v>
      </c>
    </row>
    <row r="313" spans="1:3" x14ac:dyDescent="0.25">
      <c r="A313" s="10">
        <v>2018</v>
      </c>
      <c r="B313" s="10">
        <v>12</v>
      </c>
      <c r="C313" s="10">
        <v>380.77228879086402</v>
      </c>
    </row>
    <row r="314" spans="1:3" x14ac:dyDescent="0.25">
      <c r="A314" s="10">
        <v>2019</v>
      </c>
      <c r="B314" s="10">
        <v>1</v>
      </c>
      <c r="C314" s="10">
        <v>409.07567037206002</v>
      </c>
    </row>
    <row r="315" spans="1:3" x14ac:dyDescent="0.25">
      <c r="A315" s="10">
        <v>2019</v>
      </c>
      <c r="B315" s="10">
        <v>2</v>
      </c>
      <c r="C315" s="10">
        <v>382.010516857205</v>
      </c>
    </row>
    <row r="316" spans="1:3" x14ac:dyDescent="0.25">
      <c r="A316" s="10">
        <v>2019</v>
      </c>
      <c r="B316" s="10">
        <v>3</v>
      </c>
      <c r="C316" s="10">
        <v>383.82929899424801</v>
      </c>
    </row>
    <row r="317" spans="1:3" x14ac:dyDescent="0.25">
      <c r="A317" s="10">
        <v>2019</v>
      </c>
      <c r="B317" s="10">
        <v>4</v>
      </c>
      <c r="C317" s="10">
        <v>422.44291646105597</v>
      </c>
    </row>
    <row r="318" spans="1:3" x14ac:dyDescent="0.25">
      <c r="A318" s="10">
        <v>2019</v>
      </c>
      <c r="B318" s="10">
        <v>5</v>
      </c>
      <c r="C318" s="10">
        <v>409.14331255360099</v>
      </c>
    </row>
    <row r="319" spans="1:3" x14ac:dyDescent="0.25">
      <c r="A319" s="10">
        <v>2019</v>
      </c>
      <c r="B319" s="10">
        <v>6</v>
      </c>
      <c r="C319" s="10">
        <v>420.87396025206698</v>
      </c>
    </row>
    <row r="320" spans="1:3" x14ac:dyDescent="0.25">
      <c r="A320" s="10">
        <v>2019</v>
      </c>
      <c r="B320" s="10">
        <v>7</v>
      </c>
      <c r="C320" s="10">
        <v>398.389989188009</v>
      </c>
    </row>
    <row r="321" spans="1:3" x14ac:dyDescent="0.25">
      <c r="A321" s="10">
        <v>2019</v>
      </c>
      <c r="B321" s="10">
        <v>8</v>
      </c>
      <c r="C321" s="10">
        <v>410.42391809912198</v>
      </c>
    </row>
    <row r="322" spans="1:3" x14ac:dyDescent="0.25">
      <c r="A322" s="10">
        <v>2019</v>
      </c>
      <c r="B322" s="10">
        <v>9</v>
      </c>
      <c r="C322" s="10">
        <v>385.51176865453698</v>
      </c>
    </row>
    <row r="323" spans="1:3" x14ac:dyDescent="0.25">
      <c r="A323" s="10">
        <v>2019</v>
      </c>
      <c r="B323" s="10">
        <v>10</v>
      </c>
      <c r="C323" s="10">
        <v>349.81161742215102</v>
      </c>
    </row>
    <row r="324" spans="1:3" x14ac:dyDescent="0.25">
      <c r="A324" s="10">
        <v>2019</v>
      </c>
      <c r="B324" s="10">
        <v>11</v>
      </c>
      <c r="C324" s="10">
        <v>331.56648783212597</v>
      </c>
    </row>
    <row r="325" spans="1:3" x14ac:dyDescent="0.25">
      <c r="A325" s="10">
        <v>2019</v>
      </c>
      <c r="B325" s="10">
        <v>12</v>
      </c>
      <c r="C325" s="10">
        <v>345.702790917046</v>
      </c>
    </row>
    <row r="326" spans="1:3" x14ac:dyDescent="0.25">
      <c r="A326" s="10">
        <v>2020</v>
      </c>
      <c r="B326" s="10">
        <v>1</v>
      </c>
      <c r="C326" s="10">
        <v>334.04914239080898</v>
      </c>
    </row>
    <row r="327" spans="1:3" x14ac:dyDescent="0.25">
      <c r="A327" s="10">
        <v>2020</v>
      </c>
      <c r="B327" s="10">
        <v>2</v>
      </c>
      <c r="C327" s="10">
        <v>379.40600387625</v>
      </c>
    </row>
    <row r="328" spans="1:3" x14ac:dyDescent="0.25">
      <c r="A328" s="10">
        <v>2020</v>
      </c>
      <c r="B328" s="10">
        <v>3</v>
      </c>
      <c r="C328" s="10">
        <v>284.38602094677702</v>
      </c>
    </row>
    <row r="329" spans="1:3" x14ac:dyDescent="0.25">
      <c r="A329" s="10">
        <v>2020</v>
      </c>
      <c r="B329" s="10">
        <v>4</v>
      </c>
      <c r="C329" s="10">
        <v>108.540533253341</v>
      </c>
    </row>
    <row r="330" spans="1:3" x14ac:dyDescent="0.25">
      <c r="A330" s="10">
        <v>2020</v>
      </c>
      <c r="B330" s="10">
        <v>5</v>
      </c>
      <c r="C330" s="10">
        <v>194.47723053517899</v>
      </c>
    </row>
    <row r="331" spans="1:3" x14ac:dyDescent="0.25">
      <c r="A331" s="10">
        <v>2020</v>
      </c>
      <c r="B331" s="10">
        <v>6</v>
      </c>
      <c r="C331" s="10">
        <v>249.692107252292</v>
      </c>
    </row>
    <row r="332" spans="1:3" x14ac:dyDescent="0.25">
      <c r="A332" s="10">
        <v>2020</v>
      </c>
      <c r="B332" s="10">
        <v>7</v>
      </c>
      <c r="C332" s="10">
        <v>306.695344535071</v>
      </c>
    </row>
    <row r="333" spans="1:3" x14ac:dyDescent="0.25">
      <c r="A333" s="10">
        <v>2020</v>
      </c>
      <c r="B333" s="10">
        <v>8</v>
      </c>
      <c r="C333" s="10">
        <v>311.72360157295202</v>
      </c>
    </row>
    <row r="334" spans="1:3" x14ac:dyDescent="0.25">
      <c r="A334" s="10">
        <v>2020</v>
      </c>
      <c r="B334" s="10">
        <v>9</v>
      </c>
      <c r="C334" s="10">
        <v>335.83991574770602</v>
      </c>
    </row>
    <row r="335" spans="1:3" x14ac:dyDescent="0.25">
      <c r="A335" s="10">
        <v>2020</v>
      </c>
      <c r="B335" s="10">
        <v>10</v>
      </c>
      <c r="C335" s="10">
        <v>346.36738790599202</v>
      </c>
    </row>
    <row r="336" spans="1:3" x14ac:dyDescent="0.25">
      <c r="A336" s="10">
        <v>2020</v>
      </c>
      <c r="B336" s="10">
        <v>11</v>
      </c>
      <c r="C336" s="10">
        <v>364.13865210419101</v>
      </c>
    </row>
    <row r="337" spans="1:3" x14ac:dyDescent="0.25">
      <c r="A337" s="10">
        <v>2020</v>
      </c>
      <c r="B337" s="10">
        <v>12</v>
      </c>
      <c r="C337" s="10">
        <v>403.729315121333</v>
      </c>
    </row>
    <row r="338" spans="1:3" x14ac:dyDescent="0.25">
      <c r="A338" s="10">
        <v>2021</v>
      </c>
      <c r="B338" s="10">
        <v>1</v>
      </c>
      <c r="C338" s="10">
        <v>405.27261961281698</v>
      </c>
    </row>
    <row r="339" spans="1:3" x14ac:dyDescent="0.25">
      <c r="A339" s="10">
        <v>2021</v>
      </c>
      <c r="B339" s="10">
        <v>2</v>
      </c>
      <c r="C339" s="10">
        <v>404.38775986795503</v>
      </c>
    </row>
    <row r="340" spans="1:3" x14ac:dyDescent="0.25">
      <c r="A340" s="10">
        <v>2021</v>
      </c>
      <c r="B340" s="10">
        <v>3</v>
      </c>
      <c r="C340" s="10">
        <v>426.06030837030403</v>
      </c>
    </row>
    <row r="341" spans="1:3" x14ac:dyDescent="0.25">
      <c r="A341" s="10">
        <v>2021</v>
      </c>
      <c r="B341" s="10">
        <v>4</v>
      </c>
      <c r="C341" s="10">
        <v>350.02891449212899</v>
      </c>
    </row>
    <row r="342" spans="1:3" x14ac:dyDescent="0.25">
      <c r="A342" s="10">
        <v>2021</v>
      </c>
      <c r="B342" s="10">
        <v>5</v>
      </c>
      <c r="C342" s="10">
        <v>390.63664236966298</v>
      </c>
    </row>
    <row r="343" spans="1:3" x14ac:dyDescent="0.25">
      <c r="A343" s="10">
        <v>2021</v>
      </c>
      <c r="B343" s="10">
        <v>6</v>
      </c>
      <c r="C343" s="10">
        <v>406.59422321924501</v>
      </c>
    </row>
    <row r="344" spans="1:3" x14ac:dyDescent="0.25">
      <c r="A344" s="10">
        <v>2021</v>
      </c>
      <c r="B344" s="10">
        <v>7</v>
      </c>
      <c r="C344" s="10">
        <v>411.610513698619</v>
      </c>
    </row>
    <row r="345" spans="1:3" x14ac:dyDescent="0.25">
      <c r="A345" s="10">
        <v>2021</v>
      </c>
      <c r="B345" s="10">
        <v>8</v>
      </c>
      <c r="C345" s="10">
        <v>402.55764371728702</v>
      </c>
    </row>
    <row r="346" spans="1:3" x14ac:dyDescent="0.25">
      <c r="A346" s="10">
        <v>2021</v>
      </c>
      <c r="B346" s="10">
        <v>9</v>
      </c>
      <c r="C346" s="10">
        <v>407.37819125071002</v>
      </c>
    </row>
    <row r="347" spans="1:3" x14ac:dyDescent="0.25">
      <c r="A347" s="10">
        <v>2021</v>
      </c>
      <c r="B347" s="10">
        <v>10</v>
      </c>
      <c r="C347" s="10">
        <v>406.63653777803802</v>
      </c>
    </row>
    <row r="348" spans="1:3" x14ac:dyDescent="0.25">
      <c r="A348" s="10">
        <v>2021</v>
      </c>
      <c r="B348" s="10">
        <v>11</v>
      </c>
      <c r="C348" s="10">
        <v>425.81575771867801</v>
      </c>
    </row>
    <row r="349" spans="1:3" x14ac:dyDescent="0.25">
      <c r="A349" s="10">
        <v>2021</v>
      </c>
      <c r="B349" s="10">
        <v>12</v>
      </c>
      <c r="C349" s="10">
        <v>442.18754843052</v>
      </c>
    </row>
    <row r="350" spans="1:3" x14ac:dyDescent="0.25">
      <c r="A350" s="10">
        <v>2022</v>
      </c>
      <c r="B350" s="10">
        <v>1</v>
      </c>
      <c r="C350" s="10">
        <v>390.23306096443901</v>
      </c>
    </row>
    <row r="351" spans="1:3" x14ac:dyDescent="0.25">
      <c r="A351" s="10">
        <v>2022</v>
      </c>
      <c r="B351" s="10">
        <v>2</v>
      </c>
      <c r="C351" s="10">
        <v>393.38499467657601</v>
      </c>
    </row>
    <row r="352" spans="1:3" x14ac:dyDescent="0.25">
      <c r="A352" s="10">
        <v>2022</v>
      </c>
      <c r="B352" s="10">
        <v>3</v>
      </c>
      <c r="C352" s="10">
        <v>421.56213885067899</v>
      </c>
    </row>
    <row r="353" spans="1:3" x14ac:dyDescent="0.25">
      <c r="A353" s="10">
        <v>2022</v>
      </c>
      <c r="B353" s="10">
        <v>4</v>
      </c>
      <c r="C353" s="10">
        <v>361.00463455433101</v>
      </c>
    </row>
    <row r="354" spans="1:3" x14ac:dyDescent="0.25">
      <c r="A354" s="10">
        <v>2022</v>
      </c>
      <c r="B354" s="10">
        <v>5</v>
      </c>
      <c r="C354" s="10">
        <v>445.78914955084002</v>
      </c>
    </row>
    <row r="355" spans="1:3" x14ac:dyDescent="0.25">
      <c r="A355" s="10">
        <v>2022</v>
      </c>
      <c r="B355" s="10">
        <v>6</v>
      </c>
      <c r="C355" s="10">
        <v>469.85571967945998</v>
      </c>
    </row>
    <row r="356" spans="1:3" x14ac:dyDescent="0.25">
      <c r="A356" s="10">
        <v>2022</v>
      </c>
      <c r="B356" s="10">
        <v>7</v>
      </c>
      <c r="C356" s="10">
        <v>446.78164952581301</v>
      </c>
    </row>
    <row r="357" spans="1:3" x14ac:dyDescent="0.25">
      <c r="A357" s="10">
        <v>2022</v>
      </c>
      <c r="B357" s="10">
        <v>8</v>
      </c>
      <c r="C357" s="10">
        <v>437.29858198209001</v>
      </c>
    </row>
    <row r="358" spans="1:3" x14ac:dyDescent="0.25">
      <c r="A358" s="10">
        <v>2022</v>
      </c>
      <c r="B358" s="10">
        <v>9</v>
      </c>
      <c r="C358" s="10">
        <v>401.36372270816901</v>
      </c>
    </row>
    <row r="359" spans="1:3" x14ac:dyDescent="0.25">
      <c r="A359" s="10">
        <v>2022</v>
      </c>
      <c r="B359" s="10">
        <v>10</v>
      </c>
      <c r="C359" s="10">
        <v>446.933500592683</v>
      </c>
    </row>
    <row r="360" spans="1:3" x14ac:dyDescent="0.25">
      <c r="A360" s="10">
        <v>2022</v>
      </c>
      <c r="B360" s="10">
        <v>11</v>
      </c>
      <c r="C360" s="10">
        <v>432.40931689905301</v>
      </c>
    </row>
    <row r="361" spans="1:3" x14ac:dyDescent="0.25">
      <c r="A361" s="10">
        <v>2022</v>
      </c>
      <c r="B361" s="10">
        <v>12</v>
      </c>
      <c r="C361" s="10">
        <v>455.125455260563</v>
      </c>
    </row>
    <row r="362" spans="1:3" x14ac:dyDescent="0.25">
      <c r="A362" s="10">
        <v>2023</v>
      </c>
      <c r="B362" s="10">
        <v>1</v>
      </c>
      <c r="C362" s="10">
        <v>483.18068862551701</v>
      </c>
    </row>
    <row r="363" spans="1:3" x14ac:dyDescent="0.25">
      <c r="A363" s="10">
        <v>2023</v>
      </c>
      <c r="B363" s="10">
        <v>2</v>
      </c>
      <c r="C363" s="10">
        <v>429.57260347677499</v>
      </c>
    </row>
    <row r="364" spans="1:3" x14ac:dyDescent="0.25">
      <c r="A364" s="10">
        <v>2023</v>
      </c>
      <c r="B364" s="10">
        <v>3</v>
      </c>
      <c r="C364" s="10">
        <v>417.40365178846997</v>
      </c>
    </row>
    <row r="365" spans="1:3" x14ac:dyDescent="0.25">
      <c r="A365" s="10">
        <v>2023</v>
      </c>
      <c r="B365" s="10">
        <v>4</v>
      </c>
      <c r="C365" s="10">
        <v>437.379115977938</v>
      </c>
    </row>
    <row r="366" spans="1:3" x14ac:dyDescent="0.25">
      <c r="A366" s="10">
        <v>2023</v>
      </c>
      <c r="B366" s="10">
        <v>5</v>
      </c>
      <c r="C366" s="10">
        <v>439.96177440847703</v>
      </c>
    </row>
    <row r="367" spans="1:3" x14ac:dyDescent="0.25">
      <c r="A367" s="10">
        <v>2023</v>
      </c>
      <c r="B367" s="10">
        <v>6</v>
      </c>
      <c r="C367" s="10">
        <v>429.93575116084901</v>
      </c>
    </row>
    <row r="368" spans="1:3" x14ac:dyDescent="0.25">
      <c r="A368" s="10">
        <v>2023</v>
      </c>
      <c r="B368" s="10">
        <v>7</v>
      </c>
      <c r="C368" s="10">
        <v>332.77547204065502</v>
      </c>
    </row>
    <row r="369" spans="1:3" x14ac:dyDescent="0.25">
      <c r="A369" s="10">
        <v>2023</v>
      </c>
      <c r="B369" s="10">
        <v>8</v>
      </c>
      <c r="C369" s="10">
        <v>401.54607001804101</v>
      </c>
    </row>
    <row r="370" spans="1:3" x14ac:dyDescent="0.25">
      <c r="A370" s="10">
        <v>2023</v>
      </c>
      <c r="B370" s="10">
        <v>9</v>
      </c>
      <c r="C370" s="10">
        <v>416.819898821256</v>
      </c>
    </row>
    <row r="371" spans="1:3" x14ac:dyDescent="0.25">
      <c r="A371" s="10">
        <v>2023</v>
      </c>
      <c r="B371" s="10">
        <v>10</v>
      </c>
      <c r="C371" s="10">
        <v>411.09904268666401</v>
      </c>
    </row>
    <row r="372" spans="1:3" x14ac:dyDescent="0.25">
      <c r="A372" s="10">
        <v>2023</v>
      </c>
      <c r="B372" s="10">
        <v>11</v>
      </c>
      <c r="C372" s="10">
        <v>385.26934519260902</v>
      </c>
    </row>
    <row r="373" spans="1:3" x14ac:dyDescent="0.25">
      <c r="A373" s="10">
        <v>2023</v>
      </c>
      <c r="B373" s="10">
        <v>12</v>
      </c>
      <c r="C373" s="10">
        <v>351.26623236542298</v>
      </c>
    </row>
    <row r="374" spans="1:3" x14ac:dyDescent="0.25">
      <c r="A374" s="10">
        <v>2024</v>
      </c>
      <c r="B374" s="10">
        <v>1</v>
      </c>
      <c r="C374" s="10">
        <v>451.640188798184</v>
      </c>
    </row>
    <row r="375" spans="1:3" x14ac:dyDescent="0.25">
      <c r="A375" s="10">
        <v>2024</v>
      </c>
      <c r="B375" s="10">
        <v>2</v>
      </c>
      <c r="C375" s="10">
        <v>358.64422815911098</v>
      </c>
    </row>
    <row r="376" spans="1:3" x14ac:dyDescent="0.25">
      <c r="A376" s="10">
        <v>2024</v>
      </c>
      <c r="B376" s="10">
        <v>3</v>
      </c>
      <c r="C376" s="10">
        <v>244.14375070052199</v>
      </c>
    </row>
    <row r="377" spans="1:3" x14ac:dyDescent="0.25">
      <c r="A377" s="10">
        <v>2024</v>
      </c>
      <c r="B377" s="10">
        <v>4</v>
      </c>
      <c r="C377" s="10">
        <v>328.09286392275101</v>
      </c>
    </row>
    <row r="378" spans="1:3" x14ac:dyDescent="0.25">
      <c r="A378" s="10">
        <v>2024</v>
      </c>
      <c r="B378" s="10">
        <v>5</v>
      </c>
      <c r="C378" s="10">
        <v>307.89067022351202</v>
      </c>
    </row>
    <row r="379" spans="1:3" x14ac:dyDescent="0.25">
      <c r="A379" s="10">
        <v>2024</v>
      </c>
      <c r="B379" s="10">
        <v>6</v>
      </c>
      <c r="C379" s="10">
        <v>280.62936361994002</v>
      </c>
    </row>
    <row r="380" spans="1:3" x14ac:dyDescent="0.25">
      <c r="A380" s="10">
        <v>2024</v>
      </c>
      <c r="B380" s="10">
        <v>7</v>
      </c>
      <c r="C380" s="10">
        <v>306.58033300599698</v>
      </c>
    </row>
    <row r="381" spans="1:3" x14ac:dyDescent="0.25">
      <c r="A381" s="10">
        <v>2024</v>
      </c>
      <c r="B381" s="10">
        <v>8</v>
      </c>
      <c r="C381" s="10">
        <v>322.17025336323002</v>
      </c>
    </row>
    <row r="382" spans="1:3" x14ac:dyDescent="0.25">
      <c r="A382" s="10">
        <v>2024</v>
      </c>
      <c r="B382" s="10">
        <v>9</v>
      </c>
      <c r="C382" s="10">
        <v>339.56503148200801</v>
      </c>
    </row>
    <row r="383" spans="1:3" x14ac:dyDescent="0.25">
      <c r="A383" s="10">
        <v>2024</v>
      </c>
      <c r="B383" s="10">
        <v>10</v>
      </c>
      <c r="C383" s="10">
        <v>311.722457842415</v>
      </c>
    </row>
    <row r="384" spans="1:3" x14ac:dyDescent="0.25">
      <c r="A384" s="10">
        <v>2024</v>
      </c>
      <c r="B384" s="10">
        <v>11</v>
      </c>
      <c r="C384" s="10">
        <v>308.11474051097002</v>
      </c>
    </row>
    <row r="385" spans="1:3" x14ac:dyDescent="0.25">
      <c r="A385" s="10">
        <v>2024</v>
      </c>
      <c r="B385" s="10">
        <v>12</v>
      </c>
      <c r="C385" s="10">
        <v>281.24750942950902</v>
      </c>
    </row>
    <row r="386" spans="1:3" x14ac:dyDescent="0.25">
      <c r="A386" s="10">
        <v>2025</v>
      </c>
      <c r="B386" s="10">
        <v>1</v>
      </c>
      <c r="C386" s="10">
        <v>344.24299156690802</v>
      </c>
    </row>
    <row r="387" spans="1:3" x14ac:dyDescent="0.25">
      <c r="A387" s="10">
        <v>2025</v>
      </c>
      <c r="B387" s="10">
        <v>2</v>
      </c>
      <c r="C387" s="10">
        <v>380.59467328602102</v>
      </c>
    </row>
    <row r="388" spans="1:3" x14ac:dyDescent="0.25">
      <c r="A388" s="10">
        <v>2025</v>
      </c>
      <c r="B388" s="10">
        <v>3</v>
      </c>
      <c r="C388" s="10">
        <v>333.87490143643998</v>
      </c>
    </row>
    <row r="389" spans="1:3" x14ac:dyDescent="0.25">
      <c r="A389" s="10">
        <v>2025</v>
      </c>
      <c r="B389" s="10">
        <v>4</v>
      </c>
      <c r="C389" s="10">
        <v>329.17248174018101</v>
      </c>
    </row>
    <row r="390" spans="1:3" x14ac:dyDescent="0.25">
      <c r="A390" s="10">
        <v>2025</v>
      </c>
      <c r="B390" s="10">
        <v>5</v>
      </c>
      <c r="C390" s="10">
        <v>343.76229094176</v>
      </c>
    </row>
    <row r="391" spans="1:3" x14ac:dyDescent="0.25">
      <c r="A391" s="10">
        <v>2025</v>
      </c>
      <c r="B391" s="10">
        <v>6</v>
      </c>
      <c r="C391" s="10">
        <v>329.48259300377799</v>
      </c>
    </row>
    <row r="392" spans="1:3" x14ac:dyDescent="0.25">
      <c r="A392" s="10">
        <v>2025</v>
      </c>
      <c r="B392" s="10">
        <v>7</v>
      </c>
      <c r="C392" s="10">
        <v>321.72080930018501</v>
      </c>
    </row>
    <row r="393" spans="1:3" x14ac:dyDescent="0.25">
      <c r="A393" s="10">
        <v>2025</v>
      </c>
      <c r="B393" s="10">
        <v>8</v>
      </c>
      <c r="C393" s="10">
        <v>341.14925635858702</v>
      </c>
    </row>
    <row r="394" spans="1:3" x14ac:dyDescent="0.25">
      <c r="A394" s="10">
        <v>2025</v>
      </c>
      <c r="B394" s="10">
        <v>9</v>
      </c>
      <c r="C394" s="10">
        <v>326.01563997336302</v>
      </c>
    </row>
    <row r="395" spans="1:3" x14ac:dyDescent="0.25">
      <c r="A395" s="10">
        <v>2025</v>
      </c>
      <c r="B395" s="10">
        <v>10</v>
      </c>
      <c r="C395" s="10">
        <v>325.96824693193599</v>
      </c>
    </row>
    <row r="396" spans="1:3" x14ac:dyDescent="0.25">
      <c r="A396" s="10">
        <v>2025</v>
      </c>
      <c r="B396" s="10">
        <v>11</v>
      </c>
      <c r="C396" s="10">
        <v>343.68778096402201</v>
      </c>
    </row>
    <row r="397" spans="1:3" x14ac:dyDescent="0.25">
      <c r="A397" s="10">
        <v>2025</v>
      </c>
      <c r="B397" s="10">
        <v>12</v>
      </c>
      <c r="C397" s="10">
        <v>315.31164832983302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84D8-2959-4122-ACDB-B4B035013443}">
  <dimension ref="A1:G396"/>
  <sheetViews>
    <sheetView workbookViewId="0">
      <selection activeCell="G2" sqref="G2:G396"/>
    </sheetView>
  </sheetViews>
  <sheetFormatPr baseColWidth="10" defaultRowHeight="15" x14ac:dyDescent="0.25"/>
  <sheetData>
    <row r="1" spans="1:7" x14ac:dyDescent="0.25">
      <c r="A1" s="9" t="s">
        <v>34</v>
      </c>
      <c r="B1" s="9" t="s">
        <v>35</v>
      </c>
      <c r="C1" s="9" t="s">
        <v>36</v>
      </c>
      <c r="E1" s="9" t="s">
        <v>34</v>
      </c>
      <c r="F1" s="9" t="s">
        <v>35</v>
      </c>
      <c r="G1" s="9" t="s">
        <v>36</v>
      </c>
    </row>
    <row r="2" spans="1:7" x14ac:dyDescent="0.25">
      <c r="A2" s="10">
        <v>1993</v>
      </c>
      <c r="B2" s="10">
        <v>1</v>
      </c>
      <c r="C2" s="10">
        <v>243.44742114460601</v>
      </c>
      <c r="E2" s="10">
        <v>1993</v>
      </c>
      <c r="F2" s="10">
        <v>1</v>
      </c>
      <c r="G2" s="10">
        <v>243.310118844897</v>
      </c>
    </row>
    <row r="3" spans="1:7" x14ac:dyDescent="0.25">
      <c r="A3" s="10">
        <v>1993</v>
      </c>
      <c r="B3" s="10">
        <v>2</v>
      </c>
      <c r="C3" s="10">
        <v>233.87644517623801</v>
      </c>
      <c r="E3" s="10">
        <v>1993</v>
      </c>
      <c r="F3" s="10">
        <v>2</v>
      </c>
      <c r="G3" s="10">
        <v>233.796133050473</v>
      </c>
    </row>
    <row r="4" spans="1:7" x14ac:dyDescent="0.25">
      <c r="A4" s="10">
        <v>1993</v>
      </c>
      <c r="B4" s="10">
        <v>3</v>
      </c>
      <c r="C4" s="10">
        <v>228.197030461449</v>
      </c>
      <c r="E4" s="10">
        <v>1993</v>
      </c>
      <c r="F4" s="10">
        <v>3</v>
      </c>
      <c r="G4" s="10">
        <v>227.743779542742</v>
      </c>
    </row>
    <row r="5" spans="1:7" x14ac:dyDescent="0.25">
      <c r="A5" s="10">
        <v>1993</v>
      </c>
      <c r="B5" s="10">
        <v>4</v>
      </c>
      <c r="C5" s="10">
        <v>245.05831335024999</v>
      </c>
      <c r="E5" s="10">
        <v>1993</v>
      </c>
      <c r="F5" s="10">
        <v>4</v>
      </c>
      <c r="G5" s="10">
        <v>244.832654871107</v>
      </c>
    </row>
    <row r="6" spans="1:7" x14ac:dyDescent="0.25">
      <c r="A6" s="10">
        <v>1993</v>
      </c>
      <c r="B6" s="10">
        <v>5</v>
      </c>
      <c r="C6" s="10">
        <v>248.344985321932</v>
      </c>
      <c r="E6" s="10">
        <v>1993</v>
      </c>
      <c r="F6" s="10">
        <v>5</v>
      </c>
      <c r="G6" s="10">
        <v>248.260188481396</v>
      </c>
    </row>
    <row r="7" spans="1:7" x14ac:dyDescent="0.25">
      <c r="A7" s="10">
        <v>1993</v>
      </c>
      <c r="B7" s="10">
        <v>6</v>
      </c>
      <c r="C7" s="10">
        <v>251.03561591800801</v>
      </c>
      <c r="E7" s="10">
        <v>1993</v>
      </c>
      <c r="F7" s="10">
        <v>6</v>
      </c>
      <c r="G7" s="10">
        <v>251.11583900067001</v>
      </c>
    </row>
    <row r="8" spans="1:7" x14ac:dyDescent="0.25">
      <c r="A8" s="10">
        <v>1993</v>
      </c>
      <c r="B8" s="10">
        <v>7</v>
      </c>
      <c r="C8" s="10">
        <v>239.003562285187</v>
      </c>
      <c r="E8" s="10">
        <v>1993</v>
      </c>
      <c r="F8" s="10">
        <v>7</v>
      </c>
      <c r="G8" s="10">
        <v>239.118716403147</v>
      </c>
    </row>
    <row r="9" spans="1:7" x14ac:dyDescent="0.25">
      <c r="A9" s="10">
        <v>1993</v>
      </c>
      <c r="B9" s="10">
        <v>8</v>
      </c>
      <c r="C9" s="10">
        <v>245.571190621651</v>
      </c>
      <c r="E9" s="10">
        <v>1993</v>
      </c>
      <c r="F9" s="10">
        <v>8</v>
      </c>
      <c r="G9" s="10">
        <v>245.60216925370199</v>
      </c>
    </row>
    <row r="10" spans="1:7" x14ac:dyDescent="0.25">
      <c r="A10" s="10">
        <v>1993</v>
      </c>
      <c r="B10" s="10">
        <v>9</v>
      </c>
      <c r="C10" s="10">
        <v>254.766962307527</v>
      </c>
      <c r="E10" s="10">
        <v>1993</v>
      </c>
      <c r="F10" s="10">
        <v>9</v>
      </c>
      <c r="G10" s="10">
        <v>254.70968827040099</v>
      </c>
    </row>
    <row r="11" spans="1:7" x14ac:dyDescent="0.25">
      <c r="A11" s="10">
        <v>1993</v>
      </c>
      <c r="B11" s="10">
        <v>10</v>
      </c>
      <c r="C11" s="10">
        <v>237.60158464095599</v>
      </c>
      <c r="E11" s="10">
        <v>1993</v>
      </c>
      <c r="F11" s="10">
        <v>10</v>
      </c>
      <c r="G11" s="10">
        <v>237.58513120235801</v>
      </c>
    </row>
    <row r="12" spans="1:7" x14ac:dyDescent="0.25">
      <c r="A12" s="10">
        <v>1993</v>
      </c>
      <c r="B12" s="10">
        <v>11</v>
      </c>
      <c r="C12" s="10">
        <v>233.39089296648899</v>
      </c>
      <c r="E12" s="10">
        <v>1993</v>
      </c>
      <c r="F12" s="10">
        <v>11</v>
      </c>
      <c r="G12" s="10">
        <v>233.73540251036201</v>
      </c>
    </row>
    <row r="13" spans="1:7" x14ac:dyDescent="0.25">
      <c r="A13" s="10">
        <v>1993</v>
      </c>
      <c r="B13" s="10">
        <v>12</v>
      </c>
      <c r="C13" s="10">
        <v>232.37403624283601</v>
      </c>
      <c r="E13" s="10">
        <v>1993</v>
      </c>
      <c r="F13" s="10">
        <v>12</v>
      </c>
      <c r="G13" s="10">
        <v>232.875888185539</v>
      </c>
    </row>
    <row r="14" spans="1:7" x14ac:dyDescent="0.25">
      <c r="A14" s="10">
        <v>1994</v>
      </c>
      <c r="B14" s="10">
        <v>1</v>
      </c>
      <c r="C14" s="10">
        <v>260.06979664399501</v>
      </c>
      <c r="E14" s="10">
        <v>1994</v>
      </c>
      <c r="F14" s="10">
        <v>1</v>
      </c>
      <c r="G14" s="10">
        <v>259.94549205298199</v>
      </c>
    </row>
    <row r="15" spans="1:7" x14ac:dyDescent="0.25">
      <c r="A15" s="10">
        <v>1994</v>
      </c>
      <c r="B15" s="10">
        <v>2</v>
      </c>
      <c r="C15" s="10">
        <v>250.22981113024599</v>
      </c>
      <c r="E15" s="10">
        <v>1994</v>
      </c>
      <c r="F15" s="10">
        <v>2</v>
      </c>
      <c r="G15" s="10">
        <v>250.16357121557201</v>
      </c>
    </row>
    <row r="16" spans="1:7" x14ac:dyDescent="0.25">
      <c r="A16" s="10">
        <v>1994</v>
      </c>
      <c r="B16" s="10">
        <v>3</v>
      </c>
      <c r="C16" s="10">
        <v>267.70470036847701</v>
      </c>
      <c r="E16" s="10">
        <v>1994</v>
      </c>
      <c r="F16" s="10">
        <v>3</v>
      </c>
      <c r="G16" s="10">
        <v>267.18591547738299</v>
      </c>
    </row>
    <row r="17" spans="1:7" x14ac:dyDescent="0.25">
      <c r="A17" s="10">
        <v>1994</v>
      </c>
      <c r="B17" s="10">
        <v>4</v>
      </c>
      <c r="C17" s="10">
        <v>285.733394756699</v>
      </c>
      <c r="E17" s="10">
        <v>1994</v>
      </c>
      <c r="F17" s="10">
        <v>4</v>
      </c>
      <c r="G17" s="10">
        <v>285.44901908231799</v>
      </c>
    </row>
    <row r="18" spans="1:7" x14ac:dyDescent="0.25">
      <c r="A18" s="10">
        <v>1994</v>
      </c>
      <c r="B18" s="10">
        <v>5</v>
      </c>
      <c r="C18" s="10">
        <v>264.82355013636601</v>
      </c>
      <c r="E18" s="10">
        <v>1994</v>
      </c>
      <c r="F18" s="10">
        <v>5</v>
      </c>
      <c r="G18" s="10">
        <v>264.82996331339399</v>
      </c>
    </row>
    <row r="19" spans="1:7" x14ac:dyDescent="0.25">
      <c r="A19" s="10">
        <v>1994</v>
      </c>
      <c r="B19" s="10">
        <v>6</v>
      </c>
      <c r="C19" s="10">
        <v>262.57913902267302</v>
      </c>
      <c r="E19" s="10">
        <v>1994</v>
      </c>
      <c r="F19" s="10">
        <v>6</v>
      </c>
      <c r="G19" s="10">
        <v>262.67469612103503</v>
      </c>
    </row>
    <row r="20" spans="1:7" x14ac:dyDescent="0.25">
      <c r="A20" s="10">
        <v>1994</v>
      </c>
      <c r="B20" s="10">
        <v>7</v>
      </c>
      <c r="C20" s="10">
        <v>269.37487013192498</v>
      </c>
      <c r="E20" s="10">
        <v>1994</v>
      </c>
      <c r="F20" s="10">
        <v>7</v>
      </c>
      <c r="G20" s="10">
        <v>269.42596663610198</v>
      </c>
    </row>
    <row r="21" spans="1:7" x14ac:dyDescent="0.25">
      <c r="A21" s="10">
        <v>1994</v>
      </c>
      <c r="B21" s="10">
        <v>8</v>
      </c>
      <c r="C21" s="10">
        <v>292.01809185212397</v>
      </c>
      <c r="E21" s="10">
        <v>1994</v>
      </c>
      <c r="F21" s="10">
        <v>8</v>
      </c>
      <c r="G21" s="10">
        <v>292.12328273940102</v>
      </c>
    </row>
    <row r="22" spans="1:7" x14ac:dyDescent="0.25">
      <c r="A22" s="10">
        <v>1994</v>
      </c>
      <c r="B22" s="10">
        <v>9</v>
      </c>
      <c r="C22" s="10">
        <v>288.44376035902798</v>
      </c>
      <c r="E22" s="10">
        <v>1994</v>
      </c>
      <c r="F22" s="10">
        <v>9</v>
      </c>
      <c r="G22" s="10">
        <v>288.41088041858598</v>
      </c>
    </row>
    <row r="23" spans="1:7" x14ac:dyDescent="0.25">
      <c r="A23" s="10">
        <v>1994</v>
      </c>
      <c r="B23" s="10">
        <v>10</v>
      </c>
      <c r="C23" s="10">
        <v>297.329864112591</v>
      </c>
      <c r="E23" s="10">
        <v>1994</v>
      </c>
      <c r="F23" s="10">
        <v>10</v>
      </c>
      <c r="G23" s="10">
        <v>297.30815701024602</v>
      </c>
    </row>
    <row r="24" spans="1:7" x14ac:dyDescent="0.25">
      <c r="A24" s="10">
        <v>1994</v>
      </c>
      <c r="B24" s="10">
        <v>11</v>
      </c>
      <c r="C24" s="10">
        <v>272.09565780502601</v>
      </c>
      <c r="E24" s="10">
        <v>1994</v>
      </c>
      <c r="F24" s="10">
        <v>11</v>
      </c>
      <c r="G24" s="10">
        <v>272.42936940537902</v>
      </c>
    </row>
    <row r="25" spans="1:7" x14ac:dyDescent="0.25">
      <c r="A25" s="10">
        <v>1994</v>
      </c>
      <c r="B25" s="10">
        <v>12</v>
      </c>
      <c r="C25" s="10">
        <v>301.46475421743401</v>
      </c>
      <c r="E25" s="10">
        <v>1994</v>
      </c>
      <c r="F25" s="10">
        <v>12</v>
      </c>
      <c r="G25" s="10">
        <v>301.83569031848202</v>
      </c>
    </row>
    <row r="26" spans="1:7" x14ac:dyDescent="0.25">
      <c r="A26" s="10">
        <v>1995</v>
      </c>
      <c r="B26" s="10">
        <v>1</v>
      </c>
      <c r="C26" s="10">
        <v>296.29444030451498</v>
      </c>
      <c r="E26" s="10">
        <v>1995</v>
      </c>
      <c r="F26" s="10">
        <v>1</v>
      </c>
      <c r="G26" s="10">
        <v>296.29969108904299</v>
      </c>
    </row>
    <row r="27" spans="1:7" x14ac:dyDescent="0.25">
      <c r="A27" s="10">
        <v>1995</v>
      </c>
      <c r="B27" s="10">
        <v>2</v>
      </c>
      <c r="C27" s="10">
        <v>293.34393829116902</v>
      </c>
      <c r="E27" s="10">
        <v>1995</v>
      </c>
      <c r="F27" s="10">
        <v>2</v>
      </c>
      <c r="G27" s="10">
        <v>293.238661966216</v>
      </c>
    </row>
    <row r="28" spans="1:7" x14ac:dyDescent="0.25">
      <c r="A28" s="10">
        <v>1995</v>
      </c>
      <c r="B28" s="10">
        <v>3</v>
      </c>
      <c r="C28" s="10">
        <v>296.75974012004298</v>
      </c>
      <c r="E28" s="10">
        <v>1995</v>
      </c>
      <c r="F28" s="10">
        <v>3</v>
      </c>
      <c r="G28" s="10">
        <v>296.17418140925798</v>
      </c>
    </row>
    <row r="29" spans="1:7" x14ac:dyDescent="0.25">
      <c r="A29" s="10">
        <v>1995</v>
      </c>
      <c r="B29" s="10">
        <v>4</v>
      </c>
      <c r="C29" s="10">
        <v>287.54340122899498</v>
      </c>
      <c r="E29" s="10">
        <v>1995</v>
      </c>
      <c r="F29" s="10">
        <v>4</v>
      </c>
      <c r="G29" s="10">
        <v>287.21960655612202</v>
      </c>
    </row>
    <row r="30" spans="1:7" x14ac:dyDescent="0.25">
      <c r="A30" s="10">
        <v>1995</v>
      </c>
      <c r="B30" s="10">
        <v>5</v>
      </c>
      <c r="C30" s="10">
        <v>294.54175721741802</v>
      </c>
      <c r="E30" s="10">
        <v>1995</v>
      </c>
      <c r="F30" s="10">
        <v>5</v>
      </c>
      <c r="G30" s="10">
        <v>294.64111665728802</v>
      </c>
    </row>
    <row r="31" spans="1:7" x14ac:dyDescent="0.25">
      <c r="A31" s="10">
        <v>1995</v>
      </c>
      <c r="B31" s="10">
        <v>6</v>
      </c>
      <c r="C31" s="10">
        <v>294.53641696152698</v>
      </c>
      <c r="E31" s="10">
        <v>1995</v>
      </c>
      <c r="F31" s="10">
        <v>6</v>
      </c>
      <c r="G31" s="10">
        <v>294.63190290730802</v>
      </c>
    </row>
    <row r="32" spans="1:7" x14ac:dyDescent="0.25">
      <c r="A32" s="10">
        <v>1995</v>
      </c>
      <c r="B32" s="10">
        <v>7</v>
      </c>
      <c r="C32" s="10">
        <v>306.60184354535699</v>
      </c>
      <c r="E32" s="10">
        <v>1995</v>
      </c>
      <c r="F32" s="10">
        <v>7</v>
      </c>
      <c r="G32" s="10">
        <v>306.77057597495798</v>
      </c>
    </row>
    <row r="33" spans="1:7" x14ac:dyDescent="0.25">
      <c r="A33" s="10">
        <v>1995</v>
      </c>
      <c r="B33" s="10">
        <v>8</v>
      </c>
      <c r="C33" s="10">
        <v>297.45227388494197</v>
      </c>
      <c r="E33" s="10">
        <v>1995</v>
      </c>
      <c r="F33" s="10">
        <v>8</v>
      </c>
      <c r="G33" s="10">
        <v>297.52259083390697</v>
      </c>
    </row>
    <row r="34" spans="1:7" x14ac:dyDescent="0.25">
      <c r="A34" s="10">
        <v>1995</v>
      </c>
      <c r="B34" s="10">
        <v>9</v>
      </c>
      <c r="C34" s="10">
        <v>297.38422564779802</v>
      </c>
      <c r="E34" s="10">
        <v>1995</v>
      </c>
      <c r="F34" s="10">
        <v>9</v>
      </c>
      <c r="G34" s="10">
        <v>297.30037300468501</v>
      </c>
    </row>
    <row r="35" spans="1:7" x14ac:dyDescent="0.25">
      <c r="A35" s="10">
        <v>1995</v>
      </c>
      <c r="B35" s="10">
        <v>10</v>
      </c>
      <c r="C35" s="10">
        <v>303.72852551111203</v>
      </c>
      <c r="E35" s="10">
        <v>1995</v>
      </c>
      <c r="F35" s="10">
        <v>10</v>
      </c>
      <c r="G35" s="10">
        <v>303.76910025455999</v>
      </c>
    </row>
    <row r="36" spans="1:7" x14ac:dyDescent="0.25">
      <c r="A36" s="10">
        <v>1995</v>
      </c>
      <c r="B36" s="10">
        <v>11</v>
      </c>
      <c r="C36" s="10">
        <v>315.74500401757302</v>
      </c>
      <c r="E36" s="10">
        <v>1995</v>
      </c>
      <c r="F36" s="10">
        <v>11</v>
      </c>
      <c r="G36" s="10">
        <v>316.06883377796999</v>
      </c>
    </row>
    <row r="37" spans="1:7" x14ac:dyDescent="0.25">
      <c r="A37" s="10">
        <v>1995</v>
      </c>
      <c r="B37" s="10">
        <v>12</v>
      </c>
      <c r="C37" s="10">
        <v>289.75946572172001</v>
      </c>
      <c r="E37" s="10">
        <v>1995</v>
      </c>
      <c r="F37" s="10">
        <v>12</v>
      </c>
      <c r="G37" s="10">
        <v>289.92204926639499</v>
      </c>
    </row>
    <row r="38" spans="1:7" x14ac:dyDescent="0.25">
      <c r="A38" s="10">
        <v>1996</v>
      </c>
      <c r="B38" s="10">
        <v>1</v>
      </c>
      <c r="C38" s="10">
        <v>309.50922967369098</v>
      </c>
      <c r="E38" s="10">
        <v>1996</v>
      </c>
      <c r="F38" s="10">
        <v>1</v>
      </c>
      <c r="G38" s="10">
        <v>309.63206730678701</v>
      </c>
    </row>
    <row r="39" spans="1:7" x14ac:dyDescent="0.25">
      <c r="A39" s="10">
        <v>1996</v>
      </c>
      <c r="B39" s="10">
        <v>2</v>
      </c>
      <c r="C39" s="10">
        <v>332.57204420920499</v>
      </c>
      <c r="E39" s="10">
        <v>1996</v>
      </c>
      <c r="F39" s="10">
        <v>2</v>
      </c>
      <c r="G39" s="10">
        <v>332.42465827087398</v>
      </c>
    </row>
    <row r="40" spans="1:7" x14ac:dyDescent="0.25">
      <c r="A40" s="10">
        <v>1996</v>
      </c>
      <c r="B40" s="10">
        <v>3</v>
      </c>
      <c r="C40" s="10">
        <v>353.09743615917802</v>
      </c>
      <c r="E40" s="10">
        <v>1996</v>
      </c>
      <c r="F40" s="10">
        <v>3</v>
      </c>
      <c r="G40" s="10">
        <v>352.36607176404198</v>
      </c>
    </row>
    <row r="41" spans="1:7" x14ac:dyDescent="0.25">
      <c r="A41" s="10">
        <v>1996</v>
      </c>
      <c r="B41" s="10">
        <v>4</v>
      </c>
      <c r="C41" s="10">
        <v>330.92459566381399</v>
      </c>
      <c r="E41" s="10">
        <v>1996</v>
      </c>
      <c r="F41" s="10">
        <v>4</v>
      </c>
      <c r="G41" s="10">
        <v>330.84909990908</v>
      </c>
    </row>
    <row r="42" spans="1:7" x14ac:dyDescent="0.25">
      <c r="A42" s="10">
        <v>1996</v>
      </c>
      <c r="B42" s="10">
        <v>5</v>
      </c>
      <c r="C42" s="10">
        <v>335.54377849255502</v>
      </c>
      <c r="E42" s="10">
        <v>1996</v>
      </c>
      <c r="F42" s="10">
        <v>5</v>
      </c>
      <c r="G42" s="10">
        <v>335.63667235289603</v>
      </c>
    </row>
    <row r="43" spans="1:7" x14ac:dyDescent="0.25">
      <c r="A43" s="10">
        <v>1996</v>
      </c>
      <c r="B43" s="10">
        <v>6</v>
      </c>
      <c r="C43" s="10">
        <v>343.58701853462401</v>
      </c>
      <c r="E43" s="10">
        <v>1996</v>
      </c>
      <c r="F43" s="10">
        <v>6</v>
      </c>
      <c r="G43" s="10">
        <v>343.48566163146398</v>
      </c>
    </row>
    <row r="44" spans="1:7" x14ac:dyDescent="0.25">
      <c r="A44" s="10">
        <v>1996</v>
      </c>
      <c r="B44" s="10">
        <v>7</v>
      </c>
      <c r="C44" s="10">
        <v>334.79542682441502</v>
      </c>
      <c r="E44" s="10">
        <v>1996</v>
      </c>
      <c r="F44" s="10">
        <v>7</v>
      </c>
      <c r="G44" s="10">
        <v>335.26319033386898</v>
      </c>
    </row>
    <row r="45" spans="1:7" x14ac:dyDescent="0.25">
      <c r="A45" s="10">
        <v>1996</v>
      </c>
      <c r="B45" s="10">
        <v>8</v>
      </c>
      <c r="C45" s="10">
        <v>333.54637080834198</v>
      </c>
      <c r="E45" s="10">
        <v>1996</v>
      </c>
      <c r="F45" s="10">
        <v>8</v>
      </c>
      <c r="G45" s="10">
        <v>333.49899154429301</v>
      </c>
    </row>
    <row r="46" spans="1:7" x14ac:dyDescent="0.25">
      <c r="A46" s="10">
        <v>1996</v>
      </c>
      <c r="B46" s="10">
        <v>9</v>
      </c>
      <c r="C46" s="10">
        <v>333.63368085902601</v>
      </c>
      <c r="E46" s="10">
        <v>1996</v>
      </c>
      <c r="F46" s="10">
        <v>9</v>
      </c>
      <c r="G46" s="10">
        <v>333.58143341785501</v>
      </c>
    </row>
    <row r="47" spans="1:7" x14ac:dyDescent="0.25">
      <c r="A47" s="10">
        <v>1996</v>
      </c>
      <c r="B47" s="10">
        <v>10</v>
      </c>
      <c r="C47" s="10">
        <v>344.24783688770202</v>
      </c>
      <c r="E47" s="10">
        <v>1996</v>
      </c>
      <c r="F47" s="10">
        <v>10</v>
      </c>
      <c r="G47" s="10">
        <v>344.36300249727998</v>
      </c>
    </row>
    <row r="48" spans="1:7" x14ac:dyDescent="0.25">
      <c r="A48" s="10">
        <v>1996</v>
      </c>
      <c r="B48" s="10">
        <v>11</v>
      </c>
      <c r="C48" s="10">
        <v>348.48322075943997</v>
      </c>
      <c r="E48" s="10">
        <v>1996</v>
      </c>
      <c r="F48" s="10">
        <v>11</v>
      </c>
      <c r="G48" s="10">
        <v>348.64853677603099</v>
      </c>
    </row>
    <row r="49" spans="1:7" x14ac:dyDescent="0.25">
      <c r="A49" s="10">
        <v>1996</v>
      </c>
      <c r="B49" s="10">
        <v>12</v>
      </c>
      <c r="C49" s="10">
        <v>347.24210046628599</v>
      </c>
      <c r="E49" s="10">
        <v>1996</v>
      </c>
      <c r="F49" s="10">
        <v>12</v>
      </c>
      <c r="G49" s="10">
        <v>347.39800123892599</v>
      </c>
    </row>
    <row r="50" spans="1:7" x14ac:dyDescent="0.25">
      <c r="A50" s="10">
        <v>1997</v>
      </c>
      <c r="B50" s="10">
        <v>1</v>
      </c>
      <c r="C50" s="10">
        <v>314.74735122750599</v>
      </c>
      <c r="E50" s="10">
        <v>1997</v>
      </c>
      <c r="F50" s="10">
        <v>1</v>
      </c>
      <c r="G50" s="10">
        <v>314.90933364680097</v>
      </c>
    </row>
    <row r="51" spans="1:7" x14ac:dyDescent="0.25">
      <c r="A51" s="10">
        <v>1997</v>
      </c>
      <c r="B51" s="10">
        <v>2</v>
      </c>
      <c r="C51" s="10">
        <v>337.99648997050502</v>
      </c>
      <c r="E51" s="10">
        <v>1997</v>
      </c>
      <c r="F51" s="10">
        <v>2</v>
      </c>
      <c r="G51" s="10">
        <v>337.76506047814797</v>
      </c>
    </row>
    <row r="52" spans="1:7" x14ac:dyDescent="0.25">
      <c r="A52" s="10">
        <v>1997</v>
      </c>
      <c r="B52" s="10">
        <v>3</v>
      </c>
      <c r="C52" s="10">
        <v>349.50699925045097</v>
      </c>
      <c r="E52" s="10">
        <v>1997</v>
      </c>
      <c r="F52" s="10">
        <v>3</v>
      </c>
      <c r="G52" s="10">
        <v>348.79304826336897</v>
      </c>
    </row>
    <row r="53" spans="1:7" x14ac:dyDescent="0.25">
      <c r="A53" s="10">
        <v>1997</v>
      </c>
      <c r="B53" s="10">
        <v>4</v>
      </c>
      <c r="C53" s="10">
        <v>360.290100167589</v>
      </c>
      <c r="E53" s="10">
        <v>1997</v>
      </c>
      <c r="F53" s="10">
        <v>4</v>
      </c>
      <c r="G53" s="10">
        <v>360.296068258834</v>
      </c>
    </row>
    <row r="54" spans="1:7" x14ac:dyDescent="0.25">
      <c r="A54" s="10">
        <v>1997</v>
      </c>
      <c r="B54" s="10">
        <v>5</v>
      </c>
      <c r="C54" s="10">
        <v>343.36703159020601</v>
      </c>
      <c r="E54" s="10">
        <v>1997</v>
      </c>
      <c r="F54" s="10">
        <v>5</v>
      </c>
      <c r="G54" s="10">
        <v>343.38812657690301</v>
      </c>
    </row>
    <row r="55" spans="1:7" x14ac:dyDescent="0.25">
      <c r="A55" s="10">
        <v>1997</v>
      </c>
      <c r="B55" s="10">
        <v>6</v>
      </c>
      <c r="C55" s="10">
        <v>352.99938049066498</v>
      </c>
      <c r="E55" s="10">
        <v>1997</v>
      </c>
      <c r="F55" s="10">
        <v>6</v>
      </c>
      <c r="G55" s="10">
        <v>352.97582672981201</v>
      </c>
    </row>
    <row r="56" spans="1:7" x14ac:dyDescent="0.25">
      <c r="A56" s="10">
        <v>1997</v>
      </c>
      <c r="B56" s="10">
        <v>7</v>
      </c>
      <c r="C56" s="10">
        <v>361.58952491310203</v>
      </c>
      <c r="E56" s="10">
        <v>1997</v>
      </c>
      <c r="F56" s="10">
        <v>7</v>
      </c>
      <c r="G56" s="10">
        <v>362.147174977151</v>
      </c>
    </row>
    <row r="57" spans="1:7" x14ac:dyDescent="0.25">
      <c r="A57" s="10">
        <v>1997</v>
      </c>
      <c r="B57" s="10">
        <v>8</v>
      </c>
      <c r="C57" s="10">
        <v>338.14429442289202</v>
      </c>
      <c r="E57" s="10">
        <v>1997</v>
      </c>
      <c r="F57" s="10">
        <v>8</v>
      </c>
      <c r="G57" s="10">
        <v>337.99919650230697</v>
      </c>
    </row>
    <row r="58" spans="1:7" x14ac:dyDescent="0.25">
      <c r="A58" s="10">
        <v>1997</v>
      </c>
      <c r="B58" s="10">
        <v>9</v>
      </c>
      <c r="C58" s="10">
        <v>352.94688231010002</v>
      </c>
      <c r="E58" s="10">
        <v>1997</v>
      </c>
      <c r="F58" s="10">
        <v>9</v>
      </c>
      <c r="G58" s="10">
        <v>353.00464394207302</v>
      </c>
    </row>
    <row r="59" spans="1:7" x14ac:dyDescent="0.25">
      <c r="A59" s="10">
        <v>1997</v>
      </c>
      <c r="B59" s="10">
        <v>10</v>
      </c>
      <c r="C59" s="10">
        <v>356.40551440955397</v>
      </c>
      <c r="E59" s="10">
        <v>1997</v>
      </c>
      <c r="F59" s="10">
        <v>10</v>
      </c>
      <c r="G59" s="10">
        <v>356.50264202324502</v>
      </c>
    </row>
    <row r="60" spans="1:7" x14ac:dyDescent="0.25">
      <c r="A60" s="10">
        <v>1997</v>
      </c>
      <c r="B60" s="10">
        <v>11</v>
      </c>
      <c r="C60" s="10">
        <v>348.55617956098502</v>
      </c>
      <c r="E60" s="10">
        <v>1997</v>
      </c>
      <c r="F60" s="10">
        <v>11</v>
      </c>
      <c r="G60" s="10">
        <v>348.55737315983498</v>
      </c>
    </row>
    <row r="61" spans="1:7" x14ac:dyDescent="0.25">
      <c r="A61" s="10">
        <v>1997</v>
      </c>
      <c r="B61" s="10">
        <v>12</v>
      </c>
      <c r="C61" s="10">
        <v>358.20441850770698</v>
      </c>
      <c r="E61" s="10">
        <v>1997</v>
      </c>
      <c r="F61" s="10">
        <v>12</v>
      </c>
      <c r="G61" s="10">
        <v>358.32505470338401</v>
      </c>
    </row>
    <row r="62" spans="1:7" x14ac:dyDescent="0.25">
      <c r="A62" s="10">
        <v>1998</v>
      </c>
      <c r="B62" s="10">
        <v>1</v>
      </c>
      <c r="C62" s="10">
        <v>374.68781486912297</v>
      </c>
      <c r="E62" s="10">
        <v>1998</v>
      </c>
      <c r="F62" s="10">
        <v>1</v>
      </c>
      <c r="G62" s="10">
        <v>374.75664839459301</v>
      </c>
    </row>
    <row r="63" spans="1:7" x14ac:dyDescent="0.25">
      <c r="A63" s="10">
        <v>1998</v>
      </c>
      <c r="B63" s="10">
        <v>2</v>
      </c>
      <c r="C63" s="10">
        <v>387.65109051515799</v>
      </c>
      <c r="E63" s="10">
        <v>1998</v>
      </c>
      <c r="F63" s="10">
        <v>2</v>
      </c>
      <c r="G63" s="10">
        <v>387.37192474217198</v>
      </c>
    </row>
    <row r="64" spans="1:7" x14ac:dyDescent="0.25">
      <c r="A64" s="10">
        <v>1998</v>
      </c>
      <c r="B64" s="10">
        <v>3</v>
      </c>
      <c r="C64" s="10">
        <v>329.796300124879</v>
      </c>
      <c r="E64" s="10">
        <v>1998</v>
      </c>
      <c r="F64" s="10">
        <v>3</v>
      </c>
      <c r="G64" s="10">
        <v>329.34967473445602</v>
      </c>
    </row>
    <row r="65" spans="1:7" x14ac:dyDescent="0.25">
      <c r="A65" s="10">
        <v>1998</v>
      </c>
      <c r="B65" s="10">
        <v>4</v>
      </c>
      <c r="C65" s="10">
        <v>362.38178218517498</v>
      </c>
      <c r="E65" s="10">
        <v>1998</v>
      </c>
      <c r="F65" s="10">
        <v>4</v>
      </c>
      <c r="G65" s="10">
        <v>362.43394845723702</v>
      </c>
    </row>
    <row r="66" spans="1:7" x14ac:dyDescent="0.25">
      <c r="A66" s="10">
        <v>1998</v>
      </c>
      <c r="B66" s="10">
        <v>5</v>
      </c>
      <c r="C66" s="10">
        <v>376.660414775937</v>
      </c>
      <c r="E66" s="10">
        <v>1998</v>
      </c>
      <c r="F66" s="10">
        <v>5</v>
      </c>
      <c r="G66" s="10">
        <v>376.592221421803</v>
      </c>
    </row>
    <row r="67" spans="1:7" x14ac:dyDescent="0.25">
      <c r="A67" s="10">
        <v>1998</v>
      </c>
      <c r="B67" s="10">
        <v>6</v>
      </c>
      <c r="C67" s="10">
        <v>369.87236729666199</v>
      </c>
      <c r="E67" s="10">
        <v>1998</v>
      </c>
      <c r="F67" s="10">
        <v>6</v>
      </c>
      <c r="G67" s="10">
        <v>369.92531227613898</v>
      </c>
    </row>
    <row r="68" spans="1:7" x14ac:dyDescent="0.25">
      <c r="A68" s="10">
        <v>1998</v>
      </c>
      <c r="B68" s="10">
        <v>7</v>
      </c>
      <c r="C68" s="10">
        <v>338.49474838605698</v>
      </c>
      <c r="E68" s="10">
        <v>1998</v>
      </c>
      <c r="F68" s="10">
        <v>7</v>
      </c>
      <c r="G68" s="10">
        <v>339.05004672000399</v>
      </c>
    </row>
    <row r="69" spans="1:7" x14ac:dyDescent="0.25">
      <c r="A69" s="10">
        <v>1998</v>
      </c>
      <c r="B69" s="10">
        <v>8</v>
      </c>
      <c r="C69" s="10">
        <v>366.00803118509299</v>
      </c>
      <c r="E69" s="10">
        <v>1998</v>
      </c>
      <c r="F69" s="10">
        <v>8</v>
      </c>
      <c r="G69" s="10">
        <v>365.87141754212303</v>
      </c>
    </row>
    <row r="70" spans="1:7" x14ac:dyDescent="0.25">
      <c r="A70" s="10">
        <v>1998</v>
      </c>
      <c r="B70" s="10">
        <v>9</v>
      </c>
      <c r="C70" s="10">
        <v>341.78866248233197</v>
      </c>
      <c r="E70" s="10">
        <v>1998</v>
      </c>
      <c r="F70" s="10">
        <v>9</v>
      </c>
      <c r="G70" s="10">
        <v>341.84940350706302</v>
      </c>
    </row>
    <row r="71" spans="1:7" x14ac:dyDescent="0.25">
      <c r="A71" s="10">
        <v>1998</v>
      </c>
      <c r="B71" s="10">
        <v>10</v>
      </c>
      <c r="C71" s="10">
        <v>336.22105705459501</v>
      </c>
      <c r="E71" s="10">
        <v>1998</v>
      </c>
      <c r="F71" s="10">
        <v>10</v>
      </c>
      <c r="G71" s="10">
        <v>336.22238537380503</v>
      </c>
    </row>
    <row r="72" spans="1:7" x14ac:dyDescent="0.25">
      <c r="A72" s="10">
        <v>1998</v>
      </c>
      <c r="B72" s="10">
        <v>11</v>
      </c>
      <c r="C72" s="10">
        <v>329.19061424816101</v>
      </c>
      <c r="E72" s="10">
        <v>1998</v>
      </c>
      <c r="F72" s="10">
        <v>11</v>
      </c>
      <c r="G72" s="10">
        <v>329.192531566517</v>
      </c>
    </row>
    <row r="73" spans="1:7" x14ac:dyDescent="0.25">
      <c r="A73" s="10">
        <v>1998</v>
      </c>
      <c r="B73" s="10">
        <v>12</v>
      </c>
      <c r="C73" s="10">
        <v>310.730609981535</v>
      </c>
      <c r="E73" s="10">
        <v>1998</v>
      </c>
      <c r="F73" s="10">
        <v>12</v>
      </c>
      <c r="G73" s="10">
        <v>310.806514738874</v>
      </c>
    </row>
    <row r="74" spans="1:7" x14ac:dyDescent="0.25">
      <c r="A74" s="10">
        <v>1999</v>
      </c>
      <c r="B74" s="10">
        <v>1</v>
      </c>
      <c r="C74" s="10">
        <v>302.960288028386</v>
      </c>
      <c r="E74" s="10">
        <v>1999</v>
      </c>
      <c r="F74" s="10">
        <v>1</v>
      </c>
      <c r="G74" s="10">
        <v>302.924363995421</v>
      </c>
    </row>
    <row r="75" spans="1:7" x14ac:dyDescent="0.25">
      <c r="A75" s="10">
        <v>1999</v>
      </c>
      <c r="B75" s="10">
        <v>2</v>
      </c>
      <c r="C75" s="10">
        <v>293.71282417227201</v>
      </c>
      <c r="E75" s="10">
        <v>1999</v>
      </c>
      <c r="F75" s="10">
        <v>2</v>
      </c>
      <c r="G75" s="10">
        <v>293.39973122247198</v>
      </c>
    </row>
    <row r="76" spans="1:7" x14ac:dyDescent="0.25">
      <c r="A76" s="10">
        <v>1999</v>
      </c>
      <c r="B76" s="10">
        <v>3</v>
      </c>
      <c r="C76" s="10">
        <v>278.25028382321801</v>
      </c>
      <c r="E76" s="10">
        <v>1999</v>
      </c>
      <c r="F76" s="10">
        <v>3</v>
      </c>
      <c r="G76" s="10">
        <v>278.087046393354</v>
      </c>
    </row>
    <row r="77" spans="1:7" x14ac:dyDescent="0.25">
      <c r="A77" s="10">
        <v>1999</v>
      </c>
      <c r="B77" s="10">
        <v>4</v>
      </c>
      <c r="C77" s="10">
        <v>287.94554826116502</v>
      </c>
      <c r="E77" s="10">
        <v>1999</v>
      </c>
      <c r="F77" s="10">
        <v>4</v>
      </c>
      <c r="G77" s="10">
        <v>288.00837918789</v>
      </c>
    </row>
    <row r="78" spans="1:7" x14ac:dyDescent="0.25">
      <c r="A78" s="10">
        <v>1999</v>
      </c>
      <c r="B78" s="10">
        <v>5</v>
      </c>
      <c r="C78" s="10">
        <v>302.225129460451</v>
      </c>
      <c r="E78" s="10">
        <v>1999</v>
      </c>
      <c r="F78" s="10">
        <v>5</v>
      </c>
      <c r="G78" s="10">
        <v>302.15501476978102</v>
      </c>
    </row>
    <row r="79" spans="1:7" x14ac:dyDescent="0.25">
      <c r="A79" s="10">
        <v>1999</v>
      </c>
      <c r="B79" s="10">
        <v>6</v>
      </c>
      <c r="C79" s="10">
        <v>309.83479244716</v>
      </c>
      <c r="E79" s="10">
        <v>1999</v>
      </c>
      <c r="F79" s="10">
        <v>6</v>
      </c>
      <c r="G79" s="10">
        <v>309.88046396860898</v>
      </c>
    </row>
    <row r="80" spans="1:7" x14ac:dyDescent="0.25">
      <c r="A80" s="10">
        <v>1999</v>
      </c>
      <c r="B80" s="10">
        <v>7</v>
      </c>
      <c r="C80" s="10">
        <v>330.86719680364001</v>
      </c>
      <c r="E80" s="10">
        <v>1999</v>
      </c>
      <c r="F80" s="10">
        <v>7</v>
      </c>
      <c r="G80" s="10">
        <v>331.29002956178999</v>
      </c>
    </row>
    <row r="81" spans="1:7" x14ac:dyDescent="0.25">
      <c r="A81" s="10">
        <v>1999</v>
      </c>
      <c r="B81" s="10">
        <v>8</v>
      </c>
      <c r="C81" s="10">
        <v>327.58172102453</v>
      </c>
      <c r="E81" s="10">
        <v>1999</v>
      </c>
      <c r="F81" s="10">
        <v>8</v>
      </c>
      <c r="G81" s="10">
        <v>327.54759111264099</v>
      </c>
    </row>
    <row r="82" spans="1:7" x14ac:dyDescent="0.25">
      <c r="A82" s="10">
        <v>1999</v>
      </c>
      <c r="B82" s="10">
        <v>9</v>
      </c>
      <c r="C82" s="10">
        <v>335.12332641082799</v>
      </c>
      <c r="E82" s="10">
        <v>1999</v>
      </c>
      <c r="F82" s="10">
        <v>9</v>
      </c>
      <c r="G82" s="10">
        <v>335.18003761056502</v>
      </c>
    </row>
    <row r="83" spans="1:7" x14ac:dyDescent="0.25">
      <c r="A83" s="10">
        <v>1999</v>
      </c>
      <c r="B83" s="10">
        <v>10</v>
      </c>
      <c r="C83" s="10">
        <v>337.559913401286</v>
      </c>
      <c r="E83" s="10">
        <v>1999</v>
      </c>
      <c r="F83" s="10">
        <v>10</v>
      </c>
      <c r="G83" s="10">
        <v>337.45427771303702</v>
      </c>
    </row>
    <row r="84" spans="1:7" x14ac:dyDescent="0.25">
      <c r="A84" s="10">
        <v>1999</v>
      </c>
      <c r="B84" s="10">
        <v>11</v>
      </c>
      <c r="C84" s="10">
        <v>350.98096308365501</v>
      </c>
      <c r="E84" s="10">
        <v>1999</v>
      </c>
      <c r="F84" s="10">
        <v>11</v>
      </c>
      <c r="G84" s="10">
        <v>351.02540971468699</v>
      </c>
    </row>
    <row r="85" spans="1:7" x14ac:dyDescent="0.25">
      <c r="A85" s="10">
        <v>1999</v>
      </c>
      <c r="B85" s="10">
        <v>12</v>
      </c>
      <c r="C85" s="10">
        <v>357.82561044329401</v>
      </c>
      <c r="E85" s="10">
        <v>1999</v>
      </c>
      <c r="F85" s="10">
        <v>12</v>
      </c>
      <c r="G85" s="10">
        <v>357.85284052258299</v>
      </c>
    </row>
    <row r="86" spans="1:7" x14ac:dyDescent="0.25">
      <c r="A86" s="10">
        <v>2000</v>
      </c>
      <c r="B86" s="10">
        <v>1</v>
      </c>
      <c r="C86" s="10">
        <v>354.21524482043901</v>
      </c>
      <c r="E86" s="10">
        <v>2000</v>
      </c>
      <c r="F86" s="10">
        <v>1</v>
      </c>
      <c r="G86" s="10">
        <v>354.13091695278899</v>
      </c>
    </row>
    <row r="87" spans="1:7" x14ac:dyDescent="0.25">
      <c r="A87" s="10">
        <v>2000</v>
      </c>
      <c r="B87" s="10">
        <v>2</v>
      </c>
      <c r="C87" s="10">
        <v>341.34881012943799</v>
      </c>
      <c r="E87" s="10">
        <v>2000</v>
      </c>
      <c r="F87" s="10">
        <v>2</v>
      </c>
      <c r="G87" s="10">
        <v>341.10179583461701</v>
      </c>
    </row>
    <row r="88" spans="1:7" x14ac:dyDescent="0.25">
      <c r="A88" s="10">
        <v>2000</v>
      </c>
      <c r="B88" s="10">
        <v>3</v>
      </c>
      <c r="C88" s="10">
        <v>385.87111980214303</v>
      </c>
      <c r="E88" s="10">
        <v>2000</v>
      </c>
      <c r="F88" s="10">
        <v>3</v>
      </c>
      <c r="G88" s="10">
        <v>385.90668645234001</v>
      </c>
    </row>
    <row r="89" spans="1:7" x14ac:dyDescent="0.25">
      <c r="A89" s="10">
        <v>2000</v>
      </c>
      <c r="B89" s="10">
        <v>4</v>
      </c>
      <c r="C89" s="10">
        <v>367.67661055618402</v>
      </c>
      <c r="E89" s="10">
        <v>2000</v>
      </c>
      <c r="F89" s="10">
        <v>4</v>
      </c>
      <c r="G89" s="10">
        <v>367.55589283135299</v>
      </c>
    </row>
    <row r="90" spans="1:7" x14ac:dyDescent="0.25">
      <c r="A90" s="10">
        <v>2000</v>
      </c>
      <c r="B90" s="10">
        <v>5</v>
      </c>
      <c r="C90" s="10">
        <v>336.47684544311801</v>
      </c>
      <c r="E90" s="10">
        <v>2000</v>
      </c>
      <c r="F90" s="10">
        <v>5</v>
      </c>
      <c r="G90" s="10">
        <v>336.57076136170502</v>
      </c>
    </row>
    <row r="91" spans="1:7" x14ac:dyDescent="0.25">
      <c r="A91" s="10">
        <v>2000</v>
      </c>
      <c r="B91" s="10">
        <v>6</v>
      </c>
      <c r="C91" s="10">
        <v>338.96472829304503</v>
      </c>
      <c r="E91" s="10">
        <v>2000</v>
      </c>
      <c r="F91" s="10">
        <v>6</v>
      </c>
      <c r="G91" s="10">
        <v>339.02311978839901</v>
      </c>
    </row>
    <row r="92" spans="1:7" x14ac:dyDescent="0.25">
      <c r="A92" s="10">
        <v>2000</v>
      </c>
      <c r="B92" s="10">
        <v>7</v>
      </c>
      <c r="C92" s="10">
        <v>357.91121008196097</v>
      </c>
      <c r="E92" s="10">
        <v>2000</v>
      </c>
      <c r="F92" s="10">
        <v>7</v>
      </c>
      <c r="G92" s="10">
        <v>358.09805411174699</v>
      </c>
    </row>
    <row r="93" spans="1:7" x14ac:dyDescent="0.25">
      <c r="A93" s="10">
        <v>2000</v>
      </c>
      <c r="B93" s="10">
        <v>8</v>
      </c>
      <c r="C93" s="10">
        <v>375.517187583679</v>
      </c>
      <c r="E93" s="10">
        <v>2000</v>
      </c>
      <c r="F93" s="10">
        <v>8</v>
      </c>
      <c r="G93" s="10">
        <v>375.60240845648502</v>
      </c>
    </row>
    <row r="94" spans="1:7" x14ac:dyDescent="0.25">
      <c r="A94" s="10">
        <v>2000</v>
      </c>
      <c r="B94" s="10">
        <v>9</v>
      </c>
      <c r="C94" s="10">
        <v>394.89712638957002</v>
      </c>
      <c r="E94" s="10">
        <v>2000</v>
      </c>
      <c r="F94" s="10">
        <v>9</v>
      </c>
      <c r="G94" s="10">
        <v>394.87434864254999</v>
      </c>
    </row>
    <row r="95" spans="1:7" x14ac:dyDescent="0.25">
      <c r="A95" s="10">
        <v>2000</v>
      </c>
      <c r="B95" s="10">
        <v>10</v>
      </c>
      <c r="C95" s="10">
        <v>391.318294905112</v>
      </c>
      <c r="E95" s="10">
        <v>2000</v>
      </c>
      <c r="F95" s="10">
        <v>10</v>
      </c>
      <c r="G95" s="10">
        <v>391.29026150100799</v>
      </c>
    </row>
    <row r="96" spans="1:7" x14ac:dyDescent="0.25">
      <c r="A96" s="10">
        <v>2000</v>
      </c>
      <c r="B96" s="10">
        <v>11</v>
      </c>
      <c r="C96" s="10">
        <v>401.15633374089401</v>
      </c>
      <c r="E96" s="10">
        <v>2000</v>
      </c>
      <c r="F96" s="10">
        <v>11</v>
      </c>
      <c r="G96" s="10">
        <v>401.16685049027598</v>
      </c>
    </row>
    <row r="97" spans="1:7" x14ac:dyDescent="0.25">
      <c r="A97" s="10">
        <v>2000</v>
      </c>
      <c r="B97" s="10">
        <v>12</v>
      </c>
      <c r="C97" s="10">
        <v>412.44487821846701</v>
      </c>
      <c r="E97" s="10">
        <v>2000</v>
      </c>
      <c r="F97" s="10">
        <v>12</v>
      </c>
      <c r="G97" s="10">
        <v>412.29275415922501</v>
      </c>
    </row>
    <row r="98" spans="1:7" x14ac:dyDescent="0.25">
      <c r="A98" s="10">
        <v>2001</v>
      </c>
      <c r="B98" s="10">
        <v>1</v>
      </c>
      <c r="C98" s="10">
        <v>381.93275385912801</v>
      </c>
      <c r="E98" s="10">
        <v>2001</v>
      </c>
      <c r="F98" s="10">
        <v>1</v>
      </c>
      <c r="G98" s="10">
        <v>381.98885130628503</v>
      </c>
    </row>
    <row r="99" spans="1:7" x14ac:dyDescent="0.25">
      <c r="A99" s="10">
        <v>2001</v>
      </c>
      <c r="B99" s="10">
        <v>2</v>
      </c>
      <c r="C99" s="10">
        <v>362.97801905328998</v>
      </c>
      <c r="E99" s="10">
        <v>2001</v>
      </c>
      <c r="F99" s="10">
        <v>2</v>
      </c>
      <c r="G99" s="10">
        <v>362.80442521966199</v>
      </c>
    </row>
    <row r="100" spans="1:7" x14ac:dyDescent="0.25">
      <c r="A100" s="10">
        <v>2001</v>
      </c>
      <c r="B100" s="10">
        <v>3</v>
      </c>
      <c r="C100" s="10">
        <v>381.09282758876299</v>
      </c>
      <c r="E100" s="10">
        <v>2001</v>
      </c>
      <c r="F100" s="10">
        <v>3</v>
      </c>
      <c r="G100" s="10">
        <v>381.08908901467402</v>
      </c>
    </row>
    <row r="101" spans="1:7" x14ac:dyDescent="0.25">
      <c r="A101" s="10">
        <v>2001</v>
      </c>
      <c r="B101" s="10">
        <v>4</v>
      </c>
      <c r="C101" s="10">
        <v>374.73967785749801</v>
      </c>
      <c r="E101" s="10">
        <v>2001</v>
      </c>
      <c r="F101" s="10">
        <v>4</v>
      </c>
      <c r="G101" s="10">
        <v>374.72850763448099</v>
      </c>
    </row>
    <row r="102" spans="1:7" x14ac:dyDescent="0.25">
      <c r="A102" s="10">
        <v>2001</v>
      </c>
      <c r="B102" s="10">
        <v>5</v>
      </c>
      <c r="C102" s="10">
        <v>377.36981548370102</v>
      </c>
      <c r="E102" s="10">
        <v>2001</v>
      </c>
      <c r="F102" s="10">
        <v>5</v>
      </c>
      <c r="G102" s="10">
        <v>377.46543320920802</v>
      </c>
    </row>
    <row r="103" spans="1:7" x14ac:dyDescent="0.25">
      <c r="A103" s="10">
        <v>2001</v>
      </c>
      <c r="B103" s="10">
        <v>6</v>
      </c>
      <c r="C103" s="10">
        <v>376.81378071516502</v>
      </c>
      <c r="E103" s="10">
        <v>2001</v>
      </c>
      <c r="F103" s="10">
        <v>6</v>
      </c>
      <c r="G103" s="10">
        <v>376.80700085503702</v>
      </c>
    </row>
    <row r="104" spans="1:7" x14ac:dyDescent="0.25">
      <c r="A104" s="10">
        <v>2001</v>
      </c>
      <c r="B104" s="10">
        <v>7</v>
      </c>
      <c r="C104" s="10">
        <v>348.98017602823103</v>
      </c>
      <c r="E104" s="10">
        <v>2001</v>
      </c>
      <c r="F104" s="10">
        <v>7</v>
      </c>
      <c r="G104" s="10">
        <v>349.10360068708201</v>
      </c>
    </row>
    <row r="105" spans="1:7" x14ac:dyDescent="0.25">
      <c r="A105" s="10">
        <v>2001</v>
      </c>
      <c r="B105" s="10">
        <v>8</v>
      </c>
      <c r="C105" s="10">
        <v>255.32762749623899</v>
      </c>
      <c r="E105" s="10">
        <v>2001</v>
      </c>
      <c r="F105" s="10">
        <v>8</v>
      </c>
      <c r="G105" s="10">
        <v>255.43917301821</v>
      </c>
    </row>
    <row r="106" spans="1:7" x14ac:dyDescent="0.25">
      <c r="A106" s="10">
        <v>2001</v>
      </c>
      <c r="B106" s="10">
        <v>9</v>
      </c>
      <c r="C106" s="10">
        <v>339.43867496292398</v>
      </c>
      <c r="E106" s="10">
        <v>2001</v>
      </c>
      <c r="F106" s="10">
        <v>9</v>
      </c>
      <c r="G106" s="10">
        <v>339.332545910551</v>
      </c>
    </row>
    <row r="107" spans="1:7" x14ac:dyDescent="0.25">
      <c r="A107" s="10">
        <v>2001</v>
      </c>
      <c r="B107" s="10">
        <v>10</v>
      </c>
      <c r="C107" s="10">
        <v>313.88086631291901</v>
      </c>
      <c r="E107" s="10">
        <v>2001</v>
      </c>
      <c r="F107" s="10">
        <v>10</v>
      </c>
      <c r="G107" s="10">
        <v>313.93525157081598</v>
      </c>
    </row>
    <row r="108" spans="1:7" x14ac:dyDescent="0.25">
      <c r="A108" s="10">
        <v>2001</v>
      </c>
      <c r="B108" s="10">
        <v>11</v>
      </c>
      <c r="C108" s="10">
        <v>308.70548918021001</v>
      </c>
      <c r="E108" s="10">
        <v>2001</v>
      </c>
      <c r="F108" s="10">
        <v>11</v>
      </c>
      <c r="G108" s="10">
        <v>308.69608292766901</v>
      </c>
    </row>
    <row r="109" spans="1:7" x14ac:dyDescent="0.25">
      <c r="A109" s="10">
        <v>2001</v>
      </c>
      <c r="B109" s="10">
        <v>12</v>
      </c>
      <c r="C109" s="10">
        <v>299.62488502357297</v>
      </c>
      <c r="E109" s="10">
        <v>2001</v>
      </c>
      <c r="F109" s="10">
        <v>12</v>
      </c>
      <c r="G109" s="10">
        <v>299.474280988364</v>
      </c>
    </row>
    <row r="110" spans="1:7" x14ac:dyDescent="0.25">
      <c r="A110" s="10">
        <v>2002</v>
      </c>
      <c r="B110" s="10">
        <v>1</v>
      </c>
      <c r="C110" s="10">
        <v>309.33362212267002</v>
      </c>
      <c r="E110" s="10">
        <v>2002</v>
      </c>
      <c r="F110" s="10">
        <v>1</v>
      </c>
      <c r="G110" s="10">
        <v>309.36389511858698</v>
      </c>
    </row>
    <row r="111" spans="1:7" x14ac:dyDescent="0.25">
      <c r="A111" s="10">
        <v>2002</v>
      </c>
      <c r="B111" s="10">
        <v>2</v>
      </c>
      <c r="C111" s="10">
        <v>347.500841798892</v>
      </c>
      <c r="E111" s="10">
        <v>2002</v>
      </c>
      <c r="F111" s="10">
        <v>2</v>
      </c>
      <c r="G111" s="10">
        <v>347.42929193988601</v>
      </c>
    </row>
    <row r="112" spans="1:7" x14ac:dyDescent="0.25">
      <c r="A112" s="10">
        <v>2002</v>
      </c>
      <c r="B112" s="10">
        <v>3</v>
      </c>
      <c r="C112" s="10">
        <v>331.21867313829802</v>
      </c>
      <c r="E112" s="10">
        <v>2002</v>
      </c>
      <c r="F112" s="10">
        <v>3</v>
      </c>
      <c r="G112" s="10">
        <v>331.15308964311703</v>
      </c>
    </row>
    <row r="113" spans="1:7" x14ac:dyDescent="0.25">
      <c r="A113" s="10">
        <v>2002</v>
      </c>
      <c r="B113" s="10">
        <v>4</v>
      </c>
      <c r="C113" s="10">
        <v>380.11309134046201</v>
      </c>
      <c r="E113" s="10">
        <v>2002</v>
      </c>
      <c r="F113" s="10">
        <v>4</v>
      </c>
      <c r="G113" s="10">
        <v>380.189952789068</v>
      </c>
    </row>
    <row r="114" spans="1:7" x14ac:dyDescent="0.25">
      <c r="A114" s="10">
        <v>2002</v>
      </c>
      <c r="B114" s="10">
        <v>5</v>
      </c>
      <c r="C114" s="10">
        <v>368.24196055080301</v>
      </c>
      <c r="E114" s="10">
        <v>2002</v>
      </c>
      <c r="F114" s="10">
        <v>5</v>
      </c>
      <c r="G114" s="10">
        <v>368.33759317960101</v>
      </c>
    </row>
    <row r="115" spans="1:7" x14ac:dyDescent="0.25">
      <c r="A115" s="10">
        <v>2002</v>
      </c>
      <c r="B115" s="10">
        <v>6</v>
      </c>
      <c r="C115" s="10">
        <v>358.64800440419702</v>
      </c>
      <c r="E115" s="10">
        <v>2002</v>
      </c>
      <c r="F115" s="10">
        <v>6</v>
      </c>
      <c r="G115" s="10">
        <v>358.56821832612098</v>
      </c>
    </row>
    <row r="116" spans="1:7" x14ac:dyDescent="0.25">
      <c r="A116" s="10">
        <v>2002</v>
      </c>
      <c r="B116" s="10">
        <v>7</v>
      </c>
      <c r="C116" s="10">
        <v>368.940999520498</v>
      </c>
      <c r="E116" s="10">
        <v>2002</v>
      </c>
      <c r="F116" s="10">
        <v>7</v>
      </c>
      <c r="G116" s="10">
        <v>369.04345697378199</v>
      </c>
    </row>
    <row r="117" spans="1:7" x14ac:dyDescent="0.25">
      <c r="A117" s="10">
        <v>2002</v>
      </c>
      <c r="B117" s="10">
        <v>8</v>
      </c>
      <c r="C117" s="10">
        <v>375.17521511243598</v>
      </c>
      <c r="E117" s="10">
        <v>2002</v>
      </c>
      <c r="F117" s="10">
        <v>8</v>
      </c>
      <c r="G117" s="10">
        <v>375.20845913059202</v>
      </c>
    </row>
    <row r="118" spans="1:7" x14ac:dyDescent="0.25">
      <c r="A118" s="10">
        <v>2002</v>
      </c>
      <c r="B118" s="10">
        <v>9</v>
      </c>
      <c r="C118" s="10">
        <v>383.90325202337499</v>
      </c>
      <c r="E118" s="10">
        <v>2002</v>
      </c>
      <c r="F118" s="10">
        <v>9</v>
      </c>
      <c r="G118" s="10">
        <v>383.89550544183402</v>
      </c>
    </row>
    <row r="119" spans="1:7" x14ac:dyDescent="0.25">
      <c r="A119" s="10">
        <v>2002</v>
      </c>
      <c r="B119" s="10">
        <v>10</v>
      </c>
      <c r="C119" s="10">
        <v>388.10386082305803</v>
      </c>
      <c r="E119" s="10">
        <v>2002</v>
      </c>
      <c r="F119" s="10">
        <v>10</v>
      </c>
      <c r="G119" s="10">
        <v>388.12033961346901</v>
      </c>
    </row>
    <row r="120" spans="1:7" x14ac:dyDescent="0.25">
      <c r="A120" s="10">
        <v>2002</v>
      </c>
      <c r="B120" s="10">
        <v>11</v>
      </c>
      <c r="C120" s="10">
        <v>370.16388125524298</v>
      </c>
      <c r="E120" s="10">
        <v>2002</v>
      </c>
      <c r="F120" s="10">
        <v>11</v>
      </c>
      <c r="G120" s="10">
        <v>370.08006862262602</v>
      </c>
    </row>
    <row r="121" spans="1:7" x14ac:dyDescent="0.25">
      <c r="A121" s="10">
        <v>2002</v>
      </c>
      <c r="B121" s="10">
        <v>12</v>
      </c>
      <c r="C121" s="10">
        <v>392.04418251280703</v>
      </c>
      <c r="E121" s="10">
        <v>2002</v>
      </c>
      <c r="F121" s="10">
        <v>12</v>
      </c>
      <c r="G121" s="10">
        <v>392.005022609766</v>
      </c>
    </row>
    <row r="122" spans="1:7" x14ac:dyDescent="0.25">
      <c r="A122" s="10">
        <v>2003</v>
      </c>
      <c r="B122" s="10">
        <v>1</v>
      </c>
      <c r="C122" s="10">
        <v>416.09795349819399</v>
      </c>
      <c r="E122" s="10">
        <v>2003</v>
      </c>
      <c r="F122" s="10">
        <v>1</v>
      </c>
      <c r="G122" s="10">
        <v>416.131711477838</v>
      </c>
    </row>
    <row r="123" spans="1:7" x14ac:dyDescent="0.25">
      <c r="A123" s="10">
        <v>2003</v>
      </c>
      <c r="B123" s="10">
        <v>2</v>
      </c>
      <c r="C123" s="10">
        <v>421.46380406019398</v>
      </c>
      <c r="E123" s="10">
        <v>2003</v>
      </c>
      <c r="F123" s="10">
        <v>2</v>
      </c>
      <c r="G123" s="10">
        <v>421.44221837877501</v>
      </c>
    </row>
    <row r="124" spans="1:7" x14ac:dyDescent="0.25">
      <c r="A124" s="10">
        <v>2003</v>
      </c>
      <c r="B124" s="10">
        <v>3</v>
      </c>
      <c r="C124" s="10">
        <v>434.74418202774501</v>
      </c>
      <c r="E124" s="10">
        <v>2003</v>
      </c>
      <c r="F124" s="10">
        <v>3</v>
      </c>
      <c r="G124" s="10">
        <v>434.66947228164702</v>
      </c>
    </row>
    <row r="125" spans="1:7" x14ac:dyDescent="0.25">
      <c r="A125" s="10">
        <v>2003</v>
      </c>
      <c r="B125" s="10">
        <v>4</v>
      </c>
      <c r="C125" s="10">
        <v>419.06955262063298</v>
      </c>
      <c r="E125" s="10">
        <v>2003</v>
      </c>
      <c r="F125" s="10">
        <v>4</v>
      </c>
      <c r="G125" s="10">
        <v>419.15330969534699</v>
      </c>
    </row>
    <row r="126" spans="1:7" x14ac:dyDescent="0.25">
      <c r="A126" s="10">
        <v>2003</v>
      </c>
      <c r="B126" s="10">
        <v>5</v>
      </c>
      <c r="C126" s="10">
        <v>418.707356451468</v>
      </c>
      <c r="E126" s="10">
        <v>2003</v>
      </c>
      <c r="F126" s="10">
        <v>5</v>
      </c>
      <c r="G126" s="10">
        <v>418.70964088008799</v>
      </c>
    </row>
    <row r="127" spans="1:7" x14ac:dyDescent="0.25">
      <c r="A127" s="10">
        <v>2003</v>
      </c>
      <c r="B127" s="10">
        <v>6</v>
      </c>
      <c r="C127" s="10">
        <v>420.91906891620903</v>
      </c>
      <c r="E127" s="10">
        <v>2003</v>
      </c>
      <c r="F127" s="10">
        <v>6</v>
      </c>
      <c r="G127" s="10">
        <v>420.91620691842201</v>
      </c>
    </row>
    <row r="128" spans="1:7" x14ac:dyDescent="0.25">
      <c r="A128" s="10">
        <v>2003</v>
      </c>
      <c r="B128" s="10">
        <v>7</v>
      </c>
      <c r="C128" s="10">
        <v>414.37029785949801</v>
      </c>
      <c r="E128" s="10">
        <v>2003</v>
      </c>
      <c r="F128" s="10">
        <v>7</v>
      </c>
      <c r="G128" s="10">
        <v>414.46948905174702</v>
      </c>
    </row>
    <row r="129" spans="1:7" x14ac:dyDescent="0.25">
      <c r="A129" s="10">
        <v>2003</v>
      </c>
      <c r="B129" s="10">
        <v>8</v>
      </c>
      <c r="C129" s="10">
        <v>422.51458749814799</v>
      </c>
      <c r="E129" s="10">
        <v>2003</v>
      </c>
      <c r="F129" s="10">
        <v>8</v>
      </c>
      <c r="G129" s="10">
        <v>422.442547312275</v>
      </c>
    </row>
    <row r="130" spans="1:7" x14ac:dyDescent="0.25">
      <c r="A130" s="10">
        <v>2003</v>
      </c>
      <c r="B130" s="10">
        <v>9</v>
      </c>
      <c r="C130" s="10">
        <v>411.72912450158202</v>
      </c>
      <c r="E130" s="10">
        <v>2003</v>
      </c>
      <c r="F130" s="10">
        <v>9</v>
      </c>
      <c r="G130" s="10">
        <v>411.80040492400701</v>
      </c>
    </row>
    <row r="131" spans="1:7" x14ac:dyDescent="0.25">
      <c r="A131" s="10">
        <v>2003</v>
      </c>
      <c r="B131" s="10">
        <v>10</v>
      </c>
      <c r="C131" s="10">
        <v>422.40511587139201</v>
      </c>
      <c r="E131" s="10">
        <v>2003</v>
      </c>
      <c r="F131" s="10">
        <v>10</v>
      </c>
      <c r="G131" s="10">
        <v>422.38477729406702</v>
      </c>
    </row>
    <row r="132" spans="1:7" x14ac:dyDescent="0.25">
      <c r="A132" s="10">
        <v>2003</v>
      </c>
      <c r="B132" s="10">
        <v>11</v>
      </c>
      <c r="C132" s="10">
        <v>416.32682292253901</v>
      </c>
      <c r="E132" s="10">
        <v>2003</v>
      </c>
      <c r="F132" s="10">
        <v>11</v>
      </c>
      <c r="G132" s="10">
        <v>416.16495997912398</v>
      </c>
    </row>
    <row r="133" spans="1:7" x14ac:dyDescent="0.25">
      <c r="A133" s="10">
        <v>2003</v>
      </c>
      <c r="B133" s="10">
        <v>12</v>
      </c>
      <c r="C133" s="10">
        <v>425.73765625957202</v>
      </c>
      <c r="E133" s="10">
        <v>2003</v>
      </c>
      <c r="F133" s="10">
        <v>12</v>
      </c>
      <c r="G133" s="10">
        <v>425.80353614035999</v>
      </c>
    </row>
    <row r="134" spans="1:7" x14ac:dyDescent="0.25">
      <c r="A134" s="10">
        <v>2004</v>
      </c>
      <c r="B134" s="10">
        <v>1</v>
      </c>
      <c r="C134" s="10">
        <v>439.03458268563298</v>
      </c>
      <c r="E134" s="10">
        <v>2004</v>
      </c>
      <c r="F134" s="10">
        <v>1</v>
      </c>
      <c r="G134" s="10">
        <v>439.00677926721897</v>
      </c>
    </row>
    <row r="135" spans="1:7" x14ac:dyDescent="0.25">
      <c r="A135" s="10">
        <v>2004</v>
      </c>
      <c r="B135" s="10">
        <v>2</v>
      </c>
      <c r="C135" s="10">
        <v>410.37707888590501</v>
      </c>
      <c r="E135" s="10">
        <v>2004</v>
      </c>
      <c r="F135" s="10">
        <v>2</v>
      </c>
      <c r="G135" s="10">
        <v>410.32211260405597</v>
      </c>
    </row>
    <row r="136" spans="1:7" x14ac:dyDescent="0.25">
      <c r="A136" s="10">
        <v>2004</v>
      </c>
      <c r="B136" s="10">
        <v>3</v>
      </c>
      <c r="C136" s="10">
        <v>403.81317640951198</v>
      </c>
      <c r="E136" s="10">
        <v>2004</v>
      </c>
      <c r="F136" s="10">
        <v>3</v>
      </c>
      <c r="G136" s="10">
        <v>403.896128248232</v>
      </c>
    </row>
    <row r="137" spans="1:7" x14ac:dyDescent="0.25">
      <c r="A137" s="10">
        <v>2004</v>
      </c>
      <c r="B137" s="10">
        <v>4</v>
      </c>
      <c r="C137" s="10">
        <v>401.08058787998198</v>
      </c>
      <c r="E137" s="10">
        <v>2004</v>
      </c>
      <c r="F137" s="10">
        <v>4</v>
      </c>
      <c r="G137" s="10">
        <v>401.16586211640902</v>
      </c>
    </row>
    <row r="138" spans="1:7" x14ac:dyDescent="0.25">
      <c r="A138" s="10">
        <v>2004</v>
      </c>
      <c r="B138" s="10">
        <v>5</v>
      </c>
      <c r="C138" s="10">
        <v>403.85692000920102</v>
      </c>
      <c r="E138" s="10">
        <v>2004</v>
      </c>
      <c r="F138" s="10">
        <v>5</v>
      </c>
      <c r="G138" s="10">
        <v>403.76718074466402</v>
      </c>
    </row>
    <row r="139" spans="1:7" x14ac:dyDescent="0.25">
      <c r="A139" s="10">
        <v>2004</v>
      </c>
      <c r="B139" s="10">
        <v>6</v>
      </c>
      <c r="C139" s="10">
        <v>410.12918175955502</v>
      </c>
      <c r="E139" s="10">
        <v>2004</v>
      </c>
      <c r="F139" s="10">
        <v>6</v>
      </c>
      <c r="G139" s="10">
        <v>410.20243545014</v>
      </c>
    </row>
    <row r="140" spans="1:7" x14ac:dyDescent="0.25">
      <c r="A140" s="10">
        <v>2004</v>
      </c>
      <c r="B140" s="10">
        <v>7</v>
      </c>
      <c r="C140" s="10">
        <v>423.51760442877401</v>
      </c>
      <c r="E140" s="10">
        <v>2004</v>
      </c>
      <c r="F140" s="10">
        <v>7</v>
      </c>
      <c r="G140" s="10">
        <v>423.53575206474898</v>
      </c>
    </row>
    <row r="141" spans="1:7" x14ac:dyDescent="0.25">
      <c r="A141" s="10">
        <v>2004</v>
      </c>
      <c r="B141" s="10">
        <v>8</v>
      </c>
      <c r="C141" s="10">
        <v>414.60459014094602</v>
      </c>
      <c r="E141" s="10">
        <v>2004</v>
      </c>
      <c r="F141" s="10">
        <v>8</v>
      </c>
      <c r="G141" s="10">
        <v>414.60825544261098</v>
      </c>
    </row>
    <row r="142" spans="1:7" x14ac:dyDescent="0.25">
      <c r="A142" s="10">
        <v>2004</v>
      </c>
      <c r="B142" s="10">
        <v>9</v>
      </c>
      <c r="C142" s="10">
        <v>421.01713142585697</v>
      </c>
      <c r="E142" s="10">
        <v>2004</v>
      </c>
      <c r="F142" s="10">
        <v>9</v>
      </c>
      <c r="G142" s="10">
        <v>421.08868170516303</v>
      </c>
    </row>
    <row r="143" spans="1:7" x14ac:dyDescent="0.25">
      <c r="A143" s="10">
        <v>2004</v>
      </c>
      <c r="B143" s="10">
        <v>10</v>
      </c>
      <c r="C143" s="10">
        <v>448.30756187356701</v>
      </c>
      <c r="E143" s="10">
        <v>2004</v>
      </c>
      <c r="F143" s="10">
        <v>10</v>
      </c>
      <c r="G143" s="10">
        <v>448.07399842736402</v>
      </c>
    </row>
    <row r="144" spans="1:7" x14ac:dyDescent="0.25">
      <c r="A144" s="10">
        <v>2004</v>
      </c>
      <c r="B144" s="10">
        <v>11</v>
      </c>
      <c r="C144" s="10">
        <v>465.427491583495</v>
      </c>
      <c r="E144" s="10">
        <v>2004</v>
      </c>
      <c r="F144" s="10">
        <v>11</v>
      </c>
      <c r="G144" s="10">
        <v>465.47006027506598</v>
      </c>
    </row>
    <row r="145" spans="1:7" x14ac:dyDescent="0.25">
      <c r="A145" s="10">
        <v>2004</v>
      </c>
      <c r="B145" s="10">
        <v>12</v>
      </c>
      <c r="C145" s="10">
        <v>466.09025381450101</v>
      </c>
      <c r="E145" s="10">
        <v>2004</v>
      </c>
      <c r="F145" s="10">
        <v>12</v>
      </c>
      <c r="G145" s="10">
        <v>466.14421049547002</v>
      </c>
    </row>
    <row r="146" spans="1:7" x14ac:dyDescent="0.25">
      <c r="A146" s="10">
        <v>2005</v>
      </c>
      <c r="B146" s="10">
        <v>1</v>
      </c>
      <c r="C146" s="10">
        <v>467.370131662652</v>
      </c>
      <c r="E146" s="10">
        <v>2005</v>
      </c>
      <c r="F146" s="10">
        <v>1</v>
      </c>
      <c r="G146" s="10">
        <v>467.282103071194</v>
      </c>
    </row>
    <row r="147" spans="1:7" x14ac:dyDescent="0.25">
      <c r="A147" s="10">
        <v>2005</v>
      </c>
      <c r="B147" s="10">
        <v>2</v>
      </c>
      <c r="C147" s="10">
        <v>452.73524471128502</v>
      </c>
      <c r="E147" s="10">
        <v>2005</v>
      </c>
      <c r="F147" s="10">
        <v>2</v>
      </c>
      <c r="G147" s="10">
        <v>452.76270249009298</v>
      </c>
    </row>
    <row r="148" spans="1:7" x14ac:dyDescent="0.25">
      <c r="A148" s="10">
        <v>2005</v>
      </c>
      <c r="B148" s="10">
        <v>3</v>
      </c>
      <c r="C148" s="10">
        <v>447.565623477553</v>
      </c>
      <c r="E148" s="10">
        <v>2005</v>
      </c>
      <c r="F148" s="10">
        <v>3</v>
      </c>
      <c r="G148" s="10">
        <v>447.63861862396499</v>
      </c>
    </row>
    <row r="149" spans="1:7" x14ac:dyDescent="0.25">
      <c r="A149" s="10">
        <v>2005</v>
      </c>
      <c r="B149" s="10">
        <v>4</v>
      </c>
      <c r="C149" s="10">
        <v>454.89919724997497</v>
      </c>
      <c r="E149" s="10">
        <v>2005</v>
      </c>
      <c r="F149" s="10">
        <v>4</v>
      </c>
      <c r="G149" s="10">
        <v>454.89779992274498</v>
      </c>
    </row>
    <row r="150" spans="1:7" x14ac:dyDescent="0.25">
      <c r="A150" s="10">
        <v>2005</v>
      </c>
      <c r="B150" s="10">
        <v>5</v>
      </c>
      <c r="C150" s="10">
        <v>465.32815625613301</v>
      </c>
      <c r="E150" s="10">
        <v>2005</v>
      </c>
      <c r="F150" s="10">
        <v>5</v>
      </c>
      <c r="G150" s="10">
        <v>465.32572962439201</v>
      </c>
    </row>
    <row r="151" spans="1:7" x14ac:dyDescent="0.25">
      <c r="A151" s="10">
        <v>2005</v>
      </c>
      <c r="B151" s="10">
        <v>6</v>
      </c>
      <c r="C151" s="10">
        <v>441.39396973359902</v>
      </c>
      <c r="E151" s="10">
        <v>2005</v>
      </c>
      <c r="F151" s="10">
        <v>6</v>
      </c>
      <c r="G151" s="10">
        <v>441.45281344839498</v>
      </c>
    </row>
    <row r="152" spans="1:7" x14ac:dyDescent="0.25">
      <c r="A152" s="10">
        <v>2005</v>
      </c>
      <c r="B152" s="10">
        <v>7</v>
      </c>
      <c r="C152" s="10">
        <v>440.63172315766298</v>
      </c>
      <c r="E152" s="10">
        <v>2005</v>
      </c>
      <c r="F152" s="10">
        <v>7</v>
      </c>
      <c r="G152" s="10">
        <v>440.56827137810399</v>
      </c>
    </row>
    <row r="153" spans="1:7" x14ac:dyDescent="0.25">
      <c r="A153" s="10">
        <v>2005</v>
      </c>
      <c r="B153" s="10">
        <v>8</v>
      </c>
      <c r="C153" s="10">
        <v>445.75100228091401</v>
      </c>
      <c r="E153" s="10">
        <v>2005</v>
      </c>
      <c r="F153" s="10">
        <v>8</v>
      </c>
      <c r="G153" s="10">
        <v>445.82834623497303</v>
      </c>
    </row>
    <row r="154" spans="1:7" x14ac:dyDescent="0.25">
      <c r="A154" s="10">
        <v>2005</v>
      </c>
      <c r="B154" s="10">
        <v>9</v>
      </c>
      <c r="C154" s="10">
        <v>410.58213426509099</v>
      </c>
      <c r="E154" s="10">
        <v>2005</v>
      </c>
      <c r="F154" s="10">
        <v>9</v>
      </c>
      <c r="G154" s="10">
        <v>410.65295710529898</v>
      </c>
    </row>
    <row r="155" spans="1:7" x14ac:dyDescent="0.25">
      <c r="A155" s="10">
        <v>2005</v>
      </c>
      <c r="B155" s="10">
        <v>10</v>
      </c>
      <c r="C155" s="10">
        <v>417.04321912139602</v>
      </c>
      <c r="E155" s="10">
        <v>2005</v>
      </c>
      <c r="F155" s="10">
        <v>10</v>
      </c>
      <c r="G155" s="10">
        <v>416.81197270919802</v>
      </c>
    </row>
    <row r="156" spans="1:7" x14ac:dyDescent="0.25">
      <c r="A156" s="10">
        <v>2005</v>
      </c>
      <c r="B156" s="10">
        <v>11</v>
      </c>
      <c r="C156" s="10">
        <v>465.190745563463</v>
      </c>
      <c r="E156" s="10">
        <v>2005</v>
      </c>
      <c r="F156" s="10">
        <v>11</v>
      </c>
      <c r="G156" s="10">
        <v>465.24208075728598</v>
      </c>
    </row>
    <row r="157" spans="1:7" x14ac:dyDescent="0.25">
      <c r="A157" s="10">
        <v>2005</v>
      </c>
      <c r="B157" s="10">
        <v>12</v>
      </c>
      <c r="C157" s="10">
        <v>481.59649443897899</v>
      </c>
      <c r="E157" s="10">
        <v>2005</v>
      </c>
      <c r="F157" s="10">
        <v>12</v>
      </c>
      <c r="G157" s="10">
        <v>481.53947185743198</v>
      </c>
    </row>
    <row r="158" spans="1:7" x14ac:dyDescent="0.25">
      <c r="A158" s="10">
        <v>2006</v>
      </c>
      <c r="B158" s="10">
        <v>1</v>
      </c>
      <c r="C158" s="10">
        <v>475.74787067787798</v>
      </c>
      <c r="E158" s="10">
        <v>2006</v>
      </c>
      <c r="F158" s="10">
        <v>1</v>
      </c>
      <c r="G158" s="10">
        <v>475.78355655714302</v>
      </c>
    </row>
    <row r="159" spans="1:7" x14ac:dyDescent="0.25">
      <c r="A159" s="10">
        <v>2006</v>
      </c>
      <c r="B159" s="10">
        <v>2</v>
      </c>
      <c r="C159" s="10">
        <v>477.24554161068102</v>
      </c>
      <c r="E159" s="10">
        <v>2006</v>
      </c>
      <c r="F159" s="10">
        <v>2</v>
      </c>
      <c r="G159" s="10">
        <v>477.26827233125101</v>
      </c>
    </row>
    <row r="160" spans="1:7" x14ac:dyDescent="0.25">
      <c r="A160" s="10">
        <v>2006</v>
      </c>
      <c r="B160" s="10">
        <v>3</v>
      </c>
      <c r="C160" s="10">
        <v>485.37591578061898</v>
      </c>
      <c r="E160" s="10">
        <v>2006</v>
      </c>
      <c r="F160" s="10">
        <v>3</v>
      </c>
      <c r="G160" s="10">
        <v>485.45242361298699</v>
      </c>
    </row>
    <row r="161" spans="1:7" x14ac:dyDescent="0.25">
      <c r="A161" s="10">
        <v>2006</v>
      </c>
      <c r="B161" s="10">
        <v>4</v>
      </c>
      <c r="C161" s="10">
        <v>471.96362138383199</v>
      </c>
      <c r="E161" s="10">
        <v>2006</v>
      </c>
      <c r="F161" s="10">
        <v>4</v>
      </c>
      <c r="G161" s="10">
        <v>471.873155521483</v>
      </c>
    </row>
    <row r="162" spans="1:7" x14ac:dyDescent="0.25">
      <c r="A162" s="10">
        <v>2006</v>
      </c>
      <c r="B162" s="10">
        <v>5</v>
      </c>
      <c r="C162" s="10">
        <v>482.254505647092</v>
      </c>
      <c r="E162" s="10">
        <v>2006</v>
      </c>
      <c r="F162" s="10">
        <v>5</v>
      </c>
      <c r="G162" s="10">
        <v>482.32974687624699</v>
      </c>
    </row>
    <row r="163" spans="1:7" x14ac:dyDescent="0.25">
      <c r="A163" s="10">
        <v>2006</v>
      </c>
      <c r="B163" s="10">
        <v>6</v>
      </c>
      <c r="C163" s="10">
        <v>490.62173018496401</v>
      </c>
      <c r="E163" s="10">
        <v>2006</v>
      </c>
      <c r="F163" s="10">
        <v>6</v>
      </c>
      <c r="G163" s="10">
        <v>490.67444676087501</v>
      </c>
    </row>
    <row r="164" spans="1:7" x14ac:dyDescent="0.25">
      <c r="A164" s="10">
        <v>2006</v>
      </c>
      <c r="B164" s="10">
        <v>7</v>
      </c>
      <c r="C164" s="10">
        <v>464.39141611192503</v>
      </c>
      <c r="E164" s="10">
        <v>2006</v>
      </c>
      <c r="F164" s="10">
        <v>7</v>
      </c>
      <c r="G164" s="10">
        <v>464.32623410678701</v>
      </c>
    </row>
    <row r="165" spans="1:7" x14ac:dyDescent="0.25">
      <c r="A165" s="10">
        <v>2006</v>
      </c>
      <c r="B165" s="10">
        <v>8</v>
      </c>
      <c r="C165" s="10">
        <v>445.95694891502598</v>
      </c>
      <c r="E165" s="10">
        <v>2006</v>
      </c>
      <c r="F165" s="10">
        <v>8</v>
      </c>
      <c r="G165" s="10">
        <v>446.034727385331</v>
      </c>
    </row>
    <row r="166" spans="1:7" x14ac:dyDescent="0.25">
      <c r="A166" s="10">
        <v>2006</v>
      </c>
      <c r="B166" s="10">
        <v>9</v>
      </c>
      <c r="C166" s="10">
        <v>478.16320251822498</v>
      </c>
      <c r="E166" s="10">
        <v>2006</v>
      </c>
      <c r="F166" s="10">
        <v>9</v>
      </c>
      <c r="G166" s="10">
        <v>478.15145978893401</v>
      </c>
    </row>
    <row r="167" spans="1:7" x14ac:dyDescent="0.25">
      <c r="A167" s="10">
        <v>2006</v>
      </c>
      <c r="B167" s="10">
        <v>10</v>
      </c>
      <c r="C167" s="10">
        <v>452.45215807377002</v>
      </c>
      <c r="E167" s="10">
        <v>2006</v>
      </c>
      <c r="F167" s="10">
        <v>10</v>
      </c>
      <c r="G167" s="10">
        <v>452.30734371071799</v>
      </c>
    </row>
    <row r="168" spans="1:7" x14ac:dyDescent="0.25">
      <c r="A168" s="10">
        <v>2006</v>
      </c>
      <c r="B168" s="10">
        <v>11</v>
      </c>
      <c r="C168" s="10">
        <v>405.90905529873999</v>
      </c>
      <c r="E168" s="10">
        <v>2006</v>
      </c>
      <c r="F168" s="10">
        <v>11</v>
      </c>
      <c r="G168" s="10">
        <v>405.971373967364</v>
      </c>
    </row>
    <row r="169" spans="1:7" x14ac:dyDescent="0.25">
      <c r="A169" s="10">
        <v>2006</v>
      </c>
      <c r="B169" s="10">
        <v>12</v>
      </c>
      <c r="C169" s="10">
        <v>405.18065180816001</v>
      </c>
      <c r="E169" s="10">
        <v>2006</v>
      </c>
      <c r="F169" s="10">
        <v>12</v>
      </c>
      <c r="G169" s="10">
        <v>405.01462194474902</v>
      </c>
    </row>
    <row r="170" spans="1:7" x14ac:dyDescent="0.25">
      <c r="A170" s="10">
        <v>2007</v>
      </c>
      <c r="B170" s="10">
        <v>1</v>
      </c>
      <c r="C170" s="10">
        <v>406.01474323609602</v>
      </c>
      <c r="E170" s="10">
        <v>2007</v>
      </c>
      <c r="F170" s="10">
        <v>1</v>
      </c>
      <c r="G170" s="10">
        <v>406.15739254277901</v>
      </c>
    </row>
    <row r="171" spans="1:7" x14ac:dyDescent="0.25">
      <c r="A171" s="10">
        <v>2007</v>
      </c>
      <c r="B171" s="10">
        <v>2</v>
      </c>
      <c r="C171" s="10">
        <v>447.006859831675</v>
      </c>
      <c r="E171" s="10">
        <v>2007</v>
      </c>
      <c r="F171" s="10">
        <v>2</v>
      </c>
      <c r="G171" s="10">
        <v>447.02923574616</v>
      </c>
    </row>
    <row r="172" spans="1:7" x14ac:dyDescent="0.25">
      <c r="A172" s="10">
        <v>2007</v>
      </c>
      <c r="B172" s="10">
        <v>3</v>
      </c>
      <c r="C172" s="10">
        <v>456.62984288980499</v>
      </c>
      <c r="E172" s="10">
        <v>2007</v>
      </c>
      <c r="F172" s="10">
        <v>3</v>
      </c>
      <c r="G172" s="10">
        <v>456.62486382864199</v>
      </c>
    </row>
    <row r="173" spans="1:7" x14ac:dyDescent="0.25">
      <c r="A173" s="10">
        <v>2007</v>
      </c>
      <c r="B173" s="10">
        <v>4</v>
      </c>
      <c r="C173" s="10">
        <v>466.91220519809201</v>
      </c>
      <c r="E173" s="10">
        <v>2007</v>
      </c>
      <c r="F173" s="10">
        <v>4</v>
      </c>
      <c r="G173" s="10">
        <v>466.90635336912698</v>
      </c>
    </row>
    <row r="174" spans="1:7" x14ac:dyDescent="0.25">
      <c r="A174" s="10">
        <v>2007</v>
      </c>
      <c r="B174" s="10">
        <v>5</v>
      </c>
      <c r="C174" s="10">
        <v>440.16574383335399</v>
      </c>
      <c r="E174" s="10">
        <v>2007</v>
      </c>
      <c r="F174" s="10">
        <v>5</v>
      </c>
      <c r="G174" s="10">
        <v>440.23238202277503</v>
      </c>
    </row>
    <row r="175" spans="1:7" x14ac:dyDescent="0.25">
      <c r="A175" s="10">
        <v>2007</v>
      </c>
      <c r="B175" s="10">
        <v>6</v>
      </c>
      <c r="C175" s="10">
        <v>446.39420073711</v>
      </c>
      <c r="E175" s="10">
        <v>2007</v>
      </c>
      <c r="F175" s="10">
        <v>6</v>
      </c>
      <c r="G175" s="10">
        <v>446.35511574746602</v>
      </c>
    </row>
    <row r="176" spans="1:7" x14ac:dyDescent="0.25">
      <c r="A176" s="10">
        <v>2007</v>
      </c>
      <c r="B176" s="10">
        <v>7</v>
      </c>
      <c r="C176" s="10">
        <v>337.12459621207699</v>
      </c>
      <c r="E176" s="10">
        <v>2007</v>
      </c>
      <c r="F176" s="10">
        <v>7</v>
      </c>
      <c r="G176" s="10">
        <v>337.13392689586902</v>
      </c>
    </row>
    <row r="177" spans="1:7" x14ac:dyDescent="0.25">
      <c r="A177" s="10">
        <v>2007</v>
      </c>
      <c r="B177" s="10">
        <v>8</v>
      </c>
      <c r="C177" s="10">
        <v>462.20687544974498</v>
      </c>
      <c r="E177" s="10">
        <v>2007</v>
      </c>
      <c r="F177" s="10">
        <v>8</v>
      </c>
      <c r="G177" s="10">
        <v>462.292015721143</v>
      </c>
    </row>
    <row r="178" spans="1:7" x14ac:dyDescent="0.25">
      <c r="A178" s="10">
        <v>2007</v>
      </c>
      <c r="B178" s="10">
        <v>9</v>
      </c>
      <c r="C178" s="10">
        <v>466.03065616969002</v>
      </c>
      <c r="E178" s="10">
        <v>2007</v>
      </c>
      <c r="F178" s="10">
        <v>9</v>
      </c>
      <c r="G178" s="10">
        <v>465.92064918360398</v>
      </c>
    </row>
    <row r="179" spans="1:7" x14ac:dyDescent="0.25">
      <c r="A179" s="10">
        <v>2007</v>
      </c>
      <c r="B179" s="10">
        <v>10</v>
      </c>
      <c r="C179" s="10">
        <v>463.88488934051497</v>
      </c>
      <c r="E179" s="10">
        <v>2007</v>
      </c>
      <c r="F179" s="10">
        <v>10</v>
      </c>
      <c r="G179" s="10">
        <v>463.86537149711597</v>
      </c>
    </row>
    <row r="180" spans="1:7" x14ac:dyDescent="0.25">
      <c r="A180" s="10">
        <v>2007</v>
      </c>
      <c r="B180" s="10">
        <v>11</v>
      </c>
      <c r="C180" s="10">
        <v>485.54752751514798</v>
      </c>
      <c r="E180" s="10">
        <v>2007</v>
      </c>
      <c r="F180" s="10">
        <v>11</v>
      </c>
      <c r="G180" s="10">
        <v>485.59899097855401</v>
      </c>
    </row>
    <row r="181" spans="1:7" x14ac:dyDescent="0.25">
      <c r="A181" s="10">
        <v>2007</v>
      </c>
      <c r="B181" s="10">
        <v>12</v>
      </c>
      <c r="C181" s="10">
        <v>512.62884403261796</v>
      </c>
      <c r="E181" s="10">
        <v>2007</v>
      </c>
      <c r="F181" s="10">
        <v>12</v>
      </c>
      <c r="G181" s="10">
        <v>512.45574773001601</v>
      </c>
    </row>
    <row r="182" spans="1:7" x14ac:dyDescent="0.25">
      <c r="A182" s="10">
        <v>2008</v>
      </c>
      <c r="B182" s="10">
        <v>1</v>
      </c>
      <c r="C182" s="10">
        <v>492.84484924936402</v>
      </c>
      <c r="E182" s="10">
        <v>2008</v>
      </c>
      <c r="F182" s="10">
        <v>1</v>
      </c>
      <c r="G182" s="10">
        <v>493.000882471708</v>
      </c>
    </row>
    <row r="183" spans="1:7" x14ac:dyDescent="0.25">
      <c r="A183" s="10">
        <v>2008</v>
      </c>
      <c r="B183" s="10">
        <v>2</v>
      </c>
      <c r="C183" s="10">
        <v>440.69148030652201</v>
      </c>
      <c r="E183" s="10">
        <v>2008</v>
      </c>
      <c r="F183" s="10">
        <v>2</v>
      </c>
      <c r="G183" s="10">
        <v>440.73258282187402</v>
      </c>
    </row>
    <row r="184" spans="1:7" x14ac:dyDescent="0.25">
      <c r="A184" s="10">
        <v>2008</v>
      </c>
      <c r="B184" s="10">
        <v>3</v>
      </c>
      <c r="C184" s="10">
        <v>488.90573242627499</v>
      </c>
      <c r="E184" s="10">
        <v>2008</v>
      </c>
      <c r="F184" s="10">
        <v>3</v>
      </c>
      <c r="G184" s="10">
        <v>488.81554488178301</v>
      </c>
    </row>
    <row r="185" spans="1:7" x14ac:dyDescent="0.25">
      <c r="A185" s="10">
        <v>2008</v>
      </c>
      <c r="B185" s="10">
        <v>4</v>
      </c>
      <c r="C185" s="10">
        <v>496.05492427458699</v>
      </c>
      <c r="E185" s="10">
        <v>2008</v>
      </c>
      <c r="F185" s="10">
        <v>4</v>
      </c>
      <c r="G185" s="10">
        <v>496.12665100769499</v>
      </c>
    </row>
    <row r="186" spans="1:7" x14ac:dyDescent="0.25">
      <c r="A186" s="10">
        <v>2008</v>
      </c>
      <c r="B186" s="10">
        <v>5</v>
      </c>
      <c r="C186" s="10">
        <v>497.51552776146502</v>
      </c>
      <c r="E186" s="10">
        <v>2008</v>
      </c>
      <c r="F186" s="10">
        <v>5</v>
      </c>
      <c r="G186" s="10">
        <v>497.48946495933598</v>
      </c>
    </row>
    <row r="187" spans="1:7" x14ac:dyDescent="0.25">
      <c r="A187" s="10">
        <v>2008</v>
      </c>
      <c r="B187" s="10">
        <v>6</v>
      </c>
      <c r="C187" s="10">
        <v>495.14674747737303</v>
      </c>
      <c r="E187" s="10">
        <v>2008</v>
      </c>
      <c r="F187" s="10">
        <v>6</v>
      </c>
      <c r="G187" s="10">
        <v>495.10504580568198</v>
      </c>
    </row>
    <row r="188" spans="1:7" x14ac:dyDescent="0.25">
      <c r="A188" s="10">
        <v>2008</v>
      </c>
      <c r="B188" s="10">
        <v>7</v>
      </c>
      <c r="C188" s="10">
        <v>508.77589167237198</v>
      </c>
      <c r="E188" s="10">
        <v>2008</v>
      </c>
      <c r="F188" s="10">
        <v>7</v>
      </c>
      <c r="G188" s="10">
        <v>508.859365832018</v>
      </c>
    </row>
    <row r="189" spans="1:7" x14ac:dyDescent="0.25">
      <c r="A189" s="10">
        <v>2008</v>
      </c>
      <c r="B189" s="10">
        <v>8</v>
      </c>
      <c r="C189" s="10">
        <v>496.42281992214998</v>
      </c>
      <c r="E189" s="10">
        <v>2008</v>
      </c>
      <c r="F189" s="10">
        <v>8</v>
      </c>
      <c r="G189" s="10">
        <v>496.335485811247</v>
      </c>
    </row>
    <row r="190" spans="1:7" x14ac:dyDescent="0.25">
      <c r="A190" s="10">
        <v>2008</v>
      </c>
      <c r="B190" s="10">
        <v>9</v>
      </c>
      <c r="C190" s="10">
        <v>474.56672775123701</v>
      </c>
      <c r="E190" s="10">
        <v>2008</v>
      </c>
      <c r="F190" s="10">
        <v>9</v>
      </c>
      <c r="G190" s="10">
        <v>474.62358514870903</v>
      </c>
    </row>
    <row r="191" spans="1:7" x14ac:dyDescent="0.25">
      <c r="A191" s="10">
        <v>2008</v>
      </c>
      <c r="B191" s="10">
        <v>10</v>
      </c>
      <c r="C191" s="10">
        <v>445.82836481520201</v>
      </c>
      <c r="E191" s="10">
        <v>2008</v>
      </c>
      <c r="F191" s="10">
        <v>10</v>
      </c>
      <c r="G191" s="10">
        <v>445.85762563120898</v>
      </c>
    </row>
    <row r="192" spans="1:7" x14ac:dyDescent="0.25">
      <c r="A192" s="10">
        <v>2008</v>
      </c>
      <c r="B192" s="10">
        <v>11</v>
      </c>
      <c r="C192" s="10">
        <v>382.93453371936499</v>
      </c>
      <c r="E192" s="10">
        <v>2008</v>
      </c>
      <c r="F192" s="10">
        <v>11</v>
      </c>
      <c r="G192" s="10">
        <v>382.80404759259898</v>
      </c>
    </row>
    <row r="193" spans="1:7" x14ac:dyDescent="0.25">
      <c r="A193" s="10">
        <v>2008</v>
      </c>
      <c r="B193" s="10">
        <v>12</v>
      </c>
      <c r="C193" s="10">
        <v>290.81807661376803</v>
      </c>
      <c r="E193" s="10">
        <v>2008</v>
      </c>
      <c r="F193" s="10">
        <v>12</v>
      </c>
      <c r="G193" s="10">
        <v>290.813312114881</v>
      </c>
    </row>
    <row r="194" spans="1:7" x14ac:dyDescent="0.25">
      <c r="A194" s="10">
        <v>2009</v>
      </c>
      <c r="B194" s="10">
        <v>1</v>
      </c>
      <c r="C194" s="10">
        <v>362.59332798763103</v>
      </c>
      <c r="E194" s="10">
        <v>2009</v>
      </c>
      <c r="F194" s="10">
        <v>1</v>
      </c>
      <c r="G194" s="10">
        <v>362.65639099521599</v>
      </c>
    </row>
    <row r="195" spans="1:7" x14ac:dyDescent="0.25">
      <c r="A195" s="10">
        <v>2009</v>
      </c>
      <c r="B195" s="10">
        <v>2</v>
      </c>
      <c r="C195" s="10">
        <v>293.02332953136101</v>
      </c>
      <c r="E195" s="10">
        <v>2009</v>
      </c>
      <c r="F195" s="10">
        <v>2</v>
      </c>
      <c r="G195" s="10">
        <v>293.042811495325</v>
      </c>
    </row>
    <row r="196" spans="1:7" x14ac:dyDescent="0.25">
      <c r="A196" s="10">
        <v>2009</v>
      </c>
      <c r="B196" s="10">
        <v>3</v>
      </c>
      <c r="C196" s="10">
        <v>239.87125128792499</v>
      </c>
      <c r="E196" s="10">
        <v>2009</v>
      </c>
      <c r="F196" s="10">
        <v>3</v>
      </c>
      <c r="G196" s="10">
        <v>239.871641548187</v>
      </c>
    </row>
    <row r="197" spans="1:7" x14ac:dyDescent="0.25">
      <c r="A197" s="10">
        <v>2009</v>
      </c>
      <c r="B197" s="10">
        <v>4</v>
      </c>
      <c r="C197" s="10">
        <v>274.444868323489</v>
      </c>
      <c r="E197" s="10">
        <v>2009</v>
      </c>
      <c r="F197" s="10">
        <v>4</v>
      </c>
      <c r="G197" s="10">
        <v>274.502661383038</v>
      </c>
    </row>
    <row r="198" spans="1:7" x14ac:dyDescent="0.25">
      <c r="A198" s="10">
        <v>2009</v>
      </c>
      <c r="B198" s="10">
        <v>5</v>
      </c>
      <c r="C198" s="10">
        <v>267.04404578653401</v>
      </c>
      <c r="E198" s="10">
        <v>2009</v>
      </c>
      <c r="F198" s="10">
        <v>5</v>
      </c>
      <c r="G198" s="10">
        <v>266.93590612282799</v>
      </c>
    </row>
    <row r="199" spans="1:7" x14ac:dyDescent="0.25">
      <c r="A199" s="10">
        <v>2009</v>
      </c>
      <c r="B199" s="10">
        <v>6</v>
      </c>
      <c r="C199" s="10">
        <v>314.47038493513099</v>
      </c>
      <c r="E199" s="10">
        <v>2009</v>
      </c>
      <c r="F199" s="10">
        <v>6</v>
      </c>
      <c r="G199" s="10">
        <v>314.51259644881702</v>
      </c>
    </row>
    <row r="200" spans="1:7" x14ac:dyDescent="0.25">
      <c r="A200" s="10">
        <v>2009</v>
      </c>
      <c r="B200" s="10">
        <v>7</v>
      </c>
      <c r="C200" s="10">
        <v>336.26475699520898</v>
      </c>
      <c r="E200" s="10">
        <v>2009</v>
      </c>
      <c r="F200" s="10">
        <v>7</v>
      </c>
      <c r="G200" s="10">
        <v>336.337749715222</v>
      </c>
    </row>
    <row r="201" spans="1:7" x14ac:dyDescent="0.25">
      <c r="A201" s="10">
        <v>2009</v>
      </c>
      <c r="B201" s="10">
        <v>8</v>
      </c>
      <c r="C201" s="10">
        <v>341.04384200086503</v>
      </c>
      <c r="E201" s="10">
        <v>2009</v>
      </c>
      <c r="F201" s="10">
        <v>8</v>
      </c>
      <c r="G201" s="10">
        <v>340.95612087903299</v>
      </c>
    </row>
    <row r="202" spans="1:7" x14ac:dyDescent="0.25">
      <c r="A202" s="10">
        <v>2009</v>
      </c>
      <c r="B202" s="10">
        <v>9</v>
      </c>
      <c r="C202" s="10">
        <v>373.47040581582098</v>
      </c>
      <c r="E202" s="10">
        <v>2009</v>
      </c>
      <c r="F202" s="10">
        <v>9</v>
      </c>
      <c r="G202" s="10">
        <v>373.51288686880099</v>
      </c>
    </row>
    <row r="203" spans="1:7" x14ac:dyDescent="0.25">
      <c r="A203" s="10">
        <v>2009</v>
      </c>
      <c r="B203" s="10">
        <v>10</v>
      </c>
      <c r="C203" s="10">
        <v>393.66975726247802</v>
      </c>
      <c r="E203" s="10">
        <v>2009</v>
      </c>
      <c r="F203" s="10">
        <v>10</v>
      </c>
      <c r="G203" s="10">
        <v>393.66069347397303</v>
      </c>
    </row>
    <row r="204" spans="1:7" x14ac:dyDescent="0.25">
      <c r="A204" s="10">
        <v>2009</v>
      </c>
      <c r="B204" s="10">
        <v>11</v>
      </c>
      <c r="C204" s="10">
        <v>403.65700001988603</v>
      </c>
      <c r="E204" s="10">
        <v>2009</v>
      </c>
      <c r="F204" s="10">
        <v>11</v>
      </c>
      <c r="G204" s="10">
        <v>403.60285864254001</v>
      </c>
    </row>
    <row r="205" spans="1:7" x14ac:dyDescent="0.25">
      <c r="A205" s="10">
        <v>2009</v>
      </c>
      <c r="B205" s="10">
        <v>12</v>
      </c>
      <c r="C205" s="10">
        <v>417.04140277464398</v>
      </c>
      <c r="E205" s="10">
        <v>2009</v>
      </c>
      <c r="F205" s="10">
        <v>12</v>
      </c>
      <c r="G205" s="10">
        <v>417.04404734619902</v>
      </c>
    </row>
    <row r="206" spans="1:7" x14ac:dyDescent="0.25">
      <c r="A206" s="10">
        <v>2010</v>
      </c>
      <c r="B206" s="10">
        <v>1</v>
      </c>
      <c r="C206" s="10">
        <v>416.536749721067</v>
      </c>
      <c r="E206" s="10">
        <v>2010</v>
      </c>
      <c r="F206" s="10">
        <v>1</v>
      </c>
      <c r="G206" s="10">
        <v>416.50193796762699</v>
      </c>
    </row>
    <row r="207" spans="1:7" x14ac:dyDescent="0.25">
      <c r="A207" s="10">
        <v>2010</v>
      </c>
      <c r="B207" s="10">
        <v>2</v>
      </c>
      <c r="C207" s="10">
        <v>423.36504019414099</v>
      </c>
      <c r="E207" s="10">
        <v>2010</v>
      </c>
      <c r="F207" s="10">
        <v>2</v>
      </c>
      <c r="G207" s="10">
        <v>423.38559664334599</v>
      </c>
    </row>
    <row r="208" spans="1:7" x14ac:dyDescent="0.25">
      <c r="A208" s="10">
        <v>2010</v>
      </c>
      <c r="B208" s="10">
        <v>3</v>
      </c>
      <c r="C208" s="10">
        <v>425.28873537528602</v>
      </c>
      <c r="E208" s="10">
        <v>2010</v>
      </c>
      <c r="F208" s="10">
        <v>3</v>
      </c>
      <c r="G208" s="10">
        <v>425.37308242578501</v>
      </c>
    </row>
    <row r="209" spans="1:7" x14ac:dyDescent="0.25">
      <c r="A209" s="10">
        <v>2010</v>
      </c>
      <c r="B209" s="10">
        <v>4</v>
      </c>
      <c r="C209" s="10">
        <v>422.858481327069</v>
      </c>
      <c r="E209" s="10">
        <v>2010</v>
      </c>
      <c r="F209" s="10">
        <v>4</v>
      </c>
      <c r="G209" s="10">
        <v>422.91552571118001</v>
      </c>
    </row>
    <row r="210" spans="1:7" x14ac:dyDescent="0.25">
      <c r="A210" s="10">
        <v>2010</v>
      </c>
      <c r="B210" s="10">
        <v>5</v>
      </c>
      <c r="C210" s="10">
        <v>434.08857693509202</v>
      </c>
      <c r="E210" s="10">
        <v>2010</v>
      </c>
      <c r="F210" s="10">
        <v>5</v>
      </c>
      <c r="G210" s="10">
        <v>433.98735379299097</v>
      </c>
    </row>
    <row r="211" spans="1:7" x14ac:dyDescent="0.25">
      <c r="A211" s="10">
        <v>2010</v>
      </c>
      <c r="B211" s="10">
        <v>6</v>
      </c>
      <c r="C211" s="10">
        <v>424.93161201915098</v>
      </c>
      <c r="E211" s="10">
        <v>2010</v>
      </c>
      <c r="F211" s="10">
        <v>6</v>
      </c>
      <c r="G211" s="10">
        <v>424.94354595401302</v>
      </c>
    </row>
    <row r="212" spans="1:7" x14ac:dyDescent="0.25">
      <c r="A212" s="10">
        <v>2010</v>
      </c>
      <c r="B212" s="10">
        <v>7</v>
      </c>
      <c r="C212" s="10">
        <v>419.76980044576197</v>
      </c>
      <c r="E212" s="10">
        <v>2010</v>
      </c>
      <c r="F212" s="10">
        <v>7</v>
      </c>
      <c r="G212" s="10">
        <v>419.76087672274502</v>
      </c>
    </row>
    <row r="213" spans="1:7" x14ac:dyDescent="0.25">
      <c r="A213" s="10">
        <v>2010</v>
      </c>
      <c r="B213" s="10">
        <v>8</v>
      </c>
      <c r="C213" s="10">
        <v>443.148595233599</v>
      </c>
      <c r="E213" s="10">
        <v>2010</v>
      </c>
      <c r="F213" s="10">
        <v>8</v>
      </c>
      <c r="G213" s="10">
        <v>443.15039022147101</v>
      </c>
    </row>
    <row r="214" spans="1:7" x14ac:dyDescent="0.25">
      <c r="A214" s="10">
        <v>2010</v>
      </c>
      <c r="B214" s="10">
        <v>9</v>
      </c>
      <c r="C214" s="10">
        <v>432.27388774851198</v>
      </c>
      <c r="E214" s="10">
        <v>2010</v>
      </c>
      <c r="F214" s="10">
        <v>9</v>
      </c>
      <c r="G214" s="10">
        <v>432.32124653442497</v>
      </c>
    </row>
    <row r="215" spans="1:7" x14ac:dyDescent="0.25">
      <c r="A215" s="10">
        <v>2010</v>
      </c>
      <c r="B215" s="10">
        <v>10</v>
      </c>
      <c r="C215" s="10">
        <v>430.50336230578603</v>
      </c>
      <c r="E215" s="10">
        <v>2010</v>
      </c>
      <c r="F215" s="10">
        <v>10</v>
      </c>
      <c r="G215" s="10">
        <v>430.41739571558099</v>
      </c>
    </row>
    <row r="216" spans="1:7" x14ac:dyDescent="0.25">
      <c r="A216" s="10">
        <v>2010</v>
      </c>
      <c r="B216" s="10">
        <v>11</v>
      </c>
      <c r="C216" s="10">
        <v>435.03370660610699</v>
      </c>
      <c r="E216" s="10">
        <v>2010</v>
      </c>
      <c r="F216" s="10">
        <v>11</v>
      </c>
      <c r="G216" s="10">
        <v>435.06840183596898</v>
      </c>
    </row>
    <row r="217" spans="1:7" x14ac:dyDescent="0.25">
      <c r="A217" s="10">
        <v>2010</v>
      </c>
      <c r="B217" s="10">
        <v>12</v>
      </c>
      <c r="C217" s="10">
        <v>434.44591801433199</v>
      </c>
      <c r="E217" s="10">
        <v>2010</v>
      </c>
      <c r="F217" s="10">
        <v>12</v>
      </c>
      <c r="G217" s="10">
        <v>434.46855875601102</v>
      </c>
    </row>
    <row r="218" spans="1:7" x14ac:dyDescent="0.25">
      <c r="A218" s="10">
        <v>2011</v>
      </c>
      <c r="B218" s="10">
        <v>1</v>
      </c>
      <c r="C218" s="10">
        <v>437.818405178852</v>
      </c>
      <c r="E218" s="10">
        <v>2011</v>
      </c>
      <c r="F218" s="10">
        <v>1</v>
      </c>
      <c r="G218" s="10">
        <v>437.76317006745501</v>
      </c>
    </row>
    <row r="219" spans="1:7" x14ac:dyDescent="0.25">
      <c r="A219" s="10">
        <v>2011</v>
      </c>
      <c r="B219" s="10">
        <v>2</v>
      </c>
      <c r="C219" s="10">
        <v>492.09646305683702</v>
      </c>
      <c r="E219" s="10">
        <v>2011</v>
      </c>
      <c r="F219" s="10">
        <v>2</v>
      </c>
      <c r="G219" s="10">
        <v>492.116061375519</v>
      </c>
    </row>
    <row r="220" spans="1:7" x14ac:dyDescent="0.25">
      <c r="A220" s="10">
        <v>2011</v>
      </c>
      <c r="B220" s="10">
        <v>3</v>
      </c>
      <c r="C220" s="10">
        <v>454.80917561426401</v>
      </c>
      <c r="E220" s="10">
        <v>2011</v>
      </c>
      <c r="F220" s="10">
        <v>3</v>
      </c>
      <c r="G220" s="10">
        <v>454.89313910367002</v>
      </c>
    </row>
    <row r="221" spans="1:7" x14ac:dyDescent="0.25">
      <c r="A221" s="10">
        <v>2011</v>
      </c>
      <c r="B221" s="10">
        <v>4</v>
      </c>
      <c r="C221" s="10">
        <v>467.42954569654597</v>
      </c>
      <c r="E221" s="10">
        <v>2011</v>
      </c>
      <c r="F221" s="10">
        <v>4</v>
      </c>
      <c r="G221" s="10">
        <v>467.39991137978598</v>
      </c>
    </row>
    <row r="222" spans="1:7" x14ac:dyDescent="0.25">
      <c r="A222" s="10">
        <v>2011</v>
      </c>
      <c r="B222" s="10">
        <v>5</v>
      </c>
      <c r="C222" s="10">
        <v>488.29317244026601</v>
      </c>
      <c r="E222" s="10">
        <v>2011</v>
      </c>
      <c r="F222" s="10">
        <v>5</v>
      </c>
      <c r="G222" s="10">
        <v>488.287812659037</v>
      </c>
    </row>
    <row r="223" spans="1:7" x14ac:dyDescent="0.25">
      <c r="A223" s="10">
        <v>2011</v>
      </c>
      <c r="B223" s="10">
        <v>6</v>
      </c>
      <c r="C223" s="10">
        <v>474.01375524662501</v>
      </c>
      <c r="E223" s="10">
        <v>2011</v>
      </c>
      <c r="F223" s="10">
        <v>6</v>
      </c>
      <c r="G223" s="10">
        <v>473.99973494078802</v>
      </c>
    </row>
    <row r="224" spans="1:7" x14ac:dyDescent="0.25">
      <c r="A224" s="10">
        <v>2011</v>
      </c>
      <c r="B224" s="10">
        <v>7</v>
      </c>
      <c r="C224" s="10">
        <v>476.07189142343299</v>
      </c>
      <c r="E224" s="10">
        <v>2011</v>
      </c>
      <c r="F224" s="10">
        <v>7</v>
      </c>
      <c r="G224" s="10">
        <v>475.979870498438</v>
      </c>
    </row>
    <row r="225" spans="1:7" x14ac:dyDescent="0.25">
      <c r="A225" s="10">
        <v>2011</v>
      </c>
      <c r="B225" s="10">
        <v>8</v>
      </c>
      <c r="C225" s="10">
        <v>460.79985971741502</v>
      </c>
      <c r="E225" s="10">
        <v>2011</v>
      </c>
      <c r="F225" s="10">
        <v>8</v>
      </c>
      <c r="G225" s="10">
        <v>460.88992481833498</v>
      </c>
    </row>
    <row r="226" spans="1:7" x14ac:dyDescent="0.25">
      <c r="A226" s="10">
        <v>2011</v>
      </c>
      <c r="B226" s="10">
        <v>9</v>
      </c>
      <c r="C226" s="10">
        <v>453.75007483128701</v>
      </c>
      <c r="E226" s="10">
        <v>2011</v>
      </c>
      <c r="F226" s="10">
        <v>9</v>
      </c>
      <c r="G226" s="10">
        <v>453.80646748028198</v>
      </c>
    </row>
    <row r="227" spans="1:7" x14ac:dyDescent="0.25">
      <c r="A227" s="10">
        <v>2011</v>
      </c>
      <c r="B227" s="10">
        <v>10</v>
      </c>
      <c r="C227" s="10">
        <v>467.84269713390398</v>
      </c>
      <c r="E227" s="10">
        <v>2011</v>
      </c>
      <c r="F227" s="10">
        <v>10</v>
      </c>
      <c r="G227" s="10">
        <v>467.75161294659699</v>
      </c>
    </row>
    <row r="228" spans="1:7" x14ac:dyDescent="0.25">
      <c r="A228" s="10">
        <v>2011</v>
      </c>
      <c r="B228" s="10">
        <v>11</v>
      </c>
      <c r="C228" s="10">
        <v>468.49392557221199</v>
      </c>
      <c r="E228" s="10">
        <v>2011</v>
      </c>
      <c r="F228" s="10">
        <v>11</v>
      </c>
      <c r="G228" s="10">
        <v>468.53609109003202</v>
      </c>
    </row>
    <row r="229" spans="1:7" x14ac:dyDescent="0.25">
      <c r="A229" s="10">
        <v>2011</v>
      </c>
      <c r="B229" s="10">
        <v>12</v>
      </c>
      <c r="C229" s="10">
        <v>474.39269581243298</v>
      </c>
      <c r="E229" s="10">
        <v>2011</v>
      </c>
      <c r="F229" s="10">
        <v>12</v>
      </c>
      <c r="G229" s="10">
        <v>474.346228936996</v>
      </c>
    </row>
    <row r="230" spans="1:7" x14ac:dyDescent="0.25">
      <c r="A230" s="10">
        <v>2012</v>
      </c>
      <c r="B230" s="10">
        <v>1</v>
      </c>
      <c r="C230" s="10">
        <v>469.93492748164101</v>
      </c>
      <c r="E230" s="10">
        <v>2012</v>
      </c>
      <c r="F230" s="10">
        <v>1</v>
      </c>
      <c r="G230" s="10">
        <v>469.94796215939698</v>
      </c>
    </row>
    <row r="231" spans="1:7" x14ac:dyDescent="0.25">
      <c r="A231" s="10">
        <v>2012</v>
      </c>
      <c r="B231" s="10">
        <v>2</v>
      </c>
      <c r="C231" s="10">
        <v>475.12012583865499</v>
      </c>
      <c r="E231" s="10">
        <v>2012</v>
      </c>
      <c r="F231" s="10">
        <v>2</v>
      </c>
      <c r="G231" s="10">
        <v>475.15570861414602</v>
      </c>
    </row>
    <row r="232" spans="1:7" x14ac:dyDescent="0.25">
      <c r="A232" s="10">
        <v>2012</v>
      </c>
      <c r="B232" s="10">
        <v>3</v>
      </c>
      <c r="C232" s="10">
        <v>481.49358674015298</v>
      </c>
      <c r="E232" s="10">
        <v>2012</v>
      </c>
      <c r="F232" s="10">
        <v>3</v>
      </c>
      <c r="G232" s="10">
        <v>481.48529807851702</v>
      </c>
    </row>
    <row r="233" spans="1:7" x14ac:dyDescent="0.25">
      <c r="A233" s="10">
        <v>2012</v>
      </c>
      <c r="B233" s="10">
        <v>4</v>
      </c>
      <c r="C233" s="10">
        <v>473.187029876498</v>
      </c>
      <c r="E233" s="10">
        <v>2012</v>
      </c>
      <c r="F233" s="10">
        <v>4</v>
      </c>
      <c r="G233" s="10">
        <v>473.18092953976497</v>
      </c>
    </row>
    <row r="234" spans="1:7" x14ac:dyDescent="0.25">
      <c r="A234" s="10">
        <v>2012</v>
      </c>
      <c r="B234" s="10">
        <v>5</v>
      </c>
      <c r="C234" s="10">
        <v>449.31757204571198</v>
      </c>
      <c r="E234" s="10">
        <v>2012</v>
      </c>
      <c r="F234" s="10">
        <v>5</v>
      </c>
      <c r="G234" s="10">
        <v>449.40190424965999</v>
      </c>
    </row>
    <row r="235" spans="1:7" x14ac:dyDescent="0.25">
      <c r="A235" s="10">
        <v>2012</v>
      </c>
      <c r="B235" s="10">
        <v>6</v>
      </c>
      <c r="C235" s="10">
        <v>452.50710519597999</v>
      </c>
      <c r="E235" s="10">
        <v>2012</v>
      </c>
      <c r="F235" s="10">
        <v>6</v>
      </c>
      <c r="G235" s="10">
        <v>452.38276126926303</v>
      </c>
    </row>
    <row r="236" spans="1:7" x14ac:dyDescent="0.25">
      <c r="A236" s="10">
        <v>2012</v>
      </c>
      <c r="B236" s="10">
        <v>7</v>
      </c>
      <c r="C236" s="10">
        <v>331.69546912639299</v>
      </c>
      <c r="E236" s="10">
        <v>2012</v>
      </c>
      <c r="F236" s="10">
        <v>7</v>
      </c>
      <c r="G236" s="10">
        <v>331.68973455938999</v>
      </c>
    </row>
    <row r="237" spans="1:7" x14ac:dyDescent="0.25">
      <c r="A237" s="10">
        <v>2012</v>
      </c>
      <c r="B237" s="10">
        <v>8</v>
      </c>
      <c r="C237" s="10">
        <v>352.47529825321402</v>
      </c>
      <c r="E237" s="10">
        <v>2012</v>
      </c>
      <c r="F237" s="10">
        <v>8</v>
      </c>
      <c r="G237" s="10">
        <v>352.56826429359302</v>
      </c>
    </row>
    <row r="238" spans="1:7" x14ac:dyDescent="0.25">
      <c r="A238" s="10">
        <v>2012</v>
      </c>
      <c r="B238" s="10">
        <v>9</v>
      </c>
      <c r="C238" s="10">
        <v>377.27988049117403</v>
      </c>
      <c r="E238" s="10">
        <v>2012</v>
      </c>
      <c r="F238" s="10">
        <v>9</v>
      </c>
      <c r="G238" s="10">
        <v>377.16541317903699</v>
      </c>
    </row>
    <row r="239" spans="1:7" x14ac:dyDescent="0.25">
      <c r="A239" s="10">
        <v>2012</v>
      </c>
      <c r="B239" s="10">
        <v>10</v>
      </c>
      <c r="C239" s="10">
        <v>376.77636332695403</v>
      </c>
      <c r="E239" s="10">
        <v>2012</v>
      </c>
      <c r="F239" s="10">
        <v>10</v>
      </c>
      <c r="G239" s="10">
        <v>376.85604813505</v>
      </c>
    </row>
    <row r="240" spans="1:7" x14ac:dyDescent="0.25">
      <c r="A240" s="10">
        <v>2012</v>
      </c>
      <c r="B240" s="10">
        <v>11</v>
      </c>
      <c r="C240" s="10">
        <v>380.01308352023898</v>
      </c>
      <c r="E240" s="10">
        <v>2012</v>
      </c>
      <c r="F240" s="10">
        <v>11</v>
      </c>
      <c r="G240" s="10">
        <v>380.07243729632</v>
      </c>
    </row>
    <row r="241" spans="1:7" x14ac:dyDescent="0.25">
      <c r="A241" s="10">
        <v>2012</v>
      </c>
      <c r="B241" s="10">
        <v>12</v>
      </c>
      <c r="C241" s="10">
        <v>349.67072091771598</v>
      </c>
      <c r="E241" s="10">
        <v>2012</v>
      </c>
      <c r="F241" s="10">
        <v>12</v>
      </c>
      <c r="G241" s="10">
        <v>349.53596235181601</v>
      </c>
    </row>
    <row r="242" spans="1:7" x14ac:dyDescent="0.25">
      <c r="A242" s="10">
        <v>2013</v>
      </c>
      <c r="B242" s="10">
        <v>1</v>
      </c>
      <c r="C242" s="10">
        <v>388.06273450118402</v>
      </c>
      <c r="E242" s="10">
        <v>2013</v>
      </c>
      <c r="F242" s="10">
        <v>1</v>
      </c>
      <c r="G242" s="10">
        <v>388.14791221212403</v>
      </c>
    </row>
    <row r="243" spans="1:7" x14ac:dyDescent="0.25">
      <c r="A243" s="10">
        <v>2013</v>
      </c>
      <c r="B243" s="10">
        <v>2</v>
      </c>
      <c r="C243" s="10">
        <v>384.34247338181399</v>
      </c>
      <c r="E243" s="10">
        <v>2013</v>
      </c>
      <c r="F243" s="10">
        <v>2</v>
      </c>
      <c r="G243" s="10">
        <v>384.34514139251797</v>
      </c>
    </row>
    <row r="244" spans="1:7" x14ac:dyDescent="0.25">
      <c r="A244" s="10">
        <v>2013</v>
      </c>
      <c r="B244" s="10">
        <v>3</v>
      </c>
      <c r="C244" s="10">
        <v>453.45251586888497</v>
      </c>
      <c r="E244" s="10">
        <v>2013</v>
      </c>
      <c r="F244" s="10">
        <v>3</v>
      </c>
      <c r="G244" s="10">
        <v>453.36318502019498</v>
      </c>
    </row>
    <row r="245" spans="1:7" x14ac:dyDescent="0.25">
      <c r="A245" s="10">
        <v>2013</v>
      </c>
      <c r="B245" s="10">
        <v>4</v>
      </c>
      <c r="C245" s="10">
        <v>424.51531644017501</v>
      </c>
      <c r="E245" s="10">
        <v>2013</v>
      </c>
      <c r="F245" s="10">
        <v>4</v>
      </c>
      <c r="G245" s="10">
        <v>424.61588616520902</v>
      </c>
    </row>
    <row r="246" spans="1:7" x14ac:dyDescent="0.25">
      <c r="A246" s="10">
        <v>2013</v>
      </c>
      <c r="B246" s="10">
        <v>5</v>
      </c>
      <c r="C246" s="10">
        <v>439.85822027413502</v>
      </c>
      <c r="E246" s="10">
        <v>2013</v>
      </c>
      <c r="F246" s="10">
        <v>5</v>
      </c>
      <c r="G246" s="10">
        <v>439.93477682779701</v>
      </c>
    </row>
    <row r="247" spans="1:7" x14ac:dyDescent="0.25">
      <c r="A247" s="10">
        <v>2013</v>
      </c>
      <c r="B247" s="10">
        <v>6</v>
      </c>
      <c r="C247" s="10">
        <v>414.767704403322</v>
      </c>
      <c r="E247" s="10">
        <v>2013</v>
      </c>
      <c r="F247" s="10">
        <v>6</v>
      </c>
      <c r="G247" s="10">
        <v>414.56334679081999</v>
      </c>
    </row>
    <row r="248" spans="1:7" x14ac:dyDescent="0.25">
      <c r="A248" s="10">
        <v>2013</v>
      </c>
      <c r="B248" s="10">
        <v>7</v>
      </c>
      <c r="C248" s="10">
        <v>449.95107077561403</v>
      </c>
      <c r="E248" s="10">
        <v>2013</v>
      </c>
      <c r="F248" s="10">
        <v>7</v>
      </c>
      <c r="G248" s="10">
        <v>450.02290643931798</v>
      </c>
    </row>
    <row r="249" spans="1:7" x14ac:dyDescent="0.25">
      <c r="A249" s="10">
        <v>2013</v>
      </c>
      <c r="B249" s="10">
        <v>8</v>
      </c>
      <c r="C249" s="10">
        <v>452.021823022516</v>
      </c>
      <c r="E249" s="10">
        <v>2013</v>
      </c>
      <c r="F249" s="10">
        <v>8</v>
      </c>
      <c r="G249" s="10">
        <v>452.02749369420502</v>
      </c>
    </row>
    <row r="250" spans="1:7" x14ac:dyDescent="0.25">
      <c r="A250" s="10">
        <v>2013</v>
      </c>
      <c r="B250" s="10">
        <v>9</v>
      </c>
      <c r="C250" s="10">
        <v>445.65238787218101</v>
      </c>
      <c r="E250" s="10">
        <v>2013</v>
      </c>
      <c r="F250" s="10">
        <v>9</v>
      </c>
      <c r="G250" s="10">
        <v>445.62732479410499</v>
      </c>
    </row>
    <row r="251" spans="1:7" x14ac:dyDescent="0.25">
      <c r="A251" s="10">
        <v>2013</v>
      </c>
      <c r="B251" s="10">
        <v>10</v>
      </c>
      <c r="C251" s="10">
        <v>439.98305032760499</v>
      </c>
      <c r="E251" s="10">
        <v>2013</v>
      </c>
      <c r="F251" s="10">
        <v>10</v>
      </c>
      <c r="G251" s="10">
        <v>440.052105053133</v>
      </c>
    </row>
    <row r="252" spans="1:7" x14ac:dyDescent="0.25">
      <c r="A252" s="10">
        <v>2013</v>
      </c>
      <c r="B252" s="10">
        <v>11</v>
      </c>
      <c r="C252" s="10">
        <v>453.52835749639399</v>
      </c>
      <c r="E252" s="10">
        <v>2013</v>
      </c>
      <c r="F252" s="10">
        <v>11</v>
      </c>
      <c r="G252" s="10">
        <v>453.51003918097598</v>
      </c>
    </row>
    <row r="253" spans="1:7" x14ac:dyDescent="0.25">
      <c r="A253" s="10">
        <v>2013</v>
      </c>
      <c r="B253" s="10">
        <v>12</v>
      </c>
      <c r="C253" s="10">
        <v>448.81360110518301</v>
      </c>
      <c r="E253" s="10">
        <v>2013</v>
      </c>
      <c r="F253" s="10">
        <v>12</v>
      </c>
      <c r="G253" s="10">
        <v>448.76874142646301</v>
      </c>
    </row>
    <row r="254" spans="1:7" x14ac:dyDescent="0.25">
      <c r="A254" s="10">
        <v>2014</v>
      </c>
      <c r="B254" s="10">
        <v>1</v>
      </c>
      <c r="C254" s="10">
        <v>459.79735426576298</v>
      </c>
      <c r="E254" s="10">
        <v>2014</v>
      </c>
      <c r="F254" s="10">
        <v>1</v>
      </c>
      <c r="G254" s="10">
        <v>459.87369575076798</v>
      </c>
    </row>
    <row r="255" spans="1:7" x14ac:dyDescent="0.25">
      <c r="A255" s="10">
        <v>2014</v>
      </c>
      <c r="B255" s="10">
        <v>2</v>
      </c>
      <c r="C255" s="10">
        <v>444.98810789133398</v>
      </c>
      <c r="E255" s="10">
        <v>2014</v>
      </c>
      <c r="F255" s="10">
        <v>2</v>
      </c>
      <c r="G255" s="10">
        <v>444.984707135299</v>
      </c>
    </row>
    <row r="256" spans="1:7" x14ac:dyDescent="0.25">
      <c r="A256" s="10">
        <v>2014</v>
      </c>
      <c r="B256" s="10">
        <v>3</v>
      </c>
      <c r="C256" s="10">
        <v>458.29831848200899</v>
      </c>
      <c r="E256" s="10">
        <v>2014</v>
      </c>
      <c r="F256" s="10">
        <v>3</v>
      </c>
      <c r="G256" s="10">
        <v>458.20745550231101</v>
      </c>
    </row>
    <row r="257" spans="1:7" x14ac:dyDescent="0.25">
      <c r="A257" s="10">
        <v>2014</v>
      </c>
      <c r="B257" s="10">
        <v>4</v>
      </c>
      <c r="C257" s="10">
        <v>486.28843841158499</v>
      </c>
      <c r="E257" s="10">
        <v>2014</v>
      </c>
      <c r="F257" s="10">
        <v>4</v>
      </c>
      <c r="G257" s="10">
        <v>486.41586609581901</v>
      </c>
    </row>
    <row r="258" spans="1:7" x14ac:dyDescent="0.25">
      <c r="A258" s="10">
        <v>2014</v>
      </c>
      <c r="B258" s="10">
        <v>5</v>
      </c>
      <c r="C258" s="10">
        <v>474.723851491716</v>
      </c>
      <c r="E258" s="10">
        <v>2014</v>
      </c>
      <c r="F258" s="10">
        <v>5</v>
      </c>
      <c r="G258" s="10">
        <v>474.70049558191897</v>
      </c>
    </row>
    <row r="259" spans="1:7" x14ac:dyDescent="0.25">
      <c r="A259" s="10">
        <v>2014</v>
      </c>
      <c r="B259" s="10">
        <v>6</v>
      </c>
      <c r="C259" s="10">
        <v>473.85985686960998</v>
      </c>
      <c r="E259" s="10">
        <v>2014</v>
      </c>
      <c r="F259" s="10">
        <v>6</v>
      </c>
      <c r="G259" s="10">
        <v>473.74853600346103</v>
      </c>
    </row>
    <row r="260" spans="1:7" x14ac:dyDescent="0.25">
      <c r="A260" s="10">
        <v>2014</v>
      </c>
      <c r="B260" s="10">
        <v>7</v>
      </c>
      <c r="C260" s="10">
        <v>463.67401460018402</v>
      </c>
      <c r="E260" s="10">
        <v>2014</v>
      </c>
      <c r="F260" s="10">
        <v>7</v>
      </c>
      <c r="G260" s="10">
        <v>463.74212350615699</v>
      </c>
    </row>
    <row r="261" spans="1:7" x14ac:dyDescent="0.25">
      <c r="A261" s="10">
        <v>2014</v>
      </c>
      <c r="B261" s="10">
        <v>8</v>
      </c>
      <c r="C261" s="10">
        <v>440.41063786308399</v>
      </c>
      <c r="E261" s="10">
        <v>2014</v>
      </c>
      <c r="F261" s="10">
        <v>8</v>
      </c>
      <c r="G261" s="10">
        <v>440.329404821053</v>
      </c>
    </row>
    <row r="262" spans="1:7" x14ac:dyDescent="0.25">
      <c r="A262" s="10">
        <v>2014</v>
      </c>
      <c r="B262" s="10">
        <v>9</v>
      </c>
      <c r="C262" s="10">
        <v>448.791317845094</v>
      </c>
      <c r="E262" s="10">
        <v>2014</v>
      </c>
      <c r="F262" s="10">
        <v>9</v>
      </c>
      <c r="G262" s="10">
        <v>448.84722083022899</v>
      </c>
    </row>
    <row r="263" spans="1:7" x14ac:dyDescent="0.25">
      <c r="A263" s="10">
        <v>2014</v>
      </c>
      <c r="B263" s="10">
        <v>10</v>
      </c>
      <c r="C263" s="10">
        <v>439.133305445274</v>
      </c>
      <c r="E263" s="10">
        <v>2014</v>
      </c>
      <c r="F263" s="10">
        <v>10</v>
      </c>
      <c r="G263" s="10">
        <v>439.19965578812202</v>
      </c>
    </row>
    <row r="264" spans="1:7" x14ac:dyDescent="0.25">
      <c r="A264" s="10">
        <v>2014</v>
      </c>
      <c r="B264" s="10">
        <v>11</v>
      </c>
      <c r="C264" s="10">
        <v>445.47355746990098</v>
      </c>
      <c r="E264" s="10">
        <v>2014</v>
      </c>
      <c r="F264" s="10">
        <v>11</v>
      </c>
      <c r="G264" s="10">
        <v>445.36767993387002</v>
      </c>
    </row>
    <row r="265" spans="1:7" x14ac:dyDescent="0.25">
      <c r="A265" s="10">
        <v>2014</v>
      </c>
      <c r="B265" s="10">
        <v>12</v>
      </c>
      <c r="C265" s="10">
        <v>464.49098996538299</v>
      </c>
      <c r="E265" s="10">
        <v>2014</v>
      </c>
      <c r="F265" s="10">
        <v>12</v>
      </c>
      <c r="G265" s="10">
        <v>464.54368365259899</v>
      </c>
    </row>
    <row r="266" spans="1:7" x14ac:dyDescent="0.25">
      <c r="A266" s="10">
        <v>2015</v>
      </c>
      <c r="B266" s="10">
        <v>1</v>
      </c>
      <c r="C266" s="10">
        <v>443.08706739752898</v>
      </c>
      <c r="E266" s="10">
        <v>2015</v>
      </c>
      <c r="F266" s="10">
        <v>1</v>
      </c>
      <c r="G266" s="10">
        <v>443.07405041897198</v>
      </c>
    </row>
    <row r="267" spans="1:7" x14ac:dyDescent="0.25">
      <c r="A267" s="10">
        <v>2015</v>
      </c>
      <c r="B267" s="10">
        <v>2</v>
      </c>
      <c r="C267" s="10">
        <v>439.49501661207199</v>
      </c>
      <c r="E267" s="10">
        <v>2015</v>
      </c>
      <c r="F267" s="10">
        <v>2</v>
      </c>
      <c r="G267" s="10">
        <v>439.48143433258502</v>
      </c>
    </row>
    <row r="268" spans="1:7" x14ac:dyDescent="0.25">
      <c r="A268" s="10">
        <v>2015</v>
      </c>
      <c r="B268" s="10">
        <v>3</v>
      </c>
      <c r="C268" s="10">
        <v>416.52857413767401</v>
      </c>
      <c r="E268" s="10">
        <v>2015</v>
      </c>
      <c r="F268" s="10">
        <v>3</v>
      </c>
      <c r="G268" s="10">
        <v>416.52442429828602</v>
      </c>
    </row>
    <row r="269" spans="1:7" x14ac:dyDescent="0.25">
      <c r="A269" s="10">
        <v>2015</v>
      </c>
      <c r="B269" s="10">
        <v>4</v>
      </c>
      <c r="C269" s="10">
        <v>387.75144325815597</v>
      </c>
      <c r="E269" s="10">
        <v>2015</v>
      </c>
      <c r="F269" s="10">
        <v>4</v>
      </c>
      <c r="G269" s="10">
        <v>387.88459501809501</v>
      </c>
    </row>
    <row r="270" spans="1:7" x14ac:dyDescent="0.25">
      <c r="A270" s="10">
        <v>2015</v>
      </c>
      <c r="B270" s="10">
        <v>5</v>
      </c>
      <c r="C270" s="10">
        <v>404.13226834464803</v>
      </c>
      <c r="E270" s="10">
        <v>2015</v>
      </c>
      <c r="F270" s="10">
        <v>5</v>
      </c>
      <c r="G270" s="10">
        <v>404.00733567307498</v>
      </c>
    </row>
    <row r="271" spans="1:7" x14ac:dyDescent="0.25">
      <c r="A271" s="10">
        <v>2015</v>
      </c>
      <c r="B271" s="10">
        <v>6</v>
      </c>
      <c r="C271" s="10">
        <v>442.52843279498001</v>
      </c>
      <c r="E271" s="10">
        <v>2015</v>
      </c>
      <c r="F271" s="10">
        <v>6</v>
      </c>
      <c r="G271" s="10">
        <v>442.53332134126202</v>
      </c>
    </row>
    <row r="272" spans="1:7" x14ac:dyDescent="0.25">
      <c r="A272" s="10">
        <v>2015</v>
      </c>
      <c r="B272" s="10">
        <v>7</v>
      </c>
      <c r="C272" s="10">
        <v>415.50097112669499</v>
      </c>
      <c r="E272" s="10">
        <v>2015</v>
      </c>
      <c r="F272" s="10">
        <v>7</v>
      </c>
      <c r="G272" s="10">
        <v>415.57240965880601</v>
      </c>
    </row>
    <row r="273" spans="1:7" x14ac:dyDescent="0.25">
      <c r="A273" s="10">
        <v>2015</v>
      </c>
      <c r="B273" s="10">
        <v>8</v>
      </c>
      <c r="C273" s="10">
        <v>446.99795020411301</v>
      </c>
      <c r="E273" s="10">
        <v>2015</v>
      </c>
      <c r="F273" s="10">
        <v>8</v>
      </c>
      <c r="G273" s="10">
        <v>446.90325552435201</v>
      </c>
    </row>
    <row r="274" spans="1:7" x14ac:dyDescent="0.25">
      <c r="A274" s="10">
        <v>2015</v>
      </c>
      <c r="B274" s="10">
        <v>9</v>
      </c>
      <c r="C274" s="10">
        <v>432.74403356507997</v>
      </c>
      <c r="E274" s="10">
        <v>2015</v>
      </c>
      <c r="F274" s="10">
        <v>9</v>
      </c>
      <c r="G274" s="10">
        <v>432.79414709460099</v>
      </c>
    </row>
    <row r="275" spans="1:7" x14ac:dyDescent="0.25">
      <c r="A275" s="10">
        <v>2015</v>
      </c>
      <c r="B275" s="10">
        <v>10</v>
      </c>
      <c r="C275" s="10">
        <v>429.41301031714198</v>
      </c>
      <c r="E275" s="10">
        <v>2015</v>
      </c>
      <c r="F275" s="10">
        <v>10</v>
      </c>
      <c r="G275" s="10">
        <v>429.39141384023497</v>
      </c>
    </row>
    <row r="276" spans="1:7" x14ac:dyDescent="0.25">
      <c r="A276" s="10">
        <v>2015</v>
      </c>
      <c r="B276" s="10">
        <v>11</v>
      </c>
      <c r="C276" s="10">
        <v>387.20345705510601</v>
      </c>
      <c r="E276" s="10">
        <v>2015</v>
      </c>
      <c r="F276" s="10">
        <v>11</v>
      </c>
      <c r="G276" s="10">
        <v>387.18394448446401</v>
      </c>
    </row>
    <row r="277" spans="1:7" x14ac:dyDescent="0.25">
      <c r="A277" s="10">
        <v>2015</v>
      </c>
      <c r="B277" s="10">
        <v>12</v>
      </c>
      <c r="C277" s="10">
        <v>394.730182212275</v>
      </c>
      <c r="E277" s="10">
        <v>2015</v>
      </c>
      <c r="F277" s="10">
        <v>12</v>
      </c>
      <c r="G277" s="10">
        <v>394.79703811087802</v>
      </c>
    </row>
    <row r="278" spans="1:7" x14ac:dyDescent="0.25">
      <c r="A278" s="10">
        <v>2016</v>
      </c>
      <c r="B278" s="10">
        <v>1</v>
      </c>
      <c r="C278" s="10">
        <v>381.25019439694898</v>
      </c>
      <c r="E278" s="10">
        <v>2016</v>
      </c>
      <c r="F278" s="10">
        <v>1</v>
      </c>
      <c r="G278" s="10">
        <v>381.148822478363</v>
      </c>
    </row>
    <row r="279" spans="1:7" x14ac:dyDescent="0.25">
      <c r="A279" s="10">
        <v>2016</v>
      </c>
      <c r="B279" s="10">
        <v>2</v>
      </c>
      <c r="C279" s="10">
        <v>365.39739761760001</v>
      </c>
      <c r="E279" s="10">
        <v>2016</v>
      </c>
      <c r="F279" s="10">
        <v>2</v>
      </c>
      <c r="G279" s="10">
        <v>365.39867409093</v>
      </c>
    </row>
    <row r="280" spans="1:7" x14ac:dyDescent="0.25">
      <c r="A280" s="10">
        <v>2016</v>
      </c>
      <c r="B280" s="10">
        <v>3</v>
      </c>
      <c r="C280" s="10">
        <v>305.721601398183</v>
      </c>
      <c r="E280" s="10">
        <v>2016</v>
      </c>
      <c r="F280" s="10">
        <v>3</v>
      </c>
      <c r="G280" s="10">
        <v>305.796809215726</v>
      </c>
    </row>
    <row r="281" spans="1:7" x14ac:dyDescent="0.25">
      <c r="A281" s="10">
        <v>2016</v>
      </c>
      <c r="B281" s="10">
        <v>4</v>
      </c>
      <c r="C281" s="10">
        <v>324.30778728934501</v>
      </c>
      <c r="E281" s="10">
        <v>2016</v>
      </c>
      <c r="F281" s="10">
        <v>4</v>
      </c>
      <c r="G281" s="10">
        <v>324.35375998001098</v>
      </c>
    </row>
    <row r="282" spans="1:7" x14ac:dyDescent="0.25">
      <c r="A282" s="10">
        <v>2016</v>
      </c>
      <c r="B282" s="10">
        <v>5</v>
      </c>
      <c r="C282" s="10">
        <v>374.57132086587899</v>
      </c>
      <c r="E282" s="10">
        <v>2016</v>
      </c>
      <c r="F282" s="10">
        <v>5</v>
      </c>
      <c r="G282" s="10">
        <v>374.52018112976498</v>
      </c>
    </row>
    <row r="283" spans="1:7" x14ac:dyDescent="0.25">
      <c r="A283" s="10">
        <v>2016</v>
      </c>
      <c r="B283" s="10">
        <v>6</v>
      </c>
      <c r="C283" s="10">
        <v>372.65384453537803</v>
      </c>
      <c r="E283" s="10">
        <v>2016</v>
      </c>
      <c r="F283" s="10">
        <v>6</v>
      </c>
      <c r="G283" s="10">
        <v>372.68630305841401</v>
      </c>
    </row>
    <row r="284" spans="1:7" x14ac:dyDescent="0.25">
      <c r="A284" s="10">
        <v>2016</v>
      </c>
      <c r="B284" s="10">
        <v>7</v>
      </c>
      <c r="C284" s="10">
        <v>338.49013901137897</v>
      </c>
      <c r="E284" s="10">
        <v>2016</v>
      </c>
      <c r="F284" s="10">
        <v>7</v>
      </c>
      <c r="G284" s="10">
        <v>338.38649634508101</v>
      </c>
    </row>
    <row r="285" spans="1:7" x14ac:dyDescent="0.25">
      <c r="A285" s="10">
        <v>2016</v>
      </c>
      <c r="B285" s="10">
        <v>8</v>
      </c>
      <c r="C285" s="10">
        <v>316.07151666382703</v>
      </c>
      <c r="E285" s="10">
        <v>2016</v>
      </c>
      <c r="F285" s="10">
        <v>8</v>
      </c>
      <c r="G285" s="10">
        <v>316.140493169764</v>
      </c>
    </row>
    <row r="286" spans="1:7" x14ac:dyDescent="0.25">
      <c r="A286" s="10">
        <v>2016</v>
      </c>
      <c r="B286" s="10">
        <v>9</v>
      </c>
      <c r="C286" s="10">
        <v>308.45156041144998</v>
      </c>
      <c r="E286" s="10">
        <v>2016</v>
      </c>
      <c r="F286" s="10">
        <v>9</v>
      </c>
      <c r="G286" s="10">
        <v>308.50559502938501</v>
      </c>
    </row>
    <row r="287" spans="1:7" x14ac:dyDescent="0.25">
      <c r="A287" s="10">
        <v>2016</v>
      </c>
      <c r="B287" s="10">
        <v>10</v>
      </c>
      <c r="C287" s="10">
        <v>337.77134527480501</v>
      </c>
      <c r="E287" s="10">
        <v>2016</v>
      </c>
      <c r="F287" s="10">
        <v>10</v>
      </c>
      <c r="G287" s="10">
        <v>337.66516844167</v>
      </c>
    </row>
    <row r="288" spans="1:7" x14ac:dyDescent="0.25">
      <c r="A288" s="10">
        <v>2016</v>
      </c>
      <c r="B288" s="10">
        <v>11</v>
      </c>
      <c r="C288" s="10">
        <v>340.69956125016398</v>
      </c>
      <c r="E288" s="10">
        <v>2016</v>
      </c>
      <c r="F288" s="10">
        <v>11</v>
      </c>
      <c r="G288" s="10">
        <v>340.76333861312497</v>
      </c>
    </row>
    <row r="289" spans="1:7" x14ac:dyDescent="0.25">
      <c r="A289" s="10">
        <v>2016</v>
      </c>
      <c r="B289" s="10">
        <v>12</v>
      </c>
      <c r="C289" s="10">
        <v>339.95976318854599</v>
      </c>
      <c r="E289" s="10">
        <v>2016</v>
      </c>
      <c r="F289" s="10">
        <v>12</v>
      </c>
      <c r="G289" s="10">
        <v>339.95928512056997</v>
      </c>
    </row>
    <row r="290" spans="1:7" x14ac:dyDescent="0.25">
      <c r="A290" s="10">
        <v>2017</v>
      </c>
      <c r="B290" s="10">
        <v>1</v>
      </c>
      <c r="C290" s="10">
        <v>337.46254833606702</v>
      </c>
      <c r="E290" s="10">
        <v>2017</v>
      </c>
      <c r="F290" s="10">
        <v>1</v>
      </c>
      <c r="G290" s="10">
        <v>337.44946537958401</v>
      </c>
    </row>
    <row r="291" spans="1:7" x14ac:dyDescent="0.25">
      <c r="A291" s="10">
        <v>2017</v>
      </c>
      <c r="B291" s="10">
        <v>2</v>
      </c>
      <c r="C291" s="10">
        <v>363.28347417992899</v>
      </c>
      <c r="E291" s="10">
        <v>2017</v>
      </c>
      <c r="F291" s="10">
        <v>2</v>
      </c>
      <c r="G291" s="10">
        <v>363.25098320138198</v>
      </c>
    </row>
    <row r="292" spans="1:7" x14ac:dyDescent="0.25">
      <c r="A292" s="10">
        <v>2017</v>
      </c>
      <c r="B292" s="10">
        <v>3</v>
      </c>
      <c r="C292" s="10">
        <v>382.03867020448399</v>
      </c>
      <c r="E292" s="10">
        <v>2017</v>
      </c>
      <c r="F292" s="10">
        <v>3</v>
      </c>
      <c r="G292" s="10">
        <v>382.11437145454198</v>
      </c>
    </row>
    <row r="293" spans="1:7" x14ac:dyDescent="0.25">
      <c r="A293" s="10">
        <v>2017</v>
      </c>
      <c r="B293" s="10">
        <v>4</v>
      </c>
      <c r="C293" s="10">
        <v>371.10960073818802</v>
      </c>
      <c r="E293" s="10">
        <v>2017</v>
      </c>
      <c r="F293" s="10">
        <v>4</v>
      </c>
      <c r="G293" s="10">
        <v>371.04214580206002</v>
      </c>
    </row>
    <row r="294" spans="1:7" x14ac:dyDescent="0.25">
      <c r="A294" s="10">
        <v>2017</v>
      </c>
      <c r="B294" s="10">
        <v>5</v>
      </c>
      <c r="C294" s="10">
        <v>392.29474320531699</v>
      </c>
      <c r="E294" s="10">
        <v>2017</v>
      </c>
      <c r="F294" s="10">
        <v>5</v>
      </c>
      <c r="G294" s="10">
        <v>392.31267420451701</v>
      </c>
    </row>
    <row r="295" spans="1:7" x14ac:dyDescent="0.25">
      <c r="A295" s="10">
        <v>2017</v>
      </c>
      <c r="B295" s="10">
        <v>6</v>
      </c>
      <c r="C295" s="10">
        <v>376.87450649425801</v>
      </c>
      <c r="E295" s="10">
        <v>2017</v>
      </c>
      <c r="F295" s="10">
        <v>6</v>
      </c>
      <c r="G295" s="10">
        <v>376.933263587559</v>
      </c>
    </row>
    <row r="296" spans="1:7" x14ac:dyDescent="0.25">
      <c r="A296" s="10">
        <v>2017</v>
      </c>
      <c r="B296" s="10">
        <v>7</v>
      </c>
      <c r="C296" s="10">
        <v>379.30410038041401</v>
      </c>
      <c r="E296" s="10">
        <v>2017</v>
      </c>
      <c r="F296" s="10">
        <v>7</v>
      </c>
      <c r="G296" s="10">
        <v>379.20656835015399</v>
      </c>
    </row>
    <row r="297" spans="1:7" x14ac:dyDescent="0.25">
      <c r="A297" s="10">
        <v>2017</v>
      </c>
      <c r="B297" s="10">
        <v>8</v>
      </c>
      <c r="C297" s="10">
        <v>390.098311673436</v>
      </c>
      <c r="E297" s="10">
        <v>2017</v>
      </c>
      <c r="F297" s="10">
        <v>8</v>
      </c>
      <c r="G297" s="10">
        <v>390.158395184879</v>
      </c>
    </row>
    <row r="298" spans="1:7" x14ac:dyDescent="0.25">
      <c r="A298" s="10">
        <v>2017</v>
      </c>
      <c r="B298" s="10">
        <v>9</v>
      </c>
      <c r="C298" s="10">
        <v>407.46318797686502</v>
      </c>
      <c r="E298" s="10">
        <v>2017</v>
      </c>
      <c r="F298" s="10">
        <v>9</v>
      </c>
      <c r="G298" s="10">
        <v>407.44451546611299</v>
      </c>
    </row>
    <row r="299" spans="1:7" x14ac:dyDescent="0.25">
      <c r="A299" s="10">
        <v>2017</v>
      </c>
      <c r="B299" s="10">
        <v>10</v>
      </c>
      <c r="C299" s="10">
        <v>410.50076530660402</v>
      </c>
      <c r="E299" s="10">
        <v>2017</v>
      </c>
      <c r="F299" s="10">
        <v>10</v>
      </c>
      <c r="G299" s="10">
        <v>410.490738634183</v>
      </c>
    </row>
    <row r="300" spans="1:7" x14ac:dyDescent="0.25">
      <c r="A300" s="10">
        <v>2017</v>
      </c>
      <c r="B300" s="10">
        <v>11</v>
      </c>
      <c r="C300" s="10">
        <v>413.97290483039598</v>
      </c>
      <c r="E300" s="10">
        <v>2017</v>
      </c>
      <c r="F300" s="10">
        <v>11</v>
      </c>
      <c r="G300" s="10">
        <v>414.036758801475</v>
      </c>
    </row>
    <row r="301" spans="1:7" x14ac:dyDescent="0.25">
      <c r="A301" s="10">
        <v>2017</v>
      </c>
      <c r="B301" s="10">
        <v>12</v>
      </c>
      <c r="C301" s="10">
        <v>408.92410822452598</v>
      </c>
      <c r="E301" s="10">
        <v>2017</v>
      </c>
      <c r="F301" s="10">
        <v>12</v>
      </c>
      <c r="G301" s="10">
        <v>408.850343379366</v>
      </c>
    </row>
    <row r="302" spans="1:7" x14ac:dyDescent="0.25">
      <c r="A302" s="10">
        <v>2018</v>
      </c>
      <c r="B302" s="10">
        <v>1</v>
      </c>
      <c r="C302" s="10">
        <v>384.95762087999202</v>
      </c>
      <c r="E302" s="10">
        <v>2018</v>
      </c>
      <c r="F302" s="10">
        <v>1</v>
      </c>
      <c r="G302" s="10">
        <v>385.03300807886802</v>
      </c>
    </row>
    <row r="303" spans="1:7" x14ac:dyDescent="0.25">
      <c r="A303" s="10">
        <v>2018</v>
      </c>
      <c r="B303" s="10">
        <v>2</v>
      </c>
      <c r="C303" s="10">
        <v>477.23172496404902</v>
      </c>
      <c r="E303" s="10">
        <v>2018</v>
      </c>
      <c r="F303" s="10">
        <v>2</v>
      </c>
      <c r="G303" s="10">
        <v>477.19872813120298</v>
      </c>
    </row>
    <row r="304" spans="1:7" x14ac:dyDescent="0.25">
      <c r="A304" s="10">
        <v>2018</v>
      </c>
      <c r="B304" s="10">
        <v>3</v>
      </c>
      <c r="C304" s="10">
        <v>465.35880044264098</v>
      </c>
      <c r="E304" s="10">
        <v>2018</v>
      </c>
      <c r="F304" s="10">
        <v>3</v>
      </c>
      <c r="G304" s="10">
        <v>465.337646934671</v>
      </c>
    </row>
    <row r="305" spans="1:7" x14ac:dyDescent="0.25">
      <c r="A305" s="10">
        <v>2018</v>
      </c>
      <c r="B305" s="10">
        <v>4</v>
      </c>
      <c r="C305" s="10">
        <v>465.15504768637402</v>
      </c>
      <c r="E305" s="10">
        <v>2018</v>
      </c>
      <c r="F305" s="10">
        <v>4</v>
      </c>
      <c r="G305" s="10">
        <v>465.138187459915</v>
      </c>
    </row>
    <row r="306" spans="1:7" x14ac:dyDescent="0.25">
      <c r="A306" s="10">
        <v>2018</v>
      </c>
      <c r="B306" s="10">
        <v>5</v>
      </c>
      <c r="C306" s="10">
        <v>438.53455488800199</v>
      </c>
      <c r="E306" s="10">
        <v>2018</v>
      </c>
      <c r="F306" s="10">
        <v>5</v>
      </c>
      <c r="G306" s="10">
        <v>438.53999320441</v>
      </c>
    </row>
    <row r="307" spans="1:7" x14ac:dyDescent="0.25">
      <c r="A307" s="10">
        <v>2018</v>
      </c>
      <c r="B307" s="10">
        <v>6</v>
      </c>
      <c r="C307" s="10">
        <v>421.52199268453398</v>
      </c>
      <c r="E307" s="10">
        <v>2018</v>
      </c>
      <c r="F307" s="10">
        <v>6</v>
      </c>
      <c r="G307" s="10">
        <v>421.479168236352</v>
      </c>
    </row>
    <row r="308" spans="1:7" x14ac:dyDescent="0.25">
      <c r="A308" s="10">
        <v>2018</v>
      </c>
      <c r="B308" s="10">
        <v>7</v>
      </c>
      <c r="C308" s="10">
        <v>444.13620417924801</v>
      </c>
      <c r="E308" s="10">
        <v>2018</v>
      </c>
      <c r="F308" s="10">
        <v>7</v>
      </c>
      <c r="G308" s="10">
        <v>444.13105533088401</v>
      </c>
    </row>
    <row r="309" spans="1:7" x14ac:dyDescent="0.25">
      <c r="A309" s="10">
        <v>2018</v>
      </c>
      <c r="B309" s="10">
        <v>8</v>
      </c>
      <c r="C309" s="10">
        <v>427.84434044789299</v>
      </c>
      <c r="E309" s="10">
        <v>2018</v>
      </c>
      <c r="F309" s="10">
        <v>8</v>
      </c>
      <c r="G309" s="10">
        <v>427.92175859586899</v>
      </c>
    </row>
    <row r="310" spans="1:7" x14ac:dyDescent="0.25">
      <c r="A310" s="10">
        <v>2018</v>
      </c>
      <c r="B310" s="10">
        <v>9</v>
      </c>
      <c r="C310" s="10">
        <v>415.99116640526398</v>
      </c>
      <c r="E310" s="10">
        <v>2018</v>
      </c>
      <c r="F310" s="10">
        <v>9</v>
      </c>
      <c r="G310" s="10">
        <v>415.91199916127499</v>
      </c>
    </row>
    <row r="311" spans="1:7" x14ac:dyDescent="0.25">
      <c r="A311" s="10">
        <v>2018</v>
      </c>
      <c r="B311" s="10">
        <v>10</v>
      </c>
      <c r="C311" s="10">
        <v>412.49291890752897</v>
      </c>
      <c r="E311" s="10">
        <v>2018</v>
      </c>
      <c r="F311" s="10">
        <v>10</v>
      </c>
      <c r="G311" s="10">
        <v>412.59730605092801</v>
      </c>
    </row>
    <row r="312" spans="1:7" x14ac:dyDescent="0.25">
      <c r="A312" s="10">
        <v>2018</v>
      </c>
      <c r="B312" s="10">
        <v>11</v>
      </c>
      <c r="C312" s="10">
        <v>432.83144316824701</v>
      </c>
      <c r="E312" s="10">
        <v>2018</v>
      </c>
      <c r="F312" s="10">
        <v>11</v>
      </c>
      <c r="G312" s="10">
        <v>432.91088281681601</v>
      </c>
    </row>
    <row r="313" spans="1:7" x14ac:dyDescent="0.25">
      <c r="A313" s="10">
        <v>2018</v>
      </c>
      <c r="B313" s="10">
        <v>12</v>
      </c>
      <c r="C313" s="10">
        <v>381.67206971745497</v>
      </c>
      <c r="E313" s="10">
        <v>2018</v>
      </c>
      <c r="F313" s="10">
        <v>12</v>
      </c>
      <c r="G313" s="10">
        <v>381.587214696422</v>
      </c>
    </row>
    <row r="314" spans="1:7" x14ac:dyDescent="0.25">
      <c r="A314" s="10">
        <v>2019</v>
      </c>
      <c r="B314" s="10">
        <v>1</v>
      </c>
      <c r="C314" s="10">
        <v>408.43796008572002</v>
      </c>
      <c r="E314" s="10">
        <v>2019</v>
      </c>
      <c r="F314" s="10">
        <v>1</v>
      </c>
      <c r="G314" s="10">
        <v>408.52407143701703</v>
      </c>
    </row>
    <row r="315" spans="1:7" x14ac:dyDescent="0.25">
      <c r="A315" s="10">
        <v>2019</v>
      </c>
      <c r="B315" s="10">
        <v>2</v>
      </c>
      <c r="C315" s="10">
        <v>382.25300765430501</v>
      </c>
      <c r="E315" s="10">
        <v>2019</v>
      </c>
      <c r="F315" s="10">
        <v>2</v>
      </c>
      <c r="G315" s="10">
        <v>382.22304386969802</v>
      </c>
    </row>
    <row r="316" spans="1:7" x14ac:dyDescent="0.25">
      <c r="A316" s="10">
        <v>2019</v>
      </c>
      <c r="B316" s="10">
        <v>3</v>
      </c>
      <c r="C316" s="10">
        <v>384.85859768384898</v>
      </c>
      <c r="E316" s="10">
        <v>2019</v>
      </c>
      <c r="F316" s="10">
        <v>3</v>
      </c>
      <c r="G316" s="10">
        <v>384.73676358399399</v>
      </c>
    </row>
    <row r="317" spans="1:7" x14ac:dyDescent="0.25">
      <c r="A317" s="10">
        <v>2019</v>
      </c>
      <c r="B317" s="10">
        <v>4</v>
      </c>
      <c r="C317" s="10">
        <v>421.81774196452102</v>
      </c>
      <c r="E317" s="10">
        <v>2019</v>
      </c>
      <c r="F317" s="10">
        <v>4</v>
      </c>
      <c r="G317" s="10">
        <v>421.82019587655901</v>
      </c>
    </row>
    <row r="318" spans="1:7" x14ac:dyDescent="0.25">
      <c r="A318" s="10">
        <v>2019</v>
      </c>
      <c r="B318" s="10">
        <v>5</v>
      </c>
      <c r="C318" s="10">
        <v>409.17282208752999</v>
      </c>
      <c r="E318" s="10">
        <v>2019</v>
      </c>
      <c r="F318" s="10">
        <v>5</v>
      </c>
      <c r="G318" s="10">
        <v>409.16510363045501</v>
      </c>
    </row>
    <row r="319" spans="1:7" x14ac:dyDescent="0.25">
      <c r="A319" s="10">
        <v>2019</v>
      </c>
      <c r="B319" s="10">
        <v>6</v>
      </c>
      <c r="C319" s="10">
        <v>421.36786833759197</v>
      </c>
      <c r="E319" s="10">
        <v>2019</v>
      </c>
      <c r="F319" s="10">
        <v>6</v>
      </c>
      <c r="G319" s="10">
        <v>421.18116890546798</v>
      </c>
    </row>
    <row r="320" spans="1:7" x14ac:dyDescent="0.25">
      <c r="A320" s="10">
        <v>2019</v>
      </c>
      <c r="B320" s="10">
        <v>7</v>
      </c>
      <c r="C320" s="10">
        <v>397.54005463548202</v>
      </c>
      <c r="E320" s="10">
        <v>2019</v>
      </c>
      <c r="F320" s="10">
        <v>7</v>
      </c>
      <c r="G320" s="10">
        <v>397.607514323766</v>
      </c>
    </row>
    <row r="321" spans="1:7" x14ac:dyDescent="0.25">
      <c r="A321" s="10">
        <v>2019</v>
      </c>
      <c r="B321" s="10">
        <v>8</v>
      </c>
      <c r="C321" s="10">
        <v>410.77670040244101</v>
      </c>
      <c r="E321" s="10">
        <v>2019</v>
      </c>
      <c r="F321" s="10">
        <v>8</v>
      </c>
      <c r="G321" s="10">
        <v>410.76410504953799</v>
      </c>
    </row>
    <row r="322" spans="1:7" x14ac:dyDescent="0.25">
      <c r="A322" s="10">
        <v>2019</v>
      </c>
      <c r="B322" s="10">
        <v>9</v>
      </c>
      <c r="C322" s="10">
        <v>385.28640104468099</v>
      </c>
      <c r="E322" s="10">
        <v>2019</v>
      </c>
      <c r="F322" s="10">
        <v>9</v>
      </c>
      <c r="G322" s="10">
        <v>385.522511775049</v>
      </c>
    </row>
    <row r="323" spans="1:7" x14ac:dyDescent="0.25">
      <c r="A323" s="10">
        <v>2019</v>
      </c>
      <c r="B323" s="10">
        <v>10</v>
      </c>
      <c r="C323" s="10">
        <v>349.22257851692899</v>
      </c>
      <c r="E323" s="10">
        <v>2019</v>
      </c>
      <c r="F323" s="10">
        <v>10</v>
      </c>
      <c r="G323" s="10">
        <v>349.33324177207402</v>
      </c>
    </row>
    <row r="324" spans="1:7" x14ac:dyDescent="0.25">
      <c r="A324" s="10">
        <v>2019</v>
      </c>
      <c r="B324" s="10">
        <v>11</v>
      </c>
      <c r="C324" s="10">
        <v>331.90623141184301</v>
      </c>
      <c r="E324" s="10">
        <v>2019</v>
      </c>
      <c r="F324" s="10">
        <v>11</v>
      </c>
      <c r="G324" s="10">
        <v>331.89656414909098</v>
      </c>
    </row>
    <row r="325" spans="1:7" x14ac:dyDescent="0.25">
      <c r="A325" s="10">
        <v>2019</v>
      </c>
      <c r="B325" s="10">
        <v>12</v>
      </c>
      <c r="C325" s="10">
        <v>345.48922215043899</v>
      </c>
      <c r="E325" s="10">
        <v>2019</v>
      </c>
      <c r="F325" s="10">
        <v>12</v>
      </c>
      <c r="G325" s="10">
        <v>345.454844541358</v>
      </c>
    </row>
    <row r="326" spans="1:7" x14ac:dyDescent="0.25">
      <c r="A326" s="10">
        <v>2020</v>
      </c>
      <c r="B326" s="10">
        <v>1</v>
      </c>
      <c r="C326" s="10">
        <v>333.36418741496499</v>
      </c>
      <c r="E326" s="10">
        <v>2020</v>
      </c>
      <c r="F326" s="10">
        <v>1</v>
      </c>
      <c r="G326" s="10">
        <v>333.42484686970403</v>
      </c>
    </row>
    <row r="327" spans="1:7" x14ac:dyDescent="0.25">
      <c r="A327" s="10">
        <v>2020</v>
      </c>
      <c r="B327" s="10">
        <v>2</v>
      </c>
      <c r="C327" s="10">
        <v>380.32161920043598</v>
      </c>
      <c r="E327" s="10">
        <v>2020</v>
      </c>
      <c r="F327" s="10">
        <v>2</v>
      </c>
      <c r="G327" s="10">
        <v>380.21496215193201</v>
      </c>
    </row>
    <row r="328" spans="1:7" x14ac:dyDescent="0.25">
      <c r="A328" s="10">
        <v>2020</v>
      </c>
      <c r="B328" s="10">
        <v>3</v>
      </c>
      <c r="C328" s="10">
        <v>284.560935326167</v>
      </c>
      <c r="E328" s="10">
        <v>2020</v>
      </c>
      <c r="F328" s="10">
        <v>3</v>
      </c>
      <c r="G328" s="10">
        <v>284.48312643296703</v>
      </c>
    </row>
    <row r="329" spans="1:7" x14ac:dyDescent="0.25">
      <c r="A329" s="10">
        <v>2020</v>
      </c>
      <c r="B329" s="10">
        <v>4</v>
      </c>
      <c r="C329" s="10">
        <v>108.03517239362</v>
      </c>
      <c r="E329" s="10">
        <v>2020</v>
      </c>
      <c r="F329" s="10">
        <v>4</v>
      </c>
      <c r="G329" s="10">
        <v>107.966237098102</v>
      </c>
    </row>
    <row r="330" spans="1:7" x14ac:dyDescent="0.25">
      <c r="A330" s="10">
        <v>2020</v>
      </c>
      <c r="B330" s="10">
        <v>5</v>
      </c>
      <c r="C330" s="10">
        <v>196.28966708593899</v>
      </c>
      <c r="E330" s="10">
        <v>2020</v>
      </c>
      <c r="F330" s="10">
        <v>5</v>
      </c>
      <c r="G330" s="10">
        <v>196.07194315952</v>
      </c>
    </row>
    <row r="331" spans="1:7" x14ac:dyDescent="0.25">
      <c r="A331" s="10">
        <v>2020</v>
      </c>
      <c r="B331" s="10">
        <v>6</v>
      </c>
      <c r="C331" s="10">
        <v>249.088024864977</v>
      </c>
      <c r="E331" s="10">
        <v>2020</v>
      </c>
      <c r="F331" s="10">
        <v>6</v>
      </c>
      <c r="G331" s="10">
        <v>249.02856484693899</v>
      </c>
    </row>
    <row r="332" spans="1:7" x14ac:dyDescent="0.25">
      <c r="A332" s="10">
        <v>2020</v>
      </c>
      <c r="B332" s="10">
        <v>7</v>
      </c>
      <c r="C332" s="10">
        <v>306.12565080198198</v>
      </c>
      <c r="E332" s="10">
        <v>2020</v>
      </c>
      <c r="F332" s="10">
        <v>7</v>
      </c>
      <c r="G332" s="10">
        <v>306.19600635022198</v>
      </c>
    </row>
    <row r="333" spans="1:7" x14ac:dyDescent="0.25">
      <c r="A333" s="10">
        <v>2020</v>
      </c>
      <c r="B333" s="10">
        <v>8</v>
      </c>
      <c r="C333" s="10">
        <v>313.065875569382</v>
      </c>
      <c r="E333" s="10">
        <v>2020</v>
      </c>
      <c r="F333" s="10">
        <v>8</v>
      </c>
      <c r="G333" s="10">
        <v>313.01114469868497</v>
      </c>
    </row>
    <row r="334" spans="1:7" x14ac:dyDescent="0.25">
      <c r="A334" s="10">
        <v>2020</v>
      </c>
      <c r="B334" s="10">
        <v>9</v>
      </c>
      <c r="C334" s="10">
        <v>334.142675677954</v>
      </c>
      <c r="E334" s="10">
        <v>2020</v>
      </c>
      <c r="F334" s="10">
        <v>9</v>
      </c>
      <c r="G334" s="10">
        <v>334.73935672056501</v>
      </c>
    </row>
    <row r="335" spans="1:7" x14ac:dyDescent="0.25">
      <c r="A335" s="10">
        <v>2020</v>
      </c>
      <c r="B335" s="10">
        <v>10</v>
      </c>
      <c r="C335" s="10">
        <v>346.58293513348298</v>
      </c>
      <c r="E335" s="10">
        <v>2020</v>
      </c>
      <c r="F335" s="10">
        <v>10</v>
      </c>
      <c r="G335" s="10">
        <v>346.64743295039398</v>
      </c>
    </row>
    <row r="336" spans="1:7" x14ac:dyDescent="0.25">
      <c r="A336" s="10">
        <v>2020</v>
      </c>
      <c r="B336" s="10">
        <v>11</v>
      </c>
      <c r="C336" s="10">
        <v>364.57005506293098</v>
      </c>
      <c r="E336" s="10">
        <v>2020</v>
      </c>
      <c r="F336" s="10">
        <v>11</v>
      </c>
      <c r="G336" s="10">
        <v>364.54931220100201</v>
      </c>
    </row>
    <row r="337" spans="1:7" x14ac:dyDescent="0.25">
      <c r="A337" s="10">
        <v>2020</v>
      </c>
      <c r="B337" s="10">
        <v>12</v>
      </c>
      <c r="C337" s="10">
        <v>402.26833145666802</v>
      </c>
      <c r="E337" s="10">
        <v>2020</v>
      </c>
      <c r="F337" s="10">
        <v>12</v>
      </c>
      <c r="G337" s="10">
        <v>402.247253796243</v>
      </c>
    </row>
    <row r="338" spans="1:7" x14ac:dyDescent="0.25">
      <c r="A338" s="10">
        <v>2021</v>
      </c>
      <c r="B338" s="10">
        <v>1</v>
      </c>
      <c r="C338" s="10">
        <v>406.33254967483902</v>
      </c>
      <c r="E338" s="10">
        <v>2021</v>
      </c>
      <c r="F338" s="10">
        <v>1</v>
      </c>
      <c r="G338" s="10">
        <v>406.15033077356401</v>
      </c>
    </row>
    <row r="339" spans="1:7" x14ac:dyDescent="0.25">
      <c r="A339" s="10">
        <v>2021</v>
      </c>
      <c r="B339" s="10">
        <v>2</v>
      </c>
      <c r="C339" s="10">
        <v>404.406629687921</v>
      </c>
      <c r="E339" s="10">
        <v>2021</v>
      </c>
      <c r="F339" s="10">
        <v>2</v>
      </c>
      <c r="G339" s="10">
        <v>404.31732709858397</v>
      </c>
    </row>
    <row r="340" spans="1:7" x14ac:dyDescent="0.25">
      <c r="A340" s="10">
        <v>2021</v>
      </c>
      <c r="B340" s="10">
        <v>3</v>
      </c>
      <c r="C340" s="10">
        <v>425.30972936216699</v>
      </c>
      <c r="E340" s="10">
        <v>2021</v>
      </c>
      <c r="F340" s="10">
        <v>3</v>
      </c>
      <c r="G340" s="10">
        <v>425.266307797043</v>
      </c>
    </row>
    <row r="341" spans="1:7" x14ac:dyDescent="0.25">
      <c r="A341" s="10">
        <v>2021</v>
      </c>
      <c r="B341" s="10">
        <v>4</v>
      </c>
      <c r="C341" s="10">
        <v>349.49992206420302</v>
      </c>
      <c r="E341" s="10">
        <v>2021</v>
      </c>
      <c r="F341" s="10">
        <v>4</v>
      </c>
      <c r="G341" s="10">
        <v>349.40304737682601</v>
      </c>
    </row>
    <row r="342" spans="1:7" x14ac:dyDescent="0.25">
      <c r="A342" s="10">
        <v>2021</v>
      </c>
      <c r="B342" s="10">
        <v>5</v>
      </c>
      <c r="C342" s="10">
        <v>392.29552587206302</v>
      </c>
      <c r="E342" s="10">
        <v>2021</v>
      </c>
      <c r="F342" s="10">
        <v>5</v>
      </c>
      <c r="G342" s="10">
        <v>392.11994195987899</v>
      </c>
    </row>
    <row r="343" spans="1:7" x14ac:dyDescent="0.25">
      <c r="A343" s="10">
        <v>2021</v>
      </c>
      <c r="B343" s="10">
        <v>6</v>
      </c>
      <c r="C343" s="10">
        <v>407.01549437402701</v>
      </c>
      <c r="E343" s="10">
        <v>2021</v>
      </c>
      <c r="F343" s="10">
        <v>6</v>
      </c>
      <c r="G343" s="10">
        <v>406.58210569873103</v>
      </c>
    </row>
    <row r="344" spans="1:7" x14ac:dyDescent="0.25">
      <c r="A344" s="10">
        <v>2021</v>
      </c>
      <c r="B344" s="10">
        <v>7</v>
      </c>
      <c r="C344" s="10">
        <v>412.15323753976202</v>
      </c>
      <c r="E344" s="10">
        <v>2021</v>
      </c>
      <c r="F344" s="10">
        <v>7</v>
      </c>
      <c r="G344" s="10">
        <v>412.224851192664</v>
      </c>
    </row>
    <row r="345" spans="1:7" x14ac:dyDescent="0.25">
      <c r="A345" s="10">
        <v>2021</v>
      </c>
      <c r="B345" s="10">
        <v>8</v>
      </c>
      <c r="C345" s="10">
        <v>403.14064196655499</v>
      </c>
      <c r="E345" s="10">
        <v>2021</v>
      </c>
      <c r="F345" s="10">
        <v>8</v>
      </c>
      <c r="G345" s="10">
        <v>403.25310652969199</v>
      </c>
    </row>
    <row r="346" spans="1:7" x14ac:dyDescent="0.25">
      <c r="A346" s="10">
        <v>2021</v>
      </c>
      <c r="B346" s="10">
        <v>9</v>
      </c>
      <c r="C346" s="10">
        <v>404.82749171702397</v>
      </c>
      <c r="E346" s="10">
        <v>2021</v>
      </c>
      <c r="F346" s="10">
        <v>9</v>
      </c>
      <c r="G346" s="10">
        <v>406.12217498419801</v>
      </c>
    </row>
    <row r="347" spans="1:7" x14ac:dyDescent="0.25">
      <c r="A347" s="10">
        <v>2021</v>
      </c>
      <c r="B347" s="10">
        <v>10</v>
      </c>
      <c r="C347" s="10">
        <v>407.918418379044</v>
      </c>
      <c r="E347" s="10">
        <v>2021</v>
      </c>
      <c r="F347" s="10">
        <v>10</v>
      </c>
      <c r="G347" s="10">
        <v>407.86668955419498</v>
      </c>
    </row>
    <row r="348" spans="1:7" x14ac:dyDescent="0.25">
      <c r="A348" s="10">
        <v>2021</v>
      </c>
      <c r="B348" s="10">
        <v>11</v>
      </c>
      <c r="C348" s="10">
        <v>425.60549141173198</v>
      </c>
      <c r="E348" s="10">
        <v>2021</v>
      </c>
      <c r="F348" s="10">
        <v>11</v>
      </c>
      <c r="G348" s="10">
        <v>425.57059880396201</v>
      </c>
    </row>
    <row r="349" spans="1:7" x14ac:dyDescent="0.25">
      <c r="A349" s="10">
        <v>2021</v>
      </c>
      <c r="B349" s="10">
        <v>12</v>
      </c>
      <c r="C349" s="10">
        <v>440.34983727029999</v>
      </c>
      <c r="E349" s="10">
        <v>2021</v>
      </c>
      <c r="F349" s="10">
        <v>12</v>
      </c>
      <c r="G349" s="10">
        <v>440.17839862346</v>
      </c>
    </row>
    <row r="350" spans="1:7" x14ac:dyDescent="0.25">
      <c r="A350" s="10">
        <v>2022</v>
      </c>
      <c r="B350" s="10">
        <v>1</v>
      </c>
      <c r="C350" s="10">
        <v>391.267865392131</v>
      </c>
      <c r="E350" s="10">
        <v>2022</v>
      </c>
      <c r="F350" s="10">
        <v>1</v>
      </c>
      <c r="G350" s="10">
        <v>390.92087186531597</v>
      </c>
    </row>
    <row r="351" spans="1:7" x14ac:dyDescent="0.25">
      <c r="A351" s="10">
        <v>2022</v>
      </c>
      <c r="B351" s="10">
        <v>2</v>
      </c>
      <c r="C351" s="10">
        <v>393.25047181904898</v>
      </c>
      <c r="E351" s="10">
        <v>2022</v>
      </c>
      <c r="F351" s="10">
        <v>2</v>
      </c>
      <c r="G351" s="10">
        <v>393.08910762514103</v>
      </c>
    </row>
    <row r="352" spans="1:7" x14ac:dyDescent="0.25">
      <c r="A352" s="10">
        <v>2022</v>
      </c>
      <c r="B352" s="10">
        <v>3</v>
      </c>
      <c r="C352" s="10">
        <v>420.79662293596903</v>
      </c>
      <c r="E352" s="10">
        <v>2022</v>
      </c>
      <c r="F352" s="10">
        <v>3</v>
      </c>
      <c r="G352" s="10">
        <v>420.659018332497</v>
      </c>
    </row>
    <row r="353" spans="1:7" x14ac:dyDescent="0.25">
      <c r="A353" s="10">
        <v>2022</v>
      </c>
      <c r="B353" s="10">
        <v>4</v>
      </c>
      <c r="C353" s="10">
        <v>361.19755435605902</v>
      </c>
      <c r="E353" s="10">
        <v>2022</v>
      </c>
      <c r="F353" s="10">
        <v>4</v>
      </c>
      <c r="G353" s="10">
        <v>360.96757836870597</v>
      </c>
    </row>
    <row r="354" spans="1:7" x14ac:dyDescent="0.25">
      <c r="A354" s="10">
        <v>2022</v>
      </c>
      <c r="B354" s="10">
        <v>5</v>
      </c>
      <c r="C354" s="10">
        <v>446.16721083497998</v>
      </c>
      <c r="E354" s="10">
        <v>2022</v>
      </c>
      <c r="F354" s="10">
        <v>5</v>
      </c>
      <c r="G354" s="10">
        <v>446.09689755917202</v>
      </c>
    </row>
    <row r="355" spans="1:7" x14ac:dyDescent="0.25">
      <c r="A355" s="10">
        <v>2022</v>
      </c>
      <c r="B355" s="10">
        <v>6</v>
      </c>
      <c r="C355" s="10">
        <v>471.15646928486399</v>
      </c>
      <c r="E355" s="10">
        <v>2022</v>
      </c>
      <c r="F355" s="10">
        <v>6</v>
      </c>
      <c r="G355" s="10">
        <v>470.38603086097902</v>
      </c>
    </row>
    <row r="356" spans="1:7" x14ac:dyDescent="0.25">
      <c r="A356" s="10">
        <v>2022</v>
      </c>
      <c r="B356" s="10">
        <v>7</v>
      </c>
      <c r="C356" s="10">
        <v>448.31452795818001</v>
      </c>
      <c r="E356" s="10">
        <v>2022</v>
      </c>
      <c r="F356" s="10">
        <v>7</v>
      </c>
      <c r="G356" s="10">
        <v>448.429898092928</v>
      </c>
    </row>
    <row r="357" spans="1:7" x14ac:dyDescent="0.25">
      <c r="A357" s="10">
        <v>2022</v>
      </c>
      <c r="B357" s="10">
        <v>8</v>
      </c>
      <c r="C357" s="10">
        <v>436.95715320024999</v>
      </c>
      <c r="E357" s="10">
        <v>2022</v>
      </c>
      <c r="F357" s="10">
        <v>8</v>
      </c>
      <c r="G357" s="10">
        <v>437.36203556144301</v>
      </c>
    </row>
    <row r="358" spans="1:7" x14ac:dyDescent="0.25">
      <c r="A358" s="10">
        <v>2022</v>
      </c>
      <c r="B358" s="10">
        <v>9</v>
      </c>
      <c r="C358" s="10">
        <v>398.46916348147403</v>
      </c>
      <c r="E358" s="10">
        <v>2022</v>
      </c>
      <c r="F358" s="10">
        <v>9</v>
      </c>
      <c r="G358" s="10">
        <v>400.49363585326699</v>
      </c>
    </row>
    <row r="359" spans="1:7" x14ac:dyDescent="0.25">
      <c r="A359" s="10">
        <v>2022</v>
      </c>
      <c r="B359" s="10">
        <v>10</v>
      </c>
      <c r="C359" s="10">
        <v>448.37351691078698</v>
      </c>
      <c r="E359" s="10">
        <v>2022</v>
      </c>
      <c r="F359" s="10">
        <v>10</v>
      </c>
      <c r="G359" s="10">
        <v>448.87206263467999</v>
      </c>
    </row>
    <row r="360" spans="1:7" x14ac:dyDescent="0.25">
      <c r="A360" s="10">
        <v>2022</v>
      </c>
      <c r="B360" s="10">
        <v>11</v>
      </c>
      <c r="C360" s="10">
        <v>434.08914879957501</v>
      </c>
      <c r="E360" s="10">
        <v>2022</v>
      </c>
      <c r="F360" s="10">
        <v>11</v>
      </c>
      <c r="G360" s="10">
        <v>433.27506332560699</v>
      </c>
    </row>
    <row r="361" spans="1:7" x14ac:dyDescent="0.25">
      <c r="A361" s="10">
        <v>2022</v>
      </c>
      <c r="B361" s="10">
        <v>12</v>
      </c>
      <c r="C361" s="10">
        <v>452.50345768629302</v>
      </c>
      <c r="E361" s="10">
        <v>2022</v>
      </c>
      <c r="F361" s="10">
        <v>12</v>
      </c>
      <c r="G361" s="10">
        <v>451.94723099370799</v>
      </c>
    </row>
    <row r="362" spans="1:7" x14ac:dyDescent="0.25">
      <c r="A362" s="10">
        <v>2023</v>
      </c>
      <c r="B362" s="10">
        <v>1</v>
      </c>
      <c r="C362" s="10">
        <v>483.12557710004398</v>
      </c>
      <c r="E362" s="10">
        <v>2023</v>
      </c>
      <c r="F362" s="10">
        <v>1</v>
      </c>
      <c r="G362" s="10">
        <v>482.662820270037</v>
      </c>
    </row>
    <row r="363" spans="1:7" x14ac:dyDescent="0.25">
      <c r="A363" s="10">
        <v>2023</v>
      </c>
      <c r="B363" s="10">
        <v>2</v>
      </c>
      <c r="C363" s="10">
        <v>429.29865302229899</v>
      </c>
      <c r="E363" s="10">
        <v>2023</v>
      </c>
      <c r="F363" s="10">
        <v>2</v>
      </c>
      <c r="G363" s="10">
        <v>429.06315986717402</v>
      </c>
    </row>
    <row r="364" spans="1:7" x14ac:dyDescent="0.25">
      <c r="A364" s="10">
        <v>2023</v>
      </c>
      <c r="B364" s="10">
        <v>3</v>
      </c>
      <c r="C364" s="10">
        <v>416.502152999712</v>
      </c>
      <c r="E364" s="10">
        <v>2023</v>
      </c>
      <c r="F364" s="10">
        <v>3</v>
      </c>
      <c r="G364" s="10">
        <v>416.31741572943599</v>
      </c>
    </row>
    <row r="365" spans="1:7" x14ac:dyDescent="0.25">
      <c r="A365" s="10">
        <v>2023</v>
      </c>
      <c r="B365" s="10">
        <v>4</v>
      </c>
      <c r="C365" s="10">
        <v>438.32881341618099</v>
      </c>
      <c r="E365" s="10">
        <v>2023</v>
      </c>
      <c r="F365" s="10">
        <v>4</v>
      </c>
      <c r="G365" s="10">
        <v>438.04166669742102</v>
      </c>
    </row>
    <row r="366" spans="1:7" x14ac:dyDescent="0.25">
      <c r="A366" s="10">
        <v>2023</v>
      </c>
      <c r="B366" s="10">
        <v>5</v>
      </c>
      <c r="C366" s="10">
        <v>439.06579141992802</v>
      </c>
      <c r="E366" s="10">
        <v>2023</v>
      </c>
      <c r="F366" s="10">
        <v>5</v>
      </c>
      <c r="G366" s="10">
        <v>439.187604611295</v>
      </c>
    </row>
    <row r="367" spans="1:7" x14ac:dyDescent="0.25">
      <c r="A367" s="10">
        <v>2023</v>
      </c>
      <c r="B367" s="10">
        <v>6</v>
      </c>
      <c r="C367" s="10">
        <v>431.93780165548702</v>
      </c>
      <c r="E367" s="10">
        <v>2023</v>
      </c>
      <c r="F367" s="10">
        <v>6</v>
      </c>
      <c r="G367" s="10">
        <v>430.90660938761602</v>
      </c>
    </row>
    <row r="368" spans="1:7" x14ac:dyDescent="0.25">
      <c r="A368" s="10">
        <v>2023</v>
      </c>
      <c r="B368" s="10">
        <v>7</v>
      </c>
      <c r="C368" s="10">
        <v>334.27586985872102</v>
      </c>
      <c r="E368" s="10">
        <v>2023</v>
      </c>
      <c r="F368" s="10">
        <v>7</v>
      </c>
      <c r="G368" s="10">
        <v>334.53681413062498</v>
      </c>
    </row>
    <row r="369" spans="1:7" x14ac:dyDescent="0.25">
      <c r="A369" s="10">
        <v>2023</v>
      </c>
      <c r="B369" s="10">
        <v>8</v>
      </c>
      <c r="C369" s="10">
        <v>401.297996741649</v>
      </c>
      <c r="E369" s="10">
        <v>2023</v>
      </c>
      <c r="F369" s="10">
        <v>8</v>
      </c>
      <c r="G369" s="10">
        <v>401.88631750982898</v>
      </c>
    </row>
    <row r="370" spans="1:7" x14ac:dyDescent="0.25">
      <c r="A370" s="10">
        <v>2023</v>
      </c>
      <c r="B370" s="10">
        <v>9</v>
      </c>
      <c r="C370" s="10">
        <v>414.50014498983597</v>
      </c>
      <c r="E370" s="10">
        <v>2023</v>
      </c>
      <c r="F370" s="10">
        <v>9</v>
      </c>
      <c r="G370" s="10">
        <v>417.152414020111</v>
      </c>
    </row>
    <row r="371" spans="1:7" x14ac:dyDescent="0.25">
      <c r="A371" s="10">
        <v>2023</v>
      </c>
      <c r="B371" s="10">
        <v>10</v>
      </c>
      <c r="C371" s="10">
        <v>411.56007590616503</v>
      </c>
      <c r="E371" s="10">
        <v>2023</v>
      </c>
      <c r="F371" s="10">
        <v>10</v>
      </c>
      <c r="G371" s="10">
        <v>412.975693462479</v>
      </c>
    </row>
    <row r="372" spans="1:7" x14ac:dyDescent="0.25">
      <c r="A372" s="10">
        <v>2023</v>
      </c>
      <c r="B372" s="10">
        <v>11</v>
      </c>
      <c r="C372" s="10">
        <v>389.09545131162997</v>
      </c>
      <c r="E372" s="10">
        <v>2023</v>
      </c>
      <c r="F372" s="10">
        <v>11</v>
      </c>
      <c r="G372" s="10">
        <v>387.07449561463102</v>
      </c>
    </row>
    <row r="373" spans="1:7" x14ac:dyDescent="0.25">
      <c r="A373" s="10">
        <v>2023</v>
      </c>
      <c r="B373" s="10">
        <v>12</v>
      </c>
      <c r="C373" s="10">
        <v>348.2767722822</v>
      </c>
      <c r="E373" s="10">
        <v>2023</v>
      </c>
      <c r="F373" s="10">
        <v>12</v>
      </c>
      <c r="G373" s="10">
        <v>347.32131283249998</v>
      </c>
    </row>
    <row r="374" spans="1:7" x14ac:dyDescent="0.25">
      <c r="A374" s="10">
        <v>2024</v>
      </c>
      <c r="B374" s="10">
        <v>1</v>
      </c>
      <c r="C374" s="10">
        <v>450.56399047587797</v>
      </c>
      <c r="E374" s="10">
        <v>2024</v>
      </c>
      <c r="F374" s="10">
        <v>1</v>
      </c>
      <c r="G374" s="10">
        <v>449.95994116793702</v>
      </c>
    </row>
    <row r="375" spans="1:7" x14ac:dyDescent="0.25">
      <c r="A375" s="10">
        <v>2024</v>
      </c>
      <c r="B375" s="10">
        <v>2</v>
      </c>
      <c r="C375" s="10">
        <v>358.00424246835399</v>
      </c>
      <c r="E375" s="10">
        <v>2024</v>
      </c>
      <c r="F375" s="10">
        <v>2</v>
      </c>
      <c r="G375" s="10">
        <v>357.742689714395</v>
      </c>
    </row>
    <row r="376" spans="1:7" x14ac:dyDescent="0.25">
      <c r="A376" s="10">
        <v>2024</v>
      </c>
      <c r="B376" s="10">
        <v>3</v>
      </c>
      <c r="C376" s="10">
        <v>244.919038124065</v>
      </c>
      <c r="E376" s="10">
        <v>2024</v>
      </c>
      <c r="F376" s="10">
        <v>3</v>
      </c>
      <c r="G376" s="10">
        <v>244.52580251228201</v>
      </c>
    </row>
    <row r="377" spans="1:7" x14ac:dyDescent="0.25">
      <c r="A377" s="10">
        <v>2024</v>
      </c>
      <c r="B377" s="10">
        <v>4</v>
      </c>
      <c r="C377" s="10">
        <v>326.95935239274701</v>
      </c>
      <c r="E377" s="10">
        <v>2024</v>
      </c>
      <c r="F377" s="10">
        <v>4</v>
      </c>
      <c r="G377" s="10">
        <v>326.89037322518698</v>
      </c>
    </row>
    <row r="378" spans="1:7" x14ac:dyDescent="0.25">
      <c r="A378" s="10">
        <v>2024</v>
      </c>
      <c r="B378" s="10">
        <v>5</v>
      </c>
      <c r="C378" s="10">
        <v>306.80437681409398</v>
      </c>
      <c r="E378" s="10">
        <v>2024</v>
      </c>
      <c r="F378" s="10">
        <v>5</v>
      </c>
      <c r="G378" s="10">
        <v>306.99543545321302</v>
      </c>
    </row>
    <row r="379" spans="1:7" x14ac:dyDescent="0.25">
      <c r="A379" s="10">
        <v>2024</v>
      </c>
      <c r="B379" s="10">
        <v>6</v>
      </c>
      <c r="C379" s="10">
        <v>284.48156024817001</v>
      </c>
      <c r="E379" s="10">
        <v>2024</v>
      </c>
      <c r="F379" s="10">
        <v>6</v>
      </c>
      <c r="G379" s="10">
        <v>283.31646884956501</v>
      </c>
    </row>
    <row r="380" spans="1:7" x14ac:dyDescent="0.25">
      <c r="A380" s="10">
        <v>2024</v>
      </c>
      <c r="B380" s="10">
        <v>7</v>
      </c>
      <c r="C380" s="10">
        <v>306.24785820784001</v>
      </c>
      <c r="E380" s="10">
        <v>2024</v>
      </c>
      <c r="F380" s="10">
        <v>7</v>
      </c>
      <c r="G380" s="10">
        <v>306.80663062436003</v>
      </c>
    </row>
    <row r="381" spans="1:7" x14ac:dyDescent="0.25">
      <c r="A381" s="10">
        <v>2024</v>
      </c>
      <c r="B381" s="10">
        <v>8</v>
      </c>
      <c r="C381" s="10">
        <v>322.76726901569998</v>
      </c>
      <c r="E381" s="10">
        <v>2024</v>
      </c>
      <c r="F381" s="10">
        <v>8</v>
      </c>
      <c r="G381" s="10">
        <v>323.496079372108</v>
      </c>
    </row>
    <row r="382" spans="1:7" x14ac:dyDescent="0.25">
      <c r="A382" s="10">
        <v>2024</v>
      </c>
      <c r="B382" s="10">
        <v>9</v>
      </c>
      <c r="C382" s="10">
        <v>337.68937270976897</v>
      </c>
      <c r="E382" s="10">
        <v>2024</v>
      </c>
      <c r="F382" s="10">
        <v>9</v>
      </c>
      <c r="G382" s="10">
        <v>340.60971453545</v>
      </c>
    </row>
    <row r="383" spans="1:7" x14ac:dyDescent="0.25">
      <c r="A383" s="10">
        <v>2024</v>
      </c>
      <c r="B383" s="10">
        <v>10</v>
      </c>
      <c r="C383" s="10">
        <v>310.94418402010803</v>
      </c>
      <c r="E383" s="10">
        <v>2024</v>
      </c>
      <c r="F383" s="10">
        <v>10</v>
      </c>
      <c r="G383" s="10">
        <v>313.582593200833</v>
      </c>
    </row>
    <row r="384" spans="1:7" x14ac:dyDescent="0.25">
      <c r="A384" s="10">
        <v>2024</v>
      </c>
      <c r="B384" s="10">
        <v>11</v>
      </c>
      <c r="C384" s="10">
        <v>315.36935545855198</v>
      </c>
      <c r="E384" s="10">
        <v>2024</v>
      </c>
      <c r="F384" s="10">
        <v>11</v>
      </c>
      <c r="G384" s="10">
        <v>311.81540386745598</v>
      </c>
    </row>
    <row r="385" spans="1:7" x14ac:dyDescent="0.25">
      <c r="A385" s="10">
        <v>2024</v>
      </c>
      <c r="B385" s="10">
        <v>12</v>
      </c>
      <c r="C385" s="10">
        <v>275.58623863039497</v>
      </c>
      <c r="E385" s="10">
        <v>2024</v>
      </c>
      <c r="F385" s="10">
        <v>12</v>
      </c>
      <c r="G385" s="10">
        <v>274.446565623548</v>
      </c>
    </row>
    <row r="386" spans="1:7" x14ac:dyDescent="0.25">
      <c r="A386" s="10">
        <v>2025</v>
      </c>
      <c r="B386" s="10">
        <v>1</v>
      </c>
      <c r="C386" s="10">
        <v>342.96178985564597</v>
      </c>
      <c r="E386" s="10">
        <v>2025</v>
      </c>
      <c r="F386" s="10">
        <v>1</v>
      </c>
      <c r="G386" s="10">
        <v>342.19749465515298</v>
      </c>
    </row>
    <row r="387" spans="1:7" x14ac:dyDescent="0.25">
      <c r="A387" s="10">
        <v>2025</v>
      </c>
      <c r="B387" s="10">
        <v>2</v>
      </c>
      <c r="C387" s="10">
        <v>380.01898480717199</v>
      </c>
      <c r="E387" s="10">
        <v>2025</v>
      </c>
      <c r="F387" s="10">
        <v>2</v>
      </c>
      <c r="G387" s="10">
        <v>379.70444175448301</v>
      </c>
    </row>
    <row r="388" spans="1:7" x14ac:dyDescent="0.25">
      <c r="A388" s="10">
        <v>2025</v>
      </c>
      <c r="B388" s="10">
        <v>3</v>
      </c>
      <c r="C388" s="10">
        <v>334.407920261779</v>
      </c>
      <c r="E388" s="10">
        <v>2025</v>
      </c>
      <c r="F388" s="10">
        <v>3</v>
      </c>
      <c r="G388" s="10">
        <v>334.04334270306299</v>
      </c>
    </row>
    <row r="389" spans="1:7" x14ac:dyDescent="0.25">
      <c r="A389" s="10">
        <v>2025</v>
      </c>
      <c r="B389" s="10">
        <v>4</v>
      </c>
      <c r="C389" s="10">
        <v>328.03234646617301</v>
      </c>
      <c r="E389" s="10">
        <v>2025</v>
      </c>
      <c r="F389" s="10">
        <v>4</v>
      </c>
      <c r="G389" s="10">
        <v>328.03367575485601</v>
      </c>
    </row>
    <row r="390" spans="1:7" x14ac:dyDescent="0.25">
      <c r="A390" s="10">
        <v>2025</v>
      </c>
      <c r="B390" s="10">
        <v>5</v>
      </c>
      <c r="C390" s="10">
        <v>343.66379905512503</v>
      </c>
      <c r="E390" s="10">
        <v>2025</v>
      </c>
      <c r="F390" s="10">
        <v>5</v>
      </c>
      <c r="G390" s="10">
        <v>343.81123170430101</v>
      </c>
    </row>
    <row r="391" spans="1:7" x14ac:dyDescent="0.25">
      <c r="A391" s="10">
        <v>2025</v>
      </c>
      <c r="B391" s="10">
        <v>6</v>
      </c>
      <c r="C391" s="10">
        <v>332.46247029826202</v>
      </c>
      <c r="E391" s="10">
        <v>2025</v>
      </c>
      <c r="F391" s="10">
        <v>6</v>
      </c>
      <c r="G391" s="10">
        <v>331.23463104770798</v>
      </c>
    </row>
    <row r="392" spans="1:7" x14ac:dyDescent="0.25">
      <c r="A392" s="10">
        <v>2025</v>
      </c>
      <c r="B392" s="10">
        <v>7</v>
      </c>
      <c r="C392" s="10">
        <v>321.48234180584501</v>
      </c>
      <c r="E392" s="10">
        <v>2025</v>
      </c>
      <c r="F392" s="10">
        <v>7</v>
      </c>
      <c r="G392" s="10">
        <v>322.01443269482797</v>
      </c>
    </row>
    <row r="393" spans="1:7" x14ac:dyDescent="0.25">
      <c r="A393" s="10">
        <v>2025</v>
      </c>
      <c r="B393" s="10">
        <v>8</v>
      </c>
      <c r="C393" s="10">
        <v>342.62290496048098</v>
      </c>
      <c r="E393" s="10">
        <v>2025</v>
      </c>
      <c r="F393" s="10">
        <v>8</v>
      </c>
      <c r="G393" s="10">
        <v>343.26901046370398</v>
      </c>
    </row>
    <row r="394" spans="1:7" x14ac:dyDescent="0.25">
      <c r="A394" s="10">
        <v>2025</v>
      </c>
      <c r="B394" s="10">
        <v>9</v>
      </c>
      <c r="C394" s="10">
        <v>323.59983860137697</v>
      </c>
      <c r="E394" s="10">
        <v>2025</v>
      </c>
      <c r="F394" s="10">
        <v>9</v>
      </c>
      <c r="G394" s="10">
        <v>326.648621034923</v>
      </c>
    </row>
    <row r="395" spans="1:7" x14ac:dyDescent="0.25">
      <c r="E395" s="10">
        <v>2025</v>
      </c>
      <c r="F395" s="10">
        <v>10</v>
      </c>
      <c r="G395" s="10">
        <v>328.15969144946399</v>
      </c>
    </row>
    <row r="396" spans="1:7" x14ac:dyDescent="0.25">
      <c r="E396" s="10">
        <v>2025</v>
      </c>
      <c r="F396" s="10">
        <v>11</v>
      </c>
      <c r="G396" s="10">
        <v>348.52505621602302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EEAB-0D05-4811-9E42-965D7314A5FF}">
  <dimension ref="A1:C393"/>
  <sheetViews>
    <sheetView workbookViewId="0">
      <selection activeCell="C2" sqref="C2:C393"/>
    </sheetView>
  </sheetViews>
  <sheetFormatPr baseColWidth="10" defaultRowHeight="15" x14ac:dyDescent="0.25"/>
  <sheetData>
    <row r="1" spans="1:3" x14ac:dyDescent="0.25">
      <c r="A1" s="9" t="s">
        <v>34</v>
      </c>
      <c r="B1" s="9" t="s">
        <v>35</v>
      </c>
      <c r="C1" s="9" t="s">
        <v>36</v>
      </c>
    </row>
    <row r="2" spans="1:3" x14ac:dyDescent="0.25">
      <c r="A2" s="10">
        <v>1993</v>
      </c>
      <c r="B2" s="10">
        <v>1</v>
      </c>
      <c r="C2" s="10">
        <v>243.44583175496601</v>
      </c>
    </row>
    <row r="3" spans="1:3" x14ac:dyDescent="0.25">
      <c r="A3" s="10">
        <v>1993</v>
      </c>
      <c r="B3" s="10">
        <v>2</v>
      </c>
      <c r="C3" s="10">
        <v>233.87596922936501</v>
      </c>
    </row>
    <row r="4" spans="1:3" x14ac:dyDescent="0.25">
      <c r="A4" s="10">
        <v>1993</v>
      </c>
      <c r="B4" s="10">
        <v>3</v>
      </c>
      <c r="C4" s="10">
        <v>228.196682225899</v>
      </c>
    </row>
    <row r="5" spans="1:3" x14ac:dyDescent="0.25">
      <c r="A5" s="10">
        <v>1993</v>
      </c>
      <c r="B5" s="10">
        <v>4</v>
      </c>
      <c r="C5" s="10">
        <v>245.06003313878099</v>
      </c>
    </row>
    <row r="6" spans="1:3" x14ac:dyDescent="0.25">
      <c r="A6" s="10">
        <v>1993</v>
      </c>
      <c r="B6" s="10">
        <v>5</v>
      </c>
      <c r="C6" s="10">
        <v>248.34270381188099</v>
      </c>
    </row>
    <row r="7" spans="1:3" x14ac:dyDescent="0.25">
      <c r="A7" s="10">
        <v>1993</v>
      </c>
      <c r="B7" s="10">
        <v>6</v>
      </c>
      <c r="C7" s="10">
        <v>251.03641049366701</v>
      </c>
    </row>
    <row r="8" spans="1:3" x14ac:dyDescent="0.25">
      <c r="A8" s="10">
        <v>1993</v>
      </c>
      <c r="B8" s="10">
        <v>7</v>
      </c>
      <c r="C8" s="10">
        <v>239.00454748585301</v>
      </c>
    </row>
    <row r="9" spans="1:3" x14ac:dyDescent="0.25">
      <c r="A9" s="10">
        <v>1993</v>
      </c>
      <c r="B9" s="10">
        <v>8</v>
      </c>
      <c r="C9" s="10">
        <v>245.57001342185299</v>
      </c>
    </row>
    <row r="10" spans="1:3" x14ac:dyDescent="0.25">
      <c r="A10" s="10">
        <v>1993</v>
      </c>
      <c r="B10" s="10">
        <v>9</v>
      </c>
      <c r="C10" s="10">
        <v>254.76830329059101</v>
      </c>
    </row>
    <row r="11" spans="1:3" x14ac:dyDescent="0.25">
      <c r="A11" s="10">
        <v>1993</v>
      </c>
      <c r="B11" s="10">
        <v>10</v>
      </c>
      <c r="C11" s="10">
        <v>237.60026089176401</v>
      </c>
    </row>
    <row r="12" spans="1:3" x14ac:dyDescent="0.25">
      <c r="A12" s="10">
        <v>1993</v>
      </c>
      <c r="B12" s="10">
        <v>11</v>
      </c>
      <c r="C12" s="10">
        <v>233.392017472117</v>
      </c>
    </row>
    <row r="13" spans="1:3" x14ac:dyDescent="0.25">
      <c r="A13" s="10">
        <v>1993</v>
      </c>
      <c r="B13" s="10">
        <v>12</v>
      </c>
      <c r="C13" s="10">
        <v>232.375517849467</v>
      </c>
    </row>
    <row r="14" spans="1:3" x14ac:dyDescent="0.25">
      <c r="A14" s="10">
        <v>1994</v>
      </c>
      <c r="B14" s="10">
        <v>1</v>
      </c>
      <c r="C14" s="10">
        <v>260.06813423841697</v>
      </c>
    </row>
    <row r="15" spans="1:3" x14ac:dyDescent="0.25">
      <c r="A15" s="10">
        <v>1994</v>
      </c>
      <c r="B15" s="10">
        <v>2</v>
      </c>
      <c r="C15" s="10">
        <v>250.229324142341</v>
      </c>
    </row>
    <row r="16" spans="1:3" x14ac:dyDescent="0.25">
      <c r="A16" s="10">
        <v>1994</v>
      </c>
      <c r="B16" s="10">
        <v>3</v>
      </c>
      <c r="C16" s="10">
        <v>267.70458823107299</v>
      </c>
    </row>
    <row r="17" spans="1:3" x14ac:dyDescent="0.25">
      <c r="A17" s="10">
        <v>1994</v>
      </c>
      <c r="B17" s="10">
        <v>4</v>
      </c>
      <c r="C17" s="10">
        <v>285.73281403994002</v>
      </c>
    </row>
    <row r="18" spans="1:3" x14ac:dyDescent="0.25">
      <c r="A18" s="10">
        <v>1994</v>
      </c>
      <c r="B18" s="10">
        <v>5</v>
      </c>
      <c r="C18" s="10">
        <v>264.82332193148699</v>
      </c>
    </row>
    <row r="19" spans="1:3" x14ac:dyDescent="0.25">
      <c r="A19" s="10">
        <v>1994</v>
      </c>
      <c r="B19" s="10">
        <v>6</v>
      </c>
      <c r="C19" s="10">
        <v>262.580219552328</v>
      </c>
    </row>
    <row r="20" spans="1:3" x14ac:dyDescent="0.25">
      <c r="A20" s="10">
        <v>1994</v>
      </c>
      <c r="B20" s="10">
        <v>7</v>
      </c>
      <c r="C20" s="10">
        <v>269.373638388762</v>
      </c>
    </row>
    <row r="21" spans="1:3" x14ac:dyDescent="0.25">
      <c r="A21" s="10">
        <v>1994</v>
      </c>
      <c r="B21" s="10">
        <v>8</v>
      </c>
      <c r="C21" s="10">
        <v>292.01907430155399</v>
      </c>
    </row>
    <row r="22" spans="1:3" x14ac:dyDescent="0.25">
      <c r="A22" s="10">
        <v>1994</v>
      </c>
      <c r="B22" s="10">
        <v>9</v>
      </c>
      <c r="C22" s="10">
        <v>288.445082163368</v>
      </c>
    </row>
    <row r="23" spans="1:3" x14ac:dyDescent="0.25">
      <c r="A23" s="10">
        <v>1994</v>
      </c>
      <c r="B23" s="10">
        <v>10</v>
      </c>
      <c r="C23" s="10">
        <v>297.32820277595101</v>
      </c>
    </row>
    <row r="24" spans="1:3" x14ac:dyDescent="0.25">
      <c r="A24" s="10">
        <v>1994</v>
      </c>
      <c r="B24" s="10">
        <v>11</v>
      </c>
      <c r="C24" s="10">
        <v>272.09701817914203</v>
      </c>
    </row>
    <row r="25" spans="1:3" x14ac:dyDescent="0.25">
      <c r="A25" s="10">
        <v>1994</v>
      </c>
      <c r="B25" s="10">
        <v>12</v>
      </c>
      <c r="C25" s="10">
        <v>301.46399192517998</v>
      </c>
    </row>
    <row r="26" spans="1:3" x14ac:dyDescent="0.25">
      <c r="A26" s="10">
        <v>1995</v>
      </c>
      <c r="B26" s="10">
        <v>1</v>
      </c>
      <c r="C26" s="10">
        <v>296.294724725045</v>
      </c>
    </row>
    <row r="27" spans="1:3" x14ac:dyDescent="0.25">
      <c r="A27" s="10">
        <v>1995</v>
      </c>
      <c r="B27" s="10">
        <v>2</v>
      </c>
      <c r="C27" s="10">
        <v>293.34360483399399</v>
      </c>
    </row>
    <row r="28" spans="1:3" x14ac:dyDescent="0.25">
      <c r="A28" s="10">
        <v>1995</v>
      </c>
      <c r="B28" s="10">
        <v>3</v>
      </c>
      <c r="C28" s="10">
        <v>296.75997466111301</v>
      </c>
    </row>
    <row r="29" spans="1:3" x14ac:dyDescent="0.25">
      <c r="A29" s="10">
        <v>1995</v>
      </c>
      <c r="B29" s="10">
        <v>4</v>
      </c>
      <c r="C29" s="10">
        <v>287.54051105095101</v>
      </c>
    </row>
    <row r="30" spans="1:3" x14ac:dyDescent="0.25">
      <c r="A30" s="10">
        <v>1995</v>
      </c>
      <c r="B30" s="10">
        <v>5</v>
      </c>
      <c r="C30" s="10">
        <v>294.543557450805</v>
      </c>
    </row>
    <row r="31" spans="1:3" x14ac:dyDescent="0.25">
      <c r="A31" s="10">
        <v>1995</v>
      </c>
      <c r="B31" s="10">
        <v>6</v>
      </c>
      <c r="C31" s="10">
        <v>294.53775390530899</v>
      </c>
    </row>
    <row r="32" spans="1:3" x14ac:dyDescent="0.25">
      <c r="A32" s="10">
        <v>1995</v>
      </c>
      <c r="B32" s="10">
        <v>7</v>
      </c>
      <c r="C32" s="10">
        <v>306.60059252509097</v>
      </c>
    </row>
    <row r="33" spans="1:3" x14ac:dyDescent="0.25">
      <c r="A33" s="10">
        <v>1995</v>
      </c>
      <c r="B33" s="10">
        <v>8</v>
      </c>
      <c r="C33" s="10">
        <v>297.45339376855497</v>
      </c>
    </row>
    <row r="34" spans="1:3" x14ac:dyDescent="0.25">
      <c r="A34" s="10">
        <v>1995</v>
      </c>
      <c r="B34" s="10">
        <v>9</v>
      </c>
      <c r="C34" s="10">
        <v>297.38326157180001</v>
      </c>
    </row>
    <row r="35" spans="1:3" x14ac:dyDescent="0.25">
      <c r="A35" s="10">
        <v>1995</v>
      </c>
      <c r="B35" s="10">
        <v>10</v>
      </c>
      <c r="C35" s="10">
        <v>303.72848472615101</v>
      </c>
    </row>
    <row r="36" spans="1:3" x14ac:dyDescent="0.25">
      <c r="A36" s="10">
        <v>1995</v>
      </c>
      <c r="B36" s="10">
        <v>11</v>
      </c>
      <c r="C36" s="10">
        <v>315.74673219856902</v>
      </c>
    </row>
    <row r="37" spans="1:3" x14ac:dyDescent="0.25">
      <c r="A37" s="10">
        <v>1995</v>
      </c>
      <c r="B37" s="10">
        <v>12</v>
      </c>
      <c r="C37" s="10">
        <v>289.75630787508101</v>
      </c>
    </row>
    <row r="38" spans="1:3" x14ac:dyDescent="0.25">
      <c r="A38" s="10">
        <v>1996</v>
      </c>
      <c r="B38" s="10">
        <v>1</v>
      </c>
      <c r="C38" s="10">
        <v>309.51153776692303</v>
      </c>
    </row>
    <row r="39" spans="1:3" x14ac:dyDescent="0.25">
      <c r="A39" s="10">
        <v>1996</v>
      </c>
      <c r="B39" s="10">
        <v>2</v>
      </c>
      <c r="C39" s="10">
        <v>332.573913763213</v>
      </c>
    </row>
    <row r="40" spans="1:3" x14ac:dyDescent="0.25">
      <c r="A40" s="10">
        <v>1996</v>
      </c>
      <c r="B40" s="10">
        <v>3</v>
      </c>
      <c r="C40" s="10">
        <v>353.093838573364</v>
      </c>
    </row>
    <row r="41" spans="1:3" x14ac:dyDescent="0.25">
      <c r="A41" s="10">
        <v>1996</v>
      </c>
      <c r="B41" s="10">
        <v>4</v>
      </c>
      <c r="C41" s="10">
        <v>330.92571900688603</v>
      </c>
    </row>
    <row r="42" spans="1:3" x14ac:dyDescent="0.25">
      <c r="A42" s="10">
        <v>1996</v>
      </c>
      <c r="B42" s="10">
        <v>5</v>
      </c>
      <c r="C42" s="10">
        <v>335.54571595314701</v>
      </c>
    </row>
    <row r="43" spans="1:3" x14ac:dyDescent="0.25">
      <c r="A43" s="10">
        <v>1996</v>
      </c>
      <c r="B43" s="10">
        <v>6</v>
      </c>
      <c r="C43" s="10">
        <v>343.58415381076099</v>
      </c>
    </row>
    <row r="44" spans="1:3" x14ac:dyDescent="0.25">
      <c r="A44" s="10">
        <v>1996</v>
      </c>
      <c r="B44" s="10">
        <v>7</v>
      </c>
      <c r="C44" s="10">
        <v>334.79842159880297</v>
      </c>
    </row>
    <row r="45" spans="1:3" x14ac:dyDescent="0.25">
      <c r="A45" s="10">
        <v>1996</v>
      </c>
      <c r="B45" s="10">
        <v>8</v>
      </c>
      <c r="C45" s="10">
        <v>333.54556333386603</v>
      </c>
    </row>
    <row r="46" spans="1:3" x14ac:dyDescent="0.25">
      <c r="A46" s="10">
        <v>1996</v>
      </c>
      <c r="B46" s="10">
        <v>9</v>
      </c>
      <c r="C46" s="10">
        <v>333.63249937779301</v>
      </c>
    </row>
    <row r="47" spans="1:3" x14ac:dyDescent="0.25">
      <c r="A47" s="10">
        <v>1996</v>
      </c>
      <c r="B47" s="10">
        <v>10</v>
      </c>
      <c r="C47" s="10">
        <v>344.24959341844902</v>
      </c>
    </row>
    <row r="48" spans="1:3" x14ac:dyDescent="0.25">
      <c r="A48" s="10">
        <v>1996</v>
      </c>
      <c r="B48" s="10">
        <v>11</v>
      </c>
      <c r="C48" s="10">
        <v>348.48293746817598</v>
      </c>
    </row>
    <row r="49" spans="1:3" x14ac:dyDescent="0.25">
      <c r="A49" s="10">
        <v>1996</v>
      </c>
      <c r="B49" s="10">
        <v>12</v>
      </c>
      <c r="C49" s="10">
        <v>347.24060392799902</v>
      </c>
    </row>
    <row r="50" spans="1:3" x14ac:dyDescent="0.25">
      <c r="A50" s="10">
        <v>1997</v>
      </c>
      <c r="B50" s="10">
        <v>1</v>
      </c>
      <c r="C50" s="10">
        <v>314.74965677257597</v>
      </c>
    </row>
    <row r="51" spans="1:3" x14ac:dyDescent="0.25">
      <c r="A51" s="10">
        <v>1997</v>
      </c>
      <c r="B51" s="10">
        <v>2</v>
      </c>
      <c r="C51" s="10">
        <v>337.99671080339402</v>
      </c>
    </row>
    <row r="52" spans="1:3" x14ac:dyDescent="0.25">
      <c r="A52" s="10">
        <v>1997</v>
      </c>
      <c r="B52" s="10">
        <v>3</v>
      </c>
      <c r="C52" s="10">
        <v>349.50371958728198</v>
      </c>
    </row>
    <row r="53" spans="1:3" x14ac:dyDescent="0.25">
      <c r="A53" s="10">
        <v>1997</v>
      </c>
      <c r="B53" s="10">
        <v>4</v>
      </c>
      <c r="C53" s="10">
        <v>360.29102947244598</v>
      </c>
    </row>
    <row r="54" spans="1:3" x14ac:dyDescent="0.25">
      <c r="A54" s="10">
        <v>1997</v>
      </c>
      <c r="B54" s="10">
        <v>5</v>
      </c>
      <c r="C54" s="10">
        <v>343.36722983888302</v>
      </c>
    </row>
    <row r="55" spans="1:3" x14ac:dyDescent="0.25">
      <c r="A55" s="10">
        <v>1997</v>
      </c>
      <c r="B55" s="10">
        <v>6</v>
      </c>
      <c r="C55" s="10">
        <v>352.99853150992698</v>
      </c>
    </row>
    <row r="56" spans="1:3" x14ac:dyDescent="0.25">
      <c r="A56" s="10">
        <v>1997</v>
      </c>
      <c r="B56" s="10">
        <v>7</v>
      </c>
      <c r="C56" s="10">
        <v>361.59239681492699</v>
      </c>
    </row>
    <row r="57" spans="1:3" x14ac:dyDescent="0.25">
      <c r="A57" s="10">
        <v>1997</v>
      </c>
      <c r="B57" s="10">
        <v>8</v>
      </c>
      <c r="C57" s="10">
        <v>338.141569018106</v>
      </c>
    </row>
    <row r="58" spans="1:3" x14ac:dyDescent="0.25">
      <c r="A58" s="10">
        <v>1997</v>
      </c>
      <c r="B58" s="10">
        <v>9</v>
      </c>
      <c r="C58" s="10">
        <v>352.94765888310701</v>
      </c>
    </row>
    <row r="59" spans="1:3" x14ac:dyDescent="0.25">
      <c r="A59" s="10">
        <v>1997</v>
      </c>
      <c r="B59" s="10">
        <v>10</v>
      </c>
      <c r="C59" s="10">
        <v>356.40709869291101</v>
      </c>
    </row>
    <row r="60" spans="1:3" x14ac:dyDescent="0.25">
      <c r="A60" s="10">
        <v>1997</v>
      </c>
      <c r="B60" s="10">
        <v>11</v>
      </c>
      <c r="C60" s="10">
        <v>348.55369573528202</v>
      </c>
    </row>
    <row r="61" spans="1:3" x14ac:dyDescent="0.25">
      <c r="A61" s="10">
        <v>1997</v>
      </c>
      <c r="B61" s="10">
        <v>12</v>
      </c>
      <c r="C61" s="10">
        <v>358.20450178024402</v>
      </c>
    </row>
    <row r="62" spans="1:3" x14ac:dyDescent="0.25">
      <c r="A62" s="10">
        <v>1998</v>
      </c>
      <c r="B62" s="10">
        <v>1</v>
      </c>
      <c r="C62" s="10">
        <v>374.68811150990399</v>
      </c>
    </row>
    <row r="63" spans="1:3" x14ac:dyDescent="0.25">
      <c r="A63" s="10">
        <v>1998</v>
      </c>
      <c r="B63" s="10">
        <v>2</v>
      </c>
      <c r="C63" s="10">
        <v>387.65145280574001</v>
      </c>
    </row>
    <row r="64" spans="1:3" x14ac:dyDescent="0.25">
      <c r="A64" s="10">
        <v>1998</v>
      </c>
      <c r="B64" s="10">
        <v>3</v>
      </c>
      <c r="C64" s="10">
        <v>329.79563484714402</v>
      </c>
    </row>
    <row r="65" spans="1:3" x14ac:dyDescent="0.25">
      <c r="A65" s="10">
        <v>1998</v>
      </c>
      <c r="B65" s="10">
        <v>4</v>
      </c>
      <c r="C65" s="10">
        <v>362.382657644159</v>
      </c>
    </row>
    <row r="66" spans="1:3" x14ac:dyDescent="0.25">
      <c r="A66" s="10">
        <v>1998</v>
      </c>
      <c r="B66" s="10">
        <v>5</v>
      </c>
      <c r="C66" s="10">
        <v>376.65890346274699</v>
      </c>
    </row>
    <row r="67" spans="1:3" x14ac:dyDescent="0.25">
      <c r="A67" s="10">
        <v>1998</v>
      </c>
      <c r="B67" s="10">
        <v>6</v>
      </c>
      <c r="C67" s="10">
        <v>369.873447820781</v>
      </c>
    </row>
    <row r="68" spans="1:3" x14ac:dyDescent="0.25">
      <c r="A68" s="10">
        <v>1998</v>
      </c>
      <c r="B68" s="10">
        <v>7</v>
      </c>
      <c r="C68" s="10">
        <v>338.49759979880901</v>
      </c>
    </row>
    <row r="69" spans="1:3" x14ac:dyDescent="0.25">
      <c r="A69" s="10">
        <v>1998</v>
      </c>
      <c r="B69" s="10">
        <v>8</v>
      </c>
      <c r="C69" s="10">
        <v>366.00506661114599</v>
      </c>
    </row>
    <row r="70" spans="1:3" x14ac:dyDescent="0.25">
      <c r="A70" s="10">
        <v>1998</v>
      </c>
      <c r="B70" s="10">
        <v>9</v>
      </c>
      <c r="C70" s="10">
        <v>341.78959278684903</v>
      </c>
    </row>
    <row r="71" spans="1:3" x14ac:dyDescent="0.25">
      <c r="A71" s="10">
        <v>1998</v>
      </c>
      <c r="B71" s="10">
        <v>10</v>
      </c>
      <c r="C71" s="10">
        <v>336.22051826144002</v>
      </c>
    </row>
    <row r="72" spans="1:3" x14ac:dyDescent="0.25">
      <c r="A72" s="10">
        <v>1998</v>
      </c>
      <c r="B72" s="10">
        <v>11</v>
      </c>
      <c r="C72" s="10">
        <v>329.18987533522602</v>
      </c>
    </row>
    <row r="73" spans="1:3" x14ac:dyDescent="0.25">
      <c r="A73" s="10">
        <v>1998</v>
      </c>
      <c r="B73" s="10">
        <v>12</v>
      </c>
      <c r="C73" s="10">
        <v>310.73041088086802</v>
      </c>
    </row>
    <row r="74" spans="1:3" x14ac:dyDescent="0.25">
      <c r="A74" s="10">
        <v>1999</v>
      </c>
      <c r="B74" s="10">
        <v>1</v>
      </c>
      <c r="C74" s="10">
        <v>302.95829866394399</v>
      </c>
    </row>
    <row r="75" spans="1:3" x14ac:dyDescent="0.25">
      <c r="A75" s="10">
        <v>1999</v>
      </c>
      <c r="B75" s="10">
        <v>2</v>
      </c>
      <c r="C75" s="10">
        <v>293.71347769775599</v>
      </c>
    </row>
    <row r="76" spans="1:3" x14ac:dyDescent="0.25">
      <c r="A76" s="10">
        <v>1999</v>
      </c>
      <c r="B76" s="10">
        <v>3</v>
      </c>
      <c r="C76" s="10">
        <v>278.25214617789197</v>
      </c>
    </row>
    <row r="77" spans="1:3" x14ac:dyDescent="0.25">
      <c r="A77" s="10">
        <v>1999</v>
      </c>
      <c r="B77" s="10">
        <v>4</v>
      </c>
      <c r="C77" s="10">
        <v>287.94663386904199</v>
      </c>
    </row>
    <row r="78" spans="1:3" x14ac:dyDescent="0.25">
      <c r="A78" s="10">
        <v>1999</v>
      </c>
      <c r="B78" s="10">
        <v>5</v>
      </c>
      <c r="C78" s="10">
        <v>302.223715521972</v>
      </c>
    </row>
    <row r="79" spans="1:3" x14ac:dyDescent="0.25">
      <c r="A79" s="10">
        <v>1999</v>
      </c>
      <c r="B79" s="10">
        <v>6</v>
      </c>
      <c r="C79" s="10">
        <v>309.83580566357602</v>
      </c>
    </row>
    <row r="80" spans="1:3" x14ac:dyDescent="0.25">
      <c r="A80" s="10">
        <v>1999</v>
      </c>
      <c r="B80" s="10">
        <v>7</v>
      </c>
      <c r="C80" s="10">
        <v>330.86780268572198</v>
      </c>
    </row>
    <row r="81" spans="1:3" x14ac:dyDescent="0.25">
      <c r="A81" s="10">
        <v>1999</v>
      </c>
      <c r="B81" s="10">
        <v>8</v>
      </c>
      <c r="C81" s="10">
        <v>327.58063704064301</v>
      </c>
    </row>
    <row r="82" spans="1:3" x14ac:dyDescent="0.25">
      <c r="A82" s="10">
        <v>1999</v>
      </c>
      <c r="B82" s="10">
        <v>9</v>
      </c>
      <c r="C82" s="10">
        <v>335.12456929322798</v>
      </c>
    </row>
    <row r="83" spans="1:3" x14ac:dyDescent="0.25">
      <c r="A83" s="10">
        <v>1999</v>
      </c>
      <c r="B83" s="10">
        <v>10</v>
      </c>
      <c r="C83" s="10">
        <v>337.55729820978797</v>
      </c>
    </row>
    <row r="84" spans="1:3" x14ac:dyDescent="0.25">
      <c r="A84" s="10">
        <v>1999</v>
      </c>
      <c r="B84" s="10">
        <v>11</v>
      </c>
      <c r="C84" s="10">
        <v>350.98170981126498</v>
      </c>
    </row>
    <row r="85" spans="1:3" x14ac:dyDescent="0.25">
      <c r="A85" s="10">
        <v>1999</v>
      </c>
      <c r="B85" s="10">
        <v>12</v>
      </c>
      <c r="C85" s="10">
        <v>357.82553730657099</v>
      </c>
    </row>
    <row r="86" spans="1:3" x14ac:dyDescent="0.25">
      <c r="A86" s="10">
        <v>2000</v>
      </c>
      <c r="B86" s="10">
        <v>1</v>
      </c>
      <c r="C86" s="10">
        <v>354.21295841530701</v>
      </c>
    </row>
    <row r="87" spans="1:3" x14ac:dyDescent="0.25">
      <c r="A87" s="10">
        <v>2000</v>
      </c>
      <c r="B87" s="10">
        <v>2</v>
      </c>
      <c r="C87" s="10">
        <v>341.35153191807501</v>
      </c>
    </row>
    <row r="88" spans="1:3" x14ac:dyDescent="0.25">
      <c r="A88" s="10">
        <v>2000</v>
      </c>
      <c r="B88" s="10">
        <v>3</v>
      </c>
      <c r="C88" s="10">
        <v>385.87345880300802</v>
      </c>
    </row>
    <row r="89" spans="1:3" x14ac:dyDescent="0.25">
      <c r="A89" s="10">
        <v>2000</v>
      </c>
      <c r="B89" s="10">
        <v>4</v>
      </c>
      <c r="C89" s="10">
        <v>367.67384337384999</v>
      </c>
    </row>
    <row r="90" spans="1:3" x14ac:dyDescent="0.25">
      <c r="A90" s="10">
        <v>2000</v>
      </c>
      <c r="B90" s="10">
        <v>5</v>
      </c>
      <c r="C90" s="10">
        <v>336.47943485171999</v>
      </c>
    </row>
    <row r="91" spans="1:3" x14ac:dyDescent="0.25">
      <c r="A91" s="10">
        <v>2000</v>
      </c>
      <c r="B91" s="10">
        <v>6</v>
      </c>
      <c r="C91" s="10">
        <v>338.96593571821899</v>
      </c>
    </row>
    <row r="92" spans="1:3" x14ac:dyDescent="0.25">
      <c r="A92" s="10">
        <v>2000</v>
      </c>
      <c r="B92" s="10">
        <v>7</v>
      </c>
      <c r="C92" s="10">
        <v>357.90940785085002</v>
      </c>
    </row>
    <row r="93" spans="1:3" x14ac:dyDescent="0.25">
      <c r="A93" s="10">
        <v>2000</v>
      </c>
      <c r="B93" s="10">
        <v>8</v>
      </c>
      <c r="C93" s="10">
        <v>375.51804398210197</v>
      </c>
    </row>
    <row r="94" spans="1:3" x14ac:dyDescent="0.25">
      <c r="A94" s="10">
        <v>2000</v>
      </c>
      <c r="B94" s="10">
        <v>9</v>
      </c>
      <c r="C94" s="10">
        <v>394.896592067835</v>
      </c>
    </row>
    <row r="95" spans="1:3" x14ac:dyDescent="0.25">
      <c r="A95" s="10">
        <v>2000</v>
      </c>
      <c r="B95" s="10">
        <v>10</v>
      </c>
      <c r="C95" s="10">
        <v>391.31773990271301</v>
      </c>
    </row>
    <row r="96" spans="1:3" x14ac:dyDescent="0.25">
      <c r="A96" s="10">
        <v>2000</v>
      </c>
      <c r="B96" s="10">
        <v>11</v>
      </c>
      <c r="C96" s="10">
        <v>401.15663084153198</v>
      </c>
    </row>
    <row r="97" spans="1:3" x14ac:dyDescent="0.25">
      <c r="A97" s="10">
        <v>2000</v>
      </c>
      <c r="B97" s="10">
        <v>12</v>
      </c>
      <c r="C97" s="10">
        <v>412.440972329837</v>
      </c>
    </row>
    <row r="98" spans="1:3" x14ac:dyDescent="0.25">
      <c r="A98" s="10">
        <v>2001</v>
      </c>
      <c r="B98" s="10">
        <v>1</v>
      </c>
      <c r="C98" s="10">
        <v>381.93406938844203</v>
      </c>
    </row>
    <row r="99" spans="1:3" x14ac:dyDescent="0.25">
      <c r="A99" s="10">
        <v>2001</v>
      </c>
      <c r="B99" s="10">
        <v>2</v>
      </c>
      <c r="C99" s="10">
        <v>362.97892820910698</v>
      </c>
    </row>
    <row r="100" spans="1:3" x14ac:dyDescent="0.25">
      <c r="A100" s="10">
        <v>2001</v>
      </c>
      <c r="B100" s="10">
        <v>3</v>
      </c>
      <c r="C100" s="10">
        <v>381.093313010668</v>
      </c>
    </row>
    <row r="101" spans="1:3" x14ac:dyDescent="0.25">
      <c r="A101" s="10">
        <v>2001</v>
      </c>
      <c r="B101" s="10">
        <v>4</v>
      </c>
      <c r="C101" s="10">
        <v>374.73932902921399</v>
      </c>
    </row>
    <row r="102" spans="1:3" x14ac:dyDescent="0.25">
      <c r="A102" s="10">
        <v>2001</v>
      </c>
      <c r="B102" s="10">
        <v>5</v>
      </c>
      <c r="C102" s="10">
        <v>377.37217796440802</v>
      </c>
    </row>
    <row r="103" spans="1:3" x14ac:dyDescent="0.25">
      <c r="A103" s="10">
        <v>2001</v>
      </c>
      <c r="B103" s="10">
        <v>6</v>
      </c>
      <c r="C103" s="10">
        <v>376.81318692899799</v>
      </c>
    </row>
    <row r="104" spans="1:3" x14ac:dyDescent="0.25">
      <c r="A104" s="10">
        <v>2001</v>
      </c>
      <c r="B104" s="10">
        <v>7</v>
      </c>
      <c r="C104" s="10">
        <v>348.980011092513</v>
      </c>
    </row>
    <row r="105" spans="1:3" x14ac:dyDescent="0.25">
      <c r="A105" s="10">
        <v>2001</v>
      </c>
      <c r="B105" s="10">
        <v>8</v>
      </c>
      <c r="C105" s="10">
        <v>255.32861715460899</v>
      </c>
    </row>
    <row r="106" spans="1:3" x14ac:dyDescent="0.25">
      <c r="A106" s="10">
        <v>2001</v>
      </c>
      <c r="B106" s="10">
        <v>9</v>
      </c>
      <c r="C106" s="10">
        <v>339.436170533167</v>
      </c>
    </row>
    <row r="107" spans="1:3" x14ac:dyDescent="0.25">
      <c r="A107" s="10">
        <v>2001</v>
      </c>
      <c r="B107" s="10">
        <v>10</v>
      </c>
      <c r="C107" s="10">
        <v>313.88235162774703</v>
      </c>
    </row>
    <row r="108" spans="1:3" x14ac:dyDescent="0.25">
      <c r="A108" s="10">
        <v>2001</v>
      </c>
      <c r="B108" s="10">
        <v>11</v>
      </c>
      <c r="C108" s="10">
        <v>308.70551269847402</v>
      </c>
    </row>
    <row r="109" spans="1:3" x14ac:dyDescent="0.25">
      <c r="A109" s="10">
        <v>2001</v>
      </c>
      <c r="B109" s="10">
        <v>12</v>
      </c>
      <c r="C109" s="10">
        <v>299.62134553599901</v>
      </c>
    </row>
    <row r="110" spans="1:3" x14ac:dyDescent="0.25">
      <c r="A110" s="10">
        <v>2002</v>
      </c>
      <c r="B110" s="10">
        <v>1</v>
      </c>
      <c r="C110" s="10">
        <v>309.33464913335501</v>
      </c>
    </row>
    <row r="111" spans="1:3" x14ac:dyDescent="0.25">
      <c r="A111" s="10">
        <v>2002</v>
      </c>
      <c r="B111" s="10">
        <v>2</v>
      </c>
      <c r="C111" s="10">
        <v>347.501636793476</v>
      </c>
    </row>
    <row r="112" spans="1:3" x14ac:dyDescent="0.25">
      <c r="A112" s="10">
        <v>2002</v>
      </c>
      <c r="B112" s="10">
        <v>3</v>
      </c>
      <c r="C112" s="10">
        <v>331.21720204003799</v>
      </c>
    </row>
    <row r="113" spans="1:3" x14ac:dyDescent="0.25">
      <c r="A113" s="10">
        <v>2002</v>
      </c>
      <c r="B113" s="10">
        <v>4</v>
      </c>
      <c r="C113" s="10">
        <v>380.11496149064402</v>
      </c>
    </row>
    <row r="114" spans="1:3" x14ac:dyDescent="0.25">
      <c r="A114" s="10">
        <v>2002</v>
      </c>
      <c r="B114" s="10">
        <v>5</v>
      </c>
      <c r="C114" s="10">
        <v>368.244171639211</v>
      </c>
    </row>
    <row r="115" spans="1:3" x14ac:dyDescent="0.25">
      <c r="A115" s="10">
        <v>2002</v>
      </c>
      <c r="B115" s="10">
        <v>6</v>
      </c>
      <c r="C115" s="10">
        <v>358.64558306932298</v>
      </c>
    </row>
    <row r="116" spans="1:3" x14ac:dyDescent="0.25">
      <c r="A116" s="10">
        <v>2002</v>
      </c>
      <c r="B116" s="10">
        <v>7</v>
      </c>
      <c r="C116" s="10">
        <v>368.94284748798702</v>
      </c>
    </row>
    <row r="117" spans="1:3" x14ac:dyDescent="0.25">
      <c r="A117" s="10">
        <v>2002</v>
      </c>
      <c r="B117" s="10">
        <v>8</v>
      </c>
      <c r="C117" s="10">
        <v>375.17425174679897</v>
      </c>
    </row>
    <row r="118" spans="1:3" x14ac:dyDescent="0.25">
      <c r="A118" s="10">
        <v>2002</v>
      </c>
      <c r="B118" s="10">
        <v>9</v>
      </c>
      <c r="C118" s="10">
        <v>383.902993907574</v>
      </c>
    </row>
    <row r="119" spans="1:3" x14ac:dyDescent="0.25">
      <c r="A119" s="10">
        <v>2002</v>
      </c>
      <c r="B119" s="10">
        <v>10</v>
      </c>
      <c r="C119" s="10">
        <v>388.10443023864502</v>
      </c>
    </row>
    <row r="120" spans="1:3" x14ac:dyDescent="0.25">
      <c r="A120" s="10">
        <v>2002</v>
      </c>
      <c r="B120" s="10">
        <v>11</v>
      </c>
      <c r="C120" s="10">
        <v>370.16208401829198</v>
      </c>
    </row>
    <row r="121" spans="1:3" x14ac:dyDescent="0.25">
      <c r="A121" s="10">
        <v>2002</v>
      </c>
      <c r="B121" s="10">
        <v>12</v>
      </c>
      <c r="C121" s="10">
        <v>392.04328926628602</v>
      </c>
    </row>
    <row r="122" spans="1:3" x14ac:dyDescent="0.25">
      <c r="A122" s="10">
        <v>2003</v>
      </c>
      <c r="B122" s="10">
        <v>1</v>
      </c>
      <c r="C122" s="10">
        <v>416.09881413436898</v>
      </c>
    </row>
    <row r="123" spans="1:3" x14ac:dyDescent="0.25">
      <c r="A123" s="10">
        <v>2003</v>
      </c>
      <c r="B123" s="10">
        <v>2</v>
      </c>
      <c r="C123" s="10">
        <v>421.46465751935398</v>
      </c>
    </row>
    <row r="124" spans="1:3" x14ac:dyDescent="0.25">
      <c r="A124" s="10">
        <v>2003</v>
      </c>
      <c r="B124" s="10">
        <v>3</v>
      </c>
      <c r="C124" s="10">
        <v>434.74240991945902</v>
      </c>
    </row>
    <row r="125" spans="1:3" x14ac:dyDescent="0.25">
      <c r="A125" s="10">
        <v>2003</v>
      </c>
      <c r="B125" s="10">
        <v>4</v>
      </c>
      <c r="C125" s="10">
        <v>419.07154054541297</v>
      </c>
    </row>
    <row r="126" spans="1:3" x14ac:dyDescent="0.25">
      <c r="A126" s="10">
        <v>2003</v>
      </c>
      <c r="B126" s="10">
        <v>5</v>
      </c>
      <c r="C126" s="10">
        <v>418.707337848235</v>
      </c>
    </row>
    <row r="127" spans="1:3" x14ac:dyDescent="0.25">
      <c r="A127" s="10">
        <v>2003</v>
      </c>
      <c r="B127" s="10">
        <v>6</v>
      </c>
      <c r="C127" s="10">
        <v>420.918716857525</v>
      </c>
    </row>
    <row r="128" spans="1:3" x14ac:dyDescent="0.25">
      <c r="A128" s="10">
        <v>2003</v>
      </c>
      <c r="B128" s="10">
        <v>7</v>
      </c>
      <c r="C128" s="10">
        <v>414.37236855173097</v>
      </c>
    </row>
    <row r="129" spans="1:3" x14ac:dyDescent="0.25">
      <c r="A129" s="10">
        <v>2003</v>
      </c>
      <c r="B129" s="10">
        <v>8</v>
      </c>
      <c r="C129" s="10">
        <v>422.51182850679498</v>
      </c>
    </row>
    <row r="130" spans="1:3" x14ac:dyDescent="0.25">
      <c r="A130" s="10">
        <v>2003</v>
      </c>
      <c r="B130" s="10">
        <v>9</v>
      </c>
      <c r="C130" s="10">
        <v>411.73089880784602</v>
      </c>
    </row>
    <row r="131" spans="1:3" x14ac:dyDescent="0.25">
      <c r="A131" s="10">
        <v>2003</v>
      </c>
      <c r="B131" s="10">
        <v>10</v>
      </c>
      <c r="C131" s="10">
        <v>422.40493560340201</v>
      </c>
    </row>
    <row r="132" spans="1:3" x14ac:dyDescent="0.25">
      <c r="A132" s="10">
        <v>2003</v>
      </c>
      <c r="B132" s="10">
        <v>11</v>
      </c>
      <c r="C132" s="10">
        <v>416.32306977009603</v>
      </c>
    </row>
    <row r="133" spans="1:3" x14ac:dyDescent="0.25">
      <c r="A133" s="10">
        <v>2003</v>
      </c>
      <c r="B133" s="10">
        <v>12</v>
      </c>
      <c r="C133" s="10">
        <v>425.739226437973</v>
      </c>
    </row>
    <row r="134" spans="1:3" x14ac:dyDescent="0.25">
      <c r="A134" s="10">
        <v>2004</v>
      </c>
      <c r="B134" s="10">
        <v>1</v>
      </c>
      <c r="C134" s="10">
        <v>439.03386114666</v>
      </c>
    </row>
    <row r="135" spans="1:3" x14ac:dyDescent="0.25">
      <c r="A135" s="10">
        <v>2004</v>
      </c>
      <c r="B135" s="10">
        <v>2</v>
      </c>
      <c r="C135" s="10">
        <v>410.37755655471102</v>
      </c>
    </row>
    <row r="136" spans="1:3" x14ac:dyDescent="0.25">
      <c r="A136" s="10">
        <v>2004</v>
      </c>
      <c r="B136" s="10">
        <v>3</v>
      </c>
      <c r="C136" s="10">
        <v>403.81517249794598</v>
      </c>
    </row>
    <row r="137" spans="1:3" x14ac:dyDescent="0.25">
      <c r="A137" s="10">
        <v>2004</v>
      </c>
      <c r="B137" s="10">
        <v>4</v>
      </c>
      <c r="C137" s="10">
        <v>401.08263751816799</v>
      </c>
    </row>
    <row r="138" spans="1:3" x14ac:dyDescent="0.25">
      <c r="A138" s="10">
        <v>2004</v>
      </c>
      <c r="B138" s="10">
        <v>5</v>
      </c>
      <c r="C138" s="10">
        <v>403.85472464203798</v>
      </c>
    </row>
    <row r="139" spans="1:3" x14ac:dyDescent="0.25">
      <c r="A139" s="10">
        <v>2004</v>
      </c>
      <c r="B139" s="10">
        <v>6</v>
      </c>
      <c r="C139" s="10">
        <v>410.13082726107302</v>
      </c>
    </row>
    <row r="140" spans="1:3" x14ac:dyDescent="0.25">
      <c r="A140" s="10">
        <v>2004</v>
      </c>
      <c r="B140" s="10">
        <v>7</v>
      </c>
      <c r="C140" s="10">
        <v>423.51773511836802</v>
      </c>
    </row>
    <row r="141" spans="1:3" x14ac:dyDescent="0.25">
      <c r="A141" s="10">
        <v>2004</v>
      </c>
      <c r="B141" s="10">
        <v>8</v>
      </c>
      <c r="C141" s="10">
        <v>414.60424077301099</v>
      </c>
    </row>
    <row r="142" spans="1:3" x14ac:dyDescent="0.25">
      <c r="A142" s="10">
        <v>2004</v>
      </c>
      <c r="B142" s="10">
        <v>9</v>
      </c>
      <c r="C142" s="10">
        <v>421.01906307182702</v>
      </c>
    </row>
    <row r="143" spans="1:3" x14ac:dyDescent="0.25">
      <c r="A143" s="10">
        <v>2004</v>
      </c>
      <c r="B143" s="10">
        <v>10</v>
      </c>
      <c r="C143" s="10">
        <v>448.30251451529398</v>
      </c>
    </row>
    <row r="144" spans="1:3" x14ac:dyDescent="0.25">
      <c r="A144" s="10">
        <v>2004</v>
      </c>
      <c r="B144" s="10">
        <v>11</v>
      </c>
      <c r="C144" s="10">
        <v>465.42855415981398</v>
      </c>
    </row>
    <row r="145" spans="1:3" x14ac:dyDescent="0.25">
      <c r="A145" s="10">
        <v>2004</v>
      </c>
      <c r="B145" s="10">
        <v>12</v>
      </c>
      <c r="C145" s="10">
        <v>466.09129651195002</v>
      </c>
    </row>
    <row r="146" spans="1:3" x14ac:dyDescent="0.25">
      <c r="A146" s="10">
        <v>2005</v>
      </c>
      <c r="B146" s="10">
        <v>1</v>
      </c>
      <c r="C146" s="10">
        <v>467.36789428976402</v>
      </c>
    </row>
    <row r="147" spans="1:3" x14ac:dyDescent="0.25">
      <c r="A147" s="10">
        <v>2005</v>
      </c>
      <c r="B147" s="10">
        <v>2</v>
      </c>
      <c r="C147" s="10">
        <v>452.73569808297299</v>
      </c>
    </row>
    <row r="148" spans="1:3" x14ac:dyDescent="0.25">
      <c r="A148" s="10">
        <v>2005</v>
      </c>
      <c r="B148" s="10">
        <v>3</v>
      </c>
      <c r="C148" s="10">
        <v>447.56731939788</v>
      </c>
    </row>
    <row r="149" spans="1:3" x14ac:dyDescent="0.25">
      <c r="A149" s="10">
        <v>2005</v>
      </c>
      <c r="B149" s="10">
        <v>4</v>
      </c>
      <c r="C149" s="10">
        <v>454.89914961265299</v>
      </c>
    </row>
    <row r="150" spans="1:3" x14ac:dyDescent="0.25">
      <c r="A150" s="10">
        <v>2005</v>
      </c>
      <c r="B150" s="10">
        <v>5</v>
      </c>
      <c r="C150" s="10">
        <v>465.32804184942398</v>
      </c>
    </row>
    <row r="151" spans="1:3" x14ac:dyDescent="0.25">
      <c r="A151" s="10">
        <v>2005</v>
      </c>
      <c r="B151" s="10">
        <v>6</v>
      </c>
      <c r="C151" s="10">
        <v>441.39533925961899</v>
      </c>
    </row>
    <row r="152" spans="1:3" x14ac:dyDescent="0.25">
      <c r="A152" s="10">
        <v>2005</v>
      </c>
      <c r="B152" s="10">
        <v>7</v>
      </c>
      <c r="C152" s="10">
        <v>440.629770461649</v>
      </c>
    </row>
    <row r="153" spans="1:3" x14ac:dyDescent="0.25">
      <c r="A153" s="10">
        <v>2005</v>
      </c>
      <c r="B153" s="10">
        <v>8</v>
      </c>
      <c r="C153" s="10">
        <v>445.75294873666002</v>
      </c>
    </row>
    <row r="154" spans="1:3" x14ac:dyDescent="0.25">
      <c r="A154" s="10">
        <v>2005</v>
      </c>
      <c r="B154" s="10">
        <v>9</v>
      </c>
      <c r="C154" s="10">
        <v>410.58423324568702</v>
      </c>
    </row>
    <row r="155" spans="1:3" x14ac:dyDescent="0.25">
      <c r="A155" s="10">
        <v>2005</v>
      </c>
      <c r="B155" s="10">
        <v>10</v>
      </c>
      <c r="C155" s="10">
        <v>417.03856007250602</v>
      </c>
    </row>
    <row r="156" spans="1:3" x14ac:dyDescent="0.25">
      <c r="A156" s="10">
        <v>2005</v>
      </c>
      <c r="B156" s="10">
        <v>11</v>
      </c>
      <c r="C156" s="10">
        <v>465.19207672008002</v>
      </c>
    </row>
    <row r="157" spans="1:3" x14ac:dyDescent="0.25">
      <c r="A157" s="10">
        <v>2005</v>
      </c>
      <c r="B157" s="10">
        <v>12</v>
      </c>
      <c r="C157" s="10">
        <v>481.59429532923099</v>
      </c>
    </row>
    <row r="158" spans="1:3" x14ac:dyDescent="0.25">
      <c r="A158" s="10">
        <v>2006</v>
      </c>
      <c r="B158" s="10">
        <v>1</v>
      </c>
      <c r="C158" s="10">
        <v>475.74855179293598</v>
      </c>
    </row>
    <row r="159" spans="1:3" x14ac:dyDescent="0.25">
      <c r="A159" s="10">
        <v>2006</v>
      </c>
      <c r="B159" s="10">
        <v>2</v>
      </c>
      <c r="C159" s="10">
        <v>477.24568180131598</v>
      </c>
    </row>
    <row r="160" spans="1:3" x14ac:dyDescent="0.25">
      <c r="A160" s="10">
        <v>2006</v>
      </c>
      <c r="B160" s="10">
        <v>3</v>
      </c>
      <c r="C160" s="10">
        <v>485.37760594517403</v>
      </c>
    </row>
    <row r="161" spans="1:3" x14ac:dyDescent="0.25">
      <c r="A161" s="10">
        <v>2006</v>
      </c>
      <c r="B161" s="10">
        <v>4</v>
      </c>
      <c r="C161" s="10">
        <v>471.96142282348001</v>
      </c>
    </row>
    <row r="162" spans="1:3" x14ac:dyDescent="0.25">
      <c r="A162" s="10">
        <v>2006</v>
      </c>
      <c r="B162" s="10">
        <v>5</v>
      </c>
      <c r="C162" s="10">
        <v>482.25622122697598</v>
      </c>
    </row>
    <row r="163" spans="1:3" x14ac:dyDescent="0.25">
      <c r="A163" s="10">
        <v>2006</v>
      </c>
      <c r="B163" s="10">
        <v>6</v>
      </c>
      <c r="C163" s="10">
        <v>490.62306011072798</v>
      </c>
    </row>
    <row r="164" spans="1:3" x14ac:dyDescent="0.25">
      <c r="A164" s="10">
        <v>2006</v>
      </c>
      <c r="B164" s="10">
        <v>7</v>
      </c>
      <c r="C164" s="10">
        <v>464.38932741257503</v>
      </c>
    </row>
    <row r="165" spans="1:3" x14ac:dyDescent="0.25">
      <c r="A165" s="10">
        <v>2006</v>
      </c>
      <c r="B165" s="10">
        <v>8</v>
      </c>
      <c r="C165" s="10">
        <v>445.95910446542302</v>
      </c>
    </row>
    <row r="166" spans="1:3" x14ac:dyDescent="0.25">
      <c r="A166" s="10">
        <v>2006</v>
      </c>
      <c r="B166" s="10">
        <v>9</v>
      </c>
      <c r="C166" s="10">
        <v>478.16360449355898</v>
      </c>
    </row>
    <row r="167" spans="1:3" x14ac:dyDescent="0.25">
      <c r="A167" s="10">
        <v>2006</v>
      </c>
      <c r="B167" s="10">
        <v>10</v>
      </c>
      <c r="C167" s="10">
        <v>452.44985827463103</v>
      </c>
    </row>
    <row r="168" spans="1:3" x14ac:dyDescent="0.25">
      <c r="A168" s="10">
        <v>2006</v>
      </c>
      <c r="B168" s="10">
        <v>11</v>
      </c>
      <c r="C168" s="10">
        <v>405.91075742557399</v>
      </c>
    </row>
    <row r="169" spans="1:3" x14ac:dyDescent="0.25">
      <c r="A169" s="10">
        <v>2006</v>
      </c>
      <c r="B169" s="10">
        <v>12</v>
      </c>
      <c r="C169" s="10">
        <v>405.17530095040598</v>
      </c>
    </row>
    <row r="170" spans="1:3" x14ac:dyDescent="0.25">
      <c r="A170" s="10">
        <v>2007</v>
      </c>
      <c r="B170" s="10">
        <v>1</v>
      </c>
      <c r="C170" s="10">
        <v>406.01794422804699</v>
      </c>
    </row>
    <row r="171" spans="1:3" x14ac:dyDescent="0.25">
      <c r="A171" s="10">
        <v>2007</v>
      </c>
      <c r="B171" s="10">
        <v>2</v>
      </c>
      <c r="C171" s="10">
        <v>447.00690342090297</v>
      </c>
    </row>
    <row r="172" spans="1:3" x14ac:dyDescent="0.25">
      <c r="A172" s="10">
        <v>2007</v>
      </c>
      <c r="B172" s="10">
        <v>3</v>
      </c>
      <c r="C172" s="10">
        <v>456.62950220370499</v>
      </c>
    </row>
    <row r="173" spans="1:3" x14ac:dyDescent="0.25">
      <c r="A173" s="10">
        <v>2007</v>
      </c>
      <c r="B173" s="10">
        <v>4</v>
      </c>
      <c r="C173" s="10">
        <v>466.91196072691201</v>
      </c>
    </row>
    <row r="174" spans="1:3" x14ac:dyDescent="0.25">
      <c r="A174" s="10">
        <v>2007</v>
      </c>
      <c r="B174" s="10">
        <v>5</v>
      </c>
      <c r="C174" s="10">
        <v>440.16721876397099</v>
      </c>
    </row>
    <row r="175" spans="1:3" x14ac:dyDescent="0.25">
      <c r="A175" s="10">
        <v>2007</v>
      </c>
      <c r="B175" s="10">
        <v>6</v>
      </c>
      <c r="C175" s="10">
        <v>446.39341248975501</v>
      </c>
    </row>
    <row r="176" spans="1:3" x14ac:dyDescent="0.25">
      <c r="A176" s="10">
        <v>2007</v>
      </c>
      <c r="B176" s="10">
        <v>7</v>
      </c>
      <c r="C176" s="10">
        <v>337.124342765851</v>
      </c>
    </row>
    <row r="177" spans="1:3" x14ac:dyDescent="0.25">
      <c r="A177" s="10">
        <v>2007</v>
      </c>
      <c r="B177" s="10">
        <v>8</v>
      </c>
      <c r="C177" s="10">
        <v>462.209322654338</v>
      </c>
    </row>
    <row r="178" spans="1:3" x14ac:dyDescent="0.25">
      <c r="A178" s="10">
        <v>2007</v>
      </c>
      <c r="B178" s="10">
        <v>9</v>
      </c>
      <c r="C178" s="10">
        <v>466.02888856755902</v>
      </c>
    </row>
    <row r="179" spans="1:3" x14ac:dyDescent="0.25">
      <c r="A179" s="10">
        <v>2007</v>
      </c>
      <c r="B179" s="10">
        <v>10</v>
      </c>
      <c r="C179" s="10">
        <v>463.88575061727602</v>
      </c>
    </row>
    <row r="180" spans="1:3" x14ac:dyDescent="0.25">
      <c r="A180" s="10">
        <v>2007</v>
      </c>
      <c r="B180" s="10">
        <v>11</v>
      </c>
      <c r="C180" s="10">
        <v>485.54899639628599</v>
      </c>
    </row>
    <row r="181" spans="1:3" x14ac:dyDescent="0.25">
      <c r="A181" s="10">
        <v>2007</v>
      </c>
      <c r="B181" s="10">
        <v>12</v>
      </c>
      <c r="C181" s="10">
        <v>512.623005274663</v>
      </c>
    </row>
    <row r="182" spans="1:3" x14ac:dyDescent="0.25">
      <c r="A182" s="10">
        <v>2008</v>
      </c>
      <c r="B182" s="10">
        <v>1</v>
      </c>
      <c r="C182" s="10">
        <v>492.84834851091699</v>
      </c>
    </row>
    <row r="183" spans="1:3" x14ac:dyDescent="0.25">
      <c r="A183" s="10">
        <v>2008</v>
      </c>
      <c r="B183" s="10">
        <v>2</v>
      </c>
      <c r="C183" s="10">
        <v>440.69336285802598</v>
      </c>
    </row>
    <row r="184" spans="1:3" x14ac:dyDescent="0.25">
      <c r="A184" s="10">
        <v>2008</v>
      </c>
      <c r="B184" s="10">
        <v>3</v>
      </c>
      <c r="C184" s="10">
        <v>488.90329270677302</v>
      </c>
    </row>
    <row r="185" spans="1:3" x14ac:dyDescent="0.25">
      <c r="A185" s="10">
        <v>2008</v>
      </c>
      <c r="B185" s="10">
        <v>4</v>
      </c>
      <c r="C185" s="10">
        <v>496.05649980523799</v>
      </c>
    </row>
    <row r="186" spans="1:3" x14ac:dyDescent="0.25">
      <c r="A186" s="10">
        <v>2008</v>
      </c>
      <c r="B186" s="10">
        <v>5</v>
      </c>
      <c r="C186" s="10">
        <v>497.51480971010699</v>
      </c>
    </row>
    <row r="187" spans="1:3" x14ac:dyDescent="0.25">
      <c r="A187" s="10">
        <v>2008</v>
      </c>
      <c r="B187" s="10">
        <v>6</v>
      </c>
      <c r="C187" s="10">
        <v>495.14596597360799</v>
      </c>
    </row>
    <row r="188" spans="1:3" x14ac:dyDescent="0.25">
      <c r="A188" s="10">
        <v>2008</v>
      </c>
      <c r="B188" s="10">
        <v>7</v>
      </c>
      <c r="C188" s="10">
        <v>508.77746881310298</v>
      </c>
    </row>
    <row r="189" spans="1:3" x14ac:dyDescent="0.25">
      <c r="A189" s="10">
        <v>2008</v>
      </c>
      <c r="B189" s="10">
        <v>8</v>
      </c>
      <c r="C189" s="10">
        <v>496.421289942491</v>
      </c>
    </row>
    <row r="190" spans="1:3" x14ac:dyDescent="0.25">
      <c r="A190" s="10">
        <v>2008</v>
      </c>
      <c r="B190" s="10">
        <v>9</v>
      </c>
      <c r="C190" s="10">
        <v>474.568915473934</v>
      </c>
    </row>
    <row r="191" spans="1:3" x14ac:dyDescent="0.25">
      <c r="A191" s="10">
        <v>2008</v>
      </c>
      <c r="B191" s="10">
        <v>10</v>
      </c>
      <c r="C191" s="10">
        <v>445.83028674532397</v>
      </c>
    </row>
    <row r="192" spans="1:3" x14ac:dyDescent="0.25">
      <c r="A192" s="10">
        <v>2008</v>
      </c>
      <c r="B192" s="10">
        <v>11</v>
      </c>
      <c r="C192" s="10">
        <v>382.931738097427</v>
      </c>
    </row>
    <row r="193" spans="1:3" x14ac:dyDescent="0.25">
      <c r="A193" s="10">
        <v>2008</v>
      </c>
      <c r="B193" s="10">
        <v>12</v>
      </c>
      <c r="C193" s="10">
        <v>290.81624573916997</v>
      </c>
    </row>
    <row r="194" spans="1:3" x14ac:dyDescent="0.25">
      <c r="A194" s="10">
        <v>2009</v>
      </c>
      <c r="B194" s="10">
        <v>1</v>
      </c>
      <c r="C194" s="10">
        <v>362.59463221795301</v>
      </c>
    </row>
    <row r="195" spans="1:3" x14ac:dyDescent="0.25">
      <c r="A195" s="10">
        <v>2009</v>
      </c>
      <c r="B195" s="10">
        <v>2</v>
      </c>
      <c r="C195" s="10">
        <v>293.02310764906599</v>
      </c>
    </row>
    <row r="196" spans="1:3" x14ac:dyDescent="0.25">
      <c r="A196" s="10">
        <v>2009</v>
      </c>
      <c r="B196" s="10">
        <v>3</v>
      </c>
      <c r="C196" s="10">
        <v>239.87095751235</v>
      </c>
    </row>
    <row r="197" spans="1:3" x14ac:dyDescent="0.25">
      <c r="A197" s="10">
        <v>2009</v>
      </c>
      <c r="B197" s="10">
        <v>4</v>
      </c>
      <c r="C197" s="10">
        <v>274.44611774021502</v>
      </c>
    </row>
    <row r="198" spans="1:3" x14ac:dyDescent="0.25">
      <c r="A198" s="10">
        <v>2009</v>
      </c>
      <c r="B198" s="10">
        <v>5</v>
      </c>
      <c r="C198" s="10">
        <v>267.041379388221</v>
      </c>
    </row>
    <row r="199" spans="1:3" x14ac:dyDescent="0.25">
      <c r="A199" s="10">
        <v>2009</v>
      </c>
      <c r="B199" s="10">
        <v>6</v>
      </c>
      <c r="C199" s="10">
        <v>314.47154203182902</v>
      </c>
    </row>
    <row r="200" spans="1:3" x14ac:dyDescent="0.25">
      <c r="A200" s="10">
        <v>2009</v>
      </c>
      <c r="B200" s="10">
        <v>7</v>
      </c>
      <c r="C200" s="10">
        <v>336.26632067205401</v>
      </c>
    </row>
    <row r="201" spans="1:3" x14ac:dyDescent="0.25">
      <c r="A201" s="10">
        <v>2009</v>
      </c>
      <c r="B201" s="10">
        <v>8</v>
      </c>
      <c r="C201" s="10">
        <v>341.04227330530199</v>
      </c>
    </row>
    <row r="202" spans="1:3" x14ac:dyDescent="0.25">
      <c r="A202" s="10">
        <v>2009</v>
      </c>
      <c r="B202" s="10">
        <v>9</v>
      </c>
      <c r="C202" s="10">
        <v>373.47214856255903</v>
      </c>
    </row>
    <row r="203" spans="1:3" x14ac:dyDescent="0.25">
      <c r="A203" s="10">
        <v>2009</v>
      </c>
      <c r="B203" s="10">
        <v>10</v>
      </c>
      <c r="C203" s="10">
        <v>393.67058056849402</v>
      </c>
    </row>
    <row r="204" spans="1:3" x14ac:dyDescent="0.25">
      <c r="A204" s="10">
        <v>2009</v>
      </c>
      <c r="B204" s="10">
        <v>11</v>
      </c>
      <c r="C204" s="10">
        <v>403.65596297749602</v>
      </c>
    </row>
    <row r="205" spans="1:3" x14ac:dyDescent="0.25">
      <c r="A205" s="10">
        <v>2009</v>
      </c>
      <c r="B205" s="10">
        <v>12</v>
      </c>
      <c r="C205" s="10">
        <v>417.04003549832299</v>
      </c>
    </row>
    <row r="206" spans="1:3" x14ac:dyDescent="0.25">
      <c r="A206" s="10">
        <v>2010</v>
      </c>
      <c r="B206" s="10">
        <v>1</v>
      </c>
      <c r="C206" s="10">
        <v>416.53574071096102</v>
      </c>
    </row>
    <row r="207" spans="1:3" x14ac:dyDescent="0.25">
      <c r="A207" s="10">
        <v>2010</v>
      </c>
      <c r="B207" s="10">
        <v>2</v>
      </c>
      <c r="C207" s="10">
        <v>423.36477875967802</v>
      </c>
    </row>
    <row r="208" spans="1:3" x14ac:dyDescent="0.25">
      <c r="A208" s="10">
        <v>2010</v>
      </c>
      <c r="B208" s="10">
        <v>3</v>
      </c>
      <c r="C208" s="10">
        <v>425.29045561859499</v>
      </c>
    </row>
    <row r="209" spans="1:3" x14ac:dyDescent="0.25">
      <c r="A209" s="10">
        <v>2010</v>
      </c>
      <c r="B209" s="10">
        <v>4</v>
      </c>
      <c r="C209" s="10">
        <v>422.85974738863001</v>
      </c>
    </row>
    <row r="210" spans="1:3" x14ac:dyDescent="0.25">
      <c r="A210" s="10">
        <v>2010</v>
      </c>
      <c r="B210" s="10">
        <v>5</v>
      </c>
      <c r="C210" s="10">
        <v>434.08608605312003</v>
      </c>
    </row>
    <row r="211" spans="1:3" x14ac:dyDescent="0.25">
      <c r="A211" s="10">
        <v>2010</v>
      </c>
      <c r="B211" s="10">
        <v>6</v>
      </c>
      <c r="C211" s="10">
        <v>424.93200446109603</v>
      </c>
    </row>
    <row r="212" spans="1:3" x14ac:dyDescent="0.25">
      <c r="A212" s="10">
        <v>2010</v>
      </c>
      <c r="B212" s="10">
        <v>7</v>
      </c>
      <c r="C212" s="10">
        <v>419.76965618766701</v>
      </c>
    </row>
    <row r="213" spans="1:3" x14ac:dyDescent="0.25">
      <c r="A213" s="10">
        <v>2010</v>
      </c>
      <c r="B213" s="10">
        <v>8</v>
      </c>
      <c r="C213" s="10">
        <v>443.14905815267002</v>
      </c>
    </row>
    <row r="214" spans="1:3" x14ac:dyDescent="0.25">
      <c r="A214" s="10">
        <v>2010</v>
      </c>
      <c r="B214" s="10">
        <v>9</v>
      </c>
      <c r="C214" s="10">
        <v>432.27553961416203</v>
      </c>
    </row>
    <row r="215" spans="1:3" x14ac:dyDescent="0.25">
      <c r="A215" s="10">
        <v>2010</v>
      </c>
      <c r="B215" s="10">
        <v>10</v>
      </c>
      <c r="C215" s="10">
        <v>430.501991239696</v>
      </c>
    </row>
    <row r="216" spans="1:3" x14ac:dyDescent="0.25">
      <c r="A216" s="10">
        <v>2010</v>
      </c>
      <c r="B216" s="10">
        <v>11</v>
      </c>
      <c r="C216" s="10">
        <v>435.03467727869503</v>
      </c>
    </row>
    <row r="217" spans="1:3" x14ac:dyDescent="0.25">
      <c r="A217" s="10">
        <v>2010</v>
      </c>
      <c r="B217" s="10">
        <v>12</v>
      </c>
      <c r="C217" s="10">
        <v>434.445570106373</v>
      </c>
    </row>
    <row r="218" spans="1:3" x14ac:dyDescent="0.25">
      <c r="A218" s="10">
        <v>2011</v>
      </c>
      <c r="B218" s="10">
        <v>1</v>
      </c>
      <c r="C218" s="10">
        <v>437.81692255855103</v>
      </c>
    </row>
    <row r="219" spans="1:3" x14ac:dyDescent="0.25">
      <c r="A219" s="10">
        <v>2011</v>
      </c>
      <c r="B219" s="10">
        <v>2</v>
      </c>
      <c r="C219" s="10">
        <v>492.09620513608297</v>
      </c>
    </row>
    <row r="220" spans="1:3" x14ac:dyDescent="0.25">
      <c r="A220" s="10">
        <v>2011</v>
      </c>
      <c r="B220" s="10">
        <v>3</v>
      </c>
      <c r="C220" s="10">
        <v>454.81094113006299</v>
      </c>
    </row>
    <row r="221" spans="1:3" x14ac:dyDescent="0.25">
      <c r="A221" s="10">
        <v>2011</v>
      </c>
      <c r="B221" s="10">
        <v>4</v>
      </c>
      <c r="C221" s="10">
        <v>467.428777281441</v>
      </c>
    </row>
    <row r="222" spans="1:3" x14ac:dyDescent="0.25">
      <c r="A222" s="10">
        <v>2011</v>
      </c>
      <c r="B222" s="10">
        <v>5</v>
      </c>
      <c r="C222" s="10">
        <v>488.292961666319</v>
      </c>
    </row>
    <row r="223" spans="1:3" x14ac:dyDescent="0.25">
      <c r="A223" s="10">
        <v>2011</v>
      </c>
      <c r="B223" s="10">
        <v>6</v>
      </c>
      <c r="C223" s="10">
        <v>474.01344041388501</v>
      </c>
    </row>
    <row r="224" spans="1:3" x14ac:dyDescent="0.25">
      <c r="A224" s="10">
        <v>2011</v>
      </c>
      <c r="B224" s="10">
        <v>7</v>
      </c>
      <c r="C224" s="10">
        <v>476.06996915064201</v>
      </c>
    </row>
    <row r="225" spans="1:3" x14ac:dyDescent="0.25">
      <c r="A225" s="10">
        <v>2011</v>
      </c>
      <c r="B225" s="10">
        <v>8</v>
      </c>
      <c r="C225" s="10">
        <v>460.80228042279299</v>
      </c>
    </row>
    <row r="226" spans="1:3" x14ac:dyDescent="0.25">
      <c r="A226" s="10">
        <v>2011</v>
      </c>
      <c r="B226" s="10">
        <v>9</v>
      </c>
      <c r="C226" s="10">
        <v>453.75173652674698</v>
      </c>
    </row>
    <row r="227" spans="1:3" x14ac:dyDescent="0.25">
      <c r="A227" s="10">
        <v>2011</v>
      </c>
      <c r="B227" s="10">
        <v>10</v>
      </c>
      <c r="C227" s="10">
        <v>467.84089787361199</v>
      </c>
    </row>
    <row r="228" spans="1:3" x14ac:dyDescent="0.25">
      <c r="A228" s="10">
        <v>2011</v>
      </c>
      <c r="B228" s="10">
        <v>11</v>
      </c>
      <c r="C228" s="10">
        <v>468.49496208291498</v>
      </c>
    </row>
    <row r="229" spans="1:3" x14ac:dyDescent="0.25">
      <c r="A229" s="10">
        <v>2011</v>
      </c>
      <c r="B229" s="10">
        <v>12</v>
      </c>
      <c r="C229" s="10">
        <v>474.39121656764701</v>
      </c>
    </row>
    <row r="230" spans="1:3" x14ac:dyDescent="0.25">
      <c r="A230" s="10">
        <v>2012</v>
      </c>
      <c r="B230" s="10">
        <v>1</v>
      </c>
      <c r="C230" s="10">
        <v>469.93503267562699</v>
      </c>
    </row>
    <row r="231" spans="1:3" x14ac:dyDescent="0.25">
      <c r="A231" s="10">
        <v>2012</v>
      </c>
      <c r="B231" s="10">
        <v>2</v>
      </c>
      <c r="C231" s="10">
        <v>475.12179040622698</v>
      </c>
    </row>
    <row r="232" spans="1:3" x14ac:dyDescent="0.25">
      <c r="A232" s="10">
        <v>2012</v>
      </c>
      <c r="B232" s="10">
        <v>3</v>
      </c>
      <c r="C232" s="10">
        <v>481.49317414763698</v>
      </c>
    </row>
    <row r="233" spans="1:3" x14ac:dyDescent="0.25">
      <c r="A233" s="10">
        <v>2012</v>
      </c>
      <c r="B233" s="10">
        <v>4</v>
      </c>
      <c r="C233" s="10">
        <v>473.18697193702201</v>
      </c>
    </row>
    <row r="234" spans="1:3" x14ac:dyDescent="0.25">
      <c r="A234" s="10">
        <v>2012</v>
      </c>
      <c r="B234" s="10">
        <v>5</v>
      </c>
      <c r="C234" s="10">
        <v>449.31951029975301</v>
      </c>
    </row>
    <row r="235" spans="1:3" x14ac:dyDescent="0.25">
      <c r="A235" s="10">
        <v>2012</v>
      </c>
      <c r="B235" s="10">
        <v>6</v>
      </c>
      <c r="C235" s="10">
        <v>452.50409670232</v>
      </c>
    </row>
    <row r="236" spans="1:3" x14ac:dyDescent="0.25">
      <c r="A236" s="10">
        <v>2012</v>
      </c>
      <c r="B236" s="10">
        <v>7</v>
      </c>
      <c r="C236" s="10">
        <v>331.69557810417001</v>
      </c>
    </row>
    <row r="237" spans="1:3" x14ac:dyDescent="0.25">
      <c r="A237" s="10">
        <v>2012</v>
      </c>
      <c r="B237" s="10">
        <v>8</v>
      </c>
      <c r="C237" s="10">
        <v>352.47774623880798</v>
      </c>
    </row>
    <row r="238" spans="1:3" x14ac:dyDescent="0.25">
      <c r="A238" s="10">
        <v>2012</v>
      </c>
      <c r="B238" s="10">
        <v>9</v>
      </c>
      <c r="C238" s="10">
        <v>377.27739320772298</v>
      </c>
    </row>
    <row r="239" spans="1:3" x14ac:dyDescent="0.25">
      <c r="A239" s="10">
        <v>2012</v>
      </c>
      <c r="B239" s="10">
        <v>10</v>
      </c>
      <c r="C239" s="10">
        <v>376.77836159650798</v>
      </c>
    </row>
    <row r="240" spans="1:3" x14ac:dyDescent="0.25">
      <c r="A240" s="10">
        <v>2012</v>
      </c>
      <c r="B240" s="10">
        <v>11</v>
      </c>
      <c r="C240" s="10">
        <v>380.01443321016501</v>
      </c>
    </row>
    <row r="241" spans="1:3" x14ac:dyDescent="0.25">
      <c r="A241" s="10">
        <v>2012</v>
      </c>
      <c r="B241" s="10">
        <v>12</v>
      </c>
      <c r="C241" s="10">
        <v>349.66742134294202</v>
      </c>
    </row>
    <row r="242" spans="1:3" x14ac:dyDescent="0.25">
      <c r="A242" s="10">
        <v>2013</v>
      </c>
      <c r="B242" s="10">
        <v>1</v>
      </c>
      <c r="C242" s="10">
        <v>388.06456218527001</v>
      </c>
    </row>
    <row r="243" spans="1:3" x14ac:dyDescent="0.25">
      <c r="A243" s="10">
        <v>2013</v>
      </c>
      <c r="B243" s="10">
        <v>2</v>
      </c>
      <c r="C243" s="10">
        <v>384.341889550904</v>
      </c>
    </row>
    <row r="244" spans="1:3" x14ac:dyDescent="0.25">
      <c r="A244" s="10">
        <v>2013</v>
      </c>
      <c r="B244" s="10">
        <v>3</v>
      </c>
      <c r="C244" s="10">
        <v>453.45017578135798</v>
      </c>
    </row>
    <row r="245" spans="1:3" x14ac:dyDescent="0.25">
      <c r="A245" s="10">
        <v>2013</v>
      </c>
      <c r="B245" s="10">
        <v>4</v>
      </c>
      <c r="C245" s="10">
        <v>424.51795882303202</v>
      </c>
    </row>
    <row r="246" spans="1:3" x14ac:dyDescent="0.25">
      <c r="A246" s="10">
        <v>2013</v>
      </c>
      <c r="B246" s="10">
        <v>5</v>
      </c>
      <c r="C246" s="10">
        <v>439.85997878225999</v>
      </c>
    </row>
    <row r="247" spans="1:3" x14ac:dyDescent="0.25">
      <c r="A247" s="10">
        <v>2013</v>
      </c>
      <c r="B247" s="10">
        <v>6</v>
      </c>
      <c r="C247" s="10">
        <v>414.76275713505299</v>
      </c>
    </row>
    <row r="248" spans="1:3" x14ac:dyDescent="0.25">
      <c r="A248" s="10">
        <v>2013</v>
      </c>
      <c r="B248" s="10">
        <v>7</v>
      </c>
      <c r="C248" s="10">
        <v>449.95308065756399</v>
      </c>
    </row>
    <row r="249" spans="1:3" x14ac:dyDescent="0.25">
      <c r="A249" s="10">
        <v>2013</v>
      </c>
      <c r="B249" s="10">
        <v>8</v>
      </c>
      <c r="C249" s="10">
        <v>452.022288836916</v>
      </c>
    </row>
    <row r="250" spans="1:3" x14ac:dyDescent="0.25">
      <c r="A250" s="10">
        <v>2013</v>
      </c>
      <c r="B250" s="10">
        <v>9</v>
      </c>
      <c r="C250" s="10">
        <v>445.65206598824</v>
      </c>
    </row>
    <row r="251" spans="1:3" x14ac:dyDescent="0.25">
      <c r="A251" s="10">
        <v>2013</v>
      </c>
      <c r="B251" s="10">
        <v>10</v>
      </c>
      <c r="C251" s="10">
        <v>439.98479614412702</v>
      </c>
    </row>
    <row r="252" spans="1:3" x14ac:dyDescent="0.25">
      <c r="A252" s="10">
        <v>2013</v>
      </c>
      <c r="B252" s="10">
        <v>11</v>
      </c>
      <c r="C252" s="10">
        <v>453.52774378665799</v>
      </c>
    </row>
    <row r="253" spans="1:3" x14ac:dyDescent="0.25">
      <c r="A253" s="10">
        <v>2013</v>
      </c>
      <c r="B253" s="10">
        <v>12</v>
      </c>
      <c r="C253" s="10">
        <v>448.81220505914303</v>
      </c>
    </row>
    <row r="254" spans="1:3" x14ac:dyDescent="0.25">
      <c r="A254" s="10">
        <v>2014</v>
      </c>
      <c r="B254" s="10">
        <v>1</v>
      </c>
      <c r="C254" s="10">
        <v>459.79866506433001</v>
      </c>
    </row>
    <row r="255" spans="1:3" x14ac:dyDescent="0.25">
      <c r="A255" s="10">
        <v>2014</v>
      </c>
      <c r="B255" s="10">
        <v>2</v>
      </c>
      <c r="C255" s="10">
        <v>444.98713359111599</v>
      </c>
    </row>
    <row r="256" spans="1:3" x14ac:dyDescent="0.25">
      <c r="A256" s="10">
        <v>2014</v>
      </c>
      <c r="B256" s="10">
        <v>3</v>
      </c>
      <c r="C256" s="10">
        <v>458.29577733363999</v>
      </c>
    </row>
    <row r="257" spans="1:3" x14ac:dyDescent="0.25">
      <c r="A257" s="10">
        <v>2014</v>
      </c>
      <c r="B257" s="10">
        <v>4</v>
      </c>
      <c r="C257" s="10">
        <v>486.29201963289501</v>
      </c>
    </row>
    <row r="258" spans="1:3" x14ac:dyDescent="0.25">
      <c r="A258" s="10">
        <v>2014</v>
      </c>
      <c r="B258" s="10">
        <v>5</v>
      </c>
      <c r="C258" s="10">
        <v>474.72355712488098</v>
      </c>
    </row>
    <row r="259" spans="1:3" x14ac:dyDescent="0.25">
      <c r="A259" s="10">
        <v>2014</v>
      </c>
      <c r="B259" s="10">
        <v>6</v>
      </c>
      <c r="C259" s="10">
        <v>473.85750934116902</v>
      </c>
    </row>
    <row r="260" spans="1:3" x14ac:dyDescent="0.25">
      <c r="A260" s="10">
        <v>2014</v>
      </c>
      <c r="B260" s="10">
        <v>7</v>
      </c>
      <c r="C260" s="10">
        <v>463.676390465098</v>
      </c>
    </row>
    <row r="261" spans="1:3" x14ac:dyDescent="0.25">
      <c r="A261" s="10">
        <v>2014</v>
      </c>
      <c r="B261" s="10">
        <v>8</v>
      </c>
      <c r="C261" s="10">
        <v>440.409378536693</v>
      </c>
    </row>
    <row r="262" spans="1:3" x14ac:dyDescent="0.25">
      <c r="A262" s="10">
        <v>2014</v>
      </c>
      <c r="B262" s="10">
        <v>9</v>
      </c>
      <c r="C262" s="10">
        <v>448.79299452662099</v>
      </c>
    </row>
    <row r="263" spans="1:3" x14ac:dyDescent="0.25">
      <c r="A263" s="10">
        <v>2014</v>
      </c>
      <c r="B263" s="10">
        <v>10</v>
      </c>
      <c r="C263" s="10">
        <v>439.13484425301999</v>
      </c>
    </row>
    <row r="264" spans="1:3" x14ac:dyDescent="0.25">
      <c r="A264" s="10">
        <v>2014</v>
      </c>
      <c r="B264" s="10">
        <v>11</v>
      </c>
      <c r="C264" s="10">
        <v>445.47055261459201</v>
      </c>
    </row>
    <row r="265" spans="1:3" x14ac:dyDescent="0.25">
      <c r="A265" s="10">
        <v>2014</v>
      </c>
      <c r="B265" s="10">
        <v>12</v>
      </c>
      <c r="C265" s="10">
        <v>464.49145852897902</v>
      </c>
    </row>
    <row r="266" spans="1:3" x14ac:dyDescent="0.25">
      <c r="A266" s="10">
        <v>2015</v>
      </c>
      <c r="B266" s="10">
        <v>1</v>
      </c>
      <c r="C266" s="10">
        <v>443.08471651609801</v>
      </c>
    </row>
    <row r="267" spans="1:3" x14ac:dyDescent="0.25">
      <c r="A267" s="10">
        <v>2015</v>
      </c>
      <c r="B267" s="10">
        <v>2</v>
      </c>
      <c r="C267" s="10">
        <v>439.49317442278198</v>
      </c>
    </row>
    <row r="268" spans="1:3" x14ac:dyDescent="0.25">
      <c r="A268" s="10">
        <v>2015</v>
      </c>
      <c r="B268" s="10">
        <v>3</v>
      </c>
      <c r="C268" s="10">
        <v>416.52817332788698</v>
      </c>
    </row>
    <row r="269" spans="1:3" x14ac:dyDescent="0.25">
      <c r="A269" s="10">
        <v>2015</v>
      </c>
      <c r="B269" s="10">
        <v>4</v>
      </c>
      <c r="C269" s="10">
        <v>387.755776588961</v>
      </c>
    </row>
    <row r="270" spans="1:3" x14ac:dyDescent="0.25">
      <c r="A270" s="10">
        <v>2015</v>
      </c>
      <c r="B270" s="10">
        <v>5</v>
      </c>
      <c r="C270" s="10">
        <v>404.13052948602098</v>
      </c>
    </row>
    <row r="271" spans="1:3" x14ac:dyDescent="0.25">
      <c r="A271" s="10">
        <v>2015</v>
      </c>
      <c r="B271" s="10">
        <v>6</v>
      </c>
      <c r="C271" s="10">
        <v>442.52991726439598</v>
      </c>
    </row>
    <row r="272" spans="1:3" x14ac:dyDescent="0.25">
      <c r="A272" s="10">
        <v>2015</v>
      </c>
      <c r="B272" s="10">
        <v>7</v>
      </c>
      <c r="C272" s="10">
        <v>415.50427792881499</v>
      </c>
    </row>
    <row r="273" spans="1:3" x14ac:dyDescent="0.25">
      <c r="A273" s="10">
        <v>2015</v>
      </c>
      <c r="B273" s="10">
        <v>8</v>
      </c>
      <c r="C273" s="10">
        <v>446.99694995817202</v>
      </c>
    </row>
    <row r="274" spans="1:3" x14ac:dyDescent="0.25">
      <c r="A274" s="10">
        <v>2015</v>
      </c>
      <c r="B274" s="10">
        <v>9</v>
      </c>
      <c r="C274" s="10">
        <v>432.74587297212901</v>
      </c>
    </row>
    <row r="275" spans="1:3" x14ac:dyDescent="0.25">
      <c r="A275" s="10">
        <v>2015</v>
      </c>
      <c r="B275" s="10">
        <v>10</v>
      </c>
      <c r="C275" s="10">
        <v>429.41250459052799</v>
      </c>
    </row>
    <row r="276" spans="1:3" x14ac:dyDescent="0.25">
      <c r="A276" s="10">
        <v>2015</v>
      </c>
      <c r="B276" s="10">
        <v>11</v>
      </c>
      <c r="C276" s="10">
        <v>387.20038333122199</v>
      </c>
    </row>
    <row r="277" spans="1:3" x14ac:dyDescent="0.25">
      <c r="A277" s="10">
        <v>2015</v>
      </c>
      <c r="B277" s="10">
        <v>12</v>
      </c>
      <c r="C277" s="10">
        <v>394.73020216388102</v>
      </c>
    </row>
    <row r="278" spans="1:3" x14ac:dyDescent="0.25">
      <c r="A278" s="10">
        <v>2016</v>
      </c>
      <c r="B278" s="10">
        <v>1</v>
      </c>
      <c r="C278" s="10">
        <v>381.243431166248</v>
      </c>
    </row>
    <row r="279" spans="1:3" x14ac:dyDescent="0.25">
      <c r="A279" s="10">
        <v>2016</v>
      </c>
      <c r="B279" s="10">
        <v>2</v>
      </c>
      <c r="C279" s="10">
        <v>365.395942289083</v>
      </c>
    </row>
    <row r="280" spans="1:3" x14ac:dyDescent="0.25">
      <c r="A280" s="10">
        <v>2016</v>
      </c>
      <c r="B280" s="10">
        <v>3</v>
      </c>
      <c r="C280" s="10">
        <v>305.72290130225798</v>
      </c>
    </row>
    <row r="281" spans="1:3" x14ac:dyDescent="0.25">
      <c r="A281" s="10">
        <v>2016</v>
      </c>
      <c r="B281" s="10">
        <v>4</v>
      </c>
      <c r="C281" s="10">
        <v>324.31132161014801</v>
      </c>
    </row>
    <row r="282" spans="1:3" x14ac:dyDescent="0.25">
      <c r="A282" s="10">
        <v>2016</v>
      </c>
      <c r="B282" s="10">
        <v>5</v>
      </c>
      <c r="C282" s="10">
        <v>374.57378013010299</v>
      </c>
    </row>
    <row r="283" spans="1:3" x14ac:dyDescent="0.25">
      <c r="A283" s="10">
        <v>2016</v>
      </c>
      <c r="B283" s="10">
        <v>6</v>
      </c>
      <c r="C283" s="10">
        <v>372.65865133743102</v>
      </c>
    </row>
    <row r="284" spans="1:3" x14ac:dyDescent="0.25">
      <c r="A284" s="10">
        <v>2016</v>
      </c>
      <c r="B284" s="10">
        <v>7</v>
      </c>
      <c r="C284" s="10">
        <v>338.49134662051699</v>
      </c>
    </row>
    <row r="285" spans="1:3" x14ac:dyDescent="0.25">
      <c r="A285" s="10">
        <v>2016</v>
      </c>
      <c r="B285" s="10">
        <v>8</v>
      </c>
      <c r="C285" s="10">
        <v>316.07534517718898</v>
      </c>
    </row>
    <row r="286" spans="1:3" x14ac:dyDescent="0.25">
      <c r="A286" s="10">
        <v>2016</v>
      </c>
      <c r="B286" s="10">
        <v>9</v>
      </c>
      <c r="C286" s="10">
        <v>308.453443793264</v>
      </c>
    </row>
    <row r="287" spans="1:3" x14ac:dyDescent="0.25">
      <c r="A287" s="10">
        <v>2016</v>
      </c>
      <c r="B287" s="10">
        <v>10</v>
      </c>
      <c r="C287" s="10">
        <v>337.76814264750601</v>
      </c>
    </row>
    <row r="288" spans="1:3" x14ac:dyDescent="0.25">
      <c r="A288" s="10">
        <v>2016</v>
      </c>
      <c r="B288" s="10">
        <v>11</v>
      </c>
      <c r="C288" s="10">
        <v>340.69568927174203</v>
      </c>
    </row>
    <row r="289" spans="1:3" x14ac:dyDescent="0.25">
      <c r="A289" s="10">
        <v>2016</v>
      </c>
      <c r="B289" s="10">
        <v>12</v>
      </c>
      <c r="C289" s="10">
        <v>339.95615048803802</v>
      </c>
    </row>
    <row r="290" spans="1:3" x14ac:dyDescent="0.25">
      <c r="A290" s="10">
        <v>2017</v>
      </c>
      <c r="B290" s="10">
        <v>1</v>
      </c>
      <c r="C290" s="10">
        <v>337.45355938894801</v>
      </c>
    </row>
    <row r="291" spans="1:3" x14ac:dyDescent="0.25">
      <c r="A291" s="10">
        <v>2017</v>
      </c>
      <c r="B291" s="10">
        <v>2</v>
      </c>
      <c r="C291" s="10">
        <v>363.27847469633298</v>
      </c>
    </row>
    <row r="292" spans="1:3" x14ac:dyDescent="0.25">
      <c r="A292" s="10">
        <v>2017</v>
      </c>
      <c r="B292" s="10">
        <v>3</v>
      </c>
      <c r="C292" s="10">
        <v>382.036849201986</v>
      </c>
    </row>
    <row r="293" spans="1:3" x14ac:dyDescent="0.25">
      <c r="A293" s="10">
        <v>2017</v>
      </c>
      <c r="B293" s="10">
        <v>4</v>
      </c>
      <c r="C293" s="10">
        <v>371.10808165494302</v>
      </c>
    </row>
    <row r="294" spans="1:3" x14ac:dyDescent="0.25">
      <c r="A294" s="10">
        <v>2017</v>
      </c>
      <c r="B294" s="10">
        <v>5</v>
      </c>
      <c r="C294" s="10">
        <v>392.29593693773302</v>
      </c>
    </row>
    <row r="295" spans="1:3" x14ac:dyDescent="0.25">
      <c r="A295" s="10">
        <v>2017</v>
      </c>
      <c r="B295" s="10">
        <v>6</v>
      </c>
      <c r="C295" s="10">
        <v>376.911838717823</v>
      </c>
    </row>
    <row r="296" spans="1:3" x14ac:dyDescent="0.25">
      <c r="A296" s="10">
        <v>2017</v>
      </c>
      <c r="B296" s="10">
        <v>7</v>
      </c>
      <c r="C296" s="10">
        <v>379.302328584164</v>
      </c>
    </row>
    <row r="297" spans="1:3" x14ac:dyDescent="0.25">
      <c r="A297" s="10">
        <v>2017</v>
      </c>
      <c r="B297" s="10">
        <v>8</v>
      </c>
      <c r="C297" s="10">
        <v>390.09905930104298</v>
      </c>
    </row>
    <row r="298" spans="1:3" x14ac:dyDescent="0.25">
      <c r="A298" s="10">
        <v>2017</v>
      </c>
      <c r="B298" s="10">
        <v>9</v>
      </c>
      <c r="C298" s="10">
        <v>407.46104278978902</v>
      </c>
    </row>
    <row r="299" spans="1:3" x14ac:dyDescent="0.25">
      <c r="A299" s="10">
        <v>2017</v>
      </c>
      <c r="B299" s="10">
        <v>10</v>
      </c>
      <c r="C299" s="10">
        <v>410.497387829996</v>
      </c>
    </row>
    <row r="300" spans="1:3" x14ac:dyDescent="0.25">
      <c r="A300" s="10">
        <v>2017</v>
      </c>
      <c r="B300" s="10">
        <v>11</v>
      </c>
      <c r="C300" s="10">
        <v>413.96369792938998</v>
      </c>
    </row>
    <row r="301" spans="1:3" x14ac:dyDescent="0.25">
      <c r="A301" s="10">
        <v>2017</v>
      </c>
      <c r="B301" s="10">
        <v>12</v>
      </c>
      <c r="C301" s="10">
        <v>408.91309058496398</v>
      </c>
    </row>
    <row r="302" spans="1:3" x14ac:dyDescent="0.25">
      <c r="A302" s="10">
        <v>2018</v>
      </c>
      <c r="B302" s="10">
        <v>1</v>
      </c>
      <c r="C302" s="10">
        <v>384.943191332845</v>
      </c>
    </row>
    <row r="303" spans="1:3" x14ac:dyDescent="0.25">
      <c r="A303" s="10">
        <v>2018</v>
      </c>
      <c r="B303" s="10">
        <v>2</v>
      </c>
      <c r="C303" s="10">
        <v>477.22181808364502</v>
      </c>
    </row>
    <row r="304" spans="1:3" x14ac:dyDescent="0.25">
      <c r="A304" s="10">
        <v>2018</v>
      </c>
      <c r="B304" s="10">
        <v>3</v>
      </c>
      <c r="C304" s="10">
        <v>465.35087758756401</v>
      </c>
    </row>
    <row r="305" spans="1:3" x14ac:dyDescent="0.25">
      <c r="A305" s="10">
        <v>2018</v>
      </c>
      <c r="B305" s="10">
        <v>4</v>
      </c>
      <c r="C305" s="10">
        <v>465.15928554519701</v>
      </c>
    </row>
    <row r="306" spans="1:3" x14ac:dyDescent="0.25">
      <c r="A306" s="10">
        <v>2018</v>
      </c>
      <c r="B306" s="10">
        <v>5</v>
      </c>
      <c r="C306" s="10">
        <v>438.54066045530197</v>
      </c>
    </row>
    <row r="307" spans="1:3" x14ac:dyDescent="0.25">
      <c r="A307" s="10">
        <v>2018</v>
      </c>
      <c r="B307" s="10">
        <v>6</v>
      </c>
      <c r="C307" s="10">
        <v>421.59650159649698</v>
      </c>
    </row>
    <row r="308" spans="1:3" x14ac:dyDescent="0.25">
      <c r="A308" s="10">
        <v>2018</v>
      </c>
      <c r="B308" s="10">
        <v>7</v>
      </c>
      <c r="C308" s="10">
        <v>444.13743687866599</v>
      </c>
    </row>
    <row r="309" spans="1:3" x14ac:dyDescent="0.25">
      <c r="A309" s="10">
        <v>2018</v>
      </c>
      <c r="B309" s="10">
        <v>8</v>
      </c>
      <c r="C309" s="10">
        <v>427.84139372502699</v>
      </c>
    </row>
    <row r="310" spans="1:3" x14ac:dyDescent="0.25">
      <c r="A310" s="10">
        <v>2018</v>
      </c>
      <c r="B310" s="10">
        <v>9</v>
      </c>
      <c r="C310" s="10">
        <v>415.977281876468</v>
      </c>
    </row>
    <row r="311" spans="1:3" x14ac:dyDescent="0.25">
      <c r="A311" s="10">
        <v>2018</v>
      </c>
      <c r="B311" s="10">
        <v>10</v>
      </c>
      <c r="C311" s="10">
        <v>412.47589177865399</v>
      </c>
    </row>
    <row r="312" spans="1:3" x14ac:dyDescent="0.25">
      <c r="A312" s="10">
        <v>2018</v>
      </c>
      <c r="B312" s="10">
        <v>11</v>
      </c>
      <c r="C312" s="10">
        <v>432.80269486881599</v>
      </c>
    </row>
    <row r="313" spans="1:3" x14ac:dyDescent="0.25">
      <c r="A313" s="10">
        <v>2018</v>
      </c>
      <c r="B313" s="10">
        <v>12</v>
      </c>
      <c r="C313" s="10">
        <v>381.69300128964699</v>
      </c>
    </row>
    <row r="314" spans="1:3" x14ac:dyDescent="0.25">
      <c r="A314" s="10">
        <v>2019</v>
      </c>
      <c r="B314" s="10">
        <v>1</v>
      </c>
      <c r="C314" s="10">
        <v>408.400786879149</v>
      </c>
    </row>
    <row r="315" spans="1:3" x14ac:dyDescent="0.25">
      <c r="A315" s="10">
        <v>2019</v>
      </c>
      <c r="B315" s="10">
        <v>2</v>
      </c>
      <c r="C315" s="10">
        <v>382.22705837965202</v>
      </c>
    </row>
    <row r="316" spans="1:3" x14ac:dyDescent="0.25">
      <c r="A316" s="10">
        <v>2019</v>
      </c>
      <c r="B316" s="10">
        <v>3</v>
      </c>
      <c r="C316" s="10">
        <v>384.83731941335799</v>
      </c>
    </row>
    <row r="317" spans="1:3" x14ac:dyDescent="0.25">
      <c r="A317" s="10">
        <v>2019</v>
      </c>
      <c r="B317" s="10">
        <v>4</v>
      </c>
      <c r="C317" s="10">
        <v>421.82744794393199</v>
      </c>
    </row>
    <row r="318" spans="1:3" x14ac:dyDescent="0.25">
      <c r="A318" s="10">
        <v>2019</v>
      </c>
      <c r="B318" s="10">
        <v>5</v>
      </c>
      <c r="C318" s="10">
        <v>409.175152505705</v>
      </c>
    </row>
    <row r="319" spans="1:3" x14ac:dyDescent="0.25">
      <c r="A319" s="10">
        <v>2019</v>
      </c>
      <c r="B319" s="10">
        <v>6</v>
      </c>
      <c r="C319" s="10">
        <v>421.556010365725</v>
      </c>
    </row>
    <row r="320" spans="1:3" x14ac:dyDescent="0.25">
      <c r="A320" s="10">
        <v>2019</v>
      </c>
      <c r="B320" s="10">
        <v>7</v>
      </c>
      <c r="C320" s="10">
        <v>397.535852863439</v>
      </c>
    </row>
    <row r="321" spans="1:3" x14ac:dyDescent="0.25">
      <c r="A321" s="10">
        <v>2019</v>
      </c>
      <c r="B321" s="10">
        <v>8</v>
      </c>
      <c r="C321" s="10">
        <v>410.76319203952102</v>
      </c>
    </row>
    <row r="322" spans="1:3" x14ac:dyDescent="0.25">
      <c r="A322" s="10">
        <v>2019</v>
      </c>
      <c r="B322" s="10">
        <v>9</v>
      </c>
      <c r="C322" s="10">
        <v>385.20735955929899</v>
      </c>
    </row>
    <row r="323" spans="1:3" x14ac:dyDescent="0.25">
      <c r="A323" s="10">
        <v>2019</v>
      </c>
      <c r="B323" s="10">
        <v>10</v>
      </c>
      <c r="C323" s="10">
        <v>349.19237183874202</v>
      </c>
    </row>
    <row r="324" spans="1:3" x14ac:dyDescent="0.25">
      <c r="A324" s="10">
        <v>2019</v>
      </c>
      <c r="B324" s="10">
        <v>11</v>
      </c>
      <c r="C324" s="10">
        <v>331.86524731633102</v>
      </c>
    </row>
    <row r="325" spans="1:3" x14ac:dyDescent="0.25">
      <c r="A325" s="10">
        <v>2019</v>
      </c>
      <c r="B325" s="10">
        <v>12</v>
      </c>
      <c r="C325" s="10">
        <v>345.56326831938702</v>
      </c>
    </row>
    <row r="326" spans="1:3" x14ac:dyDescent="0.25">
      <c r="A326" s="10">
        <v>2020</v>
      </c>
      <c r="B326" s="10">
        <v>1</v>
      </c>
      <c r="C326" s="10">
        <v>333.22985350010998</v>
      </c>
    </row>
    <row r="327" spans="1:3" x14ac:dyDescent="0.25">
      <c r="A327" s="10">
        <v>2020</v>
      </c>
      <c r="B327" s="10">
        <v>2</v>
      </c>
      <c r="C327" s="10">
        <v>380.30868658934298</v>
      </c>
    </row>
    <row r="328" spans="1:3" x14ac:dyDescent="0.25">
      <c r="A328" s="10">
        <v>2020</v>
      </c>
      <c r="B328" s="10">
        <v>3</v>
      </c>
      <c r="C328" s="10">
        <v>284.56164815540598</v>
      </c>
    </row>
    <row r="329" spans="1:3" x14ac:dyDescent="0.25">
      <c r="A329" s="10">
        <v>2020</v>
      </c>
      <c r="B329" s="10">
        <v>4</v>
      </c>
      <c r="C329" s="10">
        <v>108.077351591523</v>
      </c>
    </row>
    <row r="330" spans="1:3" x14ac:dyDescent="0.25">
      <c r="A330" s="10">
        <v>2020</v>
      </c>
      <c r="B330" s="10">
        <v>5</v>
      </c>
      <c r="C330" s="10">
        <v>196.308937697575</v>
      </c>
    </row>
    <row r="331" spans="1:3" x14ac:dyDescent="0.25">
      <c r="A331" s="10">
        <v>2020</v>
      </c>
      <c r="B331" s="10">
        <v>6</v>
      </c>
      <c r="C331" s="10">
        <v>249.37776014308901</v>
      </c>
    </row>
    <row r="332" spans="1:3" x14ac:dyDescent="0.25">
      <c r="A332" s="10">
        <v>2020</v>
      </c>
      <c r="B332" s="10">
        <v>7</v>
      </c>
      <c r="C332" s="10">
        <v>306.115291571081</v>
      </c>
    </row>
    <row r="333" spans="1:3" x14ac:dyDescent="0.25">
      <c r="A333" s="10">
        <v>2020</v>
      </c>
      <c r="B333" s="10">
        <v>8</v>
      </c>
      <c r="C333" s="10">
        <v>313.02966154701397</v>
      </c>
    </row>
    <row r="334" spans="1:3" x14ac:dyDescent="0.25">
      <c r="A334" s="10">
        <v>2020</v>
      </c>
      <c r="B334" s="10">
        <v>9</v>
      </c>
      <c r="C334" s="10">
        <v>333.97602432606601</v>
      </c>
    </row>
    <row r="335" spans="1:3" x14ac:dyDescent="0.25">
      <c r="A335" s="10">
        <v>2020</v>
      </c>
      <c r="B335" s="10">
        <v>10</v>
      </c>
      <c r="C335" s="10">
        <v>346.51357754646602</v>
      </c>
    </row>
    <row r="336" spans="1:3" x14ac:dyDescent="0.25">
      <c r="A336" s="10">
        <v>2020</v>
      </c>
      <c r="B336" s="10">
        <v>11</v>
      </c>
      <c r="C336" s="10">
        <v>364.505711607698</v>
      </c>
    </row>
    <row r="337" spans="1:3" x14ac:dyDescent="0.25">
      <c r="A337" s="10">
        <v>2020</v>
      </c>
      <c r="B337" s="10">
        <v>12</v>
      </c>
      <c r="C337" s="10">
        <v>402.39315325213403</v>
      </c>
    </row>
    <row r="338" spans="1:3" x14ac:dyDescent="0.25">
      <c r="A338" s="10">
        <v>2021</v>
      </c>
      <c r="B338" s="10">
        <v>1</v>
      </c>
      <c r="C338" s="10">
        <v>406.10520493199903</v>
      </c>
    </row>
    <row r="339" spans="1:3" x14ac:dyDescent="0.25">
      <c r="A339" s="10">
        <v>2021</v>
      </c>
      <c r="B339" s="10">
        <v>2</v>
      </c>
      <c r="C339" s="10">
        <v>404.42180516196697</v>
      </c>
    </row>
    <row r="340" spans="1:3" x14ac:dyDescent="0.25">
      <c r="A340" s="10">
        <v>2021</v>
      </c>
      <c r="B340" s="10">
        <v>3</v>
      </c>
      <c r="C340" s="10">
        <v>425.34511972815</v>
      </c>
    </row>
    <row r="341" spans="1:3" x14ac:dyDescent="0.25">
      <c r="A341" s="10">
        <v>2021</v>
      </c>
      <c r="B341" s="10">
        <v>4</v>
      </c>
      <c r="C341" s="10">
        <v>349.573466306206</v>
      </c>
    </row>
    <row r="342" spans="1:3" x14ac:dyDescent="0.25">
      <c r="A342" s="10">
        <v>2021</v>
      </c>
      <c r="B342" s="10">
        <v>5</v>
      </c>
      <c r="C342" s="10">
        <v>392.31957110090099</v>
      </c>
    </row>
    <row r="343" spans="1:3" x14ac:dyDescent="0.25">
      <c r="A343" s="10">
        <v>2021</v>
      </c>
      <c r="B343" s="10">
        <v>6</v>
      </c>
      <c r="C343" s="10">
        <v>407.55286550610998</v>
      </c>
    </row>
    <row r="344" spans="1:3" x14ac:dyDescent="0.25">
      <c r="A344" s="10">
        <v>2021</v>
      </c>
      <c r="B344" s="10">
        <v>7</v>
      </c>
      <c r="C344" s="10">
        <v>412.13670722342499</v>
      </c>
    </row>
    <row r="345" spans="1:3" x14ac:dyDescent="0.25">
      <c r="A345" s="10">
        <v>2021</v>
      </c>
      <c r="B345" s="10">
        <v>8</v>
      </c>
      <c r="C345" s="10">
        <v>403.11273330864998</v>
      </c>
    </row>
    <row r="346" spans="1:3" x14ac:dyDescent="0.25">
      <c r="A346" s="10">
        <v>2021</v>
      </c>
      <c r="B346" s="10">
        <v>9</v>
      </c>
      <c r="C346" s="10">
        <v>404.26606961455798</v>
      </c>
    </row>
    <row r="347" spans="1:3" x14ac:dyDescent="0.25">
      <c r="A347" s="10">
        <v>2021</v>
      </c>
      <c r="B347" s="10">
        <v>10</v>
      </c>
      <c r="C347" s="10">
        <v>407.85516367699898</v>
      </c>
    </row>
    <row r="348" spans="1:3" x14ac:dyDescent="0.25">
      <c r="A348" s="10">
        <v>2021</v>
      </c>
      <c r="B348" s="10">
        <v>11</v>
      </c>
      <c r="C348" s="10">
        <v>425.555493904895</v>
      </c>
    </row>
    <row r="349" spans="1:3" x14ac:dyDescent="0.25">
      <c r="A349" s="10">
        <v>2021</v>
      </c>
      <c r="B349" s="10">
        <v>12</v>
      </c>
      <c r="C349" s="10">
        <v>440.48995998029602</v>
      </c>
    </row>
    <row r="350" spans="1:3" x14ac:dyDescent="0.25">
      <c r="A350" s="10">
        <v>2022</v>
      </c>
      <c r="B350" s="10">
        <v>1</v>
      </c>
      <c r="C350" s="10">
        <v>390.99523481195001</v>
      </c>
    </row>
    <row r="351" spans="1:3" x14ac:dyDescent="0.25">
      <c r="A351" s="10">
        <v>2022</v>
      </c>
      <c r="B351" s="10">
        <v>2</v>
      </c>
      <c r="C351" s="10">
        <v>393.33701752840699</v>
      </c>
    </row>
    <row r="352" spans="1:3" x14ac:dyDescent="0.25">
      <c r="A352" s="10">
        <v>2022</v>
      </c>
      <c r="B352" s="10">
        <v>3</v>
      </c>
      <c r="C352" s="10">
        <v>420.92453471269403</v>
      </c>
    </row>
    <row r="353" spans="1:3" x14ac:dyDescent="0.25">
      <c r="A353" s="10">
        <v>2022</v>
      </c>
      <c r="B353" s="10">
        <v>4</v>
      </c>
      <c r="C353" s="10">
        <v>361.349262566677</v>
      </c>
    </row>
    <row r="354" spans="1:3" x14ac:dyDescent="0.25">
      <c r="A354" s="10">
        <v>2022</v>
      </c>
      <c r="B354" s="10">
        <v>5</v>
      </c>
      <c r="C354" s="10">
        <v>446.245958372671</v>
      </c>
    </row>
    <row r="355" spans="1:3" x14ac:dyDescent="0.25">
      <c r="A355" s="10">
        <v>2022</v>
      </c>
      <c r="B355" s="10">
        <v>6</v>
      </c>
      <c r="C355" s="10">
        <v>471.84227076511797</v>
      </c>
    </row>
    <row r="356" spans="1:3" x14ac:dyDescent="0.25">
      <c r="A356" s="10">
        <v>2022</v>
      </c>
      <c r="B356" s="10">
        <v>7</v>
      </c>
      <c r="C356" s="10">
        <v>448.27832488402902</v>
      </c>
    </row>
    <row r="357" spans="1:3" x14ac:dyDescent="0.25">
      <c r="A357" s="10">
        <v>2022</v>
      </c>
      <c r="B357" s="10">
        <v>8</v>
      </c>
      <c r="C357" s="10">
        <v>436.89030751221998</v>
      </c>
    </row>
    <row r="358" spans="1:3" x14ac:dyDescent="0.25">
      <c r="A358" s="10">
        <v>2022</v>
      </c>
      <c r="B358" s="10">
        <v>9</v>
      </c>
      <c r="C358" s="10">
        <v>397.54799569055399</v>
      </c>
    </row>
    <row r="359" spans="1:3" x14ac:dyDescent="0.25">
      <c r="A359" s="10">
        <v>2022</v>
      </c>
      <c r="B359" s="10">
        <v>10</v>
      </c>
      <c r="C359" s="10">
        <v>448.27242410879199</v>
      </c>
    </row>
    <row r="360" spans="1:3" x14ac:dyDescent="0.25">
      <c r="A360" s="10">
        <v>2022</v>
      </c>
      <c r="B360" s="10">
        <v>11</v>
      </c>
      <c r="C360" s="10">
        <v>434.00919323661702</v>
      </c>
    </row>
    <row r="361" spans="1:3" x14ac:dyDescent="0.25">
      <c r="A361" s="10">
        <v>2022</v>
      </c>
      <c r="B361" s="10">
        <v>12</v>
      </c>
      <c r="C361" s="10">
        <v>452.63077615259499</v>
      </c>
    </row>
    <row r="362" spans="1:3" x14ac:dyDescent="0.25">
      <c r="A362" s="10">
        <v>2023</v>
      </c>
      <c r="B362" s="10">
        <v>1</v>
      </c>
      <c r="C362" s="10">
        <v>482.89850629550102</v>
      </c>
    </row>
    <row r="363" spans="1:3" x14ac:dyDescent="0.25">
      <c r="A363" s="10">
        <v>2023</v>
      </c>
      <c r="B363" s="10">
        <v>2</v>
      </c>
      <c r="C363" s="10">
        <v>429.44241343580899</v>
      </c>
    </row>
    <row r="364" spans="1:3" x14ac:dyDescent="0.25">
      <c r="A364" s="10">
        <v>2023</v>
      </c>
      <c r="B364" s="10">
        <v>3</v>
      </c>
      <c r="C364" s="10">
        <v>416.70182144766397</v>
      </c>
    </row>
    <row r="365" spans="1:3" x14ac:dyDescent="0.25">
      <c r="A365" s="10">
        <v>2023</v>
      </c>
      <c r="B365" s="10">
        <v>4</v>
      </c>
      <c r="C365" s="10">
        <v>438.53992020451102</v>
      </c>
    </row>
    <row r="366" spans="1:3" x14ac:dyDescent="0.25">
      <c r="A366" s="10">
        <v>2023</v>
      </c>
      <c r="B366" s="10">
        <v>5</v>
      </c>
      <c r="C366" s="10">
        <v>439.19593610867298</v>
      </c>
    </row>
    <row r="367" spans="1:3" x14ac:dyDescent="0.25">
      <c r="A367" s="10">
        <v>2023</v>
      </c>
      <c r="B367" s="10">
        <v>6</v>
      </c>
      <c r="C367" s="10">
        <v>432.849970033788</v>
      </c>
    </row>
    <row r="368" spans="1:3" x14ac:dyDescent="0.25">
      <c r="A368" s="10">
        <v>2023</v>
      </c>
      <c r="B368" s="10">
        <v>7</v>
      </c>
      <c r="C368" s="10">
        <v>334.44816969745102</v>
      </c>
    </row>
    <row r="369" spans="1:3" x14ac:dyDescent="0.25">
      <c r="A369" s="10">
        <v>2023</v>
      </c>
      <c r="B369" s="10">
        <v>8</v>
      </c>
      <c r="C369" s="10">
        <v>401.56300474881402</v>
      </c>
    </row>
    <row r="370" spans="1:3" x14ac:dyDescent="0.25">
      <c r="A370" s="10">
        <v>2023</v>
      </c>
      <c r="B370" s="10">
        <v>9</v>
      </c>
      <c r="C370" s="10">
        <v>412.42867230355398</v>
      </c>
    </row>
    <row r="371" spans="1:3" x14ac:dyDescent="0.25">
      <c r="A371" s="10">
        <v>2023</v>
      </c>
      <c r="B371" s="10">
        <v>10</v>
      </c>
      <c r="C371" s="10">
        <v>411.46324193111002</v>
      </c>
    </row>
    <row r="372" spans="1:3" x14ac:dyDescent="0.25">
      <c r="A372" s="10">
        <v>2023</v>
      </c>
      <c r="B372" s="10">
        <v>11</v>
      </c>
      <c r="C372" s="10">
        <v>389.020921969781</v>
      </c>
    </row>
    <row r="373" spans="1:3" x14ac:dyDescent="0.25">
      <c r="A373" s="10">
        <v>2023</v>
      </c>
      <c r="B373" s="10">
        <v>12</v>
      </c>
      <c r="C373" s="10">
        <v>348.37194527295298</v>
      </c>
    </row>
    <row r="374" spans="1:3" x14ac:dyDescent="0.25">
      <c r="A374" s="10">
        <v>2024</v>
      </c>
      <c r="B374" s="10">
        <v>1</v>
      </c>
      <c r="C374" s="10">
        <v>450.405570193438</v>
      </c>
    </row>
    <row r="375" spans="1:3" x14ac:dyDescent="0.25">
      <c r="A375" s="10">
        <v>2024</v>
      </c>
      <c r="B375" s="10">
        <v>2</v>
      </c>
      <c r="C375" s="10">
        <v>358.27446504474199</v>
      </c>
    </row>
    <row r="376" spans="1:3" x14ac:dyDescent="0.25">
      <c r="A376" s="10">
        <v>2024</v>
      </c>
      <c r="B376" s="10">
        <v>3</v>
      </c>
      <c r="C376" s="10">
        <v>245.228572763638</v>
      </c>
    </row>
    <row r="377" spans="1:3" x14ac:dyDescent="0.25">
      <c r="A377" s="10">
        <v>2024</v>
      </c>
      <c r="B377" s="10">
        <v>4</v>
      </c>
      <c r="C377" s="10">
        <v>327.23674862289602</v>
      </c>
    </row>
    <row r="378" spans="1:3" x14ac:dyDescent="0.25">
      <c r="A378" s="10">
        <v>2024</v>
      </c>
      <c r="B378" s="10">
        <v>5</v>
      </c>
      <c r="C378" s="10">
        <v>307.00114666096903</v>
      </c>
    </row>
    <row r="379" spans="1:3" x14ac:dyDescent="0.25">
      <c r="A379" s="10">
        <v>2024</v>
      </c>
      <c r="B379" s="10">
        <v>6</v>
      </c>
      <c r="C379" s="10">
        <v>285.43183479265701</v>
      </c>
    </row>
    <row r="380" spans="1:3" x14ac:dyDescent="0.25">
      <c r="A380" s="10">
        <v>2024</v>
      </c>
      <c r="B380" s="10">
        <v>7</v>
      </c>
      <c r="C380" s="10">
        <v>306.668784536347</v>
      </c>
    </row>
    <row r="381" spans="1:3" x14ac:dyDescent="0.25">
      <c r="A381" s="10">
        <v>2024</v>
      </c>
      <c r="B381" s="10">
        <v>8</v>
      </c>
      <c r="C381" s="10">
        <v>323.40304919632501</v>
      </c>
    </row>
    <row r="382" spans="1:3" x14ac:dyDescent="0.25">
      <c r="A382" s="10">
        <v>2024</v>
      </c>
      <c r="B382" s="10">
        <v>9</v>
      </c>
      <c r="C382" s="10">
        <v>334.71634627436498</v>
      </c>
    </row>
    <row r="383" spans="1:3" x14ac:dyDescent="0.25">
      <c r="A383" s="10">
        <v>2024</v>
      </c>
      <c r="B383" s="10">
        <v>10</v>
      </c>
      <c r="C383" s="10">
        <v>310.79630710109501</v>
      </c>
    </row>
    <row r="384" spans="1:3" x14ac:dyDescent="0.25">
      <c r="A384" s="10">
        <v>2024</v>
      </c>
      <c r="B384" s="10">
        <v>11</v>
      </c>
      <c r="C384" s="10">
        <v>315.25179743274902</v>
      </c>
    </row>
    <row r="385" spans="1:3" x14ac:dyDescent="0.25">
      <c r="A385" s="10">
        <v>2024</v>
      </c>
      <c r="B385" s="10">
        <v>12</v>
      </c>
      <c r="C385" s="10">
        <v>275.62095324396898</v>
      </c>
    </row>
    <row r="386" spans="1:3" x14ac:dyDescent="0.25">
      <c r="A386" s="10">
        <v>2025</v>
      </c>
      <c r="B386" s="10">
        <v>1</v>
      </c>
      <c r="C386" s="10">
        <v>342.900712763922</v>
      </c>
    </row>
    <row r="387" spans="1:3" x14ac:dyDescent="0.25">
      <c r="A387" s="10">
        <v>2025</v>
      </c>
      <c r="B387" s="10">
        <v>2</v>
      </c>
      <c r="C387" s="10">
        <v>380.368708601734</v>
      </c>
    </row>
    <row r="388" spans="1:3" x14ac:dyDescent="0.25">
      <c r="A388" s="10">
        <v>2025</v>
      </c>
      <c r="B388" s="10">
        <v>3</v>
      </c>
      <c r="C388" s="10">
        <v>334.77842156453897</v>
      </c>
    </row>
    <row r="389" spans="1:3" x14ac:dyDescent="0.25">
      <c r="A389" s="10">
        <v>2025</v>
      </c>
      <c r="B389" s="10">
        <v>4</v>
      </c>
      <c r="C389" s="10">
        <v>328.326900319424</v>
      </c>
    </row>
    <row r="390" spans="1:3" x14ac:dyDescent="0.25">
      <c r="A390" s="10">
        <v>2025</v>
      </c>
      <c r="B390" s="10">
        <v>5</v>
      </c>
      <c r="C390" s="10">
        <v>343.89096223439299</v>
      </c>
    </row>
    <row r="391" spans="1:3" x14ac:dyDescent="0.25">
      <c r="A391" s="10">
        <v>2025</v>
      </c>
      <c r="B391" s="10">
        <v>6</v>
      </c>
      <c r="C391" s="10">
        <v>333.54421892683303</v>
      </c>
    </row>
    <row r="392" spans="1:3" x14ac:dyDescent="0.25">
      <c r="A392" s="10">
        <v>2025</v>
      </c>
      <c r="B392" s="10">
        <v>7</v>
      </c>
      <c r="C392" s="10">
        <v>322.23104528927797</v>
      </c>
    </row>
    <row r="393" spans="1:3" x14ac:dyDescent="0.25">
      <c r="A393" s="10">
        <v>2025</v>
      </c>
      <c r="B393" s="10">
        <v>8</v>
      </c>
      <c r="C393" s="10">
        <v>343.78330386732199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D62F-926E-4B11-83B1-75671EA0CF94}">
  <dimension ref="A1:C392"/>
  <sheetViews>
    <sheetView workbookViewId="0">
      <selection activeCell="C2" sqref="C2:C392"/>
    </sheetView>
  </sheetViews>
  <sheetFormatPr baseColWidth="10" defaultRowHeight="15" x14ac:dyDescent="0.25"/>
  <sheetData>
    <row r="1" spans="1:3" x14ac:dyDescent="0.25">
      <c r="A1" s="12" t="s">
        <v>34</v>
      </c>
      <c r="B1" s="12" t="s">
        <v>35</v>
      </c>
      <c r="C1" s="12" t="s">
        <v>36</v>
      </c>
    </row>
    <row r="2" spans="1:3" x14ac:dyDescent="0.25">
      <c r="A2" s="13">
        <v>1993</v>
      </c>
      <c r="B2" s="13">
        <v>1</v>
      </c>
      <c r="C2" s="13">
        <v>243.515017021467</v>
      </c>
    </row>
    <row r="3" spans="1:3" x14ac:dyDescent="0.25">
      <c r="A3" s="13">
        <v>1993</v>
      </c>
      <c r="B3" s="13">
        <v>2</v>
      </c>
      <c r="C3" s="13">
        <v>233.886606791715</v>
      </c>
    </row>
    <row r="4" spans="1:3" x14ac:dyDescent="0.25">
      <c r="A4" s="13">
        <v>1993</v>
      </c>
      <c r="B4" s="13">
        <v>3</v>
      </c>
      <c r="C4" s="13">
        <v>228.20660964795499</v>
      </c>
    </row>
    <row r="5" spans="1:3" x14ac:dyDescent="0.25">
      <c r="A5" s="13">
        <v>1993</v>
      </c>
      <c r="B5" s="13">
        <v>4</v>
      </c>
      <c r="C5" s="13">
        <v>244.98247400370201</v>
      </c>
    </row>
    <row r="6" spans="1:3" x14ac:dyDescent="0.25">
      <c r="A6" s="13">
        <v>1993</v>
      </c>
      <c r="B6" s="13">
        <v>5</v>
      </c>
      <c r="C6" s="13">
        <v>248.44543781429999</v>
      </c>
    </row>
    <row r="7" spans="1:3" x14ac:dyDescent="0.25">
      <c r="A7" s="13">
        <v>1993</v>
      </c>
      <c r="B7" s="13">
        <v>6</v>
      </c>
      <c r="C7" s="13">
        <v>251.001462661499</v>
      </c>
    </row>
    <row r="8" spans="1:3" x14ac:dyDescent="0.25">
      <c r="A8" s="13">
        <v>1993</v>
      </c>
      <c r="B8" s="13">
        <v>7</v>
      </c>
      <c r="C8" s="13">
        <v>238.96156919014999</v>
      </c>
    </row>
    <row r="9" spans="1:3" x14ac:dyDescent="0.25">
      <c r="A9" s="13">
        <v>1993</v>
      </c>
      <c r="B9" s="13">
        <v>8</v>
      </c>
      <c r="C9" s="13">
        <v>245.624486088688</v>
      </c>
    </row>
    <row r="10" spans="1:3" x14ac:dyDescent="0.25">
      <c r="A10" s="13">
        <v>1993</v>
      </c>
      <c r="B10" s="13">
        <v>9</v>
      </c>
      <c r="C10" s="13">
        <v>254.70821065687301</v>
      </c>
    </row>
    <row r="11" spans="1:3" x14ac:dyDescent="0.25">
      <c r="A11" s="13">
        <v>1993</v>
      </c>
      <c r="B11" s="13">
        <v>10</v>
      </c>
      <c r="C11" s="13">
        <v>237.66063357786899</v>
      </c>
    </row>
    <row r="12" spans="1:3" x14ac:dyDescent="0.25">
      <c r="A12" s="13">
        <v>1993</v>
      </c>
      <c r="B12" s="13">
        <v>11</v>
      </c>
      <c r="C12" s="13">
        <v>233.34329940051501</v>
      </c>
    </row>
    <row r="13" spans="1:3" x14ac:dyDescent="0.25">
      <c r="A13" s="13">
        <v>1993</v>
      </c>
      <c r="B13" s="13">
        <v>12</v>
      </c>
      <c r="C13" s="13">
        <v>232.30698474829001</v>
      </c>
    </row>
    <row r="14" spans="1:3" x14ac:dyDescent="0.25">
      <c r="A14" s="13">
        <v>1994</v>
      </c>
      <c r="B14" s="13">
        <v>1</v>
      </c>
      <c r="C14" s="13">
        <v>260.14177281156998</v>
      </c>
    </row>
    <row r="15" spans="1:3" x14ac:dyDescent="0.25">
      <c r="A15" s="13">
        <v>1994</v>
      </c>
      <c r="B15" s="13">
        <v>2</v>
      </c>
      <c r="C15" s="13">
        <v>250.23931705172501</v>
      </c>
    </row>
    <row r="16" spans="1:3" x14ac:dyDescent="0.25">
      <c r="A16" s="13">
        <v>1994</v>
      </c>
      <c r="B16" s="13">
        <v>3</v>
      </c>
      <c r="C16" s="13">
        <v>267.70365072978501</v>
      </c>
    </row>
    <row r="17" spans="1:3" x14ac:dyDescent="0.25">
      <c r="A17" s="13">
        <v>1994</v>
      </c>
      <c r="B17" s="13">
        <v>4</v>
      </c>
      <c r="C17" s="13">
        <v>285.759024651392</v>
      </c>
    </row>
    <row r="18" spans="1:3" x14ac:dyDescent="0.25">
      <c r="A18" s="13">
        <v>1994</v>
      </c>
      <c r="B18" s="13">
        <v>5</v>
      </c>
      <c r="C18" s="13">
        <v>264.83321826174398</v>
      </c>
    </row>
    <row r="19" spans="1:3" x14ac:dyDescent="0.25">
      <c r="A19" s="13">
        <v>1994</v>
      </c>
      <c r="B19" s="13">
        <v>6</v>
      </c>
      <c r="C19" s="13">
        <v>262.53164985172498</v>
      </c>
    </row>
    <row r="20" spans="1:3" x14ac:dyDescent="0.25">
      <c r="A20" s="13">
        <v>1994</v>
      </c>
      <c r="B20" s="13">
        <v>7</v>
      </c>
      <c r="C20" s="13">
        <v>269.43392289748698</v>
      </c>
    </row>
    <row r="21" spans="1:3" x14ac:dyDescent="0.25">
      <c r="A21" s="13">
        <v>1994</v>
      </c>
      <c r="B21" s="13">
        <v>8</v>
      </c>
      <c r="C21" s="13">
        <v>291.97509062103899</v>
      </c>
    </row>
    <row r="22" spans="1:3" x14ac:dyDescent="0.25">
      <c r="A22" s="13">
        <v>1994</v>
      </c>
      <c r="B22" s="13">
        <v>9</v>
      </c>
      <c r="C22" s="13">
        <v>288.385280877745</v>
      </c>
    </row>
    <row r="23" spans="1:3" x14ac:dyDescent="0.25">
      <c r="A23" s="13">
        <v>1994</v>
      </c>
      <c r="B23" s="13">
        <v>10</v>
      </c>
      <c r="C23" s="13">
        <v>297.40340961615499</v>
      </c>
    </row>
    <row r="24" spans="1:3" x14ac:dyDescent="0.25">
      <c r="A24" s="13">
        <v>1994</v>
      </c>
      <c r="B24" s="13">
        <v>11</v>
      </c>
      <c r="C24" s="13">
        <v>272.03729224408301</v>
      </c>
    </row>
    <row r="25" spans="1:3" x14ac:dyDescent="0.25">
      <c r="A25" s="13">
        <v>1994</v>
      </c>
      <c r="B25" s="13">
        <v>12</v>
      </c>
      <c r="C25" s="13">
        <v>301.496690866329</v>
      </c>
    </row>
    <row r="26" spans="1:3" x14ac:dyDescent="0.25">
      <c r="A26" s="13">
        <v>1995</v>
      </c>
      <c r="B26" s="13">
        <v>1</v>
      </c>
      <c r="C26" s="13">
        <v>296.28226844016399</v>
      </c>
    </row>
    <row r="27" spans="1:3" x14ac:dyDescent="0.25">
      <c r="A27" s="13">
        <v>1995</v>
      </c>
      <c r="B27" s="13">
        <v>2</v>
      </c>
      <c r="C27" s="13">
        <v>293.34511533361501</v>
      </c>
    </row>
    <row r="28" spans="1:3" x14ac:dyDescent="0.25">
      <c r="A28" s="13">
        <v>1995</v>
      </c>
      <c r="B28" s="13">
        <v>3</v>
      </c>
      <c r="C28" s="13">
        <v>296.74324520790799</v>
      </c>
    </row>
    <row r="29" spans="1:3" x14ac:dyDescent="0.25">
      <c r="A29" s="13">
        <v>1995</v>
      </c>
      <c r="B29" s="13">
        <v>4</v>
      </c>
      <c r="C29" s="13">
        <v>287.67112519936597</v>
      </c>
    </row>
    <row r="30" spans="1:3" x14ac:dyDescent="0.25">
      <c r="A30" s="13">
        <v>1995</v>
      </c>
      <c r="B30" s="13">
        <v>5</v>
      </c>
      <c r="C30" s="13">
        <v>294.46192781719998</v>
      </c>
    </row>
    <row r="31" spans="1:3" x14ac:dyDescent="0.25">
      <c r="A31" s="13">
        <v>1995</v>
      </c>
      <c r="B31" s="13">
        <v>6</v>
      </c>
      <c r="C31" s="13">
        <v>294.47707103252901</v>
      </c>
    </row>
    <row r="32" spans="1:3" x14ac:dyDescent="0.25">
      <c r="A32" s="13">
        <v>1995</v>
      </c>
      <c r="B32" s="13">
        <v>7</v>
      </c>
      <c r="C32" s="13">
        <v>306.66418288642399</v>
      </c>
    </row>
    <row r="33" spans="1:3" x14ac:dyDescent="0.25">
      <c r="A33" s="13">
        <v>1995</v>
      </c>
      <c r="B33" s="13">
        <v>8</v>
      </c>
      <c r="C33" s="13">
        <v>297.40225340046698</v>
      </c>
    </row>
    <row r="34" spans="1:3" x14ac:dyDescent="0.25">
      <c r="A34" s="13">
        <v>1995</v>
      </c>
      <c r="B34" s="13">
        <v>9</v>
      </c>
      <c r="C34" s="13">
        <v>297.42603068533498</v>
      </c>
    </row>
    <row r="35" spans="1:3" x14ac:dyDescent="0.25">
      <c r="A35" s="13">
        <v>1995</v>
      </c>
      <c r="B35" s="13">
        <v>10</v>
      </c>
      <c r="C35" s="13">
        <v>303.73015520681002</v>
      </c>
    </row>
    <row r="36" spans="1:3" x14ac:dyDescent="0.25">
      <c r="A36" s="13">
        <v>1995</v>
      </c>
      <c r="B36" s="13">
        <v>11</v>
      </c>
      <c r="C36" s="13">
        <v>315.67001359384398</v>
      </c>
    </row>
    <row r="37" spans="1:3" x14ac:dyDescent="0.25">
      <c r="A37" s="13">
        <v>1995</v>
      </c>
      <c r="B37" s="13">
        <v>12</v>
      </c>
      <c r="C37" s="13">
        <v>289.89696253000699</v>
      </c>
    </row>
    <row r="38" spans="1:3" x14ac:dyDescent="0.25">
      <c r="A38" s="13">
        <v>1996</v>
      </c>
      <c r="B38" s="13">
        <v>1</v>
      </c>
      <c r="C38" s="13">
        <v>309.408806692008</v>
      </c>
    </row>
    <row r="39" spans="1:3" x14ac:dyDescent="0.25">
      <c r="A39" s="13">
        <v>1996</v>
      </c>
      <c r="B39" s="13">
        <v>2</v>
      </c>
      <c r="C39" s="13">
        <v>332.532184595432</v>
      </c>
    </row>
    <row r="40" spans="1:3" x14ac:dyDescent="0.25">
      <c r="A40" s="13">
        <v>1996</v>
      </c>
      <c r="B40" s="13">
        <v>3</v>
      </c>
      <c r="C40" s="13">
        <v>353.25016643770698</v>
      </c>
    </row>
    <row r="41" spans="1:3" x14ac:dyDescent="0.25">
      <c r="A41" s="13">
        <v>1996</v>
      </c>
      <c r="B41" s="13">
        <v>4</v>
      </c>
      <c r="C41" s="13">
        <v>330.87490893583799</v>
      </c>
    </row>
    <row r="42" spans="1:3" x14ac:dyDescent="0.25">
      <c r="A42" s="13">
        <v>1996</v>
      </c>
      <c r="B42" s="13">
        <v>5</v>
      </c>
      <c r="C42" s="13">
        <v>335.45730311231</v>
      </c>
    </row>
    <row r="43" spans="1:3" x14ac:dyDescent="0.25">
      <c r="A43" s="13">
        <v>1996</v>
      </c>
      <c r="B43" s="13">
        <v>6</v>
      </c>
      <c r="C43" s="13">
        <v>343.71193094918999</v>
      </c>
    </row>
    <row r="44" spans="1:3" x14ac:dyDescent="0.25">
      <c r="A44" s="13">
        <v>1996</v>
      </c>
      <c r="B44" s="13">
        <v>7</v>
      </c>
      <c r="C44" s="13">
        <v>334.67283445107</v>
      </c>
    </row>
    <row r="45" spans="1:3" x14ac:dyDescent="0.25">
      <c r="A45" s="13">
        <v>1996</v>
      </c>
      <c r="B45" s="13">
        <v>8</v>
      </c>
      <c r="C45" s="13">
        <v>333.58025285803399</v>
      </c>
    </row>
    <row r="46" spans="1:3" x14ac:dyDescent="0.25">
      <c r="A46" s="13">
        <v>1996</v>
      </c>
      <c r="B46" s="13">
        <v>9</v>
      </c>
      <c r="C46" s="13">
        <v>333.68467987016601</v>
      </c>
    </row>
    <row r="47" spans="1:3" x14ac:dyDescent="0.25">
      <c r="A47" s="13">
        <v>1996</v>
      </c>
      <c r="B47" s="13">
        <v>10</v>
      </c>
      <c r="C47" s="13">
        <v>344.16999617287098</v>
      </c>
    </row>
    <row r="48" spans="1:3" x14ac:dyDescent="0.25">
      <c r="A48" s="13">
        <v>1996</v>
      </c>
      <c r="B48" s="13">
        <v>11</v>
      </c>
      <c r="C48" s="13">
        <v>348.49647838805402</v>
      </c>
    </row>
    <row r="49" spans="1:3" x14ac:dyDescent="0.25">
      <c r="A49" s="13">
        <v>1996</v>
      </c>
      <c r="B49" s="13">
        <v>12</v>
      </c>
      <c r="C49" s="13">
        <v>347.30642468731202</v>
      </c>
    </row>
    <row r="50" spans="1:3" x14ac:dyDescent="0.25">
      <c r="A50" s="13">
        <v>1997</v>
      </c>
      <c r="B50" s="13">
        <v>1</v>
      </c>
      <c r="C50" s="13">
        <v>314.64765164059099</v>
      </c>
    </row>
    <row r="51" spans="1:3" x14ac:dyDescent="0.25">
      <c r="A51" s="13">
        <v>1997</v>
      </c>
      <c r="B51" s="13">
        <v>2</v>
      </c>
      <c r="C51" s="13">
        <v>337.97579402975202</v>
      </c>
    </row>
    <row r="52" spans="1:3" x14ac:dyDescent="0.25">
      <c r="A52" s="13">
        <v>1997</v>
      </c>
      <c r="B52" s="13">
        <v>3</v>
      </c>
      <c r="C52" s="13">
        <v>349.64592093294601</v>
      </c>
    </row>
    <row r="53" spans="1:3" x14ac:dyDescent="0.25">
      <c r="A53" s="13">
        <v>1997</v>
      </c>
      <c r="B53" s="13">
        <v>4</v>
      </c>
      <c r="C53" s="13">
        <v>360.24893171135199</v>
      </c>
    </row>
    <row r="54" spans="1:3" x14ac:dyDescent="0.25">
      <c r="A54" s="13">
        <v>1997</v>
      </c>
      <c r="B54" s="13">
        <v>5</v>
      </c>
      <c r="C54" s="13">
        <v>343.35524703709399</v>
      </c>
    </row>
    <row r="55" spans="1:3" x14ac:dyDescent="0.25">
      <c r="A55" s="13">
        <v>1997</v>
      </c>
      <c r="B55" s="13">
        <v>6</v>
      </c>
      <c r="C55" s="13">
        <v>353.03542018098301</v>
      </c>
    </row>
    <row r="56" spans="1:3" x14ac:dyDescent="0.25">
      <c r="A56" s="13">
        <v>1997</v>
      </c>
      <c r="B56" s="13">
        <v>7</v>
      </c>
      <c r="C56" s="13">
        <v>361.471098194273</v>
      </c>
    </row>
    <row r="57" spans="1:3" x14ac:dyDescent="0.25">
      <c r="A57" s="13">
        <v>1997</v>
      </c>
      <c r="B57" s="13">
        <v>8</v>
      </c>
      <c r="C57" s="13">
        <v>338.262666977766</v>
      </c>
    </row>
    <row r="58" spans="1:3" x14ac:dyDescent="0.25">
      <c r="A58" s="13">
        <v>1997</v>
      </c>
      <c r="B58" s="13">
        <v>9</v>
      </c>
      <c r="C58" s="13">
        <v>352.91170768616797</v>
      </c>
    </row>
    <row r="59" spans="1:3" x14ac:dyDescent="0.25">
      <c r="A59" s="13">
        <v>1997</v>
      </c>
      <c r="B59" s="13">
        <v>10</v>
      </c>
      <c r="C59" s="13">
        <v>356.33523487289301</v>
      </c>
    </row>
    <row r="60" spans="1:3" x14ac:dyDescent="0.25">
      <c r="A60" s="13">
        <v>1997</v>
      </c>
      <c r="B60" s="13">
        <v>11</v>
      </c>
      <c r="C60" s="13">
        <v>348.665950755143</v>
      </c>
    </row>
    <row r="61" spans="1:3" x14ac:dyDescent="0.25">
      <c r="A61" s="13">
        <v>1997</v>
      </c>
      <c r="B61" s="13">
        <v>12</v>
      </c>
      <c r="C61" s="13">
        <v>358.201060736496</v>
      </c>
    </row>
    <row r="62" spans="1:3" x14ac:dyDescent="0.25">
      <c r="A62" s="13">
        <v>1998</v>
      </c>
      <c r="B62" s="13">
        <v>1</v>
      </c>
      <c r="C62" s="13">
        <v>374.67605167697502</v>
      </c>
    </row>
    <row r="63" spans="1:3" x14ac:dyDescent="0.25">
      <c r="A63" s="13">
        <v>1998</v>
      </c>
      <c r="B63" s="13">
        <v>2</v>
      </c>
      <c r="C63" s="13">
        <v>387.62814440319403</v>
      </c>
    </row>
    <row r="64" spans="1:3" x14ac:dyDescent="0.25">
      <c r="A64" s="13">
        <v>1998</v>
      </c>
      <c r="B64" s="13">
        <v>3</v>
      </c>
      <c r="C64" s="13">
        <v>329.820725391694</v>
      </c>
    </row>
    <row r="65" spans="1:3" x14ac:dyDescent="0.25">
      <c r="A65" s="13">
        <v>1998</v>
      </c>
      <c r="B65" s="13">
        <v>4</v>
      </c>
      <c r="C65" s="13">
        <v>362.34166154405801</v>
      </c>
    </row>
    <row r="66" spans="1:3" x14ac:dyDescent="0.25">
      <c r="A66" s="13">
        <v>1998</v>
      </c>
      <c r="B66" s="13">
        <v>5</v>
      </c>
      <c r="C66" s="13">
        <v>376.72065740485999</v>
      </c>
    </row>
    <row r="67" spans="1:3" x14ac:dyDescent="0.25">
      <c r="A67" s="13">
        <v>1998</v>
      </c>
      <c r="B67" s="13">
        <v>6</v>
      </c>
      <c r="C67" s="13">
        <v>369.82194400433201</v>
      </c>
    </row>
    <row r="68" spans="1:3" x14ac:dyDescent="0.25">
      <c r="A68" s="13">
        <v>1998</v>
      </c>
      <c r="B68" s="13">
        <v>7</v>
      </c>
      <c r="C68" s="13">
        <v>338.37576810711198</v>
      </c>
    </row>
    <row r="69" spans="1:3" x14ac:dyDescent="0.25">
      <c r="A69" s="13">
        <v>1998</v>
      </c>
      <c r="B69" s="13">
        <v>8</v>
      </c>
      <c r="C69" s="13">
        <v>366.13826681677801</v>
      </c>
    </row>
    <row r="70" spans="1:3" x14ac:dyDescent="0.25">
      <c r="A70" s="13">
        <v>1998</v>
      </c>
      <c r="B70" s="13">
        <v>9</v>
      </c>
      <c r="C70" s="13">
        <v>341.74631773151998</v>
      </c>
    </row>
    <row r="71" spans="1:3" x14ac:dyDescent="0.25">
      <c r="A71" s="13">
        <v>1998</v>
      </c>
      <c r="B71" s="13">
        <v>10</v>
      </c>
      <c r="C71" s="13">
        <v>336.24462949884202</v>
      </c>
    </row>
    <row r="72" spans="1:3" x14ac:dyDescent="0.25">
      <c r="A72" s="13">
        <v>1998</v>
      </c>
      <c r="B72" s="13">
        <v>11</v>
      </c>
      <c r="C72" s="13">
        <v>329.22374511317298</v>
      </c>
    </row>
    <row r="73" spans="1:3" x14ac:dyDescent="0.25">
      <c r="A73" s="13">
        <v>1998</v>
      </c>
      <c r="B73" s="13">
        <v>12</v>
      </c>
      <c r="C73" s="13">
        <v>310.74259801849098</v>
      </c>
    </row>
    <row r="74" spans="1:3" x14ac:dyDescent="0.25">
      <c r="A74" s="13">
        <v>1999</v>
      </c>
      <c r="B74" s="13">
        <v>1</v>
      </c>
      <c r="C74" s="13">
        <v>303.04876457940099</v>
      </c>
    </row>
    <row r="75" spans="1:3" x14ac:dyDescent="0.25">
      <c r="A75" s="13">
        <v>1999</v>
      </c>
      <c r="B75" s="13">
        <v>2</v>
      </c>
      <c r="C75" s="13">
        <v>293.68056068936602</v>
      </c>
    </row>
    <row r="76" spans="1:3" x14ac:dyDescent="0.25">
      <c r="A76" s="13">
        <v>1999</v>
      </c>
      <c r="B76" s="13">
        <v>3</v>
      </c>
      <c r="C76" s="13">
        <v>278.16435079067497</v>
      </c>
    </row>
    <row r="77" spans="1:3" x14ac:dyDescent="0.25">
      <c r="A77" s="13">
        <v>1999</v>
      </c>
      <c r="B77" s="13">
        <v>4</v>
      </c>
      <c r="C77" s="13">
        <v>287.89440533202401</v>
      </c>
    </row>
    <row r="78" spans="1:3" x14ac:dyDescent="0.25">
      <c r="A78" s="13">
        <v>1999</v>
      </c>
      <c r="B78" s="13">
        <v>5</v>
      </c>
      <c r="C78" s="13">
        <v>302.27854199940998</v>
      </c>
    </row>
    <row r="79" spans="1:3" x14ac:dyDescent="0.25">
      <c r="A79" s="13">
        <v>1999</v>
      </c>
      <c r="B79" s="13">
        <v>6</v>
      </c>
      <c r="C79" s="13">
        <v>309.78668202553303</v>
      </c>
    </row>
    <row r="80" spans="1:3" x14ac:dyDescent="0.25">
      <c r="A80" s="13">
        <v>1999</v>
      </c>
      <c r="B80" s="13">
        <v>7</v>
      </c>
      <c r="C80" s="13">
        <v>330.84196494867598</v>
      </c>
    </row>
    <row r="81" spans="1:3" x14ac:dyDescent="0.25">
      <c r="A81" s="13">
        <v>1999</v>
      </c>
      <c r="B81" s="13">
        <v>8</v>
      </c>
      <c r="C81" s="13">
        <v>327.63007356273101</v>
      </c>
    </row>
    <row r="82" spans="1:3" x14ac:dyDescent="0.25">
      <c r="A82" s="13">
        <v>1999</v>
      </c>
      <c r="B82" s="13">
        <v>9</v>
      </c>
      <c r="C82" s="13">
        <v>335.06478186319998</v>
      </c>
    </row>
    <row r="83" spans="1:3" x14ac:dyDescent="0.25">
      <c r="A83" s="13">
        <v>1999</v>
      </c>
      <c r="B83" s="13">
        <v>10</v>
      </c>
      <c r="C83" s="13">
        <v>337.67188818741698</v>
      </c>
    </row>
    <row r="84" spans="1:3" x14ac:dyDescent="0.25">
      <c r="A84" s="13">
        <v>1999</v>
      </c>
      <c r="B84" s="13">
        <v>11</v>
      </c>
      <c r="C84" s="13">
        <v>350.96416563069602</v>
      </c>
    </row>
    <row r="85" spans="1:3" x14ac:dyDescent="0.25">
      <c r="A85" s="13">
        <v>1999</v>
      </c>
      <c r="B85" s="13">
        <v>12</v>
      </c>
      <c r="C85" s="13">
        <v>357.83149606596697</v>
      </c>
    </row>
    <row r="86" spans="1:3" x14ac:dyDescent="0.25">
      <c r="A86" s="13">
        <v>2000</v>
      </c>
      <c r="B86" s="13">
        <v>1</v>
      </c>
      <c r="C86" s="13">
        <v>354.31393869465302</v>
      </c>
    </row>
    <row r="87" spans="1:3" x14ac:dyDescent="0.25">
      <c r="A87" s="13">
        <v>2000</v>
      </c>
      <c r="B87" s="13">
        <v>2</v>
      </c>
      <c r="C87" s="13">
        <v>341.28173514681401</v>
      </c>
    </row>
    <row r="88" spans="1:3" x14ac:dyDescent="0.25">
      <c r="A88" s="13">
        <v>2000</v>
      </c>
      <c r="B88" s="13">
        <v>3</v>
      </c>
      <c r="C88" s="13">
        <v>385.764879162738</v>
      </c>
    </row>
    <row r="89" spans="1:3" x14ac:dyDescent="0.25">
      <c r="A89" s="13">
        <v>2000</v>
      </c>
      <c r="B89" s="13">
        <v>4</v>
      </c>
      <c r="C89" s="13">
        <v>367.79295951603802</v>
      </c>
    </row>
    <row r="90" spans="1:3" x14ac:dyDescent="0.25">
      <c r="A90" s="13">
        <v>2000</v>
      </c>
      <c r="B90" s="13">
        <v>5</v>
      </c>
      <c r="C90" s="13">
        <v>336.35294649040901</v>
      </c>
    </row>
    <row r="91" spans="1:3" x14ac:dyDescent="0.25">
      <c r="A91" s="13">
        <v>2000</v>
      </c>
      <c r="B91" s="13">
        <v>6</v>
      </c>
      <c r="C91" s="13">
        <v>338.90723346656102</v>
      </c>
    </row>
    <row r="92" spans="1:3" x14ac:dyDescent="0.25">
      <c r="A92" s="13">
        <v>2000</v>
      </c>
      <c r="B92" s="13">
        <v>7</v>
      </c>
      <c r="C92" s="13">
        <v>357.98769714931399</v>
      </c>
    </row>
    <row r="93" spans="1:3" x14ac:dyDescent="0.25">
      <c r="A93" s="13">
        <v>2000</v>
      </c>
      <c r="B93" s="13">
        <v>8</v>
      </c>
      <c r="C93" s="13">
        <v>375.48064785856798</v>
      </c>
    </row>
    <row r="94" spans="1:3" x14ac:dyDescent="0.25">
      <c r="A94" s="13">
        <v>2000</v>
      </c>
      <c r="B94" s="13">
        <v>9</v>
      </c>
      <c r="C94" s="13">
        <v>394.91438906788801</v>
      </c>
    </row>
    <row r="95" spans="1:3" x14ac:dyDescent="0.25">
      <c r="A95" s="13">
        <v>2000</v>
      </c>
      <c r="B95" s="13">
        <v>10</v>
      </c>
      <c r="C95" s="13">
        <v>391.336185293178</v>
      </c>
    </row>
    <row r="96" spans="1:3" x14ac:dyDescent="0.25">
      <c r="A96" s="13">
        <v>2000</v>
      </c>
      <c r="B96" s="13">
        <v>11</v>
      </c>
      <c r="C96" s="13">
        <v>401.174552126148</v>
      </c>
    </row>
    <row r="97" spans="1:3" x14ac:dyDescent="0.25">
      <c r="A97" s="13">
        <v>2000</v>
      </c>
      <c r="B97" s="13">
        <v>12</v>
      </c>
      <c r="C97" s="13">
        <v>412.61611965087002</v>
      </c>
    </row>
    <row r="98" spans="1:3" x14ac:dyDescent="0.25">
      <c r="A98" s="13">
        <v>2001</v>
      </c>
      <c r="B98" s="13">
        <v>1</v>
      </c>
      <c r="C98" s="13">
        <v>381.87886757576803</v>
      </c>
    </row>
    <row r="99" spans="1:3" x14ac:dyDescent="0.25">
      <c r="A99" s="13">
        <v>2001</v>
      </c>
      <c r="B99" s="13">
        <v>2</v>
      </c>
      <c r="C99" s="13">
        <v>362.92968706176202</v>
      </c>
    </row>
    <row r="100" spans="1:3" x14ac:dyDescent="0.25">
      <c r="A100" s="13">
        <v>2001</v>
      </c>
      <c r="B100" s="13">
        <v>3</v>
      </c>
      <c r="C100" s="13">
        <v>381.06755762408801</v>
      </c>
    </row>
    <row r="101" spans="1:3" x14ac:dyDescent="0.25">
      <c r="A101" s="13">
        <v>2001</v>
      </c>
      <c r="B101" s="13">
        <v>4</v>
      </c>
      <c r="C101" s="13">
        <v>374.74771334666502</v>
      </c>
    </row>
    <row r="102" spans="1:3" x14ac:dyDescent="0.25">
      <c r="A102" s="13">
        <v>2001</v>
      </c>
      <c r="B102" s="13">
        <v>5</v>
      </c>
      <c r="C102" s="13">
        <v>377.255979140639</v>
      </c>
    </row>
    <row r="103" spans="1:3" x14ac:dyDescent="0.25">
      <c r="A103" s="13">
        <v>2001</v>
      </c>
      <c r="B103" s="13">
        <v>6</v>
      </c>
      <c r="C103" s="13">
        <v>376.83594321830799</v>
      </c>
    </row>
    <row r="104" spans="1:3" x14ac:dyDescent="0.25">
      <c r="A104" s="13">
        <v>2001</v>
      </c>
      <c r="B104" s="13">
        <v>7</v>
      </c>
      <c r="C104" s="13">
        <v>348.981419037894</v>
      </c>
    </row>
    <row r="105" spans="1:3" x14ac:dyDescent="0.25">
      <c r="A105" s="13">
        <v>2001</v>
      </c>
      <c r="B105" s="13">
        <v>8</v>
      </c>
      <c r="C105" s="13">
        <v>255.284651497536</v>
      </c>
    </row>
    <row r="106" spans="1:3" x14ac:dyDescent="0.25">
      <c r="A106" s="13">
        <v>2001</v>
      </c>
      <c r="B106" s="13">
        <v>9</v>
      </c>
      <c r="C106" s="13">
        <v>339.54077503540702</v>
      </c>
    </row>
    <row r="107" spans="1:3" x14ac:dyDescent="0.25">
      <c r="A107" s="13">
        <v>2001</v>
      </c>
      <c r="B107" s="13">
        <v>10</v>
      </c>
      <c r="C107" s="13">
        <v>313.80540095176002</v>
      </c>
    </row>
    <row r="108" spans="1:3" x14ac:dyDescent="0.25">
      <c r="A108" s="13">
        <v>2001</v>
      </c>
      <c r="B108" s="13">
        <v>11</v>
      </c>
      <c r="C108" s="13">
        <v>308.75032989925199</v>
      </c>
    </row>
    <row r="109" spans="1:3" x14ac:dyDescent="0.25">
      <c r="A109" s="13">
        <v>2001</v>
      </c>
      <c r="B109" s="13">
        <v>12</v>
      </c>
      <c r="C109" s="13">
        <v>299.77568227468697</v>
      </c>
    </row>
    <row r="110" spans="1:3" x14ac:dyDescent="0.25">
      <c r="A110" s="13">
        <v>2002</v>
      </c>
      <c r="B110" s="13">
        <v>1</v>
      </c>
      <c r="C110" s="13">
        <v>309.29854952461102</v>
      </c>
    </row>
    <row r="111" spans="1:3" x14ac:dyDescent="0.25">
      <c r="A111" s="13">
        <v>2002</v>
      </c>
      <c r="B111" s="13">
        <v>2</v>
      </c>
      <c r="C111" s="13">
        <v>347.45000693720101</v>
      </c>
    </row>
    <row r="112" spans="1:3" x14ac:dyDescent="0.25">
      <c r="A112" s="13">
        <v>2002</v>
      </c>
      <c r="B112" s="13">
        <v>3</v>
      </c>
      <c r="C112" s="13">
        <v>331.278244188852</v>
      </c>
    </row>
    <row r="113" spans="1:3" x14ac:dyDescent="0.25">
      <c r="A113" s="13">
        <v>2002</v>
      </c>
      <c r="B113" s="13">
        <v>4</v>
      </c>
      <c r="C113" s="13">
        <v>380.021965550103</v>
      </c>
    </row>
    <row r="114" spans="1:3" x14ac:dyDescent="0.25">
      <c r="A114" s="13">
        <v>2002</v>
      </c>
      <c r="B114" s="13">
        <v>5</v>
      </c>
      <c r="C114" s="13">
        <v>368.13592527259601</v>
      </c>
    </row>
    <row r="115" spans="1:3" x14ac:dyDescent="0.25">
      <c r="A115" s="13">
        <v>2002</v>
      </c>
      <c r="B115" s="13">
        <v>6</v>
      </c>
      <c r="C115" s="13">
        <v>358.75036862691098</v>
      </c>
    </row>
    <row r="116" spans="1:3" x14ac:dyDescent="0.25">
      <c r="A116" s="13">
        <v>2002</v>
      </c>
      <c r="B116" s="13">
        <v>7</v>
      </c>
      <c r="C116" s="13">
        <v>368.85528877610801</v>
      </c>
    </row>
    <row r="117" spans="1:3" x14ac:dyDescent="0.25">
      <c r="A117" s="13">
        <v>2002</v>
      </c>
      <c r="B117" s="13">
        <v>8</v>
      </c>
      <c r="C117" s="13">
        <v>375.22013104186902</v>
      </c>
    </row>
    <row r="118" spans="1:3" x14ac:dyDescent="0.25">
      <c r="A118" s="13">
        <v>2002</v>
      </c>
      <c r="B118" s="13">
        <v>9</v>
      </c>
      <c r="C118" s="13">
        <v>383.91099456155001</v>
      </c>
    </row>
    <row r="119" spans="1:3" x14ac:dyDescent="0.25">
      <c r="A119" s="13">
        <v>2002</v>
      </c>
      <c r="B119" s="13">
        <v>10</v>
      </c>
      <c r="C119" s="13">
        <v>388.05932706169199</v>
      </c>
    </row>
    <row r="120" spans="1:3" x14ac:dyDescent="0.25">
      <c r="A120" s="13">
        <v>2002</v>
      </c>
      <c r="B120" s="13">
        <v>11</v>
      </c>
      <c r="C120" s="13">
        <v>370.29016684496702</v>
      </c>
    </row>
    <row r="121" spans="1:3" x14ac:dyDescent="0.25">
      <c r="A121" s="13">
        <v>2002</v>
      </c>
      <c r="B121" s="13">
        <v>12</v>
      </c>
      <c r="C121" s="13">
        <v>392.07621012888501</v>
      </c>
    </row>
    <row r="122" spans="1:3" x14ac:dyDescent="0.25">
      <c r="A122" s="13">
        <v>2003</v>
      </c>
      <c r="B122" s="13">
        <v>1</v>
      </c>
      <c r="C122" s="13">
        <v>416.07835354792599</v>
      </c>
    </row>
    <row r="123" spans="1:3" x14ac:dyDescent="0.25">
      <c r="A123" s="13">
        <v>2003</v>
      </c>
      <c r="B123" s="13">
        <v>2</v>
      </c>
      <c r="C123" s="13">
        <v>421.404120910492</v>
      </c>
    </row>
    <row r="124" spans="1:3" x14ac:dyDescent="0.25">
      <c r="A124" s="13">
        <v>2003</v>
      </c>
      <c r="B124" s="13">
        <v>3</v>
      </c>
      <c r="C124" s="13">
        <v>434.816040015586</v>
      </c>
    </row>
    <row r="125" spans="1:3" x14ac:dyDescent="0.25">
      <c r="A125" s="13">
        <v>2003</v>
      </c>
      <c r="B125" s="13">
        <v>4</v>
      </c>
      <c r="C125" s="13">
        <v>418.972799821965</v>
      </c>
    </row>
    <row r="126" spans="1:3" x14ac:dyDescent="0.25">
      <c r="A126" s="13">
        <v>2003</v>
      </c>
      <c r="B126" s="13">
        <v>5</v>
      </c>
      <c r="C126" s="13">
        <v>418.70169275062</v>
      </c>
    </row>
    <row r="127" spans="1:3" x14ac:dyDescent="0.25">
      <c r="A127" s="13">
        <v>2003</v>
      </c>
      <c r="B127" s="13">
        <v>6</v>
      </c>
      <c r="C127" s="13">
        <v>420.93088552737697</v>
      </c>
    </row>
    <row r="128" spans="1:3" x14ac:dyDescent="0.25">
      <c r="A128" s="13">
        <v>2003</v>
      </c>
      <c r="B128" s="13">
        <v>7</v>
      </c>
      <c r="C128" s="13">
        <v>414.27648157888598</v>
      </c>
    </row>
    <row r="129" spans="1:3" x14ac:dyDescent="0.25">
      <c r="A129" s="13">
        <v>2003</v>
      </c>
      <c r="B129" s="13">
        <v>8</v>
      </c>
      <c r="C129" s="13">
        <v>422.638628188258</v>
      </c>
    </row>
    <row r="130" spans="1:3" x14ac:dyDescent="0.25">
      <c r="A130" s="13">
        <v>2003</v>
      </c>
      <c r="B130" s="13">
        <v>9</v>
      </c>
      <c r="C130" s="13">
        <v>411.65702943536797</v>
      </c>
    </row>
    <row r="131" spans="1:3" x14ac:dyDescent="0.25">
      <c r="A131" s="13">
        <v>2003</v>
      </c>
      <c r="B131" s="13">
        <v>10</v>
      </c>
      <c r="C131" s="13">
        <v>422.38683539991001</v>
      </c>
    </row>
    <row r="132" spans="1:3" x14ac:dyDescent="0.25">
      <c r="A132" s="13">
        <v>2003</v>
      </c>
      <c r="B132" s="13">
        <v>11</v>
      </c>
      <c r="C132" s="13">
        <v>416.53997170510098</v>
      </c>
    </row>
    <row r="133" spans="1:3" x14ac:dyDescent="0.25">
      <c r="A133" s="13">
        <v>2003</v>
      </c>
      <c r="B133" s="13">
        <v>12</v>
      </c>
      <c r="C133" s="13">
        <v>425.657726037945</v>
      </c>
    </row>
    <row r="134" spans="1:3" x14ac:dyDescent="0.25">
      <c r="A134" s="13">
        <v>2004</v>
      </c>
      <c r="B134" s="13">
        <v>1</v>
      </c>
      <c r="C134" s="13">
        <v>439.07409730050102</v>
      </c>
    </row>
    <row r="135" spans="1:3" x14ac:dyDescent="0.25">
      <c r="A135" s="13">
        <v>2004</v>
      </c>
      <c r="B135" s="13">
        <v>2</v>
      </c>
      <c r="C135" s="13">
        <v>410.38931415461298</v>
      </c>
    </row>
    <row r="136" spans="1:3" x14ac:dyDescent="0.25">
      <c r="A136" s="13">
        <v>2004</v>
      </c>
      <c r="B136" s="13">
        <v>3</v>
      </c>
      <c r="C136" s="13">
        <v>403.71998821772098</v>
      </c>
    </row>
    <row r="137" spans="1:3" x14ac:dyDescent="0.25">
      <c r="A137" s="13">
        <v>2004</v>
      </c>
      <c r="B137" s="13">
        <v>4</v>
      </c>
      <c r="C137" s="13">
        <v>400.98499908664201</v>
      </c>
    </row>
    <row r="138" spans="1:3" x14ac:dyDescent="0.25">
      <c r="A138" s="13">
        <v>2004</v>
      </c>
      <c r="B138" s="13">
        <v>5</v>
      </c>
      <c r="C138" s="13">
        <v>403.953719073591</v>
      </c>
    </row>
    <row r="139" spans="1:3" x14ac:dyDescent="0.25">
      <c r="A139" s="13">
        <v>2004</v>
      </c>
      <c r="B139" s="13">
        <v>6</v>
      </c>
      <c r="C139" s="13">
        <v>410.06059675514098</v>
      </c>
    </row>
    <row r="140" spans="1:3" x14ac:dyDescent="0.25">
      <c r="A140" s="13">
        <v>2004</v>
      </c>
      <c r="B140" s="13">
        <v>7</v>
      </c>
      <c r="C140" s="13">
        <v>423.48771939606399</v>
      </c>
    </row>
    <row r="141" spans="1:3" x14ac:dyDescent="0.25">
      <c r="A141" s="13">
        <v>2004</v>
      </c>
      <c r="B141" s="13">
        <v>8</v>
      </c>
      <c r="C141" s="13">
        <v>414.63170152187502</v>
      </c>
    </row>
    <row r="142" spans="1:3" x14ac:dyDescent="0.25">
      <c r="A142" s="13">
        <v>2004</v>
      </c>
      <c r="B142" s="13">
        <v>9</v>
      </c>
      <c r="C142" s="13">
        <v>420.959029236135</v>
      </c>
    </row>
    <row r="143" spans="1:3" x14ac:dyDescent="0.25">
      <c r="A143" s="13">
        <v>2004</v>
      </c>
      <c r="B143" s="13">
        <v>10</v>
      </c>
      <c r="C143" s="13">
        <v>448.51000486972498</v>
      </c>
    </row>
    <row r="144" spans="1:3" x14ac:dyDescent="0.25">
      <c r="A144" s="13">
        <v>2004</v>
      </c>
      <c r="B144" s="13">
        <v>11</v>
      </c>
      <c r="C144" s="13">
        <v>465.42439640202798</v>
      </c>
    </row>
    <row r="145" spans="1:3" x14ac:dyDescent="0.25">
      <c r="A145" s="13">
        <v>2004</v>
      </c>
      <c r="B145" s="13">
        <v>12</v>
      </c>
      <c r="C145" s="13">
        <v>465.99443515319501</v>
      </c>
    </row>
    <row r="146" spans="1:3" x14ac:dyDescent="0.25">
      <c r="A146" s="13">
        <v>2005</v>
      </c>
      <c r="B146" s="13">
        <v>1</v>
      </c>
      <c r="C146" s="13">
        <v>467.47736212341999</v>
      </c>
    </row>
    <row r="147" spans="1:3" x14ac:dyDescent="0.25">
      <c r="A147" s="13">
        <v>2005</v>
      </c>
      <c r="B147" s="13">
        <v>2</v>
      </c>
      <c r="C147" s="13">
        <v>452.695922542961</v>
      </c>
    </row>
    <row r="148" spans="1:3" x14ac:dyDescent="0.25">
      <c r="A148" s="13">
        <v>2005</v>
      </c>
      <c r="B148" s="13">
        <v>3</v>
      </c>
      <c r="C148" s="13">
        <v>447.49134750683697</v>
      </c>
    </row>
    <row r="149" spans="1:3" x14ac:dyDescent="0.25">
      <c r="A149" s="13">
        <v>2005</v>
      </c>
      <c r="B149" s="13">
        <v>4</v>
      </c>
      <c r="C149" s="13">
        <v>454.90218241082101</v>
      </c>
    </row>
    <row r="150" spans="1:3" x14ac:dyDescent="0.25">
      <c r="A150" s="13">
        <v>2005</v>
      </c>
      <c r="B150" s="13">
        <v>5</v>
      </c>
      <c r="C150" s="13">
        <v>465.33863697983497</v>
      </c>
    </row>
    <row r="151" spans="1:3" x14ac:dyDescent="0.25">
      <c r="A151" s="13">
        <v>2005</v>
      </c>
      <c r="B151" s="13">
        <v>6</v>
      </c>
      <c r="C151" s="13">
        <v>441.34450095284097</v>
      </c>
    </row>
    <row r="152" spans="1:3" x14ac:dyDescent="0.25">
      <c r="A152" s="13">
        <v>2005</v>
      </c>
      <c r="B152" s="13">
        <v>7</v>
      </c>
      <c r="C152" s="13">
        <v>440.67063155203698</v>
      </c>
    </row>
    <row r="153" spans="1:3" x14ac:dyDescent="0.25">
      <c r="A153" s="13">
        <v>2005</v>
      </c>
      <c r="B153" s="13">
        <v>8</v>
      </c>
      <c r="C153" s="13">
        <v>445.68529143867198</v>
      </c>
    </row>
    <row r="154" spans="1:3" x14ac:dyDescent="0.25">
      <c r="A154" s="13">
        <v>2005</v>
      </c>
      <c r="B154" s="13">
        <v>9</v>
      </c>
      <c r="C154" s="13">
        <v>410.53611980386802</v>
      </c>
    </row>
    <row r="155" spans="1:3" x14ac:dyDescent="0.25">
      <c r="A155" s="13">
        <v>2005</v>
      </c>
      <c r="B155" s="13">
        <v>10</v>
      </c>
      <c r="C155" s="13">
        <v>417.25052940254898</v>
      </c>
    </row>
    <row r="156" spans="1:3" x14ac:dyDescent="0.25">
      <c r="A156" s="13">
        <v>2005</v>
      </c>
      <c r="B156" s="13">
        <v>11</v>
      </c>
      <c r="C156" s="13">
        <v>465.16988440448</v>
      </c>
    </row>
    <row r="157" spans="1:3" x14ac:dyDescent="0.25">
      <c r="A157" s="13">
        <v>2005</v>
      </c>
      <c r="B157" s="13">
        <v>12</v>
      </c>
      <c r="C157" s="13">
        <v>481.60009361408203</v>
      </c>
    </row>
    <row r="158" spans="1:3" x14ac:dyDescent="0.25">
      <c r="A158" s="13">
        <v>2006</v>
      </c>
      <c r="B158" s="13">
        <v>1</v>
      </c>
      <c r="C158" s="13">
        <v>475.71416141789899</v>
      </c>
    </row>
    <row r="159" spans="1:3" x14ac:dyDescent="0.25">
      <c r="A159" s="13">
        <v>2006</v>
      </c>
      <c r="B159" s="13">
        <v>2</v>
      </c>
      <c r="C159" s="13">
        <v>477.22620730592303</v>
      </c>
    </row>
    <row r="160" spans="1:3" x14ac:dyDescent="0.25">
      <c r="A160" s="13">
        <v>2006</v>
      </c>
      <c r="B160" s="13">
        <v>3</v>
      </c>
      <c r="C160" s="13">
        <v>485.30926248892501</v>
      </c>
    </row>
    <row r="161" spans="1:3" x14ac:dyDescent="0.25">
      <c r="A161" s="13">
        <v>2006</v>
      </c>
      <c r="B161" s="13">
        <v>4</v>
      </c>
      <c r="C161" s="13">
        <v>472.06946943235602</v>
      </c>
    </row>
    <row r="162" spans="1:3" x14ac:dyDescent="0.25">
      <c r="A162" s="13">
        <v>2006</v>
      </c>
      <c r="B162" s="13">
        <v>5</v>
      </c>
      <c r="C162" s="13">
        <v>482.18889490062202</v>
      </c>
    </row>
    <row r="163" spans="1:3" x14ac:dyDescent="0.25">
      <c r="A163" s="13">
        <v>2006</v>
      </c>
      <c r="B163" s="13">
        <v>6</v>
      </c>
      <c r="C163" s="13">
        <v>490.58209325682998</v>
      </c>
    </row>
    <row r="164" spans="1:3" x14ac:dyDescent="0.25">
      <c r="A164" s="13">
        <v>2006</v>
      </c>
      <c r="B164" s="13">
        <v>7</v>
      </c>
      <c r="C164" s="13">
        <v>464.41395995255101</v>
      </c>
    </row>
    <row r="165" spans="1:3" x14ac:dyDescent="0.25">
      <c r="A165" s="13">
        <v>2006</v>
      </c>
      <c r="B165" s="13">
        <v>8</v>
      </c>
      <c r="C165" s="13">
        <v>445.89368251790199</v>
      </c>
    </row>
    <row r="166" spans="1:3" x14ac:dyDescent="0.25">
      <c r="A166" s="13">
        <v>2006</v>
      </c>
      <c r="B166" s="13">
        <v>9</v>
      </c>
      <c r="C166" s="13">
        <v>478.20733233656802</v>
      </c>
    </row>
    <row r="167" spans="1:3" x14ac:dyDescent="0.25">
      <c r="A167" s="13">
        <v>2006</v>
      </c>
      <c r="B167" s="13">
        <v>10</v>
      </c>
      <c r="C167" s="13">
        <v>452.57537291078501</v>
      </c>
    </row>
    <row r="168" spans="1:3" x14ac:dyDescent="0.25">
      <c r="A168" s="13">
        <v>2006</v>
      </c>
      <c r="B168" s="13">
        <v>11</v>
      </c>
      <c r="C168" s="13">
        <v>405.86653478954901</v>
      </c>
    </row>
    <row r="169" spans="1:3" x14ac:dyDescent="0.25">
      <c r="A169" s="13">
        <v>2006</v>
      </c>
      <c r="B169" s="13">
        <v>12</v>
      </c>
      <c r="C169" s="13">
        <v>405.28074688544802</v>
      </c>
    </row>
    <row r="170" spans="1:3" x14ac:dyDescent="0.25">
      <c r="A170" s="13">
        <v>2007</v>
      </c>
      <c r="B170" s="13">
        <v>1</v>
      </c>
      <c r="C170" s="13">
        <v>405.86659964478702</v>
      </c>
    </row>
    <row r="171" spans="1:3" x14ac:dyDescent="0.25">
      <c r="A171" s="13">
        <v>2007</v>
      </c>
      <c r="B171" s="13">
        <v>2</v>
      </c>
      <c r="C171" s="13">
        <v>446.995484376099</v>
      </c>
    </row>
    <row r="172" spans="1:3" x14ac:dyDescent="0.25">
      <c r="A172" s="13">
        <v>2007</v>
      </c>
      <c r="B172" s="13">
        <v>3</v>
      </c>
      <c r="C172" s="13">
        <v>456.65840794873202</v>
      </c>
    </row>
    <row r="173" spans="1:3" x14ac:dyDescent="0.25">
      <c r="A173" s="13">
        <v>2007</v>
      </c>
      <c r="B173" s="13">
        <v>4</v>
      </c>
      <c r="C173" s="13">
        <v>466.93633431927202</v>
      </c>
    </row>
    <row r="174" spans="1:3" x14ac:dyDescent="0.25">
      <c r="A174" s="13">
        <v>2007</v>
      </c>
      <c r="B174" s="13">
        <v>5</v>
      </c>
      <c r="C174" s="13">
        <v>440.11162976323902</v>
      </c>
    </row>
    <row r="175" spans="1:3" x14ac:dyDescent="0.25">
      <c r="A175" s="13">
        <v>2007</v>
      </c>
      <c r="B175" s="13">
        <v>6</v>
      </c>
      <c r="C175" s="13">
        <v>446.44967191941299</v>
      </c>
    </row>
    <row r="176" spans="1:3" x14ac:dyDescent="0.25">
      <c r="A176" s="13">
        <v>2007</v>
      </c>
      <c r="B176" s="13">
        <v>7</v>
      </c>
      <c r="C176" s="13">
        <v>337.06697755731301</v>
      </c>
    </row>
    <row r="177" spans="1:3" x14ac:dyDescent="0.25">
      <c r="A177" s="13">
        <v>2007</v>
      </c>
      <c r="B177" s="13">
        <v>8</v>
      </c>
      <c r="C177" s="13">
        <v>462.131939707691</v>
      </c>
    </row>
    <row r="178" spans="1:3" x14ac:dyDescent="0.25">
      <c r="A178" s="13">
        <v>2007</v>
      </c>
      <c r="B178" s="13">
        <v>9</v>
      </c>
      <c r="C178" s="13">
        <v>466.170741962362</v>
      </c>
    </row>
    <row r="179" spans="1:3" x14ac:dyDescent="0.25">
      <c r="A179" s="13">
        <v>2007</v>
      </c>
      <c r="B179" s="13">
        <v>10</v>
      </c>
      <c r="C179" s="13">
        <v>463.88544358618202</v>
      </c>
    </row>
    <row r="180" spans="1:3" x14ac:dyDescent="0.25">
      <c r="A180" s="13">
        <v>2007</v>
      </c>
      <c r="B180" s="13">
        <v>11</v>
      </c>
      <c r="C180" s="13">
        <v>485.51280325226401</v>
      </c>
    </row>
    <row r="181" spans="1:3" x14ac:dyDescent="0.25">
      <c r="A181" s="13">
        <v>2007</v>
      </c>
      <c r="B181" s="13">
        <v>12</v>
      </c>
      <c r="C181" s="13">
        <v>512.74244579041397</v>
      </c>
    </row>
    <row r="182" spans="1:3" x14ac:dyDescent="0.25">
      <c r="A182" s="13">
        <v>2008</v>
      </c>
      <c r="B182" s="13">
        <v>1</v>
      </c>
      <c r="C182" s="13">
        <v>492.66757276955701</v>
      </c>
    </row>
    <row r="183" spans="1:3" x14ac:dyDescent="0.25">
      <c r="A183" s="13">
        <v>2008</v>
      </c>
      <c r="B183" s="13">
        <v>2</v>
      </c>
      <c r="C183" s="13">
        <v>440.65743063550502</v>
      </c>
    </row>
    <row r="184" spans="1:3" x14ac:dyDescent="0.25">
      <c r="A184" s="13">
        <v>2008</v>
      </c>
      <c r="B184" s="13">
        <v>3</v>
      </c>
      <c r="C184" s="13">
        <v>489.02696873377198</v>
      </c>
    </row>
    <row r="185" spans="1:3" x14ac:dyDescent="0.25">
      <c r="A185" s="13">
        <v>2008</v>
      </c>
      <c r="B185" s="13">
        <v>4</v>
      </c>
      <c r="C185" s="13">
        <v>496.00044048264903</v>
      </c>
    </row>
    <row r="186" spans="1:3" x14ac:dyDescent="0.25">
      <c r="A186" s="13">
        <v>2008</v>
      </c>
      <c r="B186" s="13">
        <v>5</v>
      </c>
      <c r="C186" s="13">
        <v>497.55800350849398</v>
      </c>
    </row>
    <row r="187" spans="1:3" x14ac:dyDescent="0.25">
      <c r="A187" s="13">
        <v>2008</v>
      </c>
      <c r="B187" s="13">
        <v>6</v>
      </c>
      <c r="C187" s="13">
        <v>495.20446835030202</v>
      </c>
    </row>
    <row r="188" spans="1:3" x14ac:dyDescent="0.25">
      <c r="A188" s="13">
        <v>2008</v>
      </c>
      <c r="B188" s="13">
        <v>7</v>
      </c>
      <c r="C188" s="13">
        <v>508.63945270020201</v>
      </c>
    </row>
    <row r="189" spans="1:3" x14ac:dyDescent="0.25">
      <c r="A189" s="13">
        <v>2008</v>
      </c>
      <c r="B189" s="13">
        <v>8</v>
      </c>
      <c r="C189" s="13">
        <v>496.52459144014699</v>
      </c>
    </row>
    <row r="190" spans="1:3" x14ac:dyDescent="0.25">
      <c r="A190" s="13">
        <v>2008</v>
      </c>
      <c r="B190" s="13">
        <v>9</v>
      </c>
      <c r="C190" s="13">
        <v>474.52588482263201</v>
      </c>
    </row>
    <row r="191" spans="1:3" x14ac:dyDescent="0.25">
      <c r="A191" s="13">
        <v>2008</v>
      </c>
      <c r="B191" s="13">
        <v>10</v>
      </c>
      <c r="C191" s="13">
        <v>445.79051066845801</v>
      </c>
    </row>
    <row r="192" spans="1:3" x14ac:dyDescent="0.25">
      <c r="A192" s="13">
        <v>2008</v>
      </c>
      <c r="B192" s="13">
        <v>11</v>
      </c>
      <c r="C192" s="13">
        <v>383.086744899336</v>
      </c>
    </row>
    <row r="193" spans="1:3" x14ac:dyDescent="0.25">
      <c r="A193" s="13">
        <v>2008</v>
      </c>
      <c r="B193" s="13">
        <v>12</v>
      </c>
      <c r="C193" s="13">
        <v>290.75512095182899</v>
      </c>
    </row>
    <row r="194" spans="1:3" x14ac:dyDescent="0.25">
      <c r="A194" s="13">
        <v>2009</v>
      </c>
      <c r="B194" s="13">
        <v>1</v>
      </c>
      <c r="C194" s="13">
        <v>362.52147027690398</v>
      </c>
    </row>
    <row r="195" spans="1:3" x14ac:dyDescent="0.25">
      <c r="A195" s="13">
        <v>2009</v>
      </c>
      <c r="B195" s="13">
        <v>2</v>
      </c>
      <c r="C195" s="13">
        <v>293.021818302003</v>
      </c>
    </row>
    <row r="196" spans="1:3" x14ac:dyDescent="0.25">
      <c r="A196" s="13">
        <v>2009</v>
      </c>
      <c r="B196" s="13">
        <v>3</v>
      </c>
      <c r="C196" s="13">
        <v>239.89551419954401</v>
      </c>
    </row>
    <row r="197" spans="1:3" x14ac:dyDescent="0.25">
      <c r="A197" s="13">
        <v>2009</v>
      </c>
      <c r="B197" s="13">
        <v>4</v>
      </c>
      <c r="C197" s="13">
        <v>274.40068421617298</v>
      </c>
    </row>
    <row r="198" spans="1:3" x14ac:dyDescent="0.25">
      <c r="A198" s="13">
        <v>2009</v>
      </c>
      <c r="B198" s="13">
        <v>5</v>
      </c>
      <c r="C198" s="13">
        <v>267.165720721556</v>
      </c>
    </row>
    <row r="199" spans="1:3" x14ac:dyDescent="0.25">
      <c r="A199" s="13">
        <v>2009</v>
      </c>
      <c r="B199" s="13">
        <v>6</v>
      </c>
      <c r="C199" s="13">
        <v>314.431521169235</v>
      </c>
    </row>
    <row r="200" spans="1:3" x14ac:dyDescent="0.25">
      <c r="A200" s="13">
        <v>2009</v>
      </c>
      <c r="B200" s="13">
        <v>7</v>
      </c>
      <c r="C200" s="13">
        <v>336.157491632183</v>
      </c>
    </row>
    <row r="201" spans="1:3" x14ac:dyDescent="0.25">
      <c r="A201" s="13">
        <v>2009</v>
      </c>
      <c r="B201" s="13">
        <v>8</v>
      </c>
      <c r="C201" s="13">
        <v>341.14181030428699</v>
      </c>
    </row>
    <row r="202" spans="1:3" x14ac:dyDescent="0.25">
      <c r="A202" s="13">
        <v>2009</v>
      </c>
      <c r="B202" s="13">
        <v>9</v>
      </c>
      <c r="C202" s="13">
        <v>373.433715339233</v>
      </c>
    </row>
    <row r="203" spans="1:3" x14ac:dyDescent="0.25">
      <c r="A203" s="13">
        <v>2009</v>
      </c>
      <c r="B203" s="13">
        <v>10</v>
      </c>
      <c r="C203" s="13">
        <v>393.67868377952902</v>
      </c>
    </row>
    <row r="204" spans="1:3" x14ac:dyDescent="0.25">
      <c r="A204" s="13">
        <v>2009</v>
      </c>
      <c r="B204" s="13">
        <v>11</v>
      </c>
      <c r="C204" s="13">
        <v>403.720036368857</v>
      </c>
    </row>
    <row r="205" spans="1:3" x14ac:dyDescent="0.25">
      <c r="A205" s="13">
        <v>2009</v>
      </c>
      <c r="B205" s="13">
        <v>12</v>
      </c>
      <c r="C205" s="13">
        <v>416.99994156418802</v>
      </c>
    </row>
    <row r="206" spans="1:3" x14ac:dyDescent="0.25">
      <c r="A206" s="13">
        <v>2010</v>
      </c>
      <c r="B206" s="13">
        <v>1</v>
      </c>
      <c r="C206" s="13">
        <v>416.56686513663402</v>
      </c>
    </row>
    <row r="207" spans="1:3" x14ac:dyDescent="0.25">
      <c r="A207" s="13">
        <v>2010</v>
      </c>
      <c r="B207" s="13">
        <v>2</v>
      </c>
      <c r="C207" s="13">
        <v>423.36171487552798</v>
      </c>
    </row>
    <row r="208" spans="1:3" x14ac:dyDescent="0.25">
      <c r="A208" s="13">
        <v>2010</v>
      </c>
      <c r="B208" s="13">
        <v>3</v>
      </c>
      <c r="C208" s="13">
        <v>425.218767005215</v>
      </c>
    </row>
    <row r="209" spans="1:3" x14ac:dyDescent="0.25">
      <c r="A209" s="13">
        <v>2010</v>
      </c>
      <c r="B209" s="13">
        <v>4</v>
      </c>
      <c r="C209" s="13">
        <v>422.80909495040203</v>
      </c>
    </row>
    <row r="210" spans="1:3" x14ac:dyDescent="0.25">
      <c r="A210" s="13">
        <v>2010</v>
      </c>
      <c r="B210" s="13">
        <v>5</v>
      </c>
      <c r="C210" s="13">
        <v>434.19710772061802</v>
      </c>
    </row>
    <row r="211" spans="1:3" x14ac:dyDescent="0.25">
      <c r="A211" s="13">
        <v>2010</v>
      </c>
      <c r="B211" s="13">
        <v>6</v>
      </c>
      <c r="C211" s="13">
        <v>424.903339458505</v>
      </c>
    </row>
    <row r="212" spans="1:3" x14ac:dyDescent="0.25">
      <c r="A212" s="13">
        <v>2010</v>
      </c>
      <c r="B212" s="13">
        <v>7</v>
      </c>
      <c r="C212" s="13">
        <v>419.76998445034798</v>
      </c>
    </row>
    <row r="213" spans="1:3" x14ac:dyDescent="0.25">
      <c r="A213" s="13">
        <v>2010</v>
      </c>
      <c r="B213" s="13">
        <v>8</v>
      </c>
      <c r="C213" s="13">
        <v>443.15386089569301</v>
      </c>
    </row>
    <row r="214" spans="1:3" x14ac:dyDescent="0.25">
      <c r="A214" s="13">
        <v>2010</v>
      </c>
      <c r="B214" s="13">
        <v>9</v>
      </c>
      <c r="C214" s="13">
        <v>432.22782699769101</v>
      </c>
    </row>
    <row r="215" spans="1:3" x14ac:dyDescent="0.25">
      <c r="A215" s="13">
        <v>2010</v>
      </c>
      <c r="B215" s="13">
        <v>10</v>
      </c>
      <c r="C215" s="13">
        <v>430.59214518886199</v>
      </c>
    </row>
    <row r="216" spans="1:3" x14ac:dyDescent="0.25">
      <c r="A216" s="13">
        <v>2010</v>
      </c>
      <c r="B216" s="13">
        <v>11</v>
      </c>
      <c r="C216" s="13">
        <v>434.99980407525999</v>
      </c>
    </row>
    <row r="217" spans="1:3" x14ac:dyDescent="0.25">
      <c r="A217" s="13">
        <v>2010</v>
      </c>
      <c r="B217" s="13">
        <v>12</v>
      </c>
      <c r="C217" s="13">
        <v>434.409476975058</v>
      </c>
    </row>
    <row r="218" spans="1:3" x14ac:dyDescent="0.25">
      <c r="A218" s="13">
        <v>2011</v>
      </c>
      <c r="B218" s="13">
        <v>1</v>
      </c>
      <c r="C218" s="13">
        <v>437.87548263922599</v>
      </c>
    </row>
    <row r="219" spans="1:3" x14ac:dyDescent="0.25">
      <c r="A219" s="13">
        <v>2011</v>
      </c>
      <c r="B219" s="13">
        <v>2</v>
      </c>
      <c r="C219" s="13">
        <v>492.09003608746502</v>
      </c>
    </row>
    <row r="220" spans="1:3" x14ac:dyDescent="0.25">
      <c r="A220" s="13">
        <v>2011</v>
      </c>
      <c r="B220" s="13">
        <v>3</v>
      </c>
      <c r="C220" s="13">
        <v>454.73153016183602</v>
      </c>
    </row>
    <row r="221" spans="1:3" x14ac:dyDescent="0.25">
      <c r="A221" s="13">
        <v>2011</v>
      </c>
      <c r="B221" s="13">
        <v>4</v>
      </c>
      <c r="C221" s="13">
        <v>467.46372204456901</v>
      </c>
    </row>
    <row r="222" spans="1:3" x14ac:dyDescent="0.25">
      <c r="A222" s="13">
        <v>2011</v>
      </c>
      <c r="B222" s="13">
        <v>5</v>
      </c>
      <c r="C222" s="13">
        <v>488.295817247895</v>
      </c>
    </row>
    <row r="223" spans="1:3" x14ac:dyDescent="0.25">
      <c r="A223" s="13">
        <v>2011</v>
      </c>
      <c r="B223" s="13">
        <v>6</v>
      </c>
      <c r="C223" s="13">
        <v>473.99102851429399</v>
      </c>
    </row>
    <row r="224" spans="1:3" x14ac:dyDescent="0.25">
      <c r="A224" s="13">
        <v>2011</v>
      </c>
      <c r="B224" s="13">
        <v>7</v>
      </c>
      <c r="C224" s="13">
        <v>476.18044715672602</v>
      </c>
    </row>
    <row r="225" spans="1:3" x14ac:dyDescent="0.25">
      <c r="A225" s="13">
        <v>2011</v>
      </c>
      <c r="B225" s="13">
        <v>8</v>
      </c>
      <c r="C225" s="13">
        <v>460.71365366946497</v>
      </c>
    </row>
    <row r="226" spans="1:3" x14ac:dyDescent="0.25">
      <c r="A226" s="13">
        <v>2011</v>
      </c>
      <c r="B226" s="13">
        <v>9</v>
      </c>
      <c r="C226" s="13">
        <v>453.69410602879202</v>
      </c>
    </row>
    <row r="227" spans="1:3" x14ac:dyDescent="0.25">
      <c r="A227" s="13">
        <v>2011</v>
      </c>
      <c r="B227" s="13">
        <v>10</v>
      </c>
      <c r="C227" s="13">
        <v>467.93597770123102</v>
      </c>
    </row>
    <row r="228" spans="1:3" x14ac:dyDescent="0.25">
      <c r="A228" s="13">
        <v>2011</v>
      </c>
      <c r="B228" s="13">
        <v>11</v>
      </c>
      <c r="C228" s="13">
        <v>468.44830885210598</v>
      </c>
    </row>
    <row r="229" spans="1:3" x14ac:dyDescent="0.25">
      <c r="A229" s="13">
        <v>2011</v>
      </c>
      <c r="B229" s="13">
        <v>12</v>
      </c>
      <c r="C229" s="13">
        <v>474.454549130457</v>
      </c>
    </row>
    <row r="230" spans="1:3" x14ac:dyDescent="0.25">
      <c r="A230" s="13">
        <v>2012</v>
      </c>
      <c r="B230" s="13">
        <v>1</v>
      </c>
      <c r="C230" s="13">
        <v>469.91762451460102</v>
      </c>
    </row>
    <row r="231" spans="1:3" x14ac:dyDescent="0.25">
      <c r="A231" s="13">
        <v>2012</v>
      </c>
      <c r="B231" s="13">
        <v>2</v>
      </c>
      <c r="C231" s="13">
        <v>475.08475938180101</v>
      </c>
    </row>
    <row r="232" spans="1:3" x14ac:dyDescent="0.25">
      <c r="A232" s="13">
        <v>2012</v>
      </c>
      <c r="B232" s="13">
        <v>3</v>
      </c>
      <c r="C232" s="13">
        <v>481.506165560564</v>
      </c>
    </row>
    <row r="233" spans="1:3" x14ac:dyDescent="0.25">
      <c r="A233" s="13">
        <v>2012</v>
      </c>
      <c r="B233" s="13">
        <v>4</v>
      </c>
      <c r="C233" s="13">
        <v>473.19254269288501</v>
      </c>
    </row>
    <row r="234" spans="1:3" x14ac:dyDescent="0.25">
      <c r="A234" s="13">
        <v>2012</v>
      </c>
      <c r="B234" s="13">
        <v>5</v>
      </c>
      <c r="C234" s="13">
        <v>449.22668185377398</v>
      </c>
    </row>
    <row r="235" spans="1:3" x14ac:dyDescent="0.25">
      <c r="A235" s="13">
        <v>2012</v>
      </c>
      <c r="B235" s="13">
        <v>6</v>
      </c>
      <c r="C235" s="13">
        <v>452.583304839866</v>
      </c>
    </row>
    <row r="236" spans="1:3" x14ac:dyDescent="0.25">
      <c r="A236" s="13">
        <v>2012</v>
      </c>
      <c r="B236" s="13">
        <v>7</v>
      </c>
      <c r="C236" s="13">
        <v>331.71762384145501</v>
      </c>
    </row>
    <row r="237" spans="1:3" x14ac:dyDescent="0.25">
      <c r="A237" s="13">
        <v>2012</v>
      </c>
      <c r="B237" s="13">
        <v>8</v>
      </c>
      <c r="C237" s="13">
        <v>352.389727785937</v>
      </c>
    </row>
    <row r="238" spans="1:3" x14ac:dyDescent="0.25">
      <c r="A238" s="13">
        <v>2012</v>
      </c>
      <c r="B238" s="13">
        <v>9</v>
      </c>
      <c r="C238" s="13">
        <v>377.40597876782402</v>
      </c>
    </row>
    <row r="239" spans="1:3" x14ac:dyDescent="0.25">
      <c r="A239" s="13">
        <v>2012</v>
      </c>
      <c r="B239" s="13">
        <v>10</v>
      </c>
      <c r="C239" s="13">
        <v>376.69768738395601</v>
      </c>
    </row>
    <row r="240" spans="1:3" x14ac:dyDescent="0.25">
      <c r="A240" s="13">
        <v>2012</v>
      </c>
      <c r="B240" s="13">
        <v>11</v>
      </c>
      <c r="C240" s="13">
        <v>379.95385407594398</v>
      </c>
    </row>
    <row r="241" spans="1:3" x14ac:dyDescent="0.25">
      <c r="A241" s="13">
        <v>2012</v>
      </c>
      <c r="B241" s="13">
        <v>12</v>
      </c>
      <c r="C241" s="13">
        <v>349.82048136352103</v>
      </c>
    </row>
    <row r="242" spans="1:3" x14ac:dyDescent="0.25">
      <c r="A242" s="13">
        <v>2013</v>
      </c>
      <c r="B242" s="13">
        <v>1</v>
      </c>
      <c r="C242" s="13">
        <v>387.97561397045303</v>
      </c>
    </row>
    <row r="243" spans="1:3" x14ac:dyDescent="0.25">
      <c r="A243" s="13">
        <v>2013</v>
      </c>
      <c r="B243" s="13">
        <v>2</v>
      </c>
      <c r="C243" s="13">
        <v>384.34758849718099</v>
      </c>
    </row>
    <row r="244" spans="1:3" x14ac:dyDescent="0.25">
      <c r="A244" s="13">
        <v>2013</v>
      </c>
      <c r="B244" s="13">
        <v>3</v>
      </c>
      <c r="C244" s="13">
        <v>453.54745878950803</v>
      </c>
    </row>
    <row r="245" spans="1:3" x14ac:dyDescent="0.25">
      <c r="A245" s="13">
        <v>2013</v>
      </c>
      <c r="B245" s="13">
        <v>4</v>
      </c>
      <c r="C245" s="13">
        <v>424.40729074240801</v>
      </c>
    </row>
    <row r="246" spans="1:3" x14ac:dyDescent="0.25">
      <c r="A246" s="13">
        <v>2013</v>
      </c>
      <c r="B246" s="13">
        <v>5</v>
      </c>
      <c r="C246" s="13">
        <v>439.77514307006697</v>
      </c>
    </row>
    <row r="247" spans="1:3" x14ac:dyDescent="0.25">
      <c r="A247" s="13">
        <v>2013</v>
      </c>
      <c r="B247" s="13">
        <v>6</v>
      </c>
      <c r="C247" s="13">
        <v>414.92234469694</v>
      </c>
    </row>
    <row r="248" spans="1:3" x14ac:dyDescent="0.25">
      <c r="A248" s="13">
        <v>2013</v>
      </c>
      <c r="B248" s="13">
        <v>7</v>
      </c>
      <c r="C248" s="13">
        <v>449.89339513421601</v>
      </c>
    </row>
    <row r="249" spans="1:3" x14ac:dyDescent="0.25">
      <c r="A249" s="13">
        <v>2013</v>
      </c>
      <c r="B249" s="13">
        <v>8</v>
      </c>
      <c r="C249" s="13">
        <v>452.02828672168602</v>
      </c>
    </row>
    <row r="250" spans="1:3" x14ac:dyDescent="0.25">
      <c r="A250" s="13">
        <v>2013</v>
      </c>
      <c r="B250" s="13">
        <v>9</v>
      </c>
      <c r="C250" s="13">
        <v>445.68682939816</v>
      </c>
    </row>
    <row r="251" spans="1:3" x14ac:dyDescent="0.25">
      <c r="A251" s="13">
        <v>2013</v>
      </c>
      <c r="B251" s="13">
        <v>10</v>
      </c>
      <c r="C251" s="13">
        <v>439.91665306978098</v>
      </c>
    </row>
    <row r="252" spans="1:3" x14ac:dyDescent="0.25">
      <c r="A252" s="13">
        <v>2013</v>
      </c>
      <c r="B252" s="13">
        <v>11</v>
      </c>
      <c r="C252" s="13">
        <v>453.55091798265499</v>
      </c>
    </row>
    <row r="253" spans="1:3" x14ac:dyDescent="0.25">
      <c r="A253" s="13">
        <v>2013</v>
      </c>
      <c r="B253" s="13">
        <v>12</v>
      </c>
      <c r="C253" s="13">
        <v>448.87067491824098</v>
      </c>
    </row>
    <row r="254" spans="1:3" x14ac:dyDescent="0.25">
      <c r="A254" s="13">
        <v>2014</v>
      </c>
      <c r="B254" s="13">
        <v>1</v>
      </c>
      <c r="C254" s="13">
        <v>459.72012733022001</v>
      </c>
    </row>
    <row r="255" spans="1:3" x14ac:dyDescent="0.25">
      <c r="A255" s="13">
        <v>2014</v>
      </c>
      <c r="B255" s="13">
        <v>2</v>
      </c>
      <c r="C255" s="13">
        <v>444.998135749244</v>
      </c>
    </row>
    <row r="256" spans="1:3" x14ac:dyDescent="0.25">
      <c r="A256" s="13">
        <v>2014</v>
      </c>
      <c r="B256" s="13">
        <v>3</v>
      </c>
      <c r="C256" s="13">
        <v>458.39559356507499</v>
      </c>
    </row>
    <row r="257" spans="1:3" x14ac:dyDescent="0.25">
      <c r="A257" s="13">
        <v>2014</v>
      </c>
      <c r="B257" s="13">
        <v>4</v>
      </c>
      <c r="C257" s="13">
        <v>486.15217800563698</v>
      </c>
    </row>
    <row r="258" spans="1:3" x14ac:dyDescent="0.25">
      <c r="A258" s="13">
        <v>2014</v>
      </c>
      <c r="B258" s="13">
        <v>5</v>
      </c>
      <c r="C258" s="13">
        <v>474.74686303003</v>
      </c>
    </row>
    <row r="259" spans="1:3" x14ac:dyDescent="0.25">
      <c r="A259" s="13">
        <v>2014</v>
      </c>
      <c r="B259" s="13">
        <v>6</v>
      </c>
      <c r="C259" s="13">
        <v>473.91690981140601</v>
      </c>
    </row>
    <row r="260" spans="1:3" x14ac:dyDescent="0.25">
      <c r="A260" s="13">
        <v>2014</v>
      </c>
      <c r="B260" s="13">
        <v>7</v>
      </c>
      <c r="C260" s="13">
        <v>463.61653309633499</v>
      </c>
    </row>
    <row r="261" spans="1:3" x14ac:dyDescent="0.25">
      <c r="A261" s="13">
        <v>2014</v>
      </c>
      <c r="B261" s="13">
        <v>8</v>
      </c>
      <c r="C261" s="13">
        <v>440.50549906580301</v>
      </c>
    </row>
    <row r="262" spans="1:3" x14ac:dyDescent="0.25">
      <c r="A262" s="13">
        <v>2014</v>
      </c>
      <c r="B262" s="13">
        <v>9</v>
      </c>
      <c r="C262" s="13">
        <v>448.74100631869101</v>
      </c>
    </row>
    <row r="263" spans="1:3" x14ac:dyDescent="0.25">
      <c r="A263" s="13">
        <v>2014</v>
      </c>
      <c r="B263" s="13">
        <v>10</v>
      </c>
      <c r="C263" s="13">
        <v>439.070294746814</v>
      </c>
    </row>
    <row r="264" spans="1:3" x14ac:dyDescent="0.25">
      <c r="A264" s="13">
        <v>2014</v>
      </c>
      <c r="B264" s="13">
        <v>11</v>
      </c>
      <c r="C264" s="13">
        <v>445.588726997013</v>
      </c>
    </row>
    <row r="265" spans="1:3" x14ac:dyDescent="0.25">
      <c r="A265" s="13">
        <v>2014</v>
      </c>
      <c r="B265" s="13">
        <v>12</v>
      </c>
      <c r="C265" s="13">
        <v>464.44657863164502</v>
      </c>
    </row>
    <row r="266" spans="1:3" x14ac:dyDescent="0.25">
      <c r="A266" s="13">
        <v>2015</v>
      </c>
      <c r="B266" s="13">
        <v>1</v>
      </c>
      <c r="C266" s="13">
        <v>443.10627909603602</v>
      </c>
    </row>
    <row r="267" spans="1:3" x14ac:dyDescent="0.25">
      <c r="A267" s="13">
        <v>2015</v>
      </c>
      <c r="B267" s="13">
        <v>2</v>
      </c>
      <c r="C267" s="13">
        <v>439.515640839649</v>
      </c>
    </row>
    <row r="268" spans="1:3" x14ac:dyDescent="0.25">
      <c r="A268" s="13">
        <v>2015</v>
      </c>
      <c r="B268" s="13">
        <v>3</v>
      </c>
      <c r="C268" s="13">
        <v>416.537314795795</v>
      </c>
    </row>
    <row r="269" spans="1:3" x14ac:dyDescent="0.25">
      <c r="A269" s="13">
        <v>2015</v>
      </c>
      <c r="B269" s="13">
        <v>4</v>
      </c>
      <c r="C269" s="13">
        <v>387.60891436252501</v>
      </c>
    </row>
    <row r="270" spans="1:3" x14ac:dyDescent="0.25">
      <c r="A270" s="13">
        <v>2015</v>
      </c>
      <c r="B270" s="13">
        <v>5</v>
      </c>
      <c r="C270" s="13">
        <v>404.25874131119599</v>
      </c>
    </row>
    <row r="271" spans="1:3" x14ac:dyDescent="0.25">
      <c r="A271" s="13">
        <v>2015</v>
      </c>
      <c r="B271" s="13">
        <v>6</v>
      </c>
      <c r="C271" s="13">
        <v>442.47475265540999</v>
      </c>
    </row>
    <row r="272" spans="1:3" x14ac:dyDescent="0.25">
      <c r="A272" s="13">
        <v>2015</v>
      </c>
      <c r="B272" s="13">
        <v>7</v>
      </c>
      <c r="C272" s="13">
        <v>415.42908726115701</v>
      </c>
    </row>
    <row r="273" spans="1:3" x14ac:dyDescent="0.25">
      <c r="A273" s="13">
        <v>2015</v>
      </c>
      <c r="B273" s="13">
        <v>8</v>
      </c>
      <c r="C273" s="13">
        <v>447.09901835268101</v>
      </c>
    </row>
    <row r="274" spans="1:3" x14ac:dyDescent="0.25">
      <c r="A274" s="13">
        <v>2015</v>
      </c>
      <c r="B274" s="13">
        <v>9</v>
      </c>
      <c r="C274" s="13">
        <v>432.69629332629</v>
      </c>
    </row>
    <row r="275" spans="1:3" x14ac:dyDescent="0.25">
      <c r="A275" s="13">
        <v>2015</v>
      </c>
      <c r="B275" s="13">
        <v>10</v>
      </c>
      <c r="C275" s="13">
        <v>429.44262965652399</v>
      </c>
    </row>
    <row r="276" spans="1:3" x14ac:dyDescent="0.25">
      <c r="A276" s="13">
        <v>2015</v>
      </c>
      <c r="B276" s="13">
        <v>11</v>
      </c>
      <c r="C276" s="13">
        <v>387.23074376967401</v>
      </c>
    </row>
    <row r="277" spans="1:3" x14ac:dyDescent="0.25">
      <c r="A277" s="13">
        <v>2015</v>
      </c>
      <c r="B277" s="13">
        <v>12</v>
      </c>
      <c r="C277" s="13">
        <v>394.67669849360902</v>
      </c>
    </row>
    <row r="278" spans="1:3" x14ac:dyDescent="0.25">
      <c r="A278" s="13">
        <v>2016</v>
      </c>
      <c r="B278" s="13">
        <v>1</v>
      </c>
      <c r="C278" s="13">
        <v>381.37125791756</v>
      </c>
    </row>
    <row r="279" spans="1:3" x14ac:dyDescent="0.25">
      <c r="A279" s="13">
        <v>2016</v>
      </c>
      <c r="B279" s="13">
        <v>2</v>
      </c>
      <c r="C279" s="13">
        <v>365.399348261743</v>
      </c>
    </row>
    <row r="280" spans="1:3" x14ac:dyDescent="0.25">
      <c r="A280" s="13">
        <v>2016</v>
      </c>
      <c r="B280" s="13">
        <v>3</v>
      </c>
      <c r="C280" s="13">
        <v>305.65004689079598</v>
      </c>
    </row>
    <row r="281" spans="1:3" x14ac:dyDescent="0.25">
      <c r="A281" s="13">
        <v>2016</v>
      </c>
      <c r="B281" s="13">
        <v>4</v>
      </c>
      <c r="C281" s="13">
        <v>324.251493787578</v>
      </c>
    </row>
    <row r="282" spans="1:3" x14ac:dyDescent="0.25">
      <c r="A282" s="13">
        <v>2016</v>
      </c>
      <c r="B282" s="13">
        <v>5</v>
      </c>
      <c r="C282" s="13">
        <v>374.61137341698299</v>
      </c>
    </row>
    <row r="283" spans="1:3" x14ac:dyDescent="0.25">
      <c r="A283" s="13">
        <v>2016</v>
      </c>
      <c r="B283" s="13">
        <v>6</v>
      </c>
      <c r="C283" s="13">
        <v>372.57439265371801</v>
      </c>
    </row>
    <row r="284" spans="1:3" x14ac:dyDescent="0.25">
      <c r="A284" s="13">
        <v>2016</v>
      </c>
      <c r="B284" s="13">
        <v>7</v>
      </c>
      <c r="C284" s="13">
        <v>338.58325927652697</v>
      </c>
    </row>
    <row r="285" spans="1:3" x14ac:dyDescent="0.25">
      <c r="A285" s="13">
        <v>2016</v>
      </c>
      <c r="B285" s="13">
        <v>8</v>
      </c>
      <c r="C285" s="13">
        <v>315.99283619765299</v>
      </c>
    </row>
    <row r="286" spans="1:3" x14ac:dyDescent="0.25">
      <c r="A286" s="13">
        <v>2016</v>
      </c>
      <c r="B286" s="13">
        <v>9</v>
      </c>
      <c r="C286" s="13">
        <v>308.39908998713503</v>
      </c>
    </row>
    <row r="287" spans="1:3" x14ac:dyDescent="0.25">
      <c r="A287" s="13">
        <v>2016</v>
      </c>
      <c r="B287" s="13">
        <v>10</v>
      </c>
      <c r="C287" s="13">
        <v>337.89554858296998</v>
      </c>
    </row>
    <row r="288" spans="1:3" x14ac:dyDescent="0.25">
      <c r="A288" s="13">
        <v>2016</v>
      </c>
      <c r="B288" s="13">
        <v>11</v>
      </c>
      <c r="C288" s="13">
        <v>340.646729353838</v>
      </c>
    </row>
    <row r="289" spans="1:3" x14ac:dyDescent="0.25">
      <c r="A289" s="13">
        <v>2016</v>
      </c>
      <c r="B289" s="13">
        <v>12</v>
      </c>
      <c r="C289" s="13">
        <v>339.98656646449098</v>
      </c>
    </row>
    <row r="290" spans="1:3" x14ac:dyDescent="0.25">
      <c r="A290" s="13">
        <v>2017</v>
      </c>
      <c r="B290" s="13">
        <v>1</v>
      </c>
      <c r="C290" s="13">
        <v>337.50576743164402</v>
      </c>
    </row>
    <row r="291" spans="1:3" x14ac:dyDescent="0.25">
      <c r="A291" s="13">
        <v>2017</v>
      </c>
      <c r="B291" s="13">
        <v>2</v>
      </c>
      <c r="C291" s="13">
        <v>363.34289942410402</v>
      </c>
    </row>
    <row r="292" spans="1:3" x14ac:dyDescent="0.25">
      <c r="A292" s="13">
        <v>2017</v>
      </c>
      <c r="B292" s="13">
        <v>3</v>
      </c>
      <c r="C292" s="13">
        <v>381.97140638659602</v>
      </c>
    </row>
    <row r="293" spans="1:3" x14ac:dyDescent="0.25">
      <c r="A293" s="13">
        <v>2017</v>
      </c>
      <c r="B293" s="13">
        <v>4</v>
      </c>
      <c r="C293" s="13">
        <v>371.18218900204602</v>
      </c>
    </row>
    <row r="294" spans="1:3" x14ac:dyDescent="0.25">
      <c r="A294" s="13">
        <v>2017</v>
      </c>
      <c r="B294" s="13">
        <v>5</v>
      </c>
      <c r="C294" s="13">
        <v>392.27494905391399</v>
      </c>
    </row>
    <row r="295" spans="1:3" x14ac:dyDescent="0.25">
      <c r="A295" s="13">
        <v>2017</v>
      </c>
      <c r="B295" s="13">
        <v>6</v>
      </c>
      <c r="C295" s="13">
        <v>376.64861281779901</v>
      </c>
    </row>
    <row r="296" spans="1:3" x14ac:dyDescent="0.25">
      <c r="A296" s="13">
        <v>2017</v>
      </c>
      <c r="B296" s="13">
        <v>7</v>
      </c>
      <c r="C296" s="13">
        <v>379.397525814358</v>
      </c>
    </row>
    <row r="297" spans="1:3" x14ac:dyDescent="0.25">
      <c r="A297" s="13">
        <v>2017</v>
      </c>
      <c r="B297" s="13">
        <v>8</v>
      </c>
      <c r="C297" s="13">
        <v>390.03855791203802</v>
      </c>
    </row>
    <row r="298" spans="1:3" x14ac:dyDescent="0.25">
      <c r="A298" s="13">
        <v>2017</v>
      </c>
      <c r="B298" s="13">
        <v>9</v>
      </c>
      <c r="C298" s="13">
        <v>407.49907462106597</v>
      </c>
    </row>
    <row r="299" spans="1:3" x14ac:dyDescent="0.25">
      <c r="A299" s="13">
        <v>2017</v>
      </c>
      <c r="B299" s="13">
        <v>10</v>
      </c>
      <c r="C299" s="13">
        <v>410.541286131292</v>
      </c>
    </row>
    <row r="300" spans="1:3" x14ac:dyDescent="0.25">
      <c r="A300" s="13">
        <v>2017</v>
      </c>
      <c r="B300" s="13">
        <v>11</v>
      </c>
      <c r="C300" s="13">
        <v>413.936197643095</v>
      </c>
    </row>
    <row r="301" spans="1:3" x14ac:dyDescent="0.25">
      <c r="A301" s="13">
        <v>2017</v>
      </c>
      <c r="B301" s="13">
        <v>12</v>
      </c>
      <c r="C301" s="13">
        <v>409.04811745359302</v>
      </c>
    </row>
    <row r="302" spans="1:3" x14ac:dyDescent="0.25">
      <c r="A302" s="13">
        <v>2018</v>
      </c>
      <c r="B302" s="13">
        <v>1</v>
      </c>
      <c r="C302" s="13">
        <v>384.92912068221102</v>
      </c>
    </row>
    <row r="303" spans="1:3" x14ac:dyDescent="0.25">
      <c r="A303" s="13">
        <v>2018</v>
      </c>
      <c r="B303" s="13">
        <v>2</v>
      </c>
      <c r="C303" s="13">
        <v>477.31078825068198</v>
      </c>
    </row>
    <row r="304" spans="1:3" x14ac:dyDescent="0.25">
      <c r="A304" s="13">
        <v>2018</v>
      </c>
      <c r="B304" s="13">
        <v>3</v>
      </c>
      <c r="C304" s="13">
        <v>465.397634002926</v>
      </c>
    </row>
    <row r="305" spans="1:3" x14ac:dyDescent="0.25">
      <c r="A305" s="13">
        <v>2018</v>
      </c>
      <c r="B305" s="13">
        <v>4</v>
      </c>
      <c r="C305" s="13">
        <v>465.15774135137099</v>
      </c>
    </row>
    <row r="306" spans="1:3" x14ac:dyDescent="0.25">
      <c r="A306" s="13">
        <v>2018</v>
      </c>
      <c r="B306" s="13">
        <v>5</v>
      </c>
      <c r="C306" s="13">
        <v>438.52983475008602</v>
      </c>
    </row>
    <row r="307" spans="1:3" x14ac:dyDescent="0.25">
      <c r="A307" s="13">
        <v>2018</v>
      </c>
      <c r="B307" s="13">
        <v>6</v>
      </c>
      <c r="C307" s="13">
        <v>421.25987000701002</v>
      </c>
    </row>
    <row r="308" spans="1:3" x14ac:dyDescent="0.25">
      <c r="A308" s="13">
        <v>2018</v>
      </c>
      <c r="B308" s="13">
        <v>7</v>
      </c>
      <c r="C308" s="13">
        <v>444.13524795900798</v>
      </c>
    </row>
    <row r="309" spans="1:3" x14ac:dyDescent="0.25">
      <c r="A309" s="13">
        <v>2018</v>
      </c>
      <c r="B309" s="13">
        <v>8</v>
      </c>
      <c r="C309" s="13">
        <v>427.77994318653901</v>
      </c>
    </row>
    <row r="310" spans="1:3" x14ac:dyDescent="0.25">
      <c r="A310" s="13">
        <v>2018</v>
      </c>
      <c r="B310" s="13">
        <v>9</v>
      </c>
      <c r="C310" s="13">
        <v>416.11002121971899</v>
      </c>
    </row>
    <row r="311" spans="1:3" x14ac:dyDescent="0.25">
      <c r="A311" s="13">
        <v>2018</v>
      </c>
      <c r="B311" s="13">
        <v>10</v>
      </c>
      <c r="C311" s="13">
        <v>412.43449458293497</v>
      </c>
    </row>
    <row r="312" spans="1:3" x14ac:dyDescent="0.25">
      <c r="A312" s="13">
        <v>2018</v>
      </c>
      <c r="B312" s="13">
        <v>11</v>
      </c>
      <c r="C312" s="13">
        <v>432.792285458381</v>
      </c>
    </row>
    <row r="313" spans="1:3" x14ac:dyDescent="0.25">
      <c r="A313" s="13">
        <v>2018</v>
      </c>
      <c r="B313" s="13">
        <v>12</v>
      </c>
      <c r="C313" s="13">
        <v>381.92964136963701</v>
      </c>
    </row>
    <row r="314" spans="1:3" x14ac:dyDescent="0.25">
      <c r="A314" s="13">
        <v>2019</v>
      </c>
      <c r="B314" s="13">
        <v>1</v>
      </c>
      <c r="C314" s="13">
        <v>408.40814509275299</v>
      </c>
    </row>
    <row r="315" spans="1:3" x14ac:dyDescent="0.25">
      <c r="A315" s="13">
        <v>2019</v>
      </c>
      <c r="B315" s="13">
        <v>2</v>
      </c>
      <c r="C315" s="13">
        <v>382.33881867087001</v>
      </c>
    </row>
    <row r="316" spans="1:3" x14ac:dyDescent="0.25">
      <c r="A316" s="13">
        <v>2019</v>
      </c>
      <c r="B316" s="13">
        <v>3</v>
      </c>
      <c r="C316" s="13">
        <v>385.00000552183502</v>
      </c>
    </row>
    <row r="317" spans="1:3" x14ac:dyDescent="0.25">
      <c r="A317" s="13">
        <v>2019</v>
      </c>
      <c r="B317" s="13">
        <v>4</v>
      </c>
      <c r="C317" s="13">
        <v>421.74642690196799</v>
      </c>
    </row>
    <row r="318" spans="1:3" x14ac:dyDescent="0.25">
      <c r="A318" s="13">
        <v>2019</v>
      </c>
      <c r="B318" s="13">
        <v>5</v>
      </c>
      <c r="C318" s="13">
        <v>409.18724262952401</v>
      </c>
    </row>
    <row r="319" spans="1:3" x14ac:dyDescent="0.25">
      <c r="A319" s="13">
        <v>2019</v>
      </c>
      <c r="B319" s="13">
        <v>6</v>
      </c>
      <c r="C319" s="13">
        <v>420.93327596738698</v>
      </c>
    </row>
    <row r="320" spans="1:3" x14ac:dyDescent="0.25">
      <c r="A320" s="13">
        <v>2019</v>
      </c>
      <c r="B320" s="13">
        <v>7</v>
      </c>
      <c r="C320" s="13">
        <v>397.47534905637701</v>
      </c>
    </row>
    <row r="321" spans="1:3" x14ac:dyDescent="0.25">
      <c r="A321" s="13">
        <v>2019</v>
      </c>
      <c r="B321" s="13">
        <v>8</v>
      </c>
      <c r="C321" s="13">
        <v>410.823238295718</v>
      </c>
    </row>
    <row r="322" spans="1:3" x14ac:dyDescent="0.25">
      <c r="A322" s="13">
        <v>2019</v>
      </c>
      <c r="B322" s="13">
        <v>9</v>
      </c>
      <c r="C322" s="13">
        <v>385.31525597678802</v>
      </c>
    </row>
    <row r="323" spans="1:3" x14ac:dyDescent="0.25">
      <c r="A323" s="13">
        <v>2019</v>
      </c>
      <c r="B323" s="13">
        <v>10</v>
      </c>
      <c r="C323" s="13">
        <v>349.179193683741</v>
      </c>
    </row>
    <row r="324" spans="1:3" x14ac:dyDescent="0.25">
      <c r="A324" s="13">
        <v>2019</v>
      </c>
      <c r="B324" s="13">
        <v>11</v>
      </c>
      <c r="C324" s="13">
        <v>331.99069417469502</v>
      </c>
    </row>
    <row r="325" spans="1:3" x14ac:dyDescent="0.25">
      <c r="A325" s="13">
        <v>2019</v>
      </c>
      <c r="B325" s="13">
        <v>12</v>
      </c>
      <c r="C325" s="13">
        <v>345.84394163286203</v>
      </c>
    </row>
    <row r="326" spans="1:3" x14ac:dyDescent="0.25">
      <c r="A326" s="13">
        <v>2020</v>
      </c>
      <c r="B326" s="13">
        <v>1</v>
      </c>
      <c r="C326" s="13">
        <v>333.30684343389601</v>
      </c>
    </row>
    <row r="327" spans="1:3" x14ac:dyDescent="0.25">
      <c r="A327" s="13">
        <v>2020</v>
      </c>
      <c r="B327" s="13">
        <v>2</v>
      </c>
      <c r="C327" s="13">
        <v>380.49536489300101</v>
      </c>
    </row>
    <row r="328" spans="1:3" x14ac:dyDescent="0.25">
      <c r="A328" s="13">
        <v>2020</v>
      </c>
      <c r="B328" s="13">
        <v>3</v>
      </c>
      <c r="C328" s="13">
        <v>284.629999018136</v>
      </c>
    </row>
    <row r="329" spans="1:3" x14ac:dyDescent="0.25">
      <c r="A329" s="13">
        <v>2020</v>
      </c>
      <c r="B329" s="13">
        <v>4</v>
      </c>
      <c r="C329" s="13">
        <v>107.912063761116</v>
      </c>
    </row>
    <row r="330" spans="1:3" x14ac:dyDescent="0.25">
      <c r="A330" s="13">
        <v>2020</v>
      </c>
      <c r="B330" s="13">
        <v>5</v>
      </c>
      <c r="C330" s="13">
        <v>196.43589111855999</v>
      </c>
    </row>
    <row r="331" spans="1:3" x14ac:dyDescent="0.25">
      <c r="A331" s="13">
        <v>2020</v>
      </c>
      <c r="B331" s="13">
        <v>6</v>
      </c>
      <c r="C331" s="13">
        <v>248.274624134974</v>
      </c>
    </row>
    <row r="332" spans="1:3" x14ac:dyDescent="0.25">
      <c r="A332" s="13">
        <v>2020</v>
      </c>
      <c r="B332" s="13">
        <v>7</v>
      </c>
      <c r="C332" s="13">
        <v>306.000958980554</v>
      </c>
    </row>
    <row r="333" spans="1:3" x14ac:dyDescent="0.25">
      <c r="A333" s="13">
        <v>2020</v>
      </c>
      <c r="B333" s="13">
        <v>8</v>
      </c>
      <c r="C333" s="13">
        <v>313.21168022246599</v>
      </c>
    </row>
    <row r="334" spans="1:3" x14ac:dyDescent="0.25">
      <c r="A334" s="13">
        <v>2020</v>
      </c>
      <c r="B334" s="13">
        <v>9</v>
      </c>
      <c r="C334" s="13">
        <v>334.10043763088203</v>
      </c>
    </row>
    <row r="335" spans="1:3" x14ac:dyDescent="0.25">
      <c r="A335" s="13">
        <v>2020</v>
      </c>
      <c r="B335" s="13">
        <v>10</v>
      </c>
      <c r="C335" s="13">
        <v>346.67130133522897</v>
      </c>
    </row>
    <row r="336" spans="1:3" x14ac:dyDescent="0.25">
      <c r="A336" s="13">
        <v>2020</v>
      </c>
      <c r="B336" s="13">
        <v>11</v>
      </c>
      <c r="C336" s="13">
        <v>364.73315166673098</v>
      </c>
    </row>
    <row r="337" spans="1:3" x14ac:dyDescent="0.25">
      <c r="A337" s="13">
        <v>2020</v>
      </c>
      <c r="B337" s="13">
        <v>12</v>
      </c>
      <c r="C337" s="13">
        <v>402.76741649044902</v>
      </c>
    </row>
    <row r="338" spans="1:3" x14ac:dyDescent="0.25">
      <c r="A338" s="13">
        <v>2021</v>
      </c>
      <c r="B338" s="13">
        <v>1</v>
      </c>
      <c r="C338" s="13">
        <v>406.48052806713702</v>
      </c>
    </row>
    <row r="339" spans="1:3" x14ac:dyDescent="0.25">
      <c r="A339" s="13">
        <v>2021</v>
      </c>
      <c r="B339" s="13">
        <v>2</v>
      </c>
      <c r="C339" s="13">
        <v>404.57448519967801</v>
      </c>
    </row>
    <row r="340" spans="1:3" x14ac:dyDescent="0.25">
      <c r="A340" s="13">
        <v>2021</v>
      </c>
      <c r="B340" s="13">
        <v>3</v>
      </c>
      <c r="C340" s="13">
        <v>425.29884437322499</v>
      </c>
    </row>
    <row r="341" spans="1:3" x14ac:dyDescent="0.25">
      <c r="A341" s="13">
        <v>2021</v>
      </c>
      <c r="B341" s="13">
        <v>4</v>
      </c>
      <c r="C341" s="13">
        <v>349.29255385798302</v>
      </c>
    </row>
    <row r="342" spans="1:3" x14ac:dyDescent="0.25">
      <c r="A342" s="13">
        <v>2021</v>
      </c>
      <c r="B342" s="13">
        <v>5</v>
      </c>
      <c r="C342" s="13">
        <v>392.33039711801899</v>
      </c>
    </row>
    <row r="343" spans="1:3" x14ac:dyDescent="0.25">
      <c r="A343" s="13">
        <v>2021</v>
      </c>
      <c r="B343" s="13">
        <v>6</v>
      </c>
      <c r="C343" s="13">
        <v>405.892160549506</v>
      </c>
    </row>
    <row r="344" spans="1:3" x14ac:dyDescent="0.25">
      <c r="A344" s="13">
        <v>2021</v>
      </c>
      <c r="B344" s="13">
        <v>7</v>
      </c>
      <c r="C344" s="13">
        <v>412.06141289137798</v>
      </c>
    </row>
    <row r="345" spans="1:3" x14ac:dyDescent="0.25">
      <c r="A345" s="13">
        <v>2021</v>
      </c>
      <c r="B345" s="13">
        <v>8</v>
      </c>
      <c r="C345" s="13">
        <v>403.25975746742</v>
      </c>
    </row>
    <row r="346" spans="1:3" x14ac:dyDescent="0.25">
      <c r="A346" s="13">
        <v>2021</v>
      </c>
      <c r="B346" s="13">
        <v>9</v>
      </c>
      <c r="C346" s="13">
        <v>404.62361884219303</v>
      </c>
    </row>
    <row r="347" spans="1:3" x14ac:dyDescent="0.25">
      <c r="A347" s="13">
        <v>2021</v>
      </c>
      <c r="B347" s="13">
        <v>10</v>
      </c>
      <c r="C347" s="13">
        <v>408.24103037859402</v>
      </c>
    </row>
    <row r="348" spans="1:3" x14ac:dyDescent="0.25">
      <c r="A348" s="13">
        <v>2021</v>
      </c>
      <c r="B348" s="13">
        <v>11</v>
      </c>
      <c r="C348" s="13">
        <v>425.87125123878701</v>
      </c>
    </row>
    <row r="349" spans="1:3" x14ac:dyDescent="0.25">
      <c r="A349" s="13">
        <v>2021</v>
      </c>
      <c r="B349" s="13">
        <v>12</v>
      </c>
      <c r="C349" s="13">
        <v>441.006648263996</v>
      </c>
    </row>
    <row r="350" spans="1:3" x14ac:dyDescent="0.25">
      <c r="A350" s="13">
        <v>2022</v>
      </c>
      <c r="B350" s="13">
        <v>1</v>
      </c>
      <c r="C350" s="13">
        <v>391.612555423826</v>
      </c>
    </row>
    <row r="351" spans="1:3" x14ac:dyDescent="0.25">
      <c r="A351" s="13">
        <v>2022</v>
      </c>
      <c r="B351" s="13">
        <v>2</v>
      </c>
      <c r="C351" s="13">
        <v>393.57111058703401</v>
      </c>
    </row>
    <row r="352" spans="1:3" x14ac:dyDescent="0.25">
      <c r="A352" s="13">
        <v>2022</v>
      </c>
      <c r="B352" s="13">
        <v>3</v>
      </c>
      <c r="C352" s="13">
        <v>420.90491211323803</v>
      </c>
    </row>
    <row r="353" spans="1:3" x14ac:dyDescent="0.25">
      <c r="A353" s="13">
        <v>2022</v>
      </c>
      <c r="B353" s="13">
        <v>4</v>
      </c>
      <c r="C353" s="13">
        <v>361.009914058638</v>
      </c>
    </row>
    <row r="354" spans="1:3" x14ac:dyDescent="0.25">
      <c r="A354" s="13">
        <v>2022</v>
      </c>
      <c r="B354" s="13">
        <v>5</v>
      </c>
      <c r="C354" s="13">
        <v>445.79993106550802</v>
      </c>
    </row>
    <row r="355" spans="1:3" x14ac:dyDescent="0.25">
      <c r="A355" s="13">
        <v>2022</v>
      </c>
      <c r="B355" s="13">
        <v>6</v>
      </c>
      <c r="C355" s="13">
        <v>469.547835281826</v>
      </c>
    </row>
    <row r="356" spans="1:3" x14ac:dyDescent="0.25">
      <c r="A356" s="13">
        <v>2022</v>
      </c>
      <c r="B356" s="13">
        <v>7</v>
      </c>
      <c r="C356" s="13">
        <v>447.455317064209</v>
      </c>
    </row>
    <row r="357" spans="1:3" x14ac:dyDescent="0.25">
      <c r="A357" s="13">
        <v>2022</v>
      </c>
      <c r="B357" s="13">
        <v>8</v>
      </c>
      <c r="C357" s="13">
        <v>437.89119649382002</v>
      </c>
    </row>
    <row r="358" spans="1:3" x14ac:dyDescent="0.25">
      <c r="A358" s="13">
        <v>2022</v>
      </c>
      <c r="B358" s="13">
        <v>9</v>
      </c>
      <c r="C358" s="13">
        <v>398.21868569746903</v>
      </c>
    </row>
    <row r="359" spans="1:3" x14ac:dyDescent="0.25">
      <c r="A359" s="13">
        <v>2022</v>
      </c>
      <c r="B359" s="13">
        <v>10</v>
      </c>
      <c r="C359" s="13">
        <v>448.79188668131502</v>
      </c>
    </row>
    <row r="360" spans="1:3" x14ac:dyDescent="0.25">
      <c r="A360" s="13">
        <v>2022</v>
      </c>
      <c r="B360" s="13">
        <v>11</v>
      </c>
      <c r="C360" s="13">
        <v>434.47451906744402</v>
      </c>
    </row>
    <row r="361" spans="1:3" x14ac:dyDescent="0.25">
      <c r="A361" s="13">
        <v>2022</v>
      </c>
      <c r="B361" s="13">
        <v>12</v>
      </c>
      <c r="C361" s="13">
        <v>453.36668312074198</v>
      </c>
    </row>
    <row r="362" spans="1:3" x14ac:dyDescent="0.25">
      <c r="A362" s="13">
        <v>2023</v>
      </c>
      <c r="B362" s="13">
        <v>1</v>
      </c>
      <c r="C362" s="13">
        <v>483.65265629752002</v>
      </c>
    </row>
    <row r="363" spans="1:3" x14ac:dyDescent="0.25">
      <c r="A363" s="13">
        <v>2023</v>
      </c>
      <c r="B363" s="13">
        <v>2</v>
      </c>
      <c r="C363" s="13">
        <v>429.79056712192499</v>
      </c>
    </row>
    <row r="364" spans="1:3" x14ac:dyDescent="0.25">
      <c r="A364" s="13">
        <v>2023</v>
      </c>
      <c r="B364" s="13">
        <v>3</v>
      </c>
      <c r="C364" s="13">
        <v>416.716194210563</v>
      </c>
    </row>
    <row r="365" spans="1:3" x14ac:dyDescent="0.25">
      <c r="A365" s="13">
        <v>2023</v>
      </c>
      <c r="B365" s="13">
        <v>4</v>
      </c>
      <c r="C365" s="13">
        <v>438.15586875753598</v>
      </c>
    </row>
    <row r="366" spans="1:3" x14ac:dyDescent="0.25">
      <c r="A366" s="13">
        <v>2023</v>
      </c>
      <c r="B366" s="13">
        <v>5</v>
      </c>
      <c r="C366" s="13">
        <v>438.260361680882</v>
      </c>
    </row>
    <row r="367" spans="1:3" x14ac:dyDescent="0.25">
      <c r="A367" s="13">
        <v>2023</v>
      </c>
      <c r="B367" s="13">
        <v>6</v>
      </c>
      <c r="C367" s="13">
        <v>429.83486930452301</v>
      </c>
    </row>
    <row r="368" spans="1:3" x14ac:dyDescent="0.25">
      <c r="A368" s="13">
        <v>2023</v>
      </c>
      <c r="B368" s="13">
        <v>7</v>
      </c>
      <c r="C368" s="13">
        <v>332.714296804198</v>
      </c>
    </row>
    <row r="369" spans="1:3" x14ac:dyDescent="0.25">
      <c r="A369" s="13">
        <v>2023</v>
      </c>
      <c r="B369" s="13">
        <v>8</v>
      </c>
      <c r="C369" s="13">
        <v>403.65888530589098</v>
      </c>
    </row>
    <row r="370" spans="1:3" x14ac:dyDescent="0.25">
      <c r="A370" s="13">
        <v>2023</v>
      </c>
      <c r="B370" s="13">
        <v>9</v>
      </c>
      <c r="C370" s="13">
        <v>413.54816696023801</v>
      </c>
    </row>
    <row r="371" spans="1:3" x14ac:dyDescent="0.25">
      <c r="A371" s="13">
        <v>2023</v>
      </c>
      <c r="B371" s="13">
        <v>10</v>
      </c>
      <c r="C371" s="13">
        <v>412.01371638915703</v>
      </c>
    </row>
    <row r="372" spans="1:3" x14ac:dyDescent="0.25">
      <c r="A372" s="13">
        <v>2023</v>
      </c>
      <c r="B372" s="13">
        <v>11</v>
      </c>
      <c r="C372" s="13">
        <v>389.60478402227602</v>
      </c>
    </row>
    <row r="373" spans="1:3" x14ac:dyDescent="0.25">
      <c r="A373" s="13">
        <v>2023</v>
      </c>
      <c r="B373" s="13">
        <v>12</v>
      </c>
      <c r="C373" s="13">
        <v>349.21510571143398</v>
      </c>
    </row>
    <row r="374" spans="1:3" x14ac:dyDescent="0.25">
      <c r="A374" s="13">
        <v>2024</v>
      </c>
      <c r="B374" s="13">
        <v>1</v>
      </c>
      <c r="C374" s="13">
        <v>451.33379785427701</v>
      </c>
    </row>
    <row r="375" spans="1:3" x14ac:dyDescent="0.25">
      <c r="A375" s="13">
        <v>2024</v>
      </c>
      <c r="B375" s="13">
        <v>2</v>
      </c>
      <c r="C375" s="13">
        <v>358.70952105385498</v>
      </c>
    </row>
    <row r="376" spans="1:3" x14ac:dyDescent="0.25">
      <c r="A376" s="13">
        <v>2024</v>
      </c>
      <c r="B376" s="13">
        <v>3</v>
      </c>
      <c r="C376" s="13">
        <v>245.45791097743401</v>
      </c>
    </row>
    <row r="377" spans="1:3" x14ac:dyDescent="0.25">
      <c r="A377" s="13">
        <v>2024</v>
      </c>
      <c r="B377" s="13">
        <v>4</v>
      </c>
      <c r="C377" s="13">
        <v>326.52413362266901</v>
      </c>
    </row>
    <row r="378" spans="1:3" x14ac:dyDescent="0.25">
      <c r="A378" s="13">
        <v>2024</v>
      </c>
      <c r="B378" s="13">
        <v>5</v>
      </c>
      <c r="C378" s="13">
        <v>305.59420663419399</v>
      </c>
    </row>
    <row r="379" spans="1:3" x14ac:dyDescent="0.25">
      <c r="A379" s="13">
        <v>2024</v>
      </c>
      <c r="B379" s="13">
        <v>6</v>
      </c>
      <c r="C379" s="13">
        <v>282.14379451921201</v>
      </c>
    </row>
    <row r="380" spans="1:3" x14ac:dyDescent="0.25">
      <c r="A380" s="13">
        <v>2024</v>
      </c>
      <c r="B380" s="13">
        <v>7</v>
      </c>
      <c r="C380" s="13">
        <v>303.56676693161802</v>
      </c>
    </row>
    <row r="381" spans="1:3" x14ac:dyDescent="0.25">
      <c r="A381" s="13">
        <v>2024</v>
      </c>
      <c r="B381" s="13">
        <v>8</v>
      </c>
      <c r="C381" s="13">
        <v>327.05681373776702</v>
      </c>
    </row>
    <row r="382" spans="1:3" x14ac:dyDescent="0.25">
      <c r="A382" s="13">
        <v>2024</v>
      </c>
      <c r="B382" s="13">
        <v>9</v>
      </c>
      <c r="C382" s="13">
        <v>336.09237428929902</v>
      </c>
    </row>
    <row r="383" spans="1:3" x14ac:dyDescent="0.25">
      <c r="A383" s="13">
        <v>2024</v>
      </c>
      <c r="B383" s="13">
        <v>10</v>
      </c>
      <c r="C383" s="13">
        <v>311.33279380872102</v>
      </c>
    </row>
    <row r="384" spans="1:3" x14ac:dyDescent="0.25">
      <c r="A384" s="13">
        <v>2024</v>
      </c>
      <c r="B384" s="13">
        <v>11</v>
      </c>
      <c r="C384" s="13">
        <v>315.968393825313</v>
      </c>
    </row>
    <row r="385" spans="1:3" x14ac:dyDescent="0.25">
      <c r="A385" s="13">
        <v>2024</v>
      </c>
      <c r="B385" s="13">
        <v>12</v>
      </c>
      <c r="C385" s="13">
        <v>276.33517491270101</v>
      </c>
    </row>
    <row r="386" spans="1:3" x14ac:dyDescent="0.25">
      <c r="A386" s="13">
        <v>2025</v>
      </c>
      <c r="B386" s="13">
        <v>1</v>
      </c>
      <c r="C386" s="13">
        <v>343.96970470323799</v>
      </c>
    </row>
    <row r="387" spans="1:3" x14ac:dyDescent="0.25">
      <c r="A387" s="13">
        <v>2025</v>
      </c>
      <c r="B387" s="13">
        <v>2</v>
      </c>
      <c r="C387" s="13">
        <v>380.87924094180499</v>
      </c>
    </row>
    <row r="388" spans="1:3" x14ac:dyDescent="0.25">
      <c r="A388" s="13">
        <v>2025</v>
      </c>
      <c r="B388" s="13">
        <v>3</v>
      </c>
      <c r="C388" s="13">
        <v>334.91546578239002</v>
      </c>
    </row>
    <row r="389" spans="1:3" x14ac:dyDescent="0.25">
      <c r="A389" s="13">
        <v>2025</v>
      </c>
      <c r="B389" s="13">
        <v>4</v>
      </c>
      <c r="C389" s="13">
        <v>327.44656065622598</v>
      </c>
    </row>
    <row r="390" spans="1:3" x14ac:dyDescent="0.25">
      <c r="A390" s="13">
        <v>2025</v>
      </c>
      <c r="B390" s="13">
        <v>5</v>
      </c>
      <c r="C390" s="13">
        <v>342.20584297461602</v>
      </c>
    </row>
    <row r="391" spans="1:3" x14ac:dyDescent="0.25">
      <c r="A391" s="13">
        <v>2025</v>
      </c>
      <c r="B391" s="13">
        <v>6</v>
      </c>
      <c r="C391" s="13">
        <v>329.729870941716</v>
      </c>
    </row>
    <row r="392" spans="1:3" x14ac:dyDescent="0.25">
      <c r="A392" s="13">
        <v>2025</v>
      </c>
      <c r="B392" s="13">
        <v>7</v>
      </c>
      <c r="C392" s="13">
        <v>318.45393241295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DC79-2875-4877-BD97-82337AF064DD}">
  <dimension ref="A1:C391"/>
  <sheetViews>
    <sheetView workbookViewId="0">
      <selection activeCell="C2" sqref="C2:C391"/>
    </sheetView>
  </sheetViews>
  <sheetFormatPr baseColWidth="10" defaultRowHeight="15" x14ac:dyDescent="0.25"/>
  <sheetData>
    <row r="1" spans="1:3" x14ac:dyDescent="0.25">
      <c r="A1" s="9" t="s">
        <v>34</v>
      </c>
      <c r="B1" s="9" t="s">
        <v>35</v>
      </c>
      <c r="C1" s="9" t="s">
        <v>36</v>
      </c>
    </row>
    <row r="2" spans="1:3" x14ac:dyDescent="0.25">
      <c r="A2" s="10">
        <v>1993</v>
      </c>
      <c r="B2" s="10">
        <v>1</v>
      </c>
      <c r="C2" s="10">
        <v>243.53929516296901</v>
      </c>
    </row>
    <row r="3" spans="1:3" x14ac:dyDescent="0.25">
      <c r="A3" s="10">
        <v>1993</v>
      </c>
      <c r="B3" s="10">
        <v>2</v>
      </c>
      <c r="C3" s="10">
        <v>233.88574586987801</v>
      </c>
    </row>
    <row r="4" spans="1:3" x14ac:dyDescent="0.25">
      <c r="A4" s="10">
        <v>1993</v>
      </c>
      <c r="B4" s="10">
        <v>3</v>
      </c>
      <c r="C4" s="10">
        <v>228.20782688285399</v>
      </c>
    </row>
    <row r="5" spans="1:3" x14ac:dyDescent="0.25">
      <c r="A5" s="10">
        <v>1993</v>
      </c>
      <c r="B5" s="10">
        <v>4</v>
      </c>
      <c r="C5" s="10">
        <v>244.95389188972999</v>
      </c>
    </row>
    <row r="6" spans="1:3" x14ac:dyDescent="0.25">
      <c r="A6" s="10">
        <v>1993</v>
      </c>
      <c r="B6" s="10">
        <v>5</v>
      </c>
      <c r="C6" s="10">
        <v>248.48312304171901</v>
      </c>
    </row>
    <row r="7" spans="1:3" x14ac:dyDescent="0.25">
      <c r="A7" s="10">
        <v>1993</v>
      </c>
      <c r="B7" s="10">
        <v>6</v>
      </c>
      <c r="C7" s="10">
        <v>250.98906418830899</v>
      </c>
    </row>
    <row r="8" spans="1:3" x14ac:dyDescent="0.25">
      <c r="A8" s="10">
        <v>1993</v>
      </c>
      <c r="B8" s="10">
        <v>7</v>
      </c>
      <c r="C8" s="10">
        <v>238.946489278131</v>
      </c>
    </row>
    <row r="9" spans="1:3" x14ac:dyDescent="0.25">
      <c r="A9" s="10">
        <v>1993</v>
      </c>
      <c r="B9" s="10">
        <v>8</v>
      </c>
      <c r="C9" s="10">
        <v>245.64518284361299</v>
      </c>
    </row>
    <row r="10" spans="1:3" x14ac:dyDescent="0.25">
      <c r="A10" s="10">
        <v>1993</v>
      </c>
      <c r="B10" s="10">
        <v>9</v>
      </c>
      <c r="C10" s="10">
        <v>254.68638738340599</v>
      </c>
    </row>
    <row r="11" spans="1:3" x14ac:dyDescent="0.25">
      <c r="A11" s="10">
        <v>1993</v>
      </c>
      <c r="B11" s="10">
        <v>10</v>
      </c>
      <c r="C11" s="10">
        <v>237.68314646247001</v>
      </c>
    </row>
    <row r="12" spans="1:3" x14ac:dyDescent="0.25">
      <c r="A12" s="10">
        <v>1993</v>
      </c>
      <c r="B12" s="10">
        <v>11</v>
      </c>
      <c r="C12" s="10">
        <v>233.326192346851</v>
      </c>
    </row>
    <row r="13" spans="1:3" x14ac:dyDescent="0.25">
      <c r="A13" s="10">
        <v>1993</v>
      </c>
      <c r="B13" s="10">
        <v>12</v>
      </c>
      <c r="C13" s="10">
        <v>232.28098089228899</v>
      </c>
    </row>
    <row r="14" spans="1:3" x14ac:dyDescent="0.25">
      <c r="A14" s="10">
        <v>1994</v>
      </c>
      <c r="B14" s="10">
        <v>1</v>
      </c>
      <c r="C14" s="10">
        <v>260.16815948741402</v>
      </c>
    </row>
    <row r="15" spans="1:3" x14ac:dyDescent="0.25">
      <c r="A15" s="10">
        <v>1994</v>
      </c>
      <c r="B15" s="10">
        <v>2</v>
      </c>
      <c r="C15" s="10">
        <v>250.23766683623001</v>
      </c>
    </row>
    <row r="16" spans="1:3" x14ac:dyDescent="0.25">
      <c r="A16" s="10">
        <v>1994</v>
      </c>
      <c r="B16" s="10">
        <v>3</v>
      </c>
      <c r="C16" s="10">
        <v>267.700757215159</v>
      </c>
    </row>
    <row r="17" spans="1:3" x14ac:dyDescent="0.25">
      <c r="A17" s="10">
        <v>1994</v>
      </c>
      <c r="B17" s="10">
        <v>4</v>
      </c>
      <c r="C17" s="10">
        <v>285.76853021276702</v>
      </c>
    </row>
    <row r="18" spans="1:3" x14ac:dyDescent="0.25">
      <c r="A18" s="10">
        <v>1994</v>
      </c>
      <c r="B18" s="10">
        <v>5</v>
      </c>
      <c r="C18" s="10">
        <v>264.83666625448001</v>
      </c>
    </row>
    <row r="19" spans="1:3" x14ac:dyDescent="0.25">
      <c r="A19" s="10">
        <v>1994</v>
      </c>
      <c r="B19" s="10">
        <v>6</v>
      </c>
      <c r="C19" s="10">
        <v>262.51392905679899</v>
      </c>
    </row>
    <row r="20" spans="1:3" x14ac:dyDescent="0.25">
      <c r="A20" s="10">
        <v>1994</v>
      </c>
      <c r="B20" s="10">
        <v>7</v>
      </c>
      <c r="C20" s="10">
        <v>269.45847733998397</v>
      </c>
    </row>
    <row r="21" spans="1:3" x14ac:dyDescent="0.25">
      <c r="A21" s="10">
        <v>1994</v>
      </c>
      <c r="B21" s="10">
        <v>8</v>
      </c>
      <c r="C21" s="10">
        <v>291.959054280884</v>
      </c>
    </row>
    <row r="22" spans="1:3" x14ac:dyDescent="0.25">
      <c r="A22" s="10">
        <v>1994</v>
      </c>
      <c r="B22" s="10">
        <v>9</v>
      </c>
      <c r="C22" s="10">
        <v>288.363352487371</v>
      </c>
    </row>
    <row r="23" spans="1:3" x14ac:dyDescent="0.25">
      <c r="A23" s="10">
        <v>1994</v>
      </c>
      <c r="B23" s="10">
        <v>10</v>
      </c>
      <c r="C23" s="10">
        <v>297.43122679984202</v>
      </c>
    </row>
    <row r="24" spans="1:3" x14ac:dyDescent="0.25">
      <c r="A24" s="10">
        <v>1994</v>
      </c>
      <c r="B24" s="10">
        <v>11</v>
      </c>
      <c r="C24" s="10">
        <v>272.01598593344198</v>
      </c>
    </row>
    <row r="25" spans="1:3" x14ac:dyDescent="0.25">
      <c r="A25" s="10">
        <v>1994</v>
      </c>
      <c r="B25" s="10">
        <v>12</v>
      </c>
      <c r="C25" s="10">
        <v>301.50787436749101</v>
      </c>
    </row>
    <row r="26" spans="1:3" x14ac:dyDescent="0.25">
      <c r="A26" s="10">
        <v>1995</v>
      </c>
      <c r="B26" s="10">
        <v>1</v>
      </c>
      <c r="C26" s="10">
        <v>296.27771645257002</v>
      </c>
    </row>
    <row r="27" spans="1:3" x14ac:dyDescent="0.25">
      <c r="A27" s="10">
        <v>1995</v>
      </c>
      <c r="B27" s="10">
        <v>2</v>
      </c>
      <c r="C27" s="10">
        <v>293.33957113484098</v>
      </c>
    </row>
    <row r="28" spans="1:3" x14ac:dyDescent="0.25">
      <c r="A28" s="10">
        <v>1995</v>
      </c>
      <c r="B28" s="10">
        <v>3</v>
      </c>
      <c r="C28" s="10">
        <v>296.73433879298301</v>
      </c>
    </row>
    <row r="29" spans="1:3" x14ac:dyDescent="0.25">
      <c r="A29" s="10">
        <v>1995</v>
      </c>
      <c r="B29" s="10">
        <v>4</v>
      </c>
      <c r="C29" s="10">
        <v>287.71911133215798</v>
      </c>
    </row>
    <row r="30" spans="1:3" x14ac:dyDescent="0.25">
      <c r="A30" s="10">
        <v>1995</v>
      </c>
      <c r="B30" s="10">
        <v>5</v>
      </c>
      <c r="C30" s="10">
        <v>294.43171498921799</v>
      </c>
    </row>
    <row r="31" spans="1:3" x14ac:dyDescent="0.25">
      <c r="A31" s="10">
        <v>1995</v>
      </c>
      <c r="B31" s="10">
        <v>6</v>
      </c>
      <c r="C31" s="10">
        <v>294.45459835910498</v>
      </c>
    </row>
    <row r="32" spans="1:3" x14ac:dyDescent="0.25">
      <c r="A32" s="10">
        <v>1995</v>
      </c>
      <c r="B32" s="10">
        <v>7</v>
      </c>
      <c r="C32" s="10">
        <v>306.691735088207</v>
      </c>
    </row>
    <row r="33" spans="1:3" x14ac:dyDescent="0.25">
      <c r="A33" s="10">
        <v>1995</v>
      </c>
      <c r="B33" s="10">
        <v>8</v>
      </c>
      <c r="C33" s="10">
        <v>297.38292609522</v>
      </c>
    </row>
    <row r="34" spans="1:3" x14ac:dyDescent="0.25">
      <c r="A34" s="10">
        <v>1995</v>
      </c>
      <c r="B34" s="10">
        <v>9</v>
      </c>
      <c r="C34" s="10">
        <v>297.44147411842999</v>
      </c>
    </row>
    <row r="35" spans="1:3" x14ac:dyDescent="0.25">
      <c r="A35" s="10">
        <v>1995</v>
      </c>
      <c r="B35" s="10">
        <v>10</v>
      </c>
      <c r="C35" s="10">
        <v>303.73071198871003</v>
      </c>
    </row>
    <row r="36" spans="1:3" x14ac:dyDescent="0.25">
      <c r="A36" s="10">
        <v>1995</v>
      </c>
      <c r="B36" s="10">
        <v>11</v>
      </c>
      <c r="C36" s="10">
        <v>315.64224718604902</v>
      </c>
    </row>
    <row r="37" spans="1:3" x14ac:dyDescent="0.25">
      <c r="A37" s="10">
        <v>1995</v>
      </c>
      <c r="B37" s="10">
        <v>12</v>
      </c>
      <c r="C37" s="10">
        <v>289.947693833941</v>
      </c>
    </row>
    <row r="38" spans="1:3" x14ac:dyDescent="0.25">
      <c r="A38" s="10">
        <v>1996</v>
      </c>
      <c r="B38" s="10">
        <v>1</v>
      </c>
      <c r="C38" s="10">
        <v>309.37142755146198</v>
      </c>
    </row>
    <row r="39" spans="1:3" x14ac:dyDescent="0.25">
      <c r="A39" s="10">
        <v>1996</v>
      </c>
      <c r="B39" s="10">
        <v>2</v>
      </c>
      <c r="C39" s="10">
        <v>332.53499351741101</v>
      </c>
    </row>
    <row r="40" spans="1:3" x14ac:dyDescent="0.25">
      <c r="A40" s="10">
        <v>1996</v>
      </c>
      <c r="B40" s="10">
        <v>3</v>
      </c>
      <c r="C40" s="10">
        <v>353.30482013584799</v>
      </c>
    </row>
    <row r="41" spans="1:3" x14ac:dyDescent="0.25">
      <c r="A41" s="10">
        <v>1996</v>
      </c>
      <c r="B41" s="10">
        <v>4</v>
      </c>
      <c r="C41" s="10">
        <v>330.85623547290197</v>
      </c>
    </row>
    <row r="42" spans="1:3" x14ac:dyDescent="0.25">
      <c r="A42" s="10">
        <v>1996</v>
      </c>
      <c r="B42" s="10">
        <v>5</v>
      </c>
      <c r="C42" s="10">
        <v>335.42450140494901</v>
      </c>
    </row>
    <row r="43" spans="1:3" x14ac:dyDescent="0.25">
      <c r="A43" s="10">
        <v>1996</v>
      </c>
      <c r="B43" s="10">
        <v>6</v>
      </c>
      <c r="C43" s="10">
        <v>343.75832005415901</v>
      </c>
    </row>
    <row r="44" spans="1:3" x14ac:dyDescent="0.25">
      <c r="A44" s="10">
        <v>1996</v>
      </c>
      <c r="B44" s="10">
        <v>7</v>
      </c>
      <c r="C44" s="10">
        <v>334.63263177645302</v>
      </c>
    </row>
    <row r="45" spans="1:3" x14ac:dyDescent="0.25">
      <c r="A45" s="10">
        <v>1996</v>
      </c>
      <c r="B45" s="10">
        <v>8</v>
      </c>
      <c r="C45" s="10">
        <v>333.591624151367</v>
      </c>
    </row>
    <row r="46" spans="1:3" x14ac:dyDescent="0.25">
      <c r="A46" s="10">
        <v>1996</v>
      </c>
      <c r="B46" s="10">
        <v>9</v>
      </c>
      <c r="C46" s="10">
        <v>333.70313135965199</v>
      </c>
    </row>
    <row r="47" spans="1:3" x14ac:dyDescent="0.25">
      <c r="A47" s="10">
        <v>1996</v>
      </c>
      <c r="B47" s="10">
        <v>10</v>
      </c>
      <c r="C47" s="10">
        <v>344.14034513523899</v>
      </c>
    </row>
    <row r="48" spans="1:3" x14ac:dyDescent="0.25">
      <c r="A48" s="10">
        <v>1996</v>
      </c>
      <c r="B48" s="10">
        <v>11</v>
      </c>
      <c r="C48" s="10">
        <v>348.501513358816</v>
      </c>
    </row>
    <row r="49" spans="1:3" x14ac:dyDescent="0.25">
      <c r="A49" s="10">
        <v>1996</v>
      </c>
      <c r="B49" s="10">
        <v>12</v>
      </c>
      <c r="C49" s="10">
        <v>347.32968689211498</v>
      </c>
    </row>
    <row r="50" spans="1:3" x14ac:dyDescent="0.25">
      <c r="A50" s="10">
        <v>1997</v>
      </c>
      <c r="B50" s="10">
        <v>1</v>
      </c>
      <c r="C50" s="10">
        <v>314.611004413339</v>
      </c>
    </row>
    <row r="51" spans="1:3" x14ac:dyDescent="0.25">
      <c r="A51" s="10">
        <v>1997</v>
      </c>
      <c r="B51" s="10">
        <v>2</v>
      </c>
      <c r="C51" s="10">
        <v>337.96226977530898</v>
      </c>
    </row>
    <row r="52" spans="1:3" x14ac:dyDescent="0.25">
      <c r="A52" s="10">
        <v>1997</v>
      </c>
      <c r="B52" s="10">
        <v>3</v>
      </c>
      <c r="C52" s="10">
        <v>349.695173670337</v>
      </c>
    </row>
    <row r="53" spans="1:3" x14ac:dyDescent="0.25">
      <c r="A53" s="10">
        <v>1997</v>
      </c>
      <c r="B53" s="10">
        <v>4</v>
      </c>
      <c r="C53" s="10">
        <v>360.23410293530901</v>
      </c>
    </row>
    <row r="54" spans="1:3" x14ac:dyDescent="0.25">
      <c r="A54" s="10">
        <v>1997</v>
      </c>
      <c r="B54" s="10">
        <v>5</v>
      </c>
      <c r="C54" s="10">
        <v>343.35090300692599</v>
      </c>
    </row>
    <row r="55" spans="1:3" x14ac:dyDescent="0.25">
      <c r="A55" s="10">
        <v>1997</v>
      </c>
      <c r="B55" s="10">
        <v>6</v>
      </c>
      <c r="C55" s="10">
        <v>353.04860823396098</v>
      </c>
    </row>
    <row r="56" spans="1:3" x14ac:dyDescent="0.25">
      <c r="A56" s="10">
        <v>1997</v>
      </c>
      <c r="B56" s="10">
        <v>7</v>
      </c>
      <c r="C56" s="10">
        <v>361.43235064007399</v>
      </c>
    </row>
    <row r="57" spans="1:3" x14ac:dyDescent="0.25">
      <c r="A57" s="10">
        <v>1997</v>
      </c>
      <c r="B57" s="10">
        <v>8</v>
      </c>
      <c r="C57" s="10">
        <v>338.30532490891699</v>
      </c>
    </row>
    <row r="58" spans="1:3" x14ac:dyDescent="0.25">
      <c r="A58" s="10">
        <v>1997</v>
      </c>
      <c r="B58" s="10">
        <v>9</v>
      </c>
      <c r="C58" s="10">
        <v>352.89731682324998</v>
      </c>
    </row>
    <row r="59" spans="1:3" x14ac:dyDescent="0.25">
      <c r="A59" s="10">
        <v>1997</v>
      </c>
      <c r="B59" s="10">
        <v>10</v>
      </c>
      <c r="C59" s="10">
        <v>356.30789542563599</v>
      </c>
    </row>
    <row r="60" spans="1:3" x14ac:dyDescent="0.25">
      <c r="A60" s="10">
        <v>1997</v>
      </c>
      <c r="B60" s="10">
        <v>11</v>
      </c>
      <c r="C60" s="10">
        <v>348.70673394052199</v>
      </c>
    </row>
    <row r="61" spans="1:3" x14ac:dyDescent="0.25">
      <c r="A61" s="10">
        <v>1997</v>
      </c>
      <c r="B61" s="10">
        <v>12</v>
      </c>
      <c r="C61" s="10">
        <v>358.19915063317097</v>
      </c>
    </row>
    <row r="62" spans="1:3" x14ac:dyDescent="0.25">
      <c r="A62" s="10">
        <v>1998</v>
      </c>
      <c r="B62" s="10">
        <v>1</v>
      </c>
      <c r="C62" s="10">
        <v>374.67244196444398</v>
      </c>
    </row>
    <row r="63" spans="1:3" x14ac:dyDescent="0.25">
      <c r="A63" s="10">
        <v>1998</v>
      </c>
      <c r="B63" s="10">
        <v>2</v>
      </c>
      <c r="C63" s="10">
        <v>387.61361021532502</v>
      </c>
    </row>
    <row r="64" spans="1:3" x14ac:dyDescent="0.25">
      <c r="A64" s="10">
        <v>1998</v>
      </c>
      <c r="B64" s="10">
        <v>3</v>
      </c>
      <c r="C64" s="10">
        <v>329.827641218765</v>
      </c>
    </row>
    <row r="65" spans="1:3" x14ac:dyDescent="0.25">
      <c r="A65" s="10">
        <v>1998</v>
      </c>
      <c r="B65" s="10">
        <v>4</v>
      </c>
      <c r="C65" s="10">
        <v>362.32799485634598</v>
      </c>
    </row>
    <row r="66" spans="1:3" x14ac:dyDescent="0.25">
      <c r="A66" s="10">
        <v>1998</v>
      </c>
      <c r="B66" s="10">
        <v>5</v>
      </c>
      <c r="C66" s="10">
        <v>376.74440913216802</v>
      </c>
    </row>
    <row r="67" spans="1:3" x14ac:dyDescent="0.25">
      <c r="A67" s="10">
        <v>1998</v>
      </c>
      <c r="B67" s="10">
        <v>6</v>
      </c>
      <c r="C67" s="10">
        <v>369.80415264830202</v>
      </c>
    </row>
    <row r="68" spans="1:3" x14ac:dyDescent="0.25">
      <c r="A68" s="10">
        <v>1998</v>
      </c>
      <c r="B68" s="10">
        <v>7</v>
      </c>
      <c r="C68" s="10">
        <v>338.33852159266797</v>
      </c>
    </row>
    <row r="69" spans="1:3" x14ac:dyDescent="0.25">
      <c r="A69" s="10">
        <v>1998</v>
      </c>
      <c r="B69" s="10">
        <v>8</v>
      </c>
      <c r="C69" s="10">
        <v>366.17787027015902</v>
      </c>
    </row>
    <row r="70" spans="1:3" x14ac:dyDescent="0.25">
      <c r="A70" s="10">
        <v>1998</v>
      </c>
      <c r="B70" s="10">
        <v>9</v>
      </c>
      <c r="C70" s="10">
        <v>341.73048572519298</v>
      </c>
    </row>
    <row r="71" spans="1:3" x14ac:dyDescent="0.25">
      <c r="A71" s="10">
        <v>1998</v>
      </c>
      <c r="B71" s="10">
        <v>10</v>
      </c>
      <c r="C71" s="10">
        <v>336.25316595705903</v>
      </c>
    </row>
    <row r="72" spans="1:3" x14ac:dyDescent="0.25">
      <c r="A72" s="10">
        <v>1998</v>
      </c>
      <c r="B72" s="10">
        <v>11</v>
      </c>
      <c r="C72" s="10">
        <v>329.23569291698499</v>
      </c>
    </row>
    <row r="73" spans="1:3" x14ac:dyDescent="0.25">
      <c r="A73" s="10">
        <v>1998</v>
      </c>
      <c r="B73" s="10">
        <v>12</v>
      </c>
      <c r="C73" s="10">
        <v>310.74671693609599</v>
      </c>
    </row>
    <row r="74" spans="1:3" x14ac:dyDescent="0.25">
      <c r="A74" s="10">
        <v>1999</v>
      </c>
      <c r="B74" s="10">
        <v>1</v>
      </c>
      <c r="C74" s="10">
        <v>303.08245477171101</v>
      </c>
    </row>
    <row r="75" spans="1:3" x14ac:dyDescent="0.25">
      <c r="A75" s="10">
        <v>1999</v>
      </c>
      <c r="B75" s="10">
        <v>2</v>
      </c>
      <c r="C75" s="10">
        <v>293.66234820003399</v>
      </c>
    </row>
    <row r="76" spans="1:3" x14ac:dyDescent="0.25">
      <c r="A76" s="10">
        <v>1999</v>
      </c>
      <c r="B76" s="10">
        <v>3</v>
      </c>
      <c r="C76" s="10">
        <v>278.13013302549501</v>
      </c>
    </row>
    <row r="77" spans="1:3" x14ac:dyDescent="0.25">
      <c r="A77" s="10">
        <v>1999</v>
      </c>
      <c r="B77" s="10">
        <v>4</v>
      </c>
      <c r="C77" s="10">
        <v>287.87835697837602</v>
      </c>
    </row>
    <row r="78" spans="1:3" x14ac:dyDescent="0.25">
      <c r="A78" s="10">
        <v>1999</v>
      </c>
      <c r="B78" s="10">
        <v>5</v>
      </c>
      <c r="C78" s="10">
        <v>302.30077111849897</v>
      </c>
    </row>
    <row r="79" spans="1:3" x14ac:dyDescent="0.25">
      <c r="A79" s="10">
        <v>1999</v>
      </c>
      <c r="B79" s="10">
        <v>6</v>
      </c>
      <c r="C79" s="10">
        <v>309.77149709230099</v>
      </c>
    </row>
    <row r="80" spans="1:3" x14ac:dyDescent="0.25">
      <c r="A80" s="10">
        <v>1999</v>
      </c>
      <c r="B80" s="10">
        <v>7</v>
      </c>
      <c r="C80" s="10">
        <v>330.83997679697001</v>
      </c>
    </row>
    <row r="81" spans="1:3" x14ac:dyDescent="0.25">
      <c r="A81" s="10">
        <v>1999</v>
      </c>
      <c r="B81" s="10">
        <v>8</v>
      </c>
      <c r="C81" s="10">
        <v>327.63252964932701</v>
      </c>
    </row>
    <row r="82" spans="1:3" x14ac:dyDescent="0.25">
      <c r="A82" s="10">
        <v>1999</v>
      </c>
      <c r="B82" s="10">
        <v>9</v>
      </c>
      <c r="C82" s="10">
        <v>335.04549847695199</v>
      </c>
    </row>
    <row r="83" spans="1:3" x14ac:dyDescent="0.25">
      <c r="A83" s="10">
        <v>1999</v>
      </c>
      <c r="B83" s="10">
        <v>10</v>
      </c>
      <c r="C83" s="10">
        <v>337.71599090867397</v>
      </c>
    </row>
    <row r="84" spans="1:3" x14ac:dyDescent="0.25">
      <c r="A84" s="10">
        <v>1999</v>
      </c>
      <c r="B84" s="10">
        <v>11</v>
      </c>
      <c r="C84" s="10">
        <v>350.95151600684102</v>
      </c>
    </row>
    <row r="85" spans="1:3" x14ac:dyDescent="0.25">
      <c r="A85" s="10">
        <v>1999</v>
      </c>
      <c r="B85" s="10">
        <v>12</v>
      </c>
      <c r="C85" s="10">
        <v>357.834957922618</v>
      </c>
    </row>
    <row r="86" spans="1:3" x14ac:dyDescent="0.25">
      <c r="A86" s="10">
        <v>2000</v>
      </c>
      <c r="B86" s="10">
        <v>1</v>
      </c>
      <c r="C86" s="10">
        <v>354.35179715922499</v>
      </c>
    </row>
    <row r="87" spans="1:3" x14ac:dyDescent="0.25">
      <c r="A87" s="10">
        <v>2000</v>
      </c>
      <c r="B87" s="10">
        <v>2</v>
      </c>
      <c r="C87" s="10">
        <v>341.27446853038401</v>
      </c>
    </row>
    <row r="88" spans="1:3" x14ac:dyDescent="0.25">
      <c r="A88" s="10">
        <v>2000</v>
      </c>
      <c r="B88" s="10">
        <v>3</v>
      </c>
      <c r="C88" s="10">
        <v>385.72393450713002</v>
      </c>
    </row>
    <row r="89" spans="1:3" x14ac:dyDescent="0.25">
      <c r="A89" s="10">
        <v>2000</v>
      </c>
      <c r="B89" s="10">
        <v>4</v>
      </c>
      <c r="C89" s="10">
        <v>367.84113522996</v>
      </c>
    </row>
    <row r="90" spans="1:3" x14ac:dyDescent="0.25">
      <c r="A90" s="10">
        <v>2000</v>
      </c>
      <c r="B90" s="10">
        <v>5</v>
      </c>
      <c r="C90" s="10">
        <v>336.309343663351</v>
      </c>
    </row>
    <row r="91" spans="1:3" x14ac:dyDescent="0.25">
      <c r="A91" s="10">
        <v>2000</v>
      </c>
      <c r="B91" s="10">
        <v>6</v>
      </c>
      <c r="C91" s="10">
        <v>338.88991113232998</v>
      </c>
    </row>
    <row r="92" spans="1:3" x14ac:dyDescent="0.25">
      <c r="A92" s="10">
        <v>2000</v>
      </c>
      <c r="B92" s="10">
        <v>7</v>
      </c>
      <c r="C92" s="10">
        <v>358.02382270583598</v>
      </c>
    </row>
    <row r="93" spans="1:3" x14ac:dyDescent="0.25">
      <c r="A93" s="10">
        <v>2000</v>
      </c>
      <c r="B93" s="10">
        <v>8</v>
      </c>
      <c r="C93" s="10">
        <v>375.445015267168</v>
      </c>
    </row>
    <row r="94" spans="1:3" x14ac:dyDescent="0.25">
      <c r="A94" s="10">
        <v>2000</v>
      </c>
      <c r="B94" s="10">
        <v>9</v>
      </c>
      <c r="C94" s="10">
        <v>394.92655187973799</v>
      </c>
    </row>
    <row r="95" spans="1:3" x14ac:dyDescent="0.25">
      <c r="A95" s="10">
        <v>2000</v>
      </c>
      <c r="B95" s="10">
        <v>10</v>
      </c>
      <c r="C95" s="10">
        <v>391.34803139557698</v>
      </c>
    </row>
    <row r="96" spans="1:3" x14ac:dyDescent="0.25">
      <c r="A96" s="10">
        <v>2000</v>
      </c>
      <c r="B96" s="10">
        <v>11</v>
      </c>
      <c r="C96" s="10">
        <v>401.17037897511398</v>
      </c>
    </row>
    <row r="97" spans="1:3" x14ac:dyDescent="0.25">
      <c r="A97" s="10">
        <v>2000</v>
      </c>
      <c r="B97" s="10">
        <v>12</v>
      </c>
      <c r="C97" s="10">
        <v>412.68451926215698</v>
      </c>
    </row>
    <row r="98" spans="1:3" x14ac:dyDescent="0.25">
      <c r="A98" s="10">
        <v>2001</v>
      </c>
      <c r="B98" s="10">
        <v>1</v>
      </c>
      <c r="C98" s="10">
        <v>381.85535891267699</v>
      </c>
    </row>
    <row r="99" spans="1:3" x14ac:dyDescent="0.25">
      <c r="A99" s="10">
        <v>2001</v>
      </c>
      <c r="B99" s="10">
        <v>2</v>
      </c>
      <c r="C99" s="10">
        <v>362.90684861877997</v>
      </c>
    </row>
    <row r="100" spans="1:3" x14ac:dyDescent="0.25">
      <c r="A100" s="10">
        <v>2001</v>
      </c>
      <c r="B100" s="10">
        <v>3</v>
      </c>
      <c r="C100" s="10">
        <v>381.05845691502401</v>
      </c>
    </row>
    <row r="101" spans="1:3" x14ac:dyDescent="0.25">
      <c r="A101" s="10">
        <v>2001</v>
      </c>
      <c r="B101" s="10">
        <v>4</v>
      </c>
      <c r="C101" s="10">
        <v>374.75693129635198</v>
      </c>
    </row>
    <row r="102" spans="1:3" x14ac:dyDescent="0.25">
      <c r="A102" s="10">
        <v>2001</v>
      </c>
      <c r="B102" s="10">
        <v>5</v>
      </c>
      <c r="C102" s="10">
        <v>377.21621387729499</v>
      </c>
    </row>
    <row r="103" spans="1:3" x14ac:dyDescent="0.25">
      <c r="A103" s="10">
        <v>2001</v>
      </c>
      <c r="B103" s="10">
        <v>6</v>
      </c>
      <c r="C103" s="10">
        <v>376.84836542240498</v>
      </c>
    </row>
    <row r="104" spans="1:3" x14ac:dyDescent="0.25">
      <c r="A104" s="10">
        <v>2001</v>
      </c>
      <c r="B104" s="10">
        <v>7</v>
      </c>
      <c r="C104" s="10">
        <v>348.98709119201499</v>
      </c>
    </row>
    <row r="105" spans="1:3" x14ac:dyDescent="0.25">
      <c r="A105" s="10">
        <v>2001</v>
      </c>
      <c r="B105" s="10">
        <v>8</v>
      </c>
      <c r="C105" s="10">
        <v>255.24738288549699</v>
      </c>
    </row>
    <row r="106" spans="1:3" x14ac:dyDescent="0.25">
      <c r="A106" s="10">
        <v>2001</v>
      </c>
      <c r="B106" s="10">
        <v>9</v>
      </c>
      <c r="C106" s="10">
        <v>339.58618204687002</v>
      </c>
    </row>
    <row r="107" spans="1:3" x14ac:dyDescent="0.25">
      <c r="A107" s="10">
        <v>2001</v>
      </c>
      <c r="B107" s="10">
        <v>10</v>
      </c>
      <c r="C107" s="10">
        <v>313.78447757597399</v>
      </c>
    </row>
    <row r="108" spans="1:3" x14ac:dyDescent="0.25">
      <c r="A108" s="10">
        <v>2001</v>
      </c>
      <c r="B108" s="10">
        <v>11</v>
      </c>
      <c r="C108" s="10">
        <v>308.75139699101697</v>
      </c>
    </row>
    <row r="109" spans="1:3" x14ac:dyDescent="0.25">
      <c r="A109" s="10">
        <v>2001</v>
      </c>
      <c r="B109" s="10">
        <v>12</v>
      </c>
      <c r="C109" s="10">
        <v>299.839463546172</v>
      </c>
    </row>
    <row r="110" spans="1:3" x14ac:dyDescent="0.25">
      <c r="A110" s="10">
        <v>2002</v>
      </c>
      <c r="B110" s="10">
        <v>1</v>
      </c>
      <c r="C110" s="10">
        <v>309.27828753687601</v>
      </c>
    </row>
    <row r="111" spans="1:3" x14ac:dyDescent="0.25">
      <c r="A111" s="10">
        <v>2002</v>
      </c>
      <c r="B111" s="10">
        <v>2</v>
      </c>
      <c r="C111" s="10">
        <v>347.42713018456197</v>
      </c>
    </row>
    <row r="112" spans="1:3" x14ac:dyDescent="0.25">
      <c r="A112" s="10">
        <v>2002</v>
      </c>
      <c r="B112" s="10">
        <v>3</v>
      </c>
      <c r="C112" s="10">
        <v>331.303122484543</v>
      </c>
    </row>
    <row r="113" spans="1:3" x14ac:dyDescent="0.25">
      <c r="A113" s="10">
        <v>2002</v>
      </c>
      <c r="B113" s="10">
        <v>4</v>
      </c>
      <c r="C113" s="10">
        <v>379.99419442114498</v>
      </c>
    </row>
    <row r="114" spans="1:3" x14ac:dyDescent="0.25">
      <c r="A114" s="10">
        <v>2002</v>
      </c>
      <c r="B114" s="10">
        <v>5</v>
      </c>
      <c r="C114" s="10">
        <v>368.09857699068198</v>
      </c>
    </row>
    <row r="115" spans="1:3" x14ac:dyDescent="0.25">
      <c r="A115" s="10">
        <v>2002</v>
      </c>
      <c r="B115" s="10">
        <v>6</v>
      </c>
      <c r="C115" s="10">
        <v>358.79182559921298</v>
      </c>
    </row>
    <row r="116" spans="1:3" x14ac:dyDescent="0.25">
      <c r="A116" s="10">
        <v>2002</v>
      </c>
      <c r="B116" s="10">
        <v>7</v>
      </c>
      <c r="C116" s="10">
        <v>368.826979539067</v>
      </c>
    </row>
    <row r="117" spans="1:3" x14ac:dyDescent="0.25">
      <c r="A117" s="10">
        <v>2002</v>
      </c>
      <c r="B117" s="10">
        <v>8</v>
      </c>
      <c r="C117" s="10">
        <v>375.21449498769402</v>
      </c>
    </row>
    <row r="118" spans="1:3" x14ac:dyDescent="0.25">
      <c r="A118" s="10">
        <v>2002</v>
      </c>
      <c r="B118" s="10">
        <v>9</v>
      </c>
      <c r="C118" s="10">
        <v>383.921017774316</v>
      </c>
    </row>
    <row r="119" spans="1:3" x14ac:dyDescent="0.25">
      <c r="A119" s="10">
        <v>2002</v>
      </c>
      <c r="B119" s="10">
        <v>10</v>
      </c>
      <c r="C119" s="10">
        <v>388.05675340051999</v>
      </c>
    </row>
    <row r="120" spans="1:3" x14ac:dyDescent="0.25">
      <c r="A120" s="10">
        <v>2002</v>
      </c>
      <c r="B120" s="10">
        <v>11</v>
      </c>
      <c r="C120" s="10">
        <v>370.321826790339</v>
      </c>
    </row>
    <row r="121" spans="1:3" x14ac:dyDescent="0.25">
      <c r="A121" s="10">
        <v>2002</v>
      </c>
      <c r="B121" s="10">
        <v>12</v>
      </c>
      <c r="C121" s="10">
        <v>392.09596213955001</v>
      </c>
    </row>
    <row r="122" spans="1:3" x14ac:dyDescent="0.25">
      <c r="A122" s="10">
        <v>2003</v>
      </c>
      <c r="B122" s="10">
        <v>1</v>
      </c>
      <c r="C122" s="10">
        <v>416.05868003811003</v>
      </c>
    </row>
    <row r="123" spans="1:3" x14ac:dyDescent="0.25">
      <c r="A123" s="10">
        <v>2003</v>
      </c>
      <c r="B123" s="10">
        <v>2</v>
      </c>
      <c r="C123" s="10">
        <v>421.379587195059</v>
      </c>
    </row>
    <row r="124" spans="1:3" x14ac:dyDescent="0.25">
      <c r="A124" s="10">
        <v>2003</v>
      </c>
      <c r="B124" s="10">
        <v>3</v>
      </c>
      <c r="C124" s="10">
        <v>434.84664610528603</v>
      </c>
    </row>
    <row r="125" spans="1:3" x14ac:dyDescent="0.25">
      <c r="A125" s="10">
        <v>2003</v>
      </c>
      <c r="B125" s="10">
        <v>4</v>
      </c>
      <c r="C125" s="10">
        <v>418.94233164850999</v>
      </c>
    </row>
    <row r="126" spans="1:3" x14ac:dyDescent="0.25">
      <c r="A126" s="10">
        <v>2003</v>
      </c>
      <c r="B126" s="10">
        <v>5</v>
      </c>
      <c r="C126" s="10">
        <v>418.70035043003901</v>
      </c>
    </row>
    <row r="127" spans="1:3" x14ac:dyDescent="0.25">
      <c r="A127" s="10">
        <v>2003</v>
      </c>
      <c r="B127" s="10">
        <v>6</v>
      </c>
      <c r="C127" s="10">
        <v>420.93560637578997</v>
      </c>
    </row>
    <row r="128" spans="1:3" x14ac:dyDescent="0.25">
      <c r="A128" s="10">
        <v>2003</v>
      </c>
      <c r="B128" s="10">
        <v>7</v>
      </c>
      <c r="C128" s="10">
        <v>414.24158455093902</v>
      </c>
    </row>
    <row r="129" spans="1:3" x14ac:dyDescent="0.25">
      <c r="A129" s="10">
        <v>2003</v>
      </c>
      <c r="B129" s="10">
        <v>8</v>
      </c>
      <c r="C129" s="10">
        <v>422.66803971780502</v>
      </c>
    </row>
    <row r="130" spans="1:3" x14ac:dyDescent="0.25">
      <c r="A130" s="10">
        <v>2003</v>
      </c>
      <c r="B130" s="10">
        <v>9</v>
      </c>
      <c r="C130" s="10">
        <v>411.63549979729498</v>
      </c>
    </row>
    <row r="131" spans="1:3" x14ac:dyDescent="0.25">
      <c r="A131" s="10">
        <v>2003</v>
      </c>
      <c r="B131" s="10">
        <v>10</v>
      </c>
      <c r="C131" s="10">
        <v>422.40154771927399</v>
      </c>
    </row>
    <row r="132" spans="1:3" x14ac:dyDescent="0.25">
      <c r="A132" s="10">
        <v>2003</v>
      </c>
      <c r="B132" s="10">
        <v>11</v>
      </c>
      <c r="C132" s="10">
        <v>416.60269531947802</v>
      </c>
    </row>
    <row r="133" spans="1:3" x14ac:dyDescent="0.25">
      <c r="A133" s="10">
        <v>2003</v>
      </c>
      <c r="B133" s="10">
        <v>12</v>
      </c>
      <c r="C133" s="10">
        <v>425.63366258241399</v>
      </c>
    </row>
    <row r="134" spans="1:3" x14ac:dyDescent="0.25">
      <c r="A134" s="10">
        <v>2004</v>
      </c>
      <c r="B134" s="10">
        <v>1</v>
      </c>
      <c r="C134" s="10">
        <v>439.07906576895198</v>
      </c>
    </row>
    <row r="135" spans="1:3" x14ac:dyDescent="0.25">
      <c r="A135" s="10">
        <v>2004</v>
      </c>
      <c r="B135" s="10">
        <v>2</v>
      </c>
      <c r="C135" s="10">
        <v>410.41577250369102</v>
      </c>
    </row>
    <row r="136" spans="1:3" x14ac:dyDescent="0.25">
      <c r="A136" s="10">
        <v>2004</v>
      </c>
      <c r="B136" s="10">
        <v>3</v>
      </c>
      <c r="C136" s="10">
        <v>403.68776531164599</v>
      </c>
    </row>
    <row r="137" spans="1:3" x14ac:dyDescent="0.25">
      <c r="A137" s="10">
        <v>2004</v>
      </c>
      <c r="B137" s="10">
        <v>4</v>
      </c>
      <c r="C137" s="10">
        <v>400.952736281395</v>
      </c>
    </row>
    <row r="138" spans="1:3" x14ac:dyDescent="0.25">
      <c r="A138" s="10">
        <v>2004</v>
      </c>
      <c r="B138" s="10">
        <v>5</v>
      </c>
      <c r="C138" s="10">
        <v>403.99032135209097</v>
      </c>
    </row>
    <row r="139" spans="1:3" x14ac:dyDescent="0.25">
      <c r="A139" s="10">
        <v>2004</v>
      </c>
      <c r="B139" s="10">
        <v>6</v>
      </c>
      <c r="C139" s="10">
        <v>410.03454224027797</v>
      </c>
    </row>
    <row r="140" spans="1:3" x14ac:dyDescent="0.25">
      <c r="A140" s="10">
        <v>2004</v>
      </c>
      <c r="B140" s="10">
        <v>7</v>
      </c>
      <c r="C140" s="10">
        <v>423.46553510344597</v>
      </c>
    </row>
    <row r="141" spans="1:3" x14ac:dyDescent="0.25">
      <c r="A141" s="10">
        <v>2004</v>
      </c>
      <c r="B141" s="10">
        <v>8</v>
      </c>
      <c r="C141" s="10">
        <v>414.63221235114599</v>
      </c>
    </row>
    <row r="142" spans="1:3" x14ac:dyDescent="0.25">
      <c r="A142" s="10">
        <v>2004</v>
      </c>
      <c r="B142" s="10">
        <v>9</v>
      </c>
      <c r="C142" s="10">
        <v>420.941506924782</v>
      </c>
    </row>
    <row r="143" spans="1:3" x14ac:dyDescent="0.25">
      <c r="A143" s="10">
        <v>2004</v>
      </c>
      <c r="B143" s="10">
        <v>10</v>
      </c>
      <c r="C143" s="10">
        <v>448.61318797498302</v>
      </c>
    </row>
    <row r="144" spans="1:3" x14ac:dyDescent="0.25">
      <c r="A144" s="10">
        <v>2004</v>
      </c>
      <c r="B144" s="10">
        <v>11</v>
      </c>
      <c r="C144" s="10">
        <v>465.408588114157</v>
      </c>
    </row>
    <row r="145" spans="1:3" x14ac:dyDescent="0.25">
      <c r="A145" s="10">
        <v>2004</v>
      </c>
      <c r="B145" s="10">
        <v>12</v>
      </c>
      <c r="C145" s="10">
        <v>465.96929409845501</v>
      </c>
    </row>
    <row r="146" spans="1:3" x14ac:dyDescent="0.25">
      <c r="A146" s="10">
        <v>2005</v>
      </c>
      <c r="B146" s="10">
        <v>1</v>
      </c>
      <c r="C146" s="10">
        <v>467.50658896610599</v>
      </c>
    </row>
    <row r="147" spans="1:3" x14ac:dyDescent="0.25">
      <c r="A147" s="10">
        <v>2005</v>
      </c>
      <c r="B147" s="10">
        <v>2</v>
      </c>
      <c r="C147" s="10">
        <v>452.67858446634699</v>
      </c>
    </row>
    <row r="148" spans="1:3" x14ac:dyDescent="0.25">
      <c r="A148" s="10">
        <v>2005</v>
      </c>
      <c r="B148" s="10">
        <v>3</v>
      </c>
      <c r="C148" s="10">
        <v>447.46308901608</v>
      </c>
    </row>
    <row r="149" spans="1:3" x14ac:dyDescent="0.25">
      <c r="A149" s="10">
        <v>2005</v>
      </c>
      <c r="B149" s="10">
        <v>4</v>
      </c>
      <c r="C149" s="10">
        <v>454.90387123700498</v>
      </c>
    </row>
    <row r="150" spans="1:3" x14ac:dyDescent="0.25">
      <c r="A150" s="10">
        <v>2005</v>
      </c>
      <c r="B150" s="10">
        <v>5</v>
      </c>
      <c r="C150" s="10">
        <v>465.34174327599999</v>
      </c>
    </row>
    <row r="151" spans="1:3" x14ac:dyDescent="0.25">
      <c r="A151" s="10">
        <v>2005</v>
      </c>
      <c r="B151" s="10">
        <v>6</v>
      </c>
      <c r="C151" s="10">
        <v>441.32510572614598</v>
      </c>
    </row>
    <row r="152" spans="1:3" x14ac:dyDescent="0.25">
      <c r="A152" s="10">
        <v>2005</v>
      </c>
      <c r="B152" s="10">
        <v>7</v>
      </c>
      <c r="C152" s="10">
        <v>440.66356402312402</v>
      </c>
    </row>
    <row r="153" spans="1:3" x14ac:dyDescent="0.25">
      <c r="A153" s="10">
        <v>2005</v>
      </c>
      <c r="B153" s="10">
        <v>8</v>
      </c>
      <c r="C153" s="10">
        <v>445.65987469993098</v>
      </c>
    </row>
    <row r="154" spans="1:3" x14ac:dyDescent="0.25">
      <c r="A154" s="10">
        <v>2005</v>
      </c>
      <c r="B154" s="10">
        <v>9</v>
      </c>
      <c r="C154" s="10">
        <v>410.52377581929102</v>
      </c>
    </row>
    <row r="155" spans="1:3" x14ac:dyDescent="0.25">
      <c r="A155" s="10">
        <v>2005</v>
      </c>
      <c r="B155" s="10">
        <v>10</v>
      </c>
      <c r="C155" s="10">
        <v>417.35888883921001</v>
      </c>
    </row>
    <row r="156" spans="1:3" x14ac:dyDescent="0.25">
      <c r="A156" s="10">
        <v>2005</v>
      </c>
      <c r="B156" s="10">
        <v>11</v>
      </c>
      <c r="C156" s="10">
        <v>465.15135213205502</v>
      </c>
    </row>
    <row r="157" spans="1:3" x14ac:dyDescent="0.25">
      <c r="A157" s="10">
        <v>2005</v>
      </c>
      <c r="B157" s="10">
        <v>12</v>
      </c>
      <c r="C157" s="10">
        <v>481.61149828416302</v>
      </c>
    </row>
    <row r="158" spans="1:3" x14ac:dyDescent="0.25">
      <c r="A158" s="10">
        <v>2006</v>
      </c>
      <c r="B158" s="10">
        <v>1</v>
      </c>
      <c r="C158" s="10">
        <v>475.69592932670702</v>
      </c>
    </row>
    <row r="159" spans="1:3" x14ac:dyDescent="0.25">
      <c r="A159" s="10">
        <v>2006</v>
      </c>
      <c r="B159" s="10">
        <v>2</v>
      </c>
      <c r="C159" s="10">
        <v>477.212663157723</v>
      </c>
    </row>
    <row r="160" spans="1:3" x14ac:dyDescent="0.25">
      <c r="A160" s="10">
        <v>2006</v>
      </c>
      <c r="B160" s="10">
        <v>3</v>
      </c>
      <c r="C160" s="10">
        <v>485.279482680336</v>
      </c>
    </row>
    <row r="161" spans="1:3" x14ac:dyDescent="0.25">
      <c r="A161" s="10">
        <v>2006</v>
      </c>
      <c r="B161" s="10">
        <v>4</v>
      </c>
      <c r="C161" s="10">
        <v>472.10695391677399</v>
      </c>
    </row>
    <row r="162" spans="1:3" x14ac:dyDescent="0.25">
      <c r="A162" s="10">
        <v>2006</v>
      </c>
      <c r="B162" s="10">
        <v>5</v>
      </c>
      <c r="C162" s="10">
        <v>482.16488984884597</v>
      </c>
    </row>
    <row r="163" spans="1:3" x14ac:dyDescent="0.25">
      <c r="A163" s="10">
        <v>2006</v>
      </c>
      <c r="B163" s="10">
        <v>6</v>
      </c>
      <c r="C163" s="10">
        <v>490.567987822622</v>
      </c>
    </row>
    <row r="164" spans="1:3" x14ac:dyDescent="0.25">
      <c r="A164" s="10">
        <v>2006</v>
      </c>
      <c r="B164" s="10">
        <v>7</v>
      </c>
      <c r="C164" s="10">
        <v>464.39265852819801</v>
      </c>
    </row>
    <row r="165" spans="1:3" x14ac:dyDescent="0.25">
      <c r="A165" s="10">
        <v>2006</v>
      </c>
      <c r="B165" s="10">
        <v>8</v>
      </c>
      <c r="C165" s="10">
        <v>445.871570572233</v>
      </c>
    </row>
    <row r="166" spans="1:3" x14ac:dyDescent="0.25">
      <c r="A166" s="10">
        <v>2006</v>
      </c>
      <c r="B166" s="10">
        <v>9</v>
      </c>
      <c r="C166" s="10">
        <v>478.23091978215803</v>
      </c>
    </row>
    <row r="167" spans="1:3" x14ac:dyDescent="0.25">
      <c r="A167" s="10">
        <v>2006</v>
      </c>
      <c r="B167" s="10">
        <v>10</v>
      </c>
      <c r="C167" s="10">
        <v>452.65408660670198</v>
      </c>
    </row>
    <row r="168" spans="1:3" x14ac:dyDescent="0.25">
      <c r="A168" s="10">
        <v>2006</v>
      </c>
      <c r="B168" s="10">
        <v>11</v>
      </c>
      <c r="C168" s="10">
        <v>405.843979069677</v>
      </c>
    </row>
    <row r="169" spans="1:3" x14ac:dyDescent="0.25">
      <c r="A169" s="10">
        <v>2006</v>
      </c>
      <c r="B169" s="10">
        <v>12</v>
      </c>
      <c r="C169" s="10">
        <v>405.32789360542102</v>
      </c>
    </row>
    <row r="170" spans="1:3" x14ac:dyDescent="0.25">
      <c r="A170" s="10">
        <v>2007</v>
      </c>
      <c r="B170" s="10">
        <v>1</v>
      </c>
      <c r="C170" s="10">
        <v>405.80734709029002</v>
      </c>
    </row>
    <row r="171" spans="1:3" x14ac:dyDescent="0.25">
      <c r="A171" s="10">
        <v>2007</v>
      </c>
      <c r="B171" s="10">
        <v>2</v>
      </c>
      <c r="C171" s="10">
        <v>446.98217037788902</v>
      </c>
    </row>
    <row r="172" spans="1:3" x14ac:dyDescent="0.25">
      <c r="A172" s="10">
        <v>2007</v>
      </c>
      <c r="B172" s="10">
        <v>3</v>
      </c>
      <c r="C172" s="10">
        <v>456.66094808876699</v>
      </c>
    </row>
    <row r="173" spans="1:3" x14ac:dyDescent="0.25">
      <c r="A173" s="10">
        <v>2007</v>
      </c>
      <c r="B173" s="10">
        <v>4</v>
      </c>
      <c r="C173" s="10">
        <v>466.94222226497698</v>
      </c>
    </row>
    <row r="174" spans="1:3" x14ac:dyDescent="0.25">
      <c r="A174" s="10">
        <v>2007</v>
      </c>
      <c r="B174" s="10">
        <v>5</v>
      </c>
      <c r="C174" s="10">
        <v>440.09345130518801</v>
      </c>
    </row>
    <row r="175" spans="1:3" x14ac:dyDescent="0.25">
      <c r="A175" s="10">
        <v>2007</v>
      </c>
      <c r="B175" s="10">
        <v>6</v>
      </c>
      <c r="C175" s="10">
        <v>446.47213093792197</v>
      </c>
    </row>
    <row r="176" spans="1:3" x14ac:dyDescent="0.25">
      <c r="A176" s="10">
        <v>2007</v>
      </c>
      <c r="B176" s="10">
        <v>7</v>
      </c>
      <c r="C176" s="10">
        <v>337.01654738269298</v>
      </c>
    </row>
    <row r="177" spans="1:3" x14ac:dyDescent="0.25">
      <c r="A177" s="10">
        <v>2007</v>
      </c>
      <c r="B177" s="10">
        <v>8</v>
      </c>
      <c r="C177" s="10">
        <v>462.10674848337698</v>
      </c>
    </row>
    <row r="178" spans="1:3" x14ac:dyDescent="0.25">
      <c r="A178" s="10">
        <v>2007</v>
      </c>
      <c r="B178" s="10">
        <v>9</v>
      </c>
      <c r="C178" s="10">
        <v>466.23145497378403</v>
      </c>
    </row>
    <row r="179" spans="1:3" x14ac:dyDescent="0.25">
      <c r="A179" s="10">
        <v>2007</v>
      </c>
      <c r="B179" s="10">
        <v>10</v>
      </c>
      <c r="C179" s="10">
        <v>463.91462494504401</v>
      </c>
    </row>
    <row r="180" spans="1:3" x14ac:dyDescent="0.25">
      <c r="A180" s="10">
        <v>2007</v>
      </c>
      <c r="B180" s="10">
        <v>11</v>
      </c>
      <c r="C180" s="10">
        <v>485.493121274955</v>
      </c>
    </row>
    <row r="181" spans="1:3" x14ac:dyDescent="0.25">
      <c r="A181" s="10">
        <v>2007</v>
      </c>
      <c r="B181" s="10">
        <v>12</v>
      </c>
      <c r="C181" s="10">
        <v>512.78756633585397</v>
      </c>
    </row>
    <row r="182" spans="1:3" x14ac:dyDescent="0.25">
      <c r="A182" s="10">
        <v>2008</v>
      </c>
      <c r="B182" s="10">
        <v>1</v>
      </c>
      <c r="C182" s="10">
        <v>492.60329143514099</v>
      </c>
    </row>
    <row r="183" spans="1:3" x14ac:dyDescent="0.25">
      <c r="A183" s="10">
        <v>2008</v>
      </c>
      <c r="B183" s="10">
        <v>2</v>
      </c>
      <c r="C183" s="10">
        <v>440.656421018819</v>
      </c>
    </row>
    <row r="184" spans="1:3" x14ac:dyDescent="0.25">
      <c r="A184" s="10">
        <v>2008</v>
      </c>
      <c r="B184" s="10">
        <v>3</v>
      </c>
      <c r="C184" s="10">
        <v>489.06442990446101</v>
      </c>
    </row>
    <row r="185" spans="1:3" x14ac:dyDescent="0.25">
      <c r="A185" s="10">
        <v>2008</v>
      </c>
      <c r="B185" s="10">
        <v>4</v>
      </c>
      <c r="C185" s="10">
        <v>495.979507203151</v>
      </c>
    </row>
    <row r="186" spans="1:3" x14ac:dyDescent="0.25">
      <c r="A186" s="10">
        <v>2008</v>
      </c>
      <c r="B186" s="10">
        <v>5</v>
      </c>
      <c r="C186" s="10">
        <v>497.58098104644802</v>
      </c>
    </row>
    <row r="187" spans="1:3" x14ac:dyDescent="0.25">
      <c r="A187" s="10">
        <v>2008</v>
      </c>
      <c r="B187" s="10">
        <v>6</v>
      </c>
      <c r="C187" s="10">
        <v>495.23090964383402</v>
      </c>
    </row>
    <row r="188" spans="1:3" x14ac:dyDescent="0.25">
      <c r="A188" s="10">
        <v>2008</v>
      </c>
      <c r="B188" s="10">
        <v>7</v>
      </c>
      <c r="C188" s="10">
        <v>508.56134594278899</v>
      </c>
    </row>
    <row r="189" spans="1:3" x14ac:dyDescent="0.25">
      <c r="A189" s="10">
        <v>2008</v>
      </c>
      <c r="B189" s="10">
        <v>8</v>
      </c>
      <c r="C189" s="10">
        <v>496.56638025189397</v>
      </c>
    </row>
    <row r="190" spans="1:3" x14ac:dyDescent="0.25">
      <c r="A190" s="10">
        <v>2008</v>
      </c>
      <c r="B190" s="10">
        <v>9</v>
      </c>
      <c r="C190" s="10">
        <v>474.51639190227399</v>
      </c>
    </row>
    <row r="191" spans="1:3" x14ac:dyDescent="0.25">
      <c r="A191" s="10">
        <v>2008</v>
      </c>
      <c r="B191" s="10">
        <v>10</v>
      </c>
      <c r="C191" s="10">
        <v>445.79422923353297</v>
      </c>
    </row>
    <row r="192" spans="1:3" x14ac:dyDescent="0.25">
      <c r="A192" s="10">
        <v>2008</v>
      </c>
      <c r="B192" s="10">
        <v>11</v>
      </c>
      <c r="C192" s="10">
        <v>383.13588129607803</v>
      </c>
    </row>
    <row r="193" spans="1:3" x14ac:dyDescent="0.25">
      <c r="A193" s="10">
        <v>2008</v>
      </c>
      <c r="B193" s="10">
        <v>12</v>
      </c>
      <c r="C193" s="10">
        <v>290.73279466522399</v>
      </c>
    </row>
    <row r="194" spans="1:3" x14ac:dyDescent="0.25">
      <c r="A194" s="10">
        <v>2009</v>
      </c>
      <c r="B194" s="10">
        <v>1</v>
      </c>
      <c r="C194" s="10">
        <v>362.49212889662601</v>
      </c>
    </row>
    <row r="195" spans="1:3" x14ac:dyDescent="0.25">
      <c r="A195" s="10">
        <v>2009</v>
      </c>
      <c r="B195" s="10">
        <v>2</v>
      </c>
      <c r="C195" s="10">
        <v>293.00667200301598</v>
      </c>
    </row>
    <row r="196" spans="1:3" x14ac:dyDescent="0.25">
      <c r="A196" s="10">
        <v>2009</v>
      </c>
      <c r="B196" s="10">
        <v>3</v>
      </c>
      <c r="C196" s="10">
        <v>239.900067166312</v>
      </c>
    </row>
    <row r="197" spans="1:3" x14ac:dyDescent="0.25">
      <c r="A197" s="10">
        <v>2009</v>
      </c>
      <c r="B197" s="10">
        <v>4</v>
      </c>
      <c r="C197" s="10">
        <v>274.39054636284601</v>
      </c>
    </row>
    <row r="198" spans="1:3" x14ac:dyDescent="0.25">
      <c r="A198" s="10">
        <v>2009</v>
      </c>
      <c r="B198" s="10">
        <v>5</v>
      </c>
      <c r="C198" s="10">
        <v>267.22991642365702</v>
      </c>
    </row>
    <row r="199" spans="1:3" x14ac:dyDescent="0.25">
      <c r="A199" s="10">
        <v>2009</v>
      </c>
      <c r="B199" s="10">
        <v>6</v>
      </c>
      <c r="C199" s="10">
        <v>314.43895776770302</v>
      </c>
    </row>
    <row r="200" spans="1:3" x14ac:dyDescent="0.25">
      <c r="A200" s="10">
        <v>2009</v>
      </c>
      <c r="B200" s="10">
        <v>7</v>
      </c>
      <c r="C200" s="10">
        <v>336.08547652575902</v>
      </c>
    </row>
    <row r="201" spans="1:3" x14ac:dyDescent="0.25">
      <c r="A201" s="10">
        <v>2009</v>
      </c>
      <c r="B201" s="10">
        <v>8</v>
      </c>
      <c r="C201" s="10">
        <v>341.17243841487698</v>
      </c>
    </row>
    <row r="202" spans="1:3" x14ac:dyDescent="0.25">
      <c r="A202" s="10">
        <v>2009</v>
      </c>
      <c r="B202" s="10">
        <v>9</v>
      </c>
      <c r="C202" s="10">
        <v>373.41912343484103</v>
      </c>
    </row>
    <row r="203" spans="1:3" x14ac:dyDescent="0.25">
      <c r="A203" s="10">
        <v>2009</v>
      </c>
      <c r="B203" s="10">
        <v>10</v>
      </c>
      <c r="C203" s="10">
        <v>393.68884382105898</v>
      </c>
    </row>
    <row r="204" spans="1:3" x14ac:dyDescent="0.25">
      <c r="A204" s="10">
        <v>2009</v>
      </c>
      <c r="B204" s="10">
        <v>11</v>
      </c>
      <c r="C204" s="10">
        <v>403.73701123131798</v>
      </c>
    </row>
    <row r="205" spans="1:3" x14ac:dyDescent="0.25">
      <c r="A205" s="10">
        <v>2009</v>
      </c>
      <c r="B205" s="10">
        <v>12</v>
      </c>
      <c r="C205" s="10">
        <v>416.97628163586802</v>
      </c>
    </row>
    <row r="206" spans="1:3" x14ac:dyDescent="0.25">
      <c r="A206" s="10">
        <v>2010</v>
      </c>
      <c r="B206" s="10">
        <v>1</v>
      </c>
      <c r="C206" s="10">
        <v>416.57558833139899</v>
      </c>
    </row>
    <row r="207" spans="1:3" x14ac:dyDescent="0.25">
      <c r="A207" s="10">
        <v>2010</v>
      </c>
      <c r="B207" s="10">
        <v>2</v>
      </c>
      <c r="C207" s="10">
        <v>423.34514620366701</v>
      </c>
    </row>
    <row r="208" spans="1:3" x14ac:dyDescent="0.25">
      <c r="A208" s="10">
        <v>2010</v>
      </c>
      <c r="B208" s="10">
        <v>3</v>
      </c>
      <c r="C208" s="10">
        <v>425.19204677631899</v>
      </c>
    </row>
    <row r="209" spans="1:3" x14ac:dyDescent="0.25">
      <c r="A209" s="10">
        <v>2010</v>
      </c>
      <c r="B209" s="10">
        <v>4</v>
      </c>
      <c r="C209" s="10">
        <v>422.80351700933301</v>
      </c>
    </row>
    <row r="210" spans="1:3" x14ac:dyDescent="0.25">
      <c r="A210" s="10">
        <v>2010</v>
      </c>
      <c r="B210" s="10">
        <v>5</v>
      </c>
      <c r="C210" s="10">
        <v>434.26554180104802</v>
      </c>
    </row>
    <row r="211" spans="1:3" x14ac:dyDescent="0.25">
      <c r="A211" s="10">
        <v>2010</v>
      </c>
      <c r="B211" s="10">
        <v>6</v>
      </c>
      <c r="C211" s="10">
        <v>424.94917516155198</v>
      </c>
    </row>
    <row r="212" spans="1:3" x14ac:dyDescent="0.25">
      <c r="A212" s="10">
        <v>2010</v>
      </c>
      <c r="B212" s="10">
        <v>7</v>
      </c>
      <c r="C212" s="10">
        <v>419.72848492530397</v>
      </c>
    </row>
    <row r="213" spans="1:3" x14ac:dyDescent="0.25">
      <c r="A213" s="10">
        <v>2010</v>
      </c>
      <c r="B213" s="10">
        <v>8</v>
      </c>
      <c r="C213" s="10">
        <v>443.13462473038601</v>
      </c>
    </row>
    <row r="214" spans="1:3" x14ac:dyDescent="0.25">
      <c r="A214" s="10">
        <v>2010</v>
      </c>
      <c r="B214" s="10">
        <v>9</v>
      </c>
      <c r="C214" s="10">
        <v>432.19838480769897</v>
      </c>
    </row>
    <row r="215" spans="1:3" x14ac:dyDescent="0.25">
      <c r="A215" s="10">
        <v>2010</v>
      </c>
      <c r="B215" s="10">
        <v>10</v>
      </c>
      <c r="C215" s="10">
        <v>430.62152785255103</v>
      </c>
    </row>
    <row r="216" spans="1:3" x14ac:dyDescent="0.25">
      <c r="A216" s="10">
        <v>2010</v>
      </c>
      <c r="B216" s="10">
        <v>11</v>
      </c>
      <c r="C216" s="10">
        <v>434.97872993534702</v>
      </c>
    </row>
    <row r="217" spans="1:3" x14ac:dyDescent="0.25">
      <c r="A217" s="10">
        <v>2010</v>
      </c>
      <c r="B217" s="10">
        <v>12</v>
      </c>
      <c r="C217" s="10">
        <v>434.382746013992</v>
      </c>
    </row>
    <row r="218" spans="1:3" x14ac:dyDescent="0.25">
      <c r="A218" s="10">
        <v>2011</v>
      </c>
      <c r="B218" s="10">
        <v>1</v>
      </c>
      <c r="C218" s="10">
        <v>437.892651402117</v>
      </c>
    </row>
    <row r="219" spans="1:3" x14ac:dyDescent="0.25">
      <c r="A219" s="10">
        <v>2011</v>
      </c>
      <c r="B219" s="10">
        <v>2</v>
      </c>
      <c r="C219" s="10">
        <v>492.07474835001898</v>
      </c>
    </row>
    <row r="220" spans="1:3" x14ac:dyDescent="0.25">
      <c r="A220" s="10">
        <v>2011</v>
      </c>
      <c r="B220" s="10">
        <v>3</v>
      </c>
      <c r="C220" s="10">
        <v>454.70619444091102</v>
      </c>
    </row>
    <row r="221" spans="1:3" x14ac:dyDescent="0.25">
      <c r="A221" s="10">
        <v>2011</v>
      </c>
      <c r="B221" s="10">
        <v>4</v>
      </c>
      <c r="C221" s="10">
        <v>467.49535495943502</v>
      </c>
    </row>
    <row r="222" spans="1:3" x14ac:dyDescent="0.25">
      <c r="A222" s="10">
        <v>2011</v>
      </c>
      <c r="B222" s="10">
        <v>5</v>
      </c>
      <c r="C222" s="10">
        <v>488.331769938337</v>
      </c>
    </row>
    <row r="223" spans="1:3" x14ac:dyDescent="0.25">
      <c r="A223" s="10">
        <v>2011</v>
      </c>
      <c r="B223" s="10">
        <v>6</v>
      </c>
      <c r="C223" s="10">
        <v>474.072918641223</v>
      </c>
    </row>
    <row r="224" spans="1:3" x14ac:dyDescent="0.25">
      <c r="A224" s="10">
        <v>2011</v>
      </c>
      <c r="B224" s="10">
        <v>7</v>
      </c>
      <c r="C224" s="10">
        <v>476.16956249128299</v>
      </c>
    </row>
    <row r="225" spans="1:3" x14ac:dyDescent="0.25">
      <c r="A225" s="10">
        <v>2011</v>
      </c>
      <c r="B225" s="10">
        <v>8</v>
      </c>
      <c r="C225" s="10">
        <v>460.644809832997</v>
      </c>
    </row>
    <row r="226" spans="1:3" x14ac:dyDescent="0.25">
      <c r="A226" s="10">
        <v>2011</v>
      </c>
      <c r="B226" s="10">
        <v>9</v>
      </c>
      <c r="C226" s="10">
        <v>453.64990744772803</v>
      </c>
    </row>
    <row r="227" spans="1:3" x14ac:dyDescent="0.25">
      <c r="A227" s="10">
        <v>2011</v>
      </c>
      <c r="B227" s="10">
        <v>10</v>
      </c>
      <c r="C227" s="10">
        <v>467.95858776978002</v>
      </c>
    </row>
    <row r="228" spans="1:3" x14ac:dyDescent="0.25">
      <c r="A228" s="10">
        <v>2011</v>
      </c>
      <c r="B228" s="10">
        <v>11</v>
      </c>
      <c r="C228" s="10">
        <v>468.42143887316701</v>
      </c>
    </row>
    <row r="229" spans="1:3" x14ac:dyDescent="0.25">
      <c r="A229" s="10">
        <v>2011</v>
      </c>
      <c r="B229" s="10">
        <v>12</v>
      </c>
      <c r="C229" s="10">
        <v>474.46024228157899</v>
      </c>
    </row>
    <row r="230" spans="1:3" x14ac:dyDescent="0.25">
      <c r="A230" s="10">
        <v>2012</v>
      </c>
      <c r="B230" s="10">
        <v>1</v>
      </c>
      <c r="C230" s="10">
        <v>469.909720220709</v>
      </c>
    </row>
    <row r="231" spans="1:3" x14ac:dyDescent="0.25">
      <c r="A231" s="10">
        <v>2012</v>
      </c>
      <c r="B231" s="10">
        <v>2</v>
      </c>
      <c r="C231" s="10">
        <v>475.08598542819999</v>
      </c>
    </row>
    <row r="232" spans="1:3" x14ac:dyDescent="0.25">
      <c r="A232" s="10">
        <v>2012</v>
      </c>
      <c r="B232" s="10">
        <v>3</v>
      </c>
      <c r="C232" s="10">
        <v>481.51701699746701</v>
      </c>
    </row>
    <row r="233" spans="1:3" x14ac:dyDescent="0.25">
      <c r="A233" s="10">
        <v>2012</v>
      </c>
      <c r="B233" s="10">
        <v>4</v>
      </c>
      <c r="C233" s="10">
        <v>473.21680181388803</v>
      </c>
    </row>
    <row r="234" spans="1:3" x14ac:dyDescent="0.25">
      <c r="A234" s="10">
        <v>2012</v>
      </c>
      <c r="B234" s="10">
        <v>5</v>
      </c>
      <c r="C234" s="10">
        <v>449.22523031217401</v>
      </c>
    </row>
    <row r="235" spans="1:3" x14ac:dyDescent="0.25">
      <c r="A235" s="10">
        <v>2012</v>
      </c>
      <c r="B235" s="10">
        <v>6</v>
      </c>
      <c r="C235" s="10">
        <v>452.72702500688803</v>
      </c>
    </row>
    <row r="236" spans="1:3" x14ac:dyDescent="0.25">
      <c r="A236" s="10">
        <v>2012</v>
      </c>
      <c r="B236" s="10">
        <v>7</v>
      </c>
      <c r="C236" s="10">
        <v>331.66937566538201</v>
      </c>
    </row>
    <row r="237" spans="1:3" x14ac:dyDescent="0.25">
      <c r="A237" s="10">
        <v>2012</v>
      </c>
      <c r="B237" s="10">
        <v>8</v>
      </c>
      <c r="C237" s="10">
        <v>352.31522710137301</v>
      </c>
    </row>
    <row r="238" spans="1:3" x14ac:dyDescent="0.25">
      <c r="A238" s="10">
        <v>2012</v>
      </c>
      <c r="B238" s="10">
        <v>9</v>
      </c>
      <c r="C238" s="10">
        <v>377.42338173270599</v>
      </c>
    </row>
    <row r="239" spans="1:3" x14ac:dyDescent="0.25">
      <c r="A239" s="10">
        <v>2012</v>
      </c>
      <c r="B239" s="10">
        <v>10</v>
      </c>
      <c r="C239" s="10">
        <v>376.64807244165797</v>
      </c>
    </row>
    <row r="240" spans="1:3" x14ac:dyDescent="0.25">
      <c r="A240" s="10">
        <v>2012</v>
      </c>
      <c r="B240" s="10">
        <v>11</v>
      </c>
      <c r="C240" s="10">
        <v>379.917859790112</v>
      </c>
    </row>
    <row r="241" spans="1:3" x14ac:dyDescent="0.25">
      <c r="A241" s="10">
        <v>2012</v>
      </c>
      <c r="B241" s="10">
        <v>12</v>
      </c>
      <c r="C241" s="10">
        <v>349.86430302617498</v>
      </c>
    </row>
    <row r="242" spans="1:3" x14ac:dyDescent="0.25">
      <c r="A242" s="10">
        <v>2013</v>
      </c>
      <c r="B242" s="10">
        <v>1</v>
      </c>
      <c r="C242" s="10">
        <v>387.94092111080101</v>
      </c>
    </row>
    <row r="243" spans="1:3" x14ac:dyDescent="0.25">
      <c r="A243" s="10">
        <v>2013</v>
      </c>
      <c r="B243" s="10">
        <v>2</v>
      </c>
      <c r="C243" s="10">
        <v>384.34246120657298</v>
      </c>
    </row>
    <row r="244" spans="1:3" x14ac:dyDescent="0.25">
      <c r="A244" s="10">
        <v>2013</v>
      </c>
      <c r="B244" s="10">
        <v>3</v>
      </c>
      <c r="C244" s="10">
        <v>453.58934368792001</v>
      </c>
    </row>
    <row r="245" spans="1:3" x14ac:dyDescent="0.25">
      <c r="A245" s="10">
        <v>2013</v>
      </c>
      <c r="B245" s="10">
        <v>4</v>
      </c>
      <c r="C245" s="10">
        <v>424.389668074486</v>
      </c>
    </row>
    <row r="246" spans="1:3" x14ac:dyDescent="0.25">
      <c r="A246" s="10">
        <v>2013</v>
      </c>
      <c r="B246" s="10">
        <v>5</v>
      </c>
      <c r="C246" s="10">
        <v>439.77402444814601</v>
      </c>
    </row>
    <row r="247" spans="1:3" x14ac:dyDescent="0.25">
      <c r="A247" s="10">
        <v>2013</v>
      </c>
      <c r="B247" s="10">
        <v>6</v>
      </c>
      <c r="C247" s="10">
        <v>415.102745409276</v>
      </c>
    </row>
    <row r="248" spans="1:3" x14ac:dyDescent="0.25">
      <c r="A248" s="10">
        <v>2013</v>
      </c>
      <c r="B248" s="10">
        <v>7</v>
      </c>
      <c r="C248" s="10">
        <v>449.813916573813</v>
      </c>
    </row>
    <row r="249" spans="1:3" x14ac:dyDescent="0.25">
      <c r="A249" s="10">
        <v>2013</v>
      </c>
      <c r="B249" s="10">
        <v>8</v>
      </c>
      <c r="C249" s="10">
        <v>451.987809863601</v>
      </c>
    </row>
    <row r="250" spans="1:3" x14ac:dyDescent="0.25">
      <c r="A250" s="10">
        <v>2013</v>
      </c>
      <c r="B250" s="10">
        <v>9</v>
      </c>
      <c r="C250" s="10">
        <v>445.66989848196403</v>
      </c>
    </row>
    <row r="251" spans="1:3" x14ac:dyDescent="0.25">
      <c r="A251" s="10">
        <v>2013</v>
      </c>
      <c r="B251" s="10">
        <v>10</v>
      </c>
      <c r="C251" s="10">
        <v>439.87212316085697</v>
      </c>
    </row>
    <row r="252" spans="1:3" x14ac:dyDescent="0.25">
      <c r="A252" s="10">
        <v>2013</v>
      </c>
      <c r="B252" s="10">
        <v>11</v>
      </c>
      <c r="C252" s="10">
        <v>453.54529817909901</v>
      </c>
    </row>
    <row r="253" spans="1:3" x14ac:dyDescent="0.25">
      <c r="A253" s="10">
        <v>2013</v>
      </c>
      <c r="B253" s="10">
        <v>12</v>
      </c>
      <c r="C253" s="10">
        <v>448.880773782814</v>
      </c>
    </row>
    <row r="254" spans="1:3" x14ac:dyDescent="0.25">
      <c r="A254" s="10">
        <v>2014</v>
      </c>
      <c r="B254" s="10">
        <v>1</v>
      </c>
      <c r="C254" s="10">
        <v>459.68970671385603</v>
      </c>
    </row>
    <row r="255" spans="1:3" x14ac:dyDescent="0.25">
      <c r="A255" s="10">
        <v>2014</v>
      </c>
      <c r="B255" s="10">
        <v>2</v>
      </c>
      <c r="C255" s="10">
        <v>444.99593926682297</v>
      </c>
    </row>
    <row r="256" spans="1:3" x14ac:dyDescent="0.25">
      <c r="A256" s="10">
        <v>2014</v>
      </c>
      <c r="B256" s="10">
        <v>3</v>
      </c>
      <c r="C256" s="10">
        <v>458.43547853327402</v>
      </c>
    </row>
    <row r="257" spans="1:3" x14ac:dyDescent="0.25">
      <c r="A257" s="10">
        <v>2014</v>
      </c>
      <c r="B257" s="10">
        <v>4</v>
      </c>
      <c r="C257" s="10">
        <v>486.12020765092802</v>
      </c>
    </row>
    <row r="258" spans="1:3" x14ac:dyDescent="0.25">
      <c r="A258" s="10">
        <v>2014</v>
      </c>
      <c r="B258" s="10">
        <v>5</v>
      </c>
      <c r="C258" s="10">
        <v>474.775452599017</v>
      </c>
    </row>
    <row r="259" spans="1:3" x14ac:dyDescent="0.25">
      <c r="A259" s="10">
        <v>2014</v>
      </c>
      <c r="B259" s="10">
        <v>6</v>
      </c>
      <c r="C259" s="10">
        <v>474.05277385784598</v>
      </c>
    </row>
    <row r="260" spans="1:3" x14ac:dyDescent="0.25">
      <c r="A260" s="10">
        <v>2014</v>
      </c>
      <c r="B260" s="10">
        <v>7</v>
      </c>
      <c r="C260" s="10">
        <v>463.55217000960499</v>
      </c>
    </row>
    <row r="261" spans="1:3" x14ac:dyDescent="0.25">
      <c r="A261" s="10">
        <v>2014</v>
      </c>
      <c r="B261" s="10">
        <v>8</v>
      </c>
      <c r="C261" s="10">
        <v>440.50744725458702</v>
      </c>
    </row>
    <row r="262" spans="1:3" x14ac:dyDescent="0.25">
      <c r="A262" s="10">
        <v>2014</v>
      </c>
      <c r="B262" s="10">
        <v>9</v>
      </c>
      <c r="C262" s="10">
        <v>448.69691622084298</v>
      </c>
    </row>
    <row r="263" spans="1:3" x14ac:dyDescent="0.25">
      <c r="A263" s="10">
        <v>2014</v>
      </c>
      <c r="B263" s="10">
        <v>10</v>
      </c>
      <c r="C263" s="10">
        <v>439.02852184297097</v>
      </c>
    </row>
    <row r="264" spans="1:3" x14ac:dyDescent="0.25">
      <c r="A264" s="10">
        <v>2014</v>
      </c>
      <c r="B264" s="10">
        <v>11</v>
      </c>
      <c r="C264" s="10">
        <v>445.61610353766002</v>
      </c>
    </row>
    <row r="265" spans="1:3" x14ac:dyDescent="0.25">
      <c r="A265" s="10">
        <v>2014</v>
      </c>
      <c r="B265" s="10">
        <v>12</v>
      </c>
      <c r="C265" s="10">
        <v>464.41788876392098</v>
      </c>
    </row>
    <row r="266" spans="1:3" x14ac:dyDescent="0.25">
      <c r="A266" s="10">
        <v>2015</v>
      </c>
      <c r="B266" s="10">
        <v>1</v>
      </c>
      <c r="C266" s="10">
        <v>443.10661094084998</v>
      </c>
    </row>
    <row r="267" spans="1:3" x14ac:dyDescent="0.25">
      <c r="A267" s="10">
        <v>2015</v>
      </c>
      <c r="B267" s="10">
        <v>2</v>
      </c>
      <c r="C267" s="10">
        <v>439.51518058756</v>
      </c>
    </row>
    <row r="268" spans="1:3" x14ac:dyDescent="0.25">
      <c r="A268" s="10">
        <v>2015</v>
      </c>
      <c r="B268" s="10">
        <v>3</v>
      </c>
      <c r="C268" s="10">
        <v>416.54143075367102</v>
      </c>
    </row>
    <row r="269" spans="1:3" x14ac:dyDescent="0.25">
      <c r="A269" s="10">
        <v>2015</v>
      </c>
      <c r="B269" s="10">
        <v>4</v>
      </c>
      <c r="C269" s="10">
        <v>387.57186157474803</v>
      </c>
    </row>
    <row r="270" spans="1:3" x14ac:dyDescent="0.25">
      <c r="A270" s="10">
        <v>2015</v>
      </c>
      <c r="B270" s="10">
        <v>5</v>
      </c>
      <c r="C270" s="10">
        <v>404.32364504613201</v>
      </c>
    </row>
    <row r="271" spans="1:3" x14ac:dyDescent="0.25">
      <c r="A271" s="10">
        <v>2015</v>
      </c>
      <c r="B271" s="10">
        <v>6</v>
      </c>
      <c r="C271" s="10">
        <v>442.54366579571501</v>
      </c>
    </row>
    <row r="272" spans="1:3" x14ac:dyDescent="0.25">
      <c r="A272" s="10">
        <v>2015</v>
      </c>
      <c r="B272" s="10">
        <v>7</v>
      </c>
      <c r="C272" s="10">
        <v>415.38525338487301</v>
      </c>
    </row>
    <row r="273" spans="1:3" x14ac:dyDescent="0.25">
      <c r="A273" s="10">
        <v>2015</v>
      </c>
      <c r="B273" s="10">
        <v>8</v>
      </c>
      <c r="C273" s="10">
        <v>447.12090587733098</v>
      </c>
    </row>
    <row r="274" spans="1:3" x14ac:dyDescent="0.25">
      <c r="A274" s="10">
        <v>2015</v>
      </c>
      <c r="B274" s="10">
        <v>9</v>
      </c>
      <c r="C274" s="10">
        <v>432.66171977962</v>
      </c>
    </row>
    <row r="275" spans="1:3" x14ac:dyDescent="0.25">
      <c r="A275" s="10">
        <v>2015</v>
      </c>
      <c r="B275" s="10">
        <v>10</v>
      </c>
      <c r="C275" s="10">
        <v>429.435841625384</v>
      </c>
    </row>
    <row r="276" spans="1:3" x14ac:dyDescent="0.25">
      <c r="A276" s="10">
        <v>2015</v>
      </c>
      <c r="B276" s="10">
        <v>11</v>
      </c>
      <c r="C276" s="10">
        <v>387.22509041228801</v>
      </c>
    </row>
    <row r="277" spans="1:3" x14ac:dyDescent="0.25">
      <c r="A277" s="10">
        <v>2015</v>
      </c>
      <c r="B277" s="10">
        <v>12</v>
      </c>
      <c r="C277" s="10">
        <v>394.63496501745902</v>
      </c>
    </row>
    <row r="278" spans="1:3" x14ac:dyDescent="0.25">
      <c r="A278" s="10">
        <v>2016</v>
      </c>
      <c r="B278" s="10">
        <v>1</v>
      </c>
      <c r="C278" s="10">
        <v>381.39423452009902</v>
      </c>
    </row>
    <row r="279" spans="1:3" x14ac:dyDescent="0.25">
      <c r="A279" s="10">
        <v>2016</v>
      </c>
      <c r="B279" s="10">
        <v>2</v>
      </c>
      <c r="C279" s="10">
        <v>365.40526773336001</v>
      </c>
    </row>
    <row r="280" spans="1:3" x14ac:dyDescent="0.25">
      <c r="A280" s="10">
        <v>2016</v>
      </c>
      <c r="B280" s="10">
        <v>3</v>
      </c>
      <c r="C280" s="10">
        <v>305.61950259748698</v>
      </c>
    </row>
    <row r="281" spans="1:3" x14ac:dyDescent="0.25">
      <c r="A281" s="10">
        <v>2016</v>
      </c>
      <c r="B281" s="10">
        <v>4</v>
      </c>
      <c r="C281" s="10">
        <v>324.24878754463998</v>
      </c>
    </row>
    <row r="282" spans="1:3" x14ac:dyDescent="0.25">
      <c r="A282" s="10">
        <v>2016</v>
      </c>
      <c r="B282" s="10">
        <v>5</v>
      </c>
      <c r="C282" s="10">
        <v>374.65033942852898</v>
      </c>
    </row>
    <row r="283" spans="1:3" x14ac:dyDescent="0.25">
      <c r="A283" s="10">
        <v>2016</v>
      </c>
      <c r="B283" s="10">
        <v>6</v>
      </c>
      <c r="C283" s="10">
        <v>372.61780309900701</v>
      </c>
    </row>
    <row r="284" spans="1:3" x14ac:dyDescent="0.25">
      <c r="A284" s="10">
        <v>2016</v>
      </c>
      <c r="B284" s="10">
        <v>7</v>
      </c>
      <c r="C284" s="10">
        <v>338.63729488125603</v>
      </c>
    </row>
    <row r="285" spans="1:3" x14ac:dyDescent="0.25">
      <c r="A285" s="10">
        <v>2016</v>
      </c>
      <c r="B285" s="10">
        <v>8</v>
      </c>
      <c r="C285" s="10">
        <v>315.97004815021199</v>
      </c>
    </row>
    <row r="286" spans="1:3" x14ac:dyDescent="0.25">
      <c r="A286" s="10">
        <v>2016</v>
      </c>
      <c r="B286" s="10">
        <v>9</v>
      </c>
      <c r="C286" s="10">
        <v>308.37105066423197</v>
      </c>
    </row>
    <row r="287" spans="1:3" x14ac:dyDescent="0.25">
      <c r="A287" s="10">
        <v>2016</v>
      </c>
      <c r="B287" s="10">
        <v>10</v>
      </c>
      <c r="C287" s="10">
        <v>337.92006606236203</v>
      </c>
    </row>
    <row r="288" spans="1:3" x14ac:dyDescent="0.25">
      <c r="A288" s="10">
        <v>2016</v>
      </c>
      <c r="B288" s="10">
        <v>11</v>
      </c>
      <c r="C288" s="10">
        <v>340.60539339017998</v>
      </c>
    </row>
    <row r="289" spans="1:3" x14ac:dyDescent="0.25">
      <c r="A289" s="10">
        <v>2016</v>
      </c>
      <c r="B289" s="10">
        <v>12</v>
      </c>
      <c r="C289" s="10">
        <v>339.95608694545501</v>
      </c>
    </row>
    <row r="290" spans="1:3" x14ac:dyDescent="0.25">
      <c r="A290" s="10">
        <v>2017</v>
      </c>
      <c r="B290" s="10">
        <v>1</v>
      </c>
      <c r="C290" s="10">
        <v>337.47146208337</v>
      </c>
    </row>
    <row r="291" spans="1:3" x14ac:dyDescent="0.25">
      <c r="A291" s="10">
        <v>2017</v>
      </c>
      <c r="B291" s="10">
        <v>2</v>
      </c>
      <c r="C291" s="10">
        <v>363.32461319655903</v>
      </c>
    </row>
    <row r="292" spans="1:3" x14ac:dyDescent="0.25">
      <c r="A292" s="10">
        <v>2017</v>
      </c>
      <c r="B292" s="10">
        <v>3</v>
      </c>
      <c r="C292" s="10">
        <v>381.92085949176402</v>
      </c>
    </row>
    <row r="293" spans="1:3" x14ac:dyDescent="0.25">
      <c r="A293" s="10">
        <v>2017</v>
      </c>
      <c r="B293" s="10">
        <v>4</v>
      </c>
      <c r="C293" s="10">
        <v>371.221395672754</v>
      </c>
    </row>
    <row r="294" spans="1:3" x14ac:dyDescent="0.25">
      <c r="A294" s="10">
        <v>2017</v>
      </c>
      <c r="B294" s="10">
        <v>5</v>
      </c>
      <c r="C294" s="10">
        <v>392.27726625906303</v>
      </c>
    </row>
    <row r="295" spans="1:3" x14ac:dyDescent="0.25">
      <c r="A295" s="10">
        <v>2017</v>
      </c>
      <c r="B295" s="10">
        <v>6</v>
      </c>
      <c r="C295" s="10">
        <v>376.791617200426</v>
      </c>
    </row>
    <row r="296" spans="1:3" x14ac:dyDescent="0.25">
      <c r="A296" s="10">
        <v>2017</v>
      </c>
      <c r="B296" s="10">
        <v>7</v>
      </c>
      <c r="C296" s="10">
        <v>379.44388214833202</v>
      </c>
    </row>
    <row r="297" spans="1:3" x14ac:dyDescent="0.25">
      <c r="A297" s="10">
        <v>2017</v>
      </c>
      <c r="B297" s="10">
        <v>8</v>
      </c>
      <c r="C297" s="10">
        <v>390.01844278507701</v>
      </c>
    </row>
    <row r="298" spans="1:3" x14ac:dyDescent="0.25">
      <c r="A298" s="10">
        <v>2017</v>
      </c>
      <c r="B298" s="10">
        <v>9</v>
      </c>
      <c r="C298" s="10">
        <v>407.49881452439098</v>
      </c>
    </row>
    <row r="299" spans="1:3" x14ac:dyDescent="0.25">
      <c r="A299" s="10">
        <v>2017</v>
      </c>
      <c r="B299" s="10">
        <v>10</v>
      </c>
      <c r="C299" s="10">
        <v>410.52259293207101</v>
      </c>
    </row>
    <row r="300" spans="1:3" x14ac:dyDescent="0.25">
      <c r="A300" s="10">
        <v>2017</v>
      </c>
      <c r="B300" s="10">
        <v>11</v>
      </c>
      <c r="C300" s="10">
        <v>413.88679935773803</v>
      </c>
    </row>
    <row r="301" spans="1:3" x14ac:dyDescent="0.25">
      <c r="A301" s="10">
        <v>2017</v>
      </c>
      <c r="B301" s="10">
        <v>12</v>
      </c>
      <c r="C301" s="10">
        <v>409.022341706747</v>
      </c>
    </row>
    <row r="302" spans="1:3" x14ac:dyDescent="0.25">
      <c r="A302" s="10">
        <v>2018</v>
      </c>
      <c r="B302" s="10">
        <v>1</v>
      </c>
      <c r="C302" s="10">
        <v>384.82957082388202</v>
      </c>
    </row>
    <row r="303" spans="1:3" x14ac:dyDescent="0.25">
      <c r="A303" s="10">
        <v>2018</v>
      </c>
      <c r="B303" s="10">
        <v>2</v>
      </c>
      <c r="C303" s="10">
        <v>477.26710085506397</v>
      </c>
    </row>
    <row r="304" spans="1:3" x14ac:dyDescent="0.25">
      <c r="A304" s="10">
        <v>2018</v>
      </c>
      <c r="B304" s="10">
        <v>3</v>
      </c>
      <c r="C304" s="10">
        <v>465.35801726417998</v>
      </c>
    </row>
    <row r="305" spans="1:3" x14ac:dyDescent="0.25">
      <c r="A305" s="10">
        <v>2018</v>
      </c>
      <c r="B305" s="10">
        <v>4</v>
      </c>
      <c r="C305" s="10">
        <v>465.18712687299399</v>
      </c>
    </row>
    <row r="306" spans="1:3" x14ac:dyDescent="0.25">
      <c r="A306" s="10">
        <v>2018</v>
      </c>
      <c r="B306" s="10">
        <v>5</v>
      </c>
      <c r="C306" s="10">
        <v>438.53164637240201</v>
      </c>
    </row>
    <row r="307" spans="1:3" x14ac:dyDescent="0.25">
      <c r="A307" s="10">
        <v>2018</v>
      </c>
      <c r="B307" s="10">
        <v>6</v>
      </c>
      <c r="C307" s="10">
        <v>421.57508834464397</v>
      </c>
    </row>
    <row r="308" spans="1:3" x14ac:dyDescent="0.25">
      <c r="A308" s="10">
        <v>2018</v>
      </c>
      <c r="B308" s="10">
        <v>7</v>
      </c>
      <c r="C308" s="10">
        <v>444.149042332102</v>
      </c>
    </row>
    <row r="309" spans="1:3" x14ac:dyDescent="0.25">
      <c r="A309" s="10">
        <v>2018</v>
      </c>
      <c r="B309" s="10">
        <v>8</v>
      </c>
      <c r="C309" s="10">
        <v>427.75737023337598</v>
      </c>
    </row>
    <row r="310" spans="1:3" x14ac:dyDescent="0.25">
      <c r="A310" s="10">
        <v>2018</v>
      </c>
      <c r="B310" s="10">
        <v>9</v>
      </c>
      <c r="C310" s="10">
        <v>416.13593968304298</v>
      </c>
    </row>
    <row r="311" spans="1:3" x14ac:dyDescent="0.25">
      <c r="A311" s="10">
        <v>2018</v>
      </c>
      <c r="B311" s="10">
        <v>10</v>
      </c>
      <c r="C311" s="10">
        <v>412.36973512949697</v>
      </c>
    </row>
    <row r="312" spans="1:3" x14ac:dyDescent="0.25">
      <c r="A312" s="10">
        <v>2018</v>
      </c>
      <c r="B312" s="10">
        <v>11</v>
      </c>
      <c r="C312" s="10">
        <v>432.73271811283399</v>
      </c>
    </row>
    <row r="313" spans="1:3" x14ac:dyDescent="0.25">
      <c r="A313" s="10">
        <v>2018</v>
      </c>
      <c r="B313" s="10">
        <v>12</v>
      </c>
      <c r="C313" s="10">
        <v>381.81224555886001</v>
      </c>
    </row>
    <row r="314" spans="1:3" x14ac:dyDescent="0.25">
      <c r="A314" s="10">
        <v>2019</v>
      </c>
      <c r="B314" s="10">
        <v>1</v>
      </c>
      <c r="C314" s="10">
        <v>408.279862814745</v>
      </c>
    </row>
    <row r="315" spans="1:3" x14ac:dyDescent="0.25">
      <c r="A315" s="10">
        <v>2019</v>
      </c>
      <c r="B315" s="10">
        <v>2</v>
      </c>
      <c r="C315" s="10">
        <v>382.27326552269801</v>
      </c>
    </row>
    <row r="316" spans="1:3" x14ac:dyDescent="0.25">
      <c r="A316" s="10">
        <v>2019</v>
      </c>
      <c r="B316" s="10">
        <v>3</v>
      </c>
      <c r="C316" s="10">
        <v>384.963914088065</v>
      </c>
    </row>
    <row r="317" spans="1:3" x14ac:dyDescent="0.25">
      <c r="A317" s="10">
        <v>2019</v>
      </c>
      <c r="B317" s="10">
        <v>4</v>
      </c>
      <c r="C317" s="10">
        <v>421.77745360991798</v>
      </c>
    </row>
    <row r="318" spans="1:3" x14ac:dyDescent="0.25">
      <c r="A318" s="10">
        <v>2019</v>
      </c>
      <c r="B318" s="10">
        <v>5</v>
      </c>
      <c r="C318" s="10">
        <v>409.14119192099798</v>
      </c>
    </row>
    <row r="319" spans="1:3" x14ac:dyDescent="0.25">
      <c r="A319" s="10">
        <v>2019</v>
      </c>
      <c r="B319" s="10">
        <v>6</v>
      </c>
      <c r="C319" s="10">
        <v>421.650648546345</v>
      </c>
    </row>
    <row r="320" spans="1:3" x14ac:dyDescent="0.25">
      <c r="A320" s="10">
        <v>2019</v>
      </c>
      <c r="B320" s="10">
        <v>7</v>
      </c>
      <c r="C320" s="10">
        <v>397.39816732937197</v>
      </c>
    </row>
    <row r="321" spans="1:3" x14ac:dyDescent="0.25">
      <c r="A321" s="10">
        <v>2019</v>
      </c>
      <c r="B321" s="10">
        <v>8</v>
      </c>
      <c r="C321" s="10">
        <v>410.780714298291</v>
      </c>
    </row>
    <row r="322" spans="1:3" x14ac:dyDescent="0.25">
      <c r="A322" s="10">
        <v>2019</v>
      </c>
      <c r="B322" s="10">
        <v>9</v>
      </c>
      <c r="C322" s="10">
        <v>385.26409243784599</v>
      </c>
    </row>
    <row r="323" spans="1:3" x14ac:dyDescent="0.25">
      <c r="A323" s="10">
        <v>2019</v>
      </c>
      <c r="B323" s="10">
        <v>10</v>
      </c>
      <c r="C323" s="10">
        <v>349.07300629993301</v>
      </c>
    </row>
    <row r="324" spans="1:3" x14ac:dyDescent="0.25">
      <c r="A324" s="10">
        <v>2019</v>
      </c>
      <c r="B324" s="10">
        <v>11</v>
      </c>
      <c r="C324" s="10">
        <v>331.93168351671</v>
      </c>
    </row>
    <row r="325" spans="1:3" x14ac:dyDescent="0.25">
      <c r="A325" s="10">
        <v>2019</v>
      </c>
      <c r="B325" s="10">
        <v>12</v>
      </c>
      <c r="C325" s="10">
        <v>345.59485601998398</v>
      </c>
    </row>
    <row r="326" spans="1:3" x14ac:dyDescent="0.25">
      <c r="A326" s="10">
        <v>2020</v>
      </c>
      <c r="B326" s="10">
        <v>1</v>
      </c>
      <c r="C326" s="10">
        <v>333.12382513307301</v>
      </c>
    </row>
    <row r="327" spans="1:3" x14ac:dyDescent="0.25">
      <c r="A327" s="10">
        <v>2020</v>
      </c>
      <c r="B327" s="10">
        <v>2</v>
      </c>
      <c r="C327" s="10">
        <v>380.473986616037</v>
      </c>
    </row>
    <row r="328" spans="1:3" x14ac:dyDescent="0.25">
      <c r="A328" s="10">
        <v>2020</v>
      </c>
      <c r="B328" s="10">
        <v>3</v>
      </c>
      <c r="C328" s="10">
        <v>284.582373633114</v>
      </c>
    </row>
    <row r="329" spans="1:3" x14ac:dyDescent="0.25">
      <c r="A329" s="10">
        <v>2020</v>
      </c>
      <c r="B329" s="10">
        <v>4</v>
      </c>
      <c r="C329" s="10">
        <v>108.02492388156</v>
      </c>
    </row>
    <row r="330" spans="1:3" x14ac:dyDescent="0.25">
      <c r="A330" s="10">
        <v>2020</v>
      </c>
      <c r="B330" s="10">
        <v>5</v>
      </c>
      <c r="C330" s="10">
        <v>196.48337128889301</v>
      </c>
    </row>
    <row r="331" spans="1:3" x14ac:dyDescent="0.25">
      <c r="A331" s="10">
        <v>2020</v>
      </c>
      <c r="B331" s="10">
        <v>6</v>
      </c>
      <c r="C331" s="10">
        <v>249.21827833617701</v>
      </c>
    </row>
    <row r="332" spans="1:3" x14ac:dyDescent="0.25">
      <c r="A332" s="10">
        <v>2020</v>
      </c>
      <c r="B332" s="10">
        <v>7</v>
      </c>
      <c r="C332" s="10">
        <v>305.85475009303201</v>
      </c>
    </row>
    <row r="333" spans="1:3" x14ac:dyDescent="0.25">
      <c r="A333" s="10">
        <v>2020</v>
      </c>
      <c r="B333" s="10">
        <v>8</v>
      </c>
      <c r="C333" s="10">
        <v>313.14825619209</v>
      </c>
    </row>
    <row r="334" spans="1:3" x14ac:dyDescent="0.25">
      <c r="A334" s="10">
        <v>2020</v>
      </c>
      <c r="B334" s="10">
        <v>9</v>
      </c>
      <c r="C334" s="10">
        <v>333.94493979826899</v>
      </c>
    </row>
    <row r="335" spans="1:3" x14ac:dyDescent="0.25">
      <c r="A335" s="10">
        <v>2020</v>
      </c>
      <c r="B335" s="10">
        <v>10</v>
      </c>
      <c r="C335" s="10">
        <v>346.51937477296002</v>
      </c>
    </row>
    <row r="336" spans="1:3" x14ac:dyDescent="0.25">
      <c r="A336" s="10">
        <v>2020</v>
      </c>
      <c r="B336" s="10">
        <v>11</v>
      </c>
      <c r="C336" s="10">
        <v>364.61628490809301</v>
      </c>
    </row>
    <row r="337" spans="1:3" x14ac:dyDescent="0.25">
      <c r="A337" s="10">
        <v>2020</v>
      </c>
      <c r="B337" s="10">
        <v>12</v>
      </c>
      <c r="C337" s="10">
        <v>402.38462117617098</v>
      </c>
    </row>
    <row r="338" spans="1:3" x14ac:dyDescent="0.25">
      <c r="A338" s="10">
        <v>2021</v>
      </c>
      <c r="B338" s="10">
        <v>1</v>
      </c>
      <c r="C338" s="10">
        <v>406.311547112288</v>
      </c>
    </row>
    <row r="339" spans="1:3" x14ac:dyDescent="0.25">
      <c r="A339" s="10">
        <v>2021</v>
      </c>
      <c r="B339" s="10">
        <v>2</v>
      </c>
      <c r="C339" s="10">
        <v>404.54276002270399</v>
      </c>
    </row>
    <row r="340" spans="1:3" x14ac:dyDescent="0.25">
      <c r="A340" s="10">
        <v>2021</v>
      </c>
      <c r="B340" s="10">
        <v>3</v>
      </c>
      <c r="C340" s="10">
        <v>425.270405444701</v>
      </c>
    </row>
    <row r="341" spans="1:3" x14ac:dyDescent="0.25">
      <c r="A341" s="10">
        <v>2021</v>
      </c>
      <c r="B341" s="10">
        <v>4</v>
      </c>
      <c r="C341" s="10">
        <v>349.46462736568998</v>
      </c>
    </row>
    <row r="342" spans="1:3" x14ac:dyDescent="0.25">
      <c r="A342" s="10">
        <v>2021</v>
      </c>
      <c r="B342" s="10">
        <v>5</v>
      </c>
      <c r="C342" s="10">
        <v>392.34714823126097</v>
      </c>
    </row>
    <row r="343" spans="1:3" x14ac:dyDescent="0.25">
      <c r="A343" s="10">
        <v>2021</v>
      </c>
      <c r="B343" s="10">
        <v>6</v>
      </c>
      <c r="C343" s="10">
        <v>407.498803979179</v>
      </c>
    </row>
    <row r="344" spans="1:3" x14ac:dyDescent="0.25">
      <c r="A344" s="10">
        <v>2021</v>
      </c>
      <c r="B344" s="10">
        <v>7</v>
      </c>
      <c r="C344" s="10">
        <v>411.74665503268102</v>
      </c>
    </row>
    <row r="345" spans="1:3" x14ac:dyDescent="0.25">
      <c r="A345" s="10">
        <v>2021</v>
      </c>
      <c r="B345" s="10">
        <v>8</v>
      </c>
      <c r="C345" s="10">
        <v>402.98144537343899</v>
      </c>
    </row>
    <row r="346" spans="1:3" x14ac:dyDescent="0.25">
      <c r="A346" s="10">
        <v>2021</v>
      </c>
      <c r="B346" s="10">
        <v>9</v>
      </c>
      <c r="C346" s="10">
        <v>404.34859215352702</v>
      </c>
    </row>
    <row r="347" spans="1:3" x14ac:dyDescent="0.25">
      <c r="A347" s="10">
        <v>2021</v>
      </c>
      <c r="B347" s="10">
        <v>10</v>
      </c>
      <c r="C347" s="10">
        <v>407.97279097562199</v>
      </c>
    </row>
    <row r="348" spans="1:3" x14ac:dyDescent="0.25">
      <c r="A348" s="10">
        <v>2021</v>
      </c>
      <c r="B348" s="10">
        <v>11</v>
      </c>
      <c r="C348" s="10">
        <v>425.60151259094999</v>
      </c>
    </row>
    <row r="349" spans="1:3" x14ac:dyDescent="0.25">
      <c r="A349" s="10">
        <v>2021</v>
      </c>
      <c r="B349" s="10">
        <v>12</v>
      </c>
      <c r="C349" s="10">
        <v>440.56313392090101</v>
      </c>
    </row>
    <row r="350" spans="1:3" x14ac:dyDescent="0.25">
      <c r="A350" s="10">
        <v>2022</v>
      </c>
      <c r="B350" s="10">
        <v>1</v>
      </c>
      <c r="C350" s="10">
        <v>391.36232578214998</v>
      </c>
    </row>
    <row r="351" spans="1:3" x14ac:dyDescent="0.25">
      <c r="A351" s="10">
        <v>2022</v>
      </c>
      <c r="B351" s="10">
        <v>2</v>
      </c>
      <c r="C351" s="10">
        <v>393.610162074877</v>
      </c>
    </row>
    <row r="352" spans="1:3" x14ac:dyDescent="0.25">
      <c r="A352" s="10">
        <v>2022</v>
      </c>
      <c r="B352" s="10">
        <v>3</v>
      </c>
      <c r="C352" s="10">
        <v>420.97722256034803</v>
      </c>
    </row>
    <row r="353" spans="1:3" x14ac:dyDescent="0.25">
      <c r="A353" s="10">
        <v>2022</v>
      </c>
      <c r="B353" s="10">
        <v>4</v>
      </c>
      <c r="C353" s="10">
        <v>361.375305338533</v>
      </c>
    </row>
    <row r="354" spans="1:3" x14ac:dyDescent="0.25">
      <c r="A354" s="10">
        <v>2022</v>
      </c>
      <c r="B354" s="10">
        <v>5</v>
      </c>
      <c r="C354" s="10">
        <v>446.04937982545903</v>
      </c>
    </row>
    <row r="355" spans="1:3" x14ac:dyDescent="0.25">
      <c r="A355" s="10">
        <v>2022</v>
      </c>
      <c r="B355" s="10">
        <v>6</v>
      </c>
      <c r="C355" s="10">
        <v>471.87230122841203</v>
      </c>
    </row>
    <row r="356" spans="1:3" x14ac:dyDescent="0.25">
      <c r="A356" s="10">
        <v>2022</v>
      </c>
      <c r="B356" s="10">
        <v>7</v>
      </c>
      <c r="C356" s="10">
        <v>446.49397603916702</v>
      </c>
    </row>
    <row r="357" spans="1:3" x14ac:dyDescent="0.25">
      <c r="A357" s="10">
        <v>2022</v>
      </c>
      <c r="B357" s="10">
        <v>8</v>
      </c>
      <c r="C357" s="10">
        <v>437.342853980244</v>
      </c>
    </row>
    <row r="358" spans="1:3" x14ac:dyDescent="0.25">
      <c r="A358" s="10">
        <v>2022</v>
      </c>
      <c r="B358" s="10">
        <v>9</v>
      </c>
      <c r="C358" s="10">
        <v>397.809591346736</v>
      </c>
    </row>
    <row r="359" spans="1:3" x14ac:dyDescent="0.25">
      <c r="A359" s="10">
        <v>2022</v>
      </c>
      <c r="B359" s="10">
        <v>10</v>
      </c>
      <c r="C359" s="10">
        <v>448.39090635518897</v>
      </c>
    </row>
    <row r="360" spans="1:3" x14ac:dyDescent="0.25">
      <c r="A360" s="10">
        <v>2022</v>
      </c>
      <c r="B360" s="10">
        <v>11</v>
      </c>
      <c r="C360" s="10">
        <v>434.109772299491</v>
      </c>
    </row>
    <row r="361" spans="1:3" x14ac:dyDescent="0.25">
      <c r="A361" s="10">
        <v>2022</v>
      </c>
      <c r="B361" s="10">
        <v>12</v>
      </c>
      <c r="C361" s="10">
        <v>452.93965283156803</v>
      </c>
    </row>
    <row r="362" spans="1:3" x14ac:dyDescent="0.25">
      <c r="A362" s="10">
        <v>2023</v>
      </c>
      <c r="B362" s="10">
        <v>1</v>
      </c>
      <c r="C362" s="10">
        <v>483.33298423687398</v>
      </c>
    </row>
    <row r="363" spans="1:3" x14ac:dyDescent="0.25">
      <c r="A363" s="10">
        <v>2023</v>
      </c>
      <c r="B363" s="10">
        <v>2</v>
      </c>
      <c r="C363" s="10">
        <v>429.90358493456802</v>
      </c>
    </row>
    <row r="364" spans="1:3" x14ac:dyDescent="0.25">
      <c r="A364" s="10">
        <v>2023</v>
      </c>
      <c r="B364" s="10">
        <v>3</v>
      </c>
      <c r="C364" s="10">
        <v>416.88712276635198</v>
      </c>
    </row>
    <row r="365" spans="1:3" x14ac:dyDescent="0.25">
      <c r="A365" s="10">
        <v>2023</v>
      </c>
      <c r="B365" s="10">
        <v>4</v>
      </c>
      <c r="C365" s="10">
        <v>438.73696135074499</v>
      </c>
    </row>
    <row r="366" spans="1:3" x14ac:dyDescent="0.25">
      <c r="A366" s="10">
        <v>2023</v>
      </c>
      <c r="B366" s="10">
        <v>5</v>
      </c>
      <c r="C366" s="10">
        <v>438.78036073751599</v>
      </c>
    </row>
    <row r="367" spans="1:3" x14ac:dyDescent="0.25">
      <c r="A367" s="10">
        <v>2023</v>
      </c>
      <c r="B367" s="10">
        <v>6</v>
      </c>
      <c r="C367" s="10">
        <v>432.93339409722603</v>
      </c>
    </row>
    <row r="368" spans="1:3" x14ac:dyDescent="0.25">
      <c r="A368" s="10">
        <v>2023</v>
      </c>
      <c r="B368" s="10">
        <v>7</v>
      </c>
      <c r="C368" s="10">
        <v>331.06185882833302</v>
      </c>
    </row>
    <row r="369" spans="1:3" x14ac:dyDescent="0.25">
      <c r="A369" s="10">
        <v>2023</v>
      </c>
      <c r="B369" s="10">
        <v>8</v>
      </c>
      <c r="C369" s="10">
        <v>402.79066152531902</v>
      </c>
    </row>
    <row r="370" spans="1:3" x14ac:dyDescent="0.25">
      <c r="A370" s="10">
        <v>2023</v>
      </c>
      <c r="B370" s="10">
        <v>9</v>
      </c>
      <c r="C370" s="10">
        <v>413.00973761852998</v>
      </c>
    </row>
    <row r="371" spans="1:3" x14ac:dyDescent="0.25">
      <c r="A371" s="10">
        <v>2023</v>
      </c>
      <c r="B371" s="10">
        <v>10</v>
      </c>
      <c r="C371" s="10">
        <v>411.438534878589</v>
      </c>
    </row>
    <row r="372" spans="1:3" x14ac:dyDescent="0.25">
      <c r="A372" s="10">
        <v>2023</v>
      </c>
      <c r="B372" s="10">
        <v>11</v>
      </c>
      <c r="C372" s="10">
        <v>389.13424116414802</v>
      </c>
    </row>
    <row r="373" spans="1:3" x14ac:dyDescent="0.25">
      <c r="A373" s="10">
        <v>2023</v>
      </c>
      <c r="B373" s="10">
        <v>12</v>
      </c>
      <c r="C373" s="10">
        <v>348.863391424876</v>
      </c>
    </row>
    <row r="374" spans="1:3" x14ac:dyDescent="0.25">
      <c r="A374" s="10">
        <v>2024</v>
      </c>
      <c r="B374" s="10">
        <v>1</v>
      </c>
      <c r="C374" s="10">
        <v>450.93596498796001</v>
      </c>
    </row>
    <row r="375" spans="1:3" x14ac:dyDescent="0.25">
      <c r="A375" s="10">
        <v>2024</v>
      </c>
      <c r="B375" s="10">
        <v>2</v>
      </c>
      <c r="C375" s="10">
        <v>358.90487328904698</v>
      </c>
    </row>
    <row r="376" spans="1:3" x14ac:dyDescent="0.25">
      <c r="A376" s="10">
        <v>2024</v>
      </c>
      <c r="B376" s="10">
        <v>3</v>
      </c>
      <c r="C376" s="10">
        <v>245.809587944474</v>
      </c>
    </row>
    <row r="377" spans="1:3" x14ac:dyDescent="0.25">
      <c r="A377" s="10">
        <v>2024</v>
      </c>
      <c r="B377" s="10">
        <v>4</v>
      </c>
      <c r="C377" s="10">
        <v>327.27332082188002</v>
      </c>
    </row>
    <row r="378" spans="1:3" x14ac:dyDescent="0.25">
      <c r="A378" s="10">
        <v>2024</v>
      </c>
      <c r="B378" s="10">
        <v>5</v>
      </c>
      <c r="C378" s="10">
        <v>306.59606139141499</v>
      </c>
    </row>
    <row r="379" spans="1:3" x14ac:dyDescent="0.25">
      <c r="A379" s="10">
        <v>2024</v>
      </c>
      <c r="B379" s="10">
        <v>6</v>
      </c>
      <c r="C379" s="10">
        <v>285.70856064862602</v>
      </c>
    </row>
    <row r="380" spans="1:3" x14ac:dyDescent="0.25">
      <c r="A380" s="10">
        <v>2024</v>
      </c>
      <c r="B380" s="10">
        <v>7</v>
      </c>
      <c r="C380" s="10">
        <v>301.09009903522502</v>
      </c>
    </row>
    <row r="381" spans="1:3" x14ac:dyDescent="0.25">
      <c r="A381" s="10">
        <v>2024</v>
      </c>
      <c r="B381" s="10">
        <v>8</v>
      </c>
      <c r="C381" s="10">
        <v>325.99146375728498</v>
      </c>
    </row>
    <row r="382" spans="1:3" x14ac:dyDescent="0.25">
      <c r="A382" s="10">
        <v>2024</v>
      </c>
      <c r="B382" s="10">
        <v>9</v>
      </c>
      <c r="C382" s="10">
        <v>335.42846349275499</v>
      </c>
    </row>
    <row r="383" spans="1:3" x14ac:dyDescent="0.25">
      <c r="A383" s="10">
        <v>2024</v>
      </c>
      <c r="B383" s="10">
        <v>10</v>
      </c>
      <c r="C383" s="10">
        <v>310.64742117437203</v>
      </c>
    </row>
    <row r="384" spans="1:3" x14ac:dyDescent="0.25">
      <c r="A384" s="10">
        <v>2024</v>
      </c>
      <c r="B384" s="10">
        <v>11</v>
      </c>
      <c r="C384" s="10">
        <v>315.482518322114</v>
      </c>
    </row>
    <row r="385" spans="1:3" x14ac:dyDescent="0.25">
      <c r="A385" s="10">
        <v>2024</v>
      </c>
      <c r="B385" s="10">
        <v>12</v>
      </c>
      <c r="C385" s="10">
        <v>276.02813866626798</v>
      </c>
    </row>
    <row r="386" spans="1:3" x14ac:dyDescent="0.25">
      <c r="A386" s="10">
        <v>2025</v>
      </c>
      <c r="B386" s="10">
        <v>1</v>
      </c>
      <c r="C386" s="10">
        <v>343.56892819242501</v>
      </c>
    </row>
    <row r="387" spans="1:3" x14ac:dyDescent="0.25">
      <c r="A387" s="10">
        <v>2025</v>
      </c>
      <c r="B387" s="10">
        <v>2</v>
      </c>
      <c r="C387" s="10">
        <v>381.09065912007901</v>
      </c>
    </row>
    <row r="388" spans="1:3" x14ac:dyDescent="0.25">
      <c r="A388" s="10">
        <v>2025</v>
      </c>
      <c r="B388" s="10">
        <v>3</v>
      </c>
      <c r="C388" s="10">
        <v>335.314907513501</v>
      </c>
    </row>
    <row r="389" spans="1:3" x14ac:dyDescent="0.25">
      <c r="A389" s="10">
        <v>2025</v>
      </c>
      <c r="B389" s="10">
        <v>4</v>
      </c>
      <c r="C389" s="10">
        <v>328.31769239247399</v>
      </c>
    </row>
    <row r="390" spans="1:3" x14ac:dyDescent="0.25">
      <c r="A390" s="10">
        <v>2025</v>
      </c>
      <c r="B390" s="10">
        <v>5</v>
      </c>
      <c r="C390" s="10">
        <v>343.48060602734398</v>
      </c>
    </row>
    <row r="391" spans="1:3" x14ac:dyDescent="0.25">
      <c r="A391" s="10">
        <v>2025</v>
      </c>
      <c r="B391" s="10">
        <v>6</v>
      </c>
      <c r="C391" s="10">
        <v>333.44306914144403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9B20-CB1B-4EE2-B6D3-E554E8EF10A4}">
  <dimension ref="A1:C388"/>
  <sheetViews>
    <sheetView workbookViewId="0">
      <selection activeCell="C2" sqref="C2:C388"/>
    </sheetView>
  </sheetViews>
  <sheetFormatPr baseColWidth="10" defaultRowHeight="15" x14ac:dyDescent="0.25"/>
  <sheetData>
    <row r="1" spans="1:3" x14ac:dyDescent="0.25">
      <c r="A1" s="12" t="s">
        <v>34</v>
      </c>
      <c r="B1" s="12" t="s">
        <v>35</v>
      </c>
      <c r="C1" s="12" t="s">
        <v>36</v>
      </c>
    </row>
    <row r="2" spans="1:3" x14ac:dyDescent="0.25">
      <c r="A2" s="13">
        <v>1993</v>
      </c>
      <c r="B2" s="13">
        <v>1</v>
      </c>
      <c r="C2" s="13">
        <v>243.575213139022</v>
      </c>
    </row>
    <row r="3" spans="1:3" x14ac:dyDescent="0.25">
      <c r="A3" s="13">
        <v>1993</v>
      </c>
      <c r="B3" s="13">
        <v>2</v>
      </c>
      <c r="C3" s="13">
        <v>233.90921267297901</v>
      </c>
    </row>
    <row r="4" spans="1:3" x14ac:dyDescent="0.25">
      <c r="A4" s="13">
        <v>1993</v>
      </c>
      <c r="B4" s="13">
        <v>3</v>
      </c>
      <c r="C4" s="13">
        <v>228.22186863273001</v>
      </c>
    </row>
    <row r="5" spans="1:3" x14ac:dyDescent="0.25">
      <c r="A5" s="13">
        <v>1993</v>
      </c>
      <c r="B5" s="13">
        <v>4</v>
      </c>
      <c r="C5" s="13">
        <v>244.91566925519001</v>
      </c>
    </row>
    <row r="6" spans="1:3" x14ac:dyDescent="0.25">
      <c r="A6" s="13">
        <v>1993</v>
      </c>
      <c r="B6" s="13">
        <v>5</v>
      </c>
      <c r="C6" s="13">
        <v>248.53250664164099</v>
      </c>
    </row>
    <row r="7" spans="1:3" x14ac:dyDescent="0.25">
      <c r="A7" s="13">
        <v>1993</v>
      </c>
      <c r="B7" s="13">
        <v>6</v>
      </c>
      <c r="C7" s="13">
        <v>250.97244937950401</v>
      </c>
    </row>
    <row r="8" spans="1:3" x14ac:dyDescent="0.25">
      <c r="A8" s="13">
        <v>1993</v>
      </c>
      <c r="B8" s="13">
        <v>7</v>
      </c>
      <c r="C8" s="13">
        <v>238.925713317695</v>
      </c>
    </row>
    <row r="9" spans="1:3" x14ac:dyDescent="0.25">
      <c r="A9" s="13">
        <v>1993</v>
      </c>
      <c r="B9" s="13">
        <v>8</v>
      </c>
      <c r="C9" s="13">
        <v>245.67066710710199</v>
      </c>
    </row>
    <row r="10" spans="1:3" x14ac:dyDescent="0.25">
      <c r="A10" s="13">
        <v>1993</v>
      </c>
      <c r="B10" s="13">
        <v>9</v>
      </c>
      <c r="C10" s="13">
        <v>254.658146519767</v>
      </c>
    </row>
    <row r="11" spans="1:3" x14ac:dyDescent="0.25">
      <c r="A11" s="13">
        <v>1993</v>
      </c>
      <c r="B11" s="13">
        <v>10</v>
      </c>
      <c r="C11" s="13">
        <v>237.71085067219701</v>
      </c>
    </row>
    <row r="12" spans="1:3" x14ac:dyDescent="0.25">
      <c r="A12" s="13">
        <v>1993</v>
      </c>
      <c r="B12" s="13">
        <v>11</v>
      </c>
      <c r="C12" s="13">
        <v>233.29901150860201</v>
      </c>
    </row>
    <row r="13" spans="1:3" x14ac:dyDescent="0.25">
      <c r="A13" s="13">
        <v>1993</v>
      </c>
      <c r="B13" s="13">
        <v>12</v>
      </c>
      <c r="C13" s="13">
        <v>232.25093255267899</v>
      </c>
    </row>
    <row r="14" spans="1:3" x14ac:dyDescent="0.25">
      <c r="A14" s="13">
        <v>1994</v>
      </c>
      <c r="B14" s="13">
        <v>1</v>
      </c>
      <c r="C14" s="13">
        <v>260.20400797858798</v>
      </c>
    </row>
    <row r="15" spans="1:3" x14ac:dyDescent="0.25">
      <c r="A15" s="13">
        <v>1994</v>
      </c>
      <c r="B15" s="13">
        <v>2</v>
      </c>
      <c r="C15" s="13">
        <v>250.262811761004</v>
      </c>
    </row>
    <row r="16" spans="1:3" x14ac:dyDescent="0.25">
      <c r="A16" s="13">
        <v>1994</v>
      </c>
      <c r="B16" s="13">
        <v>3</v>
      </c>
      <c r="C16" s="13">
        <v>267.70987061375303</v>
      </c>
    </row>
    <row r="17" spans="1:3" x14ac:dyDescent="0.25">
      <c r="A17" s="13">
        <v>1994</v>
      </c>
      <c r="B17" s="13">
        <v>4</v>
      </c>
      <c r="C17" s="13">
        <v>285.77879984485298</v>
      </c>
    </row>
    <row r="18" spans="1:3" x14ac:dyDescent="0.25">
      <c r="A18" s="13">
        <v>1994</v>
      </c>
      <c r="B18" s="13">
        <v>5</v>
      </c>
      <c r="C18" s="13">
        <v>264.841082704651</v>
      </c>
    </row>
    <row r="19" spans="1:3" x14ac:dyDescent="0.25">
      <c r="A19" s="13">
        <v>1994</v>
      </c>
      <c r="B19" s="13">
        <v>6</v>
      </c>
      <c r="C19" s="13">
        <v>262.49021314335602</v>
      </c>
    </row>
    <row r="20" spans="1:3" x14ac:dyDescent="0.25">
      <c r="A20" s="13">
        <v>1994</v>
      </c>
      <c r="B20" s="13">
        <v>7</v>
      </c>
      <c r="C20" s="13">
        <v>269.48920344084303</v>
      </c>
    </row>
    <row r="21" spans="1:3" x14ac:dyDescent="0.25">
      <c r="A21" s="13">
        <v>1994</v>
      </c>
      <c r="B21" s="13">
        <v>8</v>
      </c>
      <c r="C21" s="13">
        <v>291.93749316274</v>
      </c>
    </row>
    <row r="22" spans="1:3" x14ac:dyDescent="0.25">
      <c r="A22" s="13">
        <v>1994</v>
      </c>
      <c r="B22" s="13">
        <v>9</v>
      </c>
      <c r="C22" s="13">
        <v>288.33485024667402</v>
      </c>
    </row>
    <row r="23" spans="1:3" x14ac:dyDescent="0.25">
      <c r="A23" s="13">
        <v>1994</v>
      </c>
      <c r="B23" s="13">
        <v>10</v>
      </c>
      <c r="C23" s="13">
        <v>297.46585978285401</v>
      </c>
    </row>
    <row r="24" spans="1:3" x14ac:dyDescent="0.25">
      <c r="A24" s="13">
        <v>1994</v>
      </c>
      <c r="B24" s="13">
        <v>11</v>
      </c>
      <c r="C24" s="13">
        <v>271.98400613832399</v>
      </c>
    </row>
    <row r="25" spans="1:3" x14ac:dyDescent="0.25">
      <c r="A25" s="13">
        <v>1994</v>
      </c>
      <c r="B25" s="13">
        <v>12</v>
      </c>
      <c r="C25" s="13">
        <v>301.52573763323602</v>
      </c>
    </row>
    <row r="26" spans="1:3" x14ac:dyDescent="0.25">
      <c r="A26" s="13">
        <v>1995</v>
      </c>
      <c r="B26" s="13">
        <v>1</v>
      </c>
      <c r="C26" s="13">
        <v>296.26957633086801</v>
      </c>
    </row>
    <row r="27" spans="1:3" x14ac:dyDescent="0.25">
      <c r="A27" s="13">
        <v>1995</v>
      </c>
      <c r="B27" s="13">
        <v>2</v>
      </c>
      <c r="C27" s="13">
        <v>293.36368391692997</v>
      </c>
    </row>
    <row r="28" spans="1:3" x14ac:dyDescent="0.25">
      <c r="A28" s="13">
        <v>1995</v>
      </c>
      <c r="B28" s="13">
        <v>3</v>
      </c>
      <c r="C28" s="13">
        <v>296.73639504417702</v>
      </c>
    </row>
    <row r="29" spans="1:3" x14ac:dyDescent="0.25">
      <c r="A29" s="13">
        <v>1995</v>
      </c>
      <c r="B29" s="13">
        <v>4</v>
      </c>
      <c r="C29" s="13">
        <v>287.77768807054503</v>
      </c>
    </row>
    <row r="30" spans="1:3" x14ac:dyDescent="0.25">
      <c r="A30" s="13">
        <v>1995</v>
      </c>
      <c r="B30" s="13">
        <v>5</v>
      </c>
      <c r="C30" s="13">
        <v>294.39144250776798</v>
      </c>
    </row>
    <row r="31" spans="1:3" x14ac:dyDescent="0.25">
      <c r="A31" s="13">
        <v>1995</v>
      </c>
      <c r="B31" s="13">
        <v>6</v>
      </c>
      <c r="C31" s="13">
        <v>294.42423845673602</v>
      </c>
    </row>
    <row r="32" spans="1:3" x14ac:dyDescent="0.25">
      <c r="A32" s="13">
        <v>1995</v>
      </c>
      <c r="B32" s="13">
        <v>7</v>
      </c>
      <c r="C32" s="13">
        <v>306.72869409384799</v>
      </c>
    </row>
    <row r="33" spans="1:3" x14ac:dyDescent="0.25">
      <c r="A33" s="13">
        <v>1995</v>
      </c>
      <c r="B33" s="13">
        <v>8</v>
      </c>
      <c r="C33" s="13">
        <v>297.35735448705498</v>
      </c>
    </row>
    <row r="34" spans="1:3" x14ac:dyDescent="0.25">
      <c r="A34" s="13">
        <v>1995</v>
      </c>
      <c r="B34" s="13">
        <v>9</v>
      </c>
      <c r="C34" s="13">
        <v>297.46102490345902</v>
      </c>
    </row>
    <row r="35" spans="1:3" x14ac:dyDescent="0.25">
      <c r="A35" s="13">
        <v>1995</v>
      </c>
      <c r="B35" s="13">
        <v>10</v>
      </c>
      <c r="C35" s="13">
        <v>303.73022893340402</v>
      </c>
    </row>
    <row r="36" spans="1:3" x14ac:dyDescent="0.25">
      <c r="A36" s="13">
        <v>1995</v>
      </c>
      <c r="B36" s="13">
        <v>11</v>
      </c>
      <c r="C36" s="13">
        <v>315.60245326341698</v>
      </c>
    </row>
    <row r="37" spans="1:3" x14ac:dyDescent="0.25">
      <c r="A37" s="13">
        <v>1995</v>
      </c>
      <c r="B37" s="13">
        <v>12</v>
      </c>
      <c r="C37" s="13">
        <v>290.01669426677603</v>
      </c>
    </row>
    <row r="38" spans="1:3" x14ac:dyDescent="0.25">
      <c r="A38" s="13">
        <v>1996</v>
      </c>
      <c r="B38" s="13">
        <v>1</v>
      </c>
      <c r="C38" s="13">
        <v>309.318862241739</v>
      </c>
    </row>
    <row r="39" spans="1:3" x14ac:dyDescent="0.25">
      <c r="A39" s="13">
        <v>1996</v>
      </c>
      <c r="B39" s="13">
        <v>2</v>
      </c>
      <c r="C39" s="13">
        <v>332.43354570169998</v>
      </c>
    </row>
    <row r="40" spans="1:3" x14ac:dyDescent="0.25">
      <c r="A40" s="13">
        <v>1996</v>
      </c>
      <c r="B40" s="13">
        <v>3</v>
      </c>
      <c r="C40" s="13">
        <v>353.38881011053701</v>
      </c>
    </row>
    <row r="41" spans="1:3" x14ac:dyDescent="0.25">
      <c r="A41" s="13">
        <v>1996</v>
      </c>
      <c r="B41" s="13">
        <v>4</v>
      </c>
      <c r="C41" s="13">
        <v>330.82911977653998</v>
      </c>
    </row>
    <row r="42" spans="1:3" x14ac:dyDescent="0.25">
      <c r="A42" s="13">
        <v>1996</v>
      </c>
      <c r="B42" s="13">
        <v>5</v>
      </c>
      <c r="C42" s="13">
        <v>335.380595886923</v>
      </c>
    </row>
    <row r="43" spans="1:3" x14ac:dyDescent="0.25">
      <c r="A43" s="13">
        <v>1996</v>
      </c>
      <c r="B43" s="13">
        <v>6</v>
      </c>
      <c r="C43" s="13">
        <v>343.816914990886</v>
      </c>
    </row>
    <row r="44" spans="1:3" x14ac:dyDescent="0.25">
      <c r="A44" s="13">
        <v>1996</v>
      </c>
      <c r="B44" s="13">
        <v>7</v>
      </c>
      <c r="C44" s="13">
        <v>334.58440603096602</v>
      </c>
    </row>
    <row r="45" spans="1:3" x14ac:dyDescent="0.25">
      <c r="A45" s="13">
        <v>1996</v>
      </c>
      <c r="B45" s="13">
        <v>8</v>
      </c>
      <c r="C45" s="13">
        <v>333.60605371004402</v>
      </c>
    </row>
    <row r="46" spans="1:3" x14ac:dyDescent="0.25">
      <c r="A46" s="13">
        <v>1996</v>
      </c>
      <c r="B46" s="13">
        <v>9</v>
      </c>
      <c r="C46" s="13">
        <v>333.72620400303902</v>
      </c>
    </row>
    <row r="47" spans="1:3" x14ac:dyDescent="0.25">
      <c r="A47" s="13">
        <v>1996</v>
      </c>
      <c r="B47" s="13">
        <v>10</v>
      </c>
      <c r="C47" s="13">
        <v>344.10072695892399</v>
      </c>
    </row>
    <row r="48" spans="1:3" x14ac:dyDescent="0.25">
      <c r="A48" s="13">
        <v>1996</v>
      </c>
      <c r="B48" s="13">
        <v>11</v>
      </c>
      <c r="C48" s="13">
        <v>348.50498825772598</v>
      </c>
    </row>
    <row r="49" spans="1:3" x14ac:dyDescent="0.25">
      <c r="A49" s="13">
        <v>1996</v>
      </c>
      <c r="B49" s="13">
        <v>12</v>
      </c>
      <c r="C49" s="13">
        <v>347.36300014965099</v>
      </c>
    </row>
    <row r="50" spans="1:3" x14ac:dyDescent="0.25">
      <c r="A50" s="13">
        <v>1997</v>
      </c>
      <c r="B50" s="13">
        <v>1</v>
      </c>
      <c r="C50" s="13">
        <v>314.55794289355202</v>
      </c>
    </row>
    <row r="51" spans="1:3" x14ac:dyDescent="0.25">
      <c r="A51" s="13">
        <v>1997</v>
      </c>
      <c r="B51" s="13">
        <v>2</v>
      </c>
      <c r="C51" s="13">
        <v>337.97263050510702</v>
      </c>
    </row>
    <row r="52" spans="1:3" x14ac:dyDescent="0.25">
      <c r="A52" s="13">
        <v>1997</v>
      </c>
      <c r="B52" s="13">
        <v>3</v>
      </c>
      <c r="C52" s="13">
        <v>349.77344165080598</v>
      </c>
    </row>
    <row r="53" spans="1:3" x14ac:dyDescent="0.25">
      <c r="A53" s="13">
        <v>1997</v>
      </c>
      <c r="B53" s="13">
        <v>4</v>
      </c>
      <c r="C53" s="13">
        <v>360.21136565233098</v>
      </c>
    </row>
    <row r="54" spans="1:3" x14ac:dyDescent="0.25">
      <c r="A54" s="13">
        <v>1997</v>
      </c>
      <c r="B54" s="13">
        <v>5</v>
      </c>
      <c r="C54" s="13">
        <v>343.34513797945999</v>
      </c>
    </row>
    <row r="55" spans="1:3" x14ac:dyDescent="0.25">
      <c r="A55" s="13">
        <v>1997</v>
      </c>
      <c r="B55" s="13">
        <v>6</v>
      </c>
      <c r="C55" s="13">
        <v>353.06357996960497</v>
      </c>
    </row>
    <row r="56" spans="1:3" x14ac:dyDescent="0.25">
      <c r="A56" s="13">
        <v>1997</v>
      </c>
      <c r="B56" s="13">
        <v>7</v>
      </c>
      <c r="C56" s="13">
        <v>361.38826850973197</v>
      </c>
    </row>
    <row r="57" spans="1:3" x14ac:dyDescent="0.25">
      <c r="A57" s="13">
        <v>1997</v>
      </c>
      <c r="B57" s="13">
        <v>8</v>
      </c>
      <c r="C57" s="13">
        <v>338.36013597416598</v>
      </c>
    </row>
    <row r="58" spans="1:3" x14ac:dyDescent="0.25">
      <c r="A58" s="13">
        <v>1997</v>
      </c>
      <c r="B58" s="13">
        <v>9</v>
      </c>
      <c r="C58" s="13">
        <v>352.87782061920399</v>
      </c>
    </row>
    <row r="59" spans="1:3" x14ac:dyDescent="0.25">
      <c r="A59" s="13">
        <v>1997</v>
      </c>
      <c r="B59" s="13">
        <v>10</v>
      </c>
      <c r="C59" s="13">
        <v>356.27175772435203</v>
      </c>
    </row>
    <row r="60" spans="1:3" x14ac:dyDescent="0.25">
      <c r="A60" s="13">
        <v>1997</v>
      </c>
      <c r="B60" s="13">
        <v>11</v>
      </c>
      <c r="C60" s="13">
        <v>348.75791767806697</v>
      </c>
    </row>
    <row r="61" spans="1:3" x14ac:dyDescent="0.25">
      <c r="A61" s="13">
        <v>1997</v>
      </c>
      <c r="B61" s="13">
        <v>12</v>
      </c>
      <c r="C61" s="13">
        <v>358.19794380558301</v>
      </c>
    </row>
    <row r="62" spans="1:3" x14ac:dyDescent="0.25">
      <c r="A62" s="13">
        <v>1998</v>
      </c>
      <c r="B62" s="13">
        <v>1</v>
      </c>
      <c r="C62" s="13">
        <v>374.66329434457799</v>
      </c>
    </row>
    <row r="63" spans="1:3" x14ac:dyDescent="0.25">
      <c r="A63" s="13">
        <v>1998</v>
      </c>
      <c r="B63" s="13">
        <v>2</v>
      </c>
      <c r="C63" s="13">
        <v>387.61932645998502</v>
      </c>
    </row>
    <row r="64" spans="1:3" x14ac:dyDescent="0.25">
      <c r="A64" s="13">
        <v>1998</v>
      </c>
      <c r="B64" s="13">
        <v>3</v>
      </c>
      <c r="C64" s="13">
        <v>329.84927129586202</v>
      </c>
    </row>
    <row r="65" spans="1:3" x14ac:dyDescent="0.25">
      <c r="A65" s="13">
        <v>1998</v>
      </c>
      <c r="B65" s="13">
        <v>4</v>
      </c>
      <c r="C65" s="13">
        <v>362.307775143215</v>
      </c>
    </row>
    <row r="66" spans="1:3" x14ac:dyDescent="0.25">
      <c r="A66" s="13">
        <v>1998</v>
      </c>
      <c r="B66" s="13">
        <v>5</v>
      </c>
      <c r="C66" s="13">
        <v>376.777190083866</v>
      </c>
    </row>
    <row r="67" spans="1:3" x14ac:dyDescent="0.25">
      <c r="A67" s="13">
        <v>1998</v>
      </c>
      <c r="B67" s="13">
        <v>6</v>
      </c>
      <c r="C67" s="13">
        <v>369.77844544775201</v>
      </c>
    </row>
    <row r="68" spans="1:3" x14ac:dyDescent="0.25">
      <c r="A68" s="13">
        <v>1998</v>
      </c>
      <c r="B68" s="13">
        <v>7</v>
      </c>
      <c r="C68" s="13">
        <v>338.29556853116497</v>
      </c>
    </row>
    <row r="69" spans="1:3" x14ac:dyDescent="0.25">
      <c r="A69" s="13">
        <v>1998</v>
      </c>
      <c r="B69" s="13">
        <v>8</v>
      </c>
      <c r="C69" s="13">
        <v>366.23218088065198</v>
      </c>
    </row>
    <row r="70" spans="1:3" x14ac:dyDescent="0.25">
      <c r="A70" s="13">
        <v>1998</v>
      </c>
      <c r="B70" s="13">
        <v>9</v>
      </c>
      <c r="C70" s="13">
        <v>341.70834694723499</v>
      </c>
    </row>
    <row r="71" spans="1:3" x14ac:dyDescent="0.25">
      <c r="A71" s="13">
        <v>1998</v>
      </c>
      <c r="B71" s="13">
        <v>10</v>
      </c>
      <c r="C71" s="13">
        <v>336.26315668851998</v>
      </c>
    </row>
    <row r="72" spans="1:3" x14ac:dyDescent="0.25">
      <c r="A72" s="13">
        <v>1998</v>
      </c>
      <c r="B72" s="13">
        <v>11</v>
      </c>
      <c r="C72" s="13">
        <v>329.25059716332902</v>
      </c>
    </row>
    <row r="73" spans="1:3" x14ac:dyDescent="0.25">
      <c r="A73" s="13">
        <v>1998</v>
      </c>
      <c r="B73" s="13">
        <v>12</v>
      </c>
      <c r="C73" s="13">
        <v>310.75075794799</v>
      </c>
    </row>
    <row r="74" spans="1:3" x14ac:dyDescent="0.25">
      <c r="A74" s="13">
        <v>1999</v>
      </c>
      <c r="B74" s="13">
        <v>1</v>
      </c>
      <c r="C74" s="13">
        <v>303.12377543911902</v>
      </c>
    </row>
    <row r="75" spans="1:3" x14ac:dyDescent="0.25">
      <c r="A75" s="13">
        <v>1999</v>
      </c>
      <c r="B75" s="13">
        <v>2</v>
      </c>
      <c r="C75" s="13">
        <v>293.66215980069302</v>
      </c>
    </row>
    <row r="76" spans="1:3" x14ac:dyDescent="0.25">
      <c r="A76" s="13">
        <v>1999</v>
      </c>
      <c r="B76" s="13">
        <v>3</v>
      </c>
      <c r="C76" s="13">
        <v>278.09697529568501</v>
      </c>
    </row>
    <row r="77" spans="1:3" x14ac:dyDescent="0.25">
      <c r="A77" s="13">
        <v>1999</v>
      </c>
      <c r="B77" s="13">
        <v>4</v>
      </c>
      <c r="C77" s="13">
        <v>287.85388328878901</v>
      </c>
    </row>
    <row r="78" spans="1:3" x14ac:dyDescent="0.25">
      <c r="A78" s="13">
        <v>1999</v>
      </c>
      <c r="B78" s="13">
        <v>5</v>
      </c>
      <c r="C78" s="13">
        <v>302.33397944538302</v>
      </c>
    </row>
    <row r="79" spans="1:3" x14ac:dyDescent="0.25">
      <c r="A79" s="13">
        <v>1999</v>
      </c>
      <c r="B79" s="13">
        <v>6</v>
      </c>
      <c r="C79" s="13">
        <v>309.74858864963102</v>
      </c>
    </row>
    <row r="80" spans="1:3" x14ac:dyDescent="0.25">
      <c r="A80" s="13">
        <v>1999</v>
      </c>
      <c r="B80" s="13">
        <v>7</v>
      </c>
      <c r="C80" s="13">
        <v>330.84163735442502</v>
      </c>
    </row>
    <row r="81" spans="1:3" x14ac:dyDescent="0.25">
      <c r="A81" s="13">
        <v>1999</v>
      </c>
      <c r="B81" s="13">
        <v>8</v>
      </c>
      <c r="C81" s="13">
        <v>327.641545428489</v>
      </c>
    </row>
    <row r="82" spans="1:3" x14ac:dyDescent="0.25">
      <c r="A82" s="13">
        <v>1999</v>
      </c>
      <c r="B82" s="13">
        <v>9</v>
      </c>
      <c r="C82" s="13">
        <v>335.01765530288799</v>
      </c>
    </row>
    <row r="83" spans="1:3" x14ac:dyDescent="0.25">
      <c r="A83" s="13">
        <v>1999</v>
      </c>
      <c r="B83" s="13">
        <v>10</v>
      </c>
      <c r="C83" s="13">
        <v>337.77126381115397</v>
      </c>
    </row>
    <row r="84" spans="1:3" x14ac:dyDescent="0.25">
      <c r="A84" s="13">
        <v>1999</v>
      </c>
      <c r="B84" s="13">
        <v>11</v>
      </c>
      <c r="C84" s="13">
        <v>350.93645445575498</v>
      </c>
    </row>
    <row r="85" spans="1:3" x14ac:dyDescent="0.25">
      <c r="A85" s="13">
        <v>1999</v>
      </c>
      <c r="B85" s="13">
        <v>12</v>
      </c>
      <c r="C85" s="13">
        <v>357.83573309738102</v>
      </c>
    </row>
    <row r="86" spans="1:3" x14ac:dyDescent="0.25">
      <c r="A86" s="13">
        <v>2000</v>
      </c>
      <c r="B86" s="13">
        <v>1</v>
      </c>
      <c r="C86" s="13">
        <v>354.40127414681001</v>
      </c>
    </row>
    <row r="87" spans="1:3" x14ac:dyDescent="0.25">
      <c r="A87" s="13">
        <v>2000</v>
      </c>
      <c r="B87" s="13">
        <v>2</v>
      </c>
      <c r="C87" s="13">
        <v>341.15375402820899</v>
      </c>
    </row>
    <row r="88" spans="1:3" x14ac:dyDescent="0.25">
      <c r="A88" s="13">
        <v>2000</v>
      </c>
      <c r="B88" s="13">
        <v>3</v>
      </c>
      <c r="C88" s="13">
        <v>385.678810634733</v>
      </c>
    </row>
    <row r="89" spans="1:3" x14ac:dyDescent="0.25">
      <c r="A89" s="13">
        <v>2000</v>
      </c>
      <c r="B89" s="13">
        <v>4</v>
      </c>
      <c r="C89" s="13">
        <v>367.89969726868702</v>
      </c>
    </row>
    <row r="90" spans="1:3" x14ac:dyDescent="0.25">
      <c r="A90" s="13">
        <v>2000</v>
      </c>
      <c r="B90" s="13">
        <v>5</v>
      </c>
      <c r="C90" s="13">
        <v>336.25844666471602</v>
      </c>
    </row>
    <row r="91" spans="1:3" x14ac:dyDescent="0.25">
      <c r="A91" s="13">
        <v>2000</v>
      </c>
      <c r="B91" s="13">
        <v>6</v>
      </c>
      <c r="C91" s="13">
        <v>338.86469816388097</v>
      </c>
    </row>
    <row r="92" spans="1:3" x14ac:dyDescent="0.25">
      <c r="A92" s="13">
        <v>2000</v>
      </c>
      <c r="B92" s="13">
        <v>7</v>
      </c>
      <c r="C92" s="13">
        <v>358.072048508016</v>
      </c>
    </row>
    <row r="93" spans="1:3" x14ac:dyDescent="0.25">
      <c r="A93" s="13">
        <v>2000</v>
      </c>
      <c r="B93" s="13">
        <v>8</v>
      </c>
      <c r="C93" s="13">
        <v>375.40800528316902</v>
      </c>
    </row>
    <row r="94" spans="1:3" x14ac:dyDescent="0.25">
      <c r="A94" s="13">
        <v>2000</v>
      </c>
      <c r="B94" s="13">
        <v>9</v>
      </c>
      <c r="C94" s="13">
        <v>394.93805079705999</v>
      </c>
    </row>
    <row r="95" spans="1:3" x14ac:dyDescent="0.25">
      <c r="A95" s="13">
        <v>2000</v>
      </c>
      <c r="B95" s="13">
        <v>10</v>
      </c>
      <c r="C95" s="13">
        <v>391.35980845311002</v>
      </c>
    </row>
    <row r="96" spans="1:3" x14ac:dyDescent="0.25">
      <c r="A96" s="13">
        <v>2000</v>
      </c>
      <c r="B96" s="13">
        <v>11</v>
      </c>
      <c r="C96" s="13">
        <v>401.16584314201702</v>
      </c>
    </row>
    <row r="97" spans="1:3" x14ac:dyDescent="0.25">
      <c r="A97" s="13">
        <v>2000</v>
      </c>
      <c r="B97" s="13">
        <v>12</v>
      </c>
      <c r="C97" s="13">
        <v>412.76654071418</v>
      </c>
    </row>
    <row r="98" spans="1:3" x14ac:dyDescent="0.25">
      <c r="A98" s="13">
        <v>2001</v>
      </c>
      <c r="B98" s="13">
        <v>1</v>
      </c>
      <c r="C98" s="13">
        <v>381.83095934668802</v>
      </c>
    </row>
    <row r="99" spans="1:3" x14ac:dyDescent="0.25">
      <c r="A99" s="13">
        <v>2001</v>
      </c>
      <c r="B99" s="13">
        <v>2</v>
      </c>
      <c r="C99" s="13">
        <v>362.90762500182501</v>
      </c>
    </row>
    <row r="100" spans="1:3" x14ac:dyDescent="0.25">
      <c r="A100" s="13">
        <v>2001</v>
      </c>
      <c r="B100" s="13">
        <v>3</v>
      </c>
      <c r="C100" s="13">
        <v>381.05122592553101</v>
      </c>
    </row>
    <row r="101" spans="1:3" x14ac:dyDescent="0.25">
      <c r="A101" s="13">
        <v>2001</v>
      </c>
      <c r="B101" s="13">
        <v>4</v>
      </c>
      <c r="C101" s="13">
        <v>374.76237569504599</v>
      </c>
    </row>
    <row r="102" spans="1:3" x14ac:dyDescent="0.25">
      <c r="A102" s="13">
        <v>2001</v>
      </c>
      <c r="B102" s="13">
        <v>5</v>
      </c>
      <c r="C102" s="13">
        <v>377.17037169409099</v>
      </c>
    </row>
    <row r="103" spans="1:3" x14ac:dyDescent="0.25">
      <c r="A103" s="13">
        <v>2001</v>
      </c>
      <c r="B103" s="13">
        <v>6</v>
      </c>
      <c r="C103" s="13">
        <v>376.86232494490503</v>
      </c>
    </row>
    <row r="104" spans="1:3" x14ac:dyDescent="0.25">
      <c r="A104" s="13">
        <v>2001</v>
      </c>
      <c r="B104" s="13">
        <v>7</v>
      </c>
      <c r="C104" s="13">
        <v>348.99403999697199</v>
      </c>
    </row>
    <row r="105" spans="1:3" x14ac:dyDescent="0.25">
      <c r="A105" s="13">
        <v>2001</v>
      </c>
      <c r="B105" s="13">
        <v>8</v>
      </c>
      <c r="C105" s="13">
        <v>255.20824039953101</v>
      </c>
    </row>
    <row r="106" spans="1:3" x14ac:dyDescent="0.25">
      <c r="A106" s="13">
        <v>2001</v>
      </c>
      <c r="B106" s="13">
        <v>9</v>
      </c>
      <c r="C106" s="13">
        <v>339.64029961603001</v>
      </c>
    </row>
    <row r="107" spans="1:3" x14ac:dyDescent="0.25">
      <c r="A107" s="13">
        <v>2001</v>
      </c>
      <c r="B107" s="13">
        <v>10</v>
      </c>
      <c r="C107" s="13">
        <v>313.75264664674802</v>
      </c>
    </row>
    <row r="108" spans="1:3" x14ac:dyDescent="0.25">
      <c r="A108" s="13">
        <v>2001</v>
      </c>
      <c r="B108" s="13">
        <v>11</v>
      </c>
      <c r="C108" s="13">
        <v>308.75342294246201</v>
      </c>
    </row>
    <row r="109" spans="1:3" x14ac:dyDescent="0.25">
      <c r="A109" s="13">
        <v>2001</v>
      </c>
      <c r="B109" s="13">
        <v>12</v>
      </c>
      <c r="C109" s="13">
        <v>299.91290551694902</v>
      </c>
    </row>
    <row r="110" spans="1:3" x14ac:dyDescent="0.25">
      <c r="A110" s="13">
        <v>2002</v>
      </c>
      <c r="B110" s="13">
        <v>1</v>
      </c>
      <c r="C110" s="13">
        <v>309.26275095480202</v>
      </c>
    </row>
    <row r="111" spans="1:3" x14ac:dyDescent="0.25">
      <c r="A111" s="13">
        <v>2002</v>
      </c>
      <c r="B111" s="13">
        <v>2</v>
      </c>
      <c r="C111" s="13">
        <v>347.435528497007</v>
      </c>
    </row>
    <row r="112" spans="1:3" x14ac:dyDescent="0.25">
      <c r="A112" s="13">
        <v>2002</v>
      </c>
      <c r="B112" s="13">
        <v>3</v>
      </c>
      <c r="C112" s="13">
        <v>331.33520370605902</v>
      </c>
    </row>
    <row r="113" spans="1:3" x14ac:dyDescent="0.25">
      <c r="A113" s="13">
        <v>2002</v>
      </c>
      <c r="B113" s="13">
        <v>4</v>
      </c>
      <c r="C113" s="13">
        <v>379.951216291707</v>
      </c>
    </row>
    <row r="114" spans="1:3" x14ac:dyDescent="0.25">
      <c r="A114" s="13">
        <v>2002</v>
      </c>
      <c r="B114" s="13">
        <v>5</v>
      </c>
      <c r="C114" s="13">
        <v>368.05417765465501</v>
      </c>
    </row>
    <row r="115" spans="1:3" x14ac:dyDescent="0.25">
      <c r="A115" s="13">
        <v>2002</v>
      </c>
      <c r="B115" s="13">
        <v>6</v>
      </c>
      <c r="C115" s="13">
        <v>358.84465960341998</v>
      </c>
    </row>
    <row r="116" spans="1:3" x14ac:dyDescent="0.25">
      <c r="A116" s="13">
        <v>2002</v>
      </c>
      <c r="B116" s="13">
        <v>7</v>
      </c>
      <c r="C116" s="13">
        <v>368.78857363984997</v>
      </c>
    </row>
    <row r="117" spans="1:3" x14ac:dyDescent="0.25">
      <c r="A117" s="13">
        <v>2002</v>
      </c>
      <c r="B117" s="13">
        <v>8</v>
      </c>
      <c r="C117" s="13">
        <v>375.21719015178599</v>
      </c>
    </row>
    <row r="118" spans="1:3" x14ac:dyDescent="0.25">
      <c r="A118" s="13">
        <v>2002</v>
      </c>
      <c r="B118" s="13">
        <v>9</v>
      </c>
      <c r="C118" s="13">
        <v>383.92748344304499</v>
      </c>
    </row>
    <row r="119" spans="1:3" x14ac:dyDescent="0.25">
      <c r="A119" s="13">
        <v>2002</v>
      </c>
      <c r="B119" s="13">
        <v>10</v>
      </c>
      <c r="C119" s="13">
        <v>388.04542952707402</v>
      </c>
    </row>
    <row r="120" spans="1:3" x14ac:dyDescent="0.25">
      <c r="A120" s="13">
        <v>2002</v>
      </c>
      <c r="B120" s="13">
        <v>11</v>
      </c>
      <c r="C120" s="13">
        <v>370.36256779557601</v>
      </c>
    </row>
    <row r="121" spans="1:3" x14ac:dyDescent="0.25">
      <c r="A121" s="13">
        <v>2002</v>
      </c>
      <c r="B121" s="13">
        <v>12</v>
      </c>
      <c r="C121" s="13">
        <v>392.112634108159</v>
      </c>
    </row>
    <row r="122" spans="1:3" x14ac:dyDescent="0.25">
      <c r="A122" s="13">
        <v>2003</v>
      </c>
      <c r="B122" s="13">
        <v>1</v>
      </c>
      <c r="C122" s="13">
        <v>416.04985126380399</v>
      </c>
    </row>
    <row r="123" spans="1:3" x14ac:dyDescent="0.25">
      <c r="A123" s="13">
        <v>2003</v>
      </c>
      <c r="B123" s="13">
        <v>2</v>
      </c>
      <c r="C123" s="13">
        <v>421.388646990089</v>
      </c>
    </row>
    <row r="124" spans="1:3" x14ac:dyDescent="0.25">
      <c r="A124" s="13">
        <v>2003</v>
      </c>
      <c r="B124" s="13">
        <v>3</v>
      </c>
      <c r="C124" s="13">
        <v>434.88364104432799</v>
      </c>
    </row>
    <row r="125" spans="1:3" x14ac:dyDescent="0.25">
      <c r="A125" s="13">
        <v>2003</v>
      </c>
      <c r="B125" s="13">
        <v>4</v>
      </c>
      <c r="C125" s="13">
        <v>418.89598666156098</v>
      </c>
    </row>
    <row r="126" spans="1:3" x14ac:dyDescent="0.25">
      <c r="A126" s="13">
        <v>2003</v>
      </c>
      <c r="B126" s="13">
        <v>5</v>
      </c>
      <c r="C126" s="13">
        <v>418.70138710579198</v>
      </c>
    </row>
    <row r="127" spans="1:3" x14ac:dyDescent="0.25">
      <c r="A127" s="13">
        <v>2003</v>
      </c>
      <c r="B127" s="13">
        <v>6</v>
      </c>
      <c r="C127" s="13">
        <v>420.94266874655</v>
      </c>
    </row>
    <row r="128" spans="1:3" x14ac:dyDescent="0.25">
      <c r="A128" s="13">
        <v>2003</v>
      </c>
      <c r="B128" s="13">
        <v>7</v>
      </c>
      <c r="C128" s="13">
        <v>414.19666243671099</v>
      </c>
    </row>
    <row r="129" spans="1:3" x14ac:dyDescent="0.25">
      <c r="A129" s="13">
        <v>2003</v>
      </c>
      <c r="B129" s="13">
        <v>8</v>
      </c>
      <c r="C129" s="13">
        <v>422.71394626978201</v>
      </c>
    </row>
    <row r="130" spans="1:3" x14ac:dyDescent="0.25">
      <c r="A130" s="13">
        <v>2003</v>
      </c>
      <c r="B130" s="13">
        <v>9</v>
      </c>
      <c r="C130" s="13">
        <v>411.59780154261898</v>
      </c>
    </row>
    <row r="131" spans="1:3" x14ac:dyDescent="0.25">
      <c r="A131" s="13">
        <v>2003</v>
      </c>
      <c r="B131" s="13">
        <v>10</v>
      </c>
      <c r="C131" s="13">
        <v>422.40621046814999</v>
      </c>
    </row>
    <row r="132" spans="1:3" x14ac:dyDescent="0.25">
      <c r="A132" s="13">
        <v>2003</v>
      </c>
      <c r="B132" s="13">
        <v>11</v>
      </c>
      <c r="C132" s="13">
        <v>416.68550312208498</v>
      </c>
    </row>
    <row r="133" spans="1:3" x14ac:dyDescent="0.25">
      <c r="A133" s="13">
        <v>2003</v>
      </c>
      <c r="B133" s="13">
        <v>12</v>
      </c>
      <c r="C133" s="13">
        <v>425.59888517773697</v>
      </c>
    </row>
    <row r="134" spans="1:3" x14ac:dyDescent="0.25">
      <c r="A134" s="13">
        <v>2004</v>
      </c>
      <c r="B134" s="13">
        <v>1</v>
      </c>
      <c r="C134" s="13">
        <v>439.10520698078199</v>
      </c>
    </row>
    <row r="135" spans="1:3" x14ac:dyDescent="0.25">
      <c r="A135" s="13">
        <v>2004</v>
      </c>
      <c r="B135" s="13">
        <v>2</v>
      </c>
      <c r="C135" s="13">
        <v>410.35147967021697</v>
      </c>
    </row>
    <row r="136" spans="1:3" x14ac:dyDescent="0.25">
      <c r="A136" s="13">
        <v>2004</v>
      </c>
      <c r="B136" s="13">
        <v>3</v>
      </c>
      <c r="C136" s="13">
        <v>403.64429349889599</v>
      </c>
    </row>
    <row r="137" spans="1:3" x14ac:dyDescent="0.25">
      <c r="A137" s="13">
        <v>2004</v>
      </c>
      <c r="B137" s="13">
        <v>4</v>
      </c>
      <c r="C137" s="13">
        <v>400.90647390996702</v>
      </c>
    </row>
    <row r="138" spans="1:3" x14ac:dyDescent="0.25">
      <c r="A138" s="13">
        <v>2004</v>
      </c>
      <c r="B138" s="13">
        <v>5</v>
      </c>
      <c r="C138" s="13">
        <v>404.03686980184199</v>
      </c>
    </row>
    <row r="139" spans="1:3" x14ac:dyDescent="0.25">
      <c r="A139" s="13">
        <v>2004</v>
      </c>
      <c r="B139" s="13">
        <v>6</v>
      </c>
      <c r="C139" s="13">
        <v>409.99866762276201</v>
      </c>
    </row>
    <row r="140" spans="1:3" x14ac:dyDescent="0.25">
      <c r="A140" s="13">
        <v>2004</v>
      </c>
      <c r="B140" s="13">
        <v>7</v>
      </c>
      <c r="C140" s="13">
        <v>423.45722457237702</v>
      </c>
    </row>
    <row r="141" spans="1:3" x14ac:dyDescent="0.25">
      <c r="A141" s="13">
        <v>2004</v>
      </c>
      <c r="B141" s="13">
        <v>8</v>
      </c>
      <c r="C141" s="13">
        <v>414.63248444715299</v>
      </c>
    </row>
    <row r="142" spans="1:3" x14ac:dyDescent="0.25">
      <c r="A142" s="13">
        <v>2004</v>
      </c>
      <c r="B142" s="13">
        <v>9</v>
      </c>
      <c r="C142" s="13">
        <v>420.90054895060098</v>
      </c>
    </row>
    <row r="143" spans="1:3" x14ac:dyDescent="0.25">
      <c r="A143" s="13">
        <v>2004</v>
      </c>
      <c r="B143" s="13">
        <v>10</v>
      </c>
      <c r="C143" s="13">
        <v>448.72220516251002</v>
      </c>
    </row>
    <row r="144" spans="1:3" x14ac:dyDescent="0.25">
      <c r="A144" s="13">
        <v>2004</v>
      </c>
      <c r="B144" s="13">
        <v>11</v>
      </c>
      <c r="C144" s="13">
        <v>465.38705856059602</v>
      </c>
    </row>
    <row r="145" spans="1:3" x14ac:dyDescent="0.25">
      <c r="A145" s="13">
        <v>2004</v>
      </c>
      <c r="B145" s="13">
        <v>12</v>
      </c>
      <c r="C145" s="13">
        <v>465.94911157689597</v>
      </c>
    </row>
    <row r="146" spans="1:3" x14ac:dyDescent="0.25">
      <c r="A146" s="13">
        <v>2005</v>
      </c>
      <c r="B146" s="13">
        <v>1</v>
      </c>
      <c r="C146" s="13">
        <v>467.56552655890499</v>
      </c>
    </row>
    <row r="147" spans="1:3" x14ac:dyDescent="0.25">
      <c r="A147" s="13">
        <v>2005</v>
      </c>
      <c r="B147" s="13">
        <v>2</v>
      </c>
      <c r="C147" s="13">
        <v>452.68723244870802</v>
      </c>
    </row>
    <row r="148" spans="1:3" x14ac:dyDescent="0.25">
      <c r="A148" s="13">
        <v>2005</v>
      </c>
      <c r="B148" s="13">
        <v>3</v>
      </c>
      <c r="C148" s="13">
        <v>447.42662175855202</v>
      </c>
    </row>
    <row r="149" spans="1:3" x14ac:dyDescent="0.25">
      <c r="A149" s="13">
        <v>2005</v>
      </c>
      <c r="B149" s="13">
        <v>4</v>
      </c>
      <c r="C149" s="13">
        <v>454.90394088866998</v>
      </c>
    </row>
    <row r="150" spans="1:3" x14ac:dyDescent="0.25">
      <c r="A150" s="13">
        <v>2005</v>
      </c>
      <c r="B150" s="13">
        <v>5</v>
      </c>
      <c r="C150" s="13">
        <v>465.34404660852601</v>
      </c>
    </row>
    <row r="151" spans="1:3" x14ac:dyDescent="0.25">
      <c r="A151" s="13">
        <v>2005</v>
      </c>
      <c r="B151" s="13">
        <v>6</v>
      </c>
      <c r="C151" s="13">
        <v>441.29516640312198</v>
      </c>
    </row>
    <row r="152" spans="1:3" x14ac:dyDescent="0.25">
      <c r="A152" s="13">
        <v>2005</v>
      </c>
      <c r="B152" s="13">
        <v>7</v>
      </c>
      <c r="C152" s="13">
        <v>440.69521803908299</v>
      </c>
    </row>
    <row r="153" spans="1:3" x14ac:dyDescent="0.25">
      <c r="A153" s="13">
        <v>2005</v>
      </c>
      <c r="B153" s="13">
        <v>8</v>
      </c>
      <c r="C153" s="13">
        <v>445.61718899688998</v>
      </c>
    </row>
    <row r="154" spans="1:3" x14ac:dyDescent="0.25">
      <c r="A154" s="13">
        <v>2005</v>
      </c>
      <c r="B154" s="13">
        <v>9</v>
      </c>
      <c r="C154" s="13">
        <v>410.47910880096799</v>
      </c>
    </row>
    <row r="155" spans="1:3" x14ac:dyDescent="0.25">
      <c r="A155" s="13">
        <v>2005</v>
      </c>
      <c r="B155" s="13">
        <v>10</v>
      </c>
      <c r="C155" s="13">
        <v>417.458880352557</v>
      </c>
    </row>
    <row r="156" spans="1:3" x14ac:dyDescent="0.25">
      <c r="A156" s="13">
        <v>2005</v>
      </c>
      <c r="B156" s="13">
        <v>11</v>
      </c>
      <c r="C156" s="13">
        <v>465.12346340050902</v>
      </c>
    </row>
    <row r="157" spans="1:3" x14ac:dyDescent="0.25">
      <c r="A157" s="13">
        <v>2005</v>
      </c>
      <c r="B157" s="13">
        <v>12</v>
      </c>
      <c r="C157" s="13">
        <v>481.66521439722402</v>
      </c>
    </row>
    <row r="158" spans="1:3" x14ac:dyDescent="0.25">
      <c r="A158" s="13">
        <v>2006</v>
      </c>
      <c r="B158" s="13">
        <v>1</v>
      </c>
      <c r="C158" s="13">
        <v>475.689321765042</v>
      </c>
    </row>
    <row r="159" spans="1:3" x14ac:dyDescent="0.25">
      <c r="A159" s="13">
        <v>2006</v>
      </c>
      <c r="B159" s="13">
        <v>2</v>
      </c>
      <c r="C159" s="13">
        <v>477.22306504943202</v>
      </c>
    </row>
    <row r="160" spans="1:3" x14ac:dyDescent="0.25">
      <c r="A160" s="13">
        <v>2006</v>
      </c>
      <c r="B160" s="13">
        <v>3</v>
      </c>
      <c r="C160" s="13">
        <v>485.243972686973</v>
      </c>
    </row>
    <row r="161" spans="1:3" x14ac:dyDescent="0.25">
      <c r="A161" s="13">
        <v>2006</v>
      </c>
      <c r="B161" s="13">
        <v>4</v>
      </c>
      <c r="C161" s="13">
        <v>472.15484855561601</v>
      </c>
    </row>
    <row r="162" spans="1:3" x14ac:dyDescent="0.25">
      <c r="A162" s="13">
        <v>2006</v>
      </c>
      <c r="B162" s="13">
        <v>5</v>
      </c>
      <c r="C162" s="13">
        <v>482.12922373232198</v>
      </c>
    </row>
    <row r="163" spans="1:3" x14ac:dyDescent="0.25">
      <c r="A163" s="13">
        <v>2006</v>
      </c>
      <c r="B163" s="13">
        <v>6</v>
      </c>
      <c r="C163" s="13">
        <v>490.53995299008398</v>
      </c>
    </row>
    <row r="164" spans="1:3" x14ac:dyDescent="0.25">
      <c r="A164" s="13">
        <v>2006</v>
      </c>
      <c r="B164" s="13">
        <v>7</v>
      </c>
      <c r="C164" s="13">
        <v>464.423949707465</v>
      </c>
    </row>
    <row r="165" spans="1:3" x14ac:dyDescent="0.25">
      <c r="A165" s="13">
        <v>2006</v>
      </c>
      <c r="B165" s="13">
        <v>8</v>
      </c>
      <c r="C165" s="13">
        <v>445.82564993382698</v>
      </c>
    </row>
    <row r="166" spans="1:3" x14ac:dyDescent="0.25">
      <c r="A166" s="13">
        <v>2006</v>
      </c>
      <c r="B166" s="13">
        <v>9</v>
      </c>
      <c r="C166" s="13">
        <v>478.22346206162098</v>
      </c>
    </row>
    <row r="167" spans="1:3" x14ac:dyDescent="0.25">
      <c r="A167" s="13">
        <v>2006</v>
      </c>
      <c r="B167" s="13">
        <v>10</v>
      </c>
      <c r="C167" s="13">
        <v>452.70397382499101</v>
      </c>
    </row>
    <row r="168" spans="1:3" x14ac:dyDescent="0.25">
      <c r="A168" s="13">
        <v>2006</v>
      </c>
      <c r="B168" s="13">
        <v>11</v>
      </c>
      <c r="C168" s="13">
        <v>405.80770183692698</v>
      </c>
    </row>
    <row r="169" spans="1:3" x14ac:dyDescent="0.25">
      <c r="A169" s="13">
        <v>2006</v>
      </c>
      <c r="B169" s="13">
        <v>12</v>
      </c>
      <c r="C169" s="13">
        <v>405.45330718735403</v>
      </c>
    </row>
    <row r="170" spans="1:3" x14ac:dyDescent="0.25">
      <c r="A170" s="13">
        <v>2007</v>
      </c>
      <c r="B170" s="13">
        <v>1</v>
      </c>
      <c r="C170" s="13">
        <v>405.74348661707398</v>
      </c>
    </row>
    <row r="171" spans="1:3" x14ac:dyDescent="0.25">
      <c r="A171" s="13">
        <v>2007</v>
      </c>
      <c r="B171" s="13">
        <v>2</v>
      </c>
      <c r="C171" s="13">
        <v>446.99125057672802</v>
      </c>
    </row>
    <row r="172" spans="1:3" x14ac:dyDescent="0.25">
      <c r="A172" s="13">
        <v>2007</v>
      </c>
      <c r="B172" s="13">
        <v>3</v>
      </c>
      <c r="C172" s="13">
        <v>456.66935758856903</v>
      </c>
    </row>
    <row r="173" spans="1:3" x14ac:dyDescent="0.25">
      <c r="A173" s="13">
        <v>2007</v>
      </c>
      <c r="B173" s="13">
        <v>4</v>
      </c>
      <c r="C173" s="13">
        <v>466.94873219411102</v>
      </c>
    </row>
    <row r="174" spans="1:3" x14ac:dyDescent="0.25">
      <c r="A174" s="13">
        <v>2007</v>
      </c>
      <c r="B174" s="13">
        <v>5</v>
      </c>
      <c r="C174" s="13">
        <v>440.06353091427297</v>
      </c>
    </row>
    <row r="175" spans="1:3" x14ac:dyDescent="0.25">
      <c r="A175" s="13">
        <v>2007</v>
      </c>
      <c r="B175" s="13">
        <v>6</v>
      </c>
      <c r="C175" s="13">
        <v>446.489668854618</v>
      </c>
    </row>
    <row r="176" spans="1:3" x14ac:dyDescent="0.25">
      <c r="A176" s="13">
        <v>2007</v>
      </c>
      <c r="B176" s="13">
        <v>7</v>
      </c>
      <c r="C176" s="13">
        <v>337.00893653274301</v>
      </c>
    </row>
    <row r="177" spans="1:3" x14ac:dyDescent="0.25">
      <c r="A177" s="13">
        <v>2007</v>
      </c>
      <c r="B177" s="13">
        <v>8</v>
      </c>
      <c r="C177" s="13">
        <v>462.05505905735498</v>
      </c>
    </row>
    <row r="178" spans="1:3" x14ac:dyDescent="0.25">
      <c r="A178" s="13">
        <v>2007</v>
      </c>
      <c r="B178" s="13">
        <v>9</v>
      </c>
      <c r="C178" s="13">
        <v>466.27060480874502</v>
      </c>
    </row>
    <row r="179" spans="1:3" x14ac:dyDescent="0.25">
      <c r="A179" s="13">
        <v>2007</v>
      </c>
      <c r="B179" s="13">
        <v>10</v>
      </c>
      <c r="C179" s="13">
        <v>463.89641589560398</v>
      </c>
    </row>
    <row r="180" spans="1:3" x14ac:dyDescent="0.25">
      <c r="A180" s="13">
        <v>2007</v>
      </c>
      <c r="B180" s="13">
        <v>11</v>
      </c>
      <c r="C180" s="13">
        <v>485.46294917202999</v>
      </c>
    </row>
    <row r="181" spans="1:3" x14ac:dyDescent="0.25">
      <c r="A181" s="13">
        <v>2007</v>
      </c>
      <c r="B181" s="13">
        <v>12</v>
      </c>
      <c r="C181" s="13">
        <v>512.92561447608102</v>
      </c>
    </row>
    <row r="182" spans="1:3" x14ac:dyDescent="0.25">
      <c r="A182" s="13">
        <v>2008</v>
      </c>
      <c r="B182" s="13">
        <v>1</v>
      </c>
      <c r="C182" s="13">
        <v>492.53029967109001</v>
      </c>
    </row>
    <row r="183" spans="1:3" x14ac:dyDescent="0.25">
      <c r="A183" s="13">
        <v>2008</v>
      </c>
      <c r="B183" s="13">
        <v>2</v>
      </c>
      <c r="C183" s="13">
        <v>440.545828880984</v>
      </c>
    </row>
    <row r="184" spans="1:3" x14ac:dyDescent="0.25">
      <c r="A184" s="13">
        <v>2008</v>
      </c>
      <c r="B184" s="13">
        <v>3</v>
      </c>
      <c r="C184" s="13">
        <v>489.11804699164998</v>
      </c>
    </row>
    <row r="185" spans="1:3" x14ac:dyDescent="0.25">
      <c r="A185" s="13">
        <v>2008</v>
      </c>
      <c r="B185" s="13">
        <v>4</v>
      </c>
      <c r="C185" s="13">
        <v>495.94703025289698</v>
      </c>
    </row>
    <row r="186" spans="1:3" x14ac:dyDescent="0.25">
      <c r="A186" s="13">
        <v>2008</v>
      </c>
      <c r="B186" s="13">
        <v>5</v>
      </c>
      <c r="C186" s="13">
        <v>497.59816831073698</v>
      </c>
    </row>
    <row r="187" spans="1:3" x14ac:dyDescent="0.25">
      <c r="A187" s="13">
        <v>2008</v>
      </c>
      <c r="B187" s="13">
        <v>6</v>
      </c>
      <c r="C187" s="13">
        <v>495.248382567683</v>
      </c>
    </row>
    <row r="188" spans="1:3" x14ac:dyDescent="0.25">
      <c r="A188" s="13">
        <v>2008</v>
      </c>
      <c r="B188" s="13">
        <v>7</v>
      </c>
      <c r="C188" s="13">
        <v>508.51512693466998</v>
      </c>
    </row>
    <row r="189" spans="1:3" x14ac:dyDescent="0.25">
      <c r="A189" s="13">
        <v>2008</v>
      </c>
      <c r="B189" s="13">
        <v>8</v>
      </c>
      <c r="C189" s="13">
        <v>496.60062265757</v>
      </c>
    </row>
    <row r="190" spans="1:3" x14ac:dyDescent="0.25">
      <c r="A190" s="13">
        <v>2008</v>
      </c>
      <c r="B190" s="13">
        <v>9</v>
      </c>
      <c r="C190" s="13">
        <v>474.47119426455401</v>
      </c>
    </row>
    <row r="191" spans="1:3" x14ac:dyDescent="0.25">
      <c r="A191" s="13">
        <v>2008</v>
      </c>
      <c r="B191" s="13">
        <v>10</v>
      </c>
      <c r="C191" s="13">
        <v>445.75349437416003</v>
      </c>
    </row>
    <row r="192" spans="1:3" x14ac:dyDescent="0.25">
      <c r="A192" s="13">
        <v>2008</v>
      </c>
      <c r="B192" s="13">
        <v>11</v>
      </c>
      <c r="C192" s="13">
        <v>383.19711183153498</v>
      </c>
    </row>
    <row r="193" spans="1:3" x14ac:dyDescent="0.25">
      <c r="A193" s="13">
        <v>2008</v>
      </c>
      <c r="B193" s="13">
        <v>12</v>
      </c>
      <c r="C193" s="13">
        <v>290.784366140114</v>
      </c>
    </row>
    <row r="194" spans="1:3" x14ac:dyDescent="0.25">
      <c r="A194" s="13">
        <v>2009</v>
      </c>
      <c r="B194" s="13">
        <v>1</v>
      </c>
      <c r="C194" s="13">
        <v>362.46490019440898</v>
      </c>
    </row>
    <row r="195" spans="1:3" x14ac:dyDescent="0.25">
      <c r="A195" s="13">
        <v>2009</v>
      </c>
      <c r="B195" s="13">
        <v>2</v>
      </c>
      <c r="C195" s="13">
        <v>293.024433475987</v>
      </c>
    </row>
    <row r="196" spans="1:3" x14ac:dyDescent="0.25">
      <c r="A196" s="13">
        <v>2009</v>
      </c>
      <c r="B196" s="13">
        <v>3</v>
      </c>
      <c r="C196" s="13">
        <v>239.905619351523</v>
      </c>
    </row>
    <row r="197" spans="1:3" x14ac:dyDescent="0.25">
      <c r="A197" s="13">
        <v>2009</v>
      </c>
      <c r="B197" s="13">
        <v>4</v>
      </c>
      <c r="C197" s="13">
        <v>274.36259895104803</v>
      </c>
    </row>
    <row r="198" spans="1:3" x14ac:dyDescent="0.25">
      <c r="A198" s="13">
        <v>2009</v>
      </c>
      <c r="B198" s="13">
        <v>5</v>
      </c>
      <c r="C198" s="13">
        <v>267.28573330586102</v>
      </c>
    </row>
    <row r="199" spans="1:3" x14ac:dyDescent="0.25">
      <c r="A199" s="13">
        <v>2009</v>
      </c>
      <c r="B199" s="13">
        <v>6</v>
      </c>
      <c r="C199" s="13">
        <v>314.410951615415</v>
      </c>
    </row>
    <row r="200" spans="1:3" x14ac:dyDescent="0.25">
      <c r="A200" s="13">
        <v>2009</v>
      </c>
      <c r="B200" s="13">
        <v>7</v>
      </c>
      <c r="C200" s="13">
        <v>336.04656768126301</v>
      </c>
    </row>
    <row r="201" spans="1:3" x14ac:dyDescent="0.25">
      <c r="A201" s="13">
        <v>2009</v>
      </c>
      <c r="B201" s="13">
        <v>8</v>
      </c>
      <c r="C201" s="13">
        <v>341.20905488916702</v>
      </c>
    </row>
    <row r="202" spans="1:3" x14ac:dyDescent="0.25">
      <c r="A202" s="13">
        <v>2009</v>
      </c>
      <c r="B202" s="13">
        <v>9</v>
      </c>
      <c r="C202" s="13">
        <v>373.384010423164</v>
      </c>
    </row>
    <row r="203" spans="1:3" x14ac:dyDescent="0.25">
      <c r="A203" s="13">
        <v>2009</v>
      </c>
      <c r="B203" s="13">
        <v>10</v>
      </c>
      <c r="C203" s="13">
        <v>393.67186823365802</v>
      </c>
    </row>
    <row r="204" spans="1:3" x14ac:dyDescent="0.25">
      <c r="A204" s="13">
        <v>2009</v>
      </c>
      <c r="B204" s="13">
        <v>11</v>
      </c>
      <c r="C204" s="13">
        <v>403.76091275430502</v>
      </c>
    </row>
    <row r="205" spans="1:3" x14ac:dyDescent="0.25">
      <c r="A205" s="13">
        <v>2009</v>
      </c>
      <c r="B205" s="13">
        <v>12</v>
      </c>
      <c r="C205" s="13">
        <v>417.015231630806</v>
      </c>
    </row>
    <row r="206" spans="1:3" x14ac:dyDescent="0.25">
      <c r="A206" s="13">
        <v>2010</v>
      </c>
      <c r="B206" s="13">
        <v>1</v>
      </c>
      <c r="C206" s="13">
        <v>416.59728254253901</v>
      </c>
    </row>
    <row r="207" spans="1:3" x14ac:dyDescent="0.25">
      <c r="A207" s="13">
        <v>2010</v>
      </c>
      <c r="B207" s="13">
        <v>2</v>
      </c>
      <c r="C207" s="13">
        <v>423.36872751295499</v>
      </c>
    </row>
    <row r="208" spans="1:3" x14ac:dyDescent="0.25">
      <c r="A208" s="13">
        <v>2010</v>
      </c>
      <c r="B208" s="13">
        <v>3</v>
      </c>
      <c r="C208" s="13">
        <v>425.153189183704</v>
      </c>
    </row>
    <row r="209" spans="1:3" x14ac:dyDescent="0.25">
      <c r="A209" s="13">
        <v>2010</v>
      </c>
      <c r="B209" s="13">
        <v>4</v>
      </c>
      <c r="C209" s="13">
        <v>422.77316149149499</v>
      </c>
    </row>
    <row r="210" spans="1:3" x14ac:dyDescent="0.25">
      <c r="A210" s="13">
        <v>2010</v>
      </c>
      <c r="B210" s="13">
        <v>5</v>
      </c>
      <c r="C210" s="13">
        <v>434.31490887543498</v>
      </c>
    </row>
    <row r="211" spans="1:3" x14ac:dyDescent="0.25">
      <c r="A211" s="13">
        <v>2010</v>
      </c>
      <c r="B211" s="13">
        <v>6</v>
      </c>
      <c r="C211" s="13">
        <v>424.93047569339802</v>
      </c>
    </row>
    <row r="212" spans="1:3" x14ac:dyDescent="0.25">
      <c r="A212" s="13">
        <v>2010</v>
      </c>
      <c r="B212" s="13">
        <v>7</v>
      </c>
      <c r="C212" s="13">
        <v>419.73354246076798</v>
      </c>
    </row>
    <row r="213" spans="1:3" x14ac:dyDescent="0.25">
      <c r="A213" s="13">
        <v>2010</v>
      </c>
      <c r="B213" s="13">
        <v>8</v>
      </c>
      <c r="C213" s="13">
        <v>443.12960056261602</v>
      </c>
    </row>
    <row r="214" spans="1:3" x14ac:dyDescent="0.25">
      <c r="A214" s="13">
        <v>2010</v>
      </c>
      <c r="B214" s="13">
        <v>9</v>
      </c>
      <c r="C214" s="13">
        <v>432.166405471715</v>
      </c>
    </row>
    <row r="215" spans="1:3" x14ac:dyDescent="0.25">
      <c r="A215" s="13">
        <v>2010</v>
      </c>
      <c r="B215" s="13">
        <v>10</v>
      </c>
      <c r="C215" s="13">
        <v>430.65303221296199</v>
      </c>
    </row>
    <row r="216" spans="1:3" x14ac:dyDescent="0.25">
      <c r="A216" s="13">
        <v>2010</v>
      </c>
      <c r="B216" s="13">
        <v>11</v>
      </c>
      <c r="C216" s="13">
        <v>434.96001570415399</v>
      </c>
    </row>
    <row r="217" spans="1:3" x14ac:dyDescent="0.25">
      <c r="A217" s="13">
        <v>2010</v>
      </c>
      <c r="B217" s="13">
        <v>12</v>
      </c>
      <c r="C217" s="13">
        <v>434.39646646287503</v>
      </c>
    </row>
    <row r="218" spans="1:3" x14ac:dyDescent="0.25">
      <c r="A218" s="13">
        <v>2011</v>
      </c>
      <c r="B218" s="13">
        <v>1</v>
      </c>
      <c r="C218" s="13">
        <v>437.92442986974498</v>
      </c>
    </row>
    <row r="219" spans="1:3" x14ac:dyDescent="0.25">
      <c r="A219" s="13">
        <v>2011</v>
      </c>
      <c r="B219" s="13">
        <v>2</v>
      </c>
      <c r="C219" s="13">
        <v>492.10165678949301</v>
      </c>
    </row>
    <row r="220" spans="1:3" x14ac:dyDescent="0.25">
      <c r="A220" s="13">
        <v>2011</v>
      </c>
      <c r="B220" s="13">
        <v>3</v>
      </c>
      <c r="C220" s="13">
        <v>454.66583244057199</v>
      </c>
    </row>
    <row r="221" spans="1:3" x14ac:dyDescent="0.25">
      <c r="A221" s="13">
        <v>2011</v>
      </c>
      <c r="B221" s="13">
        <v>4</v>
      </c>
      <c r="C221" s="13">
        <v>467.50692313435297</v>
      </c>
    </row>
    <row r="222" spans="1:3" x14ac:dyDescent="0.25">
      <c r="A222" s="13">
        <v>2011</v>
      </c>
      <c r="B222" s="13">
        <v>5</v>
      </c>
      <c r="C222" s="13">
        <v>488.32946443173699</v>
      </c>
    </row>
    <row r="223" spans="1:3" x14ac:dyDescent="0.25">
      <c r="A223" s="13">
        <v>2011</v>
      </c>
      <c r="B223" s="13">
        <v>6</v>
      </c>
      <c r="C223" s="13">
        <v>474.06225106329202</v>
      </c>
    </row>
    <row r="224" spans="1:3" x14ac:dyDescent="0.25">
      <c r="A224" s="13">
        <v>2011</v>
      </c>
      <c r="B224" s="13">
        <v>7</v>
      </c>
      <c r="C224" s="13">
        <v>476.21994219785603</v>
      </c>
    </row>
    <row r="225" spans="1:3" x14ac:dyDescent="0.25">
      <c r="A225" s="13">
        <v>2011</v>
      </c>
      <c r="B225" s="13">
        <v>8</v>
      </c>
      <c r="C225" s="13">
        <v>460.59971794571601</v>
      </c>
    </row>
    <row r="226" spans="1:3" x14ac:dyDescent="0.25">
      <c r="A226" s="13">
        <v>2011</v>
      </c>
      <c r="B226" s="13">
        <v>9</v>
      </c>
      <c r="C226" s="13">
        <v>453.619123251612</v>
      </c>
    </row>
    <row r="227" spans="1:3" x14ac:dyDescent="0.25">
      <c r="A227" s="13">
        <v>2011</v>
      </c>
      <c r="B227" s="13">
        <v>10</v>
      </c>
      <c r="C227" s="13">
        <v>468.00044994260901</v>
      </c>
    </row>
    <row r="228" spans="1:3" x14ac:dyDescent="0.25">
      <c r="A228" s="13">
        <v>2011</v>
      </c>
      <c r="B228" s="13">
        <v>11</v>
      </c>
      <c r="C228" s="13">
        <v>468.40190324244401</v>
      </c>
    </row>
    <row r="229" spans="1:3" x14ac:dyDescent="0.25">
      <c r="A229" s="13">
        <v>2011</v>
      </c>
      <c r="B229" s="13">
        <v>12</v>
      </c>
      <c r="C229" s="13">
        <v>474.495118720383</v>
      </c>
    </row>
    <row r="230" spans="1:3" x14ac:dyDescent="0.25">
      <c r="A230" s="13">
        <v>2012</v>
      </c>
      <c r="B230" s="13">
        <v>1</v>
      </c>
      <c r="C230" s="13">
        <v>469.90782428163499</v>
      </c>
    </row>
    <row r="231" spans="1:3" x14ac:dyDescent="0.25">
      <c r="A231" s="13">
        <v>2012</v>
      </c>
      <c r="B231" s="13">
        <v>2</v>
      </c>
      <c r="C231" s="13">
        <v>474.99254147593302</v>
      </c>
    </row>
    <row r="232" spans="1:3" x14ac:dyDescent="0.25">
      <c r="A232" s="13">
        <v>2012</v>
      </c>
      <c r="B232" s="13">
        <v>3</v>
      </c>
      <c r="C232" s="13">
        <v>481.52392665625399</v>
      </c>
    </row>
    <row r="233" spans="1:3" x14ac:dyDescent="0.25">
      <c r="A233" s="13">
        <v>2012</v>
      </c>
      <c r="B233" s="13">
        <v>4</v>
      </c>
      <c r="C233" s="13">
        <v>473.21320597804601</v>
      </c>
    </row>
    <row r="234" spans="1:3" x14ac:dyDescent="0.25">
      <c r="A234" s="13">
        <v>2012</v>
      </c>
      <c r="B234" s="13">
        <v>5</v>
      </c>
      <c r="C234" s="13">
        <v>449.17753548980301</v>
      </c>
    </row>
    <row r="235" spans="1:3" x14ac:dyDescent="0.25">
      <c r="A235" s="13">
        <v>2012</v>
      </c>
      <c r="B235" s="13">
        <v>6</v>
      </c>
      <c r="C235" s="13">
        <v>452.769439618501</v>
      </c>
    </row>
    <row r="236" spans="1:3" x14ac:dyDescent="0.25">
      <c r="A236" s="13">
        <v>2012</v>
      </c>
      <c r="B236" s="13">
        <v>7</v>
      </c>
      <c r="C236" s="13">
        <v>331.67822595794399</v>
      </c>
    </row>
    <row r="237" spans="1:3" x14ac:dyDescent="0.25">
      <c r="A237" s="13">
        <v>2012</v>
      </c>
      <c r="B237" s="13">
        <v>8</v>
      </c>
      <c r="C237" s="13">
        <v>352.27148364793698</v>
      </c>
    </row>
    <row r="238" spans="1:3" x14ac:dyDescent="0.25">
      <c r="A238" s="13">
        <v>2012</v>
      </c>
      <c r="B238" s="13">
        <v>9</v>
      </c>
      <c r="C238" s="13">
        <v>377.48282165971602</v>
      </c>
    </row>
    <row r="239" spans="1:3" x14ac:dyDescent="0.25">
      <c r="A239" s="13">
        <v>2012</v>
      </c>
      <c r="B239" s="13">
        <v>10</v>
      </c>
      <c r="C239" s="13">
        <v>376.60915985937498</v>
      </c>
    </row>
    <row r="240" spans="1:3" x14ac:dyDescent="0.25">
      <c r="A240" s="13">
        <v>2012</v>
      </c>
      <c r="B240" s="13">
        <v>11</v>
      </c>
      <c r="C240" s="13">
        <v>379.89242964018598</v>
      </c>
    </row>
    <row r="241" spans="1:3" x14ac:dyDescent="0.25">
      <c r="A241" s="13">
        <v>2012</v>
      </c>
      <c r="B241" s="13">
        <v>12</v>
      </c>
      <c r="C241" s="13">
        <v>349.93532368942402</v>
      </c>
    </row>
    <row r="242" spans="1:3" x14ac:dyDescent="0.25">
      <c r="A242" s="13">
        <v>2013</v>
      </c>
      <c r="B242" s="13">
        <v>1</v>
      </c>
      <c r="C242" s="13">
        <v>387.89996514467799</v>
      </c>
    </row>
    <row r="243" spans="1:3" x14ac:dyDescent="0.25">
      <c r="A243" s="13">
        <v>2013</v>
      </c>
      <c r="B243" s="13">
        <v>2</v>
      </c>
      <c r="C243" s="13">
        <v>384.37638496669598</v>
      </c>
    </row>
    <row r="244" spans="1:3" x14ac:dyDescent="0.25">
      <c r="A244" s="13">
        <v>2013</v>
      </c>
      <c r="B244" s="13">
        <v>3</v>
      </c>
      <c r="C244" s="13">
        <v>453.63705642114701</v>
      </c>
    </row>
    <row r="245" spans="1:3" x14ac:dyDescent="0.25">
      <c r="A245" s="13">
        <v>2013</v>
      </c>
      <c r="B245" s="13">
        <v>4</v>
      </c>
      <c r="C245" s="13">
        <v>424.327740389957</v>
      </c>
    </row>
    <row r="246" spans="1:3" x14ac:dyDescent="0.25">
      <c r="A246" s="13">
        <v>2013</v>
      </c>
      <c r="B246" s="13">
        <v>5</v>
      </c>
      <c r="C246" s="13">
        <v>439.73126590163201</v>
      </c>
    </row>
    <row r="247" spans="1:3" x14ac:dyDescent="0.25">
      <c r="A247" s="13">
        <v>2013</v>
      </c>
      <c r="B247" s="13">
        <v>6</v>
      </c>
      <c r="C247" s="13">
        <v>415.186481119044</v>
      </c>
    </row>
    <row r="248" spans="1:3" x14ac:dyDescent="0.25">
      <c r="A248" s="13">
        <v>2013</v>
      </c>
      <c r="B248" s="13">
        <v>7</v>
      </c>
      <c r="C248" s="13">
        <v>449.78466235542601</v>
      </c>
    </row>
    <row r="249" spans="1:3" x14ac:dyDescent="0.25">
      <c r="A249" s="13">
        <v>2013</v>
      </c>
      <c r="B249" s="13">
        <v>8</v>
      </c>
      <c r="C249" s="13">
        <v>451.989276242367</v>
      </c>
    </row>
    <row r="250" spans="1:3" x14ac:dyDescent="0.25">
      <c r="A250" s="13">
        <v>2013</v>
      </c>
      <c r="B250" s="13">
        <v>9</v>
      </c>
      <c r="C250" s="13">
        <v>445.684999818628</v>
      </c>
    </row>
    <row r="251" spans="1:3" x14ac:dyDescent="0.25">
      <c r="A251" s="13">
        <v>2013</v>
      </c>
      <c r="B251" s="13">
        <v>10</v>
      </c>
      <c r="C251" s="13">
        <v>439.838923154214</v>
      </c>
    </row>
    <row r="252" spans="1:3" x14ac:dyDescent="0.25">
      <c r="A252" s="13">
        <v>2013</v>
      </c>
      <c r="B252" s="13">
        <v>11</v>
      </c>
      <c r="C252" s="13">
        <v>453.56163223030001</v>
      </c>
    </row>
    <row r="253" spans="1:3" x14ac:dyDescent="0.25">
      <c r="A253" s="13">
        <v>2013</v>
      </c>
      <c r="B253" s="13">
        <v>12</v>
      </c>
      <c r="C253" s="13">
        <v>448.90576068915902</v>
      </c>
    </row>
    <row r="254" spans="1:3" x14ac:dyDescent="0.25">
      <c r="A254" s="13">
        <v>2014</v>
      </c>
      <c r="B254" s="13">
        <v>1</v>
      </c>
      <c r="C254" s="13">
        <v>459.65261965446399</v>
      </c>
    </row>
    <row r="255" spans="1:3" x14ac:dyDescent="0.25">
      <c r="A255" s="13">
        <v>2014</v>
      </c>
      <c r="B255" s="13">
        <v>2</v>
      </c>
      <c r="C255" s="13">
        <v>445.030191650304</v>
      </c>
    </row>
    <row r="256" spans="1:3" x14ac:dyDescent="0.25">
      <c r="A256" s="13">
        <v>2014</v>
      </c>
      <c r="B256" s="13">
        <v>3</v>
      </c>
      <c r="C256" s="13">
        <v>458.48564766253202</v>
      </c>
    </row>
    <row r="257" spans="1:3" x14ac:dyDescent="0.25">
      <c r="A257" s="13">
        <v>2014</v>
      </c>
      <c r="B257" s="13">
        <v>4</v>
      </c>
      <c r="C257" s="13">
        <v>486.04096031009601</v>
      </c>
    </row>
    <row r="258" spans="1:3" x14ac:dyDescent="0.25">
      <c r="A258" s="13">
        <v>2014</v>
      </c>
      <c r="B258" s="13">
        <v>5</v>
      </c>
      <c r="C258" s="13">
        <v>474.78586234314997</v>
      </c>
    </row>
    <row r="259" spans="1:3" x14ac:dyDescent="0.25">
      <c r="A259" s="13">
        <v>2014</v>
      </c>
      <c r="B259" s="13">
        <v>6</v>
      </c>
      <c r="C259" s="13">
        <v>474.09131641891298</v>
      </c>
    </row>
    <row r="260" spans="1:3" x14ac:dyDescent="0.25">
      <c r="A260" s="13">
        <v>2014</v>
      </c>
      <c r="B260" s="13">
        <v>7</v>
      </c>
      <c r="C260" s="13">
        <v>463.52189109117</v>
      </c>
    </row>
    <row r="261" spans="1:3" x14ac:dyDescent="0.25">
      <c r="A261" s="13">
        <v>2014</v>
      </c>
      <c r="B261" s="13">
        <v>8</v>
      </c>
      <c r="C261" s="13">
        <v>440.55126847193202</v>
      </c>
    </row>
    <row r="262" spans="1:3" x14ac:dyDescent="0.25">
      <c r="A262" s="13">
        <v>2014</v>
      </c>
      <c r="B262" s="13">
        <v>9</v>
      </c>
      <c r="C262" s="13">
        <v>448.67069666500998</v>
      </c>
    </row>
    <row r="263" spans="1:3" x14ac:dyDescent="0.25">
      <c r="A263" s="13">
        <v>2014</v>
      </c>
      <c r="B263" s="13">
        <v>10</v>
      </c>
      <c r="C263" s="13">
        <v>438.99712153617998</v>
      </c>
    </row>
    <row r="264" spans="1:3" x14ac:dyDescent="0.25">
      <c r="A264" s="13">
        <v>2014</v>
      </c>
      <c r="B264" s="13">
        <v>11</v>
      </c>
      <c r="C264" s="13">
        <v>445.67979244452602</v>
      </c>
    </row>
    <row r="265" spans="1:3" x14ac:dyDescent="0.25">
      <c r="A265" s="13">
        <v>2014</v>
      </c>
      <c r="B265" s="13">
        <v>12</v>
      </c>
      <c r="C265" s="13">
        <v>464.39341361619603</v>
      </c>
    </row>
    <row r="266" spans="1:3" x14ac:dyDescent="0.25">
      <c r="A266" s="13">
        <v>2015</v>
      </c>
      <c r="B266" s="13">
        <v>1</v>
      </c>
      <c r="C266" s="13">
        <v>443.11688014449498</v>
      </c>
    </row>
    <row r="267" spans="1:3" x14ac:dyDescent="0.25">
      <c r="A267" s="13">
        <v>2015</v>
      </c>
      <c r="B267" s="13">
        <v>2</v>
      </c>
      <c r="C267" s="13">
        <v>439.55732973000602</v>
      </c>
    </row>
    <row r="268" spans="1:3" x14ac:dyDescent="0.25">
      <c r="A268" s="13">
        <v>2015</v>
      </c>
      <c r="B268" s="13">
        <v>3</v>
      </c>
      <c r="C268" s="13">
        <v>416.54667352145901</v>
      </c>
    </row>
    <row r="269" spans="1:3" x14ac:dyDescent="0.25">
      <c r="A269" s="13">
        <v>2015</v>
      </c>
      <c r="B269" s="13">
        <v>4</v>
      </c>
      <c r="C269" s="13">
        <v>387.48678263283699</v>
      </c>
    </row>
    <row r="270" spans="1:3" x14ac:dyDescent="0.25">
      <c r="A270" s="13">
        <v>2015</v>
      </c>
      <c r="B270" s="13">
        <v>5</v>
      </c>
      <c r="C270" s="13">
        <v>404.38427087722499</v>
      </c>
    </row>
    <row r="271" spans="1:3" x14ac:dyDescent="0.25">
      <c r="A271" s="13">
        <v>2015</v>
      </c>
      <c r="B271" s="13">
        <v>6</v>
      </c>
      <c r="C271" s="13">
        <v>442.52589520228901</v>
      </c>
    </row>
    <row r="272" spans="1:3" x14ac:dyDescent="0.25">
      <c r="A272" s="13">
        <v>2015</v>
      </c>
      <c r="B272" s="13">
        <v>7</v>
      </c>
      <c r="C272" s="13">
        <v>415.347213079835</v>
      </c>
    </row>
    <row r="273" spans="1:3" x14ac:dyDescent="0.25">
      <c r="A273" s="13">
        <v>2015</v>
      </c>
      <c r="B273" s="13">
        <v>8</v>
      </c>
      <c r="C273" s="13">
        <v>447.16779328072403</v>
      </c>
    </row>
    <row r="274" spans="1:3" x14ac:dyDescent="0.25">
      <c r="A274" s="13">
        <v>2015</v>
      </c>
      <c r="B274" s="13">
        <v>9</v>
      </c>
      <c r="C274" s="13">
        <v>432.63699657937298</v>
      </c>
    </row>
    <row r="275" spans="1:3" x14ac:dyDescent="0.25">
      <c r="A275" s="13">
        <v>2015</v>
      </c>
      <c r="B275" s="13">
        <v>10</v>
      </c>
      <c r="C275" s="13">
        <v>429.44993411182799</v>
      </c>
    </row>
    <row r="276" spans="1:3" x14ac:dyDescent="0.25">
      <c r="A276" s="13">
        <v>2015</v>
      </c>
      <c r="B276" s="13">
        <v>11</v>
      </c>
      <c r="C276" s="13">
        <v>387.25189382050797</v>
      </c>
    </row>
    <row r="277" spans="1:3" x14ac:dyDescent="0.25">
      <c r="A277" s="13">
        <v>2015</v>
      </c>
      <c r="B277" s="13">
        <v>12</v>
      </c>
      <c r="C277" s="13">
        <v>394.60740627146998</v>
      </c>
    </row>
    <row r="278" spans="1:3" x14ac:dyDescent="0.25">
      <c r="A278" s="13">
        <v>2016</v>
      </c>
      <c r="B278" s="13">
        <v>1</v>
      </c>
      <c r="C278" s="13">
        <v>381.45652174568397</v>
      </c>
    </row>
    <row r="279" spans="1:3" x14ac:dyDescent="0.25">
      <c r="A279" s="13">
        <v>2016</v>
      </c>
      <c r="B279" s="13">
        <v>2</v>
      </c>
      <c r="C279" s="13">
        <v>365.332311901048</v>
      </c>
    </row>
    <row r="280" spans="1:3" x14ac:dyDescent="0.25">
      <c r="A280" s="13">
        <v>2016</v>
      </c>
      <c r="B280" s="13">
        <v>3</v>
      </c>
      <c r="C280" s="13">
        <v>305.58327418756897</v>
      </c>
    </row>
    <row r="281" spans="1:3" x14ac:dyDescent="0.25">
      <c r="A281" s="13">
        <v>2016</v>
      </c>
      <c r="B281" s="13">
        <v>4</v>
      </c>
      <c r="C281" s="13">
        <v>324.20269919028198</v>
      </c>
    </row>
    <row r="282" spans="1:3" x14ac:dyDescent="0.25">
      <c r="A282" s="13">
        <v>2016</v>
      </c>
      <c r="B282" s="13">
        <v>5</v>
      </c>
      <c r="C282" s="13">
        <v>374.66629893596303</v>
      </c>
    </row>
    <row r="283" spans="1:3" x14ac:dyDescent="0.25">
      <c r="A283" s="13">
        <v>2016</v>
      </c>
      <c r="B283" s="13">
        <v>6</v>
      </c>
      <c r="C283" s="13">
        <v>372.58278365041002</v>
      </c>
    </row>
    <row r="284" spans="1:3" x14ac:dyDescent="0.25">
      <c r="A284" s="13">
        <v>2016</v>
      </c>
      <c r="B284" s="13">
        <v>7</v>
      </c>
      <c r="C284" s="13">
        <v>338.67891464411002</v>
      </c>
    </row>
    <row r="285" spans="1:3" x14ac:dyDescent="0.25">
      <c r="A285" s="13">
        <v>2016</v>
      </c>
      <c r="B285" s="13">
        <v>8</v>
      </c>
      <c r="C285" s="13">
        <v>315.93056173298601</v>
      </c>
    </row>
    <row r="286" spans="1:3" x14ac:dyDescent="0.25">
      <c r="A286" s="13">
        <v>2016</v>
      </c>
      <c r="B286" s="13">
        <v>9</v>
      </c>
      <c r="C286" s="13">
        <v>308.34493435359701</v>
      </c>
    </row>
    <row r="287" spans="1:3" x14ac:dyDescent="0.25">
      <c r="A287" s="13">
        <v>2016</v>
      </c>
      <c r="B287" s="13">
        <v>10</v>
      </c>
      <c r="C287" s="13">
        <v>337.98191403805902</v>
      </c>
    </row>
    <row r="288" spans="1:3" x14ac:dyDescent="0.25">
      <c r="A288" s="13">
        <v>2016</v>
      </c>
      <c r="B288" s="13">
        <v>11</v>
      </c>
      <c r="C288" s="13">
        <v>340.60000946738302</v>
      </c>
    </row>
    <row r="289" spans="1:3" x14ac:dyDescent="0.25">
      <c r="A289" s="13">
        <v>2016</v>
      </c>
      <c r="B289" s="13">
        <v>12</v>
      </c>
      <c r="C289" s="13">
        <v>339.96984697679602</v>
      </c>
    </row>
    <row r="290" spans="1:3" x14ac:dyDescent="0.25">
      <c r="A290" s="13">
        <v>2017</v>
      </c>
      <c r="B290" s="13">
        <v>1</v>
      </c>
      <c r="C290" s="13">
        <v>337.50246156365898</v>
      </c>
    </row>
    <row r="291" spans="1:3" x14ac:dyDescent="0.25">
      <c r="A291" s="13">
        <v>2017</v>
      </c>
      <c r="B291" s="13">
        <v>2</v>
      </c>
      <c r="C291" s="13">
        <v>363.39070218429902</v>
      </c>
    </row>
    <row r="292" spans="1:3" x14ac:dyDescent="0.25">
      <c r="A292" s="13">
        <v>2017</v>
      </c>
      <c r="B292" s="13">
        <v>3</v>
      </c>
      <c r="C292" s="13">
        <v>381.89257668870403</v>
      </c>
    </row>
    <row r="293" spans="1:3" x14ac:dyDescent="0.25">
      <c r="A293" s="13">
        <v>2017</v>
      </c>
      <c r="B293" s="13">
        <v>4</v>
      </c>
      <c r="C293" s="13">
        <v>371.180742480079</v>
      </c>
    </row>
    <row r="294" spans="1:3" x14ac:dyDescent="0.25">
      <c r="A294" s="13">
        <v>2017</v>
      </c>
      <c r="B294" s="13">
        <v>5</v>
      </c>
      <c r="C294" s="13">
        <v>392.31529102554902</v>
      </c>
    </row>
    <row r="295" spans="1:3" x14ac:dyDescent="0.25">
      <c r="A295" s="13">
        <v>2017</v>
      </c>
      <c r="B295" s="13">
        <v>6</v>
      </c>
      <c r="C295" s="13">
        <v>376.64692250758998</v>
      </c>
    </row>
    <row r="296" spans="1:3" x14ac:dyDescent="0.25">
      <c r="A296" s="13">
        <v>2017</v>
      </c>
      <c r="B296" s="13">
        <v>7</v>
      </c>
      <c r="C296" s="13">
        <v>379.49047570520901</v>
      </c>
    </row>
    <row r="297" spans="1:3" x14ac:dyDescent="0.25">
      <c r="A297" s="13">
        <v>2017</v>
      </c>
      <c r="B297" s="13">
        <v>8</v>
      </c>
      <c r="C297" s="13">
        <v>389.99279441021002</v>
      </c>
    </row>
    <row r="298" spans="1:3" x14ac:dyDescent="0.25">
      <c r="A298" s="13">
        <v>2017</v>
      </c>
      <c r="B298" s="13">
        <v>9</v>
      </c>
      <c r="C298" s="13">
        <v>407.51956950840798</v>
      </c>
    </row>
    <row r="299" spans="1:3" x14ac:dyDescent="0.25">
      <c r="A299" s="13">
        <v>2017</v>
      </c>
      <c r="B299" s="13">
        <v>10</v>
      </c>
      <c r="C299" s="13">
        <v>410.54688393584502</v>
      </c>
    </row>
    <row r="300" spans="1:3" x14ac:dyDescent="0.25">
      <c r="A300" s="13">
        <v>2017</v>
      </c>
      <c r="B300" s="13">
        <v>11</v>
      </c>
      <c r="C300" s="13">
        <v>413.89601495234098</v>
      </c>
    </row>
    <row r="301" spans="1:3" x14ac:dyDescent="0.25">
      <c r="A301" s="13">
        <v>2017</v>
      </c>
      <c r="B301" s="13">
        <v>12</v>
      </c>
      <c r="C301" s="13">
        <v>409.09148505330103</v>
      </c>
    </row>
    <row r="302" spans="1:3" x14ac:dyDescent="0.25">
      <c r="A302" s="13">
        <v>2018</v>
      </c>
      <c r="B302" s="13">
        <v>1</v>
      </c>
      <c r="C302" s="13">
        <v>384.83873398265399</v>
      </c>
    </row>
    <row r="303" spans="1:3" x14ac:dyDescent="0.25">
      <c r="A303" s="13">
        <v>2018</v>
      </c>
      <c r="B303" s="13">
        <v>2</v>
      </c>
      <c r="C303" s="13">
        <v>477.34390427369902</v>
      </c>
    </row>
    <row r="304" spans="1:3" x14ac:dyDescent="0.25">
      <c r="A304" s="13">
        <v>2018</v>
      </c>
      <c r="B304" s="13">
        <v>3</v>
      </c>
      <c r="C304" s="13">
        <v>465.39069695478702</v>
      </c>
    </row>
    <row r="305" spans="1:3" x14ac:dyDescent="0.25">
      <c r="A305" s="13">
        <v>2018</v>
      </c>
      <c r="B305" s="13">
        <v>4</v>
      </c>
      <c r="C305" s="13">
        <v>465.05752595358302</v>
      </c>
    </row>
    <row r="306" spans="1:3" x14ac:dyDescent="0.25">
      <c r="A306" s="13">
        <v>2018</v>
      </c>
      <c r="B306" s="13">
        <v>5</v>
      </c>
      <c r="C306" s="13">
        <v>438.616334237334</v>
      </c>
    </row>
    <row r="307" spans="1:3" x14ac:dyDescent="0.25">
      <c r="A307" s="13">
        <v>2018</v>
      </c>
      <c r="B307" s="13">
        <v>6</v>
      </c>
      <c r="C307" s="13">
        <v>421.36482733623001</v>
      </c>
    </row>
    <row r="308" spans="1:3" x14ac:dyDescent="0.25">
      <c r="A308" s="13">
        <v>2018</v>
      </c>
      <c r="B308" s="13">
        <v>7</v>
      </c>
      <c r="C308" s="13">
        <v>444.14680915867399</v>
      </c>
    </row>
    <row r="309" spans="1:3" x14ac:dyDescent="0.25">
      <c r="A309" s="13">
        <v>2018</v>
      </c>
      <c r="B309" s="13">
        <v>8</v>
      </c>
      <c r="C309" s="13">
        <v>427.73183251639301</v>
      </c>
    </row>
    <row r="310" spans="1:3" x14ac:dyDescent="0.25">
      <c r="A310" s="13">
        <v>2018</v>
      </c>
      <c r="B310" s="13">
        <v>9</v>
      </c>
      <c r="C310" s="13">
        <v>416.20804265789502</v>
      </c>
    </row>
    <row r="311" spans="1:3" x14ac:dyDescent="0.25">
      <c r="A311" s="13">
        <v>2018</v>
      </c>
      <c r="B311" s="13">
        <v>10</v>
      </c>
      <c r="C311" s="13">
        <v>412.36760697612402</v>
      </c>
    </row>
    <row r="312" spans="1:3" x14ac:dyDescent="0.25">
      <c r="A312" s="13">
        <v>2018</v>
      </c>
      <c r="B312" s="13">
        <v>11</v>
      </c>
      <c r="C312" s="13">
        <v>432.76682061691002</v>
      </c>
    </row>
    <row r="313" spans="1:3" x14ac:dyDescent="0.25">
      <c r="A313" s="13">
        <v>2018</v>
      </c>
      <c r="B313" s="13">
        <v>12</v>
      </c>
      <c r="C313" s="13">
        <v>381.862200998547</v>
      </c>
    </row>
    <row r="314" spans="1:3" x14ac:dyDescent="0.25">
      <c r="A314" s="13">
        <v>2019</v>
      </c>
      <c r="B314" s="13">
        <v>1</v>
      </c>
      <c r="C314" s="13">
        <v>408.33471415109699</v>
      </c>
    </row>
    <row r="315" spans="1:3" x14ac:dyDescent="0.25">
      <c r="A315" s="13">
        <v>2019</v>
      </c>
      <c r="B315" s="13">
        <v>2</v>
      </c>
      <c r="C315" s="13">
        <v>382.38904965845097</v>
      </c>
    </row>
    <row r="316" spans="1:3" x14ac:dyDescent="0.25">
      <c r="A316" s="13">
        <v>2019</v>
      </c>
      <c r="B316" s="13">
        <v>3</v>
      </c>
      <c r="C316" s="13">
        <v>385.09524700944701</v>
      </c>
    </row>
    <row r="317" spans="1:3" x14ac:dyDescent="0.25">
      <c r="A317" s="13">
        <v>2019</v>
      </c>
      <c r="B317" s="13">
        <v>4</v>
      </c>
      <c r="C317" s="13">
        <v>421.55242232228397</v>
      </c>
    </row>
    <row r="318" spans="1:3" x14ac:dyDescent="0.25">
      <c r="A318" s="13">
        <v>2019</v>
      </c>
      <c r="B318" s="13">
        <v>5</v>
      </c>
      <c r="C318" s="13">
        <v>409.32844575965999</v>
      </c>
    </row>
    <row r="319" spans="1:3" x14ac:dyDescent="0.25">
      <c r="A319" s="13">
        <v>2019</v>
      </c>
      <c r="B319" s="13">
        <v>6</v>
      </c>
      <c r="C319" s="13">
        <v>421.186169303128</v>
      </c>
    </row>
    <row r="320" spans="1:3" x14ac:dyDescent="0.25">
      <c r="A320" s="13">
        <v>2019</v>
      </c>
      <c r="B320" s="13">
        <v>7</v>
      </c>
      <c r="C320" s="13">
        <v>397.39253421158099</v>
      </c>
    </row>
    <row r="321" spans="1:3" x14ac:dyDescent="0.25">
      <c r="A321" s="13">
        <v>2019</v>
      </c>
      <c r="B321" s="13">
        <v>8</v>
      </c>
      <c r="C321" s="13">
        <v>410.82015704512202</v>
      </c>
    </row>
    <row r="322" spans="1:3" x14ac:dyDescent="0.25">
      <c r="A322" s="13">
        <v>2019</v>
      </c>
      <c r="B322" s="13">
        <v>9</v>
      </c>
      <c r="C322" s="13">
        <v>385.30889879441901</v>
      </c>
    </row>
    <row r="323" spans="1:3" x14ac:dyDescent="0.25">
      <c r="A323" s="13">
        <v>2019</v>
      </c>
      <c r="B323" s="13">
        <v>10</v>
      </c>
      <c r="C323" s="13">
        <v>349.07527414265701</v>
      </c>
    </row>
    <row r="324" spans="1:3" x14ac:dyDescent="0.25">
      <c r="A324" s="13">
        <v>2019</v>
      </c>
      <c r="B324" s="13">
        <v>11</v>
      </c>
      <c r="C324" s="13">
        <v>332.023954585995</v>
      </c>
    </row>
    <row r="325" spans="1:3" x14ac:dyDescent="0.25">
      <c r="A325" s="13">
        <v>2019</v>
      </c>
      <c r="B325" s="13">
        <v>12</v>
      </c>
      <c r="C325" s="13">
        <v>345.58524069586798</v>
      </c>
    </row>
    <row r="326" spans="1:3" x14ac:dyDescent="0.25">
      <c r="A326" s="13">
        <v>2020</v>
      </c>
      <c r="B326" s="13">
        <v>1</v>
      </c>
      <c r="C326" s="13">
        <v>333.23433371362</v>
      </c>
    </row>
    <row r="327" spans="1:3" x14ac:dyDescent="0.25">
      <c r="A327" s="13">
        <v>2020</v>
      </c>
      <c r="B327" s="13">
        <v>2</v>
      </c>
      <c r="C327" s="13">
        <v>380.56323752960498</v>
      </c>
    </row>
    <row r="328" spans="1:3" x14ac:dyDescent="0.25">
      <c r="A328" s="13">
        <v>2020</v>
      </c>
      <c r="B328" s="13">
        <v>3</v>
      </c>
      <c r="C328" s="13">
        <v>284.74000095480898</v>
      </c>
    </row>
    <row r="329" spans="1:3" x14ac:dyDescent="0.25">
      <c r="A329" s="13">
        <v>2020</v>
      </c>
      <c r="B329" s="13">
        <v>4</v>
      </c>
      <c r="C329" s="13">
        <v>107.796247504658</v>
      </c>
    </row>
    <row r="330" spans="1:3" x14ac:dyDescent="0.25">
      <c r="A330" s="13">
        <v>2020</v>
      </c>
      <c r="B330" s="13">
        <v>5</v>
      </c>
      <c r="C330" s="13">
        <v>196.79765506393201</v>
      </c>
    </row>
    <row r="331" spans="1:3" x14ac:dyDescent="0.25">
      <c r="A331" s="13">
        <v>2020</v>
      </c>
      <c r="B331" s="13">
        <v>6</v>
      </c>
      <c r="C331" s="13">
        <v>248.44598401179999</v>
      </c>
    </row>
    <row r="332" spans="1:3" x14ac:dyDescent="0.25">
      <c r="A332" s="13">
        <v>2020</v>
      </c>
      <c r="B332" s="13">
        <v>7</v>
      </c>
      <c r="C332" s="13">
        <v>305.878868352251</v>
      </c>
    </row>
    <row r="333" spans="1:3" x14ac:dyDescent="0.25">
      <c r="A333" s="13">
        <v>2020</v>
      </c>
      <c r="B333" s="13">
        <v>8</v>
      </c>
      <c r="C333" s="13">
        <v>313.221726002531</v>
      </c>
    </row>
    <row r="334" spans="1:3" x14ac:dyDescent="0.25">
      <c r="A334" s="13">
        <v>2020</v>
      </c>
      <c r="B334" s="13">
        <v>9</v>
      </c>
      <c r="C334" s="13">
        <v>333.929316907388</v>
      </c>
    </row>
    <row r="335" spans="1:3" x14ac:dyDescent="0.25">
      <c r="A335" s="13">
        <v>2020</v>
      </c>
      <c r="B335" s="13">
        <v>10</v>
      </c>
      <c r="C335" s="13">
        <v>346.53102414683701</v>
      </c>
    </row>
    <row r="336" spans="1:3" x14ac:dyDescent="0.25">
      <c r="A336" s="13">
        <v>2020</v>
      </c>
      <c r="B336" s="13">
        <v>11</v>
      </c>
      <c r="C336" s="13">
        <v>364.67920183772799</v>
      </c>
    </row>
    <row r="337" spans="1:3" x14ac:dyDescent="0.25">
      <c r="A337" s="13">
        <v>2020</v>
      </c>
      <c r="B337" s="13">
        <v>12</v>
      </c>
      <c r="C337" s="13">
        <v>402.28181060350101</v>
      </c>
    </row>
    <row r="338" spans="1:3" x14ac:dyDescent="0.25">
      <c r="A338" s="13">
        <v>2021</v>
      </c>
      <c r="B338" s="13">
        <v>1</v>
      </c>
      <c r="C338" s="13">
        <v>406.59531029581598</v>
      </c>
    </row>
    <row r="339" spans="1:3" x14ac:dyDescent="0.25">
      <c r="A339" s="13">
        <v>2021</v>
      </c>
      <c r="B339" s="13">
        <v>2</v>
      </c>
      <c r="C339" s="13">
        <v>404.78551699329199</v>
      </c>
    </row>
    <row r="340" spans="1:3" x14ac:dyDescent="0.25">
      <c r="A340" s="13">
        <v>2021</v>
      </c>
      <c r="B340" s="13">
        <v>3</v>
      </c>
      <c r="C340" s="13">
        <v>425.53458663326899</v>
      </c>
    </row>
    <row r="341" spans="1:3" x14ac:dyDescent="0.25">
      <c r="A341" s="13">
        <v>2021</v>
      </c>
      <c r="B341" s="13">
        <v>4</v>
      </c>
      <c r="C341" s="13">
        <v>349.334353351277</v>
      </c>
    </row>
    <row r="342" spans="1:3" x14ac:dyDescent="0.25">
      <c r="A342" s="13">
        <v>2021</v>
      </c>
      <c r="B342" s="13">
        <v>5</v>
      </c>
      <c r="C342" s="13">
        <v>392.84281692548598</v>
      </c>
    </row>
    <row r="343" spans="1:3" x14ac:dyDescent="0.25">
      <c r="A343" s="13">
        <v>2021</v>
      </c>
      <c r="B343" s="13">
        <v>6</v>
      </c>
      <c r="C343" s="13">
        <v>406.15286362700698</v>
      </c>
    </row>
    <row r="344" spans="1:3" x14ac:dyDescent="0.25">
      <c r="A344" s="13">
        <v>2021</v>
      </c>
      <c r="B344" s="13">
        <v>7</v>
      </c>
      <c r="C344" s="13">
        <v>411.95971985998699</v>
      </c>
    </row>
    <row r="345" spans="1:3" x14ac:dyDescent="0.25">
      <c r="A345" s="13">
        <v>2021</v>
      </c>
      <c r="B345" s="13">
        <v>8</v>
      </c>
      <c r="C345" s="13">
        <v>403.053462199438</v>
      </c>
    </row>
    <row r="346" spans="1:3" x14ac:dyDescent="0.25">
      <c r="A346" s="13">
        <v>2021</v>
      </c>
      <c r="B346" s="13">
        <v>9</v>
      </c>
      <c r="C346" s="13">
        <v>404.30181675660799</v>
      </c>
    </row>
    <row r="347" spans="1:3" x14ac:dyDescent="0.25">
      <c r="A347" s="13">
        <v>2021</v>
      </c>
      <c r="B347" s="13">
        <v>10</v>
      </c>
      <c r="C347" s="13">
        <v>407.92085824211699</v>
      </c>
    </row>
    <row r="348" spans="1:3" x14ac:dyDescent="0.25">
      <c r="A348" s="13">
        <v>2021</v>
      </c>
      <c r="B348" s="13">
        <v>11</v>
      </c>
      <c r="C348" s="13">
        <v>425.503492952719</v>
      </c>
    </row>
    <row r="349" spans="1:3" x14ac:dyDescent="0.25">
      <c r="A349" s="13">
        <v>2021</v>
      </c>
      <c r="B349" s="13">
        <v>12</v>
      </c>
      <c r="C349" s="13">
        <v>440.41433692024498</v>
      </c>
    </row>
    <row r="350" spans="1:3" x14ac:dyDescent="0.25">
      <c r="A350" s="13">
        <v>2022</v>
      </c>
      <c r="B350" s="13">
        <v>1</v>
      </c>
      <c r="C350" s="13">
        <v>391.71895982117701</v>
      </c>
    </row>
    <row r="351" spans="1:3" x14ac:dyDescent="0.25">
      <c r="A351" s="13">
        <v>2022</v>
      </c>
      <c r="B351" s="13">
        <v>2</v>
      </c>
      <c r="C351" s="13">
        <v>393.96386257379203</v>
      </c>
    </row>
    <row r="352" spans="1:3" x14ac:dyDescent="0.25">
      <c r="A352" s="13">
        <v>2022</v>
      </c>
      <c r="B352" s="13">
        <v>3</v>
      </c>
      <c r="C352" s="13">
        <v>421.53064340221101</v>
      </c>
    </row>
    <row r="353" spans="1:3" x14ac:dyDescent="0.25">
      <c r="A353" s="13">
        <v>2022</v>
      </c>
      <c r="B353" s="13">
        <v>4</v>
      </c>
      <c r="C353" s="13">
        <v>360.91121084876499</v>
      </c>
    </row>
    <row r="354" spans="1:3" x14ac:dyDescent="0.25">
      <c r="A354" s="13">
        <v>2022</v>
      </c>
      <c r="B354" s="13">
        <v>5</v>
      </c>
      <c r="C354" s="13">
        <v>447.42659008273102</v>
      </c>
    </row>
    <row r="355" spans="1:3" x14ac:dyDescent="0.25">
      <c r="A355" s="13">
        <v>2022</v>
      </c>
      <c r="B355" s="13">
        <v>6</v>
      </c>
      <c r="C355" s="13">
        <v>469.845050573837</v>
      </c>
    </row>
    <row r="356" spans="1:3" x14ac:dyDescent="0.25">
      <c r="A356" s="13">
        <v>2022</v>
      </c>
      <c r="B356" s="13">
        <v>7</v>
      </c>
      <c r="C356" s="13">
        <v>446.799267000008</v>
      </c>
    </row>
    <row r="357" spans="1:3" x14ac:dyDescent="0.25">
      <c r="A357" s="13">
        <v>2022</v>
      </c>
      <c r="B357" s="13">
        <v>8</v>
      </c>
      <c r="C357" s="13">
        <v>437.355490520503</v>
      </c>
    </row>
    <row r="358" spans="1:3" x14ac:dyDescent="0.25">
      <c r="A358" s="13">
        <v>2022</v>
      </c>
      <c r="B358" s="13">
        <v>9</v>
      </c>
      <c r="C358" s="13">
        <v>397.68799230262601</v>
      </c>
    </row>
    <row r="359" spans="1:3" x14ac:dyDescent="0.25">
      <c r="A359" s="13">
        <v>2022</v>
      </c>
      <c r="B359" s="13">
        <v>10</v>
      </c>
      <c r="C359" s="13">
        <v>448.16597350834502</v>
      </c>
    </row>
    <row r="360" spans="1:3" x14ac:dyDescent="0.25">
      <c r="A360" s="13">
        <v>2022</v>
      </c>
      <c r="B360" s="13">
        <v>11</v>
      </c>
      <c r="C360" s="13">
        <v>433.85032574550502</v>
      </c>
    </row>
    <row r="361" spans="1:3" x14ac:dyDescent="0.25">
      <c r="A361" s="13">
        <v>2022</v>
      </c>
      <c r="B361" s="13">
        <v>12</v>
      </c>
      <c r="C361" s="13">
        <v>452.72789447603299</v>
      </c>
    </row>
    <row r="362" spans="1:3" x14ac:dyDescent="0.25">
      <c r="A362" s="13">
        <v>2023</v>
      </c>
      <c r="B362" s="13">
        <v>1</v>
      </c>
      <c r="C362" s="13">
        <v>483.745765867476</v>
      </c>
    </row>
    <row r="363" spans="1:3" x14ac:dyDescent="0.25">
      <c r="A363" s="13">
        <v>2023</v>
      </c>
      <c r="B363" s="13">
        <v>2</v>
      </c>
      <c r="C363" s="13">
        <v>430.51704599657302</v>
      </c>
    </row>
    <row r="364" spans="1:3" x14ac:dyDescent="0.25">
      <c r="A364" s="13">
        <v>2023</v>
      </c>
      <c r="B364" s="13">
        <v>3</v>
      </c>
      <c r="C364" s="13">
        <v>418.16254312611898</v>
      </c>
    </row>
    <row r="365" spans="1:3" x14ac:dyDescent="0.25">
      <c r="A365" s="13">
        <v>2023</v>
      </c>
      <c r="B365" s="13">
        <v>4</v>
      </c>
      <c r="C365" s="13">
        <v>437.606688178166</v>
      </c>
    </row>
    <row r="366" spans="1:3" x14ac:dyDescent="0.25">
      <c r="A366" s="13">
        <v>2023</v>
      </c>
      <c r="B366" s="13">
        <v>5</v>
      </c>
      <c r="C366" s="13">
        <v>440.87992296481502</v>
      </c>
    </row>
    <row r="367" spans="1:3" x14ac:dyDescent="0.25">
      <c r="A367" s="13">
        <v>2023</v>
      </c>
      <c r="B367" s="13">
        <v>6</v>
      </c>
      <c r="C367" s="13">
        <v>430.05609744009598</v>
      </c>
    </row>
    <row r="368" spans="1:3" x14ac:dyDescent="0.25">
      <c r="A368" s="13">
        <v>2023</v>
      </c>
      <c r="B368" s="13">
        <v>7</v>
      </c>
      <c r="C368" s="13">
        <v>331.47508555693298</v>
      </c>
    </row>
    <row r="369" spans="1:3" x14ac:dyDescent="0.25">
      <c r="A369" s="13">
        <v>2023</v>
      </c>
      <c r="B369" s="13">
        <v>8</v>
      </c>
      <c r="C369" s="13">
        <v>402.847395635476</v>
      </c>
    </row>
    <row r="370" spans="1:3" x14ac:dyDescent="0.25">
      <c r="A370" s="13">
        <v>2023</v>
      </c>
      <c r="B370" s="13">
        <v>9</v>
      </c>
      <c r="C370" s="13">
        <v>412.90869061088199</v>
      </c>
    </row>
    <row r="371" spans="1:3" x14ac:dyDescent="0.25">
      <c r="A371" s="13">
        <v>2023</v>
      </c>
      <c r="B371" s="13">
        <v>10</v>
      </c>
      <c r="C371" s="13">
        <v>411.02404256204397</v>
      </c>
    </row>
    <row r="372" spans="1:3" x14ac:dyDescent="0.25">
      <c r="A372" s="13">
        <v>2023</v>
      </c>
      <c r="B372" s="13">
        <v>11</v>
      </c>
      <c r="C372" s="13">
        <v>388.70902161535702</v>
      </c>
    </row>
    <row r="373" spans="1:3" x14ac:dyDescent="0.25">
      <c r="A373" s="13">
        <v>2023</v>
      </c>
      <c r="B373" s="13">
        <v>12</v>
      </c>
      <c r="C373" s="13">
        <v>348.62726737984502</v>
      </c>
    </row>
    <row r="374" spans="1:3" x14ac:dyDescent="0.25">
      <c r="A374" s="13">
        <v>2024</v>
      </c>
      <c r="B374" s="13">
        <v>1</v>
      </c>
      <c r="C374" s="13">
        <v>451.39898279912097</v>
      </c>
    </row>
    <row r="375" spans="1:3" x14ac:dyDescent="0.25">
      <c r="A375" s="13">
        <v>2024</v>
      </c>
      <c r="B375" s="13">
        <v>2</v>
      </c>
      <c r="C375" s="13">
        <v>359.69085346011798</v>
      </c>
    </row>
    <row r="376" spans="1:3" x14ac:dyDescent="0.25">
      <c r="A376" s="13">
        <v>2024</v>
      </c>
      <c r="B376" s="13">
        <v>3</v>
      </c>
      <c r="C376" s="13">
        <v>247.98066352404501</v>
      </c>
    </row>
    <row r="377" spans="1:3" x14ac:dyDescent="0.25">
      <c r="A377" s="13">
        <v>2024</v>
      </c>
      <c r="B377" s="13">
        <v>4</v>
      </c>
      <c r="C377" s="13">
        <v>325.142893031722</v>
      </c>
    </row>
    <row r="378" spans="1:3" x14ac:dyDescent="0.25">
      <c r="A378" s="13">
        <v>2024</v>
      </c>
      <c r="B378" s="13">
        <v>5</v>
      </c>
      <c r="C378" s="13">
        <v>309.46692727688202</v>
      </c>
    </row>
    <row r="379" spans="1:3" x14ac:dyDescent="0.25">
      <c r="A379" s="13">
        <v>2024</v>
      </c>
      <c r="B379" s="13">
        <v>6</v>
      </c>
      <c r="C379" s="13">
        <v>282.14065789631297</v>
      </c>
    </row>
    <row r="380" spans="1:3" x14ac:dyDescent="0.25">
      <c r="A380" s="13">
        <v>2024</v>
      </c>
      <c r="B380" s="13">
        <v>7</v>
      </c>
      <c r="C380" s="13">
        <v>301.42705585888098</v>
      </c>
    </row>
    <row r="381" spans="1:3" x14ac:dyDescent="0.25">
      <c r="A381" s="13">
        <v>2024</v>
      </c>
      <c r="B381" s="13">
        <v>8</v>
      </c>
      <c r="C381" s="13">
        <v>326.09738511803903</v>
      </c>
    </row>
    <row r="382" spans="1:3" x14ac:dyDescent="0.25">
      <c r="A382" s="13">
        <v>2024</v>
      </c>
      <c r="B382" s="13">
        <v>9</v>
      </c>
      <c r="C382" s="13">
        <v>335.32221989914098</v>
      </c>
    </row>
    <row r="383" spans="1:3" x14ac:dyDescent="0.25">
      <c r="A383" s="13">
        <v>2024</v>
      </c>
      <c r="B383" s="13">
        <v>10</v>
      </c>
      <c r="C383" s="13">
        <v>310.116777379322</v>
      </c>
    </row>
    <row r="384" spans="1:3" x14ac:dyDescent="0.25">
      <c r="A384" s="13">
        <v>2024</v>
      </c>
      <c r="B384" s="13">
        <v>11</v>
      </c>
      <c r="C384" s="13">
        <v>315.04336004160302</v>
      </c>
    </row>
    <row r="385" spans="1:3" x14ac:dyDescent="0.25">
      <c r="A385" s="13">
        <v>2024</v>
      </c>
      <c r="B385" s="13">
        <v>12</v>
      </c>
      <c r="C385" s="13">
        <v>275.77287118685302</v>
      </c>
    </row>
    <row r="386" spans="1:3" x14ac:dyDescent="0.25">
      <c r="A386" s="13">
        <v>2025</v>
      </c>
      <c r="B386" s="13">
        <v>1</v>
      </c>
      <c r="C386" s="13">
        <v>344.22672695399598</v>
      </c>
    </row>
    <row r="387" spans="1:3" x14ac:dyDescent="0.25">
      <c r="A387" s="13">
        <v>2025</v>
      </c>
      <c r="B387" s="13">
        <v>2</v>
      </c>
      <c r="C387" s="13">
        <v>382.38190228507801</v>
      </c>
    </row>
    <row r="388" spans="1:3" x14ac:dyDescent="0.25">
      <c r="A388" s="13">
        <v>2025</v>
      </c>
      <c r="B388" s="13">
        <v>3</v>
      </c>
      <c r="C388" s="13">
        <v>338.38480913666001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F1BB-E25D-413D-AF4E-66539DBBE8D3}">
  <dimension ref="A1:C387"/>
  <sheetViews>
    <sheetView workbookViewId="0">
      <selection activeCell="C2" sqref="C2:C387"/>
    </sheetView>
  </sheetViews>
  <sheetFormatPr baseColWidth="10" defaultRowHeight="15" x14ac:dyDescent="0.25"/>
  <sheetData>
    <row r="1" spans="1:3" x14ac:dyDescent="0.25">
      <c r="A1" s="9" t="s">
        <v>34</v>
      </c>
      <c r="B1" s="9" t="s">
        <v>35</v>
      </c>
      <c r="C1" s="9" t="s">
        <v>36</v>
      </c>
    </row>
    <row r="2" spans="1:3" x14ac:dyDescent="0.25">
      <c r="A2" s="10">
        <v>1993</v>
      </c>
      <c r="B2" s="10">
        <v>1</v>
      </c>
      <c r="C2" s="10">
        <v>243.53031686209599</v>
      </c>
    </row>
    <row r="3" spans="1:3" x14ac:dyDescent="0.25">
      <c r="A3" s="10">
        <v>1993</v>
      </c>
      <c r="B3" s="10">
        <v>2</v>
      </c>
      <c r="C3" s="10">
        <v>234.039919667524</v>
      </c>
    </row>
    <row r="4" spans="1:3" x14ac:dyDescent="0.25">
      <c r="A4" s="10">
        <v>1993</v>
      </c>
      <c r="B4" s="10">
        <v>3</v>
      </c>
      <c r="C4" s="10">
        <v>228.283593684165</v>
      </c>
    </row>
    <row r="5" spans="1:3" x14ac:dyDescent="0.25">
      <c r="A5" s="10">
        <v>1993</v>
      </c>
      <c r="B5" s="10">
        <v>4</v>
      </c>
      <c r="C5" s="10">
        <v>244.98985419957401</v>
      </c>
    </row>
    <row r="6" spans="1:3" x14ac:dyDescent="0.25">
      <c r="A6" s="10">
        <v>1993</v>
      </c>
      <c r="B6" s="10">
        <v>5</v>
      </c>
      <c r="C6" s="10">
        <v>248.42958187121499</v>
      </c>
    </row>
    <row r="7" spans="1:3" x14ac:dyDescent="0.25">
      <c r="A7" s="10">
        <v>1993</v>
      </c>
      <c r="B7" s="10">
        <v>6</v>
      </c>
      <c r="C7" s="10">
        <v>251.00435973122299</v>
      </c>
    </row>
    <row r="8" spans="1:3" x14ac:dyDescent="0.25">
      <c r="A8" s="10">
        <v>1993</v>
      </c>
      <c r="B8" s="10">
        <v>7</v>
      </c>
      <c r="C8" s="10">
        <v>238.961569127041</v>
      </c>
    </row>
    <row r="9" spans="1:3" x14ac:dyDescent="0.25">
      <c r="A9" s="10">
        <v>1993</v>
      </c>
      <c r="B9" s="10">
        <v>8</v>
      </c>
      <c r="C9" s="10">
        <v>245.605596101598</v>
      </c>
    </row>
    <row r="10" spans="1:3" x14ac:dyDescent="0.25">
      <c r="A10" s="10">
        <v>1993</v>
      </c>
      <c r="B10" s="10">
        <v>9</v>
      </c>
      <c r="C10" s="10">
        <v>254.719665601515</v>
      </c>
    </row>
    <row r="11" spans="1:3" x14ac:dyDescent="0.25">
      <c r="A11" s="10">
        <v>1993</v>
      </c>
      <c r="B11" s="10">
        <v>10</v>
      </c>
      <c r="C11" s="10">
        <v>237.639953667778</v>
      </c>
    </row>
    <row r="12" spans="1:3" x14ac:dyDescent="0.25">
      <c r="A12" s="10">
        <v>1993</v>
      </c>
      <c r="B12" s="10">
        <v>11</v>
      </c>
      <c r="C12" s="10">
        <v>233.32054946833699</v>
      </c>
    </row>
    <row r="13" spans="1:3" x14ac:dyDescent="0.25">
      <c r="A13" s="10">
        <v>1993</v>
      </c>
      <c r="B13" s="10">
        <v>12</v>
      </c>
      <c r="C13" s="10">
        <v>232.34319375031399</v>
      </c>
    </row>
    <row r="14" spans="1:3" x14ac:dyDescent="0.25">
      <c r="A14" s="10">
        <v>1994</v>
      </c>
      <c r="B14" s="10">
        <v>1</v>
      </c>
      <c r="C14" s="10">
        <v>260.13859112253601</v>
      </c>
    </row>
    <row r="15" spans="1:3" x14ac:dyDescent="0.25">
      <c r="A15" s="10">
        <v>1994</v>
      </c>
      <c r="B15" s="10">
        <v>2</v>
      </c>
      <c r="C15" s="10">
        <v>250.40976428886799</v>
      </c>
    </row>
    <row r="16" spans="1:3" x14ac:dyDescent="0.25">
      <c r="A16" s="10">
        <v>1994</v>
      </c>
      <c r="B16" s="10">
        <v>3</v>
      </c>
      <c r="C16" s="10">
        <v>267.78517124653501</v>
      </c>
    </row>
    <row r="17" spans="1:3" x14ac:dyDescent="0.25">
      <c r="A17" s="10">
        <v>1994</v>
      </c>
      <c r="B17" s="10">
        <v>4</v>
      </c>
      <c r="C17" s="10">
        <v>285.74151954810498</v>
      </c>
    </row>
    <row r="18" spans="1:3" x14ac:dyDescent="0.25">
      <c r="A18" s="10">
        <v>1994</v>
      </c>
      <c r="B18" s="10">
        <v>5</v>
      </c>
      <c r="C18" s="10">
        <v>264.83110413314103</v>
      </c>
    </row>
    <row r="19" spans="1:3" x14ac:dyDescent="0.25">
      <c r="A19" s="10">
        <v>1994</v>
      </c>
      <c r="B19" s="10">
        <v>6</v>
      </c>
      <c r="C19" s="10">
        <v>262.53604022817899</v>
      </c>
    </row>
    <row r="20" spans="1:3" x14ac:dyDescent="0.25">
      <c r="A20" s="10">
        <v>1994</v>
      </c>
      <c r="B20" s="10">
        <v>7</v>
      </c>
      <c r="C20" s="10">
        <v>269.414652617738</v>
      </c>
    </row>
    <row r="21" spans="1:3" x14ac:dyDescent="0.25">
      <c r="A21" s="10">
        <v>1994</v>
      </c>
      <c r="B21" s="10">
        <v>8</v>
      </c>
      <c r="C21" s="10">
        <v>291.97841778137399</v>
      </c>
    </row>
    <row r="22" spans="1:3" x14ac:dyDescent="0.25">
      <c r="A22" s="10">
        <v>1994</v>
      </c>
      <c r="B22" s="10">
        <v>9</v>
      </c>
      <c r="C22" s="10">
        <v>288.39609029955699</v>
      </c>
    </row>
    <row r="23" spans="1:3" x14ac:dyDescent="0.25">
      <c r="A23" s="10">
        <v>1994</v>
      </c>
      <c r="B23" s="10">
        <v>10</v>
      </c>
      <c r="C23" s="10">
        <v>297.38040804970899</v>
      </c>
    </row>
    <row r="24" spans="1:3" x14ac:dyDescent="0.25">
      <c r="A24" s="10">
        <v>1994</v>
      </c>
      <c r="B24" s="10">
        <v>11</v>
      </c>
      <c r="C24" s="10">
        <v>272.020683092615</v>
      </c>
    </row>
    <row r="25" spans="1:3" x14ac:dyDescent="0.25">
      <c r="A25" s="10">
        <v>1994</v>
      </c>
      <c r="B25" s="10">
        <v>12</v>
      </c>
      <c r="C25" s="10">
        <v>301.51205074246798</v>
      </c>
    </row>
    <row r="26" spans="1:3" x14ac:dyDescent="0.25">
      <c r="A26" s="10">
        <v>1995</v>
      </c>
      <c r="B26" s="10">
        <v>1</v>
      </c>
      <c r="C26" s="10">
        <v>296.27053902060101</v>
      </c>
    </row>
    <row r="27" spans="1:3" x14ac:dyDescent="0.25">
      <c r="A27" s="10">
        <v>1995</v>
      </c>
      <c r="B27" s="10">
        <v>2</v>
      </c>
      <c r="C27" s="10">
        <v>293.542569637383</v>
      </c>
    </row>
    <row r="28" spans="1:3" x14ac:dyDescent="0.25">
      <c r="A28" s="10">
        <v>1995</v>
      </c>
      <c r="B28" s="10">
        <v>3</v>
      </c>
      <c r="C28" s="10">
        <v>296.83248382342202</v>
      </c>
    </row>
    <row r="29" spans="1:3" x14ac:dyDescent="0.25">
      <c r="A29" s="10">
        <v>1995</v>
      </c>
      <c r="B29" s="10">
        <v>4</v>
      </c>
      <c r="C29" s="10">
        <v>287.62421784544301</v>
      </c>
    </row>
    <row r="30" spans="1:3" x14ac:dyDescent="0.25">
      <c r="A30" s="10">
        <v>1995</v>
      </c>
      <c r="B30" s="10">
        <v>5</v>
      </c>
      <c r="C30" s="10">
        <v>294.47028763537702</v>
      </c>
    </row>
    <row r="31" spans="1:3" x14ac:dyDescent="0.25">
      <c r="A31" s="10">
        <v>1995</v>
      </c>
      <c r="B31" s="10">
        <v>6</v>
      </c>
      <c r="C31" s="10">
        <v>294.48073897780802</v>
      </c>
    </row>
    <row r="32" spans="1:3" x14ac:dyDescent="0.25">
      <c r="A32" s="10">
        <v>1995</v>
      </c>
      <c r="B32" s="10">
        <v>7</v>
      </c>
      <c r="C32" s="10">
        <v>306.658655618068</v>
      </c>
    </row>
    <row r="33" spans="1:3" x14ac:dyDescent="0.25">
      <c r="A33" s="10">
        <v>1995</v>
      </c>
      <c r="B33" s="10">
        <v>8</v>
      </c>
      <c r="C33" s="10">
        <v>297.40853740733297</v>
      </c>
    </row>
    <row r="34" spans="1:3" x14ac:dyDescent="0.25">
      <c r="A34" s="10">
        <v>1995</v>
      </c>
      <c r="B34" s="10">
        <v>9</v>
      </c>
      <c r="C34" s="10">
        <v>297.415229897448</v>
      </c>
    </row>
    <row r="35" spans="1:3" x14ac:dyDescent="0.25">
      <c r="A35" s="10">
        <v>1995</v>
      </c>
      <c r="B35" s="10">
        <v>10</v>
      </c>
      <c r="C35" s="10">
        <v>303.72228438712699</v>
      </c>
    </row>
    <row r="36" spans="1:3" x14ac:dyDescent="0.25">
      <c r="A36" s="10">
        <v>1995</v>
      </c>
      <c r="B36" s="10">
        <v>11</v>
      </c>
      <c r="C36" s="10">
        <v>315.660147912806</v>
      </c>
    </row>
    <row r="37" spans="1:3" x14ac:dyDescent="0.25">
      <c r="A37" s="10">
        <v>1995</v>
      </c>
      <c r="B37" s="10">
        <v>12</v>
      </c>
      <c r="C37" s="10">
        <v>289.89127691075998</v>
      </c>
    </row>
    <row r="38" spans="1:3" x14ac:dyDescent="0.25">
      <c r="A38" s="10">
        <v>1996</v>
      </c>
      <c r="B38" s="10">
        <v>1</v>
      </c>
      <c r="C38" s="10">
        <v>309.40211142569302</v>
      </c>
    </row>
    <row r="39" spans="1:3" x14ac:dyDescent="0.25">
      <c r="A39" s="10">
        <v>1996</v>
      </c>
      <c r="B39" s="10">
        <v>2</v>
      </c>
      <c r="C39" s="10">
        <v>331.877300396507</v>
      </c>
    </row>
    <row r="40" spans="1:3" x14ac:dyDescent="0.25">
      <c r="A40" s="10">
        <v>1996</v>
      </c>
      <c r="B40" s="10">
        <v>3</v>
      </c>
      <c r="C40" s="10">
        <v>353.30458949480402</v>
      </c>
    </row>
    <row r="41" spans="1:3" x14ac:dyDescent="0.25">
      <c r="A41" s="10">
        <v>1996</v>
      </c>
      <c r="B41" s="10">
        <v>4</v>
      </c>
      <c r="C41" s="10">
        <v>330.86651129759599</v>
      </c>
    </row>
    <row r="42" spans="1:3" x14ac:dyDescent="0.25">
      <c r="A42" s="10">
        <v>1996</v>
      </c>
      <c r="B42" s="10">
        <v>5</v>
      </c>
      <c r="C42" s="10">
        <v>335.46536055151898</v>
      </c>
    </row>
    <row r="43" spans="1:3" x14ac:dyDescent="0.25">
      <c r="A43" s="10">
        <v>1996</v>
      </c>
      <c r="B43" s="10">
        <v>6</v>
      </c>
      <c r="C43" s="10">
        <v>343.67850300185597</v>
      </c>
    </row>
    <row r="44" spans="1:3" x14ac:dyDescent="0.25">
      <c r="A44" s="10">
        <v>1996</v>
      </c>
      <c r="B44" s="10">
        <v>7</v>
      </c>
      <c r="C44" s="10">
        <v>334.71849156415601</v>
      </c>
    </row>
    <row r="45" spans="1:3" x14ac:dyDescent="0.25">
      <c r="A45" s="10">
        <v>1996</v>
      </c>
      <c r="B45" s="10">
        <v>8</v>
      </c>
      <c r="C45" s="10">
        <v>333.57144431877799</v>
      </c>
    </row>
    <row r="46" spans="1:3" x14ac:dyDescent="0.25">
      <c r="A46" s="10">
        <v>1996</v>
      </c>
      <c r="B46" s="10">
        <v>9</v>
      </c>
      <c r="C46" s="10">
        <v>333.66937694455902</v>
      </c>
    </row>
    <row r="47" spans="1:3" x14ac:dyDescent="0.25">
      <c r="A47" s="10">
        <v>1996</v>
      </c>
      <c r="B47" s="10">
        <v>10</v>
      </c>
      <c r="C47" s="10">
        <v>344.177265791374</v>
      </c>
    </row>
    <row r="48" spans="1:3" x14ac:dyDescent="0.25">
      <c r="A48" s="10">
        <v>1996</v>
      </c>
      <c r="B48" s="10">
        <v>11</v>
      </c>
      <c r="C48" s="10">
        <v>348.47480378319</v>
      </c>
    </row>
    <row r="49" spans="1:3" x14ac:dyDescent="0.25">
      <c r="A49" s="10">
        <v>1996</v>
      </c>
      <c r="B49" s="10">
        <v>12</v>
      </c>
      <c r="C49" s="10">
        <v>347.31477823801401</v>
      </c>
    </row>
    <row r="50" spans="1:3" x14ac:dyDescent="0.25">
      <c r="A50" s="10">
        <v>1997</v>
      </c>
      <c r="B50" s="10">
        <v>1</v>
      </c>
      <c r="C50" s="10">
        <v>314.63272448304002</v>
      </c>
    </row>
    <row r="51" spans="1:3" x14ac:dyDescent="0.25">
      <c r="A51" s="10">
        <v>1997</v>
      </c>
      <c r="B51" s="10">
        <v>2</v>
      </c>
      <c r="C51" s="10">
        <v>338.15442316708999</v>
      </c>
    </row>
    <row r="52" spans="1:3" x14ac:dyDescent="0.25">
      <c r="A52" s="10">
        <v>1997</v>
      </c>
      <c r="B52" s="10">
        <v>3</v>
      </c>
      <c r="C52" s="10">
        <v>349.71205730335402</v>
      </c>
    </row>
    <row r="53" spans="1:3" x14ac:dyDescent="0.25">
      <c r="A53" s="10">
        <v>1997</v>
      </c>
      <c r="B53" s="10">
        <v>4</v>
      </c>
      <c r="C53" s="10">
        <v>360.23620039552998</v>
      </c>
    </row>
    <row r="54" spans="1:3" x14ac:dyDescent="0.25">
      <c r="A54" s="10">
        <v>1997</v>
      </c>
      <c r="B54" s="10">
        <v>5</v>
      </c>
      <c r="C54" s="10">
        <v>343.35709584134599</v>
      </c>
    </row>
    <row r="55" spans="1:3" x14ac:dyDescent="0.25">
      <c r="A55" s="10">
        <v>1997</v>
      </c>
      <c r="B55" s="10">
        <v>6</v>
      </c>
      <c r="C55" s="10">
        <v>353.01493390092401</v>
      </c>
    </row>
    <row r="56" spans="1:3" x14ac:dyDescent="0.25">
      <c r="A56" s="10">
        <v>1997</v>
      </c>
      <c r="B56" s="10">
        <v>7</v>
      </c>
      <c r="C56" s="10">
        <v>361.529844711772</v>
      </c>
    </row>
    <row r="57" spans="1:3" x14ac:dyDescent="0.25">
      <c r="A57" s="10">
        <v>1997</v>
      </c>
      <c r="B57" s="10">
        <v>8</v>
      </c>
      <c r="C57" s="10">
        <v>338.23543225716202</v>
      </c>
    </row>
    <row r="58" spans="1:3" x14ac:dyDescent="0.25">
      <c r="A58" s="10">
        <v>1997</v>
      </c>
      <c r="B58" s="10">
        <v>9</v>
      </c>
      <c r="C58" s="10">
        <v>352.91182891141301</v>
      </c>
    </row>
    <row r="59" spans="1:3" x14ac:dyDescent="0.25">
      <c r="A59" s="10">
        <v>1997</v>
      </c>
      <c r="B59" s="10">
        <v>10</v>
      </c>
      <c r="C59" s="10">
        <v>356.34369871430499</v>
      </c>
    </row>
    <row r="60" spans="1:3" x14ac:dyDescent="0.25">
      <c r="A60" s="10">
        <v>1997</v>
      </c>
      <c r="B60" s="10">
        <v>11</v>
      </c>
      <c r="C60" s="10">
        <v>348.634896381342</v>
      </c>
    </row>
    <row r="61" spans="1:3" x14ac:dyDescent="0.25">
      <c r="A61" s="10">
        <v>1997</v>
      </c>
      <c r="B61" s="10">
        <v>12</v>
      </c>
      <c r="C61" s="10">
        <v>358.211377934925</v>
      </c>
    </row>
    <row r="62" spans="1:3" x14ac:dyDescent="0.25">
      <c r="A62" s="10">
        <v>1998</v>
      </c>
      <c r="B62" s="10">
        <v>1</v>
      </c>
      <c r="C62" s="10">
        <v>374.65238649835902</v>
      </c>
    </row>
    <row r="63" spans="1:3" x14ac:dyDescent="0.25">
      <c r="A63" s="10">
        <v>1998</v>
      </c>
      <c r="B63" s="10">
        <v>2</v>
      </c>
      <c r="C63" s="10">
        <v>387.78417742326502</v>
      </c>
    </row>
    <row r="64" spans="1:3" x14ac:dyDescent="0.25">
      <c r="A64" s="10">
        <v>1998</v>
      </c>
      <c r="B64" s="10">
        <v>3</v>
      </c>
      <c r="C64" s="10">
        <v>329.898750695454</v>
      </c>
    </row>
    <row r="65" spans="1:3" x14ac:dyDescent="0.25">
      <c r="A65" s="10">
        <v>1998</v>
      </c>
      <c r="B65" s="10">
        <v>4</v>
      </c>
      <c r="C65" s="10">
        <v>362.336644694825</v>
      </c>
    </row>
    <row r="66" spans="1:3" x14ac:dyDescent="0.25">
      <c r="A66" s="10">
        <v>1998</v>
      </c>
      <c r="B66" s="10">
        <v>5</v>
      </c>
      <c r="C66" s="10">
        <v>376.72356259140901</v>
      </c>
    </row>
    <row r="67" spans="1:3" x14ac:dyDescent="0.25">
      <c r="A67" s="10">
        <v>1998</v>
      </c>
      <c r="B67" s="10">
        <v>6</v>
      </c>
      <c r="C67" s="10">
        <v>369.81680789031202</v>
      </c>
    </row>
    <row r="68" spans="1:3" x14ac:dyDescent="0.25">
      <c r="A68" s="10">
        <v>1998</v>
      </c>
      <c r="B68" s="10">
        <v>7</v>
      </c>
      <c r="C68" s="10">
        <v>338.43209201895797</v>
      </c>
    </row>
    <row r="69" spans="1:3" x14ac:dyDescent="0.25">
      <c r="A69" s="10">
        <v>1998</v>
      </c>
      <c r="B69" s="10">
        <v>8</v>
      </c>
      <c r="C69" s="10">
        <v>366.11574475045097</v>
      </c>
    </row>
    <row r="70" spans="1:3" x14ac:dyDescent="0.25">
      <c r="A70" s="10">
        <v>1998</v>
      </c>
      <c r="B70" s="10">
        <v>9</v>
      </c>
      <c r="C70" s="10">
        <v>341.74539174142501</v>
      </c>
    </row>
    <row r="71" spans="1:3" x14ac:dyDescent="0.25">
      <c r="A71" s="10">
        <v>1998</v>
      </c>
      <c r="B71" s="10">
        <v>10</v>
      </c>
      <c r="C71" s="10">
        <v>336.234789610691</v>
      </c>
    </row>
    <row r="72" spans="1:3" x14ac:dyDescent="0.25">
      <c r="A72" s="10">
        <v>1998</v>
      </c>
      <c r="B72" s="10">
        <v>11</v>
      </c>
      <c r="C72" s="10">
        <v>329.21561255871597</v>
      </c>
    </row>
    <row r="73" spans="1:3" x14ac:dyDescent="0.25">
      <c r="A73" s="10">
        <v>1998</v>
      </c>
      <c r="B73" s="10">
        <v>12</v>
      </c>
      <c r="C73" s="10">
        <v>310.73473645124898</v>
      </c>
    </row>
    <row r="74" spans="1:3" x14ac:dyDescent="0.25">
      <c r="A74" s="10">
        <v>1999</v>
      </c>
      <c r="B74" s="10">
        <v>1</v>
      </c>
      <c r="C74" s="10">
        <v>303.01985324715798</v>
      </c>
    </row>
    <row r="75" spans="1:3" x14ac:dyDescent="0.25">
      <c r="A75" s="10">
        <v>1999</v>
      </c>
      <c r="B75" s="10">
        <v>2</v>
      </c>
      <c r="C75" s="10">
        <v>293.83244593718501</v>
      </c>
    </row>
    <row r="76" spans="1:3" x14ac:dyDescent="0.25">
      <c r="A76" s="10">
        <v>1999</v>
      </c>
      <c r="B76" s="10">
        <v>3</v>
      </c>
      <c r="C76" s="10">
        <v>278.25404075250401</v>
      </c>
    </row>
    <row r="77" spans="1:3" x14ac:dyDescent="0.25">
      <c r="A77" s="10">
        <v>1999</v>
      </c>
      <c r="B77" s="10">
        <v>4</v>
      </c>
      <c r="C77" s="10">
        <v>287.88513094370802</v>
      </c>
    </row>
    <row r="78" spans="1:3" x14ac:dyDescent="0.25">
      <c r="A78" s="10">
        <v>1999</v>
      </c>
      <c r="B78" s="10">
        <v>5</v>
      </c>
      <c r="C78" s="10">
        <v>302.29842362053199</v>
      </c>
    </row>
    <row r="79" spans="1:3" x14ac:dyDescent="0.25">
      <c r="A79" s="10">
        <v>1999</v>
      </c>
      <c r="B79" s="10">
        <v>6</v>
      </c>
      <c r="C79" s="10">
        <v>309.77890651769002</v>
      </c>
    </row>
    <row r="80" spans="1:3" x14ac:dyDescent="0.25">
      <c r="A80" s="10">
        <v>1999</v>
      </c>
      <c r="B80" s="10">
        <v>7</v>
      </c>
      <c r="C80" s="10">
        <v>330.87670270637</v>
      </c>
    </row>
    <row r="81" spans="1:3" x14ac:dyDescent="0.25">
      <c r="A81" s="10">
        <v>1999</v>
      </c>
      <c r="B81" s="10">
        <v>8</v>
      </c>
      <c r="C81" s="10">
        <v>327.62603688068998</v>
      </c>
    </row>
    <row r="82" spans="1:3" x14ac:dyDescent="0.25">
      <c r="A82" s="10">
        <v>1999</v>
      </c>
      <c r="B82" s="10">
        <v>9</v>
      </c>
      <c r="C82" s="10">
        <v>335.06150440302901</v>
      </c>
    </row>
    <row r="83" spans="1:3" x14ac:dyDescent="0.25">
      <c r="A83" s="10">
        <v>1999</v>
      </c>
      <c r="B83" s="10">
        <v>10</v>
      </c>
      <c r="C83" s="10">
        <v>337.64193633172101</v>
      </c>
    </row>
    <row r="84" spans="1:3" x14ac:dyDescent="0.25">
      <c r="A84" s="10">
        <v>1999</v>
      </c>
      <c r="B84" s="10">
        <v>11</v>
      </c>
      <c r="C84" s="10">
        <v>350.98093016365101</v>
      </c>
    </row>
    <row r="85" spans="1:3" x14ac:dyDescent="0.25">
      <c r="A85" s="10">
        <v>1999</v>
      </c>
      <c r="B85" s="10">
        <v>12</v>
      </c>
      <c r="C85" s="10">
        <v>357.81015482785</v>
      </c>
    </row>
    <row r="86" spans="1:3" x14ac:dyDescent="0.25">
      <c r="A86" s="10">
        <v>2000</v>
      </c>
      <c r="B86" s="10">
        <v>1</v>
      </c>
      <c r="C86" s="10">
        <v>354.300289140568</v>
      </c>
    </row>
    <row r="87" spans="1:3" x14ac:dyDescent="0.25">
      <c r="A87" s="10">
        <v>2000</v>
      </c>
      <c r="B87" s="10">
        <v>2</v>
      </c>
      <c r="C87" s="10">
        <v>340.59371138980202</v>
      </c>
    </row>
    <row r="88" spans="1:3" x14ac:dyDescent="0.25">
      <c r="A88" s="10">
        <v>2000</v>
      </c>
      <c r="B88" s="10">
        <v>3</v>
      </c>
      <c r="C88" s="10">
        <v>385.836912197728</v>
      </c>
    </row>
    <row r="89" spans="1:3" x14ac:dyDescent="0.25">
      <c r="A89" s="10">
        <v>2000</v>
      </c>
      <c r="B89" s="10">
        <v>4</v>
      </c>
      <c r="C89" s="10">
        <v>367.74987319031101</v>
      </c>
    </row>
    <row r="90" spans="1:3" x14ac:dyDescent="0.25">
      <c r="A90" s="10">
        <v>2000</v>
      </c>
      <c r="B90" s="10">
        <v>5</v>
      </c>
      <c r="C90" s="10">
        <v>336.41400447940703</v>
      </c>
    </row>
    <row r="91" spans="1:3" x14ac:dyDescent="0.25">
      <c r="A91" s="10">
        <v>2000</v>
      </c>
      <c r="B91" s="10">
        <v>6</v>
      </c>
      <c r="C91" s="10">
        <v>338.90494224960298</v>
      </c>
    </row>
    <row r="92" spans="1:3" x14ac:dyDescent="0.25">
      <c r="A92" s="10">
        <v>2000</v>
      </c>
      <c r="B92" s="10">
        <v>7</v>
      </c>
      <c r="C92" s="10">
        <v>357.98774234874099</v>
      </c>
    </row>
    <row r="93" spans="1:3" x14ac:dyDescent="0.25">
      <c r="A93" s="10">
        <v>2000</v>
      </c>
      <c r="B93" s="10">
        <v>8</v>
      </c>
      <c r="C93" s="10">
        <v>375.49951145712299</v>
      </c>
    </row>
    <row r="94" spans="1:3" x14ac:dyDescent="0.25">
      <c r="A94" s="10">
        <v>2000</v>
      </c>
      <c r="B94" s="10">
        <v>9</v>
      </c>
      <c r="C94" s="10">
        <v>394.89114235981299</v>
      </c>
    </row>
    <row r="95" spans="1:3" x14ac:dyDescent="0.25">
      <c r="A95" s="10">
        <v>2000</v>
      </c>
      <c r="B95" s="10">
        <v>10</v>
      </c>
      <c r="C95" s="10">
        <v>391.31660880722899</v>
      </c>
    </row>
    <row r="96" spans="1:3" x14ac:dyDescent="0.25">
      <c r="A96" s="10">
        <v>2000</v>
      </c>
      <c r="B96" s="10">
        <v>11</v>
      </c>
      <c r="C96" s="10">
        <v>401.18598944975002</v>
      </c>
    </row>
    <row r="97" spans="1:3" x14ac:dyDescent="0.25">
      <c r="A97" s="10">
        <v>2000</v>
      </c>
      <c r="B97" s="10">
        <v>12</v>
      </c>
      <c r="C97" s="10">
        <v>412.546099785536</v>
      </c>
    </row>
    <row r="98" spans="1:3" x14ac:dyDescent="0.25">
      <c r="A98" s="10">
        <v>2001</v>
      </c>
      <c r="B98" s="10">
        <v>1</v>
      </c>
      <c r="C98" s="10">
        <v>381.92963524196603</v>
      </c>
    </row>
    <row r="99" spans="1:3" x14ac:dyDescent="0.25">
      <c r="A99" s="10">
        <v>2001</v>
      </c>
      <c r="B99" s="10">
        <v>2</v>
      </c>
      <c r="C99" s="10">
        <v>363.13618519057502</v>
      </c>
    </row>
    <row r="100" spans="1:3" x14ac:dyDescent="0.25">
      <c r="A100" s="10">
        <v>2001</v>
      </c>
      <c r="B100" s="10">
        <v>3</v>
      </c>
      <c r="C100" s="10">
        <v>381.10167720148797</v>
      </c>
    </row>
    <row r="101" spans="1:3" x14ac:dyDescent="0.25">
      <c r="A101" s="10">
        <v>2001</v>
      </c>
      <c r="B101" s="10">
        <v>4</v>
      </c>
      <c r="C101" s="10">
        <v>374.70691222464899</v>
      </c>
    </row>
    <row r="102" spans="1:3" x14ac:dyDescent="0.25">
      <c r="A102" s="10">
        <v>2001</v>
      </c>
      <c r="B102" s="10">
        <v>5</v>
      </c>
      <c r="C102" s="10">
        <v>377.312102726587</v>
      </c>
    </row>
    <row r="103" spans="1:3" x14ac:dyDescent="0.25">
      <c r="A103" s="10">
        <v>2001</v>
      </c>
      <c r="B103" s="10">
        <v>6</v>
      </c>
      <c r="C103" s="10">
        <v>376.81861780461099</v>
      </c>
    </row>
    <row r="104" spans="1:3" x14ac:dyDescent="0.25">
      <c r="A104" s="10">
        <v>2001</v>
      </c>
      <c r="B104" s="10">
        <v>7</v>
      </c>
      <c r="C104" s="10">
        <v>348.98230979754197</v>
      </c>
    </row>
    <row r="105" spans="1:3" x14ac:dyDescent="0.25">
      <c r="A105" s="10">
        <v>2001</v>
      </c>
      <c r="B105" s="10">
        <v>8</v>
      </c>
      <c r="C105" s="10">
        <v>255.30405979558</v>
      </c>
    </row>
    <row r="106" spans="1:3" x14ac:dyDescent="0.25">
      <c r="A106" s="10">
        <v>2001</v>
      </c>
      <c r="B106" s="10">
        <v>9</v>
      </c>
      <c r="C106" s="10">
        <v>339.49974739906997</v>
      </c>
    </row>
    <row r="107" spans="1:3" x14ac:dyDescent="0.25">
      <c r="A107" s="10">
        <v>2001</v>
      </c>
      <c r="B107" s="10">
        <v>10</v>
      </c>
      <c r="C107" s="10">
        <v>313.799210051758</v>
      </c>
    </row>
    <row r="108" spans="1:3" x14ac:dyDescent="0.25">
      <c r="A108" s="10">
        <v>2001</v>
      </c>
      <c r="B108" s="10">
        <v>11</v>
      </c>
      <c r="C108" s="10">
        <v>308.76025482255102</v>
      </c>
    </row>
    <row r="109" spans="1:3" x14ac:dyDescent="0.25">
      <c r="A109" s="10">
        <v>2001</v>
      </c>
      <c r="B109" s="10">
        <v>12</v>
      </c>
      <c r="C109" s="10">
        <v>299.69541210363099</v>
      </c>
    </row>
    <row r="110" spans="1:3" x14ac:dyDescent="0.25">
      <c r="A110" s="10">
        <v>2002</v>
      </c>
      <c r="B110" s="10">
        <v>1</v>
      </c>
      <c r="C110" s="10">
        <v>309.37540663836802</v>
      </c>
    </row>
    <row r="111" spans="1:3" x14ac:dyDescent="0.25">
      <c r="A111" s="10">
        <v>2002</v>
      </c>
      <c r="B111" s="10">
        <v>2</v>
      </c>
      <c r="C111" s="10">
        <v>347.70950712181298</v>
      </c>
    </row>
    <row r="112" spans="1:3" x14ac:dyDescent="0.25">
      <c r="A112" s="10">
        <v>2002</v>
      </c>
      <c r="B112" s="10">
        <v>3</v>
      </c>
      <c r="C112" s="10">
        <v>331.26623771100299</v>
      </c>
    </row>
    <row r="113" spans="1:3" x14ac:dyDescent="0.25">
      <c r="A113" s="10">
        <v>2002</v>
      </c>
      <c r="B113" s="10">
        <v>4</v>
      </c>
      <c r="C113" s="10">
        <v>379.99346513597698</v>
      </c>
    </row>
    <row r="114" spans="1:3" x14ac:dyDescent="0.25">
      <c r="A114" s="10">
        <v>2002</v>
      </c>
      <c r="B114" s="10">
        <v>5</v>
      </c>
      <c r="C114" s="10">
        <v>368.17389803384299</v>
      </c>
    </row>
    <row r="115" spans="1:3" x14ac:dyDescent="0.25">
      <c r="A115" s="10">
        <v>2002</v>
      </c>
      <c r="B115" s="10">
        <v>6</v>
      </c>
      <c r="C115" s="10">
        <v>358.71819733454998</v>
      </c>
    </row>
    <row r="116" spans="1:3" x14ac:dyDescent="0.25">
      <c r="A116" s="10">
        <v>2002</v>
      </c>
      <c r="B116" s="10">
        <v>7</v>
      </c>
      <c r="C116" s="10">
        <v>368.85677112656299</v>
      </c>
    </row>
    <row r="117" spans="1:3" x14ac:dyDescent="0.25">
      <c r="A117" s="10">
        <v>2002</v>
      </c>
      <c r="B117" s="10">
        <v>8</v>
      </c>
      <c r="C117" s="10">
        <v>375.222127011552</v>
      </c>
    </row>
    <row r="118" spans="1:3" x14ac:dyDescent="0.25">
      <c r="A118" s="10">
        <v>2002</v>
      </c>
      <c r="B118" s="10">
        <v>9</v>
      </c>
      <c r="C118" s="10">
        <v>383.88824414927899</v>
      </c>
    </row>
    <row r="119" spans="1:3" x14ac:dyDescent="0.25">
      <c r="A119" s="10">
        <v>2002</v>
      </c>
      <c r="B119" s="10">
        <v>10</v>
      </c>
      <c r="C119" s="10">
        <v>388.04985888191999</v>
      </c>
    </row>
    <row r="120" spans="1:3" x14ac:dyDescent="0.25">
      <c r="A120" s="10">
        <v>2002</v>
      </c>
      <c r="B120" s="10">
        <v>11</v>
      </c>
      <c r="C120" s="10">
        <v>370.27644660577801</v>
      </c>
    </row>
    <row r="121" spans="1:3" x14ac:dyDescent="0.25">
      <c r="A121" s="10">
        <v>2002</v>
      </c>
      <c r="B121" s="10">
        <v>12</v>
      </c>
      <c r="C121" s="10">
        <v>392.018440732469</v>
      </c>
    </row>
    <row r="122" spans="1:3" x14ac:dyDescent="0.25">
      <c r="A122" s="10">
        <v>2003</v>
      </c>
      <c r="B122" s="10">
        <v>1</v>
      </c>
      <c r="C122" s="10">
        <v>416.187887912956</v>
      </c>
    </row>
    <row r="123" spans="1:3" x14ac:dyDescent="0.25">
      <c r="A123" s="10">
        <v>2003</v>
      </c>
      <c r="B123" s="10">
        <v>2</v>
      </c>
      <c r="C123" s="10">
        <v>421.68682264116899</v>
      </c>
    </row>
    <row r="124" spans="1:3" x14ac:dyDescent="0.25">
      <c r="A124" s="10">
        <v>2003</v>
      </c>
      <c r="B124" s="10">
        <v>3</v>
      </c>
      <c r="C124" s="10">
        <v>434.78574973650399</v>
      </c>
    </row>
    <row r="125" spans="1:3" x14ac:dyDescent="0.25">
      <c r="A125" s="10">
        <v>2003</v>
      </c>
      <c r="B125" s="10">
        <v>4</v>
      </c>
      <c r="C125" s="10">
        <v>418.941780126342</v>
      </c>
    </row>
    <row r="126" spans="1:3" x14ac:dyDescent="0.25">
      <c r="A126" s="10">
        <v>2003</v>
      </c>
      <c r="B126" s="10">
        <v>5</v>
      </c>
      <c r="C126" s="10">
        <v>418.703618298229</v>
      </c>
    </row>
    <row r="127" spans="1:3" x14ac:dyDescent="0.25">
      <c r="A127" s="10">
        <v>2003</v>
      </c>
      <c r="B127" s="10">
        <v>6</v>
      </c>
      <c r="C127" s="10">
        <v>420.914322048847</v>
      </c>
    </row>
    <row r="128" spans="1:3" x14ac:dyDescent="0.25">
      <c r="A128" s="10">
        <v>2003</v>
      </c>
      <c r="B128" s="10">
        <v>7</v>
      </c>
      <c r="C128" s="10">
        <v>414.27675021422601</v>
      </c>
    </row>
    <row r="129" spans="1:3" x14ac:dyDescent="0.25">
      <c r="A129" s="10">
        <v>2003</v>
      </c>
      <c r="B129" s="10">
        <v>8</v>
      </c>
      <c r="C129" s="10">
        <v>422.61397915216202</v>
      </c>
    </row>
    <row r="130" spans="1:3" x14ac:dyDescent="0.25">
      <c r="A130" s="10">
        <v>2003</v>
      </c>
      <c r="B130" s="10">
        <v>9</v>
      </c>
      <c r="C130" s="10">
        <v>411.64993792723601</v>
      </c>
    </row>
    <row r="131" spans="1:3" x14ac:dyDescent="0.25">
      <c r="A131" s="10">
        <v>2003</v>
      </c>
      <c r="B131" s="10">
        <v>10</v>
      </c>
      <c r="C131" s="10">
        <v>422.370662553969</v>
      </c>
    </row>
    <row r="132" spans="1:3" x14ac:dyDescent="0.25">
      <c r="A132" s="10">
        <v>2003</v>
      </c>
      <c r="B132" s="10">
        <v>11</v>
      </c>
      <c r="C132" s="10">
        <v>416.51343678080599</v>
      </c>
    </row>
    <row r="133" spans="1:3" x14ac:dyDescent="0.25">
      <c r="A133" s="10">
        <v>2003</v>
      </c>
      <c r="B133" s="10">
        <v>12</v>
      </c>
      <c r="C133" s="10">
        <v>425.64314651234599</v>
      </c>
    </row>
    <row r="134" spans="1:3" x14ac:dyDescent="0.25">
      <c r="A134" s="10">
        <v>2004</v>
      </c>
      <c r="B134" s="10">
        <v>1</v>
      </c>
      <c r="C134" s="10">
        <v>439.18545644610799</v>
      </c>
    </row>
    <row r="135" spans="1:3" x14ac:dyDescent="0.25">
      <c r="A135" s="10">
        <v>2004</v>
      </c>
      <c r="B135" s="10">
        <v>2</v>
      </c>
      <c r="C135" s="10">
        <v>409.77332800652403</v>
      </c>
    </row>
    <row r="136" spans="1:3" x14ac:dyDescent="0.25">
      <c r="A136" s="10">
        <v>2004</v>
      </c>
      <c r="B136" s="10">
        <v>3</v>
      </c>
      <c r="C136" s="10">
        <v>403.72631025815099</v>
      </c>
    </row>
    <row r="137" spans="1:3" x14ac:dyDescent="0.25">
      <c r="A137" s="10">
        <v>2004</v>
      </c>
      <c r="B137" s="10">
        <v>4</v>
      </c>
      <c r="C137" s="10">
        <v>400.97388508667098</v>
      </c>
    </row>
    <row r="138" spans="1:3" x14ac:dyDescent="0.25">
      <c r="A138" s="10">
        <v>2004</v>
      </c>
      <c r="B138" s="10">
        <v>5</v>
      </c>
      <c r="C138" s="10">
        <v>403.927298284941</v>
      </c>
    </row>
    <row r="139" spans="1:3" x14ac:dyDescent="0.25">
      <c r="A139" s="10">
        <v>2004</v>
      </c>
      <c r="B139" s="10">
        <v>6</v>
      </c>
      <c r="C139" s="10">
        <v>410.062997375885</v>
      </c>
    </row>
    <row r="140" spans="1:3" x14ac:dyDescent="0.25">
      <c r="A140" s="10">
        <v>2004</v>
      </c>
      <c r="B140" s="10">
        <v>7</v>
      </c>
      <c r="C140" s="10">
        <v>423.45886150714898</v>
      </c>
    </row>
    <row r="141" spans="1:3" x14ac:dyDescent="0.25">
      <c r="A141" s="10">
        <v>2004</v>
      </c>
      <c r="B141" s="10">
        <v>8</v>
      </c>
      <c r="C141" s="10">
        <v>414.61716205690601</v>
      </c>
    </row>
    <row r="142" spans="1:3" x14ac:dyDescent="0.25">
      <c r="A142" s="10">
        <v>2004</v>
      </c>
      <c r="B142" s="10">
        <v>9</v>
      </c>
      <c r="C142" s="10">
        <v>420.94945845870001</v>
      </c>
    </row>
    <row r="143" spans="1:3" x14ac:dyDescent="0.25">
      <c r="A143" s="10">
        <v>2004</v>
      </c>
      <c r="B143" s="10">
        <v>10</v>
      </c>
      <c r="C143" s="10">
        <v>448.44727869521699</v>
      </c>
    </row>
    <row r="144" spans="1:3" x14ac:dyDescent="0.25">
      <c r="A144" s="10">
        <v>2004</v>
      </c>
      <c r="B144" s="10">
        <v>11</v>
      </c>
      <c r="C144" s="10">
        <v>465.42659006796703</v>
      </c>
    </row>
    <row r="145" spans="1:3" x14ac:dyDescent="0.25">
      <c r="A145" s="10">
        <v>2004</v>
      </c>
      <c r="B145" s="10">
        <v>12</v>
      </c>
      <c r="C145" s="10">
        <v>466.03340599275401</v>
      </c>
    </row>
    <row r="146" spans="1:3" x14ac:dyDescent="0.25">
      <c r="A146" s="10">
        <v>2005</v>
      </c>
      <c r="B146" s="10">
        <v>1</v>
      </c>
      <c r="C146" s="10">
        <v>467.58229487327901</v>
      </c>
    </row>
    <row r="147" spans="1:3" x14ac:dyDescent="0.25">
      <c r="A147" s="10">
        <v>2005</v>
      </c>
      <c r="B147" s="10">
        <v>2</v>
      </c>
      <c r="C147" s="10">
        <v>452.89662570678098</v>
      </c>
    </row>
    <row r="148" spans="1:3" x14ac:dyDescent="0.25">
      <c r="A148" s="10">
        <v>2005</v>
      </c>
      <c r="B148" s="10">
        <v>3</v>
      </c>
      <c r="C148" s="10">
        <v>447.504051128821</v>
      </c>
    </row>
    <row r="149" spans="1:3" x14ac:dyDescent="0.25">
      <c r="A149" s="10">
        <v>2005</v>
      </c>
      <c r="B149" s="10">
        <v>4</v>
      </c>
      <c r="C149" s="10">
        <v>454.89152324359299</v>
      </c>
    </row>
    <row r="150" spans="1:3" x14ac:dyDescent="0.25">
      <c r="A150" s="10">
        <v>2005</v>
      </c>
      <c r="B150" s="10">
        <v>5</v>
      </c>
      <c r="C150" s="10">
        <v>465.33691503563603</v>
      </c>
    </row>
    <row r="151" spans="1:3" x14ac:dyDescent="0.25">
      <c r="A151" s="10">
        <v>2005</v>
      </c>
      <c r="B151" s="10">
        <v>6</v>
      </c>
      <c r="C151" s="10">
        <v>441.34837462770503</v>
      </c>
    </row>
    <row r="152" spans="1:3" x14ac:dyDescent="0.25">
      <c r="A152" s="10">
        <v>2005</v>
      </c>
      <c r="B152" s="10">
        <v>7</v>
      </c>
      <c r="C152" s="10">
        <v>440.614761978925</v>
      </c>
    </row>
    <row r="153" spans="1:3" x14ac:dyDescent="0.25">
      <c r="A153" s="10">
        <v>2005</v>
      </c>
      <c r="B153" s="10">
        <v>8</v>
      </c>
      <c r="C153" s="10">
        <v>445.68125237990199</v>
      </c>
    </row>
    <row r="154" spans="1:3" x14ac:dyDescent="0.25">
      <c r="A154" s="10">
        <v>2005</v>
      </c>
      <c r="B154" s="10">
        <v>9</v>
      </c>
      <c r="C154" s="10">
        <v>410.51852305975802</v>
      </c>
    </row>
    <row r="155" spans="1:3" x14ac:dyDescent="0.25">
      <c r="A155" s="10">
        <v>2005</v>
      </c>
      <c r="B155" s="10">
        <v>10</v>
      </c>
      <c r="C155" s="10">
        <v>417.16425591362901</v>
      </c>
    </row>
    <row r="156" spans="1:3" x14ac:dyDescent="0.25">
      <c r="A156" s="10">
        <v>2005</v>
      </c>
      <c r="B156" s="10">
        <v>11</v>
      </c>
      <c r="C156" s="10">
        <v>465.16660770792799</v>
      </c>
    </row>
    <row r="157" spans="1:3" x14ac:dyDescent="0.25">
      <c r="A157" s="10">
        <v>2005</v>
      </c>
      <c r="B157" s="10">
        <v>12</v>
      </c>
      <c r="C157" s="10">
        <v>481.69719484087699</v>
      </c>
    </row>
    <row r="158" spans="1:3" x14ac:dyDescent="0.25">
      <c r="A158" s="10">
        <v>2006</v>
      </c>
      <c r="B158" s="10">
        <v>1</v>
      </c>
      <c r="C158" s="10">
        <v>475.81495609338998</v>
      </c>
    </row>
    <row r="159" spans="1:3" x14ac:dyDescent="0.25">
      <c r="A159" s="10">
        <v>2006</v>
      </c>
      <c r="B159" s="10">
        <v>2</v>
      </c>
      <c r="C159" s="10">
        <v>477.38394238561602</v>
      </c>
    </row>
    <row r="160" spans="1:3" x14ac:dyDescent="0.25">
      <c r="A160" s="10">
        <v>2006</v>
      </c>
      <c r="B160" s="10">
        <v>3</v>
      </c>
      <c r="C160" s="10">
        <v>485.33681594317301</v>
      </c>
    </row>
    <row r="161" spans="1:3" x14ac:dyDescent="0.25">
      <c r="A161" s="10">
        <v>2006</v>
      </c>
      <c r="B161" s="10">
        <v>4</v>
      </c>
      <c r="C161" s="10">
        <v>472.06085358377601</v>
      </c>
    </row>
    <row r="162" spans="1:3" x14ac:dyDescent="0.25">
      <c r="A162" s="10">
        <v>2006</v>
      </c>
      <c r="B162" s="10">
        <v>5</v>
      </c>
      <c r="C162" s="10">
        <v>482.21867972518203</v>
      </c>
    </row>
    <row r="163" spans="1:3" x14ac:dyDescent="0.25">
      <c r="A163" s="10">
        <v>2006</v>
      </c>
      <c r="B163" s="10">
        <v>6</v>
      </c>
      <c r="C163" s="10">
        <v>490.58704007002001</v>
      </c>
    </row>
    <row r="164" spans="1:3" x14ac:dyDescent="0.25">
      <c r="A164" s="10">
        <v>2006</v>
      </c>
      <c r="B164" s="10">
        <v>7</v>
      </c>
      <c r="C164" s="10">
        <v>464.343700585514</v>
      </c>
    </row>
    <row r="165" spans="1:3" x14ac:dyDescent="0.25">
      <c r="A165" s="10">
        <v>2006</v>
      </c>
      <c r="B165" s="10">
        <v>8</v>
      </c>
      <c r="C165" s="10">
        <v>445.884629464829</v>
      </c>
    </row>
    <row r="166" spans="1:3" x14ac:dyDescent="0.25">
      <c r="A166" s="10">
        <v>2006</v>
      </c>
      <c r="B166" s="10">
        <v>9</v>
      </c>
      <c r="C166" s="10">
        <v>478.16053466916901</v>
      </c>
    </row>
    <row r="167" spans="1:3" x14ac:dyDescent="0.25">
      <c r="A167" s="10">
        <v>2006</v>
      </c>
      <c r="B167" s="10">
        <v>10</v>
      </c>
      <c r="C167" s="10">
        <v>452.48653089429899</v>
      </c>
    </row>
    <row r="168" spans="1:3" x14ac:dyDescent="0.25">
      <c r="A168" s="10">
        <v>2006</v>
      </c>
      <c r="B168" s="10">
        <v>11</v>
      </c>
      <c r="C168" s="10">
        <v>405.853795065974</v>
      </c>
    </row>
    <row r="169" spans="1:3" x14ac:dyDescent="0.25">
      <c r="A169" s="10">
        <v>2006</v>
      </c>
      <c r="B169" s="10">
        <v>12</v>
      </c>
      <c r="C169" s="10">
        <v>405.42993356060299</v>
      </c>
    </row>
    <row r="170" spans="1:3" x14ac:dyDescent="0.25">
      <c r="A170" s="10">
        <v>2007</v>
      </c>
      <c r="B170" s="10">
        <v>1</v>
      </c>
      <c r="C170" s="10">
        <v>405.95528444706099</v>
      </c>
    </row>
    <row r="171" spans="1:3" x14ac:dyDescent="0.25">
      <c r="A171" s="10">
        <v>2007</v>
      </c>
      <c r="B171" s="10">
        <v>2</v>
      </c>
      <c r="C171" s="10">
        <v>447.12790176396499</v>
      </c>
    </row>
    <row r="172" spans="1:3" x14ac:dyDescent="0.25">
      <c r="A172" s="10">
        <v>2007</v>
      </c>
      <c r="B172" s="10">
        <v>3</v>
      </c>
      <c r="C172" s="10">
        <v>456.68392414616699</v>
      </c>
    </row>
    <row r="173" spans="1:3" x14ac:dyDescent="0.25">
      <c r="A173" s="10">
        <v>2007</v>
      </c>
      <c r="B173" s="10">
        <v>4</v>
      </c>
      <c r="C173" s="10">
        <v>466.95672315253302</v>
      </c>
    </row>
    <row r="174" spans="1:3" x14ac:dyDescent="0.25">
      <c r="A174" s="10">
        <v>2007</v>
      </c>
      <c r="B174" s="10">
        <v>5</v>
      </c>
      <c r="C174" s="10">
        <v>440.15596973754998</v>
      </c>
    </row>
    <row r="175" spans="1:3" x14ac:dyDescent="0.25">
      <c r="A175" s="10">
        <v>2007</v>
      </c>
      <c r="B175" s="10">
        <v>6</v>
      </c>
      <c r="C175" s="10">
        <v>446.43789241866</v>
      </c>
    </row>
    <row r="176" spans="1:3" x14ac:dyDescent="0.25">
      <c r="A176" s="10">
        <v>2007</v>
      </c>
      <c r="B176" s="10">
        <v>7</v>
      </c>
      <c r="C176" s="10">
        <v>337.01064776656199</v>
      </c>
    </row>
    <row r="177" spans="1:3" x14ac:dyDescent="0.25">
      <c r="A177" s="10">
        <v>2007</v>
      </c>
      <c r="B177" s="10">
        <v>8</v>
      </c>
      <c r="C177" s="10">
        <v>462.11810960664701</v>
      </c>
    </row>
    <row r="178" spans="1:3" x14ac:dyDescent="0.25">
      <c r="A178" s="10">
        <v>2007</v>
      </c>
      <c r="B178" s="10">
        <v>9</v>
      </c>
      <c r="C178" s="10">
        <v>466.09075947880001</v>
      </c>
    </row>
    <row r="179" spans="1:3" x14ac:dyDescent="0.25">
      <c r="A179" s="10">
        <v>2007</v>
      </c>
      <c r="B179" s="10">
        <v>10</v>
      </c>
      <c r="C179" s="10">
        <v>463.79479643734101</v>
      </c>
    </row>
    <row r="180" spans="1:3" x14ac:dyDescent="0.25">
      <c r="A180" s="10">
        <v>2007</v>
      </c>
      <c r="B180" s="10">
        <v>11</v>
      </c>
      <c r="C180" s="10">
        <v>485.50130776183801</v>
      </c>
    </row>
    <row r="181" spans="1:3" x14ac:dyDescent="0.25">
      <c r="A181" s="10">
        <v>2007</v>
      </c>
      <c r="B181" s="10">
        <v>12</v>
      </c>
      <c r="C181" s="10">
        <v>512.92897822907105</v>
      </c>
    </row>
    <row r="182" spans="1:3" x14ac:dyDescent="0.25">
      <c r="A182" s="10">
        <v>2008</v>
      </c>
      <c r="B182" s="10">
        <v>1</v>
      </c>
      <c r="C182" s="10">
        <v>492.73212394065399</v>
      </c>
    </row>
    <row r="183" spans="1:3" x14ac:dyDescent="0.25">
      <c r="A183" s="10">
        <v>2008</v>
      </c>
      <c r="B183" s="10">
        <v>2</v>
      </c>
      <c r="C183" s="10">
        <v>439.92440258687901</v>
      </c>
    </row>
    <row r="184" spans="1:3" x14ac:dyDescent="0.25">
      <c r="A184" s="10">
        <v>2008</v>
      </c>
      <c r="B184" s="10">
        <v>3</v>
      </c>
      <c r="C184" s="10">
        <v>489.05281089071798</v>
      </c>
    </row>
    <row r="185" spans="1:3" x14ac:dyDescent="0.25">
      <c r="A185" s="10">
        <v>2008</v>
      </c>
      <c r="B185" s="10">
        <v>4</v>
      </c>
      <c r="C185" s="10">
        <v>496.04848549643202</v>
      </c>
    </row>
    <row r="186" spans="1:3" x14ac:dyDescent="0.25">
      <c r="A186" s="10">
        <v>2008</v>
      </c>
      <c r="B186" s="10">
        <v>5</v>
      </c>
      <c r="C186" s="10">
        <v>497.59856792308</v>
      </c>
    </row>
    <row r="187" spans="1:3" x14ac:dyDescent="0.25">
      <c r="A187" s="10">
        <v>2008</v>
      </c>
      <c r="B187" s="10">
        <v>6</v>
      </c>
      <c r="C187" s="10">
        <v>495.19356599986298</v>
      </c>
    </row>
    <row r="188" spans="1:3" x14ac:dyDescent="0.25">
      <c r="A188" s="10">
        <v>2008</v>
      </c>
      <c r="B188" s="10">
        <v>7</v>
      </c>
      <c r="C188" s="10">
        <v>508.59729893942801</v>
      </c>
    </row>
    <row r="189" spans="1:3" x14ac:dyDescent="0.25">
      <c r="A189" s="10">
        <v>2008</v>
      </c>
      <c r="B189" s="10">
        <v>8</v>
      </c>
      <c r="C189" s="10">
        <v>496.46986537065197</v>
      </c>
    </row>
    <row r="190" spans="1:3" x14ac:dyDescent="0.25">
      <c r="A190" s="10">
        <v>2008</v>
      </c>
      <c r="B190" s="10">
        <v>9</v>
      </c>
      <c r="C190" s="10">
        <v>474.47313745109898</v>
      </c>
    </row>
    <row r="191" spans="1:3" x14ac:dyDescent="0.25">
      <c r="A191" s="10">
        <v>2008</v>
      </c>
      <c r="B191" s="10">
        <v>10</v>
      </c>
      <c r="C191" s="10">
        <v>445.70198647191597</v>
      </c>
    </row>
    <row r="192" spans="1:3" x14ac:dyDescent="0.25">
      <c r="A192" s="10">
        <v>2008</v>
      </c>
      <c r="B192" s="10">
        <v>11</v>
      </c>
      <c r="C192" s="10">
        <v>383.02916162250301</v>
      </c>
    </row>
    <row r="193" spans="1:3" x14ac:dyDescent="0.25">
      <c r="A193" s="10">
        <v>2008</v>
      </c>
      <c r="B193" s="10">
        <v>12</v>
      </c>
      <c r="C193" s="10">
        <v>290.960007314758</v>
      </c>
    </row>
    <row r="194" spans="1:3" x14ac:dyDescent="0.25">
      <c r="A194" s="10">
        <v>2009</v>
      </c>
      <c r="B194" s="10">
        <v>1</v>
      </c>
      <c r="C194" s="10">
        <v>362.54890665510101</v>
      </c>
    </row>
    <row r="195" spans="1:3" x14ac:dyDescent="0.25">
      <c r="A195" s="10">
        <v>2009</v>
      </c>
      <c r="B195" s="10">
        <v>2</v>
      </c>
      <c r="C195" s="10">
        <v>293.19637337672702</v>
      </c>
    </row>
    <row r="196" spans="1:3" x14ac:dyDescent="0.25">
      <c r="A196" s="10">
        <v>2009</v>
      </c>
      <c r="B196" s="10">
        <v>3</v>
      </c>
      <c r="C196" s="10">
        <v>239.92835633883601</v>
      </c>
    </row>
    <row r="197" spans="1:3" x14ac:dyDescent="0.25">
      <c r="A197" s="10">
        <v>2009</v>
      </c>
      <c r="B197" s="10">
        <v>4</v>
      </c>
      <c r="C197" s="10">
        <v>274.44222885514898</v>
      </c>
    </row>
    <row r="198" spans="1:3" x14ac:dyDescent="0.25">
      <c r="A198" s="10">
        <v>2009</v>
      </c>
      <c r="B198" s="10">
        <v>5</v>
      </c>
      <c r="C198" s="10">
        <v>267.19504700253498</v>
      </c>
    </row>
    <row r="199" spans="1:3" x14ac:dyDescent="0.25">
      <c r="A199" s="10">
        <v>2009</v>
      </c>
      <c r="B199" s="10">
        <v>6</v>
      </c>
      <c r="C199" s="10">
        <v>314.45320520152399</v>
      </c>
    </row>
    <row r="200" spans="1:3" x14ac:dyDescent="0.25">
      <c r="A200" s="10">
        <v>2009</v>
      </c>
      <c r="B200" s="10">
        <v>7</v>
      </c>
      <c r="C200" s="10">
        <v>336.11372897555299</v>
      </c>
    </row>
    <row r="201" spans="1:3" x14ac:dyDescent="0.25">
      <c r="A201" s="10">
        <v>2009</v>
      </c>
      <c r="B201" s="10">
        <v>8</v>
      </c>
      <c r="C201" s="10">
        <v>341.07934687801202</v>
      </c>
    </row>
    <row r="202" spans="1:3" x14ac:dyDescent="0.25">
      <c r="A202" s="10">
        <v>2009</v>
      </c>
      <c r="B202" s="10">
        <v>9</v>
      </c>
      <c r="C202" s="10">
        <v>373.37674702766799</v>
      </c>
    </row>
    <row r="203" spans="1:3" x14ac:dyDescent="0.25">
      <c r="A203" s="10">
        <v>2009</v>
      </c>
      <c r="B203" s="10">
        <v>10</v>
      </c>
      <c r="C203" s="10">
        <v>393.58332397492899</v>
      </c>
    </row>
    <row r="204" spans="1:3" x14ac:dyDescent="0.25">
      <c r="A204" s="10">
        <v>2009</v>
      </c>
      <c r="B204" s="10">
        <v>11</v>
      </c>
      <c r="C204" s="10">
        <v>403.67965537520899</v>
      </c>
    </row>
    <row r="205" spans="1:3" x14ac:dyDescent="0.25">
      <c r="A205" s="10">
        <v>2009</v>
      </c>
      <c r="B205" s="10">
        <v>12</v>
      </c>
      <c r="C205" s="10">
        <v>417.15785388781501</v>
      </c>
    </row>
    <row r="206" spans="1:3" x14ac:dyDescent="0.25">
      <c r="A206" s="10">
        <v>2010</v>
      </c>
      <c r="B206" s="10">
        <v>1</v>
      </c>
      <c r="C206" s="10">
        <v>416.56571957983903</v>
      </c>
    </row>
    <row r="207" spans="1:3" x14ac:dyDescent="0.25">
      <c r="A207" s="10">
        <v>2010</v>
      </c>
      <c r="B207" s="10">
        <v>2</v>
      </c>
      <c r="C207" s="10">
        <v>423.588906709382</v>
      </c>
    </row>
    <row r="208" spans="1:3" x14ac:dyDescent="0.25">
      <c r="A208" s="10">
        <v>2010</v>
      </c>
      <c r="B208" s="10">
        <v>3</v>
      </c>
      <c r="C208" s="10">
        <v>425.259509046559</v>
      </c>
    </row>
    <row r="209" spans="1:3" x14ac:dyDescent="0.25">
      <c r="A209" s="10">
        <v>2010</v>
      </c>
      <c r="B209" s="10">
        <v>4</v>
      </c>
      <c r="C209" s="10">
        <v>422.84362603867601</v>
      </c>
    </row>
    <row r="210" spans="1:3" x14ac:dyDescent="0.25">
      <c r="A210" s="10">
        <v>2010</v>
      </c>
      <c r="B210" s="10">
        <v>5</v>
      </c>
      <c r="C210" s="10">
        <v>434.22680382889098</v>
      </c>
    </row>
    <row r="211" spans="1:3" x14ac:dyDescent="0.25">
      <c r="A211" s="10">
        <v>2010</v>
      </c>
      <c r="B211" s="10">
        <v>6</v>
      </c>
      <c r="C211" s="10">
        <v>424.94718405046098</v>
      </c>
    </row>
    <row r="212" spans="1:3" x14ac:dyDescent="0.25">
      <c r="A212" s="10">
        <v>2010</v>
      </c>
      <c r="B212" s="10">
        <v>7</v>
      </c>
      <c r="C212" s="10">
        <v>419.70283530591701</v>
      </c>
    </row>
    <row r="213" spans="1:3" x14ac:dyDescent="0.25">
      <c r="A213" s="10">
        <v>2010</v>
      </c>
      <c r="B213" s="10">
        <v>8</v>
      </c>
      <c r="C213" s="10">
        <v>443.099025800687</v>
      </c>
    </row>
    <row r="214" spans="1:3" x14ac:dyDescent="0.25">
      <c r="A214" s="10">
        <v>2010</v>
      </c>
      <c r="B214" s="10">
        <v>9</v>
      </c>
      <c r="C214" s="10">
        <v>432.176651717948</v>
      </c>
    </row>
    <row r="215" spans="1:3" x14ac:dyDescent="0.25">
      <c r="A215" s="10">
        <v>2010</v>
      </c>
      <c r="B215" s="10">
        <v>10</v>
      </c>
      <c r="C215" s="10">
        <v>430.50759550832998</v>
      </c>
    </row>
    <row r="216" spans="1:3" x14ac:dyDescent="0.25">
      <c r="A216" s="10">
        <v>2010</v>
      </c>
      <c r="B216" s="10">
        <v>11</v>
      </c>
      <c r="C216" s="10">
        <v>434.982370934816</v>
      </c>
    </row>
    <row r="217" spans="1:3" x14ac:dyDescent="0.25">
      <c r="A217" s="10">
        <v>2010</v>
      </c>
      <c r="B217" s="10">
        <v>12</v>
      </c>
      <c r="C217" s="10">
        <v>434.50019877554399</v>
      </c>
    </row>
    <row r="218" spans="1:3" x14ac:dyDescent="0.25">
      <c r="A218" s="10">
        <v>2011</v>
      </c>
      <c r="B218" s="10">
        <v>1</v>
      </c>
      <c r="C218" s="10">
        <v>437.86686626947699</v>
      </c>
    </row>
    <row r="219" spans="1:3" x14ac:dyDescent="0.25">
      <c r="A219" s="10">
        <v>2011</v>
      </c>
      <c r="B219" s="10">
        <v>2</v>
      </c>
      <c r="C219" s="10">
        <v>492.35064183348197</v>
      </c>
    </row>
    <row r="220" spans="1:3" x14ac:dyDescent="0.25">
      <c r="A220" s="10">
        <v>2011</v>
      </c>
      <c r="B220" s="10">
        <v>3</v>
      </c>
      <c r="C220" s="10">
        <v>454.766477977904</v>
      </c>
    </row>
    <row r="221" spans="1:3" x14ac:dyDescent="0.25">
      <c r="A221" s="10">
        <v>2011</v>
      </c>
      <c r="B221" s="10">
        <v>4</v>
      </c>
      <c r="C221" s="10">
        <v>467.47712818247402</v>
      </c>
    </row>
    <row r="222" spans="1:3" x14ac:dyDescent="0.25">
      <c r="A222" s="10">
        <v>2011</v>
      </c>
      <c r="B222" s="10">
        <v>5</v>
      </c>
      <c r="C222" s="10">
        <v>488.33771423903602</v>
      </c>
    </row>
    <row r="223" spans="1:3" x14ac:dyDescent="0.25">
      <c r="A223" s="10">
        <v>2011</v>
      </c>
      <c r="B223" s="10">
        <v>6</v>
      </c>
      <c r="C223" s="10">
        <v>474.06091673890103</v>
      </c>
    </row>
    <row r="224" spans="1:3" x14ac:dyDescent="0.25">
      <c r="A224" s="10">
        <v>2011</v>
      </c>
      <c r="B224" s="10">
        <v>7</v>
      </c>
      <c r="C224" s="10">
        <v>476.092495926124</v>
      </c>
    </row>
    <row r="225" spans="1:3" x14ac:dyDescent="0.25">
      <c r="A225" s="10">
        <v>2011</v>
      </c>
      <c r="B225" s="10">
        <v>8</v>
      </c>
      <c r="C225" s="10">
        <v>460.67062720287902</v>
      </c>
    </row>
    <row r="226" spans="1:3" x14ac:dyDescent="0.25">
      <c r="A226" s="10">
        <v>2011</v>
      </c>
      <c r="B226" s="10">
        <v>9</v>
      </c>
      <c r="C226" s="10">
        <v>453.65182172202901</v>
      </c>
    </row>
    <row r="227" spans="1:3" x14ac:dyDescent="0.25">
      <c r="A227" s="10">
        <v>2011</v>
      </c>
      <c r="B227" s="10">
        <v>10</v>
      </c>
      <c r="C227" s="10">
        <v>467.871398964614</v>
      </c>
    </row>
    <row r="228" spans="1:3" x14ac:dyDescent="0.25">
      <c r="A228" s="10">
        <v>2011</v>
      </c>
      <c r="B228" s="10">
        <v>11</v>
      </c>
      <c r="C228" s="10">
        <v>468.44301598396601</v>
      </c>
    </row>
    <row r="229" spans="1:3" x14ac:dyDescent="0.25">
      <c r="A229" s="10">
        <v>2011</v>
      </c>
      <c r="B229" s="10">
        <v>12</v>
      </c>
      <c r="C229" s="10">
        <v>474.47207130964102</v>
      </c>
    </row>
    <row r="230" spans="1:3" x14ac:dyDescent="0.25">
      <c r="A230" s="10">
        <v>2012</v>
      </c>
      <c r="B230" s="10">
        <v>1</v>
      </c>
      <c r="C230" s="10">
        <v>469.93490495685501</v>
      </c>
    </row>
    <row r="231" spans="1:3" x14ac:dyDescent="0.25">
      <c r="A231" s="10">
        <v>2012</v>
      </c>
      <c r="B231" s="10">
        <v>2</v>
      </c>
      <c r="C231" s="10">
        <v>474.48632021091498</v>
      </c>
    </row>
    <row r="232" spans="1:3" x14ac:dyDescent="0.25">
      <c r="A232" s="10">
        <v>2012</v>
      </c>
      <c r="B232" s="10">
        <v>3</v>
      </c>
      <c r="C232" s="10">
        <v>481.53135666771999</v>
      </c>
    </row>
    <row r="233" spans="1:3" x14ac:dyDescent="0.25">
      <c r="A233" s="10">
        <v>2012</v>
      </c>
      <c r="B233" s="10">
        <v>4</v>
      </c>
      <c r="C233" s="10">
        <v>473.19372231645701</v>
      </c>
    </row>
    <row r="234" spans="1:3" x14ac:dyDescent="0.25">
      <c r="A234" s="10">
        <v>2012</v>
      </c>
      <c r="B234" s="10">
        <v>5</v>
      </c>
      <c r="C234" s="10">
        <v>449.28074386790797</v>
      </c>
    </row>
    <row r="235" spans="1:3" x14ac:dyDescent="0.25">
      <c r="A235" s="10">
        <v>2012</v>
      </c>
      <c r="B235" s="10">
        <v>6</v>
      </c>
      <c r="C235" s="10">
        <v>452.65832121865202</v>
      </c>
    </row>
    <row r="236" spans="1:3" x14ac:dyDescent="0.25">
      <c r="A236" s="10">
        <v>2012</v>
      </c>
      <c r="B236" s="10">
        <v>7</v>
      </c>
      <c r="C236" s="10">
        <v>331.64824256366097</v>
      </c>
    </row>
    <row r="237" spans="1:3" x14ac:dyDescent="0.25">
      <c r="A237" s="10">
        <v>2012</v>
      </c>
      <c r="B237" s="10">
        <v>8</v>
      </c>
      <c r="C237" s="10">
        <v>352.35062112940602</v>
      </c>
    </row>
    <row r="238" spans="1:3" x14ac:dyDescent="0.25">
      <c r="A238" s="10">
        <v>2012</v>
      </c>
      <c r="B238" s="10">
        <v>9</v>
      </c>
      <c r="C238" s="10">
        <v>377.33681341472197</v>
      </c>
    </row>
    <row r="239" spans="1:3" x14ac:dyDescent="0.25">
      <c r="A239" s="10">
        <v>2012</v>
      </c>
      <c r="B239" s="10">
        <v>10</v>
      </c>
      <c r="C239" s="10">
        <v>376.68308408796901</v>
      </c>
    </row>
    <row r="240" spans="1:3" x14ac:dyDescent="0.25">
      <c r="A240" s="10">
        <v>2012</v>
      </c>
      <c r="B240" s="10">
        <v>11</v>
      </c>
      <c r="C240" s="10">
        <v>379.95768513445501</v>
      </c>
    </row>
    <row r="241" spans="1:3" x14ac:dyDescent="0.25">
      <c r="A241" s="10">
        <v>2012</v>
      </c>
      <c r="B241" s="10">
        <v>12</v>
      </c>
      <c r="C241" s="10">
        <v>349.78436617214697</v>
      </c>
    </row>
    <row r="242" spans="1:3" x14ac:dyDescent="0.25">
      <c r="A242" s="10">
        <v>2013</v>
      </c>
      <c r="B242" s="10">
        <v>1</v>
      </c>
      <c r="C242" s="10">
        <v>387.99526215886601</v>
      </c>
    </row>
    <row r="243" spans="1:3" x14ac:dyDescent="0.25">
      <c r="A243" s="10">
        <v>2013</v>
      </c>
      <c r="B243" s="10">
        <v>2</v>
      </c>
      <c r="C243" s="10">
        <v>384.61691452350698</v>
      </c>
    </row>
    <row r="244" spans="1:3" x14ac:dyDescent="0.25">
      <c r="A244" s="10">
        <v>2013</v>
      </c>
      <c r="B244" s="10">
        <v>3</v>
      </c>
      <c r="C244" s="10">
        <v>453.55930373153598</v>
      </c>
    </row>
    <row r="245" spans="1:3" x14ac:dyDescent="0.25">
      <c r="A245" s="10">
        <v>2013</v>
      </c>
      <c r="B245" s="10">
        <v>4</v>
      </c>
      <c r="C245" s="10">
        <v>424.398895287377</v>
      </c>
    </row>
    <row r="246" spans="1:3" x14ac:dyDescent="0.25">
      <c r="A246" s="10">
        <v>2013</v>
      </c>
      <c r="B246" s="10">
        <v>5</v>
      </c>
      <c r="C246" s="10">
        <v>439.82731473965299</v>
      </c>
    </row>
    <row r="247" spans="1:3" x14ac:dyDescent="0.25">
      <c r="A247" s="10">
        <v>2013</v>
      </c>
      <c r="B247" s="10">
        <v>6</v>
      </c>
      <c r="C247" s="10">
        <v>414.99564276552701</v>
      </c>
    </row>
    <row r="248" spans="1:3" x14ac:dyDescent="0.25">
      <c r="A248" s="10">
        <v>2013</v>
      </c>
      <c r="B248" s="10">
        <v>7</v>
      </c>
      <c r="C248" s="10">
        <v>449.84390176070298</v>
      </c>
    </row>
    <row r="249" spans="1:3" x14ac:dyDescent="0.25">
      <c r="A249" s="10">
        <v>2013</v>
      </c>
      <c r="B249" s="10">
        <v>8</v>
      </c>
      <c r="C249" s="10">
        <v>451.97780030157497</v>
      </c>
    </row>
    <row r="250" spans="1:3" x14ac:dyDescent="0.25">
      <c r="A250" s="10">
        <v>2013</v>
      </c>
      <c r="B250" s="10">
        <v>9</v>
      </c>
      <c r="C250" s="10">
        <v>445.642362910815</v>
      </c>
    </row>
    <row r="251" spans="1:3" x14ac:dyDescent="0.25">
      <c r="A251" s="10">
        <v>2013</v>
      </c>
      <c r="B251" s="10">
        <v>10</v>
      </c>
      <c r="C251" s="10">
        <v>439.90351226922098</v>
      </c>
    </row>
    <row r="252" spans="1:3" x14ac:dyDescent="0.25">
      <c r="A252" s="10">
        <v>2013</v>
      </c>
      <c r="B252" s="10">
        <v>11</v>
      </c>
      <c r="C252" s="10">
        <v>453.54765841967202</v>
      </c>
    </row>
    <row r="253" spans="1:3" x14ac:dyDescent="0.25">
      <c r="A253" s="10">
        <v>2013</v>
      </c>
      <c r="B253" s="10">
        <v>12</v>
      </c>
      <c r="C253" s="10">
        <v>448.85104001490703</v>
      </c>
    </row>
    <row r="254" spans="1:3" x14ac:dyDescent="0.25">
      <c r="A254" s="10">
        <v>2014</v>
      </c>
      <c r="B254" s="10">
        <v>1</v>
      </c>
      <c r="C254" s="10">
        <v>459.73512744295903</v>
      </c>
    </row>
    <row r="255" spans="1:3" x14ac:dyDescent="0.25">
      <c r="A255" s="10">
        <v>2014</v>
      </c>
      <c r="B255" s="10">
        <v>2</v>
      </c>
      <c r="C255" s="10">
        <v>445.24633316788999</v>
      </c>
    </row>
    <row r="256" spans="1:3" x14ac:dyDescent="0.25">
      <c r="A256" s="10">
        <v>2014</v>
      </c>
      <c r="B256" s="10">
        <v>3</v>
      </c>
      <c r="C256" s="10">
        <v>458.41887546782903</v>
      </c>
    </row>
    <row r="257" spans="1:3" x14ac:dyDescent="0.25">
      <c r="A257" s="10">
        <v>2014</v>
      </c>
      <c r="B257" s="10">
        <v>4</v>
      </c>
      <c r="C257" s="10">
        <v>486.119752294367</v>
      </c>
    </row>
    <row r="258" spans="1:3" x14ac:dyDescent="0.25">
      <c r="A258" s="10">
        <v>2014</v>
      </c>
      <c r="B258" s="10">
        <v>5</v>
      </c>
      <c r="C258" s="10">
        <v>474.78032235352202</v>
      </c>
    </row>
    <row r="259" spans="1:3" x14ac:dyDescent="0.25">
      <c r="A259" s="10">
        <v>2014</v>
      </c>
      <c r="B259" s="10">
        <v>6</v>
      </c>
      <c r="C259" s="10">
        <v>474.00630155969998</v>
      </c>
    </row>
    <row r="260" spans="1:3" x14ac:dyDescent="0.25">
      <c r="A260" s="10">
        <v>2014</v>
      </c>
      <c r="B260" s="10">
        <v>7</v>
      </c>
      <c r="C260" s="10">
        <v>463.58245883249202</v>
      </c>
    </row>
    <row r="261" spans="1:3" x14ac:dyDescent="0.25">
      <c r="A261" s="10">
        <v>2014</v>
      </c>
      <c r="B261" s="10">
        <v>8</v>
      </c>
      <c r="C261" s="10">
        <v>440.448837088586</v>
      </c>
    </row>
    <row r="262" spans="1:3" x14ac:dyDescent="0.25">
      <c r="A262" s="10">
        <v>2014</v>
      </c>
      <c r="B262" s="10">
        <v>9</v>
      </c>
      <c r="C262" s="10">
        <v>448.72046184897403</v>
      </c>
    </row>
    <row r="263" spans="1:3" x14ac:dyDescent="0.25">
      <c r="A263" s="10">
        <v>2014</v>
      </c>
      <c r="B263" s="10">
        <v>10</v>
      </c>
      <c r="C263" s="10">
        <v>439.059446782853</v>
      </c>
    </row>
    <row r="264" spans="1:3" x14ac:dyDescent="0.25">
      <c r="A264" s="10">
        <v>2014</v>
      </c>
      <c r="B264" s="10">
        <v>11</v>
      </c>
      <c r="C264" s="10">
        <v>445.57288500889302</v>
      </c>
    </row>
    <row r="265" spans="1:3" x14ac:dyDescent="0.25">
      <c r="A265" s="10">
        <v>2014</v>
      </c>
      <c r="B265" s="10">
        <v>12</v>
      </c>
      <c r="C265" s="10">
        <v>464.43908177476499</v>
      </c>
    </row>
    <row r="266" spans="1:3" x14ac:dyDescent="0.25">
      <c r="A266" s="10">
        <v>2015</v>
      </c>
      <c r="B266" s="10">
        <v>1</v>
      </c>
      <c r="C266" s="10">
        <v>443.09429170639999</v>
      </c>
    </row>
    <row r="267" spans="1:3" x14ac:dyDescent="0.25">
      <c r="A267" s="10">
        <v>2015</v>
      </c>
      <c r="B267" s="10">
        <v>2</v>
      </c>
      <c r="C267" s="10">
        <v>439.75921953668302</v>
      </c>
    </row>
    <row r="268" spans="1:3" x14ac:dyDescent="0.25">
      <c r="A268" s="10">
        <v>2015</v>
      </c>
      <c r="B268" s="10">
        <v>3</v>
      </c>
      <c r="C268" s="10">
        <v>416.57899260648901</v>
      </c>
    </row>
    <row r="269" spans="1:3" x14ac:dyDescent="0.25">
      <c r="A269" s="10">
        <v>2015</v>
      </c>
      <c r="B269" s="10">
        <v>4</v>
      </c>
      <c r="C269" s="10">
        <v>387.56579166196099</v>
      </c>
    </row>
    <row r="270" spans="1:3" x14ac:dyDescent="0.25">
      <c r="A270" s="10">
        <v>2015</v>
      </c>
      <c r="B270" s="10">
        <v>5</v>
      </c>
      <c r="C270" s="10">
        <v>404.273699353599</v>
      </c>
    </row>
    <row r="271" spans="1:3" x14ac:dyDescent="0.25">
      <c r="A271" s="10">
        <v>2015</v>
      </c>
      <c r="B271" s="10">
        <v>6</v>
      </c>
      <c r="C271" s="10">
        <v>442.56371691285301</v>
      </c>
    </row>
    <row r="272" spans="1:3" x14ac:dyDescent="0.25">
      <c r="A272" s="10">
        <v>2015</v>
      </c>
      <c r="B272" s="10">
        <v>7</v>
      </c>
      <c r="C272" s="10">
        <v>415.41761644220901</v>
      </c>
    </row>
    <row r="273" spans="1:3" x14ac:dyDescent="0.25">
      <c r="A273" s="10">
        <v>2015</v>
      </c>
      <c r="B273" s="10">
        <v>8</v>
      </c>
      <c r="C273" s="10">
        <v>447.05545772013801</v>
      </c>
    </row>
    <row r="274" spans="1:3" x14ac:dyDescent="0.25">
      <c r="A274" s="10">
        <v>2015</v>
      </c>
      <c r="B274" s="10">
        <v>9</v>
      </c>
      <c r="C274" s="10">
        <v>432.68342641956002</v>
      </c>
    </row>
    <row r="275" spans="1:3" x14ac:dyDescent="0.25">
      <c r="A275" s="10">
        <v>2015</v>
      </c>
      <c r="B275" s="10">
        <v>10</v>
      </c>
      <c r="C275" s="10">
        <v>429.41543121859598</v>
      </c>
    </row>
    <row r="276" spans="1:3" x14ac:dyDescent="0.25">
      <c r="A276" s="10">
        <v>2015</v>
      </c>
      <c r="B276" s="10">
        <v>11</v>
      </c>
      <c r="C276" s="10">
        <v>387.24276010335501</v>
      </c>
    </row>
    <row r="277" spans="1:3" x14ac:dyDescent="0.25">
      <c r="A277" s="10">
        <v>2015</v>
      </c>
      <c r="B277" s="10">
        <v>12</v>
      </c>
      <c r="C277" s="10">
        <v>394.66537258072901</v>
      </c>
    </row>
    <row r="278" spans="1:3" x14ac:dyDescent="0.25">
      <c r="A278" s="10">
        <v>2016</v>
      </c>
      <c r="B278" s="10">
        <v>1</v>
      </c>
      <c r="C278" s="10">
        <v>381.337284201356</v>
      </c>
    </row>
    <row r="279" spans="1:3" x14ac:dyDescent="0.25">
      <c r="A279" s="10">
        <v>2016</v>
      </c>
      <c r="B279" s="10">
        <v>2</v>
      </c>
      <c r="C279" s="10">
        <v>364.757321835818</v>
      </c>
    </row>
    <row r="280" spans="1:3" x14ac:dyDescent="0.25">
      <c r="A280" s="10">
        <v>2016</v>
      </c>
      <c r="B280" s="10">
        <v>3</v>
      </c>
      <c r="C280" s="10">
        <v>305.70564518487498</v>
      </c>
    </row>
    <row r="281" spans="1:3" x14ac:dyDescent="0.25">
      <c r="A281" s="10">
        <v>2016</v>
      </c>
      <c r="B281" s="10">
        <v>4</v>
      </c>
      <c r="C281" s="10">
        <v>324.19241652892401</v>
      </c>
    </row>
    <row r="282" spans="1:3" x14ac:dyDescent="0.25">
      <c r="A282" s="10">
        <v>2016</v>
      </c>
      <c r="B282" s="10">
        <v>5</v>
      </c>
      <c r="C282" s="10">
        <v>374.64389534352</v>
      </c>
    </row>
    <row r="283" spans="1:3" x14ac:dyDescent="0.25">
      <c r="A283" s="10">
        <v>2016</v>
      </c>
      <c r="B283" s="10">
        <v>6</v>
      </c>
      <c r="C283" s="10">
        <v>372.648022610787</v>
      </c>
    </row>
    <row r="284" spans="1:3" x14ac:dyDescent="0.25">
      <c r="A284" s="10">
        <v>2016</v>
      </c>
      <c r="B284" s="10">
        <v>7</v>
      </c>
      <c r="C284" s="10">
        <v>338.56643755831999</v>
      </c>
    </row>
    <row r="285" spans="1:3" x14ac:dyDescent="0.25">
      <c r="A285" s="10">
        <v>2016</v>
      </c>
      <c r="B285" s="10">
        <v>8</v>
      </c>
      <c r="C285" s="10">
        <v>316.00396620204498</v>
      </c>
    </row>
    <row r="286" spans="1:3" x14ac:dyDescent="0.25">
      <c r="A286" s="10">
        <v>2016</v>
      </c>
      <c r="B286" s="10">
        <v>9</v>
      </c>
      <c r="C286" s="10">
        <v>308.40024952518002</v>
      </c>
    </row>
    <row r="287" spans="1:3" x14ac:dyDescent="0.25">
      <c r="A287" s="10">
        <v>2016</v>
      </c>
      <c r="B287" s="10">
        <v>10</v>
      </c>
      <c r="C287" s="10">
        <v>337.85831589062002</v>
      </c>
    </row>
    <row r="288" spans="1:3" x14ac:dyDescent="0.25">
      <c r="A288" s="10">
        <v>2016</v>
      </c>
      <c r="B288" s="10">
        <v>11</v>
      </c>
      <c r="C288" s="10">
        <v>340.68803209219499</v>
      </c>
    </row>
    <row r="289" spans="1:3" x14ac:dyDescent="0.25">
      <c r="A289" s="10">
        <v>2016</v>
      </c>
      <c r="B289" s="10">
        <v>12</v>
      </c>
      <c r="C289" s="10">
        <v>339.94659995555799</v>
      </c>
    </row>
    <row r="290" spans="1:3" x14ac:dyDescent="0.25">
      <c r="A290" s="10">
        <v>2017</v>
      </c>
      <c r="B290" s="10">
        <v>1</v>
      </c>
      <c r="C290" s="10">
        <v>337.46732645085001</v>
      </c>
    </row>
    <row r="291" spans="1:3" x14ac:dyDescent="0.25">
      <c r="A291" s="10">
        <v>2017</v>
      </c>
      <c r="B291" s="10">
        <v>2</v>
      </c>
      <c r="C291" s="10">
        <v>363.52863141579297</v>
      </c>
    </row>
    <row r="292" spans="1:3" x14ac:dyDescent="0.25">
      <c r="A292" s="10">
        <v>2017</v>
      </c>
      <c r="B292" s="10">
        <v>3</v>
      </c>
      <c r="C292" s="10">
        <v>381.98553413641002</v>
      </c>
    </row>
    <row r="293" spans="1:3" x14ac:dyDescent="0.25">
      <c r="A293" s="10">
        <v>2017</v>
      </c>
      <c r="B293" s="10">
        <v>4</v>
      </c>
      <c r="C293" s="10">
        <v>371.050955027253</v>
      </c>
    </row>
    <row r="294" spans="1:3" x14ac:dyDescent="0.25">
      <c r="A294" s="10">
        <v>2017</v>
      </c>
      <c r="B294" s="10">
        <v>5</v>
      </c>
      <c r="C294" s="10">
        <v>392.39238581350702</v>
      </c>
    </row>
    <row r="295" spans="1:3" x14ac:dyDescent="0.25">
      <c r="A295" s="10">
        <v>2017</v>
      </c>
      <c r="B295" s="10">
        <v>6</v>
      </c>
      <c r="C295" s="10">
        <v>376.76670933759198</v>
      </c>
    </row>
    <row r="296" spans="1:3" x14ac:dyDescent="0.25">
      <c r="A296" s="10">
        <v>2017</v>
      </c>
      <c r="B296" s="10">
        <v>7</v>
      </c>
      <c r="C296" s="10">
        <v>379.37376569154299</v>
      </c>
    </row>
    <row r="297" spans="1:3" x14ac:dyDescent="0.25">
      <c r="A297" s="10">
        <v>2017</v>
      </c>
      <c r="B297" s="10">
        <v>8</v>
      </c>
      <c r="C297" s="10">
        <v>390.05509616245001</v>
      </c>
    </row>
    <row r="298" spans="1:3" x14ac:dyDescent="0.25">
      <c r="A298" s="10">
        <v>2017</v>
      </c>
      <c r="B298" s="10">
        <v>9</v>
      </c>
      <c r="C298" s="10">
        <v>407.50528029237802</v>
      </c>
    </row>
    <row r="299" spans="1:3" x14ac:dyDescent="0.25">
      <c r="A299" s="10">
        <v>2017</v>
      </c>
      <c r="B299" s="10">
        <v>10</v>
      </c>
      <c r="C299" s="10">
        <v>410.54669869352898</v>
      </c>
    </row>
    <row r="300" spans="1:3" x14ac:dyDescent="0.25">
      <c r="A300" s="10">
        <v>2017</v>
      </c>
      <c r="B300" s="10">
        <v>11</v>
      </c>
      <c r="C300" s="10">
        <v>414.002909093997</v>
      </c>
    </row>
    <row r="301" spans="1:3" x14ac:dyDescent="0.25">
      <c r="A301" s="10">
        <v>2017</v>
      </c>
      <c r="B301" s="10">
        <v>12</v>
      </c>
      <c r="C301" s="10">
        <v>409.00057434561199</v>
      </c>
    </row>
    <row r="302" spans="1:3" x14ac:dyDescent="0.25">
      <c r="A302" s="10">
        <v>2018</v>
      </c>
      <c r="B302" s="10">
        <v>1</v>
      </c>
      <c r="C302" s="10">
        <v>384.89971724947497</v>
      </c>
    </row>
    <row r="303" spans="1:3" x14ac:dyDescent="0.25">
      <c r="A303" s="10">
        <v>2018</v>
      </c>
      <c r="B303" s="10">
        <v>2</v>
      </c>
      <c r="C303" s="10">
        <v>477.39818886015502</v>
      </c>
    </row>
    <row r="304" spans="1:3" x14ac:dyDescent="0.25">
      <c r="A304" s="10">
        <v>2018</v>
      </c>
      <c r="B304" s="10">
        <v>3</v>
      </c>
      <c r="C304" s="10">
        <v>465.33092017335798</v>
      </c>
    </row>
    <row r="305" spans="1:3" x14ac:dyDescent="0.25">
      <c r="A305" s="10">
        <v>2018</v>
      </c>
      <c r="B305" s="10">
        <v>4</v>
      </c>
      <c r="C305" s="10">
        <v>464.99180902300401</v>
      </c>
    </row>
    <row r="306" spans="1:3" x14ac:dyDescent="0.25">
      <c r="A306" s="10">
        <v>2018</v>
      </c>
      <c r="B306" s="10">
        <v>5</v>
      </c>
      <c r="C306" s="10">
        <v>438.679298578653</v>
      </c>
    </row>
    <row r="307" spans="1:3" x14ac:dyDescent="0.25">
      <c r="A307" s="10">
        <v>2018</v>
      </c>
      <c r="B307" s="10">
        <v>6</v>
      </c>
      <c r="C307" s="10">
        <v>421.39228852700398</v>
      </c>
    </row>
    <row r="308" spans="1:3" x14ac:dyDescent="0.25">
      <c r="A308" s="10">
        <v>2018</v>
      </c>
      <c r="B308" s="10">
        <v>7</v>
      </c>
      <c r="C308" s="10">
        <v>444.12054620412198</v>
      </c>
    </row>
    <row r="309" spans="1:3" x14ac:dyDescent="0.25">
      <c r="A309" s="10">
        <v>2018</v>
      </c>
      <c r="B309" s="10">
        <v>8</v>
      </c>
      <c r="C309" s="10">
        <v>427.82669860861898</v>
      </c>
    </row>
    <row r="310" spans="1:3" x14ac:dyDescent="0.25">
      <c r="A310" s="10">
        <v>2018</v>
      </c>
      <c r="B310" s="10">
        <v>9</v>
      </c>
      <c r="C310" s="10">
        <v>416.17132924600202</v>
      </c>
    </row>
    <row r="311" spans="1:3" x14ac:dyDescent="0.25">
      <c r="A311" s="10">
        <v>2018</v>
      </c>
      <c r="B311" s="10">
        <v>10</v>
      </c>
      <c r="C311" s="10">
        <v>412.55803146139101</v>
      </c>
    </row>
    <row r="312" spans="1:3" x14ac:dyDescent="0.25">
      <c r="A312" s="10">
        <v>2018</v>
      </c>
      <c r="B312" s="10">
        <v>11</v>
      </c>
      <c r="C312" s="10">
        <v>432.95020000459903</v>
      </c>
    </row>
    <row r="313" spans="1:3" x14ac:dyDescent="0.25">
      <c r="A313" s="10">
        <v>2018</v>
      </c>
      <c r="B313" s="10">
        <v>12</v>
      </c>
      <c r="C313" s="10">
        <v>381.82304673524197</v>
      </c>
    </row>
    <row r="314" spans="1:3" x14ac:dyDescent="0.25">
      <c r="A314" s="10">
        <v>2019</v>
      </c>
      <c r="B314" s="10">
        <v>1</v>
      </c>
      <c r="C314" s="10">
        <v>408.38997575136301</v>
      </c>
    </row>
    <row r="315" spans="1:3" x14ac:dyDescent="0.25">
      <c r="A315" s="10">
        <v>2019</v>
      </c>
      <c r="B315" s="10">
        <v>2</v>
      </c>
      <c r="C315" s="10">
        <v>382.31078851324099</v>
      </c>
    </row>
    <row r="316" spans="1:3" x14ac:dyDescent="0.25">
      <c r="A316" s="10">
        <v>2019</v>
      </c>
      <c r="B316" s="10">
        <v>3</v>
      </c>
      <c r="C316" s="10">
        <v>384.79468281726997</v>
      </c>
    </row>
    <row r="317" spans="1:3" x14ac:dyDescent="0.25">
      <c r="A317" s="10">
        <v>2019</v>
      </c>
      <c r="B317" s="10">
        <v>4</v>
      </c>
      <c r="C317" s="10">
        <v>421.49324792771102</v>
      </c>
    </row>
    <row r="318" spans="1:3" x14ac:dyDescent="0.25">
      <c r="A318" s="10">
        <v>2019</v>
      </c>
      <c r="B318" s="10">
        <v>5</v>
      </c>
      <c r="C318" s="10">
        <v>409.28507093099199</v>
      </c>
    </row>
    <row r="319" spans="1:3" x14ac:dyDescent="0.25">
      <c r="A319" s="10">
        <v>2019</v>
      </c>
      <c r="B319" s="10">
        <v>6</v>
      </c>
      <c r="C319" s="10">
        <v>421.148355839413</v>
      </c>
    </row>
    <row r="320" spans="1:3" x14ac:dyDescent="0.25">
      <c r="A320" s="10">
        <v>2019</v>
      </c>
      <c r="B320" s="10">
        <v>7</v>
      </c>
      <c r="C320" s="10">
        <v>397.36360230891199</v>
      </c>
    </row>
    <row r="321" spans="1:3" x14ac:dyDescent="0.25">
      <c r="A321" s="10">
        <v>2019</v>
      </c>
      <c r="B321" s="10">
        <v>8</v>
      </c>
      <c r="C321" s="10">
        <v>410.76895530569197</v>
      </c>
    </row>
    <row r="322" spans="1:3" x14ac:dyDescent="0.25">
      <c r="A322" s="10">
        <v>2019</v>
      </c>
      <c r="B322" s="10">
        <v>9</v>
      </c>
      <c r="C322" s="10">
        <v>385.88589884743402</v>
      </c>
    </row>
    <row r="323" spans="1:3" x14ac:dyDescent="0.25">
      <c r="A323" s="10">
        <v>2019</v>
      </c>
      <c r="B323" s="10">
        <v>10</v>
      </c>
      <c r="C323" s="10">
        <v>349.342103105148</v>
      </c>
    </row>
    <row r="324" spans="1:3" x14ac:dyDescent="0.25">
      <c r="A324" s="10">
        <v>2019</v>
      </c>
      <c r="B324" s="10">
        <v>11</v>
      </c>
      <c r="C324" s="10">
        <v>332.17970126427599</v>
      </c>
    </row>
    <row r="325" spans="1:3" x14ac:dyDescent="0.25">
      <c r="A325" s="10">
        <v>2019</v>
      </c>
      <c r="B325" s="10">
        <v>12</v>
      </c>
      <c r="C325" s="10">
        <v>345.68154239836002</v>
      </c>
    </row>
    <row r="326" spans="1:3" x14ac:dyDescent="0.25">
      <c r="A326" s="10">
        <v>2020</v>
      </c>
      <c r="B326" s="10">
        <v>1</v>
      </c>
      <c r="C326" s="10">
        <v>333.586944208928</v>
      </c>
    </row>
    <row r="327" spans="1:3" x14ac:dyDescent="0.25">
      <c r="A327" s="10">
        <v>2020</v>
      </c>
      <c r="B327" s="10">
        <v>2</v>
      </c>
      <c r="C327" s="10">
        <v>379.509483630776</v>
      </c>
    </row>
    <row r="328" spans="1:3" x14ac:dyDescent="0.25">
      <c r="A328" s="10">
        <v>2020</v>
      </c>
      <c r="B328" s="10">
        <v>3</v>
      </c>
      <c r="C328" s="10">
        <v>283.78097839105402</v>
      </c>
    </row>
    <row r="329" spans="1:3" x14ac:dyDescent="0.25">
      <c r="A329" s="10">
        <v>2020</v>
      </c>
      <c r="B329" s="10">
        <v>4</v>
      </c>
      <c r="C329" s="10">
        <v>107.64918548915701</v>
      </c>
    </row>
    <row r="330" spans="1:3" x14ac:dyDescent="0.25">
      <c r="A330" s="10">
        <v>2020</v>
      </c>
      <c r="B330" s="10">
        <v>5</v>
      </c>
      <c r="C330" s="10">
        <v>196.415268348496</v>
      </c>
    </row>
    <row r="331" spans="1:3" x14ac:dyDescent="0.25">
      <c r="A331" s="10">
        <v>2020</v>
      </c>
      <c r="B331" s="10">
        <v>6</v>
      </c>
      <c r="C331" s="10">
        <v>248.60537223994399</v>
      </c>
    </row>
    <row r="332" spans="1:3" x14ac:dyDescent="0.25">
      <c r="A332" s="10">
        <v>2020</v>
      </c>
      <c r="B332" s="10">
        <v>7</v>
      </c>
      <c r="C332" s="10">
        <v>305.79805681527603</v>
      </c>
    </row>
    <row r="333" spans="1:3" x14ac:dyDescent="0.25">
      <c r="A333" s="10">
        <v>2020</v>
      </c>
      <c r="B333" s="10">
        <v>8</v>
      </c>
      <c r="C333" s="10">
        <v>313.109896038285</v>
      </c>
    </row>
    <row r="334" spans="1:3" x14ac:dyDescent="0.25">
      <c r="A334" s="10">
        <v>2020</v>
      </c>
      <c r="B334" s="10">
        <v>9</v>
      </c>
      <c r="C334" s="10">
        <v>335.233681207068</v>
      </c>
    </row>
    <row r="335" spans="1:3" x14ac:dyDescent="0.25">
      <c r="A335" s="10">
        <v>2020</v>
      </c>
      <c r="B335" s="10">
        <v>10</v>
      </c>
      <c r="C335" s="10">
        <v>346.91987901966502</v>
      </c>
    </row>
    <row r="336" spans="1:3" x14ac:dyDescent="0.25">
      <c r="A336" s="10">
        <v>2020</v>
      </c>
      <c r="B336" s="10">
        <v>11</v>
      </c>
      <c r="C336" s="10">
        <v>365.019242326533</v>
      </c>
    </row>
    <row r="337" spans="1:3" x14ac:dyDescent="0.25">
      <c r="A337" s="10">
        <v>2020</v>
      </c>
      <c r="B337" s="10">
        <v>12</v>
      </c>
      <c r="C337" s="10">
        <v>402.56138977237902</v>
      </c>
    </row>
    <row r="338" spans="1:3" x14ac:dyDescent="0.25">
      <c r="A338" s="10">
        <v>2021</v>
      </c>
      <c r="B338" s="10">
        <v>1</v>
      </c>
      <c r="C338" s="10">
        <v>407.07889192256101</v>
      </c>
    </row>
    <row r="339" spans="1:3" x14ac:dyDescent="0.25">
      <c r="A339" s="10">
        <v>2021</v>
      </c>
      <c r="B339" s="10">
        <v>2</v>
      </c>
      <c r="C339" s="10">
        <v>404.41313380500901</v>
      </c>
    </row>
    <row r="340" spans="1:3" x14ac:dyDescent="0.25">
      <c r="A340" s="10">
        <v>2021</v>
      </c>
      <c r="B340" s="10">
        <v>3</v>
      </c>
      <c r="C340" s="10">
        <v>423.6815229046</v>
      </c>
    </row>
    <row r="341" spans="1:3" x14ac:dyDescent="0.25">
      <c r="A341" s="10">
        <v>2021</v>
      </c>
      <c r="B341" s="10">
        <v>4</v>
      </c>
      <c r="C341" s="10">
        <v>348.91974929806599</v>
      </c>
    </row>
    <row r="342" spans="1:3" x14ac:dyDescent="0.25">
      <c r="A342" s="10">
        <v>2021</v>
      </c>
      <c r="B342" s="10">
        <v>5</v>
      </c>
      <c r="C342" s="10">
        <v>392.17242209923501</v>
      </c>
    </row>
    <row r="343" spans="1:3" x14ac:dyDescent="0.25">
      <c r="A343" s="10">
        <v>2021</v>
      </c>
      <c r="B343" s="10">
        <v>6</v>
      </c>
      <c r="C343" s="10">
        <v>406.386772835839</v>
      </c>
    </row>
    <row r="344" spans="1:3" x14ac:dyDescent="0.25">
      <c r="A344" s="10">
        <v>2021</v>
      </c>
      <c r="B344" s="10">
        <v>7</v>
      </c>
      <c r="C344" s="10">
        <v>411.53910080391103</v>
      </c>
    </row>
    <row r="345" spans="1:3" x14ac:dyDescent="0.25">
      <c r="A345" s="10">
        <v>2021</v>
      </c>
      <c r="B345" s="10">
        <v>8</v>
      </c>
      <c r="C345" s="10">
        <v>402.849142238247</v>
      </c>
    </row>
    <row r="346" spans="1:3" x14ac:dyDescent="0.25">
      <c r="A346" s="10">
        <v>2021</v>
      </c>
      <c r="B346" s="10">
        <v>9</v>
      </c>
      <c r="C346" s="10">
        <v>406.905928982467</v>
      </c>
    </row>
    <row r="347" spans="1:3" x14ac:dyDescent="0.25">
      <c r="A347" s="10">
        <v>2021</v>
      </c>
      <c r="B347" s="10">
        <v>10</v>
      </c>
      <c r="C347" s="10">
        <v>408.371407925911</v>
      </c>
    </row>
    <row r="348" spans="1:3" x14ac:dyDescent="0.25">
      <c r="A348" s="10">
        <v>2021</v>
      </c>
      <c r="B348" s="10">
        <v>11</v>
      </c>
      <c r="C348" s="10">
        <v>426.32341570090898</v>
      </c>
    </row>
    <row r="349" spans="1:3" x14ac:dyDescent="0.25">
      <c r="A349" s="10">
        <v>2021</v>
      </c>
      <c r="B349" s="10">
        <v>12</v>
      </c>
      <c r="C349" s="10">
        <v>440.99229681053401</v>
      </c>
    </row>
    <row r="350" spans="1:3" x14ac:dyDescent="0.25">
      <c r="A350" s="10">
        <v>2022</v>
      </c>
      <c r="B350" s="10">
        <v>1</v>
      </c>
      <c r="C350" s="10">
        <v>393.62649970684299</v>
      </c>
    </row>
    <row r="351" spans="1:3" x14ac:dyDescent="0.25">
      <c r="A351" s="10">
        <v>2022</v>
      </c>
      <c r="B351" s="10">
        <v>2</v>
      </c>
      <c r="C351" s="10">
        <v>391.98990960653401</v>
      </c>
    </row>
    <row r="352" spans="1:3" x14ac:dyDescent="0.25">
      <c r="A352" s="10">
        <v>2022</v>
      </c>
      <c r="B352" s="10">
        <v>3</v>
      </c>
      <c r="C352" s="10">
        <v>418.03986376943902</v>
      </c>
    </row>
    <row r="353" spans="1:3" x14ac:dyDescent="0.25">
      <c r="A353" s="10">
        <v>2022</v>
      </c>
      <c r="B353" s="10">
        <v>4</v>
      </c>
      <c r="C353" s="10">
        <v>360.23230955071102</v>
      </c>
    </row>
    <row r="354" spans="1:3" x14ac:dyDescent="0.25">
      <c r="A354" s="10">
        <v>2022</v>
      </c>
      <c r="B354" s="10">
        <v>5</v>
      </c>
      <c r="C354" s="10">
        <v>446.73869723067702</v>
      </c>
    </row>
    <row r="355" spans="1:3" x14ac:dyDescent="0.25">
      <c r="A355" s="10">
        <v>2022</v>
      </c>
      <c r="B355" s="10">
        <v>6</v>
      </c>
      <c r="C355" s="10">
        <v>470.16485273457698</v>
      </c>
    </row>
    <row r="356" spans="1:3" x14ac:dyDescent="0.25">
      <c r="A356" s="10">
        <v>2022</v>
      </c>
      <c r="B356" s="10">
        <v>7</v>
      </c>
      <c r="C356" s="10">
        <v>446.27418798696402</v>
      </c>
    </row>
    <row r="357" spans="1:3" x14ac:dyDescent="0.25">
      <c r="A357" s="10">
        <v>2022</v>
      </c>
      <c r="B357" s="10">
        <v>8</v>
      </c>
      <c r="C357" s="10">
        <v>437.28525206946898</v>
      </c>
    </row>
    <row r="358" spans="1:3" x14ac:dyDescent="0.25">
      <c r="A358" s="10">
        <v>2022</v>
      </c>
      <c r="B358" s="10">
        <v>9</v>
      </c>
      <c r="C358" s="10">
        <v>401.33708821252998</v>
      </c>
    </row>
    <row r="359" spans="1:3" x14ac:dyDescent="0.25">
      <c r="A359" s="10">
        <v>2022</v>
      </c>
      <c r="B359" s="10">
        <v>10</v>
      </c>
      <c r="C359" s="10">
        <v>448.98830695389898</v>
      </c>
    </row>
    <row r="360" spans="1:3" x14ac:dyDescent="0.25">
      <c r="A360" s="10">
        <v>2022</v>
      </c>
      <c r="B360" s="10">
        <v>11</v>
      </c>
      <c r="C360" s="10">
        <v>435.229070046076</v>
      </c>
    </row>
    <row r="361" spans="1:3" x14ac:dyDescent="0.25">
      <c r="A361" s="10">
        <v>2022</v>
      </c>
      <c r="B361" s="10">
        <v>12</v>
      </c>
      <c r="C361" s="10">
        <v>453.55031567557</v>
      </c>
    </row>
    <row r="362" spans="1:3" x14ac:dyDescent="0.25">
      <c r="A362" s="10">
        <v>2023</v>
      </c>
      <c r="B362" s="10">
        <v>1</v>
      </c>
      <c r="C362" s="10">
        <v>486.803599923099</v>
      </c>
    </row>
    <row r="363" spans="1:3" x14ac:dyDescent="0.25">
      <c r="A363" s="10">
        <v>2023</v>
      </c>
      <c r="B363" s="10">
        <v>2</v>
      </c>
      <c r="C363" s="10">
        <v>426.75375763042803</v>
      </c>
    </row>
    <row r="364" spans="1:3" x14ac:dyDescent="0.25">
      <c r="A364" s="10">
        <v>2023</v>
      </c>
      <c r="B364" s="10">
        <v>3</v>
      </c>
      <c r="C364" s="10">
        <v>413.23917330140102</v>
      </c>
    </row>
    <row r="365" spans="1:3" x14ac:dyDescent="0.25">
      <c r="A365" s="10">
        <v>2023</v>
      </c>
      <c r="B365" s="10">
        <v>4</v>
      </c>
      <c r="C365" s="10">
        <v>436.65115329858099</v>
      </c>
    </row>
    <row r="366" spans="1:3" x14ac:dyDescent="0.25">
      <c r="A366" s="10">
        <v>2023</v>
      </c>
      <c r="B366" s="10">
        <v>5</v>
      </c>
      <c r="C366" s="10">
        <v>440.18707022499802</v>
      </c>
    </row>
    <row r="367" spans="1:3" x14ac:dyDescent="0.25">
      <c r="A367" s="10">
        <v>2023</v>
      </c>
      <c r="B367" s="10">
        <v>6</v>
      </c>
      <c r="C367" s="10">
        <v>430.56034858938602</v>
      </c>
    </row>
    <row r="368" spans="1:3" x14ac:dyDescent="0.25">
      <c r="A368" s="10">
        <v>2023</v>
      </c>
      <c r="B368" s="10">
        <v>7</v>
      </c>
      <c r="C368" s="10">
        <v>330.87940673846401</v>
      </c>
    </row>
    <row r="369" spans="1:3" x14ac:dyDescent="0.25">
      <c r="A369" s="10">
        <v>2023</v>
      </c>
      <c r="B369" s="10">
        <v>8</v>
      </c>
      <c r="C369" s="10">
        <v>402.68182828524601</v>
      </c>
    </row>
    <row r="370" spans="1:3" x14ac:dyDescent="0.25">
      <c r="A370" s="10">
        <v>2023</v>
      </c>
      <c r="B370" s="10">
        <v>9</v>
      </c>
      <c r="C370" s="10">
        <v>417.71318077993197</v>
      </c>
    </row>
    <row r="371" spans="1:3" x14ac:dyDescent="0.25">
      <c r="A371" s="10">
        <v>2023</v>
      </c>
      <c r="B371" s="10">
        <v>10</v>
      </c>
      <c r="C371" s="10">
        <v>412.17741978354798</v>
      </c>
    </row>
    <row r="372" spans="1:3" x14ac:dyDescent="0.25">
      <c r="A372" s="10">
        <v>2023</v>
      </c>
      <c r="B372" s="10">
        <v>11</v>
      </c>
      <c r="C372" s="10">
        <v>390.610802104112</v>
      </c>
    </row>
    <row r="373" spans="1:3" x14ac:dyDescent="0.25">
      <c r="A373" s="10">
        <v>2023</v>
      </c>
      <c r="B373" s="10">
        <v>12</v>
      </c>
      <c r="C373" s="10">
        <v>349.69623205470498</v>
      </c>
    </row>
    <row r="374" spans="1:3" x14ac:dyDescent="0.25">
      <c r="A374" s="10">
        <v>2024</v>
      </c>
      <c r="B374" s="10">
        <v>1</v>
      </c>
      <c r="C374" s="10">
        <v>455.90894726990399</v>
      </c>
    </row>
    <row r="375" spans="1:3" x14ac:dyDescent="0.25">
      <c r="A375" s="10">
        <v>2024</v>
      </c>
      <c r="B375" s="10">
        <v>2</v>
      </c>
      <c r="C375" s="10">
        <v>353.060862364348</v>
      </c>
    </row>
    <row r="376" spans="1:3" x14ac:dyDescent="0.25">
      <c r="A376" s="10">
        <v>2024</v>
      </c>
      <c r="B376" s="10">
        <v>3</v>
      </c>
      <c r="C376" s="10">
        <v>241.252026562379</v>
      </c>
    </row>
    <row r="377" spans="1:3" x14ac:dyDescent="0.25">
      <c r="A377" s="10">
        <v>2024</v>
      </c>
      <c r="B377" s="10">
        <v>4</v>
      </c>
      <c r="C377" s="10">
        <v>324.402852848382</v>
      </c>
    </row>
    <row r="378" spans="1:3" x14ac:dyDescent="0.25">
      <c r="A378" s="10">
        <v>2024</v>
      </c>
      <c r="B378" s="10">
        <v>5</v>
      </c>
      <c r="C378" s="10">
        <v>308.90141540008102</v>
      </c>
    </row>
    <row r="379" spans="1:3" x14ac:dyDescent="0.25">
      <c r="A379" s="10">
        <v>2024</v>
      </c>
      <c r="B379" s="10">
        <v>6</v>
      </c>
      <c r="C379" s="10">
        <v>282.599766580628</v>
      </c>
    </row>
    <row r="380" spans="1:3" x14ac:dyDescent="0.25">
      <c r="A380" s="10">
        <v>2024</v>
      </c>
      <c r="B380" s="10">
        <v>7</v>
      </c>
      <c r="C380" s="10">
        <v>301.21931514333102</v>
      </c>
    </row>
    <row r="381" spans="1:3" x14ac:dyDescent="0.25">
      <c r="A381" s="10">
        <v>2024</v>
      </c>
      <c r="B381" s="10">
        <v>8</v>
      </c>
      <c r="C381" s="10">
        <v>326.020954973512</v>
      </c>
    </row>
    <row r="382" spans="1:3" x14ac:dyDescent="0.25">
      <c r="A382" s="10">
        <v>2024</v>
      </c>
      <c r="B382" s="10">
        <v>9</v>
      </c>
      <c r="C382" s="10">
        <v>340.55921837162799</v>
      </c>
    </row>
    <row r="383" spans="1:3" x14ac:dyDescent="0.25">
      <c r="A383" s="10">
        <v>2024</v>
      </c>
      <c r="B383" s="10">
        <v>10</v>
      </c>
      <c r="C383" s="10">
        <v>311.63496304426201</v>
      </c>
    </row>
    <row r="384" spans="1:3" x14ac:dyDescent="0.25">
      <c r="A384" s="10">
        <v>2024</v>
      </c>
      <c r="B384" s="10">
        <v>11</v>
      </c>
      <c r="C384" s="10">
        <v>317.20361894964401</v>
      </c>
    </row>
    <row r="385" spans="1:3" x14ac:dyDescent="0.25">
      <c r="A385" s="10">
        <v>2024</v>
      </c>
      <c r="B385" s="10">
        <v>12</v>
      </c>
      <c r="C385" s="10">
        <v>277.07472793580399</v>
      </c>
    </row>
    <row r="386" spans="1:3" x14ac:dyDescent="0.25">
      <c r="A386" s="10">
        <v>2025</v>
      </c>
      <c r="B386" s="10">
        <v>1</v>
      </c>
      <c r="C386" s="10">
        <v>348.97799833205602</v>
      </c>
    </row>
    <row r="387" spans="1:3" x14ac:dyDescent="0.25">
      <c r="A387" s="10">
        <v>2025</v>
      </c>
      <c r="B387" s="10">
        <v>2</v>
      </c>
      <c r="C387" s="10">
        <v>375.34916919611101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CE85-FD9D-401D-813E-EC638C2DCA42}">
  <dimension ref="A1:C383"/>
  <sheetViews>
    <sheetView topLeftCell="A25" workbookViewId="0">
      <selection activeCell="C2" sqref="C2:C383"/>
    </sheetView>
  </sheetViews>
  <sheetFormatPr baseColWidth="10" defaultRowHeight="15" x14ac:dyDescent="0.25"/>
  <sheetData>
    <row r="1" spans="1:3" x14ac:dyDescent="0.25">
      <c r="A1" s="9" t="s">
        <v>34</v>
      </c>
      <c r="B1" s="9" t="s">
        <v>35</v>
      </c>
      <c r="C1" s="9" t="s">
        <v>36</v>
      </c>
    </row>
    <row r="2" spans="1:3" x14ac:dyDescent="0.25">
      <c r="A2" s="10">
        <v>1993</v>
      </c>
      <c r="B2" s="10">
        <v>1</v>
      </c>
      <c r="C2" s="10">
        <v>243.50946170428799</v>
      </c>
    </row>
    <row r="3" spans="1:3" x14ac:dyDescent="0.25">
      <c r="A3" s="10">
        <v>1993</v>
      </c>
      <c r="B3" s="10">
        <v>2</v>
      </c>
      <c r="C3" s="10">
        <v>234.228744471141</v>
      </c>
    </row>
    <row r="4" spans="1:3" x14ac:dyDescent="0.25">
      <c r="A4" s="10">
        <v>1993</v>
      </c>
      <c r="B4" s="10">
        <v>3</v>
      </c>
      <c r="C4" s="10">
        <v>228.37502456446501</v>
      </c>
    </row>
    <row r="5" spans="1:3" x14ac:dyDescent="0.25">
      <c r="A5" s="10">
        <v>1993</v>
      </c>
      <c r="B5" s="10">
        <v>4</v>
      </c>
      <c r="C5" s="10">
        <v>245.04170385398501</v>
      </c>
    </row>
    <row r="6" spans="1:3" x14ac:dyDescent="0.25">
      <c r="A6" s="10">
        <v>1993</v>
      </c>
      <c r="B6" s="10">
        <v>5</v>
      </c>
      <c r="C6" s="10">
        <v>248.35105244077999</v>
      </c>
    </row>
    <row r="7" spans="1:3" x14ac:dyDescent="0.25">
      <c r="A7" s="10">
        <v>1993</v>
      </c>
      <c r="B7" s="10">
        <v>6</v>
      </c>
      <c r="C7" s="10">
        <v>251.028675885544</v>
      </c>
    </row>
    <row r="8" spans="1:3" x14ac:dyDescent="0.25">
      <c r="A8" s="10">
        <v>1993</v>
      </c>
      <c r="B8" s="10">
        <v>7</v>
      </c>
      <c r="C8" s="10">
        <v>238.987270125995</v>
      </c>
    </row>
    <row r="9" spans="1:3" x14ac:dyDescent="0.25">
      <c r="A9" s="10">
        <v>1993</v>
      </c>
      <c r="B9" s="10">
        <v>8</v>
      </c>
      <c r="C9" s="10">
        <v>245.552079671656</v>
      </c>
    </row>
    <row r="10" spans="1:3" x14ac:dyDescent="0.25">
      <c r="A10" s="10">
        <v>1993</v>
      </c>
      <c r="B10" s="10">
        <v>9</v>
      </c>
      <c r="C10" s="10">
        <v>254.76885837262901</v>
      </c>
    </row>
    <row r="11" spans="1:3" x14ac:dyDescent="0.25">
      <c r="A11" s="10">
        <v>1993</v>
      </c>
      <c r="B11" s="10">
        <v>10</v>
      </c>
      <c r="C11" s="10">
        <v>237.57986860693501</v>
      </c>
    </row>
    <row r="12" spans="1:3" x14ac:dyDescent="0.25">
      <c r="A12" s="10">
        <v>1993</v>
      </c>
      <c r="B12" s="10">
        <v>11</v>
      </c>
      <c r="C12" s="10">
        <v>233.31971231714101</v>
      </c>
    </row>
    <row r="13" spans="1:3" x14ac:dyDescent="0.25">
      <c r="A13" s="10">
        <v>1993</v>
      </c>
      <c r="B13" s="10">
        <v>12</v>
      </c>
      <c r="C13" s="10">
        <v>232.42911844043499</v>
      </c>
    </row>
    <row r="14" spans="1:3" x14ac:dyDescent="0.25">
      <c r="A14" s="10">
        <v>1994</v>
      </c>
      <c r="B14" s="10">
        <v>1</v>
      </c>
      <c r="C14" s="10">
        <v>260.09149937728699</v>
      </c>
    </row>
    <row r="15" spans="1:3" x14ac:dyDescent="0.25">
      <c r="A15" s="10">
        <v>1994</v>
      </c>
      <c r="B15" s="10">
        <v>2</v>
      </c>
      <c r="C15" s="10">
        <v>250.62063161779099</v>
      </c>
    </row>
    <row r="16" spans="1:3" x14ac:dyDescent="0.25">
      <c r="A16" s="10">
        <v>1994</v>
      </c>
      <c r="B16" s="10">
        <v>3</v>
      </c>
      <c r="C16" s="10">
        <v>267.88820337637299</v>
      </c>
    </row>
    <row r="17" spans="1:3" x14ac:dyDescent="0.25">
      <c r="A17" s="10">
        <v>1994</v>
      </c>
      <c r="B17" s="10">
        <v>4</v>
      </c>
      <c r="C17" s="10">
        <v>285.70226690998197</v>
      </c>
    </row>
    <row r="18" spans="1:3" x14ac:dyDescent="0.25">
      <c r="A18" s="10">
        <v>1994</v>
      </c>
      <c r="B18" s="10">
        <v>5</v>
      </c>
      <c r="C18" s="10">
        <v>264.822019315322</v>
      </c>
    </row>
    <row r="19" spans="1:3" x14ac:dyDescent="0.25">
      <c r="A19" s="10">
        <v>1994</v>
      </c>
      <c r="B19" s="10">
        <v>6</v>
      </c>
      <c r="C19" s="10">
        <v>262.56902558135403</v>
      </c>
    </row>
    <row r="20" spans="1:3" x14ac:dyDescent="0.25">
      <c r="A20" s="10">
        <v>1994</v>
      </c>
      <c r="B20" s="10">
        <v>7</v>
      </c>
      <c r="C20" s="10">
        <v>269.36143325715602</v>
      </c>
    </row>
    <row r="21" spans="1:3" x14ac:dyDescent="0.25">
      <c r="A21" s="10">
        <v>1994</v>
      </c>
      <c r="B21" s="10">
        <v>8</v>
      </c>
      <c r="C21" s="10">
        <v>292.00848451816501</v>
      </c>
    </row>
    <row r="22" spans="1:3" x14ac:dyDescent="0.25">
      <c r="A22" s="10">
        <v>1994</v>
      </c>
      <c r="B22" s="10">
        <v>9</v>
      </c>
      <c r="C22" s="10">
        <v>288.44394760628001</v>
      </c>
    </row>
    <row r="23" spans="1:3" x14ac:dyDescent="0.25">
      <c r="A23" s="10">
        <v>1994</v>
      </c>
      <c r="B23" s="10">
        <v>10</v>
      </c>
      <c r="C23" s="10">
        <v>297.30887489914602</v>
      </c>
    </row>
    <row r="24" spans="1:3" x14ac:dyDescent="0.25">
      <c r="A24" s="10">
        <v>1994</v>
      </c>
      <c r="B24" s="10">
        <v>11</v>
      </c>
      <c r="C24" s="10">
        <v>272.03404188806201</v>
      </c>
    </row>
    <row r="25" spans="1:3" x14ac:dyDescent="0.25">
      <c r="A25" s="10">
        <v>1994</v>
      </c>
      <c r="B25" s="10">
        <v>12</v>
      </c>
      <c r="C25" s="10">
        <v>301.51400084122702</v>
      </c>
    </row>
    <row r="26" spans="1:3" x14ac:dyDescent="0.25">
      <c r="A26" s="10">
        <v>1995</v>
      </c>
      <c r="B26" s="10">
        <v>1</v>
      </c>
      <c r="C26" s="10">
        <v>296.261464017131</v>
      </c>
    </row>
    <row r="27" spans="1:3" x14ac:dyDescent="0.25">
      <c r="A27" s="10">
        <v>1995</v>
      </c>
      <c r="B27" s="10">
        <v>2</v>
      </c>
      <c r="C27" s="10">
        <v>293.79066504372599</v>
      </c>
    </row>
    <row r="28" spans="1:3" x14ac:dyDescent="0.25">
      <c r="A28" s="10">
        <v>1995</v>
      </c>
      <c r="B28" s="10">
        <v>3</v>
      </c>
      <c r="C28" s="10">
        <v>296.95397398212202</v>
      </c>
    </row>
    <row r="29" spans="1:3" x14ac:dyDescent="0.25">
      <c r="A29" s="10">
        <v>1995</v>
      </c>
      <c r="B29" s="10">
        <v>4</v>
      </c>
      <c r="C29" s="10">
        <v>287.48780392272801</v>
      </c>
    </row>
    <row r="30" spans="1:3" x14ac:dyDescent="0.25">
      <c r="A30" s="10">
        <v>1995</v>
      </c>
      <c r="B30" s="10">
        <v>5</v>
      </c>
      <c r="C30" s="10">
        <v>294.52583072922499</v>
      </c>
    </row>
    <row r="31" spans="1:3" x14ac:dyDescent="0.25">
      <c r="A31" s="10">
        <v>1995</v>
      </c>
      <c r="B31" s="10">
        <v>6</v>
      </c>
      <c r="C31" s="10">
        <v>294.51888346327598</v>
      </c>
    </row>
    <row r="32" spans="1:3" x14ac:dyDescent="0.25">
      <c r="A32" s="10">
        <v>1995</v>
      </c>
      <c r="B32" s="10">
        <v>7</v>
      </c>
      <c r="C32" s="10">
        <v>306.626366756675</v>
      </c>
    </row>
    <row r="33" spans="1:3" x14ac:dyDescent="0.25">
      <c r="A33" s="10">
        <v>1995</v>
      </c>
      <c r="B33" s="10">
        <v>8</v>
      </c>
      <c r="C33" s="10">
        <v>297.44608742368303</v>
      </c>
    </row>
    <row r="34" spans="1:3" x14ac:dyDescent="0.25">
      <c r="A34" s="10">
        <v>1995</v>
      </c>
      <c r="B34" s="10">
        <v>9</v>
      </c>
      <c r="C34" s="10">
        <v>297.37742027989901</v>
      </c>
    </row>
    <row r="35" spans="1:3" x14ac:dyDescent="0.25">
      <c r="A35" s="10">
        <v>1995</v>
      </c>
      <c r="B35" s="10">
        <v>10</v>
      </c>
      <c r="C35" s="10">
        <v>303.711947700172</v>
      </c>
    </row>
    <row r="36" spans="1:3" x14ac:dyDescent="0.25">
      <c r="A36" s="10">
        <v>1995</v>
      </c>
      <c r="B36" s="10">
        <v>11</v>
      </c>
      <c r="C36" s="10">
        <v>315.69187573842299</v>
      </c>
    </row>
    <row r="37" spans="1:3" x14ac:dyDescent="0.25">
      <c r="A37" s="10">
        <v>1995</v>
      </c>
      <c r="B37" s="10">
        <v>12</v>
      </c>
      <c r="C37" s="10">
        <v>289.80452733594598</v>
      </c>
    </row>
    <row r="38" spans="1:3" x14ac:dyDescent="0.25">
      <c r="A38" s="10">
        <v>1996</v>
      </c>
      <c r="B38" s="10">
        <v>1</v>
      </c>
      <c r="C38" s="10">
        <v>309.45036445665397</v>
      </c>
    </row>
    <row r="39" spans="1:3" x14ac:dyDescent="0.25">
      <c r="A39" s="10">
        <v>1996</v>
      </c>
      <c r="B39" s="10">
        <v>2</v>
      </c>
      <c r="C39" s="10">
        <v>331.05575936540799</v>
      </c>
    </row>
    <row r="40" spans="1:3" x14ac:dyDescent="0.25">
      <c r="A40" s="10">
        <v>1996</v>
      </c>
      <c r="B40" s="10">
        <v>3</v>
      </c>
      <c r="C40" s="10">
        <v>353.28267935913402</v>
      </c>
    </row>
    <row r="41" spans="1:3" x14ac:dyDescent="0.25">
      <c r="A41" s="10">
        <v>1996</v>
      </c>
      <c r="B41" s="10">
        <v>4</v>
      </c>
      <c r="C41" s="10">
        <v>330.88182318063599</v>
      </c>
    </row>
    <row r="42" spans="1:3" x14ac:dyDescent="0.25">
      <c r="A42" s="10">
        <v>1996</v>
      </c>
      <c r="B42" s="10">
        <v>5</v>
      </c>
      <c r="C42" s="10">
        <v>335.52380806502902</v>
      </c>
    </row>
    <row r="43" spans="1:3" x14ac:dyDescent="0.25">
      <c r="A43" s="10">
        <v>1996</v>
      </c>
      <c r="B43" s="10">
        <v>6</v>
      </c>
      <c r="C43" s="10">
        <v>343.56182443306</v>
      </c>
    </row>
    <row r="44" spans="1:3" x14ac:dyDescent="0.25">
      <c r="A44" s="10">
        <v>1996</v>
      </c>
      <c r="B44" s="10">
        <v>7</v>
      </c>
      <c r="C44" s="10">
        <v>334.86436225403997</v>
      </c>
    </row>
    <row r="45" spans="1:3" x14ac:dyDescent="0.25">
      <c r="A45" s="10">
        <v>1996</v>
      </c>
      <c r="B45" s="10">
        <v>8</v>
      </c>
      <c r="C45" s="10">
        <v>333.54091683554401</v>
      </c>
    </row>
    <row r="46" spans="1:3" x14ac:dyDescent="0.25">
      <c r="A46" s="10">
        <v>1996</v>
      </c>
      <c r="B46" s="10">
        <v>9</v>
      </c>
      <c r="C46" s="10">
        <v>333.62085479002502</v>
      </c>
    </row>
    <row r="47" spans="1:3" x14ac:dyDescent="0.25">
      <c r="A47" s="10">
        <v>1996</v>
      </c>
      <c r="B47" s="10">
        <v>10</v>
      </c>
      <c r="C47" s="10">
        <v>344.23278859621303</v>
      </c>
    </row>
    <row r="48" spans="1:3" x14ac:dyDescent="0.25">
      <c r="A48" s="10">
        <v>1996</v>
      </c>
      <c r="B48" s="10">
        <v>11</v>
      </c>
      <c r="C48" s="10">
        <v>348.44080865240397</v>
      </c>
    </row>
    <row r="49" spans="1:3" x14ac:dyDescent="0.25">
      <c r="A49" s="10">
        <v>1996</v>
      </c>
      <c r="B49" s="10">
        <v>12</v>
      </c>
      <c r="C49" s="10">
        <v>347.28913696134498</v>
      </c>
    </row>
    <row r="50" spans="1:3" x14ac:dyDescent="0.25">
      <c r="A50" s="10">
        <v>1997</v>
      </c>
      <c r="B50" s="10">
        <v>1</v>
      </c>
      <c r="C50" s="10">
        <v>314.671614607131</v>
      </c>
    </row>
    <row r="51" spans="1:3" x14ac:dyDescent="0.25">
      <c r="A51" s="10">
        <v>1997</v>
      </c>
      <c r="B51" s="10">
        <v>2</v>
      </c>
      <c r="C51" s="10">
        <v>338.37734022327299</v>
      </c>
    </row>
    <row r="52" spans="1:3" x14ac:dyDescent="0.25">
      <c r="A52" s="10">
        <v>1997</v>
      </c>
      <c r="B52" s="10">
        <v>3</v>
      </c>
      <c r="C52" s="10">
        <v>349.713961730459</v>
      </c>
    </row>
    <row r="53" spans="1:3" x14ac:dyDescent="0.25">
      <c r="A53" s="10">
        <v>1997</v>
      </c>
      <c r="B53" s="10">
        <v>4</v>
      </c>
      <c r="C53" s="10">
        <v>360.24272125442297</v>
      </c>
    </row>
    <row r="54" spans="1:3" x14ac:dyDescent="0.25">
      <c r="A54" s="10">
        <v>1997</v>
      </c>
      <c r="B54" s="10">
        <v>5</v>
      </c>
      <c r="C54" s="10">
        <v>343.36488551353301</v>
      </c>
    </row>
    <row r="55" spans="1:3" x14ac:dyDescent="0.25">
      <c r="A55" s="10">
        <v>1997</v>
      </c>
      <c r="B55" s="10">
        <v>6</v>
      </c>
      <c r="C55" s="10">
        <v>352.96750499427401</v>
      </c>
    </row>
    <row r="56" spans="1:3" x14ac:dyDescent="0.25">
      <c r="A56" s="10">
        <v>1997</v>
      </c>
      <c r="B56" s="10">
        <v>7</v>
      </c>
      <c r="C56" s="10">
        <v>361.69179687704701</v>
      </c>
    </row>
    <row r="57" spans="1:3" x14ac:dyDescent="0.25">
      <c r="A57" s="10">
        <v>1997</v>
      </c>
      <c r="B57" s="10">
        <v>8</v>
      </c>
      <c r="C57" s="10">
        <v>338.13332469995601</v>
      </c>
    </row>
    <row r="58" spans="1:3" x14ac:dyDescent="0.25">
      <c r="A58" s="10">
        <v>1997</v>
      </c>
      <c r="B58" s="10">
        <v>9</v>
      </c>
      <c r="C58" s="10">
        <v>352.934039160868</v>
      </c>
    </row>
    <row r="59" spans="1:3" x14ac:dyDescent="0.25">
      <c r="A59" s="10">
        <v>1997</v>
      </c>
      <c r="B59" s="10">
        <v>10</v>
      </c>
      <c r="C59" s="10">
        <v>356.39706327060497</v>
      </c>
    </row>
    <row r="60" spans="1:3" x14ac:dyDescent="0.25">
      <c r="A60" s="10">
        <v>1997</v>
      </c>
      <c r="B60" s="10">
        <v>11</v>
      </c>
      <c r="C60" s="10">
        <v>348.53355814149199</v>
      </c>
    </row>
    <row r="61" spans="1:3" x14ac:dyDescent="0.25">
      <c r="A61" s="10">
        <v>1997</v>
      </c>
      <c r="B61" s="10">
        <v>12</v>
      </c>
      <c r="C61" s="10">
        <v>358.22826265064498</v>
      </c>
    </row>
    <row r="62" spans="1:3" x14ac:dyDescent="0.25">
      <c r="A62" s="10">
        <v>1998</v>
      </c>
      <c r="B62" s="10">
        <v>1</v>
      </c>
      <c r="C62" s="10">
        <v>374.63091855543399</v>
      </c>
    </row>
    <row r="63" spans="1:3" x14ac:dyDescent="0.25">
      <c r="A63" s="10">
        <v>1998</v>
      </c>
      <c r="B63" s="10">
        <v>2</v>
      </c>
      <c r="C63" s="10">
        <v>387.96639895552403</v>
      </c>
    </row>
    <row r="64" spans="1:3" x14ac:dyDescent="0.25">
      <c r="A64" s="10">
        <v>1998</v>
      </c>
      <c r="B64" s="10">
        <v>3</v>
      </c>
      <c r="C64" s="10">
        <v>329.98376592714698</v>
      </c>
    </row>
    <row r="65" spans="1:3" x14ac:dyDescent="0.25">
      <c r="A65" s="10">
        <v>1998</v>
      </c>
      <c r="B65" s="10">
        <v>4</v>
      </c>
      <c r="C65" s="10">
        <v>362.35461487975499</v>
      </c>
    </row>
    <row r="66" spans="1:3" x14ac:dyDescent="0.25">
      <c r="A66" s="10">
        <v>1998</v>
      </c>
      <c r="B66" s="10">
        <v>5</v>
      </c>
      <c r="C66" s="10">
        <v>376.69177198966298</v>
      </c>
    </row>
    <row r="67" spans="1:3" x14ac:dyDescent="0.25">
      <c r="A67" s="10">
        <v>1998</v>
      </c>
      <c r="B67" s="10">
        <v>6</v>
      </c>
      <c r="C67" s="10">
        <v>369.84015401891702</v>
      </c>
    </row>
    <row r="68" spans="1:3" x14ac:dyDescent="0.25">
      <c r="A68" s="10">
        <v>1998</v>
      </c>
      <c r="B68" s="10">
        <v>7</v>
      </c>
      <c r="C68" s="10">
        <v>338.591848395532</v>
      </c>
    </row>
    <row r="69" spans="1:3" x14ac:dyDescent="0.25">
      <c r="A69" s="10">
        <v>1998</v>
      </c>
      <c r="B69" s="10">
        <v>8</v>
      </c>
      <c r="C69" s="10">
        <v>366.01618129891199</v>
      </c>
    </row>
    <row r="70" spans="1:3" x14ac:dyDescent="0.25">
      <c r="A70" s="10">
        <v>1998</v>
      </c>
      <c r="B70" s="10">
        <v>9</v>
      </c>
      <c r="C70" s="10">
        <v>341.77042868265499</v>
      </c>
    </row>
    <row r="71" spans="1:3" x14ac:dyDescent="0.25">
      <c r="A71" s="10">
        <v>1998</v>
      </c>
      <c r="B71" s="10">
        <v>10</v>
      </c>
      <c r="C71" s="10">
        <v>336.21033259719599</v>
      </c>
    </row>
    <row r="72" spans="1:3" x14ac:dyDescent="0.25">
      <c r="A72" s="10">
        <v>1998</v>
      </c>
      <c r="B72" s="10">
        <v>11</v>
      </c>
      <c r="C72" s="10">
        <v>329.18830540703198</v>
      </c>
    </row>
    <row r="73" spans="1:3" x14ac:dyDescent="0.25">
      <c r="A73" s="10">
        <v>1998</v>
      </c>
      <c r="B73" s="10">
        <v>12</v>
      </c>
      <c r="C73" s="10">
        <v>310.72069526094702</v>
      </c>
    </row>
    <row r="74" spans="1:3" x14ac:dyDescent="0.25">
      <c r="A74" s="10">
        <v>1999</v>
      </c>
      <c r="B74" s="10">
        <v>1</v>
      </c>
      <c r="C74" s="10">
        <v>302.93573830323498</v>
      </c>
    </row>
    <row r="75" spans="1:3" x14ac:dyDescent="0.25">
      <c r="A75" s="10">
        <v>1999</v>
      </c>
      <c r="B75" s="10">
        <v>2</v>
      </c>
      <c r="C75" s="10">
        <v>294.00035110622798</v>
      </c>
    </row>
    <row r="76" spans="1:3" x14ac:dyDescent="0.25">
      <c r="A76" s="10">
        <v>1999</v>
      </c>
      <c r="B76" s="10">
        <v>3</v>
      </c>
      <c r="C76" s="10">
        <v>278.42025059238898</v>
      </c>
    </row>
    <row r="77" spans="1:3" x14ac:dyDescent="0.25">
      <c r="A77" s="10">
        <v>1999</v>
      </c>
      <c r="B77" s="10">
        <v>4</v>
      </c>
      <c r="C77" s="10">
        <v>287.90733069523702</v>
      </c>
    </row>
    <row r="78" spans="1:3" x14ac:dyDescent="0.25">
      <c r="A78" s="10">
        <v>1999</v>
      </c>
      <c r="B78" s="10">
        <v>5</v>
      </c>
      <c r="C78" s="10">
        <v>302.29385527133701</v>
      </c>
    </row>
    <row r="79" spans="1:3" x14ac:dyDescent="0.25">
      <c r="A79" s="10">
        <v>1999</v>
      </c>
      <c r="B79" s="10">
        <v>6</v>
      </c>
      <c r="C79" s="10">
        <v>309.79952268724799</v>
      </c>
    </row>
    <row r="80" spans="1:3" x14ac:dyDescent="0.25">
      <c r="A80" s="10">
        <v>1999</v>
      </c>
      <c r="B80" s="10">
        <v>7</v>
      </c>
      <c r="C80" s="10">
        <v>330.95105841761102</v>
      </c>
    </row>
    <row r="81" spans="1:3" x14ac:dyDescent="0.25">
      <c r="A81" s="10">
        <v>1999</v>
      </c>
      <c r="B81" s="10">
        <v>8</v>
      </c>
      <c r="C81" s="10">
        <v>327.60231768818397</v>
      </c>
    </row>
    <row r="82" spans="1:3" x14ac:dyDescent="0.25">
      <c r="A82" s="10">
        <v>1999</v>
      </c>
      <c r="B82" s="10">
        <v>9</v>
      </c>
      <c r="C82" s="10">
        <v>335.09440647784101</v>
      </c>
    </row>
    <row r="83" spans="1:3" x14ac:dyDescent="0.25">
      <c r="A83" s="10">
        <v>1999</v>
      </c>
      <c r="B83" s="10">
        <v>10</v>
      </c>
      <c r="C83" s="10">
        <v>337.54193775501199</v>
      </c>
    </row>
    <row r="84" spans="1:3" x14ac:dyDescent="0.25">
      <c r="A84" s="10">
        <v>1999</v>
      </c>
      <c r="B84" s="10">
        <v>11</v>
      </c>
      <c r="C84" s="10">
        <v>351.00865999299901</v>
      </c>
    </row>
    <row r="85" spans="1:3" x14ac:dyDescent="0.25">
      <c r="A85" s="10">
        <v>1999</v>
      </c>
      <c r="B85" s="10">
        <v>12</v>
      </c>
      <c r="C85" s="10">
        <v>357.78327656465501</v>
      </c>
    </row>
    <row r="86" spans="1:3" x14ac:dyDescent="0.25">
      <c r="A86" s="10">
        <v>2000</v>
      </c>
      <c r="B86" s="10">
        <v>1</v>
      </c>
      <c r="C86" s="10">
        <v>354.23035271265098</v>
      </c>
    </row>
    <row r="87" spans="1:3" x14ac:dyDescent="0.25">
      <c r="A87" s="10">
        <v>2000</v>
      </c>
      <c r="B87" s="10">
        <v>2</v>
      </c>
      <c r="C87" s="10">
        <v>339.70303806284198</v>
      </c>
    </row>
    <row r="88" spans="1:3" x14ac:dyDescent="0.25">
      <c r="A88" s="10">
        <v>2000</v>
      </c>
      <c r="B88" s="10">
        <v>3</v>
      </c>
      <c r="C88" s="10">
        <v>385.99305835602797</v>
      </c>
    </row>
    <row r="89" spans="1:3" x14ac:dyDescent="0.25">
      <c r="A89" s="10">
        <v>2000</v>
      </c>
      <c r="B89" s="10">
        <v>4</v>
      </c>
      <c r="C89" s="10">
        <v>367.63309778522802</v>
      </c>
    </row>
    <row r="90" spans="1:3" x14ac:dyDescent="0.25">
      <c r="A90" s="10">
        <v>2000</v>
      </c>
      <c r="B90" s="10">
        <v>5</v>
      </c>
      <c r="C90" s="10">
        <v>336.56584944666503</v>
      </c>
    </row>
    <row r="91" spans="1:3" x14ac:dyDescent="0.25">
      <c r="A91" s="10">
        <v>2000</v>
      </c>
      <c r="B91" s="10">
        <v>6</v>
      </c>
      <c r="C91" s="10">
        <v>338.93905981882301</v>
      </c>
    </row>
    <row r="92" spans="1:3" x14ac:dyDescent="0.25">
      <c r="A92" s="10">
        <v>2000</v>
      </c>
      <c r="B92" s="10">
        <v>7</v>
      </c>
      <c r="C92" s="10">
        <v>357.95404703673302</v>
      </c>
    </row>
    <row r="93" spans="1:3" x14ac:dyDescent="0.25">
      <c r="A93" s="10">
        <v>2000</v>
      </c>
      <c r="B93" s="10">
        <v>8</v>
      </c>
      <c r="C93" s="10">
        <v>375.55884212359302</v>
      </c>
    </row>
    <row r="94" spans="1:3" x14ac:dyDescent="0.25">
      <c r="A94" s="10">
        <v>2000</v>
      </c>
      <c r="B94" s="10">
        <v>9</v>
      </c>
      <c r="C94" s="10">
        <v>394.85612516460202</v>
      </c>
    </row>
    <row r="95" spans="1:3" x14ac:dyDescent="0.25">
      <c r="A95" s="10">
        <v>2000</v>
      </c>
      <c r="B95" s="10">
        <v>10</v>
      </c>
      <c r="C95" s="10">
        <v>391.28637801644402</v>
      </c>
    </row>
    <row r="96" spans="1:3" x14ac:dyDescent="0.25">
      <c r="A96" s="10">
        <v>2000</v>
      </c>
      <c r="B96" s="10">
        <v>11</v>
      </c>
      <c r="C96" s="10">
        <v>401.18189107952799</v>
      </c>
    </row>
    <row r="97" spans="1:3" x14ac:dyDescent="0.25">
      <c r="A97" s="10">
        <v>2000</v>
      </c>
      <c r="B97" s="10">
        <v>12</v>
      </c>
      <c r="C97" s="10">
        <v>412.36350878155298</v>
      </c>
    </row>
    <row r="98" spans="1:3" x14ac:dyDescent="0.25">
      <c r="A98" s="10">
        <v>2001</v>
      </c>
      <c r="B98" s="10">
        <v>1</v>
      </c>
      <c r="C98" s="10">
        <v>382.02489130041897</v>
      </c>
    </row>
    <row r="99" spans="1:3" x14ac:dyDescent="0.25">
      <c r="A99" s="10">
        <v>2001</v>
      </c>
      <c r="B99" s="10">
        <v>2</v>
      </c>
      <c r="C99" s="10">
        <v>363.38111955291402</v>
      </c>
    </row>
    <row r="100" spans="1:3" x14ac:dyDescent="0.25">
      <c r="A100" s="10">
        <v>2001</v>
      </c>
      <c r="B100" s="10">
        <v>3</v>
      </c>
      <c r="C100" s="10">
        <v>381.16362769901099</v>
      </c>
    </row>
    <row r="101" spans="1:3" x14ac:dyDescent="0.25">
      <c r="A101" s="10">
        <v>2001</v>
      </c>
      <c r="B101" s="10">
        <v>4</v>
      </c>
      <c r="C101" s="10">
        <v>374.65702276269599</v>
      </c>
    </row>
    <row r="102" spans="1:3" x14ac:dyDescent="0.25">
      <c r="A102" s="10">
        <v>2001</v>
      </c>
      <c r="B102" s="10">
        <v>5</v>
      </c>
      <c r="C102" s="10">
        <v>377.45206549350002</v>
      </c>
    </row>
    <row r="103" spans="1:3" x14ac:dyDescent="0.25">
      <c r="A103" s="10">
        <v>2001</v>
      </c>
      <c r="B103" s="10">
        <v>6</v>
      </c>
      <c r="C103" s="10">
        <v>376.78792433284701</v>
      </c>
    </row>
    <row r="104" spans="1:3" x14ac:dyDescent="0.25">
      <c r="A104" s="10">
        <v>2001</v>
      </c>
      <c r="B104" s="10">
        <v>7</v>
      </c>
      <c r="C104" s="10">
        <v>348.98872885179401</v>
      </c>
    </row>
    <row r="105" spans="1:3" x14ac:dyDescent="0.25">
      <c r="A105" s="10">
        <v>2001</v>
      </c>
      <c r="B105" s="10">
        <v>8</v>
      </c>
      <c r="C105" s="10">
        <v>255.36977358591301</v>
      </c>
    </row>
    <row r="106" spans="1:3" x14ac:dyDescent="0.25">
      <c r="A106" s="10">
        <v>2001</v>
      </c>
      <c r="B106" s="10">
        <v>9</v>
      </c>
      <c r="C106" s="10">
        <v>339.39531198276399</v>
      </c>
    </row>
    <row r="107" spans="1:3" x14ac:dyDescent="0.25">
      <c r="A107" s="10">
        <v>2001</v>
      </c>
      <c r="B107" s="10">
        <v>10</v>
      </c>
      <c r="C107" s="10">
        <v>313.84305596309503</v>
      </c>
    </row>
    <row r="108" spans="1:3" x14ac:dyDescent="0.25">
      <c r="A108" s="10">
        <v>2001</v>
      </c>
      <c r="B108" s="10">
        <v>11</v>
      </c>
      <c r="C108" s="10">
        <v>308.73415770765803</v>
      </c>
    </row>
    <row r="109" spans="1:3" x14ac:dyDescent="0.25">
      <c r="A109" s="10">
        <v>2001</v>
      </c>
      <c r="B109" s="10">
        <v>12</v>
      </c>
      <c r="C109" s="10">
        <v>299.512860338358</v>
      </c>
    </row>
    <row r="110" spans="1:3" x14ac:dyDescent="0.25">
      <c r="A110" s="10">
        <v>2002</v>
      </c>
      <c r="B110" s="10">
        <v>1</v>
      </c>
      <c r="C110" s="10">
        <v>309.48517133632998</v>
      </c>
    </row>
    <row r="111" spans="1:3" x14ac:dyDescent="0.25">
      <c r="A111" s="10">
        <v>2002</v>
      </c>
      <c r="B111" s="10">
        <v>2</v>
      </c>
      <c r="C111" s="10">
        <v>348.03523916173998</v>
      </c>
    </row>
    <row r="112" spans="1:3" x14ac:dyDescent="0.25">
      <c r="A112" s="10">
        <v>2002</v>
      </c>
      <c r="B112" s="10">
        <v>3</v>
      </c>
      <c r="C112" s="10">
        <v>331.21892916000701</v>
      </c>
    </row>
    <row r="113" spans="1:3" x14ac:dyDescent="0.25">
      <c r="A113" s="10">
        <v>2002</v>
      </c>
      <c r="B113" s="10">
        <v>4</v>
      </c>
      <c r="C113" s="10">
        <v>380.01441954741102</v>
      </c>
    </row>
    <row r="114" spans="1:3" x14ac:dyDescent="0.25">
      <c r="A114" s="10">
        <v>2002</v>
      </c>
      <c r="B114" s="10">
        <v>5</v>
      </c>
      <c r="C114" s="10">
        <v>368.28429105913398</v>
      </c>
    </row>
    <row r="115" spans="1:3" x14ac:dyDescent="0.25">
      <c r="A115" s="10">
        <v>2002</v>
      </c>
      <c r="B115" s="10">
        <v>6</v>
      </c>
      <c r="C115" s="10">
        <v>358.61999522367103</v>
      </c>
    </row>
    <row r="116" spans="1:3" x14ac:dyDescent="0.25">
      <c r="A116" s="10">
        <v>2002</v>
      </c>
      <c r="B116" s="10">
        <v>7</v>
      </c>
      <c r="C116" s="10">
        <v>368.91225080103101</v>
      </c>
    </row>
    <row r="117" spans="1:3" x14ac:dyDescent="0.25">
      <c r="A117" s="10">
        <v>2002</v>
      </c>
      <c r="B117" s="10">
        <v>8</v>
      </c>
      <c r="C117" s="10">
        <v>375.21353462794701</v>
      </c>
    </row>
    <row r="118" spans="1:3" x14ac:dyDescent="0.25">
      <c r="A118" s="10">
        <v>2002</v>
      </c>
      <c r="B118" s="10">
        <v>9</v>
      </c>
      <c r="C118" s="10">
        <v>383.86345582869001</v>
      </c>
    </row>
    <row r="119" spans="1:3" x14ac:dyDescent="0.25">
      <c r="A119" s="10">
        <v>2002</v>
      </c>
      <c r="B119" s="10">
        <v>10</v>
      </c>
      <c r="C119" s="10">
        <v>388.08382246114002</v>
      </c>
    </row>
    <row r="120" spans="1:3" x14ac:dyDescent="0.25">
      <c r="A120" s="10">
        <v>2002</v>
      </c>
      <c r="B120" s="10">
        <v>11</v>
      </c>
      <c r="C120" s="10">
        <v>370.17243478575</v>
      </c>
    </row>
    <row r="121" spans="1:3" x14ac:dyDescent="0.25">
      <c r="A121" s="10">
        <v>2002</v>
      </c>
      <c r="B121" s="10">
        <v>12</v>
      </c>
      <c r="C121" s="10">
        <v>391.93297817208901</v>
      </c>
    </row>
    <row r="122" spans="1:3" x14ac:dyDescent="0.25">
      <c r="A122" s="10">
        <v>2003</v>
      </c>
      <c r="B122" s="10">
        <v>1</v>
      </c>
      <c r="C122" s="10">
        <v>416.32099572815503</v>
      </c>
    </row>
    <row r="123" spans="1:3" x14ac:dyDescent="0.25">
      <c r="A123" s="10">
        <v>2003</v>
      </c>
      <c r="B123" s="10">
        <v>2</v>
      </c>
      <c r="C123" s="10">
        <v>422.05926876656503</v>
      </c>
    </row>
    <row r="124" spans="1:3" x14ac:dyDescent="0.25">
      <c r="A124" s="10">
        <v>2003</v>
      </c>
      <c r="B124" s="10">
        <v>3</v>
      </c>
      <c r="C124" s="10">
        <v>434.70366628565102</v>
      </c>
    </row>
    <row r="125" spans="1:3" x14ac:dyDescent="0.25">
      <c r="A125" s="10">
        <v>2003</v>
      </c>
      <c r="B125" s="10">
        <v>4</v>
      </c>
      <c r="C125" s="10">
        <v>418.956461644581</v>
      </c>
    </row>
    <row r="126" spans="1:3" x14ac:dyDescent="0.25">
      <c r="A126" s="10">
        <v>2003</v>
      </c>
      <c r="B126" s="10">
        <v>5</v>
      </c>
      <c r="C126" s="10">
        <v>418.70422832338897</v>
      </c>
    </row>
    <row r="127" spans="1:3" x14ac:dyDescent="0.25">
      <c r="A127" s="10">
        <v>2003</v>
      </c>
      <c r="B127" s="10">
        <v>6</v>
      </c>
      <c r="C127" s="10">
        <v>420.88461104457201</v>
      </c>
    </row>
    <row r="128" spans="1:3" x14ac:dyDescent="0.25">
      <c r="A128" s="10">
        <v>2003</v>
      </c>
      <c r="B128" s="10">
        <v>7</v>
      </c>
      <c r="C128" s="10">
        <v>414.33373367312902</v>
      </c>
    </row>
    <row r="129" spans="1:3" x14ac:dyDescent="0.25">
      <c r="A129" s="10">
        <v>2003</v>
      </c>
      <c r="B129" s="10">
        <v>8</v>
      </c>
      <c r="C129" s="10">
        <v>422.522329705929</v>
      </c>
    </row>
    <row r="130" spans="1:3" x14ac:dyDescent="0.25">
      <c r="A130" s="10">
        <v>2003</v>
      </c>
      <c r="B130" s="10">
        <v>9</v>
      </c>
      <c r="C130" s="10">
        <v>411.69649561940599</v>
      </c>
    </row>
    <row r="131" spans="1:3" x14ac:dyDescent="0.25">
      <c r="A131" s="10">
        <v>2003</v>
      </c>
      <c r="B131" s="10">
        <v>10</v>
      </c>
      <c r="C131" s="10">
        <v>422.40761517663998</v>
      </c>
    </row>
    <row r="132" spans="1:3" x14ac:dyDescent="0.25">
      <c r="A132" s="10">
        <v>2003</v>
      </c>
      <c r="B132" s="10">
        <v>11</v>
      </c>
      <c r="C132" s="10">
        <v>416.34318743211298</v>
      </c>
    </row>
    <row r="133" spans="1:3" x14ac:dyDescent="0.25">
      <c r="A133" s="10">
        <v>2003</v>
      </c>
      <c r="B133" s="10">
        <v>12</v>
      </c>
      <c r="C133" s="10">
        <v>425.674349546614</v>
      </c>
    </row>
    <row r="134" spans="1:3" x14ac:dyDescent="0.25">
      <c r="A134" s="10">
        <v>2004</v>
      </c>
      <c r="B134" s="10">
        <v>1</v>
      </c>
      <c r="C134" s="10">
        <v>439.28632086283801</v>
      </c>
    </row>
    <row r="135" spans="1:3" x14ac:dyDescent="0.25">
      <c r="A135" s="10">
        <v>2004</v>
      </c>
      <c r="B135" s="10">
        <v>2</v>
      </c>
      <c r="C135" s="10">
        <v>408.961605070502</v>
      </c>
    </row>
    <row r="136" spans="1:3" x14ac:dyDescent="0.25">
      <c r="A136" s="10">
        <v>2004</v>
      </c>
      <c r="B136" s="10">
        <v>3</v>
      </c>
      <c r="C136" s="10">
        <v>403.77447981780699</v>
      </c>
    </row>
    <row r="137" spans="1:3" x14ac:dyDescent="0.25">
      <c r="A137" s="10">
        <v>2004</v>
      </c>
      <c r="B137" s="10">
        <v>4</v>
      </c>
      <c r="C137" s="10">
        <v>400.99794869732301</v>
      </c>
    </row>
    <row r="138" spans="1:3" x14ac:dyDescent="0.25">
      <c r="A138" s="10">
        <v>2004</v>
      </c>
      <c r="B138" s="10">
        <v>5</v>
      </c>
      <c r="C138" s="10">
        <v>403.81896904992902</v>
      </c>
    </row>
    <row r="139" spans="1:3" x14ac:dyDescent="0.25">
      <c r="A139" s="10">
        <v>2004</v>
      </c>
      <c r="B139" s="10">
        <v>6</v>
      </c>
      <c r="C139" s="10">
        <v>410.09483786143801</v>
      </c>
    </row>
    <row r="140" spans="1:3" x14ac:dyDescent="0.25">
      <c r="A140" s="10">
        <v>2004</v>
      </c>
      <c r="B140" s="10">
        <v>7</v>
      </c>
      <c r="C140" s="10">
        <v>423.44572067413202</v>
      </c>
    </row>
    <row r="141" spans="1:3" x14ac:dyDescent="0.25">
      <c r="A141" s="10">
        <v>2004</v>
      </c>
      <c r="B141" s="10">
        <v>8</v>
      </c>
      <c r="C141" s="10">
        <v>414.594995139741</v>
      </c>
    </row>
    <row r="142" spans="1:3" x14ac:dyDescent="0.25">
      <c r="A142" s="10">
        <v>2004</v>
      </c>
      <c r="B142" s="10">
        <v>9</v>
      </c>
      <c r="C142" s="10">
        <v>420.99691495249499</v>
      </c>
    </row>
    <row r="143" spans="1:3" x14ac:dyDescent="0.25">
      <c r="A143" s="10">
        <v>2004</v>
      </c>
      <c r="B143" s="10">
        <v>10</v>
      </c>
      <c r="C143" s="10">
        <v>448.33241527959501</v>
      </c>
    </row>
    <row r="144" spans="1:3" x14ac:dyDescent="0.25">
      <c r="A144" s="10">
        <v>2004</v>
      </c>
      <c r="B144" s="10">
        <v>11</v>
      </c>
      <c r="C144" s="10">
        <v>465.43591677823099</v>
      </c>
    </row>
    <row r="145" spans="1:3" x14ac:dyDescent="0.25">
      <c r="A145" s="10">
        <v>2004</v>
      </c>
      <c r="B145" s="10">
        <v>12</v>
      </c>
      <c r="C145" s="10">
        <v>466.12467654206699</v>
      </c>
    </row>
    <row r="146" spans="1:3" x14ac:dyDescent="0.25">
      <c r="A146" s="10">
        <v>2005</v>
      </c>
      <c r="B146" s="10">
        <v>1</v>
      </c>
      <c r="C146" s="10">
        <v>467.64252007038101</v>
      </c>
    </row>
    <row r="147" spans="1:3" x14ac:dyDescent="0.25">
      <c r="A147" s="10">
        <v>2005</v>
      </c>
      <c r="B147" s="10">
        <v>2</v>
      </c>
      <c r="C147" s="10">
        <v>453.16002758421303</v>
      </c>
    </row>
    <row r="148" spans="1:3" x14ac:dyDescent="0.25">
      <c r="A148" s="10">
        <v>2005</v>
      </c>
      <c r="B148" s="10">
        <v>3</v>
      </c>
      <c r="C148" s="10">
        <v>447.53313909306303</v>
      </c>
    </row>
    <row r="149" spans="1:3" x14ac:dyDescent="0.25">
      <c r="A149" s="10">
        <v>2005</v>
      </c>
      <c r="B149" s="10">
        <v>4</v>
      </c>
      <c r="C149" s="10">
        <v>454.835369599893</v>
      </c>
    </row>
    <row r="150" spans="1:3" x14ac:dyDescent="0.25">
      <c r="A150" s="10">
        <v>2005</v>
      </c>
      <c r="B150" s="10">
        <v>5</v>
      </c>
      <c r="C150" s="10">
        <v>465.28621387598702</v>
      </c>
    </row>
    <row r="151" spans="1:3" x14ac:dyDescent="0.25">
      <c r="A151" s="10">
        <v>2005</v>
      </c>
      <c r="B151" s="10">
        <v>6</v>
      </c>
      <c r="C151" s="10">
        <v>441.35412983447901</v>
      </c>
    </row>
    <row r="152" spans="1:3" x14ac:dyDescent="0.25">
      <c r="A152" s="10">
        <v>2005</v>
      </c>
      <c r="B152" s="10">
        <v>7</v>
      </c>
      <c r="C152" s="10">
        <v>440.52969546842098</v>
      </c>
    </row>
    <row r="153" spans="1:3" x14ac:dyDescent="0.25">
      <c r="A153" s="10">
        <v>2005</v>
      </c>
      <c r="B153" s="10">
        <v>8</v>
      </c>
      <c r="C153" s="10">
        <v>445.73351960684897</v>
      </c>
    </row>
    <row r="154" spans="1:3" x14ac:dyDescent="0.25">
      <c r="A154" s="10">
        <v>2005</v>
      </c>
      <c r="B154" s="10">
        <v>9</v>
      </c>
      <c r="C154" s="10">
        <v>410.57699464977702</v>
      </c>
    </row>
    <row r="155" spans="1:3" x14ac:dyDescent="0.25">
      <c r="A155" s="10">
        <v>2005</v>
      </c>
      <c r="B155" s="10">
        <v>10</v>
      </c>
      <c r="C155" s="10">
        <v>417.07121226087702</v>
      </c>
    </row>
    <row r="156" spans="1:3" x14ac:dyDescent="0.25">
      <c r="A156" s="10">
        <v>2005</v>
      </c>
      <c r="B156" s="10">
        <v>11</v>
      </c>
      <c r="C156" s="10">
        <v>465.20347252387501</v>
      </c>
    </row>
    <row r="157" spans="1:3" x14ac:dyDescent="0.25">
      <c r="A157" s="10">
        <v>2005</v>
      </c>
      <c r="B157" s="10">
        <v>12</v>
      </c>
      <c r="C157" s="10">
        <v>481.75142069379098</v>
      </c>
    </row>
    <row r="158" spans="1:3" x14ac:dyDescent="0.25">
      <c r="A158" s="10">
        <v>2006</v>
      </c>
      <c r="B158" s="10">
        <v>1</v>
      </c>
      <c r="C158" s="10">
        <v>475.97235440249398</v>
      </c>
    </row>
    <row r="159" spans="1:3" x14ac:dyDescent="0.25">
      <c r="A159" s="10">
        <v>2006</v>
      </c>
      <c r="B159" s="10">
        <v>2</v>
      </c>
      <c r="C159" s="10">
        <v>477.586559088451</v>
      </c>
    </row>
    <row r="160" spans="1:3" x14ac:dyDescent="0.25">
      <c r="A160" s="10">
        <v>2006</v>
      </c>
      <c r="B160" s="10">
        <v>3</v>
      </c>
      <c r="C160" s="10">
        <v>485.39788089398797</v>
      </c>
    </row>
    <row r="161" spans="1:3" x14ac:dyDescent="0.25">
      <c r="A161" s="10">
        <v>2006</v>
      </c>
      <c r="B161" s="10">
        <v>4</v>
      </c>
      <c r="C161" s="10">
        <v>471.980285196659</v>
      </c>
    </row>
    <row r="162" spans="1:3" x14ac:dyDescent="0.25">
      <c r="A162" s="10">
        <v>2006</v>
      </c>
      <c r="B162" s="10">
        <v>5</v>
      </c>
      <c r="C162" s="10">
        <v>482.01288976484801</v>
      </c>
    </row>
    <row r="163" spans="1:3" x14ac:dyDescent="0.25">
      <c r="A163" s="10">
        <v>2006</v>
      </c>
      <c r="B163" s="10">
        <v>6</v>
      </c>
      <c r="C163" s="10">
        <v>490.62896589361202</v>
      </c>
    </row>
    <row r="164" spans="1:3" x14ac:dyDescent="0.25">
      <c r="A164" s="10">
        <v>2006</v>
      </c>
      <c r="B164" s="10">
        <v>7</v>
      </c>
      <c r="C164" s="10">
        <v>464.29306773898998</v>
      </c>
    </row>
    <row r="165" spans="1:3" x14ac:dyDescent="0.25">
      <c r="A165" s="10">
        <v>2006</v>
      </c>
      <c r="B165" s="10">
        <v>8</v>
      </c>
      <c r="C165" s="10">
        <v>445.96217674704599</v>
      </c>
    </row>
    <row r="166" spans="1:3" x14ac:dyDescent="0.25">
      <c r="A166" s="10">
        <v>2006</v>
      </c>
      <c r="B166" s="10">
        <v>9</v>
      </c>
      <c r="C166" s="10">
        <v>478.16541828558201</v>
      </c>
    </row>
    <row r="167" spans="1:3" x14ac:dyDescent="0.25">
      <c r="A167" s="10">
        <v>2006</v>
      </c>
      <c r="B167" s="10">
        <v>10</v>
      </c>
      <c r="C167" s="10">
        <v>452.48656102628797</v>
      </c>
    </row>
    <row r="168" spans="1:3" x14ac:dyDescent="0.25">
      <c r="A168" s="10">
        <v>2006</v>
      </c>
      <c r="B168" s="10">
        <v>11</v>
      </c>
      <c r="C168" s="10">
        <v>405.91556764574801</v>
      </c>
    </row>
    <row r="169" spans="1:3" x14ac:dyDescent="0.25">
      <c r="A169" s="10">
        <v>2006</v>
      </c>
      <c r="B169" s="10">
        <v>12</v>
      </c>
      <c r="C169" s="10">
        <v>405.44139449277702</v>
      </c>
    </row>
    <row r="170" spans="1:3" x14ac:dyDescent="0.25">
      <c r="A170" s="10">
        <v>2007</v>
      </c>
      <c r="B170" s="10">
        <v>1</v>
      </c>
      <c r="C170" s="10">
        <v>406.18164790703798</v>
      </c>
    </row>
    <row r="171" spans="1:3" x14ac:dyDescent="0.25">
      <c r="A171" s="10">
        <v>2007</v>
      </c>
      <c r="B171" s="10">
        <v>2</v>
      </c>
      <c r="C171" s="10">
        <v>447.30060115667601</v>
      </c>
    </row>
    <row r="172" spans="1:3" x14ac:dyDescent="0.25">
      <c r="A172" s="10">
        <v>2007</v>
      </c>
      <c r="B172" s="10">
        <v>3</v>
      </c>
      <c r="C172" s="10">
        <v>456.70519231490499</v>
      </c>
    </row>
    <row r="173" spans="1:3" x14ac:dyDescent="0.25">
      <c r="A173" s="10">
        <v>2007</v>
      </c>
      <c r="B173" s="10">
        <v>4</v>
      </c>
      <c r="C173" s="10">
        <v>466.99094210696899</v>
      </c>
    </row>
    <row r="174" spans="1:3" x14ac:dyDescent="0.25">
      <c r="A174" s="10">
        <v>2007</v>
      </c>
      <c r="B174" s="10">
        <v>5</v>
      </c>
      <c r="C174" s="10">
        <v>439.71781467831403</v>
      </c>
    </row>
    <row r="175" spans="1:3" x14ac:dyDescent="0.25">
      <c r="A175" s="10">
        <v>2007</v>
      </c>
      <c r="B175" s="10">
        <v>6</v>
      </c>
      <c r="C175" s="10">
        <v>446.439576010964</v>
      </c>
    </row>
    <row r="176" spans="1:3" x14ac:dyDescent="0.25">
      <c r="A176" s="10">
        <v>2007</v>
      </c>
      <c r="B176" s="10">
        <v>7</v>
      </c>
      <c r="C176" s="10">
        <v>337.05940067111601</v>
      </c>
    </row>
    <row r="177" spans="1:3" x14ac:dyDescent="0.25">
      <c r="A177" s="10">
        <v>2007</v>
      </c>
      <c r="B177" s="10">
        <v>8</v>
      </c>
      <c r="C177" s="10">
        <v>462.23222761026699</v>
      </c>
    </row>
    <row r="178" spans="1:3" x14ac:dyDescent="0.25">
      <c r="A178" s="10">
        <v>2007</v>
      </c>
      <c r="B178" s="10">
        <v>9</v>
      </c>
      <c r="C178" s="10">
        <v>466.03674146420798</v>
      </c>
    </row>
    <row r="179" spans="1:3" x14ac:dyDescent="0.25">
      <c r="A179" s="10">
        <v>2007</v>
      </c>
      <c r="B179" s="10">
        <v>10</v>
      </c>
      <c r="C179" s="10">
        <v>463.90442926242002</v>
      </c>
    </row>
    <row r="180" spans="1:3" x14ac:dyDescent="0.25">
      <c r="A180" s="10">
        <v>2007</v>
      </c>
      <c r="B180" s="10">
        <v>11</v>
      </c>
      <c r="C180" s="10">
        <v>485.58088759087298</v>
      </c>
    </row>
    <row r="181" spans="1:3" x14ac:dyDescent="0.25">
      <c r="A181" s="10">
        <v>2007</v>
      </c>
      <c r="B181" s="10">
        <v>12</v>
      </c>
      <c r="C181" s="10">
        <v>512.95123833782998</v>
      </c>
    </row>
    <row r="182" spans="1:3" x14ac:dyDescent="0.25">
      <c r="A182" s="10">
        <v>2008</v>
      </c>
      <c r="B182" s="10">
        <v>1</v>
      </c>
      <c r="C182" s="10">
        <v>492.96294985426601</v>
      </c>
    </row>
    <row r="183" spans="1:3" x14ac:dyDescent="0.25">
      <c r="A183" s="10">
        <v>2008</v>
      </c>
      <c r="B183" s="10">
        <v>2</v>
      </c>
      <c r="C183" s="10">
        <v>439.00943775236402</v>
      </c>
    </row>
    <row r="184" spans="1:3" x14ac:dyDescent="0.25">
      <c r="A184" s="10">
        <v>2008</v>
      </c>
      <c r="B184" s="10">
        <v>3</v>
      </c>
      <c r="C184" s="10">
        <v>489.03725413049801</v>
      </c>
    </row>
    <row r="185" spans="1:3" x14ac:dyDescent="0.25">
      <c r="A185" s="10">
        <v>2008</v>
      </c>
      <c r="B185" s="10">
        <v>4</v>
      </c>
      <c r="C185" s="10">
        <v>496.19000652208001</v>
      </c>
    </row>
    <row r="186" spans="1:3" x14ac:dyDescent="0.25">
      <c r="A186" s="10">
        <v>2008</v>
      </c>
      <c r="B186" s="10">
        <v>5</v>
      </c>
      <c r="C186" s="10">
        <v>496.87360971449101</v>
      </c>
    </row>
    <row r="187" spans="1:3" x14ac:dyDescent="0.25">
      <c r="A187" s="10">
        <v>2008</v>
      </c>
      <c r="B187" s="10">
        <v>6</v>
      </c>
      <c r="C187" s="10">
        <v>495.22325355325</v>
      </c>
    </row>
    <row r="188" spans="1:3" x14ac:dyDescent="0.25">
      <c r="A188" s="10">
        <v>2008</v>
      </c>
      <c r="B188" s="10">
        <v>7</v>
      </c>
      <c r="C188" s="10">
        <v>508.73810583546702</v>
      </c>
    </row>
    <row r="189" spans="1:3" x14ac:dyDescent="0.25">
      <c r="A189" s="10">
        <v>2008</v>
      </c>
      <c r="B189" s="10">
        <v>8</v>
      </c>
      <c r="C189" s="10">
        <v>496.45997991347298</v>
      </c>
    </row>
    <row r="190" spans="1:3" x14ac:dyDescent="0.25">
      <c r="A190" s="10">
        <v>2008</v>
      </c>
      <c r="B190" s="10">
        <v>9</v>
      </c>
      <c r="C190" s="10">
        <v>474.58815208209802</v>
      </c>
    </row>
    <row r="191" spans="1:3" x14ac:dyDescent="0.25">
      <c r="A191" s="10">
        <v>2008</v>
      </c>
      <c r="B191" s="10">
        <v>10</v>
      </c>
      <c r="C191" s="10">
        <v>445.84605507024401</v>
      </c>
    </row>
    <row r="192" spans="1:3" x14ac:dyDescent="0.25">
      <c r="A192" s="10">
        <v>2008</v>
      </c>
      <c r="B192" s="10">
        <v>11</v>
      </c>
      <c r="C192" s="10">
        <v>382.96716956205398</v>
      </c>
    </row>
    <row r="193" spans="1:3" x14ac:dyDescent="0.25">
      <c r="A193" s="10">
        <v>2008</v>
      </c>
      <c r="B193" s="10">
        <v>12</v>
      </c>
      <c r="C193" s="10">
        <v>291.127306929631</v>
      </c>
    </row>
    <row r="194" spans="1:3" x14ac:dyDescent="0.25">
      <c r="A194" s="10">
        <v>2009</v>
      </c>
      <c r="B194" s="10">
        <v>1</v>
      </c>
      <c r="C194" s="10">
        <v>362.68199186611099</v>
      </c>
    </row>
    <row r="195" spans="1:3" x14ac:dyDescent="0.25">
      <c r="A195" s="10">
        <v>2009</v>
      </c>
      <c r="B195" s="10">
        <v>2</v>
      </c>
      <c r="C195" s="10">
        <v>293.43439135546203</v>
      </c>
    </row>
    <row r="196" spans="1:3" x14ac:dyDescent="0.25">
      <c r="A196" s="10">
        <v>2009</v>
      </c>
      <c r="B196" s="10">
        <v>3</v>
      </c>
      <c r="C196" s="10">
        <v>239.971039346081</v>
      </c>
    </row>
    <row r="197" spans="1:3" x14ac:dyDescent="0.25">
      <c r="A197" s="10">
        <v>2009</v>
      </c>
      <c r="B197" s="10">
        <v>4</v>
      </c>
      <c r="C197" s="10">
        <v>274.54321480259</v>
      </c>
    </row>
    <row r="198" spans="1:3" x14ac:dyDescent="0.25">
      <c r="A198" s="10">
        <v>2009</v>
      </c>
      <c r="B198" s="10">
        <v>5</v>
      </c>
      <c r="C198" s="10">
        <v>266.39484716168602</v>
      </c>
    </row>
    <row r="199" spans="1:3" x14ac:dyDescent="0.25">
      <c r="A199" s="10">
        <v>2009</v>
      </c>
      <c r="B199" s="10">
        <v>6</v>
      </c>
      <c r="C199" s="10">
        <v>314.53104644354499</v>
      </c>
    </row>
    <row r="200" spans="1:3" x14ac:dyDescent="0.25">
      <c r="A200" s="10">
        <v>2009</v>
      </c>
      <c r="B200" s="10">
        <v>7</v>
      </c>
      <c r="C200" s="10">
        <v>336.159860493118</v>
      </c>
    </row>
    <row r="201" spans="1:3" x14ac:dyDescent="0.25">
      <c r="A201" s="10">
        <v>2009</v>
      </c>
      <c r="B201" s="10">
        <v>8</v>
      </c>
      <c r="C201" s="10">
        <v>341.051192546729</v>
      </c>
    </row>
    <row r="202" spans="1:3" x14ac:dyDescent="0.25">
      <c r="A202" s="10">
        <v>2009</v>
      </c>
      <c r="B202" s="10">
        <v>9</v>
      </c>
      <c r="C202" s="10">
        <v>373.62677301850198</v>
      </c>
    </row>
    <row r="203" spans="1:3" x14ac:dyDescent="0.25">
      <c r="A203" s="10">
        <v>2009</v>
      </c>
      <c r="B203" s="10">
        <v>10</v>
      </c>
      <c r="C203" s="10">
        <v>393.66316978576498</v>
      </c>
    </row>
    <row r="204" spans="1:3" x14ac:dyDescent="0.25">
      <c r="A204" s="10">
        <v>2009</v>
      </c>
      <c r="B204" s="10">
        <v>11</v>
      </c>
      <c r="C204" s="10">
        <v>403.68510266803798</v>
      </c>
    </row>
    <row r="205" spans="1:3" x14ac:dyDescent="0.25">
      <c r="A205" s="10">
        <v>2009</v>
      </c>
      <c r="B205" s="10">
        <v>12</v>
      </c>
      <c r="C205" s="10">
        <v>417.27747465273501</v>
      </c>
    </row>
    <row r="206" spans="1:3" x14ac:dyDescent="0.25">
      <c r="A206" s="10">
        <v>2010</v>
      </c>
      <c r="B206" s="10">
        <v>1</v>
      </c>
      <c r="C206" s="10">
        <v>416.60978788928799</v>
      </c>
    </row>
    <row r="207" spans="1:3" x14ac:dyDescent="0.25">
      <c r="A207" s="10">
        <v>2010</v>
      </c>
      <c r="B207" s="10">
        <v>2</v>
      </c>
      <c r="C207" s="10">
        <v>423.91216941029802</v>
      </c>
    </row>
    <row r="208" spans="1:3" x14ac:dyDescent="0.25">
      <c r="A208" s="10">
        <v>2010</v>
      </c>
      <c r="B208" s="10">
        <v>3</v>
      </c>
      <c r="C208" s="10">
        <v>425.397852720929</v>
      </c>
    </row>
    <row r="209" spans="1:3" x14ac:dyDescent="0.25">
      <c r="A209" s="10">
        <v>2010</v>
      </c>
      <c r="B209" s="10">
        <v>4</v>
      </c>
      <c r="C209" s="10">
        <v>422.98618727025502</v>
      </c>
    </row>
    <row r="210" spans="1:3" x14ac:dyDescent="0.25">
      <c r="A210" s="10">
        <v>2010</v>
      </c>
      <c r="B210" s="10">
        <v>5</v>
      </c>
      <c r="C210" s="10">
        <v>433.51722299539603</v>
      </c>
    </row>
    <row r="211" spans="1:3" x14ac:dyDescent="0.25">
      <c r="A211" s="10">
        <v>2010</v>
      </c>
      <c r="B211" s="10">
        <v>6</v>
      </c>
      <c r="C211" s="10">
        <v>424.69338511698101</v>
      </c>
    </row>
    <row r="212" spans="1:3" x14ac:dyDescent="0.25">
      <c r="A212" s="10">
        <v>2010</v>
      </c>
      <c r="B212" s="10">
        <v>7</v>
      </c>
      <c r="C212" s="10">
        <v>419.661918370737</v>
      </c>
    </row>
    <row r="213" spans="1:3" x14ac:dyDescent="0.25">
      <c r="A213" s="10">
        <v>2010</v>
      </c>
      <c r="B213" s="10">
        <v>8</v>
      </c>
      <c r="C213" s="10">
        <v>443.16799198794598</v>
      </c>
    </row>
    <row r="214" spans="1:3" x14ac:dyDescent="0.25">
      <c r="A214" s="10">
        <v>2010</v>
      </c>
      <c r="B214" s="10">
        <v>9</v>
      </c>
      <c r="C214" s="10">
        <v>432.58711902283102</v>
      </c>
    </row>
    <row r="215" spans="1:3" x14ac:dyDescent="0.25">
      <c r="A215" s="10">
        <v>2010</v>
      </c>
      <c r="B215" s="10">
        <v>10</v>
      </c>
      <c r="C215" s="10">
        <v>430.50823028712301</v>
      </c>
    </row>
    <row r="216" spans="1:3" x14ac:dyDescent="0.25">
      <c r="A216" s="10">
        <v>2010</v>
      </c>
      <c r="B216" s="10">
        <v>11</v>
      </c>
      <c r="C216" s="10">
        <v>435.05777445906</v>
      </c>
    </row>
    <row r="217" spans="1:3" x14ac:dyDescent="0.25">
      <c r="A217" s="10">
        <v>2010</v>
      </c>
      <c r="B217" s="10">
        <v>12</v>
      </c>
      <c r="C217" s="10">
        <v>434.58501333438397</v>
      </c>
    </row>
    <row r="218" spans="1:3" x14ac:dyDescent="0.25">
      <c r="A218" s="10">
        <v>2011</v>
      </c>
      <c r="B218" s="10">
        <v>1</v>
      </c>
      <c r="C218" s="10">
        <v>437.878617399333</v>
      </c>
    </row>
    <row r="219" spans="1:3" x14ac:dyDescent="0.25">
      <c r="A219" s="10">
        <v>2011</v>
      </c>
      <c r="B219" s="10">
        <v>2</v>
      </c>
      <c r="C219" s="10">
        <v>492.72637841735798</v>
      </c>
    </row>
    <row r="220" spans="1:3" x14ac:dyDescent="0.25">
      <c r="A220" s="10">
        <v>2011</v>
      </c>
      <c r="B220" s="10">
        <v>3</v>
      </c>
      <c r="C220" s="10">
        <v>454.90755295743497</v>
      </c>
    </row>
    <row r="221" spans="1:3" x14ac:dyDescent="0.25">
      <c r="A221" s="10">
        <v>2011</v>
      </c>
      <c r="B221" s="10">
        <v>4</v>
      </c>
      <c r="C221" s="10">
        <v>467.54711947984498</v>
      </c>
    </row>
    <row r="222" spans="1:3" x14ac:dyDescent="0.25">
      <c r="A222" s="10">
        <v>2011</v>
      </c>
      <c r="B222" s="10">
        <v>5</v>
      </c>
      <c r="C222" s="10">
        <v>487.98850597999899</v>
      </c>
    </row>
    <row r="223" spans="1:3" x14ac:dyDescent="0.25">
      <c r="A223" s="10">
        <v>2011</v>
      </c>
      <c r="B223" s="10">
        <v>6</v>
      </c>
      <c r="C223" s="10">
        <v>473.431739515468</v>
      </c>
    </row>
    <row r="224" spans="1:3" x14ac:dyDescent="0.25">
      <c r="A224" s="10">
        <v>2011</v>
      </c>
      <c r="B224" s="10">
        <v>7</v>
      </c>
      <c r="C224" s="10">
        <v>475.92707203373197</v>
      </c>
    </row>
    <row r="225" spans="1:3" x14ac:dyDescent="0.25">
      <c r="A225" s="10">
        <v>2011</v>
      </c>
      <c r="B225" s="10">
        <v>8</v>
      </c>
      <c r="C225" s="10">
        <v>460.815025462547</v>
      </c>
    </row>
    <row r="226" spans="1:3" x14ac:dyDescent="0.25">
      <c r="A226" s="10">
        <v>2011</v>
      </c>
      <c r="B226" s="10">
        <v>9</v>
      </c>
      <c r="C226" s="10">
        <v>454.21409880065102</v>
      </c>
    </row>
    <row r="227" spans="1:3" x14ac:dyDescent="0.25">
      <c r="A227" s="10">
        <v>2011</v>
      </c>
      <c r="B227" s="10">
        <v>10</v>
      </c>
      <c r="C227" s="10">
        <v>467.85173413758901</v>
      </c>
    </row>
    <row r="228" spans="1:3" x14ac:dyDescent="0.25">
      <c r="A228" s="10">
        <v>2011</v>
      </c>
      <c r="B228" s="10">
        <v>11</v>
      </c>
      <c r="C228" s="10">
        <v>468.52296815707803</v>
      </c>
    </row>
    <row r="229" spans="1:3" x14ac:dyDescent="0.25">
      <c r="A229" s="10">
        <v>2011</v>
      </c>
      <c r="B229" s="10">
        <v>12</v>
      </c>
      <c r="C229" s="10">
        <v>474.45829475920902</v>
      </c>
    </row>
    <row r="230" spans="1:3" x14ac:dyDescent="0.25">
      <c r="A230" s="10">
        <v>2012</v>
      </c>
      <c r="B230" s="10">
        <v>1</v>
      </c>
      <c r="C230" s="10">
        <v>470.01480589593302</v>
      </c>
    </row>
    <row r="231" spans="1:3" x14ac:dyDescent="0.25">
      <c r="A231" s="10">
        <v>2012</v>
      </c>
      <c r="B231" s="10">
        <v>2</v>
      </c>
      <c r="C231" s="10">
        <v>473.77874667664298</v>
      </c>
    </row>
    <row r="232" spans="1:3" x14ac:dyDescent="0.25">
      <c r="A232" s="10">
        <v>2012</v>
      </c>
      <c r="B232" s="10">
        <v>3</v>
      </c>
      <c r="C232" s="10">
        <v>481.61053063532302</v>
      </c>
    </row>
    <row r="233" spans="1:3" x14ac:dyDescent="0.25">
      <c r="A233" s="10">
        <v>2012</v>
      </c>
      <c r="B233" s="10">
        <v>4</v>
      </c>
      <c r="C233" s="10">
        <v>473.27728598848699</v>
      </c>
    </row>
    <row r="234" spans="1:3" x14ac:dyDescent="0.25">
      <c r="A234" s="10">
        <v>2012</v>
      </c>
      <c r="B234" s="10">
        <v>5</v>
      </c>
      <c r="C234" s="10">
        <v>449.29795749099299</v>
      </c>
    </row>
    <row r="235" spans="1:3" x14ac:dyDescent="0.25">
      <c r="A235" s="10">
        <v>2012</v>
      </c>
      <c r="B235" s="10">
        <v>6</v>
      </c>
      <c r="C235" s="10">
        <v>451.59238165712298</v>
      </c>
    </row>
    <row r="236" spans="1:3" x14ac:dyDescent="0.25">
      <c r="A236" s="10">
        <v>2012</v>
      </c>
      <c r="B236" s="10">
        <v>7</v>
      </c>
      <c r="C236" s="10">
        <v>331.583109517624</v>
      </c>
    </row>
    <row r="237" spans="1:3" x14ac:dyDescent="0.25">
      <c r="A237" s="10">
        <v>2012</v>
      </c>
      <c r="B237" s="10">
        <v>8</v>
      </c>
      <c r="C237" s="10">
        <v>352.51883667746199</v>
      </c>
    </row>
    <row r="238" spans="1:3" x14ac:dyDescent="0.25">
      <c r="A238" s="10">
        <v>2012</v>
      </c>
      <c r="B238" s="10">
        <v>9</v>
      </c>
      <c r="C238" s="10">
        <v>377.76183252753401</v>
      </c>
    </row>
    <row r="239" spans="1:3" x14ac:dyDescent="0.25">
      <c r="A239" s="10">
        <v>2012</v>
      </c>
      <c r="B239" s="10">
        <v>10</v>
      </c>
      <c r="C239" s="10">
        <v>376.80724163395598</v>
      </c>
    </row>
    <row r="240" spans="1:3" x14ac:dyDescent="0.25">
      <c r="A240" s="10">
        <v>2012</v>
      </c>
      <c r="B240" s="10">
        <v>11</v>
      </c>
      <c r="C240" s="10">
        <v>380.06271100719403</v>
      </c>
    </row>
    <row r="241" spans="1:3" x14ac:dyDescent="0.25">
      <c r="A241" s="10">
        <v>2012</v>
      </c>
      <c r="B241" s="10">
        <v>12</v>
      </c>
      <c r="C241" s="10">
        <v>349.695051112204</v>
      </c>
    </row>
    <row r="242" spans="1:3" x14ac:dyDescent="0.25">
      <c r="A242" s="10">
        <v>2013</v>
      </c>
      <c r="B242" s="10">
        <v>1</v>
      </c>
      <c r="C242" s="10">
        <v>388.11182074294697</v>
      </c>
    </row>
    <row r="243" spans="1:3" x14ac:dyDescent="0.25">
      <c r="A243" s="10">
        <v>2013</v>
      </c>
      <c r="B243" s="10">
        <v>2</v>
      </c>
      <c r="C243" s="10">
        <v>384.992582030672</v>
      </c>
    </row>
    <row r="244" spans="1:3" x14ac:dyDescent="0.25">
      <c r="A244" s="10">
        <v>2013</v>
      </c>
      <c r="B244" s="10">
        <v>3</v>
      </c>
      <c r="C244" s="10">
        <v>453.55526302321903</v>
      </c>
    </row>
    <row r="245" spans="1:3" x14ac:dyDescent="0.25">
      <c r="A245" s="10">
        <v>2013</v>
      </c>
      <c r="B245" s="10">
        <v>4</v>
      </c>
      <c r="C245" s="10">
        <v>424.50276687978402</v>
      </c>
    </row>
    <row r="246" spans="1:3" x14ac:dyDescent="0.25">
      <c r="A246" s="10">
        <v>2013</v>
      </c>
      <c r="B246" s="10">
        <v>5</v>
      </c>
      <c r="C246" s="10">
        <v>440.04166590544003</v>
      </c>
    </row>
    <row r="247" spans="1:3" x14ac:dyDescent="0.25">
      <c r="A247" s="10">
        <v>2013</v>
      </c>
      <c r="B247" s="10">
        <v>6</v>
      </c>
      <c r="C247" s="10">
        <v>413.82300965549098</v>
      </c>
    </row>
    <row r="248" spans="1:3" x14ac:dyDescent="0.25">
      <c r="A248" s="10">
        <v>2013</v>
      </c>
      <c r="B248" s="10">
        <v>7</v>
      </c>
      <c r="C248" s="10">
        <v>449.80720223183403</v>
      </c>
    </row>
    <row r="249" spans="1:3" x14ac:dyDescent="0.25">
      <c r="A249" s="10">
        <v>2013</v>
      </c>
      <c r="B249" s="10">
        <v>8</v>
      </c>
      <c r="C249" s="10">
        <v>452.04489443647901</v>
      </c>
    </row>
    <row r="250" spans="1:3" x14ac:dyDescent="0.25">
      <c r="A250" s="10">
        <v>2013</v>
      </c>
      <c r="B250" s="10">
        <v>9</v>
      </c>
      <c r="C250" s="10">
        <v>446.12976852800898</v>
      </c>
    </row>
    <row r="251" spans="1:3" x14ac:dyDescent="0.25">
      <c r="A251" s="10">
        <v>2013</v>
      </c>
      <c r="B251" s="10">
        <v>10</v>
      </c>
      <c r="C251" s="10">
        <v>440.006546655151</v>
      </c>
    </row>
    <row r="252" spans="1:3" x14ac:dyDescent="0.25">
      <c r="A252" s="10">
        <v>2013</v>
      </c>
      <c r="B252" s="10">
        <v>11</v>
      </c>
      <c r="C252" s="10">
        <v>453.587919031014</v>
      </c>
    </row>
    <row r="253" spans="1:3" x14ac:dyDescent="0.25">
      <c r="A253" s="10">
        <v>2013</v>
      </c>
      <c r="B253" s="10">
        <v>12</v>
      </c>
      <c r="C253" s="10">
        <v>448.83480111808899</v>
      </c>
    </row>
    <row r="254" spans="1:3" x14ac:dyDescent="0.25">
      <c r="A254" s="10">
        <v>2014</v>
      </c>
      <c r="B254" s="10">
        <v>1</v>
      </c>
      <c r="C254" s="10">
        <v>459.83548479702102</v>
      </c>
    </row>
    <row r="255" spans="1:3" x14ac:dyDescent="0.25">
      <c r="A255" s="10">
        <v>2014</v>
      </c>
      <c r="B255" s="10">
        <v>2</v>
      </c>
      <c r="C255" s="10">
        <v>445.592185477518</v>
      </c>
    </row>
    <row r="256" spans="1:3" x14ac:dyDescent="0.25">
      <c r="A256" s="10">
        <v>2014</v>
      </c>
      <c r="B256" s="10">
        <v>3</v>
      </c>
      <c r="C256" s="10">
        <v>458.44370222221698</v>
      </c>
    </row>
    <row r="257" spans="1:3" x14ac:dyDescent="0.25">
      <c r="A257" s="10">
        <v>2014</v>
      </c>
      <c r="B257" s="10">
        <v>4</v>
      </c>
      <c r="C257" s="10">
        <v>486.24393251090601</v>
      </c>
    </row>
    <row r="258" spans="1:3" x14ac:dyDescent="0.25">
      <c r="A258" s="10">
        <v>2014</v>
      </c>
      <c r="B258" s="10">
        <v>5</v>
      </c>
      <c r="C258" s="10">
        <v>474.921174570647</v>
      </c>
    </row>
    <row r="259" spans="1:3" x14ac:dyDescent="0.25">
      <c r="A259" s="10">
        <v>2014</v>
      </c>
      <c r="B259" s="10">
        <v>6</v>
      </c>
      <c r="C259" s="10">
        <v>472.94611496034599</v>
      </c>
    </row>
    <row r="260" spans="1:3" x14ac:dyDescent="0.25">
      <c r="A260" s="10">
        <v>2014</v>
      </c>
      <c r="B260" s="10">
        <v>7</v>
      </c>
      <c r="C260" s="10">
        <v>463.62669412717503</v>
      </c>
    </row>
    <row r="261" spans="1:3" x14ac:dyDescent="0.25">
      <c r="A261" s="10">
        <v>2014</v>
      </c>
      <c r="B261" s="10">
        <v>8</v>
      </c>
      <c r="C261" s="10">
        <v>440.460114161349</v>
      </c>
    </row>
    <row r="262" spans="1:3" x14ac:dyDescent="0.25">
      <c r="A262" s="10">
        <v>2014</v>
      </c>
      <c r="B262" s="10">
        <v>9</v>
      </c>
      <c r="C262" s="10">
        <v>449.13563820322702</v>
      </c>
    </row>
    <row r="263" spans="1:3" x14ac:dyDescent="0.25">
      <c r="A263" s="10">
        <v>2014</v>
      </c>
      <c r="B263" s="10">
        <v>10</v>
      </c>
      <c r="C263" s="10">
        <v>439.16363246238598</v>
      </c>
    </row>
    <row r="264" spans="1:3" x14ac:dyDescent="0.25">
      <c r="A264" s="10">
        <v>2014</v>
      </c>
      <c r="B264" s="10">
        <v>11</v>
      </c>
      <c r="C264" s="10">
        <v>445.54645778399203</v>
      </c>
    </row>
    <row r="265" spans="1:3" x14ac:dyDescent="0.25">
      <c r="A265" s="10">
        <v>2014</v>
      </c>
      <c r="B265" s="10">
        <v>12</v>
      </c>
      <c r="C265" s="10">
        <v>464.49887135068798</v>
      </c>
    </row>
    <row r="266" spans="1:3" x14ac:dyDescent="0.25">
      <c r="A266" s="10">
        <v>2015</v>
      </c>
      <c r="B266" s="10">
        <v>1</v>
      </c>
      <c r="C266" s="10">
        <v>443.087851549996</v>
      </c>
    </row>
    <row r="267" spans="1:3" x14ac:dyDescent="0.25">
      <c r="A267" s="10">
        <v>2015</v>
      </c>
      <c r="B267" s="10">
        <v>2</v>
      </c>
      <c r="C267" s="10">
        <v>440.096813817304</v>
      </c>
    </row>
    <row r="268" spans="1:3" x14ac:dyDescent="0.25">
      <c r="A268" s="10">
        <v>2015</v>
      </c>
      <c r="B268" s="10">
        <v>3</v>
      </c>
      <c r="C268" s="10">
        <v>416.66723524118902</v>
      </c>
    </row>
    <row r="269" spans="1:3" x14ac:dyDescent="0.25">
      <c r="A269" s="10">
        <v>2015</v>
      </c>
      <c r="B269" s="10">
        <v>4</v>
      </c>
      <c r="C269" s="10">
        <v>387.65333300630698</v>
      </c>
    </row>
    <row r="270" spans="1:3" x14ac:dyDescent="0.25">
      <c r="A270" s="10">
        <v>2015</v>
      </c>
      <c r="B270" s="10">
        <v>5</v>
      </c>
      <c r="C270" s="10">
        <v>404.26317610031498</v>
      </c>
    </row>
    <row r="271" spans="1:3" x14ac:dyDescent="0.25">
      <c r="A271" s="10">
        <v>2015</v>
      </c>
      <c r="B271" s="10">
        <v>6</v>
      </c>
      <c r="C271" s="10">
        <v>441.92623188167801</v>
      </c>
    </row>
    <row r="272" spans="1:3" x14ac:dyDescent="0.25">
      <c r="A272" s="10">
        <v>2015</v>
      </c>
      <c r="B272" s="10">
        <v>7</v>
      </c>
      <c r="C272" s="10">
        <v>415.48498765560299</v>
      </c>
    </row>
    <row r="273" spans="1:3" x14ac:dyDescent="0.25">
      <c r="A273" s="10">
        <v>2015</v>
      </c>
      <c r="B273" s="10">
        <v>8</v>
      </c>
      <c r="C273" s="10">
        <v>447.03144116136798</v>
      </c>
    </row>
    <row r="274" spans="1:3" x14ac:dyDescent="0.25">
      <c r="A274" s="10">
        <v>2015</v>
      </c>
      <c r="B274" s="10">
        <v>9</v>
      </c>
      <c r="C274" s="10">
        <v>432.92852345800998</v>
      </c>
    </row>
    <row r="275" spans="1:3" x14ac:dyDescent="0.25">
      <c r="A275" s="10">
        <v>2015</v>
      </c>
      <c r="B275" s="10">
        <v>10</v>
      </c>
      <c r="C275" s="10">
        <v>429.43427133343403</v>
      </c>
    </row>
    <row r="276" spans="1:3" x14ac:dyDescent="0.25">
      <c r="A276" s="10">
        <v>2015</v>
      </c>
      <c r="B276" s="10">
        <v>11</v>
      </c>
      <c r="C276" s="10">
        <v>387.29684409681897</v>
      </c>
    </row>
    <row r="277" spans="1:3" x14ac:dyDescent="0.25">
      <c r="A277" s="10">
        <v>2015</v>
      </c>
      <c r="B277" s="10">
        <v>12</v>
      </c>
      <c r="C277" s="10">
        <v>394.72454455281701</v>
      </c>
    </row>
    <row r="278" spans="1:3" x14ac:dyDescent="0.25">
      <c r="A278" s="10">
        <v>2016</v>
      </c>
      <c r="B278" s="10">
        <v>1</v>
      </c>
      <c r="C278" s="10">
        <v>381.23090379553702</v>
      </c>
    </row>
    <row r="279" spans="1:3" x14ac:dyDescent="0.25">
      <c r="A279" s="10">
        <v>2016</v>
      </c>
      <c r="B279" s="10">
        <v>2</v>
      </c>
      <c r="C279" s="10">
        <v>363.97649803986701</v>
      </c>
    </row>
    <row r="280" spans="1:3" x14ac:dyDescent="0.25">
      <c r="A280" s="10">
        <v>2016</v>
      </c>
      <c r="B280" s="10">
        <v>3</v>
      </c>
      <c r="C280" s="10">
        <v>305.84557974562301</v>
      </c>
    </row>
    <row r="281" spans="1:3" x14ac:dyDescent="0.25">
      <c r="A281" s="10">
        <v>2016</v>
      </c>
      <c r="B281" s="10">
        <v>4</v>
      </c>
      <c r="C281" s="10">
        <v>324.18320501299303</v>
      </c>
    </row>
    <row r="282" spans="1:3" x14ac:dyDescent="0.25">
      <c r="A282" s="10">
        <v>2016</v>
      </c>
      <c r="B282" s="10">
        <v>5</v>
      </c>
      <c r="C282" s="10">
        <v>374.66742698344598</v>
      </c>
    </row>
    <row r="283" spans="1:3" x14ac:dyDescent="0.25">
      <c r="A283" s="10">
        <v>2016</v>
      </c>
      <c r="B283" s="10">
        <v>6</v>
      </c>
      <c r="C283" s="10">
        <v>372.37143076928498</v>
      </c>
    </row>
    <row r="284" spans="1:3" x14ac:dyDescent="0.25">
      <c r="A284" s="10">
        <v>2016</v>
      </c>
      <c r="B284" s="10">
        <v>7</v>
      </c>
      <c r="C284" s="10">
        <v>338.52003060772</v>
      </c>
    </row>
    <row r="285" spans="1:3" x14ac:dyDescent="0.25">
      <c r="A285" s="10">
        <v>2016</v>
      </c>
      <c r="B285" s="10">
        <v>8</v>
      </c>
      <c r="C285" s="10">
        <v>316.10624315441203</v>
      </c>
    </row>
    <row r="286" spans="1:3" x14ac:dyDescent="0.25">
      <c r="A286" s="10">
        <v>2016</v>
      </c>
      <c r="B286" s="10">
        <v>9</v>
      </c>
      <c r="C286" s="10">
        <v>308.48192707190998</v>
      </c>
    </row>
    <row r="287" spans="1:3" x14ac:dyDescent="0.25">
      <c r="A287" s="10">
        <v>2016</v>
      </c>
      <c r="B287" s="10">
        <v>10</v>
      </c>
      <c r="C287" s="10">
        <v>337.78260181316301</v>
      </c>
    </row>
    <row r="288" spans="1:3" x14ac:dyDescent="0.25">
      <c r="A288" s="10">
        <v>2016</v>
      </c>
      <c r="B288" s="10">
        <v>11</v>
      </c>
      <c r="C288" s="10">
        <v>340.79481981514402</v>
      </c>
    </row>
    <row r="289" spans="1:3" x14ac:dyDescent="0.25">
      <c r="A289" s="10">
        <v>2016</v>
      </c>
      <c r="B289" s="10">
        <v>12</v>
      </c>
      <c r="C289" s="10">
        <v>339.89636639745203</v>
      </c>
    </row>
    <row r="290" spans="1:3" x14ac:dyDescent="0.25">
      <c r="A290" s="10">
        <v>2017</v>
      </c>
      <c r="B290" s="10">
        <v>1</v>
      </c>
      <c r="C290" s="10">
        <v>337.36554572701999</v>
      </c>
    </row>
    <row r="291" spans="1:3" x14ac:dyDescent="0.25">
      <c r="A291" s="10">
        <v>2017</v>
      </c>
      <c r="B291" s="10">
        <v>2</v>
      </c>
      <c r="C291" s="10">
        <v>363.83493395375302</v>
      </c>
    </row>
    <row r="292" spans="1:3" x14ac:dyDescent="0.25">
      <c r="A292" s="10">
        <v>2017</v>
      </c>
      <c r="B292" s="10">
        <v>3</v>
      </c>
      <c r="C292" s="10">
        <v>382.06063581449303</v>
      </c>
    </row>
    <row r="293" spans="1:3" x14ac:dyDescent="0.25">
      <c r="A293" s="10">
        <v>2017</v>
      </c>
      <c r="B293" s="10">
        <v>4</v>
      </c>
      <c r="C293" s="10">
        <v>370.979775932385</v>
      </c>
    </row>
    <row r="294" spans="1:3" x14ac:dyDescent="0.25">
      <c r="A294" s="10">
        <v>2017</v>
      </c>
      <c r="B294" s="10">
        <v>5</v>
      </c>
      <c r="C294" s="10">
        <v>392.46960492297802</v>
      </c>
    </row>
    <row r="295" spans="1:3" x14ac:dyDescent="0.25">
      <c r="A295" s="10">
        <v>2017</v>
      </c>
      <c r="B295" s="10">
        <v>6</v>
      </c>
      <c r="C295" s="10">
        <v>376.89318778181502</v>
      </c>
    </row>
    <row r="296" spans="1:3" x14ac:dyDescent="0.25">
      <c r="A296" s="10">
        <v>2017</v>
      </c>
      <c r="B296" s="10">
        <v>7</v>
      </c>
      <c r="C296" s="10">
        <v>379.30234796801102</v>
      </c>
    </row>
    <row r="297" spans="1:3" x14ac:dyDescent="0.25">
      <c r="A297" s="10">
        <v>2017</v>
      </c>
      <c r="B297" s="10">
        <v>8</v>
      </c>
      <c r="C297" s="10">
        <v>390.11557281875002</v>
      </c>
    </row>
    <row r="298" spans="1:3" x14ac:dyDescent="0.25">
      <c r="A298" s="10">
        <v>2017</v>
      </c>
      <c r="B298" s="10">
        <v>9</v>
      </c>
      <c r="C298" s="10">
        <v>407.47757520911898</v>
      </c>
    </row>
    <row r="299" spans="1:3" x14ac:dyDescent="0.25">
      <c r="A299" s="10">
        <v>2017</v>
      </c>
      <c r="B299" s="10">
        <v>10</v>
      </c>
      <c r="C299" s="10">
        <v>410.486259890486</v>
      </c>
    </row>
    <row r="300" spans="1:3" x14ac:dyDescent="0.25">
      <c r="A300" s="10">
        <v>2017</v>
      </c>
      <c r="B300" s="10">
        <v>11</v>
      </c>
      <c r="C300" s="10">
        <v>414.03231415125498</v>
      </c>
    </row>
    <row r="301" spans="1:3" x14ac:dyDescent="0.25">
      <c r="A301" s="10">
        <v>2017</v>
      </c>
      <c r="B301" s="10">
        <v>12</v>
      </c>
      <c r="C301" s="10">
        <v>408.80021609481599</v>
      </c>
    </row>
    <row r="302" spans="1:3" x14ac:dyDescent="0.25">
      <c r="A302" s="10">
        <v>2018</v>
      </c>
      <c r="B302" s="10">
        <v>1</v>
      </c>
      <c r="C302" s="10">
        <v>384.80230274328198</v>
      </c>
    </row>
    <row r="303" spans="1:3" x14ac:dyDescent="0.25">
      <c r="A303" s="10">
        <v>2018</v>
      </c>
      <c r="B303" s="10">
        <v>2</v>
      </c>
      <c r="C303" s="10">
        <v>477.63138685676802</v>
      </c>
    </row>
    <row r="304" spans="1:3" x14ac:dyDescent="0.25">
      <c r="A304" s="10">
        <v>2018</v>
      </c>
      <c r="B304" s="10">
        <v>3</v>
      </c>
      <c r="C304" s="10">
        <v>465.30106548289302</v>
      </c>
    </row>
    <row r="305" spans="1:3" x14ac:dyDescent="0.25">
      <c r="A305" s="10">
        <v>2018</v>
      </c>
      <c r="B305" s="10">
        <v>4</v>
      </c>
      <c r="C305" s="10">
        <v>465.16237419351597</v>
      </c>
    </row>
    <row r="306" spans="1:3" x14ac:dyDescent="0.25">
      <c r="A306" s="10">
        <v>2018</v>
      </c>
      <c r="B306" s="10">
        <v>5</v>
      </c>
      <c r="C306" s="10">
        <v>438.855434167731</v>
      </c>
    </row>
    <row r="307" spans="1:3" x14ac:dyDescent="0.25">
      <c r="A307" s="10">
        <v>2018</v>
      </c>
      <c r="B307" s="10">
        <v>6</v>
      </c>
      <c r="C307" s="10">
        <v>421.56505882496202</v>
      </c>
    </row>
    <row r="308" spans="1:3" x14ac:dyDescent="0.25">
      <c r="A308" s="10">
        <v>2018</v>
      </c>
      <c r="B308" s="10">
        <v>7</v>
      </c>
      <c r="C308" s="10">
        <v>444.20054630942701</v>
      </c>
    </row>
    <row r="309" spans="1:3" x14ac:dyDescent="0.25">
      <c r="A309" s="10">
        <v>2018</v>
      </c>
      <c r="B309" s="10">
        <v>8</v>
      </c>
      <c r="C309" s="10">
        <v>427.91234775706499</v>
      </c>
    </row>
    <row r="310" spans="1:3" x14ac:dyDescent="0.25">
      <c r="A310" s="10">
        <v>2018</v>
      </c>
      <c r="B310" s="10">
        <v>9</v>
      </c>
      <c r="C310" s="10">
        <v>416.05369501688301</v>
      </c>
    </row>
    <row r="311" spans="1:3" x14ac:dyDescent="0.25">
      <c r="A311" s="10">
        <v>2018</v>
      </c>
      <c r="B311" s="10">
        <v>10</v>
      </c>
      <c r="C311" s="10">
        <v>412.54602049586299</v>
      </c>
    </row>
    <row r="312" spans="1:3" x14ac:dyDescent="0.25">
      <c r="A312" s="10">
        <v>2018</v>
      </c>
      <c r="B312" s="10">
        <v>11</v>
      </c>
      <c r="C312" s="10">
        <v>432.959896220041</v>
      </c>
    </row>
    <row r="313" spans="1:3" x14ac:dyDescent="0.25">
      <c r="A313" s="10">
        <v>2018</v>
      </c>
      <c r="B313" s="10">
        <v>12</v>
      </c>
      <c r="C313" s="10">
        <v>381.03910910548802</v>
      </c>
    </row>
    <row r="314" spans="1:3" x14ac:dyDescent="0.25">
      <c r="A314" s="10">
        <v>2019</v>
      </c>
      <c r="B314" s="10">
        <v>1</v>
      </c>
      <c r="C314" s="10">
        <v>408.33136425291201</v>
      </c>
    </row>
    <row r="315" spans="1:3" x14ac:dyDescent="0.25">
      <c r="A315" s="10">
        <v>2019</v>
      </c>
      <c r="B315" s="10">
        <v>2</v>
      </c>
      <c r="C315" s="10">
        <v>382.56395736868097</v>
      </c>
    </row>
    <row r="316" spans="1:3" x14ac:dyDescent="0.25">
      <c r="A316" s="10">
        <v>2019</v>
      </c>
      <c r="B316" s="10">
        <v>3</v>
      </c>
      <c r="C316" s="10">
        <v>384.71510072798998</v>
      </c>
    </row>
    <row r="317" spans="1:3" x14ac:dyDescent="0.25">
      <c r="A317" s="10">
        <v>2019</v>
      </c>
      <c r="B317" s="10">
        <v>4</v>
      </c>
      <c r="C317" s="10">
        <v>421.93232758350501</v>
      </c>
    </row>
    <row r="318" spans="1:3" x14ac:dyDescent="0.25">
      <c r="A318" s="10">
        <v>2019</v>
      </c>
      <c r="B318" s="10">
        <v>5</v>
      </c>
      <c r="C318" s="10">
        <v>409.54837785850799</v>
      </c>
    </row>
    <row r="319" spans="1:3" x14ac:dyDescent="0.25">
      <c r="A319" s="10">
        <v>2019</v>
      </c>
      <c r="B319" s="10">
        <v>6</v>
      </c>
      <c r="C319" s="10">
        <v>421.80939826882098</v>
      </c>
    </row>
    <row r="320" spans="1:3" x14ac:dyDescent="0.25">
      <c r="A320" s="10">
        <v>2019</v>
      </c>
      <c r="B320" s="10">
        <v>7</v>
      </c>
      <c r="C320" s="10">
        <v>397.56791570107401</v>
      </c>
    </row>
    <row r="321" spans="1:3" x14ac:dyDescent="0.25">
      <c r="A321" s="10">
        <v>2019</v>
      </c>
      <c r="B321" s="10">
        <v>8</v>
      </c>
      <c r="C321" s="10">
        <v>410.79022912244301</v>
      </c>
    </row>
    <row r="322" spans="1:3" x14ac:dyDescent="0.25">
      <c r="A322" s="10">
        <v>2019</v>
      </c>
      <c r="B322" s="10">
        <v>9</v>
      </c>
      <c r="C322" s="10">
        <v>385.35192120521702</v>
      </c>
    </row>
    <row r="323" spans="1:3" x14ac:dyDescent="0.25">
      <c r="A323" s="10">
        <v>2019</v>
      </c>
      <c r="B323" s="10">
        <v>10</v>
      </c>
      <c r="C323" s="10">
        <v>349.25839105231898</v>
      </c>
    </row>
    <row r="324" spans="1:3" x14ac:dyDescent="0.25">
      <c r="A324" s="10">
        <v>2019</v>
      </c>
      <c r="B324" s="10">
        <v>11</v>
      </c>
      <c r="C324" s="10">
        <v>332.02190210156198</v>
      </c>
    </row>
    <row r="325" spans="1:3" x14ac:dyDescent="0.25">
      <c r="A325" s="10">
        <v>2019</v>
      </c>
      <c r="B325" s="10">
        <v>12</v>
      </c>
      <c r="C325" s="10">
        <v>344.33870652574598</v>
      </c>
    </row>
    <row r="326" spans="1:3" x14ac:dyDescent="0.25">
      <c r="A326" s="10">
        <v>2020</v>
      </c>
      <c r="B326" s="10">
        <v>1</v>
      </c>
      <c r="C326" s="10">
        <v>333.79611494536903</v>
      </c>
    </row>
    <row r="327" spans="1:3" x14ac:dyDescent="0.25">
      <c r="A327" s="10">
        <v>2020</v>
      </c>
      <c r="B327" s="10">
        <v>2</v>
      </c>
      <c r="C327" s="10">
        <v>378.700320128621</v>
      </c>
    </row>
    <row r="328" spans="1:3" x14ac:dyDescent="0.25">
      <c r="A328" s="10">
        <v>2020</v>
      </c>
      <c r="B328" s="10">
        <v>3</v>
      </c>
      <c r="C328" s="10">
        <v>283.64552491420801</v>
      </c>
    </row>
    <row r="329" spans="1:3" x14ac:dyDescent="0.25">
      <c r="A329" s="10">
        <v>2020</v>
      </c>
      <c r="B329" s="10">
        <v>4</v>
      </c>
      <c r="C329" s="10">
        <v>108.458090415111</v>
      </c>
    </row>
    <row r="330" spans="1:3" x14ac:dyDescent="0.25">
      <c r="A330" s="10">
        <v>2020</v>
      </c>
      <c r="B330" s="10">
        <v>5</v>
      </c>
      <c r="C330" s="10">
        <v>196.780611336508</v>
      </c>
    </row>
    <row r="331" spans="1:3" x14ac:dyDescent="0.25">
      <c r="A331" s="10">
        <v>2020</v>
      </c>
      <c r="B331" s="10">
        <v>6</v>
      </c>
      <c r="C331" s="10">
        <v>250.07086607222701</v>
      </c>
    </row>
    <row r="332" spans="1:3" x14ac:dyDescent="0.25">
      <c r="A332" s="10">
        <v>2020</v>
      </c>
      <c r="B332" s="10">
        <v>7</v>
      </c>
      <c r="C332" s="10">
        <v>306.06989824961897</v>
      </c>
    </row>
    <row r="333" spans="1:3" x14ac:dyDescent="0.25">
      <c r="A333" s="10">
        <v>2020</v>
      </c>
      <c r="B333" s="10">
        <v>8</v>
      </c>
      <c r="C333" s="10">
        <v>313.00276336462798</v>
      </c>
    </row>
    <row r="334" spans="1:3" x14ac:dyDescent="0.25">
      <c r="A334" s="10">
        <v>2020</v>
      </c>
      <c r="B334" s="10">
        <v>9</v>
      </c>
      <c r="C334" s="10">
        <v>334.17221175755702</v>
      </c>
    </row>
    <row r="335" spans="1:3" x14ac:dyDescent="0.25">
      <c r="A335" s="10">
        <v>2020</v>
      </c>
      <c r="B335" s="10">
        <v>10</v>
      </c>
      <c r="C335" s="10">
        <v>346.61744960391201</v>
      </c>
    </row>
    <row r="336" spans="1:3" x14ac:dyDescent="0.25">
      <c r="A336" s="10">
        <v>2020</v>
      </c>
      <c r="B336" s="10">
        <v>11</v>
      </c>
      <c r="C336" s="10">
        <v>364.76755245752702</v>
      </c>
    </row>
    <row r="337" spans="1:3" x14ac:dyDescent="0.25">
      <c r="A337" s="10">
        <v>2020</v>
      </c>
      <c r="B337" s="10">
        <v>12</v>
      </c>
      <c r="C337" s="10">
        <v>399.80509329054701</v>
      </c>
    </row>
    <row r="338" spans="1:3" x14ac:dyDescent="0.25">
      <c r="A338" s="10">
        <v>2021</v>
      </c>
      <c r="B338" s="10">
        <v>1</v>
      </c>
      <c r="C338" s="10">
        <v>407.69542287321201</v>
      </c>
    </row>
    <row r="339" spans="1:3" x14ac:dyDescent="0.25">
      <c r="A339" s="10">
        <v>2021</v>
      </c>
      <c r="B339" s="10">
        <v>2</v>
      </c>
      <c r="C339" s="10">
        <v>405.18578375717999</v>
      </c>
    </row>
    <row r="340" spans="1:3" x14ac:dyDescent="0.25">
      <c r="A340" s="10">
        <v>2021</v>
      </c>
      <c r="B340" s="10">
        <v>3</v>
      </c>
      <c r="C340" s="10">
        <v>423.72845963941302</v>
      </c>
    </row>
    <row r="341" spans="1:3" x14ac:dyDescent="0.25">
      <c r="A341" s="10">
        <v>2021</v>
      </c>
      <c r="B341" s="10">
        <v>4</v>
      </c>
      <c r="C341" s="10">
        <v>350.23367916192899</v>
      </c>
    </row>
    <row r="342" spans="1:3" x14ac:dyDescent="0.25">
      <c r="A342" s="10">
        <v>2021</v>
      </c>
      <c r="B342" s="10">
        <v>5</v>
      </c>
      <c r="C342" s="10">
        <v>392.98434982492802</v>
      </c>
    </row>
    <row r="343" spans="1:3" x14ac:dyDescent="0.25">
      <c r="A343" s="10">
        <v>2021</v>
      </c>
      <c r="B343" s="10">
        <v>6</v>
      </c>
      <c r="C343" s="10">
        <v>408.30731145435198</v>
      </c>
    </row>
    <row r="344" spans="1:3" x14ac:dyDescent="0.25">
      <c r="A344" s="10">
        <v>2021</v>
      </c>
      <c r="B344" s="10">
        <v>7</v>
      </c>
      <c r="C344" s="10">
        <v>412.03013600520802</v>
      </c>
    </row>
    <row r="345" spans="1:3" x14ac:dyDescent="0.25">
      <c r="A345" s="10">
        <v>2021</v>
      </c>
      <c r="B345" s="10">
        <v>8</v>
      </c>
      <c r="C345" s="10">
        <v>403.00498793047598</v>
      </c>
    </row>
    <row r="346" spans="1:3" x14ac:dyDescent="0.25">
      <c r="A346" s="10">
        <v>2021</v>
      </c>
      <c r="B346" s="10">
        <v>9</v>
      </c>
      <c r="C346" s="10">
        <v>404.56283194805502</v>
      </c>
    </row>
    <row r="347" spans="1:3" x14ac:dyDescent="0.25">
      <c r="A347" s="10">
        <v>2021</v>
      </c>
      <c r="B347" s="10">
        <v>10</v>
      </c>
      <c r="C347" s="10">
        <v>407.83753470143199</v>
      </c>
    </row>
    <row r="348" spans="1:3" x14ac:dyDescent="0.25">
      <c r="A348" s="10">
        <v>2021</v>
      </c>
      <c r="B348" s="10">
        <v>11</v>
      </c>
      <c r="C348" s="10">
        <v>425.24949884729301</v>
      </c>
    </row>
    <row r="349" spans="1:3" x14ac:dyDescent="0.25">
      <c r="A349" s="10">
        <v>2021</v>
      </c>
      <c r="B349" s="10">
        <v>12</v>
      </c>
      <c r="C349" s="10">
        <v>436.75001479001997</v>
      </c>
    </row>
    <row r="350" spans="1:3" x14ac:dyDescent="0.25">
      <c r="A350" s="10">
        <v>2022</v>
      </c>
      <c r="B350" s="10">
        <v>1</v>
      </c>
      <c r="C350" s="10">
        <v>394.83377841825501</v>
      </c>
    </row>
    <row r="351" spans="1:3" x14ac:dyDescent="0.25">
      <c r="A351" s="10">
        <v>2022</v>
      </c>
      <c r="B351" s="10">
        <v>2</v>
      </c>
      <c r="C351" s="10">
        <v>394.28337704462803</v>
      </c>
    </row>
    <row r="352" spans="1:3" x14ac:dyDescent="0.25">
      <c r="A352" s="10">
        <v>2022</v>
      </c>
      <c r="B352" s="10">
        <v>3</v>
      </c>
      <c r="C352" s="10">
        <v>418.38304958897203</v>
      </c>
    </row>
    <row r="353" spans="1:3" x14ac:dyDescent="0.25">
      <c r="A353" s="10">
        <v>2022</v>
      </c>
      <c r="B353" s="10">
        <v>4</v>
      </c>
      <c r="C353" s="10">
        <v>362.00342922573401</v>
      </c>
    </row>
    <row r="354" spans="1:3" x14ac:dyDescent="0.25">
      <c r="A354" s="10">
        <v>2022</v>
      </c>
      <c r="B354" s="10">
        <v>5</v>
      </c>
      <c r="C354" s="10">
        <v>448.07615780965102</v>
      </c>
    </row>
    <row r="355" spans="1:3" x14ac:dyDescent="0.25">
      <c r="A355" s="10">
        <v>2022</v>
      </c>
      <c r="B355" s="10">
        <v>6</v>
      </c>
      <c r="C355" s="10">
        <v>472.05262025946303</v>
      </c>
    </row>
    <row r="356" spans="1:3" x14ac:dyDescent="0.25">
      <c r="A356" s="10">
        <v>2022</v>
      </c>
      <c r="B356" s="10">
        <v>7</v>
      </c>
      <c r="C356" s="10">
        <v>446.99419671950801</v>
      </c>
    </row>
    <row r="357" spans="1:3" x14ac:dyDescent="0.25">
      <c r="A357" s="10">
        <v>2022</v>
      </c>
      <c r="B357" s="10">
        <v>8</v>
      </c>
      <c r="C357" s="10">
        <v>437.67385813458998</v>
      </c>
    </row>
    <row r="358" spans="1:3" x14ac:dyDescent="0.25">
      <c r="A358" s="10">
        <v>2022</v>
      </c>
      <c r="B358" s="10">
        <v>9</v>
      </c>
      <c r="C358" s="10">
        <v>398.04073444299303</v>
      </c>
    </row>
    <row r="359" spans="1:3" x14ac:dyDescent="0.25">
      <c r="A359" s="10">
        <v>2022</v>
      </c>
      <c r="B359" s="10">
        <v>10</v>
      </c>
      <c r="C359" s="10">
        <v>448.03614341272601</v>
      </c>
    </row>
    <row r="360" spans="1:3" x14ac:dyDescent="0.25">
      <c r="A360" s="10">
        <v>2022</v>
      </c>
      <c r="B360" s="10">
        <v>11</v>
      </c>
      <c r="C360" s="10">
        <v>432.897158010201</v>
      </c>
    </row>
    <row r="361" spans="1:3" x14ac:dyDescent="0.25">
      <c r="A361" s="10">
        <v>2022</v>
      </c>
      <c r="B361" s="10">
        <v>12</v>
      </c>
      <c r="C361" s="10">
        <v>447.186487768944</v>
      </c>
    </row>
    <row r="362" spans="1:3" x14ac:dyDescent="0.25">
      <c r="A362" s="10">
        <v>2023</v>
      </c>
      <c r="B362" s="10">
        <v>1</v>
      </c>
      <c r="C362" s="10">
        <v>488.70584931858701</v>
      </c>
    </row>
    <row r="363" spans="1:3" x14ac:dyDescent="0.25">
      <c r="A363" s="10">
        <v>2023</v>
      </c>
      <c r="B363" s="10">
        <v>2</v>
      </c>
      <c r="C363" s="10">
        <v>431.617645038663</v>
      </c>
    </row>
    <row r="364" spans="1:3" x14ac:dyDescent="0.25">
      <c r="A364" s="10">
        <v>2023</v>
      </c>
      <c r="B364" s="10">
        <v>3</v>
      </c>
      <c r="C364" s="10">
        <v>414.14916007990502</v>
      </c>
    </row>
    <row r="365" spans="1:3" x14ac:dyDescent="0.25">
      <c r="A365" s="10">
        <v>2023</v>
      </c>
      <c r="B365" s="10">
        <v>4</v>
      </c>
      <c r="C365" s="10">
        <v>438.72052787092599</v>
      </c>
    </row>
    <row r="366" spans="1:3" x14ac:dyDescent="0.25">
      <c r="A366" s="10">
        <v>2023</v>
      </c>
      <c r="B366" s="10">
        <v>5</v>
      </c>
      <c r="C366" s="10">
        <v>441.90506162855399</v>
      </c>
    </row>
    <row r="367" spans="1:3" x14ac:dyDescent="0.25">
      <c r="A367" s="10">
        <v>2023</v>
      </c>
      <c r="B367" s="10">
        <v>6</v>
      </c>
      <c r="C367" s="10">
        <v>432.350275133308</v>
      </c>
    </row>
    <row r="368" spans="1:3" x14ac:dyDescent="0.25">
      <c r="A368" s="10">
        <v>2023</v>
      </c>
      <c r="B368" s="10">
        <v>7</v>
      </c>
      <c r="C368" s="10">
        <v>331.89365378192201</v>
      </c>
    </row>
    <row r="369" spans="1:3" x14ac:dyDescent="0.25">
      <c r="A369" s="10">
        <v>2023</v>
      </c>
      <c r="B369" s="10">
        <v>8</v>
      </c>
      <c r="C369" s="10">
        <v>403.30909038343799</v>
      </c>
    </row>
    <row r="370" spans="1:3" x14ac:dyDescent="0.25">
      <c r="A370" s="10">
        <v>2023</v>
      </c>
      <c r="B370" s="10">
        <v>9</v>
      </c>
      <c r="C370" s="10">
        <v>413.162422516839</v>
      </c>
    </row>
    <row r="371" spans="1:3" x14ac:dyDescent="0.25">
      <c r="A371" s="10">
        <v>2023</v>
      </c>
      <c r="B371" s="10">
        <v>10</v>
      </c>
      <c r="C371" s="10">
        <v>410.83760480390703</v>
      </c>
    </row>
    <row r="372" spans="1:3" x14ac:dyDescent="0.25">
      <c r="A372" s="10">
        <v>2023</v>
      </c>
      <c r="B372" s="10">
        <v>11</v>
      </c>
      <c r="C372" s="10">
        <v>386.44359321992499</v>
      </c>
    </row>
    <row r="373" spans="1:3" x14ac:dyDescent="0.25">
      <c r="A373" s="10">
        <v>2023</v>
      </c>
      <c r="B373" s="10">
        <v>12</v>
      </c>
      <c r="C373" s="10">
        <v>341.85451777102003</v>
      </c>
    </row>
    <row r="374" spans="1:3" x14ac:dyDescent="0.25">
      <c r="A374" s="10">
        <v>2024</v>
      </c>
      <c r="B374" s="10">
        <v>1</v>
      </c>
      <c r="C374" s="10">
        <v>458.348487215727</v>
      </c>
    </row>
    <row r="375" spans="1:3" x14ac:dyDescent="0.25">
      <c r="A375" s="10">
        <v>2024</v>
      </c>
      <c r="B375" s="10">
        <v>2</v>
      </c>
      <c r="C375" s="10">
        <v>360.04720058590698</v>
      </c>
    </row>
    <row r="376" spans="1:3" x14ac:dyDescent="0.25">
      <c r="A376" s="10">
        <v>2024</v>
      </c>
      <c r="B376" s="10">
        <v>3</v>
      </c>
      <c r="C376" s="10">
        <v>242.37259890467001</v>
      </c>
    </row>
    <row r="377" spans="1:3" x14ac:dyDescent="0.25">
      <c r="A377" s="10">
        <v>2024</v>
      </c>
      <c r="B377" s="10">
        <v>4</v>
      </c>
      <c r="C377" s="10">
        <v>326.88885668133798</v>
      </c>
    </row>
    <row r="378" spans="1:3" x14ac:dyDescent="0.25">
      <c r="A378" s="10">
        <v>2024</v>
      </c>
      <c r="B378" s="10">
        <v>5</v>
      </c>
      <c r="C378" s="10">
        <v>310.77561399375901</v>
      </c>
    </row>
    <row r="379" spans="1:3" x14ac:dyDescent="0.25">
      <c r="A379" s="10">
        <v>2024</v>
      </c>
      <c r="B379" s="10">
        <v>6</v>
      </c>
      <c r="C379" s="10">
        <v>283.91657999820097</v>
      </c>
    </row>
    <row r="380" spans="1:3" x14ac:dyDescent="0.25">
      <c r="A380" s="10">
        <v>2024</v>
      </c>
      <c r="B380" s="10">
        <v>7</v>
      </c>
      <c r="C380" s="10">
        <v>302.52361808979498</v>
      </c>
    </row>
    <row r="381" spans="1:3" x14ac:dyDescent="0.25">
      <c r="A381" s="10">
        <v>2024</v>
      </c>
      <c r="B381" s="10">
        <v>8</v>
      </c>
      <c r="C381" s="10">
        <v>326.65212232290799</v>
      </c>
    </row>
    <row r="382" spans="1:3" x14ac:dyDescent="0.25">
      <c r="A382" s="10">
        <v>2024</v>
      </c>
      <c r="B382" s="10">
        <v>9</v>
      </c>
      <c r="C382" s="10">
        <v>335.67747666276398</v>
      </c>
    </row>
    <row r="383" spans="1:3" x14ac:dyDescent="0.25">
      <c r="A383" s="10">
        <v>2024</v>
      </c>
      <c r="B383" s="10">
        <v>10</v>
      </c>
      <c r="C383" s="10">
        <v>309.888003984053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D739-58A7-497B-9892-2CF52F09C402}">
  <dimension ref="A1:D381"/>
  <sheetViews>
    <sheetView topLeftCell="A365" workbookViewId="0">
      <selection activeCell="C381" sqref="C2:C381"/>
    </sheetView>
  </sheetViews>
  <sheetFormatPr baseColWidth="10" defaultRowHeight="15" x14ac:dyDescent="0.25"/>
  <cols>
    <col min="3" max="3" width="11.42578125" style="11"/>
  </cols>
  <sheetData>
    <row r="1" spans="1:3" x14ac:dyDescent="0.25">
      <c r="A1" s="12" t="s">
        <v>34</v>
      </c>
      <c r="B1" s="12" t="s">
        <v>35</v>
      </c>
      <c r="C1" s="12" t="s">
        <v>36</v>
      </c>
    </row>
    <row r="2" spans="1:3" x14ac:dyDescent="0.25">
      <c r="A2" s="13">
        <v>1993</v>
      </c>
      <c r="B2" s="13">
        <v>1</v>
      </c>
      <c r="C2" s="13">
        <v>243.57368046078599</v>
      </c>
    </row>
    <row r="3" spans="1:3" x14ac:dyDescent="0.25">
      <c r="A3" s="13">
        <v>1993</v>
      </c>
      <c r="B3" s="13">
        <v>2</v>
      </c>
      <c r="C3" s="13">
        <v>234.24056142627799</v>
      </c>
    </row>
    <row r="4" spans="1:3" x14ac:dyDescent="0.25">
      <c r="A4" s="13">
        <v>1993</v>
      </c>
      <c r="B4" s="13">
        <v>3</v>
      </c>
      <c r="C4" s="13">
        <v>228.386847119148</v>
      </c>
    </row>
    <row r="5" spans="1:3" x14ac:dyDescent="0.25">
      <c r="A5" s="13">
        <v>1993</v>
      </c>
      <c r="B5" s="13">
        <v>4</v>
      </c>
      <c r="C5" s="13">
        <v>244.97055042045</v>
      </c>
    </row>
    <row r="6" spans="1:3" x14ac:dyDescent="0.25">
      <c r="A6" s="13">
        <v>1993</v>
      </c>
      <c r="B6" s="13">
        <v>5</v>
      </c>
      <c r="C6" s="13">
        <v>248.44521699792799</v>
      </c>
    </row>
    <row r="7" spans="1:3" x14ac:dyDescent="0.25">
      <c r="A7" s="13">
        <v>1993</v>
      </c>
      <c r="B7" s="13">
        <v>6</v>
      </c>
      <c r="C7" s="13">
        <v>250.99618316301999</v>
      </c>
    </row>
    <row r="8" spans="1:3" x14ac:dyDescent="0.25">
      <c r="A8" s="13">
        <v>1993</v>
      </c>
      <c r="B8" s="13">
        <v>7</v>
      </c>
      <c r="C8" s="13">
        <v>238.947103278302</v>
      </c>
    </row>
    <row r="9" spans="1:3" x14ac:dyDescent="0.25">
      <c r="A9" s="13">
        <v>1993</v>
      </c>
      <c r="B9" s="13">
        <v>8</v>
      </c>
      <c r="C9" s="13">
        <v>245.601203049323</v>
      </c>
    </row>
    <row r="10" spans="1:3" x14ac:dyDescent="0.25">
      <c r="A10" s="13">
        <v>1993</v>
      </c>
      <c r="B10" s="13">
        <v>9</v>
      </c>
      <c r="C10" s="13">
        <v>254.712717454847</v>
      </c>
    </row>
    <row r="11" spans="1:3" x14ac:dyDescent="0.25">
      <c r="A11" s="13">
        <v>1993</v>
      </c>
      <c r="B11" s="13">
        <v>10</v>
      </c>
      <c r="C11" s="13">
        <v>237.634880527212</v>
      </c>
    </row>
    <row r="12" spans="1:3" x14ac:dyDescent="0.25">
      <c r="A12" s="13">
        <v>1993</v>
      </c>
      <c r="B12" s="13">
        <v>11</v>
      </c>
      <c r="C12" s="13">
        <v>233.27434988482099</v>
      </c>
    </row>
    <row r="13" spans="1:3" x14ac:dyDescent="0.25">
      <c r="A13" s="13">
        <v>1993</v>
      </c>
      <c r="B13" s="13">
        <v>12</v>
      </c>
      <c r="C13" s="13">
        <v>232.366862533828</v>
      </c>
    </row>
    <row r="14" spans="1:3" x14ac:dyDescent="0.25">
      <c r="A14" s="13">
        <v>1994</v>
      </c>
      <c r="B14" s="13">
        <v>1</v>
      </c>
      <c r="C14" s="13">
        <v>260.15957035962902</v>
      </c>
    </row>
    <row r="15" spans="1:3" x14ac:dyDescent="0.25">
      <c r="A15" s="13">
        <v>1994</v>
      </c>
      <c r="B15" s="13">
        <v>2</v>
      </c>
      <c r="C15" s="13">
        <v>250.6318430259</v>
      </c>
    </row>
    <row r="16" spans="1:3" x14ac:dyDescent="0.25">
      <c r="A16" s="13">
        <v>1994</v>
      </c>
      <c r="B16" s="13">
        <v>3</v>
      </c>
      <c r="C16" s="13">
        <v>267.89026382208903</v>
      </c>
    </row>
    <row r="17" spans="1:3" x14ac:dyDescent="0.25">
      <c r="A17" s="13">
        <v>1994</v>
      </c>
      <c r="B17" s="13">
        <v>4</v>
      </c>
      <c r="C17" s="13">
        <v>285.726286694083</v>
      </c>
    </row>
    <row r="18" spans="1:3" x14ac:dyDescent="0.25">
      <c r="A18" s="13">
        <v>1994</v>
      </c>
      <c r="B18" s="13">
        <v>5</v>
      </c>
      <c r="C18" s="13">
        <v>264.83148362761602</v>
      </c>
    </row>
    <row r="19" spans="1:3" x14ac:dyDescent="0.25">
      <c r="A19" s="13">
        <v>1994</v>
      </c>
      <c r="B19" s="13">
        <v>6</v>
      </c>
      <c r="C19" s="13">
        <v>262.524767346641</v>
      </c>
    </row>
    <row r="20" spans="1:3" x14ac:dyDescent="0.25">
      <c r="A20" s="13">
        <v>1994</v>
      </c>
      <c r="B20" s="13">
        <v>7</v>
      </c>
      <c r="C20" s="13">
        <v>269.41356172949202</v>
      </c>
    </row>
    <row r="21" spans="1:3" x14ac:dyDescent="0.25">
      <c r="A21" s="13">
        <v>1994</v>
      </c>
      <c r="B21" s="13">
        <v>8</v>
      </c>
      <c r="C21" s="13">
        <v>291.96773452143498</v>
      </c>
    </row>
    <row r="22" spans="1:3" x14ac:dyDescent="0.25">
      <c r="A22" s="13">
        <v>1994</v>
      </c>
      <c r="B22" s="13">
        <v>9</v>
      </c>
      <c r="C22" s="13">
        <v>288.38879630366802</v>
      </c>
    </row>
    <row r="23" spans="1:3" x14ac:dyDescent="0.25">
      <c r="A23" s="13">
        <v>1994</v>
      </c>
      <c r="B23" s="13">
        <v>10</v>
      </c>
      <c r="C23" s="13">
        <v>297.37781084179898</v>
      </c>
    </row>
    <row r="24" spans="1:3" x14ac:dyDescent="0.25">
      <c r="A24" s="13">
        <v>1994</v>
      </c>
      <c r="B24" s="13">
        <v>11</v>
      </c>
      <c r="C24" s="13">
        <v>271.97870202173698</v>
      </c>
    </row>
    <row r="25" spans="1:3" x14ac:dyDescent="0.25">
      <c r="A25" s="13">
        <v>1994</v>
      </c>
      <c r="B25" s="13">
        <v>12</v>
      </c>
      <c r="C25" s="13">
        <v>301.54433110177303</v>
      </c>
    </row>
    <row r="26" spans="1:3" x14ac:dyDescent="0.25">
      <c r="A26" s="13">
        <v>1995</v>
      </c>
      <c r="B26" s="13">
        <v>1</v>
      </c>
      <c r="C26" s="13">
        <v>296.25016822802598</v>
      </c>
    </row>
    <row r="27" spans="1:3" x14ac:dyDescent="0.25">
      <c r="A27" s="13">
        <v>1995</v>
      </c>
      <c r="B27" s="13">
        <v>2</v>
      </c>
      <c r="C27" s="13">
        <v>293.794103472274</v>
      </c>
    </row>
    <row r="28" spans="1:3" x14ac:dyDescent="0.25">
      <c r="A28" s="13">
        <v>1995</v>
      </c>
      <c r="B28" s="13">
        <v>3</v>
      </c>
      <c r="C28" s="13">
        <v>296.94208627176403</v>
      </c>
    </row>
    <row r="29" spans="1:3" x14ac:dyDescent="0.25">
      <c r="A29" s="13">
        <v>1995</v>
      </c>
      <c r="B29" s="13">
        <v>4</v>
      </c>
      <c r="C29" s="13">
        <v>287.60756477028502</v>
      </c>
    </row>
    <row r="30" spans="1:3" x14ac:dyDescent="0.25">
      <c r="A30" s="13">
        <v>1995</v>
      </c>
      <c r="B30" s="13">
        <v>5</v>
      </c>
      <c r="C30" s="13">
        <v>294.45157034985198</v>
      </c>
    </row>
    <row r="31" spans="1:3" x14ac:dyDescent="0.25">
      <c r="A31" s="13">
        <v>1995</v>
      </c>
      <c r="B31" s="13">
        <v>6</v>
      </c>
      <c r="C31" s="13">
        <v>294.46370775672102</v>
      </c>
    </row>
    <row r="32" spans="1:3" x14ac:dyDescent="0.25">
      <c r="A32" s="13">
        <v>1995</v>
      </c>
      <c r="B32" s="13">
        <v>7</v>
      </c>
      <c r="C32" s="13">
        <v>306.68073619209702</v>
      </c>
    </row>
    <row r="33" spans="1:3" x14ac:dyDescent="0.25">
      <c r="A33" s="13">
        <v>1995</v>
      </c>
      <c r="B33" s="13">
        <v>8</v>
      </c>
      <c r="C33" s="13">
        <v>297.39830392853702</v>
      </c>
    </row>
    <row r="34" spans="1:3" x14ac:dyDescent="0.25">
      <c r="A34" s="13">
        <v>1995</v>
      </c>
      <c r="B34" s="13">
        <v>9</v>
      </c>
      <c r="C34" s="13">
        <v>297.41650786775102</v>
      </c>
    </row>
    <row r="35" spans="1:3" x14ac:dyDescent="0.25">
      <c r="A35" s="13">
        <v>1995</v>
      </c>
      <c r="B35" s="13">
        <v>10</v>
      </c>
      <c r="C35" s="13">
        <v>303.713567813716</v>
      </c>
    </row>
    <row r="36" spans="1:3" x14ac:dyDescent="0.25">
      <c r="A36" s="13">
        <v>1995</v>
      </c>
      <c r="B36" s="13">
        <v>11</v>
      </c>
      <c r="C36" s="13">
        <v>315.62106604914902</v>
      </c>
    </row>
    <row r="37" spans="1:3" x14ac:dyDescent="0.25">
      <c r="A37" s="13">
        <v>1995</v>
      </c>
      <c r="B37" s="13">
        <v>12</v>
      </c>
      <c r="C37" s="13">
        <v>289.93370696628898</v>
      </c>
    </row>
    <row r="38" spans="1:3" x14ac:dyDescent="0.25">
      <c r="A38" s="13">
        <v>1996</v>
      </c>
      <c r="B38" s="13">
        <v>1</v>
      </c>
      <c r="C38" s="13">
        <v>309.35622531006499</v>
      </c>
    </row>
    <row r="39" spans="1:3" x14ac:dyDescent="0.25">
      <c r="A39" s="13">
        <v>1996</v>
      </c>
      <c r="B39" s="13">
        <v>2</v>
      </c>
      <c r="C39" s="13">
        <v>331.012141312729</v>
      </c>
    </row>
    <row r="40" spans="1:3" x14ac:dyDescent="0.25">
      <c r="A40" s="13">
        <v>1996</v>
      </c>
      <c r="B40" s="13">
        <v>3</v>
      </c>
      <c r="C40" s="13">
        <v>353.429888632656</v>
      </c>
    </row>
    <row r="41" spans="1:3" x14ac:dyDescent="0.25">
      <c r="A41" s="13">
        <v>1996</v>
      </c>
      <c r="B41" s="13">
        <v>4</v>
      </c>
      <c r="C41" s="13">
        <v>330.836114722319</v>
      </c>
    </row>
    <row r="42" spans="1:3" x14ac:dyDescent="0.25">
      <c r="A42" s="13">
        <v>1996</v>
      </c>
      <c r="B42" s="13">
        <v>5</v>
      </c>
      <c r="C42" s="13">
        <v>335.44381639589699</v>
      </c>
    </row>
    <row r="43" spans="1:3" x14ac:dyDescent="0.25">
      <c r="A43" s="13">
        <v>1996</v>
      </c>
      <c r="B43" s="13">
        <v>6</v>
      </c>
      <c r="C43" s="13">
        <v>343.67942027512601</v>
      </c>
    </row>
    <row r="44" spans="1:3" x14ac:dyDescent="0.25">
      <c r="A44" s="13">
        <v>1996</v>
      </c>
      <c r="B44" s="13">
        <v>7</v>
      </c>
      <c r="C44" s="13">
        <v>334.74401226716998</v>
      </c>
    </row>
    <row r="45" spans="1:3" x14ac:dyDescent="0.25">
      <c r="A45" s="13">
        <v>1996</v>
      </c>
      <c r="B45" s="13">
        <v>8</v>
      </c>
      <c r="C45" s="13">
        <v>333.57052332341999</v>
      </c>
    </row>
    <row r="46" spans="1:3" x14ac:dyDescent="0.25">
      <c r="A46" s="13">
        <v>1996</v>
      </c>
      <c r="B46" s="13">
        <v>9</v>
      </c>
      <c r="C46" s="13">
        <v>333.66809767202102</v>
      </c>
    </row>
    <row r="47" spans="1:3" x14ac:dyDescent="0.25">
      <c r="A47" s="13">
        <v>1996</v>
      </c>
      <c r="B47" s="13">
        <v>10</v>
      </c>
      <c r="C47" s="13">
        <v>344.15966902975799</v>
      </c>
    </row>
    <row r="48" spans="1:3" x14ac:dyDescent="0.25">
      <c r="A48" s="13">
        <v>1996</v>
      </c>
      <c r="B48" s="13">
        <v>11</v>
      </c>
      <c r="C48" s="13">
        <v>348.453255845125</v>
      </c>
    </row>
    <row r="49" spans="1:3" x14ac:dyDescent="0.25">
      <c r="A49" s="13">
        <v>1996</v>
      </c>
      <c r="B49" s="13">
        <v>12</v>
      </c>
      <c r="C49" s="13">
        <v>347.35084309483699</v>
      </c>
    </row>
    <row r="50" spans="1:3" x14ac:dyDescent="0.25">
      <c r="A50" s="13">
        <v>1997</v>
      </c>
      <c r="B50" s="13">
        <v>1</v>
      </c>
      <c r="C50" s="13">
        <v>314.57971559684597</v>
      </c>
    </row>
    <row r="51" spans="1:3" x14ac:dyDescent="0.25">
      <c r="A51" s="13">
        <v>1997</v>
      </c>
      <c r="B51" s="13">
        <v>2</v>
      </c>
      <c r="C51" s="13">
        <v>338.35715975488699</v>
      </c>
    </row>
    <row r="52" spans="1:3" x14ac:dyDescent="0.25">
      <c r="A52" s="13">
        <v>1997</v>
      </c>
      <c r="B52" s="13">
        <v>3</v>
      </c>
      <c r="C52" s="13">
        <v>349.84988163121199</v>
      </c>
    </row>
    <row r="53" spans="1:3" x14ac:dyDescent="0.25">
      <c r="A53" s="13">
        <v>1997</v>
      </c>
      <c r="B53" s="13">
        <v>4</v>
      </c>
      <c r="C53" s="13">
        <v>360.20694279391802</v>
      </c>
    </row>
    <row r="54" spans="1:3" x14ac:dyDescent="0.25">
      <c r="A54" s="13">
        <v>1997</v>
      </c>
      <c r="B54" s="13">
        <v>5</v>
      </c>
      <c r="C54" s="13">
        <v>343.35633031663599</v>
      </c>
    </row>
    <row r="55" spans="1:3" x14ac:dyDescent="0.25">
      <c r="A55" s="13">
        <v>1997</v>
      </c>
      <c r="B55" s="13">
        <v>6</v>
      </c>
      <c r="C55" s="13">
        <v>353.000700970075</v>
      </c>
    </row>
    <row r="56" spans="1:3" x14ac:dyDescent="0.25">
      <c r="A56" s="13">
        <v>1997</v>
      </c>
      <c r="B56" s="13">
        <v>7</v>
      </c>
      <c r="C56" s="13">
        <v>361.57532271039503</v>
      </c>
    </row>
    <row r="57" spans="1:3" x14ac:dyDescent="0.25">
      <c r="A57" s="13">
        <v>1997</v>
      </c>
      <c r="B57" s="13">
        <v>8</v>
      </c>
      <c r="C57" s="13">
        <v>338.239300209688</v>
      </c>
    </row>
    <row r="58" spans="1:3" x14ac:dyDescent="0.25">
      <c r="A58" s="13">
        <v>1997</v>
      </c>
      <c r="B58" s="13">
        <v>9</v>
      </c>
      <c r="C58" s="13">
        <v>352.89847334657497</v>
      </c>
    </row>
    <row r="59" spans="1:3" x14ac:dyDescent="0.25">
      <c r="A59" s="13">
        <v>1997</v>
      </c>
      <c r="B59" s="13">
        <v>10</v>
      </c>
      <c r="C59" s="13">
        <v>356.330211963377</v>
      </c>
    </row>
    <row r="60" spans="1:3" x14ac:dyDescent="0.25">
      <c r="A60" s="13">
        <v>1997</v>
      </c>
      <c r="B60" s="13">
        <v>11</v>
      </c>
      <c r="C60" s="13">
        <v>348.63731168638799</v>
      </c>
    </row>
    <row r="61" spans="1:3" x14ac:dyDescent="0.25">
      <c r="A61" s="13">
        <v>1997</v>
      </c>
      <c r="B61" s="13">
        <v>12</v>
      </c>
      <c r="C61" s="13">
        <v>358.22817958351101</v>
      </c>
    </row>
    <row r="62" spans="1:3" x14ac:dyDescent="0.25">
      <c r="A62" s="13">
        <v>1998</v>
      </c>
      <c r="B62" s="13">
        <v>1</v>
      </c>
      <c r="C62" s="13">
        <v>374.623465338215</v>
      </c>
    </row>
    <row r="63" spans="1:3" x14ac:dyDescent="0.25">
      <c r="A63" s="13">
        <v>1998</v>
      </c>
      <c r="B63" s="13">
        <v>2</v>
      </c>
      <c r="C63" s="13">
        <v>387.94010215024201</v>
      </c>
    </row>
    <row r="64" spans="1:3" x14ac:dyDescent="0.25">
      <c r="A64" s="13">
        <v>1998</v>
      </c>
      <c r="B64" s="13">
        <v>3</v>
      </c>
      <c r="C64" s="13">
        <v>330.01375575538998</v>
      </c>
    </row>
    <row r="65" spans="1:3" x14ac:dyDescent="0.25">
      <c r="A65" s="13">
        <v>1998</v>
      </c>
      <c r="B65" s="13">
        <v>4</v>
      </c>
      <c r="C65" s="13">
        <v>362.32298486480897</v>
      </c>
    </row>
    <row r="66" spans="1:3" x14ac:dyDescent="0.25">
      <c r="A66" s="13">
        <v>1998</v>
      </c>
      <c r="B66" s="13">
        <v>5</v>
      </c>
      <c r="C66" s="13">
        <v>376.75532198936401</v>
      </c>
    </row>
    <row r="67" spans="1:3" x14ac:dyDescent="0.25">
      <c r="A67" s="13">
        <v>1998</v>
      </c>
      <c r="B67" s="13">
        <v>6</v>
      </c>
      <c r="C67" s="13">
        <v>369.79717654929402</v>
      </c>
    </row>
    <row r="68" spans="1:3" x14ac:dyDescent="0.25">
      <c r="A68" s="13">
        <v>1998</v>
      </c>
      <c r="B68" s="13">
        <v>7</v>
      </c>
      <c r="C68" s="13">
        <v>338.480849117199</v>
      </c>
    </row>
    <row r="69" spans="1:3" x14ac:dyDescent="0.25">
      <c r="A69" s="13">
        <v>1998</v>
      </c>
      <c r="B69" s="13">
        <v>8</v>
      </c>
      <c r="C69" s="13">
        <v>366.09985420567398</v>
      </c>
    </row>
    <row r="70" spans="1:3" x14ac:dyDescent="0.25">
      <c r="A70" s="13">
        <v>1998</v>
      </c>
      <c r="B70" s="13">
        <v>9</v>
      </c>
      <c r="C70" s="13">
        <v>341.73399046191599</v>
      </c>
    </row>
    <row r="71" spans="1:3" x14ac:dyDescent="0.25">
      <c r="A71" s="13">
        <v>1998</v>
      </c>
      <c r="B71" s="13">
        <v>10</v>
      </c>
      <c r="C71" s="13">
        <v>336.23608184916901</v>
      </c>
    </row>
    <row r="72" spans="1:3" x14ac:dyDescent="0.25">
      <c r="A72" s="13">
        <v>1998</v>
      </c>
      <c r="B72" s="13">
        <v>11</v>
      </c>
      <c r="C72" s="13">
        <v>329.22371245119803</v>
      </c>
    </row>
    <row r="73" spans="1:3" x14ac:dyDescent="0.25">
      <c r="A73" s="13">
        <v>1998</v>
      </c>
      <c r="B73" s="13">
        <v>12</v>
      </c>
      <c r="C73" s="13">
        <v>310.73728558746097</v>
      </c>
    </row>
    <row r="74" spans="1:3" x14ac:dyDescent="0.25">
      <c r="A74" s="13">
        <v>1999</v>
      </c>
      <c r="B74" s="13">
        <v>1</v>
      </c>
      <c r="C74" s="13">
        <v>303.02439782881697</v>
      </c>
    </row>
    <row r="75" spans="1:3" x14ac:dyDescent="0.25">
      <c r="A75" s="13">
        <v>1999</v>
      </c>
      <c r="B75" s="13">
        <v>2</v>
      </c>
      <c r="C75" s="13">
        <v>293.96255462243801</v>
      </c>
    </row>
    <row r="76" spans="1:3" x14ac:dyDescent="0.25">
      <c r="A76" s="13">
        <v>1999</v>
      </c>
      <c r="B76" s="13">
        <v>3</v>
      </c>
      <c r="C76" s="13">
        <v>278.34733305298198</v>
      </c>
    </row>
    <row r="77" spans="1:3" x14ac:dyDescent="0.25">
      <c r="A77" s="13">
        <v>1999</v>
      </c>
      <c r="B77" s="13">
        <v>4</v>
      </c>
      <c r="C77" s="13">
        <v>287.86792744558397</v>
      </c>
    </row>
    <row r="78" spans="1:3" x14ac:dyDescent="0.25">
      <c r="A78" s="13">
        <v>1999</v>
      </c>
      <c r="B78" s="13">
        <v>5</v>
      </c>
      <c r="C78" s="13">
        <v>302.35501541784402</v>
      </c>
    </row>
    <row r="79" spans="1:3" x14ac:dyDescent="0.25">
      <c r="A79" s="13">
        <v>1999</v>
      </c>
      <c r="B79" s="13">
        <v>6</v>
      </c>
      <c r="C79" s="13">
        <v>309.76262772715</v>
      </c>
    </row>
    <row r="80" spans="1:3" x14ac:dyDescent="0.25">
      <c r="A80" s="13">
        <v>1999</v>
      </c>
      <c r="B80" s="13">
        <v>7</v>
      </c>
      <c r="C80" s="13">
        <v>330.93600159539602</v>
      </c>
    </row>
    <row r="81" spans="1:3" x14ac:dyDescent="0.25">
      <c r="A81" s="13">
        <v>1999</v>
      </c>
      <c r="B81" s="13">
        <v>8</v>
      </c>
      <c r="C81" s="13">
        <v>327.574964468122</v>
      </c>
    </row>
    <row r="82" spans="1:3" x14ac:dyDescent="0.25">
      <c r="A82" s="13">
        <v>1999</v>
      </c>
      <c r="B82" s="13">
        <v>9</v>
      </c>
      <c r="C82" s="13">
        <v>335.04733690984</v>
      </c>
    </row>
    <row r="83" spans="1:3" x14ac:dyDescent="0.25">
      <c r="A83" s="13">
        <v>1999</v>
      </c>
      <c r="B83" s="13">
        <v>10</v>
      </c>
      <c r="C83" s="13">
        <v>337.65427146273998</v>
      </c>
    </row>
    <row r="84" spans="1:3" x14ac:dyDescent="0.25">
      <c r="A84" s="13">
        <v>1999</v>
      </c>
      <c r="B84" s="13">
        <v>11</v>
      </c>
      <c r="C84" s="13">
        <v>351.00221517469799</v>
      </c>
    </row>
    <row r="85" spans="1:3" x14ac:dyDescent="0.25">
      <c r="A85" s="13">
        <v>1999</v>
      </c>
      <c r="B85" s="13">
        <v>12</v>
      </c>
      <c r="C85" s="13">
        <v>357.79574791555399</v>
      </c>
    </row>
    <row r="86" spans="1:3" x14ac:dyDescent="0.25">
      <c r="A86" s="13">
        <v>2000</v>
      </c>
      <c r="B86" s="13">
        <v>1</v>
      </c>
      <c r="C86" s="13">
        <v>354.32989623559803</v>
      </c>
    </row>
    <row r="87" spans="1:3" x14ac:dyDescent="0.25">
      <c r="A87" s="13">
        <v>2000</v>
      </c>
      <c r="B87" s="13">
        <v>2</v>
      </c>
      <c r="C87" s="13">
        <v>339.62529147530398</v>
      </c>
    </row>
    <row r="88" spans="1:3" x14ac:dyDescent="0.25">
      <c r="A88" s="13">
        <v>2000</v>
      </c>
      <c r="B88" s="13">
        <v>3</v>
      </c>
      <c r="C88" s="13">
        <v>385.90088375483799</v>
      </c>
    </row>
    <row r="89" spans="1:3" x14ac:dyDescent="0.25">
      <c r="A89" s="13">
        <v>2000</v>
      </c>
      <c r="B89" s="13">
        <v>4</v>
      </c>
      <c r="C89" s="13">
        <v>367.75215975720499</v>
      </c>
    </row>
    <row r="90" spans="1:3" x14ac:dyDescent="0.25">
      <c r="A90" s="13">
        <v>2000</v>
      </c>
      <c r="B90" s="13">
        <v>5</v>
      </c>
      <c r="C90" s="13">
        <v>336.46363414193303</v>
      </c>
    </row>
    <row r="91" spans="1:3" x14ac:dyDescent="0.25">
      <c r="A91" s="13">
        <v>2000</v>
      </c>
      <c r="B91" s="13">
        <v>6</v>
      </c>
      <c r="C91" s="13">
        <v>338.89786383906602</v>
      </c>
    </row>
    <row r="92" spans="1:3" x14ac:dyDescent="0.25">
      <c r="A92" s="13">
        <v>2000</v>
      </c>
      <c r="B92" s="13">
        <v>7</v>
      </c>
      <c r="C92" s="13">
        <v>358.04109710047101</v>
      </c>
    </row>
    <row r="93" spans="1:3" x14ac:dyDescent="0.25">
      <c r="A93" s="13">
        <v>2000</v>
      </c>
      <c r="B93" s="13">
        <v>8</v>
      </c>
      <c r="C93" s="13">
        <v>375.41879187969403</v>
      </c>
    </row>
    <row r="94" spans="1:3" x14ac:dyDescent="0.25">
      <c r="A94" s="13">
        <v>2000</v>
      </c>
      <c r="B94" s="13">
        <v>9</v>
      </c>
      <c r="C94" s="13">
        <v>394.88545022834597</v>
      </c>
    </row>
    <row r="95" spans="1:3" x14ac:dyDescent="0.25">
      <c r="A95" s="13">
        <v>2000</v>
      </c>
      <c r="B95" s="13">
        <v>10</v>
      </c>
      <c r="C95" s="13">
        <v>391.31439915781698</v>
      </c>
    </row>
    <row r="96" spans="1:3" x14ac:dyDescent="0.25">
      <c r="A96" s="13">
        <v>2000</v>
      </c>
      <c r="B96" s="13">
        <v>11</v>
      </c>
      <c r="C96" s="13">
        <v>401.212723115031</v>
      </c>
    </row>
    <row r="97" spans="1:3" x14ac:dyDescent="0.25">
      <c r="A97" s="13">
        <v>2000</v>
      </c>
      <c r="B97" s="13">
        <v>12</v>
      </c>
      <c r="C97" s="13">
        <v>412.53201960052797</v>
      </c>
    </row>
    <row r="98" spans="1:3" x14ac:dyDescent="0.25">
      <c r="A98" s="13">
        <v>2001</v>
      </c>
      <c r="B98" s="13">
        <v>1</v>
      </c>
      <c r="C98" s="13">
        <v>381.98469047150201</v>
      </c>
    </row>
    <row r="99" spans="1:3" x14ac:dyDescent="0.25">
      <c r="A99" s="13">
        <v>2001</v>
      </c>
      <c r="B99" s="13">
        <v>2</v>
      </c>
      <c r="C99" s="13">
        <v>363.331886155559</v>
      </c>
    </row>
    <row r="100" spans="1:3" x14ac:dyDescent="0.25">
      <c r="A100" s="13">
        <v>2001</v>
      </c>
      <c r="B100" s="13">
        <v>3</v>
      </c>
      <c r="C100" s="13">
        <v>381.14640838980199</v>
      </c>
    </row>
    <row r="101" spans="1:3" x14ac:dyDescent="0.25">
      <c r="A101" s="13">
        <v>2001</v>
      </c>
      <c r="B101" s="13">
        <v>4</v>
      </c>
      <c r="C101" s="13">
        <v>374.67431155016698</v>
      </c>
    </row>
    <row r="102" spans="1:3" x14ac:dyDescent="0.25">
      <c r="A102" s="13">
        <v>2001</v>
      </c>
      <c r="B102" s="13">
        <v>5</v>
      </c>
      <c r="C102" s="13">
        <v>377.358834964773</v>
      </c>
    </row>
    <row r="103" spans="1:3" x14ac:dyDescent="0.25">
      <c r="A103" s="13">
        <v>2001</v>
      </c>
      <c r="B103" s="13">
        <v>6</v>
      </c>
      <c r="C103" s="13">
        <v>376.82048085915301</v>
      </c>
    </row>
    <row r="104" spans="1:3" x14ac:dyDescent="0.25">
      <c r="A104" s="13">
        <v>2001</v>
      </c>
      <c r="B104" s="13">
        <v>7</v>
      </c>
      <c r="C104" s="13">
        <v>349.00484104478699</v>
      </c>
    </row>
    <row r="105" spans="1:3" x14ac:dyDescent="0.25">
      <c r="A105" s="13">
        <v>2001</v>
      </c>
      <c r="B105" s="13">
        <v>8</v>
      </c>
      <c r="C105" s="13">
        <v>255.222482363284</v>
      </c>
    </row>
    <row r="106" spans="1:3" x14ac:dyDescent="0.25">
      <c r="A106" s="13">
        <v>2001</v>
      </c>
      <c r="B106" s="13">
        <v>9</v>
      </c>
      <c r="C106" s="13">
        <v>339.50243702999501</v>
      </c>
    </row>
    <row r="107" spans="1:3" x14ac:dyDescent="0.25">
      <c r="A107" s="13">
        <v>2001</v>
      </c>
      <c r="B107" s="13">
        <v>10</v>
      </c>
      <c r="C107" s="13">
        <v>313.78236365781299</v>
      </c>
    </row>
    <row r="108" spans="1:3" x14ac:dyDescent="0.25">
      <c r="A108" s="13">
        <v>2001</v>
      </c>
      <c r="B108" s="13">
        <v>11</v>
      </c>
      <c r="C108" s="13">
        <v>308.79144565300902</v>
      </c>
    </row>
    <row r="109" spans="1:3" x14ac:dyDescent="0.25">
      <c r="A109" s="13">
        <v>2001</v>
      </c>
      <c r="B109" s="13">
        <v>12</v>
      </c>
      <c r="C109" s="13">
        <v>299.66158861902898</v>
      </c>
    </row>
    <row r="110" spans="1:3" x14ac:dyDescent="0.25">
      <c r="A110" s="13">
        <v>2002</v>
      </c>
      <c r="B110" s="13">
        <v>1</v>
      </c>
      <c r="C110" s="13">
        <v>309.46401686384598</v>
      </c>
    </row>
    <row r="111" spans="1:3" x14ac:dyDescent="0.25">
      <c r="A111" s="13">
        <v>2002</v>
      </c>
      <c r="B111" s="13">
        <v>2</v>
      </c>
      <c r="C111" s="13">
        <v>347.98782939343499</v>
      </c>
    </row>
    <row r="112" spans="1:3" x14ac:dyDescent="0.25">
      <c r="A112" s="13">
        <v>2002</v>
      </c>
      <c r="B112" s="13">
        <v>3</v>
      </c>
      <c r="C112" s="13">
        <v>331.27954159630298</v>
      </c>
    </row>
    <row r="113" spans="1:3" x14ac:dyDescent="0.25">
      <c r="A113" s="13">
        <v>2002</v>
      </c>
      <c r="B113" s="13">
        <v>4</v>
      </c>
      <c r="C113" s="13">
        <v>379.93694238278601</v>
      </c>
    </row>
    <row r="114" spans="1:3" x14ac:dyDescent="0.25">
      <c r="A114" s="13">
        <v>2002</v>
      </c>
      <c r="B114" s="13">
        <v>5</v>
      </c>
      <c r="C114" s="13">
        <v>368.19685495218999</v>
      </c>
    </row>
    <row r="115" spans="1:3" x14ac:dyDescent="0.25">
      <c r="A115" s="13">
        <v>2002</v>
      </c>
      <c r="B115" s="13">
        <v>6</v>
      </c>
      <c r="C115" s="13">
        <v>358.728685097035</v>
      </c>
    </row>
    <row r="116" spans="1:3" x14ac:dyDescent="0.25">
      <c r="A116" s="13">
        <v>2002</v>
      </c>
      <c r="B116" s="13">
        <v>7</v>
      </c>
      <c r="C116" s="13">
        <v>368.84679639960399</v>
      </c>
    </row>
    <row r="117" spans="1:3" x14ac:dyDescent="0.25">
      <c r="A117" s="13">
        <v>2002</v>
      </c>
      <c r="B117" s="13">
        <v>8</v>
      </c>
      <c r="C117" s="13">
        <v>375.15151450285299</v>
      </c>
    </row>
    <row r="118" spans="1:3" x14ac:dyDescent="0.25">
      <c r="A118" s="13">
        <v>2002</v>
      </c>
      <c r="B118" s="13">
        <v>9</v>
      </c>
      <c r="C118" s="13">
        <v>383.88309785559602</v>
      </c>
    </row>
    <row r="119" spans="1:3" x14ac:dyDescent="0.25">
      <c r="A119" s="13">
        <v>2002</v>
      </c>
      <c r="B119" s="13">
        <v>10</v>
      </c>
      <c r="C119" s="13">
        <v>388.04974763157998</v>
      </c>
    </row>
    <row r="120" spans="1:3" x14ac:dyDescent="0.25">
      <c r="A120" s="13">
        <v>2002</v>
      </c>
      <c r="B120" s="13">
        <v>11</v>
      </c>
      <c r="C120" s="13">
        <v>370.30610226112702</v>
      </c>
    </row>
    <row r="121" spans="1:3" x14ac:dyDescent="0.25">
      <c r="A121" s="13">
        <v>2002</v>
      </c>
      <c r="B121" s="13">
        <v>12</v>
      </c>
      <c r="C121" s="13">
        <v>391.969214139602</v>
      </c>
    </row>
    <row r="122" spans="1:3" x14ac:dyDescent="0.25">
      <c r="A122" s="13">
        <v>2003</v>
      </c>
      <c r="B122" s="13">
        <v>1</v>
      </c>
      <c r="C122" s="13">
        <v>416.31478350103998</v>
      </c>
    </row>
    <row r="123" spans="1:3" x14ac:dyDescent="0.25">
      <c r="A123" s="13">
        <v>2003</v>
      </c>
      <c r="B123" s="13">
        <v>2</v>
      </c>
      <c r="C123" s="13">
        <v>422.00712279271301</v>
      </c>
    </row>
    <row r="124" spans="1:3" x14ac:dyDescent="0.25">
      <c r="A124" s="13">
        <v>2003</v>
      </c>
      <c r="B124" s="13">
        <v>3</v>
      </c>
      <c r="C124" s="13">
        <v>434.772902568841</v>
      </c>
    </row>
    <row r="125" spans="1:3" x14ac:dyDescent="0.25">
      <c r="A125" s="13">
        <v>2003</v>
      </c>
      <c r="B125" s="13">
        <v>4</v>
      </c>
      <c r="C125" s="13">
        <v>418.87038734220198</v>
      </c>
    </row>
    <row r="126" spans="1:3" x14ac:dyDescent="0.25">
      <c r="A126" s="13">
        <v>2003</v>
      </c>
      <c r="B126" s="13">
        <v>5</v>
      </c>
      <c r="C126" s="13">
        <v>418.70650346812999</v>
      </c>
    </row>
    <row r="127" spans="1:3" x14ac:dyDescent="0.25">
      <c r="A127" s="13">
        <v>2003</v>
      </c>
      <c r="B127" s="13">
        <v>6</v>
      </c>
      <c r="C127" s="13">
        <v>420.90452156826399</v>
      </c>
    </row>
    <row r="128" spans="1:3" x14ac:dyDescent="0.25">
      <c r="A128" s="13">
        <v>2003</v>
      </c>
      <c r="B128" s="13">
        <v>7</v>
      </c>
      <c r="C128" s="13">
        <v>414.25623824416402</v>
      </c>
    </row>
    <row r="129" spans="1:3" x14ac:dyDescent="0.25">
      <c r="A129" s="13">
        <v>2003</v>
      </c>
      <c r="B129" s="13">
        <v>8</v>
      </c>
      <c r="C129" s="13">
        <v>422.56971470372599</v>
      </c>
    </row>
    <row r="130" spans="1:3" x14ac:dyDescent="0.25">
      <c r="A130" s="13">
        <v>2003</v>
      </c>
      <c r="B130" s="13">
        <v>9</v>
      </c>
      <c r="C130" s="13">
        <v>411.634317438469</v>
      </c>
    </row>
    <row r="131" spans="1:3" x14ac:dyDescent="0.25">
      <c r="A131" s="13">
        <v>2003</v>
      </c>
      <c r="B131" s="13">
        <v>10</v>
      </c>
      <c r="C131" s="13">
        <v>422.39093133811002</v>
      </c>
    </row>
    <row r="132" spans="1:3" x14ac:dyDescent="0.25">
      <c r="A132" s="13">
        <v>2003</v>
      </c>
      <c r="B132" s="13">
        <v>11</v>
      </c>
      <c r="C132" s="13">
        <v>416.555763351552</v>
      </c>
    </row>
    <row r="133" spans="1:3" x14ac:dyDescent="0.25">
      <c r="A133" s="13">
        <v>2003</v>
      </c>
      <c r="B133" s="13">
        <v>12</v>
      </c>
      <c r="C133" s="13">
        <v>425.60360063960002</v>
      </c>
    </row>
    <row r="134" spans="1:3" x14ac:dyDescent="0.25">
      <c r="A134" s="13">
        <v>2004</v>
      </c>
      <c r="B134" s="13">
        <v>1</v>
      </c>
      <c r="C134" s="13">
        <v>439.33286438244102</v>
      </c>
    </row>
    <row r="135" spans="1:3" x14ac:dyDescent="0.25">
      <c r="A135" s="13">
        <v>2004</v>
      </c>
      <c r="B135" s="13">
        <v>2</v>
      </c>
      <c r="C135" s="13">
        <v>408.96967303203098</v>
      </c>
    </row>
    <row r="136" spans="1:3" x14ac:dyDescent="0.25">
      <c r="A136" s="13">
        <v>2004</v>
      </c>
      <c r="B136" s="13">
        <v>3</v>
      </c>
      <c r="C136" s="13">
        <v>403.68684007945598</v>
      </c>
    </row>
    <row r="137" spans="1:3" x14ac:dyDescent="0.25">
      <c r="A137" s="13">
        <v>2004</v>
      </c>
      <c r="B137" s="13">
        <v>4</v>
      </c>
      <c r="C137" s="13">
        <v>400.90918034197</v>
      </c>
    </row>
    <row r="138" spans="1:3" x14ac:dyDescent="0.25">
      <c r="A138" s="13">
        <v>2004</v>
      </c>
      <c r="B138" s="13">
        <v>5</v>
      </c>
      <c r="C138" s="13">
        <v>403.91151870221103</v>
      </c>
    </row>
    <row r="139" spans="1:3" x14ac:dyDescent="0.25">
      <c r="A139" s="13">
        <v>2004</v>
      </c>
      <c r="B139" s="13">
        <v>6</v>
      </c>
      <c r="C139" s="13">
        <v>410.03371810209899</v>
      </c>
    </row>
    <row r="140" spans="1:3" x14ac:dyDescent="0.25">
      <c r="A140" s="13">
        <v>2004</v>
      </c>
      <c r="B140" s="13">
        <v>7</v>
      </c>
      <c r="C140" s="13">
        <v>423.43431803686099</v>
      </c>
    </row>
    <row r="141" spans="1:3" x14ac:dyDescent="0.25">
      <c r="A141" s="13">
        <v>2004</v>
      </c>
      <c r="B141" s="13">
        <v>8</v>
      </c>
      <c r="C141" s="13">
        <v>414.58588237767202</v>
      </c>
    </row>
    <row r="142" spans="1:3" x14ac:dyDescent="0.25">
      <c r="A142" s="13">
        <v>2004</v>
      </c>
      <c r="B142" s="13">
        <v>9</v>
      </c>
      <c r="C142" s="13">
        <v>420.94101919999599</v>
      </c>
    </row>
    <row r="143" spans="1:3" x14ac:dyDescent="0.25">
      <c r="A143" s="13">
        <v>2004</v>
      </c>
      <c r="B143" s="13">
        <v>10</v>
      </c>
      <c r="C143" s="13">
        <v>448.51645406856602</v>
      </c>
    </row>
    <row r="144" spans="1:3" x14ac:dyDescent="0.25">
      <c r="A144" s="13">
        <v>2004</v>
      </c>
      <c r="B144" s="13">
        <v>11</v>
      </c>
      <c r="C144" s="13">
        <v>465.44274099511699</v>
      </c>
    </row>
    <row r="145" spans="1:3" x14ac:dyDescent="0.25">
      <c r="A145" s="13">
        <v>2004</v>
      </c>
      <c r="B145" s="13">
        <v>12</v>
      </c>
      <c r="C145" s="13">
        <v>466.03160442399002</v>
      </c>
    </row>
    <row r="146" spans="1:3" x14ac:dyDescent="0.25">
      <c r="A146" s="13">
        <v>2005</v>
      </c>
      <c r="B146" s="13">
        <v>1</v>
      </c>
      <c r="C146" s="13">
        <v>467.75181568777799</v>
      </c>
    </row>
    <row r="147" spans="1:3" x14ac:dyDescent="0.25">
      <c r="A147" s="13">
        <v>2005</v>
      </c>
      <c r="B147" s="13">
        <v>2</v>
      </c>
      <c r="C147" s="13">
        <v>453.12621291062698</v>
      </c>
    </row>
    <row r="148" spans="1:3" x14ac:dyDescent="0.25">
      <c r="A148" s="13">
        <v>2005</v>
      </c>
      <c r="B148" s="13">
        <v>3</v>
      </c>
      <c r="C148" s="13">
        <v>447.46183816885298</v>
      </c>
    </row>
    <row r="149" spans="1:3" x14ac:dyDescent="0.25">
      <c r="A149" s="13">
        <v>2005</v>
      </c>
      <c r="B149" s="13">
        <v>4</v>
      </c>
      <c r="C149" s="13">
        <v>454.83636367749</v>
      </c>
    </row>
    <row r="150" spans="1:3" x14ac:dyDescent="0.25">
      <c r="A150" s="13">
        <v>2005</v>
      </c>
      <c r="B150" s="13">
        <v>5</v>
      </c>
      <c r="C150" s="13">
        <v>465.29355424913001</v>
      </c>
    </row>
    <row r="151" spans="1:3" x14ac:dyDescent="0.25">
      <c r="A151" s="13">
        <v>2005</v>
      </c>
      <c r="B151" s="13">
        <v>6</v>
      </c>
      <c r="C151" s="13">
        <v>441.305005226172</v>
      </c>
    </row>
    <row r="152" spans="1:3" x14ac:dyDescent="0.25">
      <c r="A152" s="13">
        <v>2005</v>
      </c>
      <c r="B152" s="13">
        <v>7</v>
      </c>
      <c r="C152" s="13">
        <v>440.58818110752298</v>
      </c>
    </row>
    <row r="153" spans="1:3" x14ac:dyDescent="0.25">
      <c r="A153" s="13">
        <v>2005</v>
      </c>
      <c r="B153" s="13">
        <v>8</v>
      </c>
      <c r="C153" s="13">
        <v>445.67086029543901</v>
      </c>
    </row>
    <row r="154" spans="1:3" x14ac:dyDescent="0.25">
      <c r="A154" s="13">
        <v>2005</v>
      </c>
      <c r="B154" s="13">
        <v>9</v>
      </c>
      <c r="C154" s="13">
        <v>410.526936358331</v>
      </c>
    </row>
    <row r="155" spans="1:3" x14ac:dyDescent="0.25">
      <c r="A155" s="13">
        <v>2005</v>
      </c>
      <c r="B155" s="13">
        <v>10</v>
      </c>
      <c r="C155" s="13">
        <v>417.25884911419502</v>
      </c>
    </row>
    <row r="156" spans="1:3" x14ac:dyDescent="0.25">
      <c r="A156" s="13">
        <v>2005</v>
      </c>
      <c r="B156" s="13">
        <v>11</v>
      </c>
      <c r="C156" s="13">
        <v>465.19024634764401</v>
      </c>
    </row>
    <row r="157" spans="1:3" x14ac:dyDescent="0.25">
      <c r="A157" s="13">
        <v>2005</v>
      </c>
      <c r="B157" s="13">
        <v>12</v>
      </c>
      <c r="C157" s="13">
        <v>481.740621781519</v>
      </c>
    </row>
    <row r="158" spans="1:3" x14ac:dyDescent="0.25">
      <c r="A158" s="13">
        <v>2006</v>
      </c>
      <c r="B158" s="13">
        <v>1</v>
      </c>
      <c r="C158" s="13">
        <v>475.94606794400499</v>
      </c>
    </row>
    <row r="159" spans="1:3" x14ac:dyDescent="0.25">
      <c r="A159" s="13">
        <v>2006</v>
      </c>
      <c r="B159" s="13">
        <v>2</v>
      </c>
      <c r="C159" s="13">
        <v>477.56774787006901</v>
      </c>
    </row>
    <row r="160" spans="1:3" x14ac:dyDescent="0.25">
      <c r="A160" s="13">
        <v>2006</v>
      </c>
      <c r="B160" s="13">
        <v>3</v>
      </c>
      <c r="C160" s="13">
        <v>485.33299089100501</v>
      </c>
    </row>
    <row r="161" spans="1:3" x14ac:dyDescent="0.25">
      <c r="A161" s="13">
        <v>2006</v>
      </c>
      <c r="B161" s="13">
        <v>4</v>
      </c>
      <c r="C161" s="13">
        <v>472.07623093580401</v>
      </c>
    </row>
    <row r="162" spans="1:3" x14ac:dyDescent="0.25">
      <c r="A162" s="13">
        <v>2006</v>
      </c>
      <c r="B162" s="13">
        <v>5</v>
      </c>
      <c r="C162" s="13">
        <v>481.94778608315102</v>
      </c>
    </row>
    <row r="163" spans="1:3" x14ac:dyDescent="0.25">
      <c r="A163" s="13">
        <v>2006</v>
      </c>
      <c r="B163" s="13">
        <v>6</v>
      </c>
      <c r="C163" s="13">
        <v>490.58847970391997</v>
      </c>
    </row>
    <row r="164" spans="1:3" x14ac:dyDescent="0.25">
      <c r="A164" s="13">
        <v>2006</v>
      </c>
      <c r="B164" s="13">
        <v>7</v>
      </c>
      <c r="C164" s="13">
        <v>464.34927059455498</v>
      </c>
    </row>
    <row r="165" spans="1:3" x14ac:dyDescent="0.25">
      <c r="A165" s="13">
        <v>2006</v>
      </c>
      <c r="B165" s="13">
        <v>8</v>
      </c>
      <c r="C165" s="13">
        <v>445.90416608956201</v>
      </c>
    </row>
    <row r="166" spans="1:3" x14ac:dyDescent="0.25">
      <c r="A166" s="13">
        <v>2006</v>
      </c>
      <c r="B166" s="13">
        <v>9</v>
      </c>
      <c r="C166" s="13">
        <v>478.20351247928102</v>
      </c>
    </row>
    <row r="167" spans="1:3" x14ac:dyDescent="0.25">
      <c r="A167" s="13">
        <v>2006</v>
      </c>
      <c r="B167" s="13">
        <v>10</v>
      </c>
      <c r="C167" s="13">
        <v>452.60002436701001</v>
      </c>
    </row>
    <row r="168" spans="1:3" x14ac:dyDescent="0.25">
      <c r="A168" s="13">
        <v>2006</v>
      </c>
      <c r="B168" s="13">
        <v>11</v>
      </c>
      <c r="C168" s="13">
        <v>405.88123105937899</v>
      </c>
    </row>
    <row r="169" spans="1:3" x14ac:dyDescent="0.25">
      <c r="A169" s="13">
        <v>2006</v>
      </c>
      <c r="B169" s="13">
        <v>12</v>
      </c>
      <c r="C169" s="13">
        <v>405.51041334854898</v>
      </c>
    </row>
    <row r="170" spans="1:3" x14ac:dyDescent="0.25">
      <c r="A170" s="13">
        <v>2007</v>
      </c>
      <c r="B170" s="13">
        <v>1</v>
      </c>
      <c r="C170" s="13">
        <v>406.04459886017202</v>
      </c>
    </row>
    <row r="171" spans="1:3" x14ac:dyDescent="0.25">
      <c r="A171" s="13">
        <v>2007</v>
      </c>
      <c r="B171" s="13">
        <v>2</v>
      </c>
      <c r="C171" s="13">
        <v>447.28664574287501</v>
      </c>
    </row>
    <row r="172" spans="1:3" x14ac:dyDescent="0.25">
      <c r="A172" s="13">
        <v>2007</v>
      </c>
      <c r="B172" s="13">
        <v>3</v>
      </c>
      <c r="C172" s="13">
        <v>456.72822812880997</v>
      </c>
    </row>
    <row r="173" spans="1:3" x14ac:dyDescent="0.25">
      <c r="A173" s="13">
        <v>2007</v>
      </c>
      <c r="B173" s="13">
        <v>4</v>
      </c>
      <c r="C173" s="13">
        <v>467.00950922273199</v>
      </c>
    </row>
    <row r="174" spans="1:3" x14ac:dyDescent="0.25">
      <c r="A174" s="13">
        <v>2007</v>
      </c>
      <c r="B174" s="13">
        <v>5</v>
      </c>
      <c r="C174" s="13">
        <v>439.66381269365297</v>
      </c>
    </row>
    <row r="175" spans="1:3" x14ac:dyDescent="0.25">
      <c r="A175" s="13">
        <v>2007</v>
      </c>
      <c r="B175" s="13">
        <v>6</v>
      </c>
      <c r="C175" s="13">
        <v>446.48925758968801</v>
      </c>
    </row>
    <row r="176" spans="1:3" x14ac:dyDescent="0.25">
      <c r="A176" s="13">
        <v>2007</v>
      </c>
      <c r="B176" s="13">
        <v>7</v>
      </c>
      <c r="C176" s="13">
        <v>337.042386666906</v>
      </c>
    </row>
    <row r="177" spans="1:3" x14ac:dyDescent="0.25">
      <c r="A177" s="13">
        <v>2007</v>
      </c>
      <c r="B177" s="13">
        <v>8</v>
      </c>
      <c r="C177" s="13">
        <v>462.165802397584</v>
      </c>
    </row>
    <row r="178" spans="1:3" x14ac:dyDescent="0.25">
      <c r="A178" s="13">
        <v>2007</v>
      </c>
      <c r="B178" s="13">
        <v>9</v>
      </c>
      <c r="C178" s="13">
        <v>466.16914700555299</v>
      </c>
    </row>
    <row r="179" spans="1:3" x14ac:dyDescent="0.25">
      <c r="A179" s="13">
        <v>2007</v>
      </c>
      <c r="B179" s="13">
        <v>10</v>
      </c>
      <c r="C179" s="13">
        <v>463.909739052134</v>
      </c>
    </row>
    <row r="180" spans="1:3" x14ac:dyDescent="0.25">
      <c r="A180" s="13">
        <v>2007</v>
      </c>
      <c r="B180" s="13">
        <v>11</v>
      </c>
      <c r="C180" s="13">
        <v>485.55340821162201</v>
      </c>
    </row>
    <row r="181" spans="1:3" x14ac:dyDescent="0.25">
      <c r="A181" s="13">
        <v>2007</v>
      </c>
      <c r="B181" s="13">
        <v>12</v>
      </c>
      <c r="C181" s="13">
        <v>513.02799832509595</v>
      </c>
    </row>
    <row r="182" spans="1:3" x14ac:dyDescent="0.25">
      <c r="A182" s="13">
        <v>2008</v>
      </c>
      <c r="B182" s="13">
        <v>1</v>
      </c>
      <c r="C182" s="13">
        <v>492.79415394386501</v>
      </c>
    </row>
    <row r="183" spans="1:3" x14ac:dyDescent="0.25">
      <c r="A183" s="13">
        <v>2008</v>
      </c>
      <c r="B183" s="13">
        <v>2</v>
      </c>
      <c r="C183" s="13">
        <v>438.96312456789298</v>
      </c>
    </row>
    <row r="184" spans="1:3" x14ac:dyDescent="0.25">
      <c r="A184" s="13">
        <v>2008</v>
      </c>
      <c r="B184" s="13">
        <v>3</v>
      </c>
      <c r="C184" s="13">
        <v>489.14562500827901</v>
      </c>
    </row>
    <row r="185" spans="1:3" x14ac:dyDescent="0.25">
      <c r="A185" s="13">
        <v>2008</v>
      </c>
      <c r="B185" s="13">
        <v>4</v>
      </c>
      <c r="C185" s="13">
        <v>496.13380987208001</v>
      </c>
    </row>
    <row r="186" spans="1:3" x14ac:dyDescent="0.25">
      <c r="A186" s="13">
        <v>2008</v>
      </c>
      <c r="B186" s="13">
        <v>5</v>
      </c>
      <c r="C186" s="13">
        <v>496.91024690445897</v>
      </c>
    </row>
    <row r="187" spans="1:3" x14ac:dyDescent="0.25">
      <c r="A187" s="13">
        <v>2008</v>
      </c>
      <c r="B187" s="13">
        <v>6</v>
      </c>
      <c r="C187" s="13">
        <v>495.27478449558799</v>
      </c>
    </row>
    <row r="188" spans="1:3" x14ac:dyDescent="0.25">
      <c r="A188" s="13">
        <v>2008</v>
      </c>
      <c r="B188" s="13">
        <v>7</v>
      </c>
      <c r="C188" s="13">
        <v>508.64762851396</v>
      </c>
    </row>
    <row r="189" spans="1:3" x14ac:dyDescent="0.25">
      <c r="A189" s="13">
        <v>2008</v>
      </c>
      <c r="B189" s="13">
        <v>8</v>
      </c>
      <c r="C189" s="13">
        <v>496.56020167939897</v>
      </c>
    </row>
    <row r="190" spans="1:3" x14ac:dyDescent="0.25">
      <c r="A190" s="13">
        <v>2008</v>
      </c>
      <c r="B190" s="13">
        <v>9</v>
      </c>
      <c r="C190" s="13">
        <v>474.55504053904502</v>
      </c>
    </row>
    <row r="191" spans="1:3" x14ac:dyDescent="0.25">
      <c r="A191" s="13">
        <v>2008</v>
      </c>
      <c r="B191" s="13">
        <v>10</v>
      </c>
      <c r="C191" s="13">
        <v>445.81990227449398</v>
      </c>
    </row>
    <row r="192" spans="1:3" x14ac:dyDescent="0.25">
      <c r="A192" s="13">
        <v>2008</v>
      </c>
      <c r="B192" s="13">
        <v>11</v>
      </c>
      <c r="C192" s="13">
        <v>383.11454879031101</v>
      </c>
    </row>
    <row r="193" spans="1:3" x14ac:dyDescent="0.25">
      <c r="A193" s="13">
        <v>2008</v>
      </c>
      <c r="B193" s="13">
        <v>12</v>
      </c>
      <c r="C193" s="13">
        <v>291.03735942732698</v>
      </c>
    </row>
    <row r="194" spans="1:3" x14ac:dyDescent="0.25">
      <c r="A194" s="13">
        <v>2009</v>
      </c>
      <c r="B194" s="13">
        <v>1</v>
      </c>
      <c r="C194" s="13">
        <v>362.61077227262001</v>
      </c>
    </row>
    <row r="195" spans="1:3" x14ac:dyDescent="0.25">
      <c r="A195" s="13">
        <v>2009</v>
      </c>
      <c r="B195" s="13">
        <v>2</v>
      </c>
      <c r="C195" s="13">
        <v>293.42717624899899</v>
      </c>
    </row>
    <row r="196" spans="1:3" x14ac:dyDescent="0.25">
      <c r="A196" s="13">
        <v>2009</v>
      </c>
      <c r="B196" s="13">
        <v>3</v>
      </c>
      <c r="C196" s="13">
        <v>239.987464535459</v>
      </c>
    </row>
    <row r="197" spans="1:3" x14ac:dyDescent="0.25">
      <c r="A197" s="13">
        <v>2009</v>
      </c>
      <c r="B197" s="13">
        <v>4</v>
      </c>
      <c r="C197" s="13">
        <v>274.49573497038801</v>
      </c>
    </row>
    <row r="198" spans="1:3" x14ac:dyDescent="0.25">
      <c r="A198" s="13">
        <v>2009</v>
      </c>
      <c r="B198" s="13">
        <v>5</v>
      </c>
      <c r="C198" s="13">
        <v>266.50578992806999</v>
      </c>
    </row>
    <row r="199" spans="1:3" x14ac:dyDescent="0.25">
      <c r="A199" s="13">
        <v>2009</v>
      </c>
      <c r="B199" s="13">
        <v>6</v>
      </c>
      <c r="C199" s="13">
        <v>314.49063209851801</v>
      </c>
    </row>
    <row r="200" spans="1:3" x14ac:dyDescent="0.25">
      <c r="A200" s="13">
        <v>2009</v>
      </c>
      <c r="B200" s="13">
        <v>7</v>
      </c>
      <c r="C200" s="13">
        <v>336.08221661965803</v>
      </c>
    </row>
    <row r="201" spans="1:3" x14ac:dyDescent="0.25">
      <c r="A201" s="13">
        <v>2009</v>
      </c>
      <c r="B201" s="13">
        <v>8</v>
      </c>
      <c r="C201" s="13">
        <v>341.145130042576</v>
      </c>
    </row>
    <row r="202" spans="1:3" x14ac:dyDescent="0.25">
      <c r="A202" s="13">
        <v>2009</v>
      </c>
      <c r="B202" s="13">
        <v>9</v>
      </c>
      <c r="C202" s="13">
        <v>373.62402583080598</v>
      </c>
    </row>
    <row r="203" spans="1:3" x14ac:dyDescent="0.25">
      <c r="A203" s="13">
        <v>2009</v>
      </c>
      <c r="B203" s="13">
        <v>10</v>
      </c>
      <c r="C203" s="13">
        <v>393.67945918708699</v>
      </c>
    </row>
    <row r="204" spans="1:3" x14ac:dyDescent="0.25">
      <c r="A204" s="13">
        <v>2009</v>
      </c>
      <c r="B204" s="13">
        <v>11</v>
      </c>
      <c r="C204" s="13">
        <v>403.74403317737602</v>
      </c>
    </row>
    <row r="205" spans="1:3" x14ac:dyDescent="0.25">
      <c r="A205" s="13">
        <v>2009</v>
      </c>
      <c r="B205" s="13">
        <v>12</v>
      </c>
      <c r="C205" s="13">
        <v>417.21128754770302</v>
      </c>
    </row>
    <row r="206" spans="1:3" x14ac:dyDescent="0.25">
      <c r="A206" s="13">
        <v>2010</v>
      </c>
      <c r="B206" s="13">
        <v>1</v>
      </c>
      <c r="C206" s="13">
        <v>416.63212429743402</v>
      </c>
    </row>
    <row r="207" spans="1:3" x14ac:dyDescent="0.25">
      <c r="A207" s="13">
        <v>2010</v>
      </c>
      <c r="B207" s="13">
        <v>2</v>
      </c>
      <c r="C207" s="13">
        <v>423.903037735694</v>
      </c>
    </row>
    <row r="208" spans="1:3" x14ac:dyDescent="0.25">
      <c r="A208" s="13">
        <v>2010</v>
      </c>
      <c r="B208" s="13">
        <v>3</v>
      </c>
      <c r="C208" s="13">
        <v>425.32477845359602</v>
      </c>
    </row>
    <row r="209" spans="1:3" x14ac:dyDescent="0.25">
      <c r="A209" s="13">
        <v>2010</v>
      </c>
      <c r="B209" s="13">
        <v>4</v>
      </c>
      <c r="C209" s="13">
        <v>422.93303948142199</v>
      </c>
    </row>
    <row r="210" spans="1:3" x14ac:dyDescent="0.25">
      <c r="A210" s="13">
        <v>2010</v>
      </c>
      <c r="B210" s="13">
        <v>5</v>
      </c>
      <c r="C210" s="13">
        <v>433.61546783427798</v>
      </c>
    </row>
    <row r="211" spans="1:3" x14ac:dyDescent="0.25">
      <c r="A211" s="13">
        <v>2010</v>
      </c>
      <c r="B211" s="13">
        <v>6</v>
      </c>
      <c r="C211" s="13">
        <v>424.662188980319</v>
      </c>
    </row>
    <row r="212" spans="1:3" x14ac:dyDescent="0.25">
      <c r="A212" s="13">
        <v>2010</v>
      </c>
      <c r="B212" s="13">
        <v>7</v>
      </c>
      <c r="C212" s="13">
        <v>419.67018144639798</v>
      </c>
    </row>
    <row r="213" spans="1:3" x14ac:dyDescent="0.25">
      <c r="A213" s="13">
        <v>2010</v>
      </c>
      <c r="B213" s="13">
        <v>8</v>
      </c>
      <c r="C213" s="13">
        <v>443.17244564776001</v>
      </c>
    </row>
    <row r="214" spans="1:3" x14ac:dyDescent="0.25">
      <c r="A214" s="13">
        <v>2010</v>
      </c>
      <c r="B214" s="13">
        <v>9</v>
      </c>
      <c r="C214" s="13">
        <v>432.600460506339</v>
      </c>
    </row>
    <row r="215" spans="1:3" x14ac:dyDescent="0.25">
      <c r="A215" s="13">
        <v>2010</v>
      </c>
      <c r="B215" s="13">
        <v>10</v>
      </c>
      <c r="C215" s="13">
        <v>430.593154069344</v>
      </c>
    </row>
    <row r="216" spans="1:3" x14ac:dyDescent="0.25">
      <c r="A216" s="13">
        <v>2010</v>
      </c>
      <c r="B216" s="13">
        <v>11</v>
      </c>
      <c r="C216" s="13">
        <v>435.02205043751098</v>
      </c>
    </row>
    <row r="217" spans="1:3" x14ac:dyDescent="0.25">
      <c r="A217" s="13">
        <v>2010</v>
      </c>
      <c r="B217" s="13">
        <v>12</v>
      </c>
      <c r="C217" s="13">
        <v>434.531403248554</v>
      </c>
    </row>
    <row r="218" spans="1:3" x14ac:dyDescent="0.25">
      <c r="A218" s="13">
        <v>2011</v>
      </c>
      <c r="B218" s="13">
        <v>1</v>
      </c>
      <c r="C218" s="13">
        <v>437.92493296740997</v>
      </c>
    </row>
    <row r="219" spans="1:3" x14ac:dyDescent="0.25">
      <c r="A219" s="13">
        <v>2011</v>
      </c>
      <c r="B219" s="13">
        <v>2</v>
      </c>
      <c r="C219" s="13">
        <v>492.71456704591401</v>
      </c>
    </row>
    <row r="220" spans="1:3" x14ac:dyDescent="0.25">
      <c r="A220" s="13">
        <v>2011</v>
      </c>
      <c r="B220" s="13">
        <v>3</v>
      </c>
      <c r="C220" s="13">
        <v>454.826456739663</v>
      </c>
    </row>
    <row r="221" spans="1:3" x14ac:dyDescent="0.25">
      <c r="A221" s="13">
        <v>2011</v>
      </c>
      <c r="B221" s="13">
        <v>4</v>
      </c>
      <c r="C221" s="13">
        <v>467.57157127144001</v>
      </c>
    </row>
    <row r="222" spans="1:3" x14ac:dyDescent="0.25">
      <c r="A222" s="13">
        <v>2011</v>
      </c>
      <c r="B222" s="13">
        <v>5</v>
      </c>
      <c r="C222" s="13">
        <v>487.98627762054002</v>
      </c>
    </row>
    <row r="223" spans="1:3" x14ac:dyDescent="0.25">
      <c r="A223" s="13">
        <v>2011</v>
      </c>
      <c r="B223" s="13">
        <v>6</v>
      </c>
      <c r="C223" s="13">
        <v>473.40511916292201</v>
      </c>
    </row>
    <row r="224" spans="1:3" x14ac:dyDescent="0.25">
      <c r="A224" s="13">
        <v>2011</v>
      </c>
      <c r="B224" s="13">
        <v>7</v>
      </c>
      <c r="C224" s="13">
        <v>476.02207777863299</v>
      </c>
    </row>
    <row r="225" spans="1:3" x14ac:dyDescent="0.25">
      <c r="A225" s="13">
        <v>2011</v>
      </c>
      <c r="B225" s="13">
        <v>8</v>
      </c>
      <c r="C225" s="13">
        <v>460.73087820884302</v>
      </c>
    </row>
    <row r="226" spans="1:3" x14ac:dyDescent="0.25">
      <c r="A226" s="13">
        <v>2011</v>
      </c>
      <c r="B226" s="13">
        <v>9</v>
      </c>
      <c r="C226" s="13">
        <v>454.24146990214098</v>
      </c>
    </row>
    <row r="227" spans="1:3" x14ac:dyDescent="0.25">
      <c r="A227" s="13">
        <v>2011</v>
      </c>
      <c r="B227" s="13">
        <v>10</v>
      </c>
      <c r="C227" s="13">
        <v>467.93453307537197</v>
      </c>
    </row>
    <row r="228" spans="1:3" x14ac:dyDescent="0.25">
      <c r="A228" s="13">
        <v>2011</v>
      </c>
      <c r="B228" s="13">
        <v>11</v>
      </c>
      <c r="C228" s="13">
        <v>468.47265276777</v>
      </c>
    </row>
    <row r="229" spans="1:3" x14ac:dyDescent="0.25">
      <c r="A229" s="13">
        <v>2011</v>
      </c>
      <c r="B229" s="13">
        <v>12</v>
      </c>
      <c r="C229" s="13">
        <v>474.50507967175798</v>
      </c>
    </row>
    <row r="230" spans="1:3" x14ac:dyDescent="0.25">
      <c r="A230" s="13">
        <v>2012</v>
      </c>
      <c r="B230" s="13">
        <v>1</v>
      </c>
      <c r="C230" s="13">
        <v>469.99023127647803</v>
      </c>
    </row>
    <row r="231" spans="1:3" x14ac:dyDescent="0.25">
      <c r="A231" s="13">
        <v>2012</v>
      </c>
      <c r="B231" s="13">
        <v>2</v>
      </c>
      <c r="C231" s="13">
        <v>473.730791811443</v>
      </c>
    </row>
    <row r="232" spans="1:3" x14ac:dyDescent="0.25">
      <c r="A232" s="13">
        <v>2012</v>
      </c>
      <c r="B232" s="13">
        <v>3</v>
      </c>
      <c r="C232" s="13">
        <v>481.61348545897602</v>
      </c>
    </row>
    <row r="233" spans="1:3" x14ac:dyDescent="0.25">
      <c r="A233" s="13">
        <v>2012</v>
      </c>
      <c r="B233" s="13">
        <v>4</v>
      </c>
      <c r="C233" s="13">
        <v>473.27280388199102</v>
      </c>
    </row>
    <row r="234" spans="1:3" x14ac:dyDescent="0.25">
      <c r="A234" s="13">
        <v>2012</v>
      </c>
      <c r="B234" s="13">
        <v>5</v>
      </c>
      <c r="C234" s="13">
        <v>449.20669649127098</v>
      </c>
    </row>
    <row r="235" spans="1:3" x14ac:dyDescent="0.25">
      <c r="A235" s="13">
        <v>2012</v>
      </c>
      <c r="B235" s="13">
        <v>6</v>
      </c>
      <c r="C235" s="13">
        <v>451.65762543958601</v>
      </c>
    </row>
    <row r="236" spans="1:3" x14ac:dyDescent="0.25">
      <c r="A236" s="13">
        <v>2012</v>
      </c>
      <c r="B236" s="13">
        <v>7</v>
      </c>
      <c r="C236" s="13">
        <v>331.59613289663201</v>
      </c>
    </row>
    <row r="237" spans="1:3" x14ac:dyDescent="0.25">
      <c r="A237" s="13">
        <v>2012</v>
      </c>
      <c r="B237" s="13">
        <v>8</v>
      </c>
      <c r="C237" s="13">
        <v>352.43452815508198</v>
      </c>
    </row>
    <row r="238" spans="1:3" x14ac:dyDescent="0.25">
      <c r="A238" s="13">
        <v>2012</v>
      </c>
      <c r="B238" s="13">
        <v>9</v>
      </c>
      <c r="C238" s="13">
        <v>377.95894881209699</v>
      </c>
    </row>
    <row r="239" spans="1:3" x14ac:dyDescent="0.25">
      <c r="A239" s="13">
        <v>2012</v>
      </c>
      <c r="B239" s="13">
        <v>10</v>
      </c>
      <c r="C239" s="13">
        <v>376.727053186771</v>
      </c>
    </row>
    <row r="240" spans="1:3" x14ac:dyDescent="0.25">
      <c r="A240" s="13">
        <v>2012</v>
      </c>
      <c r="B240" s="13">
        <v>11</v>
      </c>
      <c r="C240" s="13">
        <v>380.004303506052</v>
      </c>
    </row>
    <row r="241" spans="1:3" x14ac:dyDescent="0.25">
      <c r="A241" s="13">
        <v>2012</v>
      </c>
      <c r="B241" s="13">
        <v>12</v>
      </c>
      <c r="C241" s="13">
        <v>349.82757257097199</v>
      </c>
    </row>
    <row r="242" spans="1:3" x14ac:dyDescent="0.25">
      <c r="A242" s="13">
        <v>2013</v>
      </c>
      <c r="B242" s="13">
        <v>1</v>
      </c>
      <c r="C242" s="13">
        <v>388.02179752348798</v>
      </c>
    </row>
    <row r="243" spans="1:3" x14ac:dyDescent="0.25">
      <c r="A243" s="13">
        <v>2013</v>
      </c>
      <c r="B243" s="13">
        <v>2</v>
      </c>
      <c r="C243" s="13">
        <v>384.99187745217</v>
      </c>
    </row>
    <row r="244" spans="1:3" x14ac:dyDescent="0.25">
      <c r="A244" s="13">
        <v>2013</v>
      </c>
      <c r="B244" s="13">
        <v>3</v>
      </c>
      <c r="C244" s="13">
        <v>453.63570059517599</v>
      </c>
    </row>
    <row r="245" spans="1:3" x14ac:dyDescent="0.25">
      <c r="A245" s="13">
        <v>2013</v>
      </c>
      <c r="B245" s="13">
        <v>4</v>
      </c>
      <c r="C245" s="13">
        <v>424.39057712373199</v>
      </c>
    </row>
    <row r="246" spans="1:3" x14ac:dyDescent="0.25">
      <c r="A246" s="13">
        <v>2013</v>
      </c>
      <c r="B246" s="13">
        <v>5</v>
      </c>
      <c r="C246" s="13">
        <v>439.95609176814401</v>
      </c>
    </row>
    <row r="247" spans="1:3" x14ac:dyDescent="0.25">
      <c r="A247" s="13">
        <v>2013</v>
      </c>
      <c r="B247" s="13">
        <v>6</v>
      </c>
      <c r="C247" s="13">
        <v>413.96017394941401</v>
      </c>
    </row>
    <row r="248" spans="1:3" x14ac:dyDescent="0.25">
      <c r="A248" s="13">
        <v>2013</v>
      </c>
      <c r="B248" s="13">
        <v>7</v>
      </c>
      <c r="C248" s="13">
        <v>449.74485585308798</v>
      </c>
    </row>
    <row r="249" spans="1:3" x14ac:dyDescent="0.25">
      <c r="A249" s="13">
        <v>2013</v>
      </c>
      <c r="B249" s="13">
        <v>8</v>
      </c>
      <c r="C249" s="13">
        <v>452.04607836660699</v>
      </c>
    </row>
    <row r="250" spans="1:3" x14ac:dyDescent="0.25">
      <c r="A250" s="13">
        <v>2013</v>
      </c>
      <c r="B250" s="13">
        <v>9</v>
      </c>
      <c r="C250" s="13">
        <v>446.24052332730503</v>
      </c>
    </row>
    <row r="251" spans="1:3" x14ac:dyDescent="0.25">
      <c r="A251" s="13">
        <v>2013</v>
      </c>
      <c r="B251" s="13">
        <v>10</v>
      </c>
      <c r="C251" s="13">
        <v>439.93797895073197</v>
      </c>
    </row>
    <row r="252" spans="1:3" x14ac:dyDescent="0.25">
      <c r="A252" s="13">
        <v>2013</v>
      </c>
      <c r="B252" s="13">
        <v>11</v>
      </c>
      <c r="C252" s="13">
        <v>453.61112578490003</v>
      </c>
    </row>
    <row r="253" spans="1:3" x14ac:dyDescent="0.25">
      <c r="A253" s="13">
        <v>2013</v>
      </c>
      <c r="B253" s="13">
        <v>12</v>
      </c>
      <c r="C253" s="13">
        <v>448.88069249612897</v>
      </c>
    </row>
    <row r="254" spans="1:3" x14ac:dyDescent="0.25">
      <c r="A254" s="13">
        <v>2014</v>
      </c>
      <c r="B254" s="13">
        <v>1</v>
      </c>
      <c r="C254" s="13">
        <v>459.75427694297701</v>
      </c>
    </row>
    <row r="255" spans="1:3" x14ac:dyDescent="0.25">
      <c r="A255" s="13">
        <v>2014</v>
      </c>
      <c r="B255" s="13">
        <v>2</v>
      </c>
      <c r="C255" s="13">
        <v>445.594568006673</v>
      </c>
    </row>
    <row r="256" spans="1:3" x14ac:dyDescent="0.25">
      <c r="A256" s="13">
        <v>2014</v>
      </c>
      <c r="B256" s="13">
        <v>3</v>
      </c>
      <c r="C256" s="13">
        <v>458.525566336731</v>
      </c>
    </row>
    <row r="257" spans="1:3" x14ac:dyDescent="0.25">
      <c r="A257" s="13">
        <v>2014</v>
      </c>
      <c r="B257" s="13">
        <v>4</v>
      </c>
      <c r="C257" s="13">
        <v>486.10402592177502</v>
      </c>
    </row>
    <row r="258" spans="1:3" x14ac:dyDescent="0.25">
      <c r="A258" s="13">
        <v>2014</v>
      </c>
      <c r="B258" s="13">
        <v>5</v>
      </c>
      <c r="C258" s="13">
        <v>474.93480034808601</v>
      </c>
    </row>
    <row r="259" spans="1:3" x14ac:dyDescent="0.25">
      <c r="A259" s="13">
        <v>2014</v>
      </c>
      <c r="B259" s="13">
        <v>6</v>
      </c>
      <c r="C259" s="13">
        <v>472.99334578117202</v>
      </c>
    </row>
    <row r="260" spans="1:3" x14ac:dyDescent="0.25">
      <c r="A260" s="13">
        <v>2014</v>
      </c>
      <c r="B260" s="13">
        <v>7</v>
      </c>
      <c r="C260" s="13">
        <v>463.56841678484301</v>
      </c>
    </row>
    <row r="261" spans="1:3" x14ac:dyDescent="0.25">
      <c r="A261" s="13">
        <v>2014</v>
      </c>
      <c r="B261" s="13">
        <v>8</v>
      </c>
      <c r="C261" s="13">
        <v>440.54876853465601</v>
      </c>
    </row>
    <row r="262" spans="1:3" x14ac:dyDescent="0.25">
      <c r="A262" s="13">
        <v>2014</v>
      </c>
      <c r="B262" s="13">
        <v>9</v>
      </c>
      <c r="C262" s="13">
        <v>449.14528580542799</v>
      </c>
    </row>
    <row r="263" spans="1:3" x14ac:dyDescent="0.25">
      <c r="A263" s="13">
        <v>2014</v>
      </c>
      <c r="B263" s="13">
        <v>10</v>
      </c>
      <c r="C263" s="13">
        <v>439.105179532958</v>
      </c>
    </row>
    <row r="264" spans="1:3" x14ac:dyDescent="0.25">
      <c r="A264" s="13">
        <v>2014</v>
      </c>
      <c r="B264" s="13">
        <v>11</v>
      </c>
      <c r="C264" s="13">
        <v>445.66788210520701</v>
      </c>
    </row>
    <row r="265" spans="1:3" x14ac:dyDescent="0.25">
      <c r="A265" s="13">
        <v>2014</v>
      </c>
      <c r="B265" s="13">
        <v>12</v>
      </c>
      <c r="C265" s="13">
        <v>464.45569629419703</v>
      </c>
    </row>
    <row r="266" spans="1:3" x14ac:dyDescent="0.25">
      <c r="A266" s="13">
        <v>2015</v>
      </c>
      <c r="B266" s="13">
        <v>1</v>
      </c>
      <c r="C266" s="13">
        <v>443.09846716530097</v>
      </c>
    </row>
    <row r="267" spans="1:3" x14ac:dyDescent="0.25">
      <c r="A267" s="13">
        <v>2015</v>
      </c>
      <c r="B267" s="13">
        <v>2</v>
      </c>
      <c r="C267" s="13">
        <v>440.086575413623</v>
      </c>
    </row>
    <row r="268" spans="1:3" x14ac:dyDescent="0.25">
      <c r="A268" s="13">
        <v>2015</v>
      </c>
      <c r="B268" s="13">
        <v>3</v>
      </c>
      <c r="C268" s="13">
        <v>416.66831144037701</v>
      </c>
    </row>
    <row r="269" spans="1:3" x14ac:dyDescent="0.25">
      <c r="A269" s="13">
        <v>2015</v>
      </c>
      <c r="B269" s="13">
        <v>4</v>
      </c>
      <c r="C269" s="13">
        <v>387.50947750091802</v>
      </c>
    </row>
    <row r="270" spans="1:3" x14ac:dyDescent="0.25">
      <c r="A270" s="13">
        <v>2015</v>
      </c>
      <c r="B270" s="13">
        <v>5</v>
      </c>
      <c r="C270" s="13">
        <v>404.374751286503</v>
      </c>
    </row>
    <row r="271" spans="1:3" x14ac:dyDescent="0.25">
      <c r="A271" s="13">
        <v>2015</v>
      </c>
      <c r="B271" s="13">
        <v>6</v>
      </c>
      <c r="C271" s="13">
        <v>441.87262134530101</v>
      </c>
    </row>
    <row r="272" spans="1:3" x14ac:dyDescent="0.25">
      <c r="A272" s="13">
        <v>2015</v>
      </c>
      <c r="B272" s="13">
        <v>7</v>
      </c>
      <c r="C272" s="13">
        <v>415.42014297230401</v>
      </c>
    </row>
    <row r="273" spans="1:3" x14ac:dyDescent="0.25">
      <c r="A273" s="13">
        <v>2015</v>
      </c>
      <c r="B273" s="13">
        <v>8</v>
      </c>
      <c r="C273" s="13">
        <v>447.133393998244</v>
      </c>
    </row>
    <row r="274" spans="1:3" x14ac:dyDescent="0.25">
      <c r="A274" s="13">
        <v>2015</v>
      </c>
      <c r="B274" s="13">
        <v>9</v>
      </c>
      <c r="C274" s="13">
        <v>432.92039293338303</v>
      </c>
    </row>
    <row r="275" spans="1:3" x14ac:dyDescent="0.25">
      <c r="A275" s="13">
        <v>2015</v>
      </c>
      <c r="B275" s="13">
        <v>10</v>
      </c>
      <c r="C275" s="13">
        <v>429.46936061424901</v>
      </c>
    </row>
    <row r="276" spans="1:3" x14ac:dyDescent="0.25">
      <c r="A276" s="13">
        <v>2015</v>
      </c>
      <c r="B276" s="13">
        <v>11</v>
      </c>
      <c r="C276" s="13">
        <v>387.35265580465699</v>
      </c>
    </row>
    <row r="277" spans="1:3" x14ac:dyDescent="0.25">
      <c r="A277" s="13">
        <v>2015</v>
      </c>
      <c r="B277" s="13">
        <v>12</v>
      </c>
      <c r="C277" s="13">
        <v>394.67387445884498</v>
      </c>
    </row>
    <row r="278" spans="1:3" x14ac:dyDescent="0.25">
      <c r="A278" s="13">
        <v>2016</v>
      </c>
      <c r="B278" s="13">
        <v>1</v>
      </c>
      <c r="C278" s="13">
        <v>381.33153126783202</v>
      </c>
    </row>
    <row r="279" spans="1:3" x14ac:dyDescent="0.25">
      <c r="A279" s="13">
        <v>2016</v>
      </c>
      <c r="B279" s="13">
        <v>2</v>
      </c>
      <c r="C279" s="13">
        <v>363.91035693847499</v>
      </c>
    </row>
    <row r="280" spans="1:3" x14ac:dyDescent="0.25">
      <c r="A280" s="13">
        <v>2016</v>
      </c>
      <c r="B280" s="13">
        <v>3</v>
      </c>
      <c r="C280" s="13">
        <v>305.76863981853501</v>
      </c>
    </row>
    <row r="281" spans="1:3" x14ac:dyDescent="0.25">
      <c r="A281" s="13">
        <v>2016</v>
      </c>
      <c r="B281" s="13">
        <v>4</v>
      </c>
      <c r="C281" s="13">
        <v>324.12053011175902</v>
      </c>
    </row>
    <row r="282" spans="1:3" x14ac:dyDescent="0.25">
      <c r="A282" s="13">
        <v>2016</v>
      </c>
      <c r="B282" s="13">
        <v>5</v>
      </c>
      <c r="C282" s="13">
        <v>374.70350521642803</v>
      </c>
    </row>
    <row r="283" spans="1:3" x14ac:dyDescent="0.25">
      <c r="A283" s="13">
        <v>2016</v>
      </c>
      <c r="B283" s="13">
        <v>6</v>
      </c>
      <c r="C283" s="13">
        <v>372.30414118724798</v>
      </c>
    </row>
    <row r="284" spans="1:3" x14ac:dyDescent="0.25">
      <c r="A284" s="13">
        <v>2016</v>
      </c>
      <c r="B284" s="13">
        <v>7</v>
      </c>
      <c r="C284" s="13">
        <v>338.62515196114703</v>
      </c>
    </row>
    <row r="285" spans="1:3" x14ac:dyDescent="0.25">
      <c r="A285" s="13">
        <v>2016</v>
      </c>
      <c r="B285" s="13">
        <v>8</v>
      </c>
      <c r="C285" s="13">
        <v>316.05440783469197</v>
      </c>
    </row>
    <row r="286" spans="1:3" x14ac:dyDescent="0.25">
      <c r="A286" s="13">
        <v>2016</v>
      </c>
      <c r="B286" s="13">
        <v>9</v>
      </c>
      <c r="C286" s="13">
        <v>308.45220571652601</v>
      </c>
    </row>
    <row r="287" spans="1:3" x14ac:dyDescent="0.25">
      <c r="A287" s="13">
        <v>2016</v>
      </c>
      <c r="B287" s="13">
        <v>10</v>
      </c>
      <c r="C287" s="13">
        <v>337.91135348585698</v>
      </c>
    </row>
    <row r="288" spans="1:3" x14ac:dyDescent="0.25">
      <c r="A288" s="13">
        <v>2016</v>
      </c>
      <c r="B288" s="13">
        <v>11</v>
      </c>
      <c r="C288" s="13">
        <v>340.788616313349</v>
      </c>
    </row>
    <row r="289" spans="1:3" x14ac:dyDescent="0.25">
      <c r="A289" s="13">
        <v>2016</v>
      </c>
      <c r="B289" s="13">
        <v>12</v>
      </c>
      <c r="C289" s="13">
        <v>339.91709487529999</v>
      </c>
    </row>
    <row r="290" spans="1:3" x14ac:dyDescent="0.25">
      <c r="A290" s="13">
        <v>2017</v>
      </c>
      <c r="B290" s="13">
        <v>1</v>
      </c>
      <c r="C290" s="13">
        <v>337.38537129106402</v>
      </c>
    </row>
    <row r="291" spans="1:3" x14ac:dyDescent="0.25">
      <c r="A291" s="13">
        <v>2017</v>
      </c>
      <c r="B291" s="13">
        <v>2</v>
      </c>
      <c r="C291" s="13">
        <v>363.78076865516698</v>
      </c>
    </row>
    <row r="292" spans="1:3" x14ac:dyDescent="0.25">
      <c r="A292" s="13">
        <v>2017</v>
      </c>
      <c r="B292" s="13">
        <v>3</v>
      </c>
      <c r="C292" s="13">
        <v>381.994860124941</v>
      </c>
    </row>
    <row r="293" spans="1:3" x14ac:dyDescent="0.25">
      <c r="A293" s="13">
        <v>2017</v>
      </c>
      <c r="B293" s="13">
        <v>4</v>
      </c>
      <c r="C293" s="13">
        <v>371.00897603578198</v>
      </c>
    </row>
    <row r="294" spans="1:3" x14ac:dyDescent="0.25">
      <c r="A294" s="13">
        <v>2017</v>
      </c>
      <c r="B294" s="13">
        <v>5</v>
      </c>
      <c r="C294" s="13">
        <v>392.44743732514303</v>
      </c>
    </row>
    <row r="295" spans="1:3" x14ac:dyDescent="0.25">
      <c r="A295" s="13">
        <v>2017</v>
      </c>
      <c r="B295" s="13">
        <v>6</v>
      </c>
      <c r="C295" s="13">
        <v>376.74892722691197</v>
      </c>
    </row>
    <row r="296" spans="1:3" x14ac:dyDescent="0.25">
      <c r="A296" s="13">
        <v>2017</v>
      </c>
      <c r="B296" s="13">
        <v>7</v>
      </c>
      <c r="C296" s="13">
        <v>379.430956328175</v>
      </c>
    </row>
    <row r="297" spans="1:3" x14ac:dyDescent="0.25">
      <c r="A297" s="13">
        <v>2017</v>
      </c>
      <c r="B297" s="13">
        <v>8</v>
      </c>
      <c r="C297" s="13">
        <v>390.09964951428202</v>
      </c>
    </row>
    <row r="298" spans="1:3" x14ac:dyDescent="0.25">
      <c r="A298" s="13">
        <v>2017</v>
      </c>
      <c r="B298" s="13">
        <v>9</v>
      </c>
      <c r="C298" s="13">
        <v>407.53968584386701</v>
      </c>
    </row>
    <row r="299" spans="1:3" x14ac:dyDescent="0.25">
      <c r="A299" s="13">
        <v>2017</v>
      </c>
      <c r="B299" s="13">
        <v>10</v>
      </c>
      <c r="C299" s="13">
        <v>410.53528753269302</v>
      </c>
    </row>
    <row r="300" spans="1:3" x14ac:dyDescent="0.25">
      <c r="A300" s="13">
        <v>2017</v>
      </c>
      <c r="B300" s="13">
        <v>11</v>
      </c>
      <c r="C300" s="13">
        <v>414.03916511914099</v>
      </c>
    </row>
    <row r="301" spans="1:3" x14ac:dyDescent="0.25">
      <c r="A301" s="13">
        <v>2017</v>
      </c>
      <c r="B301" s="13">
        <v>12</v>
      </c>
      <c r="C301" s="13">
        <v>408.893948562042</v>
      </c>
    </row>
    <row r="302" spans="1:3" x14ac:dyDescent="0.25">
      <c r="A302" s="13">
        <v>2018</v>
      </c>
      <c r="B302" s="13">
        <v>1</v>
      </c>
      <c r="C302" s="13">
        <v>384.73301313191598</v>
      </c>
    </row>
    <row r="303" spans="1:3" x14ac:dyDescent="0.25">
      <c r="A303" s="13">
        <v>2018</v>
      </c>
      <c r="B303" s="13">
        <v>2</v>
      </c>
      <c r="C303" s="13">
        <v>477.54990728564201</v>
      </c>
    </row>
    <row r="304" spans="1:3" x14ac:dyDescent="0.25">
      <c r="A304" s="13">
        <v>2018</v>
      </c>
      <c r="B304" s="13">
        <v>3</v>
      </c>
      <c r="C304" s="13">
        <v>465.319405859526</v>
      </c>
    </row>
    <row r="305" spans="1:3" x14ac:dyDescent="0.25">
      <c r="A305" s="13">
        <v>2018</v>
      </c>
      <c r="B305" s="13">
        <v>4</v>
      </c>
      <c r="C305" s="13">
        <v>465.09073925215398</v>
      </c>
    </row>
    <row r="306" spans="1:3" x14ac:dyDescent="0.25">
      <c r="A306" s="13">
        <v>2018</v>
      </c>
      <c r="B306" s="13">
        <v>5</v>
      </c>
      <c r="C306" s="13">
        <v>438.83117503150601</v>
      </c>
    </row>
    <row r="307" spans="1:3" x14ac:dyDescent="0.25">
      <c r="A307" s="13">
        <v>2018</v>
      </c>
      <c r="B307" s="13">
        <v>6</v>
      </c>
      <c r="C307" s="13">
        <v>421.44896897125301</v>
      </c>
    </row>
    <row r="308" spans="1:3" x14ac:dyDescent="0.25">
      <c r="A308" s="13">
        <v>2018</v>
      </c>
      <c r="B308" s="13">
        <v>7</v>
      </c>
      <c r="C308" s="13">
        <v>444.28003164311502</v>
      </c>
    </row>
    <row r="309" spans="1:3" x14ac:dyDescent="0.25">
      <c r="A309" s="13">
        <v>2018</v>
      </c>
      <c r="B309" s="13">
        <v>8</v>
      </c>
      <c r="C309" s="13">
        <v>427.93784317762402</v>
      </c>
    </row>
    <row r="310" spans="1:3" x14ac:dyDescent="0.25">
      <c r="A310" s="13">
        <v>2018</v>
      </c>
      <c r="B310" s="13">
        <v>9</v>
      </c>
      <c r="C310" s="13">
        <v>416.24016602692802</v>
      </c>
    </row>
    <row r="311" spans="1:3" x14ac:dyDescent="0.25">
      <c r="A311" s="13">
        <v>2018</v>
      </c>
      <c r="B311" s="13">
        <v>10</v>
      </c>
      <c r="C311" s="13">
        <v>412.54525767943397</v>
      </c>
    </row>
    <row r="312" spans="1:3" x14ac:dyDescent="0.25">
      <c r="A312" s="13">
        <v>2018</v>
      </c>
      <c r="B312" s="13">
        <v>11</v>
      </c>
      <c r="C312" s="13">
        <v>432.99851874331398</v>
      </c>
    </row>
    <row r="313" spans="1:3" x14ac:dyDescent="0.25">
      <c r="A313" s="13">
        <v>2018</v>
      </c>
      <c r="B313" s="13">
        <v>12</v>
      </c>
      <c r="C313" s="13">
        <v>381.09857931836802</v>
      </c>
    </row>
    <row r="314" spans="1:3" x14ac:dyDescent="0.25">
      <c r="A314" s="13">
        <v>2019</v>
      </c>
      <c r="B314" s="13">
        <v>1</v>
      </c>
      <c r="C314" s="13">
        <v>408.25730345915201</v>
      </c>
    </row>
    <row r="315" spans="1:3" x14ac:dyDescent="0.25">
      <c r="A315" s="13">
        <v>2019</v>
      </c>
      <c r="B315" s="13">
        <v>2</v>
      </c>
      <c r="C315" s="13">
        <v>382.444815532924</v>
      </c>
    </row>
    <row r="316" spans="1:3" x14ac:dyDescent="0.25">
      <c r="A316" s="13">
        <v>2019</v>
      </c>
      <c r="B316" s="13">
        <v>3</v>
      </c>
      <c r="C316" s="13">
        <v>384.77654777156903</v>
      </c>
    </row>
    <row r="317" spans="1:3" x14ac:dyDescent="0.25">
      <c r="A317" s="13">
        <v>2019</v>
      </c>
      <c r="B317" s="13">
        <v>4</v>
      </c>
      <c r="C317" s="13">
        <v>421.71152779514398</v>
      </c>
    </row>
    <row r="318" spans="1:3" x14ac:dyDescent="0.25">
      <c r="A318" s="13">
        <v>2019</v>
      </c>
      <c r="B318" s="13">
        <v>5</v>
      </c>
      <c r="C318" s="13">
        <v>409.41894165780701</v>
      </c>
    </row>
    <row r="319" spans="1:3" x14ac:dyDescent="0.25">
      <c r="A319" s="13">
        <v>2019</v>
      </c>
      <c r="B319" s="13">
        <v>6</v>
      </c>
      <c r="C319" s="13">
        <v>421.90052996571598</v>
      </c>
    </row>
    <row r="320" spans="1:3" x14ac:dyDescent="0.25">
      <c r="A320" s="13">
        <v>2019</v>
      </c>
      <c r="B320" s="13">
        <v>7</v>
      </c>
      <c r="C320" s="13">
        <v>397.521715512019</v>
      </c>
    </row>
    <row r="321" spans="1:3" x14ac:dyDescent="0.25">
      <c r="A321" s="13">
        <v>2019</v>
      </c>
      <c r="B321" s="13">
        <v>8</v>
      </c>
      <c r="C321" s="13">
        <v>410.89069395630202</v>
      </c>
    </row>
    <row r="322" spans="1:3" x14ac:dyDescent="0.25">
      <c r="A322" s="13">
        <v>2019</v>
      </c>
      <c r="B322" s="13">
        <v>9</v>
      </c>
      <c r="C322" s="13">
        <v>385.69610966965598</v>
      </c>
    </row>
    <row r="323" spans="1:3" x14ac:dyDescent="0.25">
      <c r="A323" s="13">
        <v>2019</v>
      </c>
      <c r="B323" s="13">
        <v>10</v>
      </c>
      <c r="C323" s="13">
        <v>349.28580329549499</v>
      </c>
    </row>
    <row r="324" spans="1:3" x14ac:dyDescent="0.25">
      <c r="A324" s="13">
        <v>2019</v>
      </c>
      <c r="B324" s="13">
        <v>11</v>
      </c>
      <c r="C324" s="13">
        <v>332.17038635879101</v>
      </c>
    </row>
    <row r="325" spans="1:3" x14ac:dyDescent="0.25">
      <c r="A325" s="13">
        <v>2019</v>
      </c>
      <c r="B325" s="13">
        <v>12</v>
      </c>
      <c r="C325" s="13">
        <v>344.27275080246</v>
      </c>
    </row>
    <row r="326" spans="1:3" x14ac:dyDescent="0.25">
      <c r="A326" s="13">
        <v>2020</v>
      </c>
      <c r="B326" s="13">
        <v>1</v>
      </c>
      <c r="C326" s="13">
        <v>333.70382887002597</v>
      </c>
    </row>
    <row r="327" spans="1:3" x14ac:dyDescent="0.25">
      <c r="A327" s="13">
        <v>2020</v>
      </c>
      <c r="B327" s="13">
        <v>2</v>
      </c>
      <c r="C327" s="13">
        <v>378.571303908461</v>
      </c>
    </row>
    <row r="328" spans="1:3" x14ac:dyDescent="0.25">
      <c r="A328" s="13">
        <v>2020</v>
      </c>
      <c r="B328" s="13">
        <v>3</v>
      </c>
      <c r="C328" s="13">
        <v>283.56208764426998</v>
      </c>
    </row>
    <row r="329" spans="1:3" x14ac:dyDescent="0.25">
      <c r="A329" s="13">
        <v>2020</v>
      </c>
      <c r="B329" s="13">
        <v>4</v>
      </c>
      <c r="C329" s="13">
        <v>108.09205716221599</v>
      </c>
    </row>
    <row r="330" spans="1:3" x14ac:dyDescent="0.25">
      <c r="A330" s="13">
        <v>2020</v>
      </c>
      <c r="B330" s="13">
        <v>5</v>
      </c>
      <c r="C330" s="13">
        <v>196.639338120443</v>
      </c>
    </row>
    <row r="331" spans="1:3" x14ac:dyDescent="0.25">
      <c r="A331" s="13">
        <v>2020</v>
      </c>
      <c r="B331" s="13">
        <v>6</v>
      </c>
      <c r="C331" s="13">
        <v>250.13778415935499</v>
      </c>
    </row>
    <row r="332" spans="1:3" x14ac:dyDescent="0.25">
      <c r="A332" s="13">
        <v>2020</v>
      </c>
      <c r="B332" s="13">
        <v>7</v>
      </c>
      <c r="C332" s="13">
        <v>305.97723204419498</v>
      </c>
    </row>
    <row r="333" spans="1:3" x14ac:dyDescent="0.25">
      <c r="A333" s="13">
        <v>2020</v>
      </c>
      <c r="B333" s="13">
        <v>8</v>
      </c>
      <c r="C333" s="13">
        <v>313.22005292983999</v>
      </c>
    </row>
    <row r="334" spans="1:3" x14ac:dyDescent="0.25">
      <c r="A334" s="13">
        <v>2020</v>
      </c>
      <c r="B334" s="13">
        <v>9</v>
      </c>
      <c r="C334" s="13">
        <v>334.755787877096</v>
      </c>
    </row>
    <row r="335" spans="1:3" x14ac:dyDescent="0.25">
      <c r="A335" s="13">
        <v>2020</v>
      </c>
      <c r="B335" s="13">
        <v>10</v>
      </c>
      <c r="C335" s="13">
        <v>346.83968914552997</v>
      </c>
    </row>
    <row r="336" spans="1:3" x14ac:dyDescent="0.25">
      <c r="A336" s="13">
        <v>2020</v>
      </c>
      <c r="B336" s="13">
        <v>11</v>
      </c>
      <c r="C336" s="13">
        <v>365.01286164047099</v>
      </c>
    </row>
    <row r="337" spans="1:3" x14ac:dyDescent="0.25">
      <c r="A337" s="13">
        <v>2020</v>
      </c>
      <c r="B337" s="13">
        <v>12</v>
      </c>
      <c r="C337" s="13">
        <v>399.4922449069</v>
      </c>
    </row>
    <row r="338" spans="1:3" x14ac:dyDescent="0.25">
      <c r="A338" s="13">
        <v>2021</v>
      </c>
      <c r="B338" s="13">
        <v>1</v>
      </c>
      <c r="C338" s="13">
        <v>407.80109871186698</v>
      </c>
    </row>
    <row r="339" spans="1:3" x14ac:dyDescent="0.25">
      <c r="A339" s="13">
        <v>2021</v>
      </c>
      <c r="B339" s="13">
        <v>2</v>
      </c>
      <c r="C339" s="13">
        <v>404.98562761071202</v>
      </c>
    </row>
    <row r="340" spans="1:3" x14ac:dyDescent="0.25">
      <c r="A340" s="13">
        <v>2021</v>
      </c>
      <c r="B340" s="13">
        <v>3</v>
      </c>
      <c r="C340" s="13">
        <v>423.49425543811401</v>
      </c>
    </row>
    <row r="341" spans="1:3" x14ac:dyDescent="0.25">
      <c r="A341" s="13">
        <v>2021</v>
      </c>
      <c r="B341" s="13">
        <v>4</v>
      </c>
      <c r="C341" s="13">
        <v>349.63215815177301</v>
      </c>
    </row>
    <row r="342" spans="1:3" x14ac:dyDescent="0.25">
      <c r="A342" s="13">
        <v>2021</v>
      </c>
      <c r="B342" s="13">
        <v>5</v>
      </c>
      <c r="C342" s="13">
        <v>392.49946684985599</v>
      </c>
    </row>
    <row r="343" spans="1:3" x14ac:dyDescent="0.25">
      <c r="A343" s="13">
        <v>2021</v>
      </c>
      <c r="B343" s="13">
        <v>6</v>
      </c>
      <c r="C343" s="13">
        <v>408.68354305107403</v>
      </c>
    </row>
    <row r="344" spans="1:3" x14ac:dyDescent="0.25">
      <c r="A344" s="13">
        <v>2021</v>
      </c>
      <c r="B344" s="13">
        <v>7</v>
      </c>
      <c r="C344" s="13">
        <v>411.42759743802497</v>
      </c>
    </row>
    <row r="345" spans="1:3" x14ac:dyDescent="0.25">
      <c r="A345" s="13">
        <v>2021</v>
      </c>
      <c r="B345" s="13">
        <v>8</v>
      </c>
      <c r="C345" s="13">
        <v>402.954543219546</v>
      </c>
    </row>
    <row r="346" spans="1:3" x14ac:dyDescent="0.25">
      <c r="A346" s="13">
        <v>2021</v>
      </c>
      <c r="B346" s="13">
        <v>9</v>
      </c>
      <c r="C346" s="13">
        <v>406.931306554559</v>
      </c>
    </row>
    <row r="347" spans="1:3" x14ac:dyDescent="0.25">
      <c r="A347" s="13">
        <v>2021</v>
      </c>
      <c r="B347" s="13">
        <v>10</v>
      </c>
      <c r="C347" s="13">
        <v>407.78117354253698</v>
      </c>
    </row>
    <row r="348" spans="1:3" x14ac:dyDescent="0.25">
      <c r="A348" s="13">
        <v>2021</v>
      </c>
      <c r="B348" s="13">
        <v>11</v>
      </c>
      <c r="C348" s="13">
        <v>425.42149490780901</v>
      </c>
    </row>
    <row r="349" spans="1:3" x14ac:dyDescent="0.25">
      <c r="A349" s="13">
        <v>2021</v>
      </c>
      <c r="B349" s="13">
        <v>12</v>
      </c>
      <c r="C349" s="13">
        <v>436.25774563629699</v>
      </c>
    </row>
    <row r="350" spans="1:3" x14ac:dyDescent="0.25">
      <c r="A350" s="13">
        <v>2022</v>
      </c>
      <c r="B350" s="13">
        <v>1</v>
      </c>
      <c r="C350" s="13">
        <v>394.92738029690702</v>
      </c>
    </row>
    <row r="351" spans="1:3" x14ac:dyDescent="0.25">
      <c r="A351" s="13">
        <v>2022</v>
      </c>
      <c r="B351" s="13">
        <v>2</v>
      </c>
      <c r="C351" s="13">
        <v>393.97689074432998</v>
      </c>
    </row>
    <row r="352" spans="1:3" x14ac:dyDescent="0.25">
      <c r="A352" s="13">
        <v>2022</v>
      </c>
      <c r="B352" s="13">
        <v>3</v>
      </c>
      <c r="C352" s="13">
        <v>418.00491937478699</v>
      </c>
    </row>
    <row r="353" spans="1:3" x14ac:dyDescent="0.25">
      <c r="A353" s="13">
        <v>2022</v>
      </c>
      <c r="B353" s="13">
        <v>4</v>
      </c>
      <c r="C353" s="13">
        <v>361.16360924972997</v>
      </c>
    </row>
    <row r="354" spans="1:3" x14ac:dyDescent="0.25">
      <c r="A354" s="13">
        <v>2022</v>
      </c>
      <c r="B354" s="13">
        <v>5</v>
      </c>
      <c r="C354" s="13">
        <v>447.13297208465099</v>
      </c>
    </row>
    <row r="355" spans="1:3" x14ac:dyDescent="0.25">
      <c r="A355" s="13">
        <v>2022</v>
      </c>
      <c r="B355" s="13">
        <v>6</v>
      </c>
      <c r="C355" s="13">
        <v>472.63707452196797</v>
      </c>
    </row>
    <row r="356" spans="1:3" x14ac:dyDescent="0.25">
      <c r="A356" s="13">
        <v>2022</v>
      </c>
      <c r="B356" s="13">
        <v>7</v>
      </c>
      <c r="C356" s="13">
        <v>446.140177072217</v>
      </c>
    </row>
    <row r="357" spans="1:3" x14ac:dyDescent="0.25">
      <c r="A357" s="13">
        <v>2022</v>
      </c>
      <c r="B357" s="13">
        <v>8</v>
      </c>
      <c r="C357" s="13">
        <v>437.79711682977899</v>
      </c>
    </row>
    <row r="358" spans="1:3" x14ac:dyDescent="0.25">
      <c r="A358" s="13">
        <v>2022</v>
      </c>
      <c r="B358" s="13">
        <v>9</v>
      </c>
      <c r="C358" s="13">
        <v>401.819219021214</v>
      </c>
    </row>
    <row r="359" spans="1:3" x14ac:dyDescent="0.25">
      <c r="A359" s="13">
        <v>2022</v>
      </c>
      <c r="B359" s="13">
        <v>10</v>
      </c>
      <c r="C359" s="13">
        <v>447.54115187084602</v>
      </c>
    </row>
    <row r="360" spans="1:3" x14ac:dyDescent="0.25">
      <c r="A360" s="13">
        <v>2022</v>
      </c>
      <c r="B360" s="13">
        <v>11</v>
      </c>
      <c r="C360" s="13">
        <v>433.09831570078302</v>
      </c>
    </row>
    <row r="361" spans="1:3" x14ac:dyDescent="0.25">
      <c r="A361" s="13">
        <v>2022</v>
      </c>
      <c r="B361" s="13">
        <v>12</v>
      </c>
      <c r="C361" s="13">
        <v>446.54678527628198</v>
      </c>
    </row>
    <row r="362" spans="1:3" x14ac:dyDescent="0.25">
      <c r="A362" s="13">
        <v>2023</v>
      </c>
      <c r="B362" s="13">
        <v>1</v>
      </c>
      <c r="C362" s="13">
        <v>488.72099960141702</v>
      </c>
    </row>
    <row r="363" spans="1:3" x14ac:dyDescent="0.25">
      <c r="A363" s="13">
        <v>2023</v>
      </c>
      <c r="B363" s="13">
        <v>2</v>
      </c>
      <c r="C363" s="13">
        <v>431.24448322296399</v>
      </c>
    </row>
    <row r="364" spans="1:3" x14ac:dyDescent="0.25">
      <c r="A364" s="13">
        <v>2023</v>
      </c>
      <c r="B364" s="13">
        <v>3</v>
      </c>
      <c r="C364" s="13">
        <v>413.62000764357703</v>
      </c>
    </row>
    <row r="365" spans="1:3" x14ac:dyDescent="0.25">
      <c r="A365" s="13">
        <v>2023</v>
      </c>
      <c r="B365" s="13">
        <v>4</v>
      </c>
      <c r="C365" s="13">
        <v>437.62374159904198</v>
      </c>
    </row>
    <row r="366" spans="1:3" x14ac:dyDescent="0.25">
      <c r="A366" s="13">
        <v>2023</v>
      </c>
      <c r="B366" s="13">
        <v>5</v>
      </c>
      <c r="C366" s="13">
        <v>440.45498309368298</v>
      </c>
    </row>
    <row r="367" spans="1:3" x14ac:dyDescent="0.25">
      <c r="A367" s="13">
        <v>2023</v>
      </c>
      <c r="B367" s="13">
        <v>6</v>
      </c>
      <c r="C367" s="13">
        <v>433.22042651069103</v>
      </c>
    </row>
    <row r="368" spans="1:3" x14ac:dyDescent="0.25">
      <c r="A368" s="13">
        <v>2023</v>
      </c>
      <c r="B368" s="13">
        <v>7</v>
      </c>
      <c r="C368" s="13">
        <v>330.55644798500902</v>
      </c>
    </row>
    <row r="369" spans="1:4" x14ac:dyDescent="0.25">
      <c r="A369" s="13">
        <v>2023</v>
      </c>
      <c r="B369" s="13">
        <v>8</v>
      </c>
      <c r="C369" s="13">
        <v>403.64771791006899</v>
      </c>
    </row>
    <row r="370" spans="1:4" x14ac:dyDescent="0.25">
      <c r="A370" s="13">
        <v>2023</v>
      </c>
      <c r="B370" s="13">
        <v>9</v>
      </c>
      <c r="C370" s="13">
        <v>418.77963553156297</v>
      </c>
    </row>
    <row r="371" spans="1:4" x14ac:dyDescent="0.25">
      <c r="A371" s="13">
        <v>2023</v>
      </c>
      <c r="B371" s="13">
        <v>10</v>
      </c>
      <c r="C371" s="13">
        <v>409.78149353956201</v>
      </c>
    </row>
    <row r="372" spans="1:4" x14ac:dyDescent="0.25">
      <c r="A372" s="13">
        <v>2023</v>
      </c>
      <c r="B372" s="13">
        <v>11</v>
      </c>
      <c r="C372" s="13">
        <v>386.5539140944</v>
      </c>
    </row>
    <row r="373" spans="1:4" x14ac:dyDescent="0.25">
      <c r="A373" s="13">
        <v>2023</v>
      </c>
      <c r="B373" s="13">
        <v>12</v>
      </c>
      <c r="C373" s="13">
        <v>341.13145173972202</v>
      </c>
    </row>
    <row r="374" spans="1:4" x14ac:dyDescent="0.25">
      <c r="A374" s="13">
        <v>2024</v>
      </c>
      <c r="B374" s="13">
        <v>1</v>
      </c>
      <c r="C374" s="13">
        <v>458.22495246931697</v>
      </c>
      <c r="D374" s="14">
        <f t="shared" ref="D374:D380" si="0">+C374/C373-1</f>
        <v>0.34325038085006443</v>
      </c>
    </row>
    <row r="375" spans="1:4" x14ac:dyDescent="0.25">
      <c r="A375" s="13">
        <v>2024</v>
      </c>
      <c r="B375" s="13">
        <v>2</v>
      </c>
      <c r="C375" s="13">
        <v>359.49705339248999</v>
      </c>
      <c r="D375" s="14">
        <f t="shared" si="0"/>
        <v>-0.21545727386689595</v>
      </c>
    </row>
    <row r="376" spans="1:4" x14ac:dyDescent="0.25">
      <c r="A376" s="13">
        <v>2024</v>
      </c>
      <c r="B376" s="13">
        <v>3</v>
      </c>
      <c r="C376" s="13">
        <v>241.83860501691601</v>
      </c>
      <c r="D376" s="14">
        <f t="shared" si="0"/>
        <v>-0.32728626636924729</v>
      </c>
    </row>
    <row r="377" spans="1:4" x14ac:dyDescent="0.25">
      <c r="A377" s="13">
        <v>2024</v>
      </c>
      <c r="B377" s="13">
        <v>4</v>
      </c>
      <c r="C377" s="13">
        <v>325.28808410448801</v>
      </c>
      <c r="D377" s="14">
        <f t="shared" si="0"/>
        <v>0.34506268791012462</v>
      </c>
    </row>
    <row r="378" spans="1:4" x14ac:dyDescent="0.25">
      <c r="A378" s="13">
        <v>2024</v>
      </c>
      <c r="B378" s="13">
        <v>5</v>
      </c>
      <c r="C378" s="13">
        <v>309.029675685683</v>
      </c>
      <c r="D378" s="14">
        <f t="shared" si="0"/>
        <v>-4.998156776496776E-2</v>
      </c>
    </row>
    <row r="379" spans="1:4" x14ac:dyDescent="0.25">
      <c r="A379" s="13">
        <v>2024</v>
      </c>
      <c r="B379" s="13">
        <v>6</v>
      </c>
      <c r="C379" s="13">
        <v>284.94756241265998</v>
      </c>
      <c r="D379" s="14">
        <f t="shared" si="0"/>
        <v>-7.7928157610070992E-2</v>
      </c>
    </row>
    <row r="380" spans="1:4" x14ac:dyDescent="0.25">
      <c r="A380" s="13">
        <v>2024</v>
      </c>
      <c r="B380" s="13">
        <v>7</v>
      </c>
      <c r="C380" s="13">
        <v>301.00453424899899</v>
      </c>
      <c r="D380" s="14">
        <f t="shared" si="0"/>
        <v>5.6350620094392623E-2</v>
      </c>
    </row>
    <row r="381" spans="1:4" x14ac:dyDescent="0.25">
      <c r="A381" s="13">
        <v>2024</v>
      </c>
      <c r="B381" s="13">
        <v>8</v>
      </c>
      <c r="C381" s="13">
        <v>327.543073044746</v>
      </c>
      <c r="D381" s="14">
        <f>+C381/C380-1</f>
        <v>8.8166574839014356E-2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2E41-25A0-4543-B867-69A1FE0FCC08}">
  <dimension ref="A1:AB399"/>
  <sheetViews>
    <sheetView topLeftCell="O1" workbookViewId="0">
      <selection activeCell="AB2" sqref="AB2:AB399"/>
    </sheetView>
  </sheetViews>
  <sheetFormatPr baseColWidth="10" defaultRowHeight="15" x14ac:dyDescent="0.25"/>
  <cols>
    <col min="3" max="3" width="11.42578125" style="11"/>
    <col min="8" max="8" width="11.42578125" style="11"/>
  </cols>
  <sheetData>
    <row r="1" spans="1:28" x14ac:dyDescent="0.25">
      <c r="A1" s="7" t="s">
        <v>34</v>
      </c>
      <c r="B1" s="7" t="s">
        <v>35</v>
      </c>
      <c r="C1" s="9" t="s">
        <v>36</v>
      </c>
      <c r="F1" s="7" t="s">
        <v>34</v>
      </c>
      <c r="G1" s="7" t="s">
        <v>35</v>
      </c>
      <c r="H1" s="9" t="s">
        <v>36</v>
      </c>
      <c r="J1" s="9" t="s">
        <v>34</v>
      </c>
      <c r="K1" s="9" t="s">
        <v>35</v>
      </c>
      <c r="L1" s="9" t="s">
        <v>36</v>
      </c>
      <c r="N1" s="9" t="s">
        <v>34</v>
      </c>
      <c r="O1" s="9" t="s">
        <v>35</v>
      </c>
      <c r="P1" s="9" t="s">
        <v>36</v>
      </c>
      <c r="R1" s="9" t="s">
        <v>34</v>
      </c>
      <c r="S1" s="9" t="s">
        <v>35</v>
      </c>
      <c r="T1" s="9" t="s">
        <v>36</v>
      </c>
      <c r="V1" s="9" t="s">
        <v>34</v>
      </c>
      <c r="W1" s="9" t="s">
        <v>35</v>
      </c>
      <c r="X1" s="9" t="s">
        <v>36</v>
      </c>
      <c r="Z1" s="9" t="s">
        <v>34</v>
      </c>
      <c r="AA1" s="9" t="s">
        <v>35</v>
      </c>
      <c r="AB1" s="9" t="s">
        <v>36</v>
      </c>
    </row>
    <row r="2" spans="1:28" x14ac:dyDescent="0.25">
      <c r="A2" s="8">
        <v>1993</v>
      </c>
      <c r="B2" s="8">
        <v>1</v>
      </c>
      <c r="C2" s="10">
        <v>243.46286031534001</v>
      </c>
      <c r="F2" s="8">
        <v>1993</v>
      </c>
      <c r="G2" s="8">
        <v>1</v>
      </c>
      <c r="H2" s="10">
        <v>243.17849822793801</v>
      </c>
      <c r="J2" s="10">
        <v>1993</v>
      </c>
      <c r="K2" s="10">
        <v>1</v>
      </c>
      <c r="L2" s="10">
        <v>243.55222565580601</v>
      </c>
      <c r="N2" s="10">
        <v>1993</v>
      </c>
      <c r="O2" s="10">
        <v>1</v>
      </c>
      <c r="P2" s="10">
        <v>243.52054814126899</v>
      </c>
      <c r="R2" s="10">
        <v>1993</v>
      </c>
      <c r="S2" s="10">
        <v>1</v>
      </c>
      <c r="T2" s="10">
        <v>243.58802591685</v>
      </c>
      <c r="V2" s="10">
        <v>1993</v>
      </c>
      <c r="W2" s="10">
        <v>1</v>
      </c>
      <c r="X2" s="10">
        <v>243.53463059590601</v>
      </c>
      <c r="Z2" s="10">
        <v>1993</v>
      </c>
      <c r="AA2" s="10">
        <v>1</v>
      </c>
      <c r="AB2" s="10">
        <v>243.183719203788</v>
      </c>
    </row>
    <row r="3" spans="1:28" x14ac:dyDescent="0.25">
      <c r="A3" s="8">
        <v>1993</v>
      </c>
      <c r="B3" s="8">
        <v>2</v>
      </c>
      <c r="C3" s="10">
        <v>232.00905274996899</v>
      </c>
      <c r="F3" s="8">
        <v>1993</v>
      </c>
      <c r="G3" s="8">
        <v>2</v>
      </c>
      <c r="H3" s="10">
        <v>233.49009170706699</v>
      </c>
      <c r="J3" s="10">
        <v>1993</v>
      </c>
      <c r="K3" s="10">
        <v>2</v>
      </c>
      <c r="L3" s="10">
        <v>234.23562032152799</v>
      </c>
      <c r="N3" s="10">
        <v>1993</v>
      </c>
      <c r="O3" s="10">
        <v>2</v>
      </c>
      <c r="P3" s="10">
        <v>234.23080358417599</v>
      </c>
      <c r="R3" s="10">
        <v>1993</v>
      </c>
      <c r="S3" s="10">
        <v>2</v>
      </c>
      <c r="T3" s="10">
        <v>234.19980619801601</v>
      </c>
      <c r="V3" s="10">
        <v>1993</v>
      </c>
      <c r="W3" s="10">
        <v>2</v>
      </c>
      <c r="X3" s="10">
        <v>233.88806423670201</v>
      </c>
      <c r="Z3" s="10">
        <v>1993</v>
      </c>
      <c r="AA3" s="10">
        <v>2</v>
      </c>
      <c r="AB3" s="10">
        <v>233.88560753855501</v>
      </c>
    </row>
    <row r="4" spans="1:28" x14ac:dyDescent="0.25">
      <c r="A4" s="8">
        <v>1993</v>
      </c>
      <c r="B4" s="8">
        <v>3</v>
      </c>
      <c r="C4" s="10">
        <v>225.78367397843499</v>
      </c>
      <c r="F4" s="8">
        <v>1993</v>
      </c>
      <c r="G4" s="8">
        <v>3</v>
      </c>
      <c r="H4" s="10">
        <v>227.26762964121599</v>
      </c>
      <c r="J4" s="10">
        <v>1993</v>
      </c>
      <c r="K4" s="10">
        <v>3</v>
      </c>
      <c r="L4" s="10">
        <v>228.38218207612101</v>
      </c>
      <c r="N4" s="10">
        <v>1993</v>
      </c>
      <c r="O4" s="10">
        <v>3</v>
      </c>
      <c r="P4" s="10">
        <v>228.377014248492</v>
      </c>
      <c r="R4" s="10">
        <v>1993</v>
      </c>
      <c r="S4" s="10">
        <v>3</v>
      </c>
      <c r="T4" s="10">
        <v>228.37604444568399</v>
      </c>
      <c r="V4" s="10">
        <v>1993</v>
      </c>
      <c r="W4" s="10">
        <v>3</v>
      </c>
      <c r="X4" s="10">
        <v>228.208664426903</v>
      </c>
      <c r="Z4" s="10">
        <v>1993</v>
      </c>
      <c r="AA4" s="10">
        <v>3</v>
      </c>
      <c r="AB4" s="10">
        <v>227.677123328546</v>
      </c>
    </row>
    <row r="5" spans="1:28" x14ac:dyDescent="0.25">
      <c r="A5" s="8">
        <v>1993</v>
      </c>
      <c r="B5" s="8">
        <v>4</v>
      </c>
      <c r="C5" s="10">
        <v>245.33882621371899</v>
      </c>
      <c r="F5" s="8">
        <v>1993</v>
      </c>
      <c r="G5" s="8">
        <v>4</v>
      </c>
      <c r="H5" s="10">
        <v>244.97207329659901</v>
      </c>
      <c r="J5" s="10">
        <v>1993</v>
      </c>
      <c r="K5" s="10">
        <v>4</v>
      </c>
      <c r="L5" s="10">
        <v>244.994398470389</v>
      </c>
      <c r="N5" s="10">
        <v>1993</v>
      </c>
      <c r="O5" s="10">
        <v>4</v>
      </c>
      <c r="P5" s="10">
        <v>245.029458943626</v>
      </c>
      <c r="R5" s="10">
        <v>1993</v>
      </c>
      <c r="S5" s="10">
        <v>4</v>
      </c>
      <c r="T5" s="10">
        <v>244.94818925486899</v>
      </c>
      <c r="V5" s="10">
        <v>1993</v>
      </c>
      <c r="W5" s="10">
        <v>4</v>
      </c>
      <c r="X5" s="10">
        <v>244.95975183922599</v>
      </c>
      <c r="Z5" s="10">
        <v>1993</v>
      </c>
      <c r="AA5" s="10">
        <v>4</v>
      </c>
      <c r="AB5" s="10">
        <v>245.027707188856</v>
      </c>
    </row>
    <row r="6" spans="1:28" x14ac:dyDescent="0.25">
      <c r="A6" s="8">
        <v>1993</v>
      </c>
      <c r="B6" s="8">
        <v>5</v>
      </c>
      <c r="C6" s="10">
        <v>248.26334687953101</v>
      </c>
      <c r="F6" s="8">
        <v>1993</v>
      </c>
      <c r="G6" s="8">
        <v>5</v>
      </c>
      <c r="H6" s="10">
        <v>248.13930960252401</v>
      </c>
      <c r="J6" s="10">
        <v>1993</v>
      </c>
      <c r="K6" s="10">
        <v>5</v>
      </c>
      <c r="L6" s="10">
        <v>248.41384800621401</v>
      </c>
      <c r="N6" s="10">
        <v>1993</v>
      </c>
      <c r="O6" s="10">
        <v>5</v>
      </c>
      <c r="P6" s="10">
        <v>248.36727542934901</v>
      </c>
      <c r="R6" s="10">
        <v>1993</v>
      </c>
      <c r="S6" s="10">
        <v>5</v>
      </c>
      <c r="T6" s="10">
        <v>248.47670386854</v>
      </c>
      <c r="V6" s="10">
        <v>1993</v>
      </c>
      <c r="W6" s="10">
        <v>5</v>
      </c>
      <c r="X6" s="10">
        <v>248.47532481483901</v>
      </c>
      <c r="Z6" s="10">
        <v>1993</v>
      </c>
      <c r="AA6" s="10">
        <v>5</v>
      </c>
      <c r="AB6" s="10">
        <v>248.03608152099901</v>
      </c>
    </row>
    <row r="7" spans="1:28" x14ac:dyDescent="0.25">
      <c r="A7" s="8">
        <v>1993</v>
      </c>
      <c r="B7" s="8">
        <v>6</v>
      </c>
      <c r="C7" s="10">
        <v>251.24512054125501</v>
      </c>
      <c r="F7" s="8">
        <v>1993</v>
      </c>
      <c r="G7" s="8">
        <v>6</v>
      </c>
      <c r="H7" s="10">
        <v>251.214523547006</v>
      </c>
      <c r="J7" s="10">
        <v>1993</v>
      </c>
      <c r="K7" s="10">
        <v>6</v>
      </c>
      <c r="L7" s="10">
        <v>251.00688719413699</v>
      </c>
      <c r="N7" s="10">
        <v>1993</v>
      </c>
      <c r="O7" s="10">
        <v>6</v>
      </c>
      <c r="P7" s="10">
        <v>251.02304718602099</v>
      </c>
      <c r="R7" s="10">
        <v>1993</v>
      </c>
      <c r="S7" s="10">
        <v>6</v>
      </c>
      <c r="T7" s="10">
        <v>250.98813126143801</v>
      </c>
      <c r="V7" s="10">
        <v>1993</v>
      </c>
      <c r="W7" s="10">
        <v>6</v>
      </c>
      <c r="X7" s="10">
        <v>250.99159727452499</v>
      </c>
      <c r="Z7" s="10">
        <v>1993</v>
      </c>
      <c r="AA7" s="10">
        <v>6</v>
      </c>
      <c r="AB7" s="10">
        <v>251.219459836277</v>
      </c>
    </row>
    <row r="8" spans="1:28" x14ac:dyDescent="0.25">
      <c r="A8" s="8">
        <v>1993</v>
      </c>
      <c r="B8" s="8">
        <v>7</v>
      </c>
      <c r="C8" s="10">
        <v>239.32061303331</v>
      </c>
      <c r="F8" s="8">
        <v>1993</v>
      </c>
      <c r="G8" s="8">
        <v>7</v>
      </c>
      <c r="H8" s="10">
        <v>239.24977507946099</v>
      </c>
      <c r="J8" s="10">
        <v>1993</v>
      </c>
      <c r="K8" s="10">
        <v>7</v>
      </c>
      <c r="L8" s="10">
        <v>238.960354471899</v>
      </c>
      <c r="N8" s="10">
        <v>1993</v>
      </c>
      <c r="O8" s="10">
        <v>7</v>
      </c>
      <c r="P8" s="10">
        <v>238.98031731444701</v>
      </c>
      <c r="R8" s="10">
        <v>1993</v>
      </c>
      <c r="S8" s="10">
        <v>7</v>
      </c>
      <c r="T8" s="10">
        <v>238.937928225902</v>
      </c>
      <c r="V8" s="10">
        <v>1993</v>
      </c>
      <c r="W8" s="10">
        <v>7</v>
      </c>
      <c r="X8" s="10">
        <v>238.94951963274801</v>
      </c>
      <c r="Z8" s="10">
        <v>1993</v>
      </c>
      <c r="AA8" s="10">
        <v>7</v>
      </c>
      <c r="AB8" s="10">
        <v>239.244776782108</v>
      </c>
    </row>
    <row r="9" spans="1:28" x14ac:dyDescent="0.25">
      <c r="A9" s="8">
        <v>1993</v>
      </c>
      <c r="B9" s="8">
        <v>8</v>
      </c>
      <c r="C9" s="10">
        <v>245.808360619718</v>
      </c>
      <c r="F9" s="8">
        <v>1993</v>
      </c>
      <c r="G9" s="8">
        <v>8</v>
      </c>
      <c r="H9" s="10">
        <v>245.60463483615101</v>
      </c>
      <c r="J9" s="10">
        <v>1993</v>
      </c>
      <c r="K9" s="10">
        <v>8</v>
      </c>
      <c r="L9" s="10">
        <v>245.584791623793</v>
      </c>
      <c r="N9" s="10">
        <v>1993</v>
      </c>
      <c r="O9" s="10">
        <v>8</v>
      </c>
      <c r="P9" s="10">
        <v>245.56053582356</v>
      </c>
      <c r="R9" s="10">
        <v>1993</v>
      </c>
      <c r="S9" s="10">
        <v>8</v>
      </c>
      <c r="T9" s="10">
        <v>245.62235543550199</v>
      </c>
      <c r="V9" s="10">
        <v>1993</v>
      </c>
      <c r="W9" s="10">
        <v>8</v>
      </c>
      <c r="X9" s="10">
        <v>245.64075368222001</v>
      </c>
      <c r="Z9" s="10">
        <v>1993</v>
      </c>
      <c r="AA9" s="10">
        <v>8</v>
      </c>
      <c r="AB9" s="10">
        <v>245.500834551525</v>
      </c>
    </row>
    <row r="10" spans="1:28" x14ac:dyDescent="0.25">
      <c r="A10" s="8">
        <v>1993</v>
      </c>
      <c r="B10" s="8">
        <v>9</v>
      </c>
      <c r="C10" s="10">
        <v>255.10252615741501</v>
      </c>
      <c r="F10" s="8">
        <v>1993</v>
      </c>
      <c r="G10" s="8">
        <v>9</v>
      </c>
      <c r="H10" s="10">
        <v>254.837648627352</v>
      </c>
      <c r="J10" s="10">
        <v>1993</v>
      </c>
      <c r="K10" s="10">
        <v>9</v>
      </c>
      <c r="L10" s="10">
        <v>254.731342162994</v>
      </c>
      <c r="N10" s="10">
        <v>1993</v>
      </c>
      <c r="O10" s="10">
        <v>9</v>
      </c>
      <c r="P10" s="10">
        <v>254.75921060619399</v>
      </c>
      <c r="R10" s="10">
        <v>1993</v>
      </c>
      <c r="S10" s="10">
        <v>9</v>
      </c>
      <c r="T10" s="10">
        <v>254.70199204374299</v>
      </c>
      <c r="V10" s="10">
        <v>1993</v>
      </c>
      <c r="W10" s="10">
        <v>9</v>
      </c>
      <c r="X10" s="10">
        <v>254.69093792855301</v>
      </c>
      <c r="Z10" s="10">
        <v>1993</v>
      </c>
      <c r="AA10" s="10">
        <v>9</v>
      </c>
      <c r="AB10" s="10">
        <v>254.82934667045501</v>
      </c>
    </row>
    <row r="11" spans="1:28" x14ac:dyDescent="0.25">
      <c r="A11" s="8">
        <v>1993</v>
      </c>
      <c r="B11" s="8">
        <v>10</v>
      </c>
      <c r="C11" s="10">
        <v>237.834533977441</v>
      </c>
      <c r="F11" s="8">
        <v>1993</v>
      </c>
      <c r="G11" s="8">
        <v>10</v>
      </c>
      <c r="H11" s="10">
        <v>237.58039306370301</v>
      </c>
      <c r="J11" s="10">
        <v>1993</v>
      </c>
      <c r="K11" s="10">
        <v>10</v>
      </c>
      <c r="L11" s="10">
        <v>237.61665950125601</v>
      </c>
      <c r="N11" s="10">
        <v>1993</v>
      </c>
      <c r="O11" s="10">
        <v>10</v>
      </c>
      <c r="P11" s="10">
        <v>237.58937747380699</v>
      </c>
      <c r="R11" s="10">
        <v>1993</v>
      </c>
      <c r="S11" s="10">
        <v>10</v>
      </c>
      <c r="T11" s="10">
        <v>237.65864779448299</v>
      </c>
      <c r="V11" s="10">
        <v>1993</v>
      </c>
      <c r="W11" s="10">
        <v>10</v>
      </c>
      <c r="X11" s="10">
        <v>237.678327165496</v>
      </c>
      <c r="Z11" s="10">
        <v>1993</v>
      </c>
      <c r="AA11" s="10">
        <v>10</v>
      </c>
      <c r="AB11" s="10">
        <v>237.47164054455499</v>
      </c>
    </row>
    <row r="12" spans="1:28" x14ac:dyDescent="0.25">
      <c r="A12" s="8">
        <v>1993</v>
      </c>
      <c r="B12" s="8">
        <v>11</v>
      </c>
      <c r="C12" s="10">
        <v>233.22557001337199</v>
      </c>
      <c r="F12" s="8">
        <v>1993</v>
      </c>
      <c r="G12" s="8">
        <v>11</v>
      </c>
      <c r="H12" s="10">
        <v>233.93398281219999</v>
      </c>
      <c r="J12" s="10">
        <v>1993</v>
      </c>
      <c r="K12" s="10">
        <v>11</v>
      </c>
      <c r="L12" s="10">
        <v>233.289843091649</v>
      </c>
      <c r="N12" s="10">
        <v>1993</v>
      </c>
      <c r="O12" s="10">
        <v>11</v>
      </c>
      <c r="P12" s="10">
        <v>233.31193403930399</v>
      </c>
      <c r="R12" s="10">
        <v>1993</v>
      </c>
      <c r="S12" s="10">
        <v>11</v>
      </c>
      <c r="T12" s="10">
        <v>233.24176069318901</v>
      </c>
      <c r="V12" s="10">
        <v>1993</v>
      </c>
      <c r="W12" s="10">
        <v>11</v>
      </c>
      <c r="X12" s="10">
        <v>233.32930365675699</v>
      </c>
      <c r="Z12" s="10">
        <v>1993</v>
      </c>
      <c r="AA12" s="10">
        <v>11</v>
      </c>
      <c r="AB12" s="10">
        <v>233.87197670236699</v>
      </c>
    </row>
    <row r="13" spans="1:28" x14ac:dyDescent="0.25">
      <c r="A13" s="8">
        <v>1993</v>
      </c>
      <c r="B13" s="8">
        <v>12</v>
      </c>
      <c r="C13" s="10">
        <v>232.573937860922</v>
      </c>
      <c r="F13" s="8">
        <v>1993</v>
      </c>
      <c r="G13" s="8">
        <v>12</v>
      </c>
      <c r="H13" s="10">
        <v>232.815692330221</v>
      </c>
      <c r="J13" s="10">
        <v>1993</v>
      </c>
      <c r="K13" s="10">
        <v>12</v>
      </c>
      <c r="L13" s="10">
        <v>232.387449621587</v>
      </c>
      <c r="N13" s="10">
        <v>1993</v>
      </c>
      <c r="O13" s="10">
        <v>12</v>
      </c>
      <c r="P13" s="10">
        <v>232.41837190191299</v>
      </c>
      <c r="R13" s="10">
        <v>1993</v>
      </c>
      <c r="S13" s="10">
        <v>12</v>
      </c>
      <c r="T13" s="10">
        <v>232.34117770088099</v>
      </c>
      <c r="V13" s="10">
        <v>1993</v>
      </c>
      <c r="W13" s="10">
        <v>12</v>
      </c>
      <c r="X13" s="10">
        <v>232.28670740953299</v>
      </c>
      <c r="Z13" s="10">
        <v>1993</v>
      </c>
      <c r="AA13" s="10">
        <v>12</v>
      </c>
      <c r="AB13" s="10">
        <v>232.93852184792999</v>
      </c>
    </row>
    <row r="14" spans="1:28" x14ac:dyDescent="0.25">
      <c r="A14" s="8">
        <v>1994</v>
      </c>
      <c r="B14" s="8">
        <v>1</v>
      </c>
      <c r="C14" s="10">
        <v>260.33099285690702</v>
      </c>
      <c r="F14" s="8">
        <v>1994</v>
      </c>
      <c r="G14" s="8">
        <v>1</v>
      </c>
      <c r="H14" s="10">
        <v>259.857557348505</v>
      </c>
      <c r="J14" s="10">
        <v>1994</v>
      </c>
      <c r="K14" s="10">
        <v>1</v>
      </c>
      <c r="L14" s="10">
        <v>260.13698135003801</v>
      </c>
      <c r="N14" s="10">
        <v>1994</v>
      </c>
      <c r="O14" s="10">
        <v>1</v>
      </c>
      <c r="P14" s="10">
        <v>260.10324293175103</v>
      </c>
      <c r="R14" s="10">
        <v>1994</v>
      </c>
      <c r="S14" s="10">
        <v>1</v>
      </c>
      <c r="T14" s="10">
        <v>260.17828024700901</v>
      </c>
      <c r="V14" s="10">
        <v>1994</v>
      </c>
      <c r="W14" s="10">
        <v>1</v>
      </c>
      <c r="X14" s="10">
        <v>260.16281308263001</v>
      </c>
      <c r="Z14" s="10">
        <v>1994</v>
      </c>
      <c r="AA14" s="10">
        <v>1</v>
      </c>
      <c r="AB14" s="10">
        <v>259.80355675727799</v>
      </c>
    </row>
    <row r="15" spans="1:28" x14ac:dyDescent="0.25">
      <c r="A15" s="8">
        <v>1994</v>
      </c>
      <c r="B15" s="8">
        <v>2</v>
      </c>
      <c r="C15" s="10">
        <v>248.20873701472399</v>
      </c>
      <c r="F15" s="8">
        <v>1994</v>
      </c>
      <c r="G15" s="8">
        <v>2</v>
      </c>
      <c r="H15" s="10">
        <v>249.842143704015</v>
      </c>
      <c r="J15" s="10">
        <v>1994</v>
      </c>
      <c r="K15" s="10">
        <v>2</v>
      </c>
      <c r="L15" s="10">
        <v>250.62705354111699</v>
      </c>
      <c r="N15" s="10">
        <v>1994</v>
      </c>
      <c r="O15" s="10">
        <v>2</v>
      </c>
      <c r="P15" s="10">
        <v>250.62259614059101</v>
      </c>
      <c r="R15" s="10">
        <v>1994</v>
      </c>
      <c r="S15" s="10">
        <v>2</v>
      </c>
      <c r="T15" s="10">
        <v>250.58512305154201</v>
      </c>
      <c r="V15" s="10">
        <v>1994</v>
      </c>
      <c r="W15" s="10">
        <v>2</v>
      </c>
      <c r="X15" s="10">
        <v>250.24038387429701</v>
      </c>
      <c r="Z15" s="10">
        <v>1994</v>
      </c>
      <c r="AA15" s="10">
        <v>2</v>
      </c>
      <c r="AB15" s="10">
        <v>250.27132965240699</v>
      </c>
    </row>
    <row r="16" spans="1:28" x14ac:dyDescent="0.25">
      <c r="A16" s="8">
        <v>1994</v>
      </c>
      <c r="B16" s="8">
        <v>3</v>
      </c>
      <c r="C16" s="10">
        <v>265.07078300300202</v>
      </c>
      <c r="F16" s="8">
        <v>1994</v>
      </c>
      <c r="G16" s="8">
        <v>3</v>
      </c>
      <c r="H16" s="10">
        <v>266.66759783165202</v>
      </c>
      <c r="J16" s="10">
        <v>1994</v>
      </c>
      <c r="K16" s="10">
        <v>3</v>
      </c>
      <c r="L16" s="10">
        <v>267.88884197667397</v>
      </c>
      <c r="N16" s="10">
        <v>1994</v>
      </c>
      <c r="O16" s="10">
        <v>3</v>
      </c>
      <c r="P16" s="10">
        <v>267.88850464998399</v>
      </c>
      <c r="R16" s="10">
        <v>1994</v>
      </c>
      <c r="S16" s="10">
        <v>3</v>
      </c>
      <c r="T16" s="10">
        <v>267.876416435115</v>
      </c>
      <c r="V16" s="10">
        <v>1994</v>
      </c>
      <c r="W16" s="10">
        <v>3</v>
      </c>
      <c r="X16" s="10">
        <v>267.70248640165698</v>
      </c>
      <c r="Z16" s="10">
        <v>1994</v>
      </c>
      <c r="AA16" s="10">
        <v>3</v>
      </c>
      <c r="AB16" s="10">
        <v>267.12910613053799</v>
      </c>
    </row>
    <row r="17" spans="1:28" x14ac:dyDescent="0.25">
      <c r="A17" s="8">
        <v>1994</v>
      </c>
      <c r="B17" s="8">
        <v>4</v>
      </c>
      <c r="C17" s="10">
        <v>286.02271341397102</v>
      </c>
      <c r="F17" s="8">
        <v>1994</v>
      </c>
      <c r="G17" s="8">
        <v>4</v>
      </c>
      <c r="H17" s="10">
        <v>285.471062474978</v>
      </c>
      <c r="J17" s="10">
        <v>1994</v>
      </c>
      <c r="K17" s="10">
        <v>4</v>
      </c>
      <c r="L17" s="10">
        <v>285.71861414926502</v>
      </c>
      <c r="N17" s="10">
        <v>1994</v>
      </c>
      <c r="O17" s="10">
        <v>4</v>
      </c>
      <c r="P17" s="10">
        <v>285.70644442685</v>
      </c>
      <c r="R17" s="10">
        <v>1994</v>
      </c>
      <c r="S17" s="10">
        <v>4</v>
      </c>
      <c r="T17" s="10">
        <v>285.736526912611</v>
      </c>
      <c r="V17" s="10">
        <v>1994</v>
      </c>
      <c r="W17" s="10">
        <v>4</v>
      </c>
      <c r="X17" s="10">
        <v>285.766383841834</v>
      </c>
      <c r="Z17" s="10">
        <v>1994</v>
      </c>
      <c r="AA17" s="10">
        <v>4</v>
      </c>
      <c r="AB17" s="10">
        <v>285.398861180106</v>
      </c>
    </row>
    <row r="18" spans="1:28" x14ac:dyDescent="0.25">
      <c r="A18" s="8">
        <v>1994</v>
      </c>
      <c r="B18" s="8">
        <v>5</v>
      </c>
      <c r="C18" s="10">
        <v>264.93399527048001</v>
      </c>
      <c r="F18" s="8">
        <v>1994</v>
      </c>
      <c r="G18" s="8">
        <v>5</v>
      </c>
      <c r="H18" s="10">
        <v>264.85602477891598</v>
      </c>
      <c r="J18" s="10">
        <v>1994</v>
      </c>
      <c r="K18" s="10">
        <v>5</v>
      </c>
      <c r="L18" s="10">
        <v>264.82838137984402</v>
      </c>
      <c r="N18" s="10">
        <v>1994</v>
      </c>
      <c r="O18" s="10">
        <v>5</v>
      </c>
      <c r="P18" s="10">
        <v>264.82365245449301</v>
      </c>
      <c r="R18" s="10">
        <v>1994</v>
      </c>
      <c r="S18" s="10">
        <v>5</v>
      </c>
      <c r="T18" s="10">
        <v>264.835054303959</v>
      </c>
      <c r="V18" s="10">
        <v>1994</v>
      </c>
      <c r="W18" s="10">
        <v>5</v>
      </c>
      <c r="X18" s="10">
        <v>264.83594510930902</v>
      </c>
      <c r="Z18" s="10">
        <v>1994</v>
      </c>
      <c r="AA18" s="10">
        <v>5</v>
      </c>
      <c r="AB18" s="10">
        <v>264.82518386898198</v>
      </c>
    </row>
    <row r="19" spans="1:28" x14ac:dyDescent="0.25">
      <c r="A19" s="8">
        <v>1994</v>
      </c>
      <c r="B19" s="8">
        <v>6</v>
      </c>
      <c r="C19" s="10">
        <v>262.83837294756302</v>
      </c>
      <c r="F19" s="8">
        <v>1994</v>
      </c>
      <c r="G19" s="8">
        <v>6</v>
      </c>
      <c r="H19" s="10">
        <v>262.79915618077899</v>
      </c>
      <c r="J19" s="10">
        <v>1994</v>
      </c>
      <c r="K19" s="10">
        <v>6</v>
      </c>
      <c r="L19" s="10">
        <v>262.539468174349</v>
      </c>
      <c r="N19" s="10">
        <v>1994</v>
      </c>
      <c r="O19" s="10">
        <v>6</v>
      </c>
      <c r="P19" s="10">
        <v>262.56138780313699</v>
      </c>
      <c r="R19" s="10">
        <v>1994</v>
      </c>
      <c r="S19" s="10">
        <v>6</v>
      </c>
      <c r="T19" s="10">
        <v>262.51227489692701</v>
      </c>
      <c r="V19" s="10">
        <v>1994</v>
      </c>
      <c r="W19" s="10">
        <v>6</v>
      </c>
      <c r="X19" s="10">
        <v>262.51755372474503</v>
      </c>
      <c r="Z19" s="10">
        <v>1994</v>
      </c>
      <c r="AA19" s="10">
        <v>6</v>
      </c>
      <c r="AB19" s="10">
        <v>262.80852613748499</v>
      </c>
    </row>
    <row r="20" spans="1:28" x14ac:dyDescent="0.25">
      <c r="A20" s="8">
        <v>1994</v>
      </c>
      <c r="B20" s="8">
        <v>7</v>
      </c>
      <c r="C20" s="10">
        <v>269.55870612395898</v>
      </c>
      <c r="F20" s="8">
        <v>1994</v>
      </c>
      <c r="G20" s="8">
        <v>7</v>
      </c>
      <c r="H20" s="10">
        <v>269.41232036049797</v>
      </c>
      <c r="J20" s="10">
        <v>1994</v>
      </c>
      <c r="K20" s="10">
        <v>7</v>
      </c>
      <c r="L20" s="10">
        <v>269.39546231965602</v>
      </c>
      <c r="N20" s="10">
        <v>1994</v>
      </c>
      <c r="O20" s="10">
        <v>7</v>
      </c>
      <c r="P20" s="10">
        <v>269.37025644942503</v>
      </c>
      <c r="R20" s="10">
        <v>1994</v>
      </c>
      <c r="S20" s="10">
        <v>7</v>
      </c>
      <c r="T20" s="10">
        <v>269.437008501832</v>
      </c>
      <c r="V20" s="10">
        <v>1994</v>
      </c>
      <c r="W20" s="10">
        <v>7</v>
      </c>
      <c r="X20" s="10">
        <v>269.45326927693498</v>
      </c>
      <c r="Z20" s="10">
        <v>1994</v>
      </c>
      <c r="AA20" s="10">
        <v>7</v>
      </c>
      <c r="AB20" s="10">
        <v>269.31541773249398</v>
      </c>
    </row>
    <row r="21" spans="1:28" x14ac:dyDescent="0.25">
      <c r="A21" s="8">
        <v>1994</v>
      </c>
      <c r="B21" s="8">
        <v>8</v>
      </c>
      <c r="C21" s="10">
        <v>292.33107098027398</v>
      </c>
      <c r="F21" s="8">
        <v>1994</v>
      </c>
      <c r="G21" s="8">
        <v>8</v>
      </c>
      <c r="H21" s="10">
        <v>292.25059344312302</v>
      </c>
      <c r="J21" s="10">
        <v>1994</v>
      </c>
      <c r="K21" s="10">
        <v>8</v>
      </c>
      <c r="L21" s="10">
        <v>291.98144022385299</v>
      </c>
      <c r="N21" s="10">
        <v>1994</v>
      </c>
      <c r="O21" s="10">
        <v>8</v>
      </c>
      <c r="P21" s="10">
        <v>292.00151974153903</v>
      </c>
      <c r="R21" s="10">
        <v>1994</v>
      </c>
      <c r="S21" s="10">
        <v>8</v>
      </c>
      <c r="T21" s="10">
        <v>291.95788587844299</v>
      </c>
      <c r="V21" s="10">
        <v>1994</v>
      </c>
      <c r="W21" s="10">
        <v>8</v>
      </c>
      <c r="X21" s="10">
        <v>291.96231859257398</v>
      </c>
      <c r="Z21" s="10">
        <v>1994</v>
      </c>
      <c r="AA21" s="10">
        <v>8</v>
      </c>
      <c r="AB21" s="10">
        <v>292.251286062887</v>
      </c>
    </row>
    <row r="22" spans="1:28" x14ac:dyDescent="0.25">
      <c r="A22" s="8">
        <v>1994</v>
      </c>
      <c r="B22" s="8">
        <v>9</v>
      </c>
      <c r="C22" s="10">
        <v>288.77820435723902</v>
      </c>
      <c r="F22" s="8">
        <v>1994</v>
      </c>
      <c r="G22" s="8">
        <v>9</v>
      </c>
      <c r="H22" s="10">
        <v>288.53730688508199</v>
      </c>
      <c r="J22" s="10">
        <v>1994</v>
      </c>
      <c r="K22" s="10">
        <v>9</v>
      </c>
      <c r="L22" s="10">
        <v>288.40710997050701</v>
      </c>
      <c r="N22" s="10">
        <v>1994</v>
      </c>
      <c r="O22" s="10">
        <v>9</v>
      </c>
      <c r="P22" s="10">
        <v>288.43448278452598</v>
      </c>
      <c r="R22" s="10">
        <v>1994</v>
      </c>
      <c r="S22" s="10">
        <v>9</v>
      </c>
      <c r="T22" s="10">
        <v>288.37802567995197</v>
      </c>
      <c r="V22" s="10">
        <v>1994</v>
      </c>
      <c r="W22" s="10">
        <v>9</v>
      </c>
      <c r="X22" s="10">
        <v>288.36791295743399</v>
      </c>
      <c r="Z22" s="10">
        <v>1994</v>
      </c>
      <c r="AA22" s="10">
        <v>9</v>
      </c>
      <c r="AB22" s="10">
        <v>288.53089025413999</v>
      </c>
    </row>
    <row r="23" spans="1:28" x14ac:dyDescent="0.25">
      <c r="A23" s="8">
        <v>1994</v>
      </c>
      <c r="B23" s="8">
        <v>10</v>
      </c>
      <c r="C23" s="10">
        <v>297.540808620007</v>
      </c>
      <c r="F23" s="8">
        <v>1994</v>
      </c>
      <c r="G23" s="8">
        <v>10</v>
      </c>
      <c r="H23" s="10">
        <v>297.2781107852</v>
      </c>
      <c r="J23" s="10">
        <v>1994</v>
      </c>
      <c r="K23" s="10">
        <v>10</v>
      </c>
      <c r="L23" s="10">
        <v>297.35497651423799</v>
      </c>
      <c r="N23" s="10">
        <v>1994</v>
      </c>
      <c r="O23" s="10">
        <v>10</v>
      </c>
      <c r="P23" s="10">
        <v>297.32080009581802</v>
      </c>
      <c r="R23" s="10">
        <v>1994</v>
      </c>
      <c r="S23" s="10">
        <v>10</v>
      </c>
      <c r="T23" s="10">
        <v>297.40646749494903</v>
      </c>
      <c r="V23" s="10">
        <v>1994</v>
      </c>
      <c r="W23" s="10">
        <v>10</v>
      </c>
      <c r="X23" s="10">
        <v>297.425306280006</v>
      </c>
      <c r="Z23" s="10">
        <v>1994</v>
      </c>
      <c r="AA23" s="10">
        <v>10</v>
      </c>
      <c r="AB23" s="10">
        <v>297.15511338474101</v>
      </c>
    </row>
    <row r="24" spans="1:28" x14ac:dyDescent="0.25">
      <c r="A24" s="8">
        <v>1994</v>
      </c>
      <c r="B24" s="8">
        <v>11</v>
      </c>
      <c r="C24" s="10">
        <v>271.96302854117198</v>
      </c>
      <c r="F24" s="8">
        <v>1994</v>
      </c>
      <c r="G24" s="8">
        <v>11</v>
      </c>
      <c r="H24" s="10">
        <v>272.62789469617502</v>
      </c>
      <c r="J24" s="10">
        <v>1994</v>
      </c>
      <c r="K24" s="10">
        <v>11</v>
      </c>
      <c r="L24" s="10">
        <v>271.997501272394</v>
      </c>
      <c r="N24" s="10">
        <v>1994</v>
      </c>
      <c r="O24" s="10">
        <v>11</v>
      </c>
      <c r="P24" s="10">
        <v>272.02455582150202</v>
      </c>
      <c r="R24" s="10">
        <v>1994</v>
      </c>
      <c r="S24" s="10">
        <v>11</v>
      </c>
      <c r="T24" s="10">
        <v>271.94588474017797</v>
      </c>
      <c r="V24" s="10">
        <v>1994</v>
      </c>
      <c r="W24" s="10">
        <v>11</v>
      </c>
      <c r="X24" s="10">
        <v>272.02002560831602</v>
      </c>
      <c r="Z24" s="10">
        <v>1994</v>
      </c>
      <c r="AA24" s="10">
        <v>11</v>
      </c>
      <c r="AB24" s="10">
        <v>272.58901220214301</v>
      </c>
    </row>
    <row r="25" spans="1:28" x14ac:dyDescent="0.25">
      <c r="A25" s="8">
        <v>1994</v>
      </c>
      <c r="B25" s="8">
        <v>12</v>
      </c>
      <c r="C25" s="10">
        <v>301.49087226261599</v>
      </c>
      <c r="F25" s="8">
        <v>1994</v>
      </c>
      <c r="G25" s="8">
        <v>12</v>
      </c>
      <c r="H25" s="10">
        <v>301.64897108245998</v>
      </c>
      <c r="J25" s="10">
        <v>1994</v>
      </c>
      <c r="K25" s="10">
        <v>12</v>
      </c>
      <c r="L25" s="10">
        <v>301.53421306350998</v>
      </c>
      <c r="N25" s="10">
        <v>1994</v>
      </c>
      <c r="O25" s="10">
        <v>12</v>
      </c>
      <c r="P25" s="10">
        <v>301.51924131683103</v>
      </c>
      <c r="R25" s="10">
        <v>1994</v>
      </c>
      <c r="S25" s="10">
        <v>12</v>
      </c>
      <c r="T25" s="10">
        <v>301.55118455673397</v>
      </c>
      <c r="V25" s="10">
        <v>1994</v>
      </c>
      <c r="W25" s="10">
        <v>12</v>
      </c>
      <c r="X25" s="10">
        <v>301.50582983391598</v>
      </c>
      <c r="Z25" s="10">
        <v>1994</v>
      </c>
      <c r="AA25" s="10">
        <v>12</v>
      </c>
      <c r="AB25" s="10">
        <v>301.66964047125703</v>
      </c>
    </row>
    <row r="26" spans="1:28" x14ac:dyDescent="0.25">
      <c r="A26" s="8">
        <v>1995</v>
      </c>
      <c r="B26" s="8">
        <v>1</v>
      </c>
      <c r="C26" s="10">
        <v>296.936664060076</v>
      </c>
      <c r="F26" s="8">
        <v>1995</v>
      </c>
      <c r="G26" s="8">
        <v>1</v>
      </c>
      <c r="H26" s="10">
        <v>296.39563196503099</v>
      </c>
      <c r="J26" s="10">
        <v>1995</v>
      </c>
      <c r="K26" s="10">
        <v>1</v>
      </c>
      <c r="L26" s="10">
        <v>296.254210753579</v>
      </c>
      <c r="N26" s="10">
        <v>1995</v>
      </c>
      <c r="O26" s="10">
        <v>1</v>
      </c>
      <c r="P26" s="10">
        <v>296.25952973778402</v>
      </c>
      <c r="R26" s="10">
        <v>1995</v>
      </c>
      <c r="S26" s="10">
        <v>1</v>
      </c>
      <c r="T26" s="10">
        <v>296.24866960282901</v>
      </c>
      <c r="V26" s="10">
        <v>1995</v>
      </c>
      <c r="W26" s="10">
        <v>1</v>
      </c>
      <c r="X26" s="10">
        <v>296.27846892438498</v>
      </c>
      <c r="Z26" s="10">
        <v>1995</v>
      </c>
      <c r="AA26" s="10">
        <v>1</v>
      </c>
      <c r="AB26" s="10">
        <v>296.351734797012</v>
      </c>
    </row>
    <row r="27" spans="1:28" x14ac:dyDescent="0.25">
      <c r="A27" s="8">
        <v>1995</v>
      </c>
      <c r="B27" s="8">
        <v>2</v>
      </c>
      <c r="C27" s="10">
        <v>291.20321064886798</v>
      </c>
      <c r="F27" s="8">
        <v>1995</v>
      </c>
      <c r="G27" s="8">
        <v>2</v>
      </c>
      <c r="H27" s="10">
        <v>292.89689802018398</v>
      </c>
      <c r="J27" s="10">
        <v>1995</v>
      </c>
      <c r="K27" s="10">
        <v>2</v>
      </c>
      <c r="L27" s="10">
        <v>293.791715416822</v>
      </c>
      <c r="N27" s="10">
        <v>1995</v>
      </c>
      <c r="O27" s="10">
        <v>2</v>
      </c>
      <c r="P27" s="10">
        <v>293.79123822946201</v>
      </c>
      <c r="R27" s="10">
        <v>1995</v>
      </c>
      <c r="S27" s="10">
        <v>2</v>
      </c>
      <c r="T27" s="10">
        <v>293.73205418944502</v>
      </c>
      <c r="V27" s="10">
        <v>1995</v>
      </c>
      <c r="W27" s="10">
        <v>2</v>
      </c>
      <c r="X27" s="10">
        <v>293.34346730636901</v>
      </c>
      <c r="Z27" s="10">
        <v>1995</v>
      </c>
      <c r="AA27" s="10">
        <v>2</v>
      </c>
      <c r="AB27" s="10">
        <v>293.38840727779598</v>
      </c>
    </row>
    <row r="28" spans="1:28" x14ac:dyDescent="0.25">
      <c r="A28" s="8">
        <v>1995</v>
      </c>
      <c r="B28" s="8">
        <v>3</v>
      </c>
      <c r="C28" s="10">
        <v>293.89070014055301</v>
      </c>
      <c r="F28" s="8">
        <v>1995</v>
      </c>
      <c r="G28" s="8">
        <v>3</v>
      </c>
      <c r="H28" s="10">
        <v>295.61906784242899</v>
      </c>
      <c r="J28" s="10">
        <v>1995</v>
      </c>
      <c r="K28" s="10">
        <v>3</v>
      </c>
      <c r="L28" s="10">
        <v>296.94526905896203</v>
      </c>
      <c r="N28" s="10">
        <v>1995</v>
      </c>
      <c r="O28" s="10">
        <v>3</v>
      </c>
      <c r="P28" s="10">
        <v>296.95180730279799</v>
      </c>
      <c r="R28" s="10">
        <v>1995</v>
      </c>
      <c r="S28" s="10">
        <v>3</v>
      </c>
      <c r="T28" s="10">
        <v>296.92194294665501</v>
      </c>
      <c r="V28" s="10">
        <v>1995</v>
      </c>
      <c r="W28" s="10">
        <v>3</v>
      </c>
      <c r="X28" s="10">
        <v>296.73738716000997</v>
      </c>
      <c r="Z28" s="10">
        <v>1995</v>
      </c>
      <c r="AA28" s="10">
        <v>3</v>
      </c>
      <c r="AB28" s="10">
        <v>296.14128336400398</v>
      </c>
    </row>
    <row r="29" spans="1:28" x14ac:dyDescent="0.25">
      <c r="A29" s="8">
        <v>1995</v>
      </c>
      <c r="B29" s="8">
        <v>4</v>
      </c>
      <c r="C29" s="10">
        <v>287.84019856026202</v>
      </c>
      <c r="F29" s="8">
        <v>1995</v>
      </c>
      <c r="G29" s="8">
        <v>4</v>
      </c>
      <c r="H29" s="10">
        <v>287.13127304023499</v>
      </c>
      <c r="J29" s="10">
        <v>1995</v>
      </c>
      <c r="K29" s="10">
        <v>4</v>
      </c>
      <c r="L29" s="10">
        <v>287.568178939522</v>
      </c>
      <c r="N29" s="10">
        <v>1995</v>
      </c>
      <c r="O29" s="10">
        <v>4</v>
      </c>
      <c r="P29" s="10">
        <v>287.50850839311801</v>
      </c>
      <c r="R29" s="10">
        <v>1995</v>
      </c>
      <c r="S29" s="10">
        <v>4</v>
      </c>
      <c r="T29" s="10">
        <v>287.65150325803</v>
      </c>
      <c r="V29" s="10">
        <v>1995</v>
      </c>
      <c r="W29" s="10">
        <v>4</v>
      </c>
      <c r="X29" s="10">
        <v>287.70881612133701</v>
      </c>
      <c r="Z29" s="10">
        <v>1995</v>
      </c>
      <c r="AA29" s="10">
        <v>4</v>
      </c>
      <c r="AB29" s="10">
        <v>286.91929662447802</v>
      </c>
    </row>
    <row r="30" spans="1:28" x14ac:dyDescent="0.25">
      <c r="A30" s="8">
        <v>1995</v>
      </c>
      <c r="B30" s="8">
        <v>5</v>
      </c>
      <c r="C30" s="10">
        <v>294.84229867094598</v>
      </c>
      <c r="F30" s="8">
        <v>1995</v>
      </c>
      <c r="G30" s="8">
        <v>5</v>
      </c>
      <c r="H30" s="10">
        <v>294.816792326013</v>
      </c>
      <c r="J30" s="10">
        <v>1995</v>
      </c>
      <c r="K30" s="10">
        <v>5</v>
      </c>
      <c r="L30" s="10">
        <v>294.47646537894502</v>
      </c>
      <c r="N30" s="10">
        <v>1995</v>
      </c>
      <c r="O30" s="10">
        <v>5</v>
      </c>
      <c r="P30" s="10">
        <v>294.51306387094502</v>
      </c>
      <c r="R30" s="10">
        <v>1995</v>
      </c>
      <c r="S30" s="10">
        <v>5</v>
      </c>
      <c r="T30" s="10">
        <v>294.427679661561</v>
      </c>
      <c r="V30" s="10">
        <v>1995</v>
      </c>
      <c r="W30" s="10">
        <v>5</v>
      </c>
      <c r="X30" s="10">
        <v>294.43790845228102</v>
      </c>
      <c r="Z30" s="10">
        <v>1995</v>
      </c>
      <c r="AA30" s="10">
        <v>5</v>
      </c>
      <c r="AB30" s="10">
        <v>294.85007899228401</v>
      </c>
    </row>
    <row r="31" spans="1:28" x14ac:dyDescent="0.25">
      <c r="A31" s="8">
        <v>1995</v>
      </c>
      <c r="B31" s="8">
        <v>6</v>
      </c>
      <c r="C31" s="10">
        <v>294.842592730847</v>
      </c>
      <c r="F31" s="8">
        <v>1995</v>
      </c>
      <c r="G31" s="8">
        <v>6</v>
      </c>
      <c r="H31" s="10">
        <v>294.78134194556799</v>
      </c>
      <c r="J31" s="10">
        <v>1995</v>
      </c>
      <c r="K31" s="10">
        <v>6</v>
      </c>
      <c r="L31" s="10">
        <v>294.48227670553501</v>
      </c>
      <c r="N31" s="10">
        <v>1995</v>
      </c>
      <c r="O31" s="10">
        <v>6</v>
      </c>
      <c r="P31" s="10">
        <v>294.50942750863402</v>
      </c>
      <c r="R31" s="10">
        <v>1995</v>
      </c>
      <c r="S31" s="10">
        <v>6</v>
      </c>
      <c r="T31" s="10">
        <v>294.44682360280802</v>
      </c>
      <c r="V31" s="10">
        <v>1995</v>
      </c>
      <c r="W31" s="10">
        <v>6</v>
      </c>
      <c r="X31" s="10">
        <v>294.45916650307998</v>
      </c>
      <c r="Z31" s="10">
        <v>1995</v>
      </c>
      <c r="AA31" s="10">
        <v>6</v>
      </c>
      <c r="AB31" s="10">
        <v>294.790261700119</v>
      </c>
    </row>
    <row r="32" spans="1:28" x14ac:dyDescent="0.25">
      <c r="A32" s="8">
        <v>1995</v>
      </c>
      <c r="B32" s="8">
        <v>7</v>
      </c>
      <c r="C32" s="10">
        <v>306.63772397441898</v>
      </c>
      <c r="F32" s="8">
        <v>1995</v>
      </c>
      <c r="G32" s="8">
        <v>7</v>
      </c>
      <c r="H32" s="10">
        <v>306.72456362804502</v>
      </c>
      <c r="J32" s="10">
        <v>1995</v>
      </c>
      <c r="K32" s="10">
        <v>7</v>
      </c>
      <c r="L32" s="10">
        <v>306.66051723228099</v>
      </c>
      <c r="N32" s="10">
        <v>1995</v>
      </c>
      <c r="O32" s="10">
        <v>7</v>
      </c>
      <c r="P32" s="10">
        <v>306.63534350582802</v>
      </c>
      <c r="R32" s="10">
        <v>1995</v>
      </c>
      <c r="S32" s="10">
        <v>7</v>
      </c>
      <c r="T32" s="10">
        <v>306.70608289354499</v>
      </c>
      <c r="V32" s="10">
        <v>1995</v>
      </c>
      <c r="W32" s="10">
        <v>7</v>
      </c>
      <c r="X32" s="10">
        <v>306.68611766709398</v>
      </c>
      <c r="Z32" s="10">
        <v>1995</v>
      </c>
      <c r="AA32" s="10">
        <v>7</v>
      </c>
      <c r="AB32" s="10">
        <v>306.66283328509599</v>
      </c>
    </row>
    <row r="33" spans="1:28" x14ac:dyDescent="0.25">
      <c r="A33" s="8">
        <v>1995</v>
      </c>
      <c r="B33" s="8">
        <v>8</v>
      </c>
      <c r="C33" s="10">
        <v>297.76808004146699</v>
      </c>
      <c r="F33" s="8">
        <v>1995</v>
      </c>
      <c r="G33" s="8">
        <v>8</v>
      </c>
      <c r="H33" s="10">
        <v>297.65165315073398</v>
      </c>
      <c r="J33" s="10">
        <v>1995</v>
      </c>
      <c r="K33" s="10">
        <v>8</v>
      </c>
      <c r="L33" s="10">
        <v>297.41487662973998</v>
      </c>
      <c r="N33" s="10">
        <v>1995</v>
      </c>
      <c r="O33" s="10">
        <v>8</v>
      </c>
      <c r="P33" s="10">
        <v>297.43806162452</v>
      </c>
      <c r="R33" s="10">
        <v>1995</v>
      </c>
      <c r="S33" s="10">
        <v>8</v>
      </c>
      <c r="T33" s="10">
        <v>297.38558244149198</v>
      </c>
      <c r="V33" s="10">
        <v>1995</v>
      </c>
      <c r="W33" s="10">
        <v>8</v>
      </c>
      <c r="X33" s="10">
        <v>297.38688458122499</v>
      </c>
      <c r="Z33" s="10">
        <v>1995</v>
      </c>
      <c r="AA33" s="10">
        <v>8</v>
      </c>
      <c r="AB33" s="10">
        <v>297.66092549773498</v>
      </c>
    </row>
    <row r="34" spans="1:28" x14ac:dyDescent="0.25">
      <c r="A34" s="8">
        <v>1995</v>
      </c>
      <c r="B34" s="8">
        <v>9</v>
      </c>
      <c r="C34" s="10">
        <v>297.61335140766801</v>
      </c>
      <c r="F34" s="8">
        <v>1995</v>
      </c>
      <c r="G34" s="8">
        <v>9</v>
      </c>
      <c r="H34" s="10">
        <v>297.286782415468</v>
      </c>
      <c r="J34" s="10">
        <v>1995</v>
      </c>
      <c r="K34" s="10">
        <v>9</v>
      </c>
      <c r="L34" s="10">
        <v>297.40374112460597</v>
      </c>
      <c r="N34" s="10">
        <v>1995</v>
      </c>
      <c r="O34" s="10">
        <v>9</v>
      </c>
      <c r="P34" s="10">
        <v>297.38427441548902</v>
      </c>
      <c r="R34" s="10">
        <v>1995</v>
      </c>
      <c r="S34" s="10">
        <v>9</v>
      </c>
      <c r="T34" s="10">
        <v>297.43674350829298</v>
      </c>
      <c r="V34" s="10">
        <v>1995</v>
      </c>
      <c r="W34" s="10">
        <v>9</v>
      </c>
      <c r="X34" s="10">
        <v>297.43820854273503</v>
      </c>
      <c r="Z34" s="10">
        <v>1995</v>
      </c>
      <c r="AA34" s="10">
        <v>9</v>
      </c>
      <c r="AB34" s="10">
        <v>297.18733557416198</v>
      </c>
    </row>
    <row r="35" spans="1:28" x14ac:dyDescent="0.25">
      <c r="A35" s="8">
        <v>1995</v>
      </c>
      <c r="B35" s="8">
        <v>10</v>
      </c>
      <c r="C35" s="10">
        <v>304.01344564961698</v>
      </c>
      <c r="F35" s="8">
        <v>1995</v>
      </c>
      <c r="G35" s="8">
        <v>10</v>
      </c>
      <c r="H35" s="10">
        <v>303.82738933475599</v>
      </c>
      <c r="J35" s="10">
        <v>1995</v>
      </c>
      <c r="K35" s="10">
        <v>10</v>
      </c>
      <c r="L35" s="10">
        <v>303.71325299386802</v>
      </c>
      <c r="N35" s="10">
        <v>1995</v>
      </c>
      <c r="O35" s="10">
        <v>10</v>
      </c>
      <c r="P35" s="10">
        <v>303.71231497254098</v>
      </c>
      <c r="R35" s="10">
        <v>1995</v>
      </c>
      <c r="S35" s="10">
        <v>10</v>
      </c>
      <c r="T35" s="10">
        <v>303.72125497903801</v>
      </c>
      <c r="V35" s="10">
        <v>1995</v>
      </c>
      <c r="W35" s="10">
        <v>10</v>
      </c>
      <c r="X35" s="10">
        <v>303.73047773033699</v>
      </c>
      <c r="Z35" s="10">
        <v>1995</v>
      </c>
      <c r="AA35" s="10">
        <v>10</v>
      </c>
      <c r="AB35" s="10">
        <v>303.78088003952303</v>
      </c>
    </row>
    <row r="36" spans="1:28" x14ac:dyDescent="0.25">
      <c r="A36" s="8">
        <v>1995</v>
      </c>
      <c r="B36" s="8">
        <v>11</v>
      </c>
      <c r="C36" s="10">
        <v>315.68167031813402</v>
      </c>
      <c r="F36" s="8">
        <v>1995</v>
      </c>
      <c r="G36" s="8">
        <v>11</v>
      </c>
      <c r="H36" s="10">
        <v>316.27103416677801</v>
      </c>
      <c r="J36" s="10">
        <v>1995</v>
      </c>
      <c r="K36" s="10">
        <v>11</v>
      </c>
      <c r="L36" s="10">
        <v>315.64505356303198</v>
      </c>
      <c r="N36" s="10">
        <v>1995</v>
      </c>
      <c r="O36" s="10">
        <v>11</v>
      </c>
      <c r="P36" s="10">
        <v>315.67973939230501</v>
      </c>
      <c r="R36" s="10">
        <v>1995</v>
      </c>
      <c r="S36" s="10">
        <v>11</v>
      </c>
      <c r="T36" s="10">
        <v>315.587746685806</v>
      </c>
      <c r="V36" s="10">
        <v>1995</v>
      </c>
      <c r="W36" s="10">
        <v>11</v>
      </c>
      <c r="X36" s="10">
        <v>315.64767655104703</v>
      </c>
      <c r="Z36" s="10">
        <v>1995</v>
      </c>
      <c r="AA36" s="10">
        <v>11</v>
      </c>
      <c r="AB36" s="10">
        <v>316.26054974394901</v>
      </c>
    </row>
    <row r="37" spans="1:28" x14ac:dyDescent="0.25">
      <c r="A37" s="8">
        <v>1995</v>
      </c>
      <c r="B37" s="8">
        <v>12</v>
      </c>
      <c r="C37" s="10">
        <v>289.58761854449398</v>
      </c>
      <c r="F37" s="8">
        <v>1995</v>
      </c>
      <c r="G37" s="8">
        <v>12</v>
      </c>
      <c r="H37" s="10">
        <v>289.609740597263</v>
      </c>
      <c r="J37" s="10">
        <v>1995</v>
      </c>
      <c r="K37" s="10">
        <v>12</v>
      </c>
      <c r="L37" s="10">
        <v>289.89081723270499</v>
      </c>
      <c r="N37" s="10">
        <v>1995</v>
      </c>
      <c r="O37" s="10">
        <v>12</v>
      </c>
      <c r="P37" s="10">
        <v>289.82681837593498</v>
      </c>
      <c r="R37" s="10">
        <v>1995</v>
      </c>
      <c r="S37" s="10">
        <v>12</v>
      </c>
      <c r="T37" s="10">
        <v>289.97542729540203</v>
      </c>
      <c r="V37" s="10">
        <v>1995</v>
      </c>
      <c r="W37" s="10">
        <v>12</v>
      </c>
      <c r="X37" s="10">
        <v>289.93740488570199</v>
      </c>
      <c r="Z37" s="10">
        <v>1995</v>
      </c>
      <c r="AA37" s="10">
        <v>12</v>
      </c>
      <c r="AB37" s="10">
        <v>289.52417893361797</v>
      </c>
    </row>
    <row r="38" spans="1:28" x14ac:dyDescent="0.25">
      <c r="A38" s="8">
        <v>1996</v>
      </c>
      <c r="B38" s="8">
        <v>1</v>
      </c>
      <c r="C38" s="10">
        <v>310.300285982969</v>
      </c>
      <c r="F38" s="8">
        <v>1996</v>
      </c>
      <c r="G38" s="8">
        <v>1</v>
      </c>
      <c r="H38" s="10">
        <v>309.87228555602201</v>
      </c>
      <c r="J38" s="10">
        <v>1996</v>
      </c>
      <c r="K38" s="10">
        <v>1</v>
      </c>
      <c r="L38" s="10">
        <v>309.38789903609802</v>
      </c>
      <c r="N38" s="10">
        <v>1996</v>
      </c>
      <c r="O38" s="10">
        <v>1</v>
      </c>
      <c r="P38" s="10">
        <v>309.43410321576999</v>
      </c>
      <c r="R38" s="10">
        <v>1996</v>
      </c>
      <c r="S38" s="10">
        <v>1</v>
      </c>
      <c r="T38" s="10">
        <v>309.330222865449</v>
      </c>
      <c r="V38" s="10">
        <v>1996</v>
      </c>
      <c r="W38" s="10">
        <v>1</v>
      </c>
      <c r="X38" s="10">
        <v>309.37885317789602</v>
      </c>
      <c r="Z38" s="10">
        <v>1996</v>
      </c>
      <c r="AA38" s="10">
        <v>1</v>
      </c>
      <c r="AB38" s="10">
        <v>309.887197392019</v>
      </c>
    </row>
    <row r="39" spans="1:28" x14ac:dyDescent="0.25">
      <c r="A39" s="8">
        <v>1996</v>
      </c>
      <c r="B39" s="8">
        <v>2</v>
      </c>
      <c r="C39" s="10">
        <v>341.23455222115001</v>
      </c>
      <c r="F39" s="8">
        <v>1996</v>
      </c>
      <c r="G39" s="8">
        <v>2</v>
      </c>
      <c r="H39" s="10">
        <v>333.81371600452798</v>
      </c>
      <c r="J39" s="10">
        <v>1996</v>
      </c>
      <c r="K39" s="10">
        <v>2</v>
      </c>
      <c r="L39" s="10">
        <v>331.03153835080599</v>
      </c>
      <c r="N39" s="10">
        <v>1996</v>
      </c>
      <c r="O39" s="10">
        <v>2</v>
      </c>
      <c r="P39" s="10">
        <v>331.04803367901002</v>
      </c>
      <c r="R39" s="10">
        <v>1996</v>
      </c>
      <c r="S39" s="10">
        <v>2</v>
      </c>
      <c r="T39" s="10">
        <v>331.17959877829998</v>
      </c>
      <c r="V39" s="10">
        <v>1996</v>
      </c>
      <c r="W39" s="10">
        <v>2</v>
      </c>
      <c r="X39" s="10">
        <v>332.525331320281</v>
      </c>
      <c r="Z39" s="10">
        <v>1996</v>
      </c>
      <c r="AA39" s="10">
        <v>2</v>
      </c>
      <c r="AB39" s="10">
        <v>332.114424528352</v>
      </c>
    </row>
    <row r="40" spans="1:28" x14ac:dyDescent="0.25">
      <c r="A40" s="8">
        <v>1996</v>
      </c>
      <c r="B40" s="8">
        <v>3</v>
      </c>
      <c r="C40" s="10">
        <v>350.17449568645202</v>
      </c>
      <c r="F40" s="8">
        <v>1996</v>
      </c>
      <c r="G40" s="8">
        <v>3</v>
      </c>
      <c r="H40" s="10">
        <v>351.60872519268202</v>
      </c>
      <c r="J40" s="10">
        <v>1996</v>
      </c>
      <c r="K40" s="10">
        <v>3</v>
      </c>
      <c r="L40" s="10">
        <v>353.38010097439201</v>
      </c>
      <c r="N40" s="10">
        <v>1996</v>
      </c>
      <c r="O40" s="10">
        <v>3</v>
      </c>
      <c r="P40" s="10">
        <v>353.30784150703698</v>
      </c>
      <c r="R40" s="10">
        <v>1996</v>
      </c>
      <c r="S40" s="10">
        <v>3</v>
      </c>
      <c r="T40" s="10">
        <v>353.45939024175902</v>
      </c>
      <c r="V40" s="10">
        <v>1996</v>
      </c>
      <c r="W40" s="10">
        <v>3</v>
      </c>
      <c r="X40" s="10">
        <v>353.294610052829</v>
      </c>
      <c r="Z40" s="10">
        <v>1996</v>
      </c>
      <c r="AA40" s="10">
        <v>3</v>
      </c>
      <c r="AB40" s="10">
        <v>351.93195172772698</v>
      </c>
    </row>
    <row r="41" spans="1:28" x14ac:dyDescent="0.25">
      <c r="A41" s="8">
        <v>1996</v>
      </c>
      <c r="B41" s="8">
        <v>4</v>
      </c>
      <c r="C41" s="10">
        <v>331.27608291846099</v>
      </c>
      <c r="F41" s="8">
        <v>1996</v>
      </c>
      <c r="G41" s="8">
        <v>4</v>
      </c>
      <c r="H41" s="10">
        <v>330.99819120940998</v>
      </c>
      <c r="J41" s="10">
        <v>1996</v>
      </c>
      <c r="K41" s="10">
        <v>4</v>
      </c>
      <c r="L41" s="10">
        <v>330.85149496448503</v>
      </c>
      <c r="N41" s="10">
        <v>1996</v>
      </c>
      <c r="O41" s="10">
        <v>4</v>
      </c>
      <c r="P41" s="10">
        <v>330.87395770168098</v>
      </c>
      <c r="R41" s="10">
        <v>1996</v>
      </c>
      <c r="S41" s="10">
        <v>4</v>
      </c>
      <c r="T41" s="10">
        <v>330.82190359007598</v>
      </c>
      <c r="V41" s="10">
        <v>1996</v>
      </c>
      <c r="W41" s="10">
        <v>4</v>
      </c>
      <c r="X41" s="10">
        <v>330.85988619188998</v>
      </c>
      <c r="Z41" s="10">
        <v>1996</v>
      </c>
      <c r="AA41" s="10">
        <v>4</v>
      </c>
      <c r="AB41" s="10">
        <v>330.97685657830601</v>
      </c>
    </row>
    <row r="42" spans="1:28" x14ac:dyDescent="0.25">
      <c r="A42" s="8">
        <v>1996</v>
      </c>
      <c r="B42" s="8">
        <v>5</v>
      </c>
      <c r="C42" s="10">
        <v>335.821597703691</v>
      </c>
      <c r="F42" s="8">
        <v>1996</v>
      </c>
      <c r="G42" s="8">
        <v>5</v>
      </c>
      <c r="H42" s="10">
        <v>335.82087213689999</v>
      </c>
      <c r="J42" s="10">
        <v>1996</v>
      </c>
      <c r="K42" s="10">
        <v>5</v>
      </c>
      <c r="L42" s="10">
        <v>335.47059828145098</v>
      </c>
      <c r="N42" s="10">
        <v>1996</v>
      </c>
      <c r="O42" s="10">
        <v>5</v>
      </c>
      <c r="P42" s="10">
        <v>335.51009562875799</v>
      </c>
      <c r="R42" s="10">
        <v>1996</v>
      </c>
      <c r="S42" s="10">
        <v>5</v>
      </c>
      <c r="T42" s="10">
        <v>335.41618464277002</v>
      </c>
      <c r="V42" s="10">
        <v>1996</v>
      </c>
      <c r="W42" s="10">
        <v>5</v>
      </c>
      <c r="X42" s="10">
        <v>335.43121281246198</v>
      </c>
      <c r="Z42" s="10">
        <v>1996</v>
      </c>
      <c r="AA42" s="10">
        <v>5</v>
      </c>
      <c r="AB42" s="10">
        <v>335.85662964748002</v>
      </c>
    </row>
    <row r="43" spans="1:28" x14ac:dyDescent="0.25">
      <c r="A43" s="8">
        <v>1996</v>
      </c>
      <c r="B43" s="8">
        <v>6</v>
      </c>
      <c r="C43" s="10">
        <v>343.670405988006</v>
      </c>
      <c r="F43" s="8">
        <v>1996</v>
      </c>
      <c r="G43" s="8">
        <v>6</v>
      </c>
      <c r="H43" s="10">
        <v>343.37277877279001</v>
      </c>
      <c r="J43" s="10">
        <v>1996</v>
      </c>
      <c r="K43" s="10">
        <v>6</v>
      </c>
      <c r="L43" s="10">
        <v>343.64079444395099</v>
      </c>
      <c r="N43" s="10">
        <v>1996</v>
      </c>
      <c r="O43" s="10">
        <v>6</v>
      </c>
      <c r="P43" s="10">
        <v>343.58228722224402</v>
      </c>
      <c r="R43" s="10">
        <v>1996</v>
      </c>
      <c r="S43" s="10">
        <v>6</v>
      </c>
      <c r="T43" s="10">
        <v>343.71858605148998</v>
      </c>
      <c r="V43" s="10">
        <v>1996</v>
      </c>
      <c r="W43" s="10">
        <v>6</v>
      </c>
      <c r="X43" s="10">
        <v>343.748518776043</v>
      </c>
      <c r="Z43" s="10">
        <v>1996</v>
      </c>
      <c r="AA43" s="10">
        <v>6</v>
      </c>
      <c r="AB43" s="10">
        <v>343.19156050260898</v>
      </c>
    </row>
    <row r="44" spans="1:28" x14ac:dyDescent="0.25">
      <c r="A44" s="8">
        <v>1996</v>
      </c>
      <c r="B44" s="8">
        <v>7</v>
      </c>
      <c r="C44" s="10">
        <v>334.85218675323199</v>
      </c>
      <c r="F44" s="8">
        <v>1996</v>
      </c>
      <c r="G44" s="8">
        <v>7</v>
      </c>
      <c r="H44" s="10">
        <v>335.44584157445502</v>
      </c>
      <c r="J44" s="10">
        <v>1996</v>
      </c>
      <c r="K44" s="10">
        <v>7</v>
      </c>
      <c r="L44" s="10">
        <v>334.78066573253</v>
      </c>
      <c r="N44" s="10">
        <v>1996</v>
      </c>
      <c r="O44" s="10">
        <v>7</v>
      </c>
      <c r="P44" s="10">
        <v>334.84306819680103</v>
      </c>
      <c r="R44" s="10">
        <v>1996</v>
      </c>
      <c r="S44" s="10">
        <v>7</v>
      </c>
      <c r="T44" s="10">
        <v>334.71199346214701</v>
      </c>
      <c r="V44" s="10">
        <v>1996</v>
      </c>
      <c r="W44" s="10">
        <v>7</v>
      </c>
      <c r="X44" s="10">
        <v>334.64134939293598</v>
      </c>
      <c r="Z44" s="10">
        <v>1996</v>
      </c>
      <c r="AA44" s="10">
        <v>7</v>
      </c>
      <c r="AB44" s="10">
        <v>335.614036057524</v>
      </c>
    </row>
    <row r="45" spans="1:28" x14ac:dyDescent="0.25">
      <c r="A45" s="8">
        <v>1996</v>
      </c>
      <c r="B45" s="8">
        <v>8</v>
      </c>
      <c r="C45" s="10">
        <v>333.737939358483</v>
      </c>
      <c r="F45" s="8">
        <v>1996</v>
      </c>
      <c r="G45" s="8">
        <v>8</v>
      </c>
      <c r="H45" s="10">
        <v>333.499459606355</v>
      </c>
      <c r="J45" s="10">
        <v>1996</v>
      </c>
      <c r="K45" s="10">
        <v>8</v>
      </c>
      <c r="L45" s="10">
        <v>333.56220618921901</v>
      </c>
      <c r="N45" s="10">
        <v>1996</v>
      </c>
      <c r="O45" s="10">
        <v>8</v>
      </c>
      <c r="P45" s="10">
        <v>333.54648411726401</v>
      </c>
      <c r="R45" s="10">
        <v>1996</v>
      </c>
      <c r="S45" s="10">
        <v>8</v>
      </c>
      <c r="T45" s="10">
        <v>333.58320910967097</v>
      </c>
      <c r="V45" s="10">
        <v>1996</v>
      </c>
      <c r="W45" s="10">
        <v>8</v>
      </c>
      <c r="X45" s="10">
        <v>333.58918191162098</v>
      </c>
      <c r="Z45" s="10">
        <v>1996</v>
      </c>
      <c r="AA45" s="10">
        <v>8</v>
      </c>
      <c r="AB45" s="10">
        <v>333.42725778963398</v>
      </c>
    </row>
    <row r="46" spans="1:28" x14ac:dyDescent="0.25">
      <c r="A46" s="8">
        <v>1996</v>
      </c>
      <c r="B46" s="8">
        <v>9</v>
      </c>
      <c r="C46" s="10">
        <v>333.84392688078202</v>
      </c>
      <c r="F46" s="8">
        <v>1996</v>
      </c>
      <c r="G46" s="8">
        <v>9</v>
      </c>
      <c r="H46" s="10">
        <v>333.556324501809</v>
      </c>
      <c r="J46" s="10">
        <v>1996</v>
      </c>
      <c r="K46" s="10">
        <v>9</v>
      </c>
      <c r="L46" s="10">
        <v>333.65317153397399</v>
      </c>
      <c r="N46" s="10">
        <v>1996</v>
      </c>
      <c r="O46" s="10">
        <v>9</v>
      </c>
      <c r="P46" s="10">
        <v>333.62924736737102</v>
      </c>
      <c r="R46" s="10">
        <v>1996</v>
      </c>
      <c r="S46" s="10">
        <v>9</v>
      </c>
      <c r="T46" s="10">
        <v>333.69121157188101</v>
      </c>
      <c r="V46" s="10">
        <v>1996</v>
      </c>
      <c r="W46" s="10">
        <v>9</v>
      </c>
      <c r="X46" s="10">
        <v>333.69918051003702</v>
      </c>
      <c r="Z46" s="10">
        <v>1996</v>
      </c>
      <c r="AA46" s="10">
        <v>9</v>
      </c>
      <c r="AB46" s="10">
        <v>333.45397211431299</v>
      </c>
    </row>
    <row r="47" spans="1:28" x14ac:dyDescent="0.25">
      <c r="A47" s="8">
        <v>1996</v>
      </c>
      <c r="B47" s="8">
        <v>10</v>
      </c>
      <c r="C47" s="10">
        <v>344.61245645259601</v>
      </c>
      <c r="F47" s="8">
        <v>1996</v>
      </c>
      <c r="G47" s="8">
        <v>10</v>
      </c>
      <c r="H47" s="10">
        <v>344.52548624424401</v>
      </c>
      <c r="J47" s="10">
        <v>1996</v>
      </c>
      <c r="K47" s="10">
        <v>10</v>
      </c>
      <c r="L47" s="10">
        <v>344.18455935578902</v>
      </c>
      <c r="N47" s="10">
        <v>1996</v>
      </c>
      <c r="O47" s="10">
        <v>10</v>
      </c>
      <c r="P47" s="10">
        <v>344.22033041742799</v>
      </c>
      <c r="R47" s="10">
        <v>1996</v>
      </c>
      <c r="S47" s="10">
        <v>10</v>
      </c>
      <c r="T47" s="10">
        <v>344.144211367764</v>
      </c>
      <c r="V47" s="10">
        <v>1996</v>
      </c>
      <c r="W47" s="10">
        <v>10</v>
      </c>
      <c r="X47" s="10">
        <v>344.14638349540701</v>
      </c>
      <c r="Z47" s="10">
        <v>1996</v>
      </c>
      <c r="AA47" s="10">
        <v>10</v>
      </c>
      <c r="AB47" s="10">
        <v>344.56014202350599</v>
      </c>
    </row>
    <row r="48" spans="1:28" x14ac:dyDescent="0.25">
      <c r="A48" s="8">
        <v>1996</v>
      </c>
      <c r="B48" s="8">
        <v>11</v>
      </c>
      <c r="C48" s="10">
        <v>348.52151837929</v>
      </c>
      <c r="F48" s="8">
        <v>1996</v>
      </c>
      <c r="G48" s="8">
        <v>11</v>
      </c>
      <c r="H48" s="10">
        <v>348.70657037976298</v>
      </c>
      <c r="J48" s="10">
        <v>1996</v>
      </c>
      <c r="K48" s="10">
        <v>11</v>
      </c>
      <c r="L48" s="10">
        <v>348.44958203975699</v>
      </c>
      <c r="N48" s="10">
        <v>1996</v>
      </c>
      <c r="O48" s="10">
        <v>11</v>
      </c>
      <c r="P48" s="10">
        <v>348.44299839504799</v>
      </c>
      <c r="R48" s="10">
        <v>1996</v>
      </c>
      <c r="S48" s="10">
        <v>11</v>
      </c>
      <c r="T48" s="10">
        <v>348.457432631176</v>
      </c>
      <c r="V48" s="10">
        <v>1996</v>
      </c>
      <c r="W48" s="10">
        <v>11</v>
      </c>
      <c r="X48" s="10">
        <v>348.50017581688797</v>
      </c>
      <c r="Z48" s="10">
        <v>1996</v>
      </c>
      <c r="AA48" s="10">
        <v>11</v>
      </c>
      <c r="AB48" s="10">
        <v>348.62196818123402</v>
      </c>
    </row>
    <row r="49" spans="1:28" x14ac:dyDescent="0.25">
      <c r="A49" s="8">
        <v>1996</v>
      </c>
      <c r="B49" s="8">
        <v>12</v>
      </c>
      <c r="C49" s="10">
        <v>347.20065491457098</v>
      </c>
      <c r="F49" s="8">
        <v>1996</v>
      </c>
      <c r="G49" s="8">
        <v>12</v>
      </c>
      <c r="H49" s="10">
        <v>347.21048146487402</v>
      </c>
      <c r="J49" s="10">
        <v>1996</v>
      </c>
      <c r="K49" s="10">
        <v>12</v>
      </c>
      <c r="L49" s="10">
        <v>347.33016418773002</v>
      </c>
      <c r="N49" s="10">
        <v>1996</v>
      </c>
      <c r="O49" s="10">
        <v>12</v>
      </c>
      <c r="P49" s="10">
        <v>347.299700072218</v>
      </c>
      <c r="R49" s="10">
        <v>1996</v>
      </c>
      <c r="S49" s="10">
        <v>12</v>
      </c>
      <c r="T49" s="10">
        <v>347.37410585384498</v>
      </c>
      <c r="V49" s="10">
        <v>1996</v>
      </c>
      <c r="W49" s="10">
        <v>12</v>
      </c>
      <c r="X49" s="10">
        <v>347.32511607497003</v>
      </c>
      <c r="Z49" s="10">
        <v>1996</v>
      </c>
      <c r="AA49" s="10">
        <v>12</v>
      </c>
      <c r="AB49" s="10">
        <v>347.19590202464298</v>
      </c>
    </row>
    <row r="50" spans="1:28" x14ac:dyDescent="0.25">
      <c r="A50" s="8">
        <v>1997</v>
      </c>
      <c r="B50" s="8">
        <v>1</v>
      </c>
      <c r="C50" s="10">
        <v>315.71777912482497</v>
      </c>
      <c r="F50" s="8">
        <v>1997</v>
      </c>
      <c r="G50" s="8">
        <v>1</v>
      </c>
      <c r="H50" s="10">
        <v>315.17218803896202</v>
      </c>
      <c r="J50" s="10">
        <v>1997</v>
      </c>
      <c r="K50" s="10">
        <v>1</v>
      </c>
      <c r="L50" s="10">
        <v>314.61018406606098</v>
      </c>
      <c r="N50" s="10">
        <v>1997</v>
      </c>
      <c r="O50" s="10">
        <v>1</v>
      </c>
      <c r="P50" s="10">
        <v>314.655600909545</v>
      </c>
      <c r="R50" s="10">
        <v>1997</v>
      </c>
      <c r="S50" s="10">
        <v>1</v>
      </c>
      <c r="T50" s="10">
        <v>314.561724715156</v>
      </c>
      <c r="V50" s="10">
        <v>1997</v>
      </c>
      <c r="W50" s="10">
        <v>1</v>
      </c>
      <c r="X50" s="10">
        <v>314.61816774582599</v>
      </c>
      <c r="Z50" s="10">
        <v>1997</v>
      </c>
      <c r="AA50" s="10">
        <v>1</v>
      </c>
      <c r="AB50" s="10">
        <v>315.15573122121901</v>
      </c>
    </row>
    <row r="51" spans="1:28" x14ac:dyDescent="0.25">
      <c r="A51" s="8">
        <v>1997</v>
      </c>
      <c r="B51" s="8">
        <v>2</v>
      </c>
      <c r="C51" s="10">
        <v>335.78934716997702</v>
      </c>
      <c r="F51" s="8">
        <v>1997</v>
      </c>
      <c r="G51" s="8">
        <v>2</v>
      </c>
      <c r="H51" s="10">
        <v>337.47958952763503</v>
      </c>
      <c r="J51" s="10">
        <v>1997</v>
      </c>
      <c r="K51" s="10">
        <v>2</v>
      </c>
      <c r="L51" s="10">
        <v>338.363299909587</v>
      </c>
      <c r="N51" s="10">
        <v>1997</v>
      </c>
      <c r="O51" s="10">
        <v>2</v>
      </c>
      <c r="P51" s="10">
        <v>338.37358632949798</v>
      </c>
      <c r="R51" s="10">
        <v>1997</v>
      </c>
      <c r="S51" s="10">
        <v>2</v>
      </c>
      <c r="T51" s="10">
        <v>338.27178492523899</v>
      </c>
      <c r="V51" s="10">
        <v>1997</v>
      </c>
      <c r="W51" s="10">
        <v>2</v>
      </c>
      <c r="X51" s="10">
        <v>337.96760510977902</v>
      </c>
      <c r="Z51" s="10">
        <v>1997</v>
      </c>
      <c r="AA51" s="10">
        <v>2</v>
      </c>
      <c r="AB51" s="10">
        <v>337.95587397674001</v>
      </c>
    </row>
    <row r="52" spans="1:28" x14ac:dyDescent="0.25">
      <c r="A52" s="8">
        <v>1997</v>
      </c>
      <c r="B52" s="8">
        <v>3</v>
      </c>
      <c r="C52" s="10">
        <v>346.58104844367801</v>
      </c>
      <c r="F52" s="8">
        <v>1997</v>
      </c>
      <c r="G52" s="8">
        <v>3</v>
      </c>
      <c r="H52" s="10">
        <v>348.05309619522097</v>
      </c>
      <c r="J52" s="10">
        <v>1997</v>
      </c>
      <c r="K52" s="10">
        <v>3</v>
      </c>
      <c r="L52" s="10">
        <v>349.80347787839997</v>
      </c>
      <c r="N52" s="10">
        <v>1997</v>
      </c>
      <c r="O52" s="10">
        <v>3</v>
      </c>
      <c r="P52" s="10">
        <v>349.736922606051</v>
      </c>
      <c r="R52" s="10">
        <v>1997</v>
      </c>
      <c r="S52" s="10">
        <v>3</v>
      </c>
      <c r="T52" s="10">
        <v>349.86477379073301</v>
      </c>
      <c r="V52" s="10">
        <v>1997</v>
      </c>
      <c r="W52" s="10">
        <v>3</v>
      </c>
      <c r="X52" s="10">
        <v>349.68621715655701</v>
      </c>
      <c r="Z52" s="10">
        <v>1997</v>
      </c>
      <c r="AA52" s="10">
        <v>3</v>
      </c>
      <c r="AB52" s="10">
        <v>348.40248020138699</v>
      </c>
    </row>
    <row r="53" spans="1:28" x14ac:dyDescent="0.25">
      <c r="A53" s="8">
        <v>1997</v>
      </c>
      <c r="B53" s="8">
        <v>4</v>
      </c>
      <c r="C53" s="10">
        <v>360.832058551638</v>
      </c>
      <c r="F53" s="8">
        <v>1997</v>
      </c>
      <c r="G53" s="8">
        <v>4</v>
      </c>
      <c r="H53" s="10">
        <v>360.44727996827299</v>
      </c>
      <c r="J53" s="10">
        <v>1997</v>
      </c>
      <c r="K53" s="10">
        <v>4</v>
      </c>
      <c r="L53" s="10">
        <v>360.218172381567</v>
      </c>
      <c r="N53" s="10">
        <v>1997</v>
      </c>
      <c r="O53" s="10">
        <v>4</v>
      </c>
      <c r="P53" s="10">
        <v>360.23644897217702</v>
      </c>
      <c r="R53" s="10">
        <v>1997</v>
      </c>
      <c r="S53" s="10">
        <v>4</v>
      </c>
      <c r="T53" s="10">
        <v>360.201408226171</v>
      </c>
      <c r="V53" s="10">
        <v>1997</v>
      </c>
      <c r="W53" s="10">
        <v>4</v>
      </c>
      <c r="X53" s="10">
        <v>360.23692486989501</v>
      </c>
      <c r="Z53" s="10">
        <v>1997</v>
      </c>
      <c r="AA53" s="10">
        <v>4</v>
      </c>
      <c r="AB53" s="10">
        <v>360.39976156148401</v>
      </c>
    </row>
    <row r="54" spans="1:28" x14ac:dyDescent="0.25">
      <c r="A54" s="8">
        <v>1997</v>
      </c>
      <c r="B54" s="8">
        <v>5</v>
      </c>
      <c r="C54" s="10">
        <v>343.39074921265899</v>
      </c>
      <c r="F54" s="8">
        <v>1997</v>
      </c>
      <c r="G54" s="8">
        <v>5</v>
      </c>
      <c r="H54" s="10">
        <v>343.45337943413602</v>
      </c>
      <c r="J54" s="10">
        <v>1997</v>
      </c>
      <c r="K54" s="10">
        <v>5</v>
      </c>
      <c r="L54" s="10">
        <v>343.35858224996701</v>
      </c>
      <c r="N54" s="10">
        <v>1997</v>
      </c>
      <c r="O54" s="10">
        <v>5</v>
      </c>
      <c r="P54" s="10">
        <v>343.36366364093402</v>
      </c>
      <c r="R54" s="10">
        <v>1997</v>
      </c>
      <c r="S54" s="10">
        <v>5</v>
      </c>
      <c r="T54" s="10">
        <v>343.33791696172</v>
      </c>
      <c r="V54" s="10">
        <v>1997</v>
      </c>
      <c r="W54" s="10">
        <v>5</v>
      </c>
      <c r="X54" s="10">
        <v>343.35181038534103</v>
      </c>
      <c r="Z54" s="10">
        <v>1997</v>
      </c>
      <c r="AA54" s="10">
        <v>5</v>
      </c>
      <c r="AB54" s="10">
        <v>343.42358469020201</v>
      </c>
    </row>
    <row r="55" spans="1:28" x14ac:dyDescent="0.25">
      <c r="A55" s="8">
        <v>1997</v>
      </c>
      <c r="B55" s="8">
        <v>6</v>
      </c>
      <c r="C55" s="10">
        <v>353.19981757902099</v>
      </c>
      <c r="F55" s="8">
        <v>1997</v>
      </c>
      <c r="G55" s="8">
        <v>6</v>
      </c>
      <c r="H55" s="10">
        <v>352.99314430461402</v>
      </c>
      <c r="J55" s="10">
        <v>1997</v>
      </c>
      <c r="K55" s="10">
        <v>6</v>
      </c>
      <c r="L55" s="10">
        <v>352.99033226284803</v>
      </c>
      <c r="N55" s="10">
        <v>1997</v>
      </c>
      <c r="O55" s="10">
        <v>6</v>
      </c>
      <c r="P55" s="10">
        <v>352.97358105682702</v>
      </c>
      <c r="R55" s="10">
        <v>1997</v>
      </c>
      <c r="S55" s="10">
        <v>6</v>
      </c>
      <c r="T55" s="10">
        <v>353.01601994458503</v>
      </c>
      <c r="V55" s="10">
        <v>1997</v>
      </c>
      <c r="W55" s="10">
        <v>6</v>
      </c>
      <c r="X55" s="10">
        <v>353.04565346897198</v>
      </c>
      <c r="Z55" s="10">
        <v>1997</v>
      </c>
      <c r="AA55" s="10">
        <v>6</v>
      </c>
      <c r="AB55" s="10">
        <v>352.89197536036102</v>
      </c>
    </row>
    <row r="56" spans="1:28" x14ac:dyDescent="0.25">
      <c r="A56" s="8">
        <v>1997</v>
      </c>
      <c r="B56" s="8">
        <v>7</v>
      </c>
      <c r="C56" s="10">
        <v>361.54275641715202</v>
      </c>
      <c r="F56" s="8">
        <v>1997</v>
      </c>
      <c r="G56" s="8">
        <v>7</v>
      </c>
      <c r="H56" s="10">
        <v>362.29219846303698</v>
      </c>
      <c r="J56" s="10">
        <v>1997</v>
      </c>
      <c r="K56" s="10">
        <v>7</v>
      </c>
      <c r="L56" s="10">
        <v>361.61046172455298</v>
      </c>
      <c r="N56" s="10">
        <v>1997</v>
      </c>
      <c r="O56" s="10">
        <v>7</v>
      </c>
      <c r="P56" s="10">
        <v>361.67129799730202</v>
      </c>
      <c r="R56" s="10">
        <v>1997</v>
      </c>
      <c r="S56" s="10">
        <v>7</v>
      </c>
      <c r="T56" s="10">
        <v>361.54698258442102</v>
      </c>
      <c r="V56" s="10">
        <v>1997</v>
      </c>
      <c r="W56" s="10">
        <v>7</v>
      </c>
      <c r="X56" s="10">
        <v>361.44094431078003</v>
      </c>
      <c r="Z56" s="10">
        <v>1997</v>
      </c>
      <c r="AA56" s="10">
        <v>7</v>
      </c>
      <c r="AB56" s="10">
        <v>362.48848369532402</v>
      </c>
    </row>
    <row r="57" spans="1:28" x14ac:dyDescent="0.25">
      <c r="A57" s="8">
        <v>1997</v>
      </c>
      <c r="B57" s="8">
        <v>8</v>
      </c>
      <c r="C57" s="10">
        <v>338.251139824549</v>
      </c>
      <c r="F57" s="8">
        <v>1997</v>
      </c>
      <c r="G57" s="8">
        <v>8</v>
      </c>
      <c r="H57" s="10">
        <v>337.87590467778398</v>
      </c>
      <c r="J57" s="10">
        <v>1997</v>
      </c>
      <c r="K57" s="10">
        <v>8</v>
      </c>
      <c r="L57" s="10">
        <v>338.20660306751898</v>
      </c>
      <c r="N57" s="10">
        <v>1997</v>
      </c>
      <c r="O57" s="10">
        <v>8</v>
      </c>
      <c r="P57" s="10">
        <v>338.152367211669</v>
      </c>
      <c r="R57" s="10">
        <v>1997</v>
      </c>
      <c r="S57" s="10">
        <v>8</v>
      </c>
      <c r="T57" s="10">
        <v>338.28005124500203</v>
      </c>
      <c r="V57" s="10">
        <v>1997</v>
      </c>
      <c r="W57" s="10">
        <v>8</v>
      </c>
      <c r="X57" s="10">
        <v>338.29630888028498</v>
      </c>
      <c r="Z57" s="10">
        <v>1997</v>
      </c>
      <c r="AA57" s="10">
        <v>8</v>
      </c>
      <c r="AB57" s="10">
        <v>337.71844956367198</v>
      </c>
    </row>
    <row r="58" spans="1:28" x14ac:dyDescent="0.25">
      <c r="A58" s="8">
        <v>1997</v>
      </c>
      <c r="B58" s="8">
        <v>9</v>
      </c>
      <c r="C58" s="10">
        <v>353.214285566005</v>
      </c>
      <c r="F58" s="8">
        <v>1997</v>
      </c>
      <c r="G58" s="8">
        <v>9</v>
      </c>
      <c r="H58" s="10">
        <v>353.09721115777103</v>
      </c>
      <c r="J58" s="10">
        <v>1997</v>
      </c>
      <c r="K58" s="10">
        <v>9</v>
      </c>
      <c r="L58" s="10">
        <v>352.91198490189601</v>
      </c>
      <c r="N58" s="10">
        <v>1997</v>
      </c>
      <c r="O58" s="10">
        <v>9</v>
      </c>
      <c r="P58" s="10">
        <v>352.92836440769202</v>
      </c>
      <c r="R58" s="10">
        <v>1997</v>
      </c>
      <c r="S58" s="10">
        <v>9</v>
      </c>
      <c r="T58" s="10">
        <v>352.89430555627399</v>
      </c>
      <c r="V58" s="10">
        <v>1997</v>
      </c>
      <c r="W58" s="10">
        <v>9</v>
      </c>
      <c r="X58" s="10">
        <v>352.90015924683303</v>
      </c>
      <c r="Z58" s="10">
        <v>1997</v>
      </c>
      <c r="AA58" s="10">
        <v>9</v>
      </c>
      <c r="AB58" s="10">
        <v>353.093768623877</v>
      </c>
    </row>
    <row r="59" spans="1:28" x14ac:dyDescent="0.25">
      <c r="A59" s="8">
        <v>1997</v>
      </c>
      <c r="B59" s="8">
        <v>10</v>
      </c>
      <c r="C59" s="10">
        <v>356.69184345487002</v>
      </c>
      <c r="F59" s="8">
        <v>1997</v>
      </c>
      <c r="G59" s="8">
        <v>10</v>
      </c>
      <c r="H59" s="10">
        <v>356.63707711066797</v>
      </c>
      <c r="J59" s="10">
        <v>1997</v>
      </c>
      <c r="K59" s="10">
        <v>10</v>
      </c>
      <c r="L59" s="10">
        <v>356.353579440028</v>
      </c>
      <c r="N59" s="10">
        <v>1997</v>
      </c>
      <c r="O59" s="10">
        <v>10</v>
      </c>
      <c r="P59" s="10">
        <v>356.38575418303998</v>
      </c>
      <c r="R59" s="10">
        <v>1997</v>
      </c>
      <c r="S59" s="10">
        <v>10</v>
      </c>
      <c r="T59" s="10">
        <v>356.31634184699197</v>
      </c>
      <c r="V59" s="10">
        <v>1997</v>
      </c>
      <c r="W59" s="10">
        <v>10</v>
      </c>
      <c r="X59" s="10">
        <v>356.31346750178602</v>
      </c>
      <c r="Z59" s="10">
        <v>1997</v>
      </c>
      <c r="AA59" s="10">
        <v>10</v>
      </c>
      <c r="AB59" s="10">
        <v>356.676080029047</v>
      </c>
    </row>
    <row r="60" spans="1:28" x14ac:dyDescent="0.25">
      <c r="A60" s="8">
        <v>1997</v>
      </c>
      <c r="B60" s="8">
        <v>11</v>
      </c>
      <c r="C60" s="10">
        <v>348.54490725923898</v>
      </c>
      <c r="F60" s="8">
        <v>1997</v>
      </c>
      <c r="G60" s="8">
        <v>11</v>
      </c>
      <c r="H60" s="10">
        <v>348.44829402723701</v>
      </c>
      <c r="J60" s="10">
        <v>1997</v>
      </c>
      <c r="K60" s="10">
        <v>11</v>
      </c>
      <c r="L60" s="10">
        <v>348.60328802300398</v>
      </c>
      <c r="N60" s="10">
        <v>1997</v>
      </c>
      <c r="O60" s="10">
        <v>11</v>
      </c>
      <c r="P60" s="10">
        <v>348.55141474516898</v>
      </c>
      <c r="R60" s="10">
        <v>1997</v>
      </c>
      <c r="S60" s="10">
        <v>11</v>
      </c>
      <c r="T60" s="10">
        <v>348.67541058519498</v>
      </c>
      <c r="V60" s="10">
        <v>1997</v>
      </c>
      <c r="W60" s="10">
        <v>11</v>
      </c>
      <c r="X60" s="10">
        <v>348.69806912538201</v>
      </c>
      <c r="Z60" s="10">
        <v>1997</v>
      </c>
      <c r="AA60" s="10">
        <v>11</v>
      </c>
      <c r="AB60" s="10">
        <v>348.292896510319</v>
      </c>
    </row>
    <row r="61" spans="1:28" x14ac:dyDescent="0.25">
      <c r="A61" s="8">
        <v>1997</v>
      </c>
      <c r="B61" s="8">
        <v>12</v>
      </c>
      <c r="C61" s="10">
        <v>358.42642030896002</v>
      </c>
      <c r="F61" s="8">
        <v>1997</v>
      </c>
      <c r="G61" s="8">
        <v>12</v>
      </c>
      <c r="H61" s="10">
        <v>358.28487677809198</v>
      </c>
      <c r="J61" s="10">
        <v>1997</v>
      </c>
      <c r="K61" s="10">
        <v>12</v>
      </c>
      <c r="L61" s="10">
        <v>358.227777239906</v>
      </c>
      <c r="N61" s="10">
        <v>1997</v>
      </c>
      <c r="O61" s="10">
        <v>12</v>
      </c>
      <c r="P61" s="10">
        <v>358.22778190863301</v>
      </c>
      <c r="R61" s="10">
        <v>1997</v>
      </c>
      <c r="S61" s="10">
        <v>12</v>
      </c>
      <c r="T61" s="10">
        <v>358.25040720559298</v>
      </c>
      <c r="V61" s="10">
        <v>1997</v>
      </c>
      <c r="W61" s="10">
        <v>12</v>
      </c>
      <c r="X61" s="10">
        <v>358.19966844951102</v>
      </c>
      <c r="Z61" s="10">
        <v>1997</v>
      </c>
      <c r="AA61" s="10">
        <v>12</v>
      </c>
      <c r="AB61" s="10">
        <v>358.30967096312497</v>
      </c>
    </row>
    <row r="62" spans="1:28" x14ac:dyDescent="0.25">
      <c r="A62" s="8">
        <v>1998</v>
      </c>
      <c r="B62" s="8">
        <v>1</v>
      </c>
      <c r="C62" s="10">
        <v>375.424318329154</v>
      </c>
      <c r="F62" s="8">
        <v>1998</v>
      </c>
      <c r="G62" s="8">
        <v>1</v>
      </c>
      <c r="H62" s="10">
        <v>374.86332692283401</v>
      </c>
      <c r="J62" s="10">
        <v>1998</v>
      </c>
      <c r="K62" s="10">
        <v>1</v>
      </c>
      <c r="L62" s="10">
        <v>374.62524561210802</v>
      </c>
      <c r="N62" s="10">
        <v>1998</v>
      </c>
      <c r="O62" s="10">
        <v>1</v>
      </c>
      <c r="P62" s="10">
        <v>374.62933539498601</v>
      </c>
      <c r="R62" s="10">
        <v>1998</v>
      </c>
      <c r="S62" s="10">
        <v>1</v>
      </c>
      <c r="T62" s="10">
        <v>374.63137897634999</v>
      </c>
      <c r="V62" s="10">
        <v>1998</v>
      </c>
      <c r="W62" s="10">
        <v>1</v>
      </c>
      <c r="X62" s="10">
        <v>374.67283689444298</v>
      </c>
      <c r="Z62" s="10">
        <v>1998</v>
      </c>
      <c r="AA62" s="10">
        <v>1</v>
      </c>
      <c r="AB62" s="10">
        <v>374.78264863976398</v>
      </c>
    </row>
    <row r="63" spans="1:28" x14ac:dyDescent="0.25">
      <c r="A63" s="8">
        <v>1998</v>
      </c>
      <c r="B63" s="8">
        <v>2</v>
      </c>
      <c r="C63" s="10">
        <v>385.34738233094299</v>
      </c>
      <c r="F63" s="8">
        <v>1998</v>
      </c>
      <c r="G63" s="8">
        <v>2</v>
      </c>
      <c r="H63" s="10">
        <v>387.086548252017</v>
      </c>
      <c r="J63" s="10">
        <v>1998</v>
      </c>
      <c r="K63" s="10">
        <v>2</v>
      </c>
      <c r="L63" s="10">
        <v>387.94966386715402</v>
      </c>
      <c r="N63" s="10">
        <v>1998</v>
      </c>
      <c r="O63" s="10">
        <v>2</v>
      </c>
      <c r="P63" s="10">
        <v>387.96128933081201</v>
      </c>
      <c r="R63" s="10">
        <v>1998</v>
      </c>
      <c r="S63" s="10">
        <v>2</v>
      </c>
      <c r="T63" s="10">
        <v>387.84691243227701</v>
      </c>
      <c r="V63" s="10">
        <v>1998</v>
      </c>
      <c r="W63" s="10">
        <v>2</v>
      </c>
      <c r="X63" s="10">
        <v>387.61892913072398</v>
      </c>
      <c r="Z63" s="10">
        <v>1998</v>
      </c>
      <c r="AA63" s="10">
        <v>2</v>
      </c>
      <c r="AB63" s="10">
        <v>387.55574212135701</v>
      </c>
    </row>
    <row r="64" spans="1:28" x14ac:dyDescent="0.25">
      <c r="A64" s="8">
        <v>1998</v>
      </c>
      <c r="B64" s="8">
        <v>3</v>
      </c>
      <c r="C64" s="10">
        <v>327.53727869687998</v>
      </c>
      <c r="F64" s="8">
        <v>1998</v>
      </c>
      <c r="G64" s="8">
        <v>3</v>
      </c>
      <c r="H64" s="10">
        <v>328.91379356824598</v>
      </c>
      <c r="J64" s="10">
        <v>1998</v>
      </c>
      <c r="K64" s="10">
        <v>3</v>
      </c>
      <c r="L64" s="10">
        <v>330.00201096293699</v>
      </c>
      <c r="N64" s="10">
        <v>1998</v>
      </c>
      <c r="O64" s="10">
        <v>3</v>
      </c>
      <c r="P64" s="10">
        <v>329.98830900842501</v>
      </c>
      <c r="R64" s="10">
        <v>1998</v>
      </c>
      <c r="S64" s="10">
        <v>3</v>
      </c>
      <c r="T64" s="10">
        <v>329.98315788844201</v>
      </c>
      <c r="V64" s="10">
        <v>1998</v>
      </c>
      <c r="W64" s="10">
        <v>3</v>
      </c>
      <c r="X64" s="10">
        <v>329.827365349643</v>
      </c>
      <c r="Z64" s="10">
        <v>1998</v>
      </c>
      <c r="AA64" s="10">
        <v>3</v>
      </c>
      <c r="AB64" s="10">
        <v>329.265422202482</v>
      </c>
    </row>
    <row r="65" spans="1:28" x14ac:dyDescent="0.25">
      <c r="A65" s="8">
        <v>1998</v>
      </c>
      <c r="B65" s="8">
        <v>4</v>
      </c>
      <c r="C65" s="10">
        <v>362.84950843964901</v>
      </c>
      <c r="F65" s="8">
        <v>1998</v>
      </c>
      <c r="G65" s="8">
        <v>4</v>
      </c>
      <c r="H65" s="10">
        <v>362.54987633400799</v>
      </c>
      <c r="J65" s="10">
        <v>1998</v>
      </c>
      <c r="K65" s="10">
        <v>4</v>
      </c>
      <c r="L65" s="10">
        <v>362.331339029687</v>
      </c>
      <c r="N65" s="10">
        <v>1998</v>
      </c>
      <c r="O65" s="10">
        <v>4</v>
      </c>
      <c r="P65" s="10">
        <v>362.34894390363002</v>
      </c>
      <c r="R65" s="10">
        <v>1998</v>
      </c>
      <c r="S65" s="10">
        <v>4</v>
      </c>
      <c r="T65" s="10">
        <v>362.31957532882598</v>
      </c>
      <c r="V65" s="10">
        <v>1998</v>
      </c>
      <c r="W65" s="10">
        <v>4</v>
      </c>
      <c r="X65" s="10">
        <v>362.33069876907803</v>
      </c>
      <c r="Z65" s="10">
        <v>1998</v>
      </c>
      <c r="AA65" s="10">
        <v>4</v>
      </c>
      <c r="AB65" s="10">
        <v>362.52583712161498</v>
      </c>
    </row>
    <row r="66" spans="1:28" x14ac:dyDescent="0.25">
      <c r="A66" s="8">
        <v>1998</v>
      </c>
      <c r="B66" s="8">
        <v>5</v>
      </c>
      <c r="C66" s="10">
        <v>376.267938681879</v>
      </c>
      <c r="F66" s="8">
        <v>1998</v>
      </c>
      <c r="G66" s="8">
        <v>5</v>
      </c>
      <c r="H66" s="10">
        <v>376.51010150196902</v>
      </c>
      <c r="J66" s="10">
        <v>1998</v>
      </c>
      <c r="K66" s="10">
        <v>5</v>
      </c>
      <c r="L66" s="10">
        <v>376.73142341872398</v>
      </c>
      <c r="N66" s="10">
        <v>1998</v>
      </c>
      <c r="O66" s="10">
        <v>5</v>
      </c>
      <c r="P66" s="10">
        <v>376.70301400332897</v>
      </c>
      <c r="R66" s="10">
        <v>1998</v>
      </c>
      <c r="S66" s="10">
        <v>5</v>
      </c>
      <c r="T66" s="10">
        <v>376.74292793465798</v>
      </c>
      <c r="V66" s="10">
        <v>1998</v>
      </c>
      <c r="W66" s="10">
        <v>5</v>
      </c>
      <c r="X66" s="10">
        <v>376.73970362109702</v>
      </c>
      <c r="Z66" s="10">
        <v>1998</v>
      </c>
      <c r="AA66" s="10">
        <v>5</v>
      </c>
      <c r="AB66" s="10">
        <v>376.441739488069</v>
      </c>
    </row>
    <row r="67" spans="1:28" x14ac:dyDescent="0.25">
      <c r="A67" s="8">
        <v>1998</v>
      </c>
      <c r="B67" s="8">
        <v>6</v>
      </c>
      <c r="C67" s="10">
        <v>370.12555108289899</v>
      </c>
      <c r="F67" s="8">
        <v>1998</v>
      </c>
      <c r="G67" s="8">
        <v>6</v>
      </c>
      <c r="H67" s="10">
        <v>370.05518432809799</v>
      </c>
      <c r="J67" s="10">
        <v>1998</v>
      </c>
      <c r="K67" s="10">
        <v>6</v>
      </c>
      <c r="L67" s="10">
        <v>369.80986099975001</v>
      </c>
      <c r="N67" s="10">
        <v>1998</v>
      </c>
      <c r="O67" s="10">
        <v>6</v>
      </c>
      <c r="P67" s="10">
        <v>369.83288132154797</v>
      </c>
      <c r="R67" s="10">
        <v>1998</v>
      </c>
      <c r="S67" s="10">
        <v>6</v>
      </c>
      <c r="T67" s="10">
        <v>369.78854237403601</v>
      </c>
      <c r="V67" s="10">
        <v>1998</v>
      </c>
      <c r="W67" s="10">
        <v>6</v>
      </c>
      <c r="X67" s="10">
        <v>369.807668417461</v>
      </c>
      <c r="Z67" s="10">
        <v>1998</v>
      </c>
      <c r="AA67" s="10">
        <v>6</v>
      </c>
      <c r="AB67" s="10">
        <v>370.036705481593</v>
      </c>
    </row>
    <row r="68" spans="1:28" x14ac:dyDescent="0.25">
      <c r="A68" s="8">
        <v>1998</v>
      </c>
      <c r="B68" s="8">
        <v>7</v>
      </c>
      <c r="C68" s="10">
        <v>338.48729185412401</v>
      </c>
      <c r="F68" s="8">
        <v>1998</v>
      </c>
      <c r="G68" s="8">
        <v>7</v>
      </c>
      <c r="H68" s="10">
        <v>339.191588769323</v>
      </c>
      <c r="J68" s="10">
        <v>1998</v>
      </c>
      <c r="K68" s="10">
        <v>7</v>
      </c>
      <c r="L68" s="10">
        <v>338.51148602627097</v>
      </c>
      <c r="N68" s="10">
        <v>1998</v>
      </c>
      <c r="O68" s="10">
        <v>7</v>
      </c>
      <c r="P68" s="10">
        <v>338.571976520389</v>
      </c>
      <c r="R68" s="10">
        <v>1998</v>
      </c>
      <c r="S68" s="10">
        <v>7</v>
      </c>
      <c r="T68" s="10">
        <v>338.45435353981901</v>
      </c>
      <c r="V68" s="10">
        <v>1998</v>
      </c>
      <c r="W68" s="10">
        <v>7</v>
      </c>
      <c r="X68" s="10">
        <v>338.34681521480297</v>
      </c>
      <c r="Z68" s="10">
        <v>1998</v>
      </c>
      <c r="AA68" s="10">
        <v>7</v>
      </c>
      <c r="AB68" s="10">
        <v>339.37838500895799</v>
      </c>
    </row>
    <row r="69" spans="1:28" x14ac:dyDescent="0.25">
      <c r="A69" s="8">
        <v>1998</v>
      </c>
      <c r="B69" s="8">
        <v>8</v>
      </c>
      <c r="C69" s="10">
        <v>366.06396205288098</v>
      </c>
      <c r="F69" s="8">
        <v>1998</v>
      </c>
      <c r="G69" s="8">
        <v>8</v>
      </c>
      <c r="H69" s="10">
        <v>365.707861608217</v>
      </c>
      <c r="J69" s="10">
        <v>1998</v>
      </c>
      <c r="K69" s="10">
        <v>8</v>
      </c>
      <c r="L69" s="10">
        <v>366.087766814205</v>
      </c>
      <c r="N69" s="10">
        <v>1998</v>
      </c>
      <c r="O69" s="10">
        <v>8</v>
      </c>
      <c r="P69" s="10">
        <v>366.03437910610103</v>
      </c>
      <c r="R69" s="10">
        <v>1998</v>
      </c>
      <c r="S69" s="10">
        <v>8</v>
      </c>
      <c r="T69" s="10">
        <v>366.15080695718399</v>
      </c>
      <c r="V69" s="10">
        <v>1998</v>
      </c>
      <c r="W69" s="10">
        <v>8</v>
      </c>
      <c r="X69" s="10">
        <v>366.16929059704103</v>
      </c>
      <c r="Z69" s="10">
        <v>1998</v>
      </c>
      <c r="AA69" s="10">
        <v>8</v>
      </c>
      <c r="AB69" s="10">
        <v>365.59594615934401</v>
      </c>
    </row>
    <row r="70" spans="1:28" x14ac:dyDescent="0.25">
      <c r="A70" s="8">
        <v>1998</v>
      </c>
      <c r="B70" s="8">
        <v>9</v>
      </c>
      <c r="C70" s="10">
        <v>342.05077820553203</v>
      </c>
      <c r="F70" s="8">
        <v>1998</v>
      </c>
      <c r="G70" s="8">
        <v>9</v>
      </c>
      <c r="H70" s="10">
        <v>341.95105532181799</v>
      </c>
      <c r="J70" s="10">
        <v>1998</v>
      </c>
      <c r="K70" s="10">
        <v>9</v>
      </c>
      <c r="L70" s="10">
        <v>341.74555640149703</v>
      </c>
      <c r="N70" s="10">
        <v>1998</v>
      </c>
      <c r="O70" s="10">
        <v>9</v>
      </c>
      <c r="P70" s="10">
        <v>341.76412038309599</v>
      </c>
      <c r="R70" s="10">
        <v>1998</v>
      </c>
      <c r="S70" s="10">
        <v>9</v>
      </c>
      <c r="T70" s="10">
        <v>341.72722986305598</v>
      </c>
      <c r="V70" s="10">
        <v>1998</v>
      </c>
      <c r="W70" s="10">
        <v>9</v>
      </c>
      <c r="X70" s="10">
        <v>341.73363465851003</v>
      </c>
      <c r="Z70" s="10">
        <v>1998</v>
      </c>
      <c r="AA70" s="10">
        <v>9</v>
      </c>
      <c r="AB70" s="10">
        <v>341.94605359338402</v>
      </c>
    </row>
    <row r="71" spans="1:28" x14ac:dyDescent="0.25">
      <c r="A71" s="8">
        <v>1998</v>
      </c>
      <c r="B71" s="8">
        <v>10</v>
      </c>
      <c r="C71" s="10">
        <v>336.34835784862202</v>
      </c>
      <c r="F71" s="8">
        <v>1998</v>
      </c>
      <c r="G71" s="8">
        <v>10</v>
      </c>
      <c r="H71" s="10">
        <v>336.21960361765298</v>
      </c>
      <c r="J71" s="10">
        <v>1998</v>
      </c>
      <c r="K71" s="10">
        <v>10</v>
      </c>
      <c r="L71" s="10">
        <v>336.22717802612698</v>
      </c>
      <c r="N71" s="10">
        <v>1998</v>
      </c>
      <c r="O71" s="10">
        <v>10</v>
      </c>
      <c r="P71" s="10">
        <v>336.21449797633301</v>
      </c>
      <c r="R71" s="10">
        <v>1998</v>
      </c>
      <c r="S71" s="10">
        <v>10</v>
      </c>
      <c r="T71" s="10">
        <v>336.24999568966899</v>
      </c>
      <c r="V71" s="10">
        <v>1998</v>
      </c>
      <c r="W71" s="10">
        <v>10</v>
      </c>
      <c r="X71" s="10">
        <v>336.25128866688601</v>
      </c>
      <c r="Z71" s="10">
        <v>1998</v>
      </c>
      <c r="AA71" s="10">
        <v>10</v>
      </c>
      <c r="AB71" s="10">
        <v>336.16329598673502</v>
      </c>
    </row>
    <row r="72" spans="1:28" x14ac:dyDescent="0.25">
      <c r="A72" s="8">
        <v>1998</v>
      </c>
      <c r="B72" s="8">
        <v>11</v>
      </c>
      <c r="C72" s="10">
        <v>329.29737122700101</v>
      </c>
      <c r="F72" s="8">
        <v>1998</v>
      </c>
      <c r="G72" s="8">
        <v>11</v>
      </c>
      <c r="H72" s="10">
        <v>329.17065971681598</v>
      </c>
      <c r="J72" s="10">
        <v>1998</v>
      </c>
      <c r="K72" s="10">
        <v>11</v>
      </c>
      <c r="L72" s="10">
        <v>329.21157037413798</v>
      </c>
      <c r="N72" s="10">
        <v>1998</v>
      </c>
      <c r="O72" s="10">
        <v>11</v>
      </c>
      <c r="P72" s="10">
        <v>329.19393574747397</v>
      </c>
      <c r="R72" s="10">
        <v>1998</v>
      </c>
      <c r="S72" s="10">
        <v>11</v>
      </c>
      <c r="T72" s="10">
        <v>329.241484766989</v>
      </c>
      <c r="V72" s="10">
        <v>1998</v>
      </c>
      <c r="W72" s="10">
        <v>11</v>
      </c>
      <c r="X72" s="10">
        <v>329.23315345994502</v>
      </c>
      <c r="Z72" s="10">
        <v>1998</v>
      </c>
      <c r="AA72" s="10">
        <v>11</v>
      </c>
      <c r="AB72" s="10">
        <v>329.11438507284703</v>
      </c>
    </row>
    <row r="73" spans="1:28" x14ac:dyDescent="0.25">
      <c r="A73" s="8">
        <v>1998</v>
      </c>
      <c r="B73" s="8">
        <v>12</v>
      </c>
      <c r="C73" s="10">
        <v>311.15677663190098</v>
      </c>
      <c r="F73" s="8">
        <v>1998</v>
      </c>
      <c r="G73" s="8">
        <v>12</v>
      </c>
      <c r="H73" s="10">
        <v>310.79557566660401</v>
      </c>
      <c r="J73" s="10">
        <v>1998</v>
      </c>
      <c r="K73" s="10">
        <v>12</v>
      </c>
      <c r="L73" s="10">
        <v>310.73109387370903</v>
      </c>
      <c r="N73" s="10">
        <v>1998</v>
      </c>
      <c r="O73" s="10">
        <v>12</v>
      </c>
      <c r="P73" s="10">
        <v>310.72252247817897</v>
      </c>
      <c r="R73" s="10">
        <v>1998</v>
      </c>
      <c r="S73" s="10">
        <v>12</v>
      </c>
      <c r="T73" s="10">
        <v>310.78663501354998</v>
      </c>
      <c r="V73" s="10">
        <v>1998</v>
      </c>
      <c r="W73" s="10">
        <v>12</v>
      </c>
      <c r="X73" s="10">
        <v>310.74576075169603</v>
      </c>
      <c r="Z73" s="10">
        <v>1998</v>
      </c>
      <c r="AA73" s="10">
        <v>12</v>
      </c>
      <c r="AB73" s="10">
        <v>310.76550901345303</v>
      </c>
    </row>
    <row r="74" spans="1:28" x14ac:dyDescent="0.25">
      <c r="A74" s="8">
        <v>1999</v>
      </c>
      <c r="B74" s="8">
        <v>1</v>
      </c>
      <c r="C74" s="10">
        <v>303.340290243563</v>
      </c>
      <c r="F74" s="8">
        <v>1999</v>
      </c>
      <c r="G74" s="8">
        <v>1</v>
      </c>
      <c r="H74" s="10">
        <v>302.84898199951101</v>
      </c>
      <c r="J74" s="10">
        <v>1999</v>
      </c>
      <c r="K74" s="10">
        <v>1</v>
      </c>
      <c r="L74" s="10">
        <v>302.99379132940197</v>
      </c>
      <c r="N74" s="10">
        <v>1999</v>
      </c>
      <c r="O74" s="10">
        <v>1</v>
      </c>
      <c r="P74" s="10">
        <v>302.95051930463001</v>
      </c>
      <c r="R74" s="10">
        <v>1999</v>
      </c>
      <c r="S74" s="10">
        <v>1</v>
      </c>
      <c r="T74" s="10">
        <v>303.06420684677403</v>
      </c>
      <c r="V74" s="10">
        <v>1999</v>
      </c>
      <c r="W74" s="10">
        <v>1</v>
      </c>
      <c r="X74" s="10">
        <v>303.07525850761402</v>
      </c>
      <c r="Z74" s="10">
        <v>1999</v>
      </c>
      <c r="AA74" s="10">
        <v>1</v>
      </c>
      <c r="AB74" s="10">
        <v>302.70718723056899</v>
      </c>
    </row>
    <row r="75" spans="1:28" x14ac:dyDescent="0.25">
      <c r="A75" s="8">
        <v>1999</v>
      </c>
      <c r="B75" s="8">
        <v>2</v>
      </c>
      <c r="C75" s="10">
        <v>291.29624192273502</v>
      </c>
      <c r="F75" s="8">
        <v>1999</v>
      </c>
      <c r="G75" s="8">
        <v>2</v>
      </c>
      <c r="H75" s="10">
        <v>293.09115377385399</v>
      </c>
      <c r="J75" s="10">
        <v>1999</v>
      </c>
      <c r="K75" s="10">
        <v>2</v>
      </c>
      <c r="L75" s="10">
        <v>293.97653714237498</v>
      </c>
      <c r="N75" s="10">
        <v>1999</v>
      </c>
      <c r="O75" s="10">
        <v>2</v>
      </c>
      <c r="P75" s="10">
        <v>293.99278603695598</v>
      </c>
      <c r="R75" s="10">
        <v>1999</v>
      </c>
      <c r="S75" s="10">
        <v>2</v>
      </c>
      <c r="T75" s="10">
        <v>293.84725899115898</v>
      </c>
      <c r="V75" s="10">
        <v>1999</v>
      </c>
      <c r="W75" s="10">
        <v>2</v>
      </c>
      <c r="X75" s="10">
        <v>293.66850658540801</v>
      </c>
      <c r="Z75" s="10">
        <v>1999</v>
      </c>
      <c r="AA75" s="10">
        <v>2</v>
      </c>
      <c r="AB75" s="10">
        <v>293.60612505055099</v>
      </c>
    </row>
    <row r="76" spans="1:28" x14ac:dyDescent="0.25">
      <c r="A76" s="8">
        <v>1999</v>
      </c>
      <c r="B76" s="8">
        <v>3</v>
      </c>
      <c r="C76" s="10">
        <v>276.62463127164801</v>
      </c>
      <c r="F76" s="8">
        <v>1999</v>
      </c>
      <c r="G76" s="8">
        <v>3</v>
      </c>
      <c r="H76" s="10">
        <v>277.95106538228799</v>
      </c>
      <c r="J76" s="10">
        <v>1999</v>
      </c>
      <c r="K76" s="10">
        <v>3</v>
      </c>
      <c r="L76" s="10">
        <v>278.36976718423898</v>
      </c>
      <c r="N76" s="10">
        <v>1999</v>
      </c>
      <c r="O76" s="10">
        <v>3</v>
      </c>
      <c r="P76" s="10">
        <v>278.40692832335498</v>
      </c>
      <c r="R76" s="10">
        <v>1999</v>
      </c>
      <c r="S76" s="10">
        <v>3</v>
      </c>
      <c r="T76" s="10">
        <v>278.276618310571</v>
      </c>
      <c r="V76" s="10">
        <v>1999</v>
      </c>
      <c r="W76" s="10">
        <v>3</v>
      </c>
      <c r="X76" s="10">
        <v>278.13826668592799</v>
      </c>
      <c r="Z76" s="10">
        <v>1999</v>
      </c>
      <c r="AA76" s="10">
        <v>3</v>
      </c>
      <c r="AB76" s="10">
        <v>278.30282933473302</v>
      </c>
    </row>
    <row r="77" spans="1:28" x14ac:dyDescent="0.25">
      <c r="A77" s="8">
        <v>1999</v>
      </c>
      <c r="B77" s="8">
        <v>4</v>
      </c>
      <c r="C77" s="10">
        <v>288.51964524206397</v>
      </c>
      <c r="F77" s="8">
        <v>1999</v>
      </c>
      <c r="G77" s="8">
        <v>4</v>
      </c>
      <c r="H77" s="10">
        <v>288.13273233397399</v>
      </c>
      <c r="J77" s="10">
        <v>1999</v>
      </c>
      <c r="K77" s="10">
        <v>4</v>
      </c>
      <c r="L77" s="10">
        <v>287.87707495397001</v>
      </c>
      <c r="N77" s="10">
        <v>1999</v>
      </c>
      <c r="O77" s="10">
        <v>4</v>
      </c>
      <c r="P77" s="10">
        <v>287.900491449436</v>
      </c>
      <c r="R77" s="10">
        <v>1999</v>
      </c>
      <c r="S77" s="10">
        <v>4</v>
      </c>
      <c r="T77" s="10">
        <v>287.86399584903899</v>
      </c>
      <c r="V77" s="10">
        <v>1999</v>
      </c>
      <c r="W77" s="10">
        <v>4</v>
      </c>
      <c r="X77" s="10">
        <v>287.88148641589299</v>
      </c>
      <c r="Z77" s="10">
        <v>1999</v>
      </c>
      <c r="AA77" s="10">
        <v>4</v>
      </c>
      <c r="AB77" s="10">
        <v>288.10407594233101</v>
      </c>
    </row>
    <row r="78" spans="1:28" x14ac:dyDescent="0.25">
      <c r="A78" s="8">
        <v>1999</v>
      </c>
      <c r="B78" s="8">
        <v>5</v>
      </c>
      <c r="C78" s="10">
        <v>301.46383903711001</v>
      </c>
      <c r="F78" s="8">
        <v>1999</v>
      </c>
      <c r="G78" s="8">
        <v>5</v>
      </c>
      <c r="H78" s="10">
        <v>302.035703446578</v>
      </c>
      <c r="J78" s="10">
        <v>1999</v>
      </c>
      <c r="K78" s="10">
        <v>5</v>
      </c>
      <c r="L78" s="10">
        <v>302.329900686717</v>
      </c>
      <c r="N78" s="10">
        <v>1999</v>
      </c>
      <c r="O78" s="10">
        <v>5</v>
      </c>
      <c r="P78" s="10">
        <v>302.30465584867397</v>
      </c>
      <c r="R78" s="10">
        <v>1999</v>
      </c>
      <c r="S78" s="10">
        <v>5</v>
      </c>
      <c r="T78" s="10">
        <v>302.32649439737298</v>
      </c>
      <c r="V78" s="10">
        <v>1999</v>
      </c>
      <c r="W78" s="10">
        <v>5</v>
      </c>
      <c r="X78" s="10">
        <v>302.29661699744202</v>
      </c>
      <c r="Z78" s="10">
        <v>1999</v>
      </c>
      <c r="AA78" s="10">
        <v>5</v>
      </c>
      <c r="AB78" s="10">
        <v>302.01255052465598</v>
      </c>
    </row>
    <row r="79" spans="1:28" x14ac:dyDescent="0.25">
      <c r="A79" s="8">
        <v>1999</v>
      </c>
      <c r="B79" s="8">
        <v>6</v>
      </c>
      <c r="C79" s="10">
        <v>310.03796685594898</v>
      </c>
      <c r="F79" s="8">
        <v>1999</v>
      </c>
      <c r="G79" s="8">
        <v>6</v>
      </c>
      <c r="H79" s="10">
        <v>309.99797080546</v>
      </c>
      <c r="J79" s="10">
        <v>1999</v>
      </c>
      <c r="K79" s="10">
        <v>6</v>
      </c>
      <c r="L79" s="10">
        <v>309.77107224088599</v>
      </c>
      <c r="N79" s="10">
        <v>1999</v>
      </c>
      <c r="O79" s="10">
        <v>6</v>
      </c>
      <c r="P79" s="10">
        <v>309.79308694916199</v>
      </c>
      <c r="R79" s="10">
        <v>1999</v>
      </c>
      <c r="S79" s="10">
        <v>6</v>
      </c>
      <c r="T79" s="10">
        <v>309.75966159527002</v>
      </c>
      <c r="V79" s="10">
        <v>1999</v>
      </c>
      <c r="W79" s="10">
        <v>6</v>
      </c>
      <c r="X79" s="10">
        <v>309.77447013050102</v>
      </c>
      <c r="Z79" s="10">
        <v>1999</v>
      </c>
      <c r="AA79" s="10">
        <v>6</v>
      </c>
      <c r="AB79" s="10">
        <v>309.97363717336799</v>
      </c>
    </row>
    <row r="80" spans="1:28" x14ac:dyDescent="0.25">
      <c r="A80" s="8">
        <v>1999</v>
      </c>
      <c r="B80" s="8">
        <v>7</v>
      </c>
      <c r="C80" s="10">
        <v>330.83213289125001</v>
      </c>
      <c r="F80" s="8">
        <v>1999</v>
      </c>
      <c r="G80" s="8">
        <v>7</v>
      </c>
      <c r="H80" s="10">
        <v>331.29512228634297</v>
      </c>
      <c r="J80" s="10">
        <v>1999</v>
      </c>
      <c r="K80" s="10">
        <v>7</v>
      </c>
      <c r="L80" s="10">
        <v>330.93274580783202</v>
      </c>
      <c r="N80" s="10">
        <v>1999</v>
      </c>
      <c r="O80" s="10">
        <v>7</v>
      </c>
      <c r="P80" s="10">
        <v>330.94765657066699</v>
      </c>
      <c r="R80" s="10">
        <v>1999</v>
      </c>
      <c r="S80" s="10">
        <v>7</v>
      </c>
      <c r="T80" s="10">
        <v>330.940904897628</v>
      </c>
      <c r="V80" s="10">
        <v>1999</v>
      </c>
      <c r="W80" s="10">
        <v>7</v>
      </c>
      <c r="X80" s="10">
        <v>330.840908846964</v>
      </c>
      <c r="Z80" s="10">
        <v>1999</v>
      </c>
      <c r="AA80" s="10">
        <v>7</v>
      </c>
      <c r="AB80" s="10">
        <v>331.365498591875</v>
      </c>
    </row>
    <row r="81" spans="1:28" x14ac:dyDescent="0.25">
      <c r="A81" s="8">
        <v>1999</v>
      </c>
      <c r="B81" s="8">
        <v>8</v>
      </c>
      <c r="C81" s="10">
        <v>327.74431886381501</v>
      </c>
      <c r="F81" s="8">
        <v>1999</v>
      </c>
      <c r="G81" s="8">
        <v>8</v>
      </c>
      <c r="H81" s="10">
        <v>327.48153219173003</v>
      </c>
      <c r="J81" s="10">
        <v>1999</v>
      </c>
      <c r="K81" s="10">
        <v>8</v>
      </c>
      <c r="L81" s="10">
        <v>327.61235214517598</v>
      </c>
      <c r="N81" s="10">
        <v>1999</v>
      </c>
      <c r="O81" s="10">
        <v>8</v>
      </c>
      <c r="P81" s="10">
        <v>327.60459359908498</v>
      </c>
      <c r="R81" s="10">
        <v>1999</v>
      </c>
      <c r="S81" s="10">
        <v>8</v>
      </c>
      <c r="T81" s="10">
        <v>327.60867134721099</v>
      </c>
      <c r="V81" s="10">
        <v>1999</v>
      </c>
      <c r="W81" s="10">
        <v>8</v>
      </c>
      <c r="X81" s="10">
        <v>327.63143847452898</v>
      </c>
      <c r="Z81" s="10">
        <v>1999</v>
      </c>
      <c r="AA81" s="10">
        <v>8</v>
      </c>
      <c r="AB81" s="10">
        <v>327.50054356548202</v>
      </c>
    </row>
    <row r="82" spans="1:28" x14ac:dyDescent="0.25">
      <c r="A82" s="8">
        <v>1999</v>
      </c>
      <c r="B82" s="8">
        <v>9</v>
      </c>
      <c r="C82" s="10">
        <v>335.447912080386</v>
      </c>
      <c r="F82" s="8">
        <v>1999</v>
      </c>
      <c r="G82" s="8">
        <v>9</v>
      </c>
      <c r="H82" s="10">
        <v>335.30438398017498</v>
      </c>
      <c r="J82" s="10">
        <v>1999</v>
      </c>
      <c r="K82" s="10">
        <v>9</v>
      </c>
      <c r="L82" s="10">
        <v>335.05931613601803</v>
      </c>
      <c r="N82" s="10">
        <v>1999</v>
      </c>
      <c r="O82" s="10">
        <v>9</v>
      </c>
      <c r="P82" s="10">
        <v>335.08630246549399</v>
      </c>
      <c r="R82" s="10">
        <v>1999</v>
      </c>
      <c r="S82" s="10">
        <v>9</v>
      </c>
      <c r="T82" s="10">
        <v>335.03580121625299</v>
      </c>
      <c r="V82" s="10">
        <v>1999</v>
      </c>
      <c r="W82" s="10">
        <v>9</v>
      </c>
      <c r="X82" s="10">
        <v>335.04934945952601</v>
      </c>
      <c r="Z82" s="10">
        <v>1999</v>
      </c>
      <c r="AA82" s="10">
        <v>9</v>
      </c>
      <c r="AB82" s="10">
        <v>335.29786890862903</v>
      </c>
    </row>
    <row r="83" spans="1:28" x14ac:dyDescent="0.25">
      <c r="A83" s="8">
        <v>1999</v>
      </c>
      <c r="B83" s="8">
        <v>10</v>
      </c>
      <c r="C83" s="10">
        <v>337.59658532164099</v>
      </c>
      <c r="F83" s="8">
        <v>1999</v>
      </c>
      <c r="G83" s="8">
        <v>10</v>
      </c>
      <c r="H83" s="10">
        <v>337.32084835668297</v>
      </c>
      <c r="J83" s="10">
        <v>1999</v>
      </c>
      <c r="K83" s="10">
        <v>10</v>
      </c>
      <c r="L83" s="10">
        <v>337.61378529276999</v>
      </c>
      <c r="N83" s="10">
        <v>1999</v>
      </c>
      <c r="O83" s="10">
        <v>10</v>
      </c>
      <c r="P83" s="10">
        <v>337.56123395202502</v>
      </c>
      <c r="R83" s="10">
        <v>1999</v>
      </c>
      <c r="S83" s="10">
        <v>10</v>
      </c>
      <c r="T83" s="10">
        <v>337.69428395504502</v>
      </c>
      <c r="V83" s="10">
        <v>1999</v>
      </c>
      <c r="W83" s="10">
        <v>10</v>
      </c>
      <c r="X83" s="10">
        <v>337.70671605161499</v>
      </c>
      <c r="Z83" s="10">
        <v>1999</v>
      </c>
      <c r="AA83" s="10">
        <v>10</v>
      </c>
      <c r="AB83" s="10">
        <v>337.16337352149202</v>
      </c>
    </row>
    <row r="84" spans="1:28" x14ac:dyDescent="0.25">
      <c r="A84" s="8">
        <v>1999</v>
      </c>
      <c r="B84" s="8">
        <v>11</v>
      </c>
      <c r="C84" s="10">
        <v>350.88543266110003</v>
      </c>
      <c r="F84" s="8">
        <v>1999</v>
      </c>
      <c r="G84" s="8">
        <v>11</v>
      </c>
      <c r="H84" s="10">
        <v>351.069440916921</v>
      </c>
      <c r="J84" s="10">
        <v>1999</v>
      </c>
      <c r="K84" s="10">
        <v>11</v>
      </c>
      <c r="L84" s="10">
        <v>351.00792340625202</v>
      </c>
      <c r="N84" s="10">
        <v>1999</v>
      </c>
      <c r="O84" s="10">
        <v>11</v>
      </c>
      <c r="P84" s="10">
        <v>351.00386919109098</v>
      </c>
      <c r="R84" s="10">
        <v>1999</v>
      </c>
      <c r="S84" s="10">
        <v>11</v>
      </c>
      <c r="T84" s="10">
        <v>351.00171870099399</v>
      </c>
      <c r="V84" s="10">
        <v>1999</v>
      </c>
      <c r="W84" s="10">
        <v>11</v>
      </c>
      <c r="X84" s="10">
        <v>350.95426218377401</v>
      </c>
      <c r="Z84" s="10">
        <v>1999</v>
      </c>
      <c r="AA84" s="10">
        <v>11</v>
      </c>
      <c r="AB84" s="10">
        <v>351.12507007714203</v>
      </c>
    </row>
    <row r="85" spans="1:28" x14ac:dyDescent="0.25">
      <c r="A85" s="8">
        <v>1999</v>
      </c>
      <c r="B85" s="8">
        <v>12</v>
      </c>
      <c r="C85" s="10">
        <v>358.40734976836899</v>
      </c>
      <c r="F85" s="8">
        <v>1999</v>
      </c>
      <c r="G85" s="8">
        <v>12</v>
      </c>
      <c r="H85" s="10">
        <v>357.89080769534098</v>
      </c>
      <c r="J85" s="10">
        <v>1999</v>
      </c>
      <c r="K85" s="10">
        <v>12</v>
      </c>
      <c r="L85" s="10">
        <v>357.78953888885599</v>
      </c>
      <c r="N85" s="10">
        <v>1999</v>
      </c>
      <c r="O85" s="10">
        <v>12</v>
      </c>
      <c r="P85" s="10">
        <v>357.78443032864402</v>
      </c>
      <c r="R85" s="10">
        <v>1999</v>
      </c>
      <c r="S85" s="10">
        <v>12</v>
      </c>
      <c r="T85" s="10">
        <v>357.86063746301897</v>
      </c>
      <c r="V85" s="10">
        <v>1999</v>
      </c>
      <c r="W85" s="10">
        <v>12</v>
      </c>
      <c r="X85" s="10">
        <v>357.83395857170399</v>
      </c>
      <c r="Z85" s="10">
        <v>1999</v>
      </c>
      <c r="AA85" s="10">
        <v>12</v>
      </c>
      <c r="AB85" s="10">
        <v>357.82771874222999</v>
      </c>
    </row>
    <row r="86" spans="1:28" x14ac:dyDescent="0.25">
      <c r="A86" s="8">
        <v>2000</v>
      </c>
      <c r="B86" s="8">
        <v>1</v>
      </c>
      <c r="C86" s="10">
        <v>354.17006856726698</v>
      </c>
      <c r="F86" s="8">
        <v>2000</v>
      </c>
      <c r="G86" s="8">
        <v>1</v>
      </c>
      <c r="H86" s="10">
        <v>353.98512249574202</v>
      </c>
      <c r="J86" s="10">
        <v>2000</v>
      </c>
      <c r="K86" s="10">
        <v>1</v>
      </c>
      <c r="L86" s="10">
        <v>354.294673049528</v>
      </c>
      <c r="N86" s="10">
        <v>2000</v>
      </c>
      <c r="O86" s="10">
        <v>1</v>
      </c>
      <c r="P86" s="10">
        <v>354.24719252763799</v>
      </c>
      <c r="R86" s="10">
        <v>2000</v>
      </c>
      <c r="S86" s="10">
        <v>1</v>
      </c>
      <c r="T86" s="10">
        <v>354.36585465782503</v>
      </c>
      <c r="V86" s="10">
        <v>2000</v>
      </c>
      <c r="W86" s="10">
        <v>1</v>
      </c>
      <c r="X86" s="10">
        <v>354.34397646408797</v>
      </c>
      <c r="Z86" s="10">
        <v>2000</v>
      </c>
      <c r="AA86" s="10">
        <v>1</v>
      </c>
      <c r="AB86" s="10">
        <v>353.883674513561</v>
      </c>
    </row>
    <row r="87" spans="1:28" x14ac:dyDescent="0.25">
      <c r="A87" s="8">
        <v>2000</v>
      </c>
      <c r="B87" s="8">
        <v>2</v>
      </c>
      <c r="C87" s="10">
        <v>349.78763618602898</v>
      </c>
      <c r="F87" s="8">
        <v>2000</v>
      </c>
      <c r="G87" s="8">
        <v>2</v>
      </c>
      <c r="H87" s="10">
        <v>342.46365771336201</v>
      </c>
      <c r="J87" s="10">
        <v>2000</v>
      </c>
      <c r="K87" s="10">
        <v>2</v>
      </c>
      <c r="L87" s="10">
        <v>339.65792862296399</v>
      </c>
      <c r="N87" s="10">
        <v>2000</v>
      </c>
      <c r="O87" s="10">
        <v>2</v>
      </c>
      <c r="P87" s="10">
        <v>339.68821622711198</v>
      </c>
      <c r="R87" s="10">
        <v>2000</v>
      </c>
      <c r="S87" s="10">
        <v>2</v>
      </c>
      <c r="T87" s="10">
        <v>339.73745357999798</v>
      </c>
      <c r="V87" s="10">
        <v>2000</v>
      </c>
      <c r="W87" s="10">
        <v>2</v>
      </c>
      <c r="X87" s="10">
        <v>341.26679778655699</v>
      </c>
      <c r="Z87" s="10">
        <v>2000</v>
      </c>
      <c r="AA87" s="10">
        <v>2</v>
      </c>
      <c r="AB87" s="10">
        <v>340.839075496021</v>
      </c>
    </row>
    <row r="88" spans="1:28" x14ac:dyDescent="0.25">
      <c r="A88" s="8">
        <v>2000</v>
      </c>
      <c r="B88" s="8">
        <v>3</v>
      </c>
      <c r="C88" s="10">
        <v>384.876717086486</v>
      </c>
      <c r="F88" s="8">
        <v>2000</v>
      </c>
      <c r="G88" s="8">
        <v>3</v>
      </c>
      <c r="H88" s="10">
        <v>385.9569966089</v>
      </c>
      <c r="J88" s="10">
        <v>2000</v>
      </c>
      <c r="K88" s="10">
        <v>3</v>
      </c>
      <c r="L88" s="10">
        <v>385.92961782627401</v>
      </c>
      <c r="N88" s="10">
        <v>2000</v>
      </c>
      <c r="O88" s="10">
        <v>3</v>
      </c>
      <c r="P88" s="10">
        <v>385.97649220110202</v>
      </c>
      <c r="R88" s="10">
        <v>2000</v>
      </c>
      <c r="S88" s="10">
        <v>3</v>
      </c>
      <c r="T88" s="10">
        <v>385.82650433651702</v>
      </c>
      <c r="V88" s="10">
        <v>2000</v>
      </c>
      <c r="W88" s="10">
        <v>3</v>
      </c>
      <c r="X88" s="10">
        <v>385.733157427842</v>
      </c>
      <c r="Z88" s="10">
        <v>2000</v>
      </c>
      <c r="AA88" s="10">
        <v>3</v>
      </c>
      <c r="AB88" s="10">
        <v>386.19130120451098</v>
      </c>
    </row>
    <row r="89" spans="1:28" x14ac:dyDescent="0.25">
      <c r="A89" s="8">
        <v>2000</v>
      </c>
      <c r="B89" s="8">
        <v>4</v>
      </c>
      <c r="C89" s="10">
        <v>367.93933819227698</v>
      </c>
      <c r="F89" s="8">
        <v>2000</v>
      </c>
      <c r="G89" s="8">
        <v>4</v>
      </c>
      <c r="H89" s="10">
        <v>367.42181639191102</v>
      </c>
      <c r="J89" s="10">
        <v>2000</v>
      </c>
      <c r="K89" s="10">
        <v>4</v>
      </c>
      <c r="L89" s="10">
        <v>367.70727036691801</v>
      </c>
      <c r="N89" s="10">
        <v>2000</v>
      </c>
      <c r="O89" s="10">
        <v>4</v>
      </c>
      <c r="P89" s="10">
        <v>367.65385841098498</v>
      </c>
      <c r="R89" s="10">
        <v>2000</v>
      </c>
      <c r="S89" s="10">
        <v>4</v>
      </c>
      <c r="T89" s="10">
        <v>367.79472503603301</v>
      </c>
      <c r="V89" s="10">
        <v>2000</v>
      </c>
      <c r="W89" s="10">
        <v>4</v>
      </c>
      <c r="X89" s="10">
        <v>367.83088322277598</v>
      </c>
      <c r="Z89" s="10">
        <v>2000</v>
      </c>
      <c r="AA89" s="10">
        <v>4</v>
      </c>
      <c r="AB89" s="10">
        <v>367.22482972195201</v>
      </c>
    </row>
    <row r="90" spans="1:28" x14ac:dyDescent="0.25">
      <c r="A90" s="8">
        <v>2000</v>
      </c>
      <c r="B90" s="8">
        <v>5</v>
      </c>
      <c r="C90" s="10">
        <v>335.71745418543998</v>
      </c>
      <c r="F90" s="8">
        <v>2000</v>
      </c>
      <c r="G90" s="8">
        <v>5</v>
      </c>
      <c r="H90" s="10">
        <v>336.67113563123098</v>
      </c>
      <c r="J90" s="10">
        <v>2000</v>
      </c>
      <c r="K90" s="10">
        <v>5</v>
      </c>
      <c r="L90" s="10">
        <v>336.49150307474503</v>
      </c>
      <c r="N90" s="10">
        <v>2000</v>
      </c>
      <c r="O90" s="10">
        <v>5</v>
      </c>
      <c r="P90" s="10">
        <v>336.54830432480702</v>
      </c>
      <c r="R90" s="10">
        <v>2000</v>
      </c>
      <c r="S90" s="10">
        <v>5</v>
      </c>
      <c r="T90" s="10">
        <v>336.37875973178899</v>
      </c>
      <c r="V90" s="10">
        <v>2000</v>
      </c>
      <c r="W90" s="10">
        <v>5</v>
      </c>
      <c r="X90" s="10">
        <v>336.31900268946902</v>
      </c>
      <c r="Z90" s="10">
        <v>2000</v>
      </c>
      <c r="AA90" s="10">
        <v>5</v>
      </c>
      <c r="AB90" s="10">
        <v>336.84911542637599</v>
      </c>
    </row>
    <row r="91" spans="1:28" x14ac:dyDescent="0.25">
      <c r="A91" s="8">
        <v>2000</v>
      </c>
      <c r="B91" s="8">
        <v>6</v>
      </c>
      <c r="C91" s="10">
        <v>339.07257530358498</v>
      </c>
      <c r="F91" s="8">
        <v>2000</v>
      </c>
      <c r="G91" s="8">
        <v>6</v>
      </c>
      <c r="H91" s="10">
        <v>339.134268143432</v>
      </c>
      <c r="J91" s="10">
        <v>2000</v>
      </c>
      <c r="K91" s="10">
        <v>6</v>
      </c>
      <c r="L91" s="10">
        <v>338.90559113225402</v>
      </c>
      <c r="N91" s="10">
        <v>2000</v>
      </c>
      <c r="O91" s="10">
        <v>6</v>
      </c>
      <c r="P91" s="10">
        <v>338.93157639535002</v>
      </c>
      <c r="R91" s="10">
        <v>2000</v>
      </c>
      <c r="S91" s="10">
        <v>6</v>
      </c>
      <c r="T91" s="10">
        <v>338.892369707775</v>
      </c>
      <c r="V91" s="10">
        <v>2000</v>
      </c>
      <c r="W91" s="10">
        <v>6</v>
      </c>
      <c r="X91" s="10">
        <v>338.893409791777</v>
      </c>
      <c r="Z91" s="10">
        <v>2000</v>
      </c>
      <c r="AA91" s="10">
        <v>6</v>
      </c>
      <c r="AB91" s="10">
        <v>339.12840242738503</v>
      </c>
    </row>
    <row r="92" spans="1:28" x14ac:dyDescent="0.25">
      <c r="A92" s="8">
        <v>2000</v>
      </c>
      <c r="B92" s="8">
        <v>7</v>
      </c>
      <c r="C92" s="10">
        <v>357.86540531761699</v>
      </c>
      <c r="F92" s="8">
        <v>2000</v>
      </c>
      <c r="G92" s="8">
        <v>7</v>
      </c>
      <c r="H92" s="10">
        <v>357.97517961557497</v>
      </c>
      <c r="J92" s="10">
        <v>2000</v>
      </c>
      <c r="K92" s="10">
        <v>7</v>
      </c>
      <c r="L92" s="10">
        <v>358.00256406083298</v>
      </c>
      <c r="N92" s="10">
        <v>2000</v>
      </c>
      <c r="O92" s="10">
        <v>7</v>
      </c>
      <c r="P92" s="10">
        <v>357.96823839815698</v>
      </c>
      <c r="R92" s="10">
        <v>2000</v>
      </c>
      <c r="S92" s="10">
        <v>7</v>
      </c>
      <c r="T92" s="10">
        <v>358.07719508015299</v>
      </c>
      <c r="V92" s="10">
        <v>2000</v>
      </c>
      <c r="W92" s="10">
        <v>7</v>
      </c>
      <c r="X92" s="10">
        <v>358.016637452201</v>
      </c>
      <c r="Z92" s="10">
        <v>2000</v>
      </c>
      <c r="AA92" s="10">
        <v>7</v>
      </c>
      <c r="AB92" s="10">
        <v>357.89725447360502</v>
      </c>
    </row>
    <row r="93" spans="1:28" x14ac:dyDescent="0.25">
      <c r="A93" s="8">
        <v>2000</v>
      </c>
      <c r="B93" s="8">
        <v>8</v>
      </c>
      <c r="C93" s="10">
        <v>375.70821412084598</v>
      </c>
      <c r="F93" s="8">
        <v>2000</v>
      </c>
      <c r="G93" s="8">
        <v>8</v>
      </c>
      <c r="H93" s="10">
        <v>375.629903507964</v>
      </c>
      <c r="J93" s="10">
        <v>2000</v>
      </c>
      <c r="K93" s="10">
        <v>8</v>
      </c>
      <c r="L93" s="10">
        <v>375.50568736105703</v>
      </c>
      <c r="N93" s="10">
        <v>2000</v>
      </c>
      <c r="O93" s="10">
        <v>8</v>
      </c>
      <c r="P93" s="10">
        <v>375.54482588462002</v>
      </c>
      <c r="R93" s="10">
        <v>2000</v>
      </c>
      <c r="S93" s="10">
        <v>8</v>
      </c>
      <c r="T93" s="10">
        <v>375.43266995172303</v>
      </c>
      <c r="V93" s="10">
        <v>2000</v>
      </c>
      <c r="W93" s="10">
        <v>8</v>
      </c>
      <c r="X93" s="10">
        <v>375.451673349847</v>
      </c>
      <c r="Z93" s="10">
        <v>2000</v>
      </c>
      <c r="AA93" s="10">
        <v>8</v>
      </c>
      <c r="AB93" s="10">
        <v>375.79198504550698</v>
      </c>
    </row>
    <row r="94" spans="1:28" x14ac:dyDescent="0.25">
      <c r="A94" s="8">
        <v>2000</v>
      </c>
      <c r="B94" s="8">
        <v>9</v>
      </c>
      <c r="C94" s="10">
        <v>395.16838116249397</v>
      </c>
      <c r="F94" s="8">
        <v>2000</v>
      </c>
      <c r="G94" s="8">
        <v>9</v>
      </c>
      <c r="H94" s="10">
        <v>394.89206793752197</v>
      </c>
      <c r="J94" s="10">
        <v>2000</v>
      </c>
      <c r="K94" s="10">
        <v>9</v>
      </c>
      <c r="L94" s="10">
        <v>394.86838754799197</v>
      </c>
      <c r="N94" s="10">
        <v>2000</v>
      </c>
      <c r="O94" s="10">
        <v>9</v>
      </c>
      <c r="P94" s="10">
        <v>394.86117583508701</v>
      </c>
      <c r="R94" s="10">
        <v>2000</v>
      </c>
      <c r="S94" s="10">
        <v>9</v>
      </c>
      <c r="T94" s="10">
        <v>394.89806435485701</v>
      </c>
      <c r="V94" s="10">
        <v>2000</v>
      </c>
      <c r="W94" s="10">
        <v>9</v>
      </c>
      <c r="X94" s="10">
        <v>394.92385026417901</v>
      </c>
      <c r="Z94" s="10">
        <v>2000</v>
      </c>
      <c r="AA94" s="10">
        <v>9</v>
      </c>
      <c r="AB94" s="10">
        <v>394.79205953222402</v>
      </c>
    </row>
    <row r="95" spans="1:28" x14ac:dyDescent="0.25">
      <c r="A95" s="8">
        <v>2000</v>
      </c>
      <c r="B95" s="8">
        <v>10</v>
      </c>
      <c r="C95" s="10">
        <v>391.52267252704303</v>
      </c>
      <c r="F95" s="8">
        <v>2000</v>
      </c>
      <c r="G95" s="8">
        <v>10</v>
      </c>
      <c r="H95" s="10">
        <v>391.29659602495599</v>
      </c>
      <c r="J95" s="10">
        <v>2000</v>
      </c>
      <c r="K95" s="10">
        <v>10</v>
      </c>
      <c r="L95" s="10">
        <v>391.29853127300601</v>
      </c>
      <c r="N95" s="10">
        <v>2000</v>
      </c>
      <c r="O95" s="10">
        <v>10</v>
      </c>
      <c r="P95" s="10">
        <v>391.291408255303</v>
      </c>
      <c r="R95" s="10">
        <v>2000</v>
      </c>
      <c r="S95" s="10">
        <v>10</v>
      </c>
      <c r="T95" s="10">
        <v>391.32571414714602</v>
      </c>
      <c r="V95" s="10">
        <v>2000</v>
      </c>
      <c r="W95" s="10">
        <v>10</v>
      </c>
      <c r="X95" s="10">
        <v>391.34542733726602</v>
      </c>
      <c r="Z95" s="10">
        <v>2000</v>
      </c>
      <c r="AA95" s="10">
        <v>10</v>
      </c>
      <c r="AB95" s="10">
        <v>391.209937037418</v>
      </c>
    </row>
    <row r="96" spans="1:28" x14ac:dyDescent="0.25">
      <c r="A96" s="8">
        <v>2000</v>
      </c>
      <c r="B96" s="8">
        <v>11</v>
      </c>
      <c r="C96" s="10">
        <v>400.96613268704499</v>
      </c>
      <c r="F96" s="8">
        <v>2000</v>
      </c>
      <c r="G96" s="8">
        <v>11</v>
      </c>
      <c r="H96" s="10">
        <v>401.18754875374401</v>
      </c>
      <c r="J96" s="10">
        <v>2000</v>
      </c>
      <c r="K96" s="10">
        <v>11</v>
      </c>
      <c r="L96" s="10">
        <v>401.20924538493898</v>
      </c>
      <c r="N96" s="10">
        <v>2000</v>
      </c>
      <c r="O96" s="10">
        <v>11</v>
      </c>
      <c r="P96" s="10">
        <v>401.180572091388</v>
      </c>
      <c r="R96" s="10">
        <v>2000</v>
      </c>
      <c r="S96" s="10">
        <v>11</v>
      </c>
      <c r="T96" s="10">
        <v>401.22644894451702</v>
      </c>
      <c r="V96" s="10">
        <v>2000</v>
      </c>
      <c r="W96" s="10">
        <v>11</v>
      </c>
      <c r="X96" s="10">
        <v>401.17133956352097</v>
      </c>
      <c r="Z96" s="10">
        <v>2000</v>
      </c>
      <c r="AA96" s="10">
        <v>11</v>
      </c>
      <c r="AB96" s="10">
        <v>401.23340918498002</v>
      </c>
    </row>
    <row r="97" spans="1:28" x14ac:dyDescent="0.25">
      <c r="A97" s="8">
        <v>2000</v>
      </c>
      <c r="B97" s="8">
        <v>12</v>
      </c>
      <c r="C97" s="10">
        <v>413.04309082860402</v>
      </c>
      <c r="F97" s="8">
        <v>2000</v>
      </c>
      <c r="G97" s="8">
        <v>12</v>
      </c>
      <c r="H97" s="10">
        <v>412.12325815898703</v>
      </c>
      <c r="J97" s="10">
        <v>2000</v>
      </c>
      <c r="K97" s="10">
        <v>12</v>
      </c>
      <c r="L97" s="10">
        <v>412.471482746437</v>
      </c>
      <c r="N97" s="10">
        <v>2000</v>
      </c>
      <c r="O97" s="10">
        <v>12</v>
      </c>
      <c r="P97" s="10">
        <v>412.392237690559</v>
      </c>
      <c r="R97" s="10">
        <v>2000</v>
      </c>
      <c r="S97" s="10">
        <v>12</v>
      </c>
      <c r="T97" s="10">
        <v>412.65296722041001</v>
      </c>
      <c r="V97" s="10">
        <v>2000</v>
      </c>
      <c r="W97" s="10">
        <v>12</v>
      </c>
      <c r="X97" s="10">
        <v>412.66979673148001</v>
      </c>
      <c r="Z97" s="10">
        <v>2000</v>
      </c>
      <c r="AA97" s="10">
        <v>12</v>
      </c>
      <c r="AB97" s="10">
        <v>411.84491215745601</v>
      </c>
    </row>
    <row r="98" spans="1:28" x14ac:dyDescent="0.25">
      <c r="A98" s="8">
        <v>2001</v>
      </c>
      <c r="B98" s="8">
        <v>1</v>
      </c>
      <c r="C98" s="10">
        <v>381.69274473198698</v>
      </c>
      <c r="F98" s="8">
        <v>2001</v>
      </c>
      <c r="G98" s="8">
        <v>1</v>
      </c>
      <c r="H98" s="10">
        <v>382.01696814510598</v>
      </c>
      <c r="J98" s="10">
        <v>2001</v>
      </c>
      <c r="K98" s="10">
        <v>1</v>
      </c>
      <c r="L98" s="10">
        <v>381.99874522374603</v>
      </c>
      <c r="N98" s="10">
        <v>2001</v>
      </c>
      <c r="O98" s="10">
        <v>1</v>
      </c>
      <c r="P98" s="10">
        <v>382.01592622950398</v>
      </c>
      <c r="R98" s="10">
        <v>2001</v>
      </c>
      <c r="S98" s="10">
        <v>1</v>
      </c>
      <c r="T98" s="10">
        <v>381.96225213878199</v>
      </c>
      <c r="V98" s="10">
        <v>2001</v>
      </c>
      <c r="W98" s="10">
        <v>1</v>
      </c>
      <c r="X98" s="10">
        <v>381.86081007977799</v>
      </c>
      <c r="Z98" s="10">
        <v>2001</v>
      </c>
      <c r="AA98" s="10">
        <v>1</v>
      </c>
      <c r="AB98" s="10">
        <v>382.15511619978298</v>
      </c>
    </row>
    <row r="99" spans="1:28" x14ac:dyDescent="0.25">
      <c r="A99" s="8">
        <v>2001</v>
      </c>
      <c r="B99" s="8">
        <v>2</v>
      </c>
      <c r="C99" s="10">
        <v>360.38773770152102</v>
      </c>
      <c r="F99" s="8">
        <v>2001</v>
      </c>
      <c r="G99" s="8">
        <v>2</v>
      </c>
      <c r="H99" s="10">
        <v>362.385054084834</v>
      </c>
      <c r="J99" s="10">
        <v>2001</v>
      </c>
      <c r="K99" s="10">
        <v>2</v>
      </c>
      <c r="L99" s="10">
        <v>363.34602115294899</v>
      </c>
      <c r="N99" s="10">
        <v>2001</v>
      </c>
      <c r="O99" s="10">
        <v>2</v>
      </c>
      <c r="P99" s="10">
        <v>363.37167989497902</v>
      </c>
      <c r="R99" s="10">
        <v>2001</v>
      </c>
      <c r="S99" s="10">
        <v>2</v>
      </c>
      <c r="T99" s="10">
        <v>363.18745370710297</v>
      </c>
      <c r="V99" s="10">
        <v>2001</v>
      </c>
      <c r="W99" s="10">
        <v>2</v>
      </c>
      <c r="X99" s="10">
        <v>362.91487960503503</v>
      </c>
      <c r="Z99" s="10">
        <v>2001</v>
      </c>
      <c r="AA99" s="10">
        <v>2</v>
      </c>
      <c r="AB99" s="10">
        <v>363.06556124263199</v>
      </c>
    </row>
    <row r="100" spans="1:28" x14ac:dyDescent="0.25">
      <c r="A100" s="8">
        <v>2001</v>
      </c>
      <c r="B100" s="8">
        <v>3</v>
      </c>
      <c r="C100" s="10">
        <v>380.33386991268202</v>
      </c>
      <c r="F100" s="8">
        <v>2001</v>
      </c>
      <c r="G100" s="8">
        <v>3</v>
      </c>
      <c r="H100" s="10">
        <v>381.07056440271703</v>
      </c>
      <c r="J100" s="10">
        <v>2001</v>
      </c>
      <c r="K100" s="10">
        <v>3</v>
      </c>
      <c r="L100" s="10">
        <v>381.14972508523698</v>
      </c>
      <c r="N100" s="10">
        <v>2001</v>
      </c>
      <c r="O100" s="10">
        <v>3</v>
      </c>
      <c r="P100" s="10">
        <v>381.16041647568102</v>
      </c>
      <c r="R100" s="10">
        <v>2001</v>
      </c>
      <c r="S100" s="10">
        <v>3</v>
      </c>
      <c r="T100" s="10">
        <v>381.10791497588701</v>
      </c>
      <c r="V100" s="10">
        <v>2001</v>
      </c>
      <c r="W100" s="10">
        <v>3</v>
      </c>
      <c r="X100" s="10">
        <v>381.06074732919598</v>
      </c>
      <c r="Z100" s="10">
        <v>2001</v>
      </c>
      <c r="AA100" s="10">
        <v>3</v>
      </c>
      <c r="AB100" s="10">
        <v>381.15678449408699</v>
      </c>
    </row>
    <row r="101" spans="1:28" x14ac:dyDescent="0.25">
      <c r="A101" s="8">
        <v>2001</v>
      </c>
      <c r="B101" s="8">
        <v>4</v>
      </c>
      <c r="C101" s="10">
        <v>375.408332615875</v>
      </c>
      <c r="F101" s="8">
        <v>2001</v>
      </c>
      <c r="G101" s="8">
        <v>4</v>
      </c>
      <c r="H101" s="10">
        <v>374.78453774120499</v>
      </c>
      <c r="J101" s="10">
        <v>2001</v>
      </c>
      <c r="K101" s="10">
        <v>4</v>
      </c>
      <c r="L101" s="10">
        <v>374.66238207184</v>
      </c>
      <c r="N101" s="10">
        <v>2001</v>
      </c>
      <c r="O101" s="10">
        <v>4</v>
      </c>
      <c r="P101" s="10">
        <v>374.66073579924898</v>
      </c>
      <c r="R101" s="10">
        <v>2001</v>
      </c>
      <c r="S101" s="10">
        <v>4</v>
      </c>
      <c r="T101" s="10">
        <v>374.685368375839</v>
      </c>
      <c r="V101" s="10">
        <v>2001</v>
      </c>
      <c r="W101" s="10">
        <v>4</v>
      </c>
      <c r="X101" s="10">
        <v>374.75455100449199</v>
      </c>
      <c r="Z101" s="10">
        <v>2001</v>
      </c>
      <c r="AA101" s="10">
        <v>4</v>
      </c>
      <c r="AB101" s="10">
        <v>374.63472139474197</v>
      </c>
    </row>
    <row r="102" spans="1:28" x14ac:dyDescent="0.25">
      <c r="A102" s="8">
        <v>2001</v>
      </c>
      <c r="B102" s="8">
        <v>5</v>
      </c>
      <c r="C102" s="10">
        <v>376.64194417157</v>
      </c>
      <c r="F102" s="8">
        <v>2001</v>
      </c>
      <c r="G102" s="8">
        <v>5</v>
      </c>
      <c r="H102" s="10">
        <v>377.55741566438797</v>
      </c>
      <c r="J102" s="10">
        <v>2001</v>
      </c>
      <c r="K102" s="10">
        <v>5</v>
      </c>
      <c r="L102" s="10">
        <v>377.38394715831498</v>
      </c>
      <c r="N102" s="10">
        <v>2001</v>
      </c>
      <c r="O102" s="10">
        <v>5</v>
      </c>
      <c r="P102" s="10">
        <v>377.43611012401499</v>
      </c>
      <c r="R102" s="10">
        <v>2001</v>
      </c>
      <c r="S102" s="10">
        <v>5</v>
      </c>
      <c r="T102" s="10">
        <v>377.28135732671899</v>
      </c>
      <c r="V102" s="10">
        <v>2001</v>
      </c>
      <c r="W102" s="10">
        <v>5</v>
      </c>
      <c r="X102" s="10">
        <v>377.22500314854301</v>
      </c>
      <c r="Z102" s="10">
        <v>2001</v>
      </c>
      <c r="AA102" s="10">
        <v>5</v>
      </c>
      <c r="AB102" s="10">
        <v>377.71274292354798</v>
      </c>
    </row>
    <row r="103" spans="1:28" x14ac:dyDescent="0.25">
      <c r="A103" s="8">
        <v>2001</v>
      </c>
      <c r="B103" s="8">
        <v>6</v>
      </c>
      <c r="C103" s="10">
        <v>376.81166699654699</v>
      </c>
      <c r="F103" s="8">
        <v>2001</v>
      </c>
      <c r="G103" s="8">
        <v>6</v>
      </c>
      <c r="H103" s="10">
        <v>376.800219254166</v>
      </c>
      <c r="J103" s="10">
        <v>2001</v>
      </c>
      <c r="K103" s="10">
        <v>6</v>
      </c>
      <c r="L103" s="10">
        <v>376.80412345570397</v>
      </c>
      <c r="N103" s="10">
        <v>2001</v>
      </c>
      <c r="O103" s="10">
        <v>6</v>
      </c>
      <c r="P103" s="10">
        <v>376.79317987988998</v>
      </c>
      <c r="R103" s="10">
        <v>2001</v>
      </c>
      <c r="S103" s="10">
        <v>6</v>
      </c>
      <c r="T103" s="10">
        <v>376.84300861119402</v>
      </c>
      <c r="V103" s="10">
        <v>2001</v>
      </c>
      <c r="W103" s="10">
        <v>6</v>
      </c>
      <c r="X103" s="10">
        <v>376.84562756070301</v>
      </c>
      <c r="Z103" s="10">
        <v>2001</v>
      </c>
      <c r="AA103" s="10">
        <v>6</v>
      </c>
      <c r="AB103" s="10">
        <v>376.71594521565697</v>
      </c>
    </row>
    <row r="104" spans="1:28" x14ac:dyDescent="0.25">
      <c r="A104" s="8">
        <v>2001</v>
      </c>
      <c r="B104" s="8">
        <v>7</v>
      </c>
      <c r="C104" s="10">
        <v>349.12065947586598</v>
      </c>
      <c r="F104" s="8">
        <v>2001</v>
      </c>
      <c r="G104" s="8">
        <v>7</v>
      </c>
      <c r="H104" s="10">
        <v>349.10229302890099</v>
      </c>
      <c r="J104" s="10">
        <v>2001</v>
      </c>
      <c r="K104" s="10">
        <v>7</v>
      </c>
      <c r="L104" s="10">
        <v>348.99187970569102</v>
      </c>
      <c r="N104" s="10">
        <v>2001</v>
      </c>
      <c r="O104" s="10">
        <v>7</v>
      </c>
      <c r="P104" s="10">
        <v>348.99111042716402</v>
      </c>
      <c r="R104" s="10">
        <v>2001</v>
      </c>
      <c r="S104" s="10">
        <v>7</v>
      </c>
      <c r="T104" s="10">
        <v>349.01800483113601</v>
      </c>
      <c r="V104" s="10">
        <v>2001</v>
      </c>
      <c r="W104" s="10">
        <v>7</v>
      </c>
      <c r="X104" s="10">
        <v>348.98598515803297</v>
      </c>
      <c r="Z104" s="10">
        <v>2001</v>
      </c>
      <c r="AA104" s="10">
        <v>7</v>
      </c>
      <c r="AB104" s="10">
        <v>349.06752555648097</v>
      </c>
    </row>
    <row r="105" spans="1:28" x14ac:dyDescent="0.25">
      <c r="A105" s="8">
        <v>2001</v>
      </c>
      <c r="B105" s="8">
        <v>8</v>
      </c>
      <c r="C105" s="10">
        <v>255.48926784451299</v>
      </c>
      <c r="F105" s="8">
        <v>2001</v>
      </c>
      <c r="G105" s="8">
        <v>8</v>
      </c>
      <c r="H105" s="10">
        <v>255.467218450758</v>
      </c>
      <c r="J105" s="10">
        <v>2001</v>
      </c>
      <c r="K105" s="10">
        <v>8</v>
      </c>
      <c r="L105" s="10">
        <v>255.31135527953401</v>
      </c>
      <c r="N105" s="10">
        <v>2001</v>
      </c>
      <c r="O105" s="10">
        <v>8</v>
      </c>
      <c r="P105" s="10">
        <v>255.35475819897599</v>
      </c>
      <c r="R105" s="10">
        <v>2001</v>
      </c>
      <c r="S105" s="10">
        <v>8</v>
      </c>
      <c r="T105" s="10">
        <v>255.23539692145499</v>
      </c>
      <c r="V105" s="10">
        <v>2001</v>
      </c>
      <c r="W105" s="10">
        <v>8</v>
      </c>
      <c r="X105" s="10">
        <v>255.25434254886699</v>
      </c>
      <c r="Z105" s="10">
        <v>2001</v>
      </c>
      <c r="AA105" s="10">
        <v>8</v>
      </c>
      <c r="AB105" s="10">
        <v>255.64364922088399</v>
      </c>
    </row>
    <row r="106" spans="1:28" x14ac:dyDescent="0.25">
      <c r="A106" s="8">
        <v>2001</v>
      </c>
      <c r="B106" s="8">
        <v>9</v>
      </c>
      <c r="C106" s="10">
        <v>339.59161983003099</v>
      </c>
      <c r="F106" s="8">
        <v>2001</v>
      </c>
      <c r="G106" s="8">
        <v>9</v>
      </c>
      <c r="H106" s="10">
        <v>339.22263957439299</v>
      </c>
      <c r="J106" s="10">
        <v>2001</v>
      </c>
      <c r="K106" s="10">
        <v>9</v>
      </c>
      <c r="L106" s="10">
        <v>339.45853298628202</v>
      </c>
      <c r="N106" s="10">
        <v>2001</v>
      </c>
      <c r="O106" s="10">
        <v>9</v>
      </c>
      <c r="P106" s="10">
        <v>339.41433464543599</v>
      </c>
      <c r="R106" s="10">
        <v>2001</v>
      </c>
      <c r="S106" s="10">
        <v>9</v>
      </c>
      <c r="T106" s="10">
        <v>339.54048277599099</v>
      </c>
      <c r="V106" s="10">
        <v>2001</v>
      </c>
      <c r="W106" s="10">
        <v>9</v>
      </c>
      <c r="X106" s="10">
        <v>339.57653377804502</v>
      </c>
      <c r="Z106" s="10">
        <v>2001</v>
      </c>
      <c r="AA106" s="10">
        <v>9</v>
      </c>
      <c r="AB106" s="10">
        <v>339.042173174585</v>
      </c>
    </row>
    <row r="107" spans="1:28" x14ac:dyDescent="0.25">
      <c r="A107" s="8">
        <v>2001</v>
      </c>
      <c r="B107" s="8">
        <v>10</v>
      </c>
      <c r="C107" s="10">
        <v>314.20050610722899</v>
      </c>
      <c r="F107" s="8">
        <v>2001</v>
      </c>
      <c r="G107" s="8">
        <v>10</v>
      </c>
      <c r="H107" s="10">
        <v>314.072245141471</v>
      </c>
      <c r="J107" s="10">
        <v>2001</v>
      </c>
      <c r="K107" s="10">
        <v>10</v>
      </c>
      <c r="L107" s="10">
        <v>313.79413200699099</v>
      </c>
      <c r="N107" s="10">
        <v>2001</v>
      </c>
      <c r="O107" s="10">
        <v>10</v>
      </c>
      <c r="P107" s="10">
        <v>313.83357943420202</v>
      </c>
      <c r="R107" s="10">
        <v>2001</v>
      </c>
      <c r="S107" s="10">
        <v>10</v>
      </c>
      <c r="T107" s="10">
        <v>313.76287296206698</v>
      </c>
      <c r="V107" s="10">
        <v>2001</v>
      </c>
      <c r="W107" s="10">
        <v>10</v>
      </c>
      <c r="X107" s="10">
        <v>313.78866204520898</v>
      </c>
      <c r="Z107" s="10">
        <v>2001</v>
      </c>
      <c r="AA107" s="10">
        <v>10</v>
      </c>
      <c r="AB107" s="10">
        <v>314.07254482943699</v>
      </c>
    </row>
    <row r="108" spans="1:28" x14ac:dyDescent="0.25">
      <c r="A108" s="8">
        <v>2001</v>
      </c>
      <c r="B108" s="8">
        <v>11</v>
      </c>
      <c r="C108" s="10">
        <v>308.35474120991398</v>
      </c>
      <c r="F108" s="8">
        <v>2001</v>
      </c>
      <c r="G108" s="8">
        <v>11</v>
      </c>
      <c r="H108" s="10">
        <v>308.69868884700998</v>
      </c>
      <c r="J108" s="10">
        <v>2001</v>
      </c>
      <c r="K108" s="10">
        <v>11</v>
      </c>
      <c r="L108" s="10">
        <v>308.78290937119499</v>
      </c>
      <c r="N108" s="10">
        <v>2001</v>
      </c>
      <c r="O108" s="10">
        <v>11</v>
      </c>
      <c r="P108" s="10">
        <v>308.73484099350799</v>
      </c>
      <c r="R108" s="10">
        <v>2001</v>
      </c>
      <c r="S108" s="10">
        <v>11</v>
      </c>
      <c r="T108" s="10">
        <v>308.81274254567097</v>
      </c>
      <c r="V108" s="10">
        <v>2001</v>
      </c>
      <c r="W108" s="10">
        <v>11</v>
      </c>
      <c r="X108" s="10">
        <v>308.75128679076403</v>
      </c>
      <c r="Z108" s="10">
        <v>2001</v>
      </c>
      <c r="AA108" s="10">
        <v>11</v>
      </c>
      <c r="AB108" s="10">
        <v>308.75306757369702</v>
      </c>
    </row>
    <row r="109" spans="1:28" x14ac:dyDescent="0.25">
      <c r="A109" s="8">
        <v>2001</v>
      </c>
      <c r="B109" s="8">
        <v>12</v>
      </c>
      <c r="C109" s="10">
        <v>300.29831268436101</v>
      </c>
      <c r="F109" s="8">
        <v>2001</v>
      </c>
      <c r="G109" s="8">
        <v>12</v>
      </c>
      <c r="H109" s="10">
        <v>299.350241535571</v>
      </c>
      <c r="J109" s="10">
        <v>2001</v>
      </c>
      <c r="K109" s="10">
        <v>12</v>
      </c>
      <c r="L109" s="10">
        <v>299.60520372370797</v>
      </c>
      <c r="N109" s="10">
        <v>2001</v>
      </c>
      <c r="O109" s="10">
        <v>12</v>
      </c>
      <c r="P109" s="10">
        <v>299.53911481108202</v>
      </c>
      <c r="R109" s="10">
        <v>2001</v>
      </c>
      <c r="S109" s="10">
        <v>12</v>
      </c>
      <c r="T109" s="10">
        <v>299.77418628529801</v>
      </c>
      <c r="V109" s="10">
        <v>2001</v>
      </c>
      <c r="W109" s="10">
        <v>12</v>
      </c>
      <c r="X109" s="10">
        <v>299.82558027209302</v>
      </c>
      <c r="Z109" s="10">
        <v>2001</v>
      </c>
      <c r="AA109" s="10">
        <v>12</v>
      </c>
      <c r="AB109" s="10">
        <v>299.053078190679</v>
      </c>
    </row>
    <row r="110" spans="1:28" x14ac:dyDescent="0.25">
      <c r="A110" s="8">
        <v>2002</v>
      </c>
      <c r="B110" s="8">
        <v>1</v>
      </c>
      <c r="C110" s="10">
        <v>308.66231425575398</v>
      </c>
      <c r="F110" s="8">
        <v>2002</v>
      </c>
      <c r="G110" s="8">
        <v>1</v>
      </c>
      <c r="H110" s="10">
        <v>309.32903247511598</v>
      </c>
      <c r="J110" s="10">
        <v>2002</v>
      </c>
      <c r="K110" s="10">
        <v>1</v>
      </c>
      <c r="L110" s="10">
        <v>309.47480887955402</v>
      </c>
      <c r="N110" s="10">
        <v>2002</v>
      </c>
      <c r="O110" s="10">
        <v>1</v>
      </c>
      <c r="P110" s="10">
        <v>309.47800784308703</v>
      </c>
      <c r="R110" s="10">
        <v>2002</v>
      </c>
      <c r="S110" s="10">
        <v>1</v>
      </c>
      <c r="T110" s="10">
        <v>309.42905178161902</v>
      </c>
      <c r="V110" s="10">
        <v>2002</v>
      </c>
      <c r="W110" s="10">
        <v>1</v>
      </c>
      <c r="X110" s="10">
        <v>309.28354449944197</v>
      </c>
      <c r="Z110" s="10">
        <v>2002</v>
      </c>
      <c r="AA110" s="10">
        <v>1</v>
      </c>
      <c r="AB110" s="10">
        <v>309.52350457535999</v>
      </c>
    </row>
    <row r="111" spans="1:28" x14ac:dyDescent="0.25">
      <c r="A111" s="8">
        <v>2002</v>
      </c>
      <c r="B111" s="8">
        <v>2</v>
      </c>
      <c r="C111" s="10">
        <v>344.80905913473202</v>
      </c>
      <c r="F111" s="8">
        <v>2002</v>
      </c>
      <c r="G111" s="8">
        <v>2</v>
      </c>
      <c r="H111" s="10">
        <v>346.92992483570799</v>
      </c>
      <c r="J111" s="10">
        <v>2002</v>
      </c>
      <c r="K111" s="10">
        <v>2</v>
      </c>
      <c r="L111" s="10">
        <v>347.99835793894999</v>
      </c>
      <c r="N111" s="10">
        <v>2002</v>
      </c>
      <c r="O111" s="10">
        <v>2</v>
      </c>
      <c r="P111" s="10">
        <v>348.02678252116101</v>
      </c>
      <c r="R111" s="10">
        <v>2002</v>
      </c>
      <c r="S111" s="10">
        <v>2</v>
      </c>
      <c r="T111" s="10">
        <v>347.84353934117701</v>
      </c>
      <c r="V111" s="10">
        <v>2002</v>
      </c>
      <c r="W111" s="10">
        <v>2</v>
      </c>
      <c r="X111" s="10">
        <v>347.43593462458898</v>
      </c>
      <c r="Z111" s="10">
        <v>2002</v>
      </c>
      <c r="AA111" s="10">
        <v>2</v>
      </c>
      <c r="AB111" s="10">
        <v>347.71020888556302</v>
      </c>
    </row>
    <row r="112" spans="1:28" x14ac:dyDescent="0.25">
      <c r="A112" s="8">
        <v>2002</v>
      </c>
      <c r="B112" s="8">
        <v>3</v>
      </c>
      <c r="C112" s="10">
        <v>330.743058071706</v>
      </c>
      <c r="F112" s="8">
        <v>2002</v>
      </c>
      <c r="G112" s="8">
        <v>3</v>
      </c>
      <c r="H112" s="10">
        <v>331.06671801891702</v>
      </c>
      <c r="J112" s="10">
        <v>2002</v>
      </c>
      <c r="K112" s="10">
        <v>3</v>
      </c>
      <c r="L112" s="10">
        <v>331.25623629150402</v>
      </c>
      <c r="N112" s="10">
        <v>2002</v>
      </c>
      <c r="O112" s="10">
        <v>3</v>
      </c>
      <c r="P112" s="10">
        <v>331.22981512755001</v>
      </c>
      <c r="R112" s="10">
        <v>2002</v>
      </c>
      <c r="S112" s="10">
        <v>3</v>
      </c>
      <c r="T112" s="10">
        <v>331.28224211069198</v>
      </c>
      <c r="V112" s="10">
        <v>2002</v>
      </c>
      <c r="W112" s="10">
        <v>3</v>
      </c>
      <c r="X112" s="10">
        <v>331.29801915797702</v>
      </c>
      <c r="Z112" s="10">
        <v>2002</v>
      </c>
      <c r="AA112" s="10">
        <v>3</v>
      </c>
      <c r="AB112" s="10">
        <v>330.98176259158998</v>
      </c>
    </row>
    <row r="113" spans="1:28" x14ac:dyDescent="0.25">
      <c r="A113" s="8">
        <v>2002</v>
      </c>
      <c r="B113" s="8">
        <v>4</v>
      </c>
      <c r="C113" s="10">
        <v>380.839298032008</v>
      </c>
      <c r="F113" s="8">
        <v>2002</v>
      </c>
      <c r="G113" s="8">
        <v>4</v>
      </c>
      <c r="H113" s="10">
        <v>380.39696382950302</v>
      </c>
      <c r="J113" s="10">
        <v>2002</v>
      </c>
      <c r="K113" s="10">
        <v>4</v>
      </c>
      <c r="L113" s="10">
        <v>379.95691499054197</v>
      </c>
      <c r="N113" s="10">
        <v>2002</v>
      </c>
      <c r="O113" s="10">
        <v>4</v>
      </c>
      <c r="P113" s="10">
        <v>380.00220118520798</v>
      </c>
      <c r="R113" s="10">
        <v>2002</v>
      </c>
      <c r="S113" s="10">
        <v>4</v>
      </c>
      <c r="T113" s="10">
        <v>379.91320713846198</v>
      </c>
      <c r="V113" s="10">
        <v>2002</v>
      </c>
      <c r="W113" s="10">
        <v>4</v>
      </c>
      <c r="X113" s="10">
        <v>379.999455883552</v>
      </c>
      <c r="Z113" s="10">
        <v>2002</v>
      </c>
      <c r="AA113" s="10">
        <v>4</v>
      </c>
      <c r="AB113" s="10">
        <v>380.32209844608701</v>
      </c>
    </row>
    <row r="114" spans="1:28" x14ac:dyDescent="0.25">
      <c r="A114" s="8">
        <v>2002</v>
      </c>
      <c r="B114" s="8">
        <v>5</v>
      </c>
      <c r="C114" s="10">
        <v>367.78644167663299</v>
      </c>
      <c r="F114" s="8">
        <v>2002</v>
      </c>
      <c r="G114" s="8">
        <v>5</v>
      </c>
      <c r="H114" s="10">
        <v>368.44854506611398</v>
      </c>
      <c r="J114" s="10">
        <v>2002</v>
      </c>
      <c r="K114" s="10">
        <v>5</v>
      </c>
      <c r="L114" s="10">
        <v>368.22129084782102</v>
      </c>
      <c r="N114" s="10">
        <v>2002</v>
      </c>
      <c r="O114" s="10">
        <v>5</v>
      </c>
      <c r="P114" s="10">
        <v>368.26929708492003</v>
      </c>
      <c r="R114" s="10">
        <v>2002</v>
      </c>
      <c r="S114" s="10">
        <v>5</v>
      </c>
      <c r="T114" s="10">
        <v>368.13850593982602</v>
      </c>
      <c r="V114" s="10">
        <v>2002</v>
      </c>
      <c r="W114" s="10">
        <v>5</v>
      </c>
      <c r="X114" s="10">
        <v>368.10658757886898</v>
      </c>
      <c r="Z114" s="10">
        <v>2002</v>
      </c>
      <c r="AA114" s="10">
        <v>5</v>
      </c>
      <c r="AB114" s="10">
        <v>368.55365456878297</v>
      </c>
    </row>
    <row r="115" spans="1:28" x14ac:dyDescent="0.25">
      <c r="A115" s="8">
        <v>2002</v>
      </c>
      <c r="B115" s="8">
        <v>6</v>
      </c>
      <c r="C115" s="10">
        <v>358.54488632749297</v>
      </c>
      <c r="F115" s="8">
        <v>2002</v>
      </c>
      <c r="G115" s="8">
        <v>6</v>
      </c>
      <c r="H115" s="10">
        <v>358.44184630622601</v>
      </c>
      <c r="J115" s="10">
        <v>2002</v>
      </c>
      <c r="K115" s="10">
        <v>6</v>
      </c>
      <c r="L115" s="10">
        <v>358.68786770787301</v>
      </c>
      <c r="N115" s="10">
        <v>2002</v>
      </c>
      <c r="O115" s="10">
        <v>6</v>
      </c>
      <c r="P115" s="10">
        <v>358.638193640623</v>
      </c>
      <c r="R115" s="10">
        <v>2002</v>
      </c>
      <c r="S115" s="10">
        <v>6</v>
      </c>
      <c r="T115" s="10">
        <v>358.77478928669302</v>
      </c>
      <c r="V115" s="10">
        <v>2002</v>
      </c>
      <c r="W115" s="10">
        <v>6</v>
      </c>
      <c r="X115" s="10">
        <v>358.78293552095698</v>
      </c>
      <c r="Z115" s="10">
        <v>2002</v>
      </c>
      <c r="AA115" s="10">
        <v>6</v>
      </c>
      <c r="AB115" s="10">
        <v>358.27726516487701</v>
      </c>
    </row>
    <row r="116" spans="1:28" x14ac:dyDescent="0.25">
      <c r="A116" s="8">
        <v>2002</v>
      </c>
      <c r="B116" s="8">
        <v>7</v>
      </c>
      <c r="C116" s="10">
        <v>369.23498429002399</v>
      </c>
      <c r="F116" s="8">
        <v>2002</v>
      </c>
      <c r="G116" s="8">
        <v>7</v>
      </c>
      <c r="H116" s="10">
        <v>369.18453829596598</v>
      </c>
      <c r="J116" s="10">
        <v>2002</v>
      </c>
      <c r="K116" s="10">
        <v>7</v>
      </c>
      <c r="L116" s="10">
        <v>368.86261636630502</v>
      </c>
      <c r="N116" s="10">
        <v>2002</v>
      </c>
      <c r="O116" s="10">
        <v>7</v>
      </c>
      <c r="P116" s="10">
        <v>368.900245263253</v>
      </c>
      <c r="R116" s="10">
        <v>2002</v>
      </c>
      <c r="S116" s="10">
        <v>7</v>
      </c>
      <c r="T116" s="10">
        <v>368.83384407204699</v>
      </c>
      <c r="V116" s="10">
        <v>2002</v>
      </c>
      <c r="W116" s="10">
        <v>7</v>
      </c>
      <c r="X116" s="10">
        <v>368.832542770099</v>
      </c>
      <c r="Z116" s="10">
        <v>2002</v>
      </c>
      <c r="AA116" s="10">
        <v>7</v>
      </c>
      <c r="AB116" s="10">
        <v>369.20931477648702</v>
      </c>
    </row>
    <row r="117" spans="1:28" x14ac:dyDescent="0.25">
      <c r="A117" s="8">
        <v>2002</v>
      </c>
      <c r="B117" s="8">
        <v>8</v>
      </c>
      <c r="C117" s="10">
        <v>375.17973035635902</v>
      </c>
      <c r="F117" s="8">
        <v>2002</v>
      </c>
      <c r="G117" s="8">
        <v>8</v>
      </c>
      <c r="H117" s="10">
        <v>375.10177486066601</v>
      </c>
      <c r="J117" s="10">
        <v>2002</v>
      </c>
      <c r="K117" s="10">
        <v>8</v>
      </c>
      <c r="L117" s="10">
        <v>375.21270625570202</v>
      </c>
      <c r="N117" s="10">
        <v>2002</v>
      </c>
      <c r="O117" s="10">
        <v>8</v>
      </c>
      <c r="P117" s="10">
        <v>375.21250448832001</v>
      </c>
      <c r="R117" s="10">
        <v>2002</v>
      </c>
      <c r="S117" s="10">
        <v>8</v>
      </c>
      <c r="T117" s="10">
        <v>375.194646791563</v>
      </c>
      <c r="V117" s="10">
        <v>2002</v>
      </c>
      <c r="W117" s="10">
        <v>8</v>
      </c>
      <c r="X117" s="10">
        <v>375.21465876230002</v>
      </c>
      <c r="Z117" s="10">
        <v>2002</v>
      </c>
      <c r="AA117" s="10">
        <v>8</v>
      </c>
      <c r="AB117" s="10">
        <v>375.198489835251</v>
      </c>
    </row>
    <row r="118" spans="1:28" x14ac:dyDescent="0.25">
      <c r="A118" s="8">
        <v>2002</v>
      </c>
      <c r="B118" s="8">
        <v>9</v>
      </c>
      <c r="C118" s="10">
        <v>384.13794651940998</v>
      </c>
      <c r="F118" s="8">
        <v>2002</v>
      </c>
      <c r="G118" s="8">
        <v>9</v>
      </c>
      <c r="H118" s="10">
        <v>383.90536018466997</v>
      </c>
      <c r="J118" s="10">
        <v>2002</v>
      </c>
      <c r="K118" s="10">
        <v>9</v>
      </c>
      <c r="L118" s="10">
        <v>383.86775685707102</v>
      </c>
      <c r="N118" s="10">
        <v>2002</v>
      </c>
      <c r="O118" s="10">
        <v>9</v>
      </c>
      <c r="P118" s="10">
        <v>383.86670097652802</v>
      </c>
      <c r="R118" s="10">
        <v>2002</v>
      </c>
      <c r="S118" s="10">
        <v>9</v>
      </c>
      <c r="T118" s="10">
        <v>383.88951543482699</v>
      </c>
      <c r="V118" s="10">
        <v>2002</v>
      </c>
      <c r="W118" s="10">
        <v>9</v>
      </c>
      <c r="X118" s="10">
        <v>383.91874827407099</v>
      </c>
      <c r="Z118" s="10">
        <v>2002</v>
      </c>
      <c r="AA118" s="10">
        <v>9</v>
      </c>
      <c r="AB118" s="10">
        <v>383.839397409301</v>
      </c>
    </row>
    <row r="119" spans="1:28" x14ac:dyDescent="0.25">
      <c r="A119" s="8">
        <v>2002</v>
      </c>
      <c r="B119" s="8">
        <v>10</v>
      </c>
      <c r="C119" s="10">
        <v>388.38147495357703</v>
      </c>
      <c r="F119" s="8">
        <v>2002</v>
      </c>
      <c r="G119" s="8">
        <v>10</v>
      </c>
      <c r="H119" s="10">
        <v>388.232541189654</v>
      </c>
      <c r="J119" s="10">
        <v>2002</v>
      </c>
      <c r="K119" s="10">
        <v>10</v>
      </c>
      <c r="L119" s="10">
        <v>388.046071466093</v>
      </c>
      <c r="N119" s="10">
        <v>2002</v>
      </c>
      <c r="O119" s="10">
        <v>10</v>
      </c>
      <c r="P119" s="10">
        <v>388.08102682971099</v>
      </c>
      <c r="R119" s="10">
        <v>2002</v>
      </c>
      <c r="S119" s="10">
        <v>10</v>
      </c>
      <c r="T119" s="10">
        <v>388.02479630084702</v>
      </c>
      <c r="V119" s="10">
        <v>2002</v>
      </c>
      <c r="W119" s="10">
        <v>10</v>
      </c>
      <c r="X119" s="10">
        <v>388.05733774456502</v>
      </c>
      <c r="Z119" s="10">
        <v>2002</v>
      </c>
      <c r="AA119" s="10">
        <v>10</v>
      </c>
      <c r="AB119" s="10">
        <v>388.23466166762103</v>
      </c>
    </row>
    <row r="120" spans="1:28" x14ac:dyDescent="0.25">
      <c r="A120" s="8">
        <v>2002</v>
      </c>
      <c r="B120" s="8">
        <v>11</v>
      </c>
      <c r="C120" s="10">
        <v>369.76122521660102</v>
      </c>
      <c r="F120" s="8">
        <v>2002</v>
      </c>
      <c r="G120" s="8">
        <v>11</v>
      </c>
      <c r="H120" s="10">
        <v>369.97124336435002</v>
      </c>
      <c r="J120" s="10">
        <v>2002</v>
      </c>
      <c r="K120" s="10">
        <v>11</v>
      </c>
      <c r="L120" s="10">
        <v>370.27228333152698</v>
      </c>
      <c r="N120" s="10">
        <v>2002</v>
      </c>
      <c r="O120" s="10">
        <v>11</v>
      </c>
      <c r="P120" s="10">
        <v>370.18612595432501</v>
      </c>
      <c r="R120" s="10">
        <v>2002</v>
      </c>
      <c r="S120" s="10">
        <v>11</v>
      </c>
      <c r="T120" s="10">
        <v>370.35931817742198</v>
      </c>
      <c r="V120" s="10">
        <v>2002</v>
      </c>
      <c r="W120" s="10">
        <v>11</v>
      </c>
      <c r="X120" s="10">
        <v>370.315218119848</v>
      </c>
      <c r="Z120" s="10">
        <v>2002</v>
      </c>
      <c r="AA120" s="10">
        <v>11</v>
      </c>
      <c r="AB120" s="10">
        <v>369.92498544718399</v>
      </c>
    </row>
    <row r="121" spans="1:28" x14ac:dyDescent="0.25">
      <c r="A121" s="8">
        <v>2002</v>
      </c>
      <c r="B121" s="8">
        <v>12</v>
      </c>
      <c r="C121" s="10">
        <v>392.69063080791898</v>
      </c>
      <c r="F121" s="8">
        <v>2002</v>
      </c>
      <c r="G121" s="8">
        <v>12</v>
      </c>
      <c r="H121" s="10">
        <v>392.03943572138201</v>
      </c>
      <c r="J121" s="10">
        <v>2002</v>
      </c>
      <c r="K121" s="10">
        <v>12</v>
      </c>
      <c r="L121" s="10">
        <v>391.94995248559002</v>
      </c>
      <c r="N121" s="10">
        <v>2002</v>
      </c>
      <c r="O121" s="10">
        <v>12</v>
      </c>
      <c r="P121" s="10">
        <v>391.94033086937702</v>
      </c>
      <c r="R121" s="10">
        <v>2002</v>
      </c>
      <c r="S121" s="10">
        <v>12</v>
      </c>
      <c r="T121" s="10">
        <v>392.03061641004001</v>
      </c>
      <c r="V121" s="10">
        <v>2002</v>
      </c>
      <c r="W121" s="10">
        <v>12</v>
      </c>
      <c r="X121" s="10">
        <v>392.09131722291698</v>
      </c>
      <c r="Z121" s="10">
        <v>2002</v>
      </c>
      <c r="AA121" s="10">
        <v>12</v>
      </c>
      <c r="AB121" s="10">
        <v>391.85126265242798</v>
      </c>
    </row>
    <row r="122" spans="1:28" x14ac:dyDescent="0.25">
      <c r="A122" s="8">
        <v>2003</v>
      </c>
      <c r="B122" s="8">
        <v>1</v>
      </c>
      <c r="C122" s="10">
        <v>414.99574862105999</v>
      </c>
      <c r="F122" s="8">
        <v>2003</v>
      </c>
      <c r="G122" s="8">
        <v>1</v>
      </c>
      <c r="H122" s="10">
        <v>416.02920414099498</v>
      </c>
      <c r="J122" s="10">
        <v>2003</v>
      </c>
      <c r="K122" s="10">
        <v>1</v>
      </c>
      <c r="L122" s="10">
        <v>416.32508227340202</v>
      </c>
      <c r="N122" s="10">
        <v>2003</v>
      </c>
      <c r="O122" s="10">
        <v>1</v>
      </c>
      <c r="P122" s="10">
        <v>416.31461657112698</v>
      </c>
      <c r="R122" s="10">
        <v>2003</v>
      </c>
      <c r="S122" s="10">
        <v>1</v>
      </c>
      <c r="T122" s="10">
        <v>416.27232387033899</v>
      </c>
      <c r="V122" s="10">
        <v>2003</v>
      </c>
      <c r="W122" s="10">
        <v>1</v>
      </c>
      <c r="X122" s="10">
        <v>416.06445807978599</v>
      </c>
      <c r="Z122" s="10">
        <v>2003</v>
      </c>
      <c r="AA122" s="10">
        <v>1</v>
      </c>
      <c r="AB122" s="10">
        <v>416.29358064073699</v>
      </c>
    </row>
    <row r="123" spans="1:28" x14ac:dyDescent="0.25">
      <c r="A123" s="8">
        <v>2003</v>
      </c>
      <c r="B123" s="8">
        <v>2</v>
      </c>
      <c r="C123" s="10">
        <v>418.84024245530799</v>
      </c>
      <c r="F123" s="8">
        <v>2003</v>
      </c>
      <c r="G123" s="8">
        <v>2</v>
      </c>
      <c r="H123" s="10">
        <v>420.93973902360199</v>
      </c>
      <c r="J123" s="10">
        <v>2003</v>
      </c>
      <c r="K123" s="10">
        <v>2</v>
      </c>
      <c r="L123" s="10">
        <v>422.01668895365299</v>
      </c>
      <c r="N123" s="10">
        <v>2003</v>
      </c>
      <c r="O123" s="10">
        <v>2</v>
      </c>
      <c r="P123" s="10">
        <v>422.05080673817002</v>
      </c>
      <c r="R123" s="10">
        <v>2003</v>
      </c>
      <c r="S123" s="10">
        <v>2</v>
      </c>
      <c r="T123" s="10">
        <v>421.86844253347101</v>
      </c>
      <c r="V123" s="10">
        <v>2003</v>
      </c>
      <c r="W123" s="10">
        <v>2</v>
      </c>
      <c r="X123" s="10">
        <v>421.38916832500303</v>
      </c>
      <c r="Z123" s="10">
        <v>2003</v>
      </c>
      <c r="AA123" s="10">
        <v>2</v>
      </c>
      <c r="AB123" s="10">
        <v>421.726440011156</v>
      </c>
    </row>
    <row r="124" spans="1:28" x14ac:dyDescent="0.25">
      <c r="A124" s="8">
        <v>2003</v>
      </c>
      <c r="B124" s="8">
        <v>3</v>
      </c>
      <c r="C124" s="10">
        <v>434.55792061956902</v>
      </c>
      <c r="F124" s="8">
        <v>2003</v>
      </c>
      <c r="G124" s="8">
        <v>3</v>
      </c>
      <c r="H124" s="10">
        <v>434.59541662901398</v>
      </c>
      <c r="J124" s="10">
        <v>2003</v>
      </c>
      <c r="K124" s="10">
        <v>3</v>
      </c>
      <c r="L124" s="10">
        <v>434.74685757923999</v>
      </c>
      <c r="N124" s="10">
        <v>2003</v>
      </c>
      <c r="O124" s="10">
        <v>3</v>
      </c>
      <c r="P124" s="10">
        <v>434.71665549560203</v>
      </c>
      <c r="R124" s="10">
        <v>2003</v>
      </c>
      <c r="S124" s="10">
        <v>3</v>
      </c>
      <c r="T124" s="10">
        <v>434.79337783267698</v>
      </c>
      <c r="V124" s="10">
        <v>2003</v>
      </c>
      <c r="W124" s="10">
        <v>3</v>
      </c>
      <c r="X124" s="10">
        <v>434.84032606750401</v>
      </c>
      <c r="Z124" s="10">
        <v>2003</v>
      </c>
      <c r="AA124" s="10">
        <v>3</v>
      </c>
      <c r="AB124" s="10">
        <v>434.44403645837798</v>
      </c>
    </row>
    <row r="125" spans="1:28" x14ac:dyDescent="0.25">
      <c r="A125" s="8">
        <v>2003</v>
      </c>
      <c r="B125" s="8">
        <v>4</v>
      </c>
      <c r="C125" s="10">
        <v>419.74722369881101</v>
      </c>
      <c r="F125" s="8">
        <v>2003</v>
      </c>
      <c r="G125" s="8">
        <v>4</v>
      </c>
      <c r="H125" s="10">
        <v>419.37427576601903</v>
      </c>
      <c r="J125" s="10">
        <v>2003</v>
      </c>
      <c r="K125" s="10">
        <v>4</v>
      </c>
      <c r="L125" s="10">
        <v>418.89465840074701</v>
      </c>
      <c r="N125" s="10">
        <v>2003</v>
      </c>
      <c r="O125" s="10">
        <v>4</v>
      </c>
      <c r="P125" s="10">
        <v>418.94312390806903</v>
      </c>
      <c r="R125" s="10">
        <v>2003</v>
      </c>
      <c r="S125" s="10">
        <v>4</v>
      </c>
      <c r="T125" s="10">
        <v>418.84254513656799</v>
      </c>
      <c r="V125" s="10">
        <v>2003</v>
      </c>
      <c r="W125" s="10">
        <v>4</v>
      </c>
      <c r="X125" s="10">
        <v>418.94818489902798</v>
      </c>
      <c r="Z125" s="10">
        <v>2003</v>
      </c>
      <c r="AA125" s="10">
        <v>4</v>
      </c>
      <c r="AB125" s="10">
        <v>419.29012863156299</v>
      </c>
    </row>
    <row r="126" spans="1:28" x14ac:dyDescent="0.25">
      <c r="A126" s="8">
        <v>2003</v>
      </c>
      <c r="B126" s="8">
        <v>5</v>
      </c>
      <c r="C126" s="10">
        <v>418.435721890786</v>
      </c>
      <c r="F126" s="8">
        <v>2003</v>
      </c>
      <c r="G126" s="8">
        <v>5</v>
      </c>
      <c r="H126" s="10">
        <v>418.70926047781597</v>
      </c>
      <c r="J126" s="10">
        <v>2003</v>
      </c>
      <c r="K126" s="10">
        <v>5</v>
      </c>
      <c r="L126" s="10">
        <v>418.70404076981703</v>
      </c>
      <c r="N126" s="10">
        <v>2003</v>
      </c>
      <c r="O126" s="10">
        <v>5</v>
      </c>
      <c r="P126" s="10">
        <v>418.70473572913698</v>
      </c>
      <c r="R126" s="10">
        <v>2003</v>
      </c>
      <c r="S126" s="10">
        <v>5</v>
      </c>
      <c r="T126" s="10">
        <v>418.69718712475799</v>
      </c>
      <c r="V126" s="10">
        <v>2003</v>
      </c>
      <c r="W126" s="10">
        <v>5</v>
      </c>
      <c r="X126" s="10">
        <v>418.70054175457</v>
      </c>
      <c r="Z126" s="10">
        <v>2003</v>
      </c>
      <c r="AA126" s="10">
        <v>5</v>
      </c>
      <c r="AB126" s="10">
        <v>418.67791528306498</v>
      </c>
    </row>
    <row r="127" spans="1:28" x14ac:dyDescent="0.25">
      <c r="A127" s="8">
        <v>2003</v>
      </c>
      <c r="B127" s="8">
        <v>6</v>
      </c>
      <c r="C127" s="10">
        <v>420.92627588371101</v>
      </c>
      <c r="F127" s="8">
        <v>2003</v>
      </c>
      <c r="G127" s="8">
        <v>6</v>
      </c>
      <c r="H127" s="10">
        <v>420.91421510199399</v>
      </c>
      <c r="J127" s="10">
        <v>2003</v>
      </c>
      <c r="K127" s="10">
        <v>6</v>
      </c>
      <c r="L127" s="10">
        <v>420.89661839013303</v>
      </c>
      <c r="N127" s="10">
        <v>2003</v>
      </c>
      <c r="O127" s="10">
        <v>6</v>
      </c>
      <c r="P127" s="10">
        <v>420.88757048754599</v>
      </c>
      <c r="R127" s="10">
        <v>2003</v>
      </c>
      <c r="S127" s="10">
        <v>6</v>
      </c>
      <c r="T127" s="10">
        <v>420.92205875217502</v>
      </c>
      <c r="V127" s="10">
        <v>2003</v>
      </c>
      <c r="W127" s="10">
        <v>6</v>
      </c>
      <c r="X127" s="10">
        <v>420.93406615138201</v>
      </c>
      <c r="Z127" s="10">
        <v>2003</v>
      </c>
      <c r="AA127" s="10">
        <v>6</v>
      </c>
      <c r="AB127" s="10">
        <v>420.84898678267098</v>
      </c>
    </row>
    <row r="128" spans="1:28" x14ac:dyDescent="0.25">
      <c r="A128" s="8">
        <v>2003</v>
      </c>
      <c r="B128" s="8">
        <v>7</v>
      </c>
      <c r="C128" s="10">
        <v>414.61362909596897</v>
      </c>
      <c r="F128" s="8">
        <v>2003</v>
      </c>
      <c r="G128" s="8">
        <v>7</v>
      </c>
      <c r="H128" s="10">
        <v>414.61604003621898</v>
      </c>
      <c r="J128" s="10">
        <v>2003</v>
      </c>
      <c r="K128" s="10">
        <v>7</v>
      </c>
      <c r="L128" s="10">
        <v>414.28027820698401</v>
      </c>
      <c r="N128" s="10">
        <v>2003</v>
      </c>
      <c r="O128" s="10">
        <v>7</v>
      </c>
      <c r="P128" s="10">
        <v>414.31956610332003</v>
      </c>
      <c r="R128" s="10">
        <v>2003</v>
      </c>
      <c r="S128" s="10">
        <v>7</v>
      </c>
      <c r="T128" s="10">
        <v>414.243142764693</v>
      </c>
      <c r="V128" s="10">
        <v>2003</v>
      </c>
      <c r="W128" s="10">
        <v>7</v>
      </c>
      <c r="X128" s="10">
        <v>414.24806793333602</v>
      </c>
      <c r="Z128" s="10">
        <v>2003</v>
      </c>
      <c r="AA128" s="10">
        <v>7</v>
      </c>
      <c r="AB128" s="10">
        <v>414.66483437942702</v>
      </c>
    </row>
    <row r="129" spans="1:28" x14ac:dyDescent="0.25">
      <c r="A129" s="8">
        <v>2003</v>
      </c>
      <c r="B129" s="8">
        <v>8</v>
      </c>
      <c r="C129" s="10">
        <v>422.42820966911103</v>
      </c>
      <c r="F129" s="8">
        <v>2003</v>
      </c>
      <c r="G129" s="8">
        <v>8</v>
      </c>
      <c r="H129" s="10">
        <v>422.23519664284998</v>
      </c>
      <c r="J129" s="10">
        <v>2003</v>
      </c>
      <c r="K129" s="10">
        <v>8</v>
      </c>
      <c r="L129" s="10">
        <v>422.58308753911302</v>
      </c>
      <c r="N129" s="10">
        <v>2003</v>
      </c>
      <c r="O129" s="10">
        <v>8</v>
      </c>
      <c r="P129" s="10">
        <v>422.53655365746999</v>
      </c>
      <c r="R129" s="10">
        <v>2003</v>
      </c>
      <c r="S129" s="10">
        <v>8</v>
      </c>
      <c r="T129" s="10">
        <v>422.63592674133201</v>
      </c>
      <c r="V129" s="10">
        <v>2003</v>
      </c>
      <c r="W129" s="10">
        <v>8</v>
      </c>
      <c r="X129" s="10">
        <v>422.66065479959002</v>
      </c>
      <c r="Z129" s="10">
        <v>2003</v>
      </c>
      <c r="AA129" s="10">
        <v>8</v>
      </c>
      <c r="AB129" s="10">
        <v>422.20554145928702</v>
      </c>
    </row>
    <row r="130" spans="1:28" x14ac:dyDescent="0.25">
      <c r="A130" s="8">
        <v>2003</v>
      </c>
      <c r="B130" s="8">
        <v>9</v>
      </c>
      <c r="C130" s="10">
        <v>412.04815049036102</v>
      </c>
      <c r="F130" s="8">
        <v>2003</v>
      </c>
      <c r="G130" s="8">
        <v>9</v>
      </c>
      <c r="H130" s="10">
        <v>411.91208217304302</v>
      </c>
      <c r="J130" s="10">
        <v>2003</v>
      </c>
      <c r="K130" s="10">
        <v>9</v>
      </c>
      <c r="L130" s="10">
        <v>411.648497932738</v>
      </c>
      <c r="N130" s="10">
        <v>2003</v>
      </c>
      <c r="O130" s="10">
        <v>9</v>
      </c>
      <c r="P130" s="10">
        <v>411.68508339419299</v>
      </c>
      <c r="R130" s="10">
        <v>2003</v>
      </c>
      <c r="S130" s="10">
        <v>9</v>
      </c>
      <c r="T130" s="10">
        <v>411.61197249185801</v>
      </c>
      <c r="V130" s="10">
        <v>2003</v>
      </c>
      <c r="W130" s="10">
        <v>9</v>
      </c>
      <c r="X130" s="10">
        <v>411.63982316000897</v>
      </c>
      <c r="Z130" s="10">
        <v>2003</v>
      </c>
      <c r="AA130" s="10">
        <v>9</v>
      </c>
      <c r="AB130" s="10">
        <v>411.96732190504798</v>
      </c>
    </row>
    <row r="131" spans="1:28" x14ac:dyDescent="0.25">
      <c r="A131" s="8">
        <v>2003</v>
      </c>
      <c r="B131" s="8">
        <v>10</v>
      </c>
      <c r="C131" s="10">
        <v>422.64174619643899</v>
      </c>
      <c r="F131" s="8">
        <v>2003</v>
      </c>
      <c r="G131" s="8">
        <v>10</v>
      </c>
      <c r="H131" s="10">
        <v>422.46632964530801</v>
      </c>
      <c r="J131" s="10">
        <v>2003</v>
      </c>
      <c r="K131" s="10">
        <v>10</v>
      </c>
      <c r="L131" s="10">
        <v>422.374644426533</v>
      </c>
      <c r="N131" s="10">
        <v>2003</v>
      </c>
      <c r="O131" s="10">
        <v>10</v>
      </c>
      <c r="P131" s="10">
        <v>422.410242713591</v>
      </c>
      <c r="R131" s="10">
        <v>2003</v>
      </c>
      <c r="S131" s="10">
        <v>10</v>
      </c>
      <c r="T131" s="10">
        <v>422.35974312129702</v>
      </c>
      <c r="V131" s="10">
        <v>2003</v>
      </c>
      <c r="W131" s="10">
        <v>10</v>
      </c>
      <c r="X131" s="10">
        <v>422.39842015072998</v>
      </c>
      <c r="Z131" s="10">
        <v>2003</v>
      </c>
      <c r="AA131" s="10">
        <v>10</v>
      </c>
      <c r="AB131" s="10">
        <v>422.51873352394699</v>
      </c>
    </row>
    <row r="132" spans="1:28" x14ac:dyDescent="0.25">
      <c r="A132" s="8">
        <v>2003</v>
      </c>
      <c r="B132" s="8">
        <v>11</v>
      </c>
      <c r="C132" s="10">
        <v>415.78019843343901</v>
      </c>
      <c r="F132" s="8">
        <v>2003</v>
      </c>
      <c r="G132" s="8">
        <v>11</v>
      </c>
      <c r="H132" s="10">
        <v>415.92010858690901</v>
      </c>
      <c r="J132" s="10">
        <v>2003</v>
      </c>
      <c r="K132" s="10">
        <v>11</v>
      </c>
      <c r="L132" s="10">
        <v>416.49740542840198</v>
      </c>
      <c r="N132" s="10">
        <v>2003</v>
      </c>
      <c r="O132" s="10">
        <v>11</v>
      </c>
      <c r="P132" s="10">
        <v>416.37050541980398</v>
      </c>
      <c r="R132" s="10">
        <v>2003</v>
      </c>
      <c r="S132" s="10">
        <v>11</v>
      </c>
      <c r="T132" s="10">
        <v>416.63951537561297</v>
      </c>
      <c r="V132" s="10">
        <v>2003</v>
      </c>
      <c r="W132" s="10">
        <v>11</v>
      </c>
      <c r="X132" s="10">
        <v>416.58964684392703</v>
      </c>
      <c r="Z132" s="10">
        <v>2003</v>
      </c>
      <c r="AA132" s="10">
        <v>11</v>
      </c>
      <c r="AB132" s="10">
        <v>415.79041904781599</v>
      </c>
    </row>
    <row r="133" spans="1:28" x14ac:dyDescent="0.25">
      <c r="A133" s="8">
        <v>2003</v>
      </c>
      <c r="B133" s="8">
        <v>12</v>
      </c>
      <c r="C133" s="10">
        <v>426.15961534171601</v>
      </c>
      <c r="F133" s="8">
        <v>2003</v>
      </c>
      <c r="G133" s="8">
        <v>12</v>
      </c>
      <c r="H133" s="10">
        <v>425.95591344091599</v>
      </c>
      <c r="J133" s="10">
        <v>2003</v>
      </c>
      <c r="K133" s="10">
        <v>12</v>
      </c>
      <c r="L133" s="10">
        <v>425.62177740019098</v>
      </c>
      <c r="N133" s="10">
        <v>2003</v>
      </c>
      <c r="O133" s="10">
        <v>12</v>
      </c>
      <c r="P133" s="10">
        <v>425.66367682585701</v>
      </c>
      <c r="R133" s="10">
        <v>2003</v>
      </c>
      <c r="S133" s="10">
        <v>12</v>
      </c>
      <c r="T133" s="10">
        <v>425.60670332595203</v>
      </c>
      <c r="V133" s="10">
        <v>2003</v>
      </c>
      <c r="W133" s="10">
        <v>12</v>
      </c>
      <c r="X133" s="10">
        <v>425.63860443887802</v>
      </c>
      <c r="Z133" s="10">
        <v>2003</v>
      </c>
      <c r="AA133" s="10">
        <v>12</v>
      </c>
      <c r="AB133" s="10">
        <v>425.90460350200601</v>
      </c>
    </row>
    <row r="134" spans="1:28" x14ac:dyDescent="0.25">
      <c r="A134" s="8">
        <v>2004</v>
      </c>
      <c r="B134" s="8">
        <v>1</v>
      </c>
      <c r="C134" s="10">
        <v>437.702722486379</v>
      </c>
      <c r="F134" s="8">
        <v>2004</v>
      </c>
      <c r="G134" s="8">
        <v>1</v>
      </c>
      <c r="H134" s="10">
        <v>438.78203565291199</v>
      </c>
      <c r="J134" s="10">
        <v>2004</v>
      </c>
      <c r="K134" s="10">
        <v>1</v>
      </c>
      <c r="L134" s="10">
        <v>439.32362118529102</v>
      </c>
      <c r="N134" s="10">
        <v>2004</v>
      </c>
      <c r="O134" s="10">
        <v>1</v>
      </c>
      <c r="P134" s="10">
        <v>439.29086970805997</v>
      </c>
      <c r="R134" s="10">
        <v>2004</v>
      </c>
      <c r="S134" s="10">
        <v>1</v>
      </c>
      <c r="T134" s="10">
        <v>439.30496506827399</v>
      </c>
      <c r="V134" s="10">
        <v>2004</v>
      </c>
      <c r="W134" s="10">
        <v>1</v>
      </c>
      <c r="X134" s="10">
        <v>439.08020053861901</v>
      </c>
      <c r="Z134" s="10">
        <v>2004</v>
      </c>
      <c r="AA134" s="10">
        <v>1</v>
      </c>
      <c r="AB134" s="10">
        <v>438.98367600073902</v>
      </c>
    </row>
    <row r="135" spans="1:28" x14ac:dyDescent="0.25">
      <c r="A135" s="8">
        <v>2004</v>
      </c>
      <c r="B135" s="8">
        <v>2</v>
      </c>
      <c r="C135" s="10">
        <v>418.79128875223103</v>
      </c>
      <c r="F135" s="8">
        <v>2004</v>
      </c>
      <c r="G135" s="8">
        <v>2</v>
      </c>
      <c r="H135" s="10">
        <v>411.49043669807099</v>
      </c>
      <c r="J135" s="10">
        <v>2004</v>
      </c>
      <c r="K135" s="10">
        <v>2</v>
      </c>
      <c r="L135" s="10">
        <v>408.96664270012599</v>
      </c>
      <c r="N135" s="10">
        <v>2004</v>
      </c>
      <c r="O135" s="10">
        <v>2</v>
      </c>
      <c r="P135" s="10">
        <v>408.96383375729101</v>
      </c>
      <c r="R135" s="10">
        <v>2004</v>
      </c>
      <c r="S135" s="10">
        <v>2</v>
      </c>
      <c r="T135" s="10">
        <v>409.12903418898401</v>
      </c>
      <c r="V135" s="10">
        <v>2004</v>
      </c>
      <c r="W135" s="10">
        <v>2</v>
      </c>
      <c r="X135" s="10">
        <v>410.40274610951201</v>
      </c>
      <c r="Z135" s="10">
        <v>2004</v>
      </c>
      <c r="AA135" s="10">
        <v>2</v>
      </c>
      <c r="AB135" s="10">
        <v>409.82986279689499</v>
      </c>
    </row>
    <row r="136" spans="1:28" x14ac:dyDescent="0.25">
      <c r="A136" s="8">
        <v>2004</v>
      </c>
      <c r="B136" s="8">
        <v>3</v>
      </c>
      <c r="C136" s="10">
        <v>403.91196624881701</v>
      </c>
      <c r="F136" s="8">
        <v>2004</v>
      </c>
      <c r="G136" s="8">
        <v>3</v>
      </c>
      <c r="H136" s="10">
        <v>404.05746394227799</v>
      </c>
      <c r="J136" s="10">
        <v>2004</v>
      </c>
      <c r="K136" s="10">
        <v>3</v>
      </c>
      <c r="L136" s="10">
        <v>403.71449092764601</v>
      </c>
      <c r="N136" s="10">
        <v>2004</v>
      </c>
      <c r="O136" s="10">
        <v>3</v>
      </c>
      <c r="P136" s="10">
        <v>403.76040787872</v>
      </c>
      <c r="R136" s="10">
        <v>2004</v>
      </c>
      <c r="S136" s="10">
        <v>3</v>
      </c>
      <c r="T136" s="10">
        <v>403.65908003497901</v>
      </c>
      <c r="V136" s="10">
        <v>2004</v>
      </c>
      <c r="W136" s="10">
        <v>3</v>
      </c>
      <c r="X136" s="10">
        <v>403.69495248101299</v>
      </c>
      <c r="Z136" s="10">
        <v>2004</v>
      </c>
      <c r="AA136" s="10">
        <v>3</v>
      </c>
      <c r="AB136" s="10">
        <v>404.05998334197699</v>
      </c>
    </row>
    <row r="137" spans="1:28" x14ac:dyDescent="0.25">
      <c r="A137" s="8">
        <v>2004</v>
      </c>
      <c r="B137" s="8">
        <v>4</v>
      </c>
      <c r="C137" s="10">
        <v>401.46375421850098</v>
      </c>
      <c r="F137" s="8">
        <v>2004</v>
      </c>
      <c r="G137" s="8">
        <v>4</v>
      </c>
      <c r="H137" s="10">
        <v>401.35950261201998</v>
      </c>
      <c r="J137" s="10">
        <v>2004</v>
      </c>
      <c r="K137" s="10">
        <v>4</v>
      </c>
      <c r="L137" s="10">
        <v>400.93688076958</v>
      </c>
      <c r="N137" s="10">
        <v>2004</v>
      </c>
      <c r="O137" s="10">
        <v>4</v>
      </c>
      <c r="P137" s="10">
        <v>400.98375455798799</v>
      </c>
      <c r="R137" s="10">
        <v>2004</v>
      </c>
      <c r="S137" s="10">
        <v>4</v>
      </c>
      <c r="T137" s="10">
        <v>400.874854347922</v>
      </c>
      <c r="V137" s="10">
        <v>2004</v>
      </c>
      <c r="W137" s="10">
        <v>4</v>
      </c>
      <c r="X137" s="10">
        <v>400.95958341399103</v>
      </c>
      <c r="Z137" s="10">
        <v>2004</v>
      </c>
      <c r="AA137" s="10">
        <v>4</v>
      </c>
      <c r="AB137" s="10">
        <v>401.31951908209197</v>
      </c>
    </row>
    <row r="138" spans="1:28" x14ac:dyDescent="0.25">
      <c r="A138" s="8">
        <v>2004</v>
      </c>
      <c r="B138" s="8">
        <v>5</v>
      </c>
      <c r="C138" s="10">
        <v>403.73099486374502</v>
      </c>
      <c r="F138" s="8">
        <v>2004</v>
      </c>
      <c r="G138" s="8">
        <v>5</v>
      </c>
      <c r="H138" s="10">
        <v>403.64869953095001</v>
      </c>
      <c r="J138" s="10">
        <v>2004</v>
      </c>
      <c r="K138" s="10">
        <v>5</v>
      </c>
      <c r="L138" s="10">
        <v>403.881058180705</v>
      </c>
      <c r="N138" s="10">
        <v>2004</v>
      </c>
      <c r="O138" s="10">
        <v>5</v>
      </c>
      <c r="P138" s="10">
        <v>403.83480581718499</v>
      </c>
      <c r="R138" s="10">
        <v>2004</v>
      </c>
      <c r="S138" s="10">
        <v>5</v>
      </c>
      <c r="T138" s="10">
        <v>403.94673197178201</v>
      </c>
      <c r="V138" s="10">
        <v>2004</v>
      </c>
      <c r="W138" s="10">
        <v>5</v>
      </c>
      <c r="X138" s="10">
        <v>403.98287732811599</v>
      </c>
      <c r="Z138" s="10">
        <v>2004</v>
      </c>
      <c r="AA138" s="10">
        <v>5</v>
      </c>
      <c r="AB138" s="10">
        <v>403.49793065208797</v>
      </c>
    </row>
    <row r="139" spans="1:28" x14ac:dyDescent="0.25">
      <c r="A139" s="8">
        <v>2004</v>
      </c>
      <c r="B139" s="8">
        <v>6</v>
      </c>
      <c r="C139" s="10">
        <v>410.21466036846402</v>
      </c>
      <c r="F139" s="8">
        <v>2004</v>
      </c>
      <c r="G139" s="8">
        <v>6</v>
      </c>
      <c r="H139" s="10">
        <v>410.31305226243398</v>
      </c>
      <c r="J139" s="10">
        <v>2004</v>
      </c>
      <c r="K139" s="10">
        <v>6</v>
      </c>
      <c r="L139" s="10">
        <v>410.05437024032398</v>
      </c>
      <c r="N139" s="10">
        <v>2004</v>
      </c>
      <c r="O139" s="10">
        <v>6</v>
      </c>
      <c r="P139" s="10">
        <v>410.08347286124001</v>
      </c>
      <c r="R139" s="10">
        <v>2004</v>
      </c>
      <c r="S139" s="10">
        <v>6</v>
      </c>
      <c r="T139" s="10">
        <v>410.022527627312</v>
      </c>
      <c r="V139" s="10">
        <v>2004</v>
      </c>
      <c r="W139" s="10">
        <v>6</v>
      </c>
      <c r="X139" s="10">
        <v>410.039793431004</v>
      </c>
      <c r="Z139" s="10">
        <v>2004</v>
      </c>
      <c r="AA139" s="10">
        <v>6</v>
      </c>
      <c r="AB139" s="10">
        <v>410.35727669613198</v>
      </c>
    </row>
    <row r="140" spans="1:28" x14ac:dyDescent="0.25">
      <c r="A140" s="8">
        <v>2004</v>
      </c>
      <c r="B140" s="8">
        <v>7</v>
      </c>
      <c r="C140" s="10">
        <v>423.62924017968697</v>
      </c>
      <c r="F140" s="8">
        <v>2004</v>
      </c>
      <c r="G140" s="8">
        <v>7</v>
      </c>
      <c r="H140" s="10">
        <v>423.55898695295502</v>
      </c>
      <c r="J140" s="10">
        <v>2004</v>
      </c>
      <c r="K140" s="10">
        <v>7</v>
      </c>
      <c r="L140" s="10">
        <v>423.445879571842</v>
      </c>
      <c r="N140" s="10">
        <v>2004</v>
      </c>
      <c r="O140" s="10">
        <v>7</v>
      </c>
      <c r="P140" s="10">
        <v>423.44358878239399</v>
      </c>
      <c r="R140" s="10">
        <v>2004</v>
      </c>
      <c r="S140" s="10">
        <v>7</v>
      </c>
      <c r="T140" s="10">
        <v>423.44907891386703</v>
      </c>
      <c r="V140" s="10">
        <v>2004</v>
      </c>
      <c r="W140" s="10">
        <v>7</v>
      </c>
      <c r="X140" s="10">
        <v>423.46614349076901</v>
      </c>
      <c r="Z140" s="10">
        <v>2004</v>
      </c>
      <c r="AA140" s="10">
        <v>7</v>
      </c>
      <c r="AB140" s="10">
        <v>423.53506005212398</v>
      </c>
    </row>
    <row r="141" spans="1:28" x14ac:dyDescent="0.25">
      <c r="A141" s="8">
        <v>2004</v>
      </c>
      <c r="B141" s="8">
        <v>8</v>
      </c>
      <c r="C141" s="10">
        <v>414.57817349563197</v>
      </c>
      <c r="F141" s="8">
        <v>2004</v>
      </c>
      <c r="G141" s="8">
        <v>8</v>
      </c>
      <c r="H141" s="10">
        <v>414.55085804151003</v>
      </c>
      <c r="J141" s="10">
        <v>2004</v>
      </c>
      <c r="K141" s="10">
        <v>8</v>
      </c>
      <c r="L141" s="10">
        <v>414.60447253202102</v>
      </c>
      <c r="N141" s="10">
        <v>2004</v>
      </c>
      <c r="O141" s="10">
        <v>8</v>
      </c>
      <c r="P141" s="10">
        <v>414.59505518777797</v>
      </c>
      <c r="R141" s="10">
        <v>2004</v>
      </c>
      <c r="S141" s="10">
        <v>8</v>
      </c>
      <c r="T141" s="10">
        <v>414.61960488874303</v>
      </c>
      <c r="V141" s="10">
        <v>2004</v>
      </c>
      <c r="W141" s="10">
        <v>8</v>
      </c>
      <c r="X141" s="10">
        <v>414.631120332938</v>
      </c>
      <c r="Z141" s="10">
        <v>2004</v>
      </c>
      <c r="AA141" s="10">
        <v>8</v>
      </c>
      <c r="AB141" s="10">
        <v>414.60426772992901</v>
      </c>
    </row>
    <row r="142" spans="1:28" x14ac:dyDescent="0.25">
      <c r="A142" s="8">
        <v>2004</v>
      </c>
      <c r="B142" s="8">
        <v>9</v>
      </c>
      <c r="C142" s="10">
        <v>421.29383539799102</v>
      </c>
      <c r="F142" s="8">
        <v>2004</v>
      </c>
      <c r="G142" s="8">
        <v>9</v>
      </c>
      <c r="H142" s="10">
        <v>421.17481773307202</v>
      </c>
      <c r="J142" s="10">
        <v>2004</v>
      </c>
      <c r="K142" s="10">
        <v>9</v>
      </c>
      <c r="L142" s="10">
        <v>420.95479366614097</v>
      </c>
      <c r="N142" s="10">
        <v>2004</v>
      </c>
      <c r="O142" s="10">
        <v>9</v>
      </c>
      <c r="P142" s="10">
        <v>420.984663625493</v>
      </c>
      <c r="R142" s="10">
        <v>2004</v>
      </c>
      <c r="S142" s="10">
        <v>9</v>
      </c>
      <c r="T142" s="10">
        <v>420.920415088467</v>
      </c>
      <c r="V142" s="10">
        <v>2004</v>
      </c>
      <c r="W142" s="10">
        <v>9</v>
      </c>
      <c r="X142" s="10">
        <v>420.94523367812201</v>
      </c>
      <c r="Z142" s="10">
        <v>2004</v>
      </c>
      <c r="AA142" s="10">
        <v>9</v>
      </c>
      <c r="AB142" s="10">
        <v>421.29454385487901</v>
      </c>
    </row>
    <row r="143" spans="1:28" x14ac:dyDescent="0.25">
      <c r="A143" s="8">
        <v>2004</v>
      </c>
      <c r="B143" s="8">
        <v>10</v>
      </c>
      <c r="C143" s="10">
        <v>448.29102829101799</v>
      </c>
      <c r="F143" s="8">
        <v>2004</v>
      </c>
      <c r="G143" s="8">
        <v>10</v>
      </c>
      <c r="H143" s="10">
        <v>447.85897372755602</v>
      </c>
      <c r="J143" s="10">
        <v>2004</v>
      </c>
      <c r="K143" s="10">
        <v>10</v>
      </c>
      <c r="L143" s="10">
        <v>448.42781851178802</v>
      </c>
      <c r="N143" s="10">
        <v>2004</v>
      </c>
      <c r="O143" s="10">
        <v>10</v>
      </c>
      <c r="P143" s="10">
        <v>448.37012513607101</v>
      </c>
      <c r="R143" s="10">
        <v>2004</v>
      </c>
      <c r="S143" s="10">
        <v>10</v>
      </c>
      <c r="T143" s="10">
        <v>448.54212111317202</v>
      </c>
      <c r="V143" s="10">
        <v>2004</v>
      </c>
      <c r="W143" s="10">
        <v>10</v>
      </c>
      <c r="X143" s="10">
        <v>448.59142626790998</v>
      </c>
      <c r="Z143" s="10">
        <v>2004</v>
      </c>
      <c r="AA143" s="10">
        <v>10</v>
      </c>
      <c r="AB143" s="10">
        <v>447.80978670119498</v>
      </c>
    </row>
    <row r="144" spans="1:28" x14ac:dyDescent="0.25">
      <c r="A144" s="8">
        <v>2004</v>
      </c>
      <c r="B144" s="8">
        <v>11</v>
      </c>
      <c r="C144" s="10">
        <v>465.325097397192</v>
      </c>
      <c r="F144" s="8">
        <v>2004</v>
      </c>
      <c r="G144" s="8">
        <v>11</v>
      </c>
      <c r="H144" s="10">
        <v>465.52040645641398</v>
      </c>
      <c r="J144" s="10">
        <v>2004</v>
      </c>
      <c r="K144" s="10">
        <v>11</v>
      </c>
      <c r="L144" s="10">
        <v>465.45099170197301</v>
      </c>
      <c r="N144" s="10">
        <v>2004</v>
      </c>
      <c r="O144" s="10">
        <v>11</v>
      </c>
      <c r="P144" s="10">
        <v>465.42891205750499</v>
      </c>
      <c r="R144" s="10">
        <v>2004</v>
      </c>
      <c r="S144" s="10">
        <v>11</v>
      </c>
      <c r="T144" s="10">
        <v>465.46513442690798</v>
      </c>
      <c r="V144" s="10">
        <v>2004</v>
      </c>
      <c r="W144" s="10">
        <v>11</v>
      </c>
      <c r="X144" s="10">
        <v>465.41153019991998</v>
      </c>
      <c r="Z144" s="10">
        <v>2004</v>
      </c>
      <c r="AA144" s="10">
        <v>11</v>
      </c>
      <c r="AB144" s="10">
        <v>465.59825125818099</v>
      </c>
    </row>
    <row r="145" spans="1:28" x14ac:dyDescent="0.25">
      <c r="A145" s="8">
        <v>2004</v>
      </c>
      <c r="B145" s="8">
        <v>12</v>
      </c>
      <c r="C145" s="10">
        <v>466.091715628168</v>
      </c>
      <c r="F145" s="8">
        <v>2004</v>
      </c>
      <c r="G145" s="8">
        <v>12</v>
      </c>
      <c r="H145" s="10">
        <v>466.23670285352102</v>
      </c>
      <c r="J145" s="10">
        <v>2004</v>
      </c>
      <c r="K145" s="10">
        <v>12</v>
      </c>
      <c r="L145" s="10">
        <v>466.05381711881199</v>
      </c>
      <c r="N145" s="10">
        <v>2004</v>
      </c>
      <c r="O145" s="10">
        <v>12</v>
      </c>
      <c r="P145" s="10">
        <v>466.11654359731602</v>
      </c>
      <c r="R145" s="10">
        <v>2004</v>
      </c>
      <c r="S145" s="10">
        <v>12</v>
      </c>
      <c r="T145" s="10">
        <v>466.003673441263</v>
      </c>
      <c r="V145" s="10">
        <v>2004</v>
      </c>
      <c r="W145" s="10">
        <v>12</v>
      </c>
      <c r="X145" s="10">
        <v>465.97634229242902</v>
      </c>
      <c r="Z145" s="10">
        <v>2004</v>
      </c>
      <c r="AA145" s="10">
        <v>12</v>
      </c>
      <c r="AB145" s="10">
        <v>466.101922146444</v>
      </c>
    </row>
    <row r="146" spans="1:28" x14ac:dyDescent="0.25">
      <c r="A146" s="8">
        <v>2005</v>
      </c>
      <c r="B146" s="8">
        <v>1</v>
      </c>
      <c r="C146" s="10">
        <v>466.10379398750501</v>
      </c>
      <c r="F146" s="8">
        <v>2005</v>
      </c>
      <c r="G146" s="8">
        <v>1</v>
      </c>
      <c r="H146" s="10">
        <v>466.95108856668901</v>
      </c>
      <c r="J146" s="10">
        <v>2005</v>
      </c>
      <c r="K146" s="10">
        <v>1</v>
      </c>
      <c r="L146" s="10">
        <v>467.722746969139</v>
      </c>
      <c r="N146" s="10">
        <v>2005</v>
      </c>
      <c r="O146" s="10">
        <v>1</v>
      </c>
      <c r="P146" s="10">
        <v>467.65770425990399</v>
      </c>
      <c r="R146" s="10">
        <v>2005</v>
      </c>
      <c r="S146" s="10">
        <v>1</v>
      </c>
      <c r="T146" s="10">
        <v>467.74850631717999</v>
      </c>
      <c r="V146" s="10">
        <v>2005</v>
      </c>
      <c r="W146" s="10">
        <v>1</v>
      </c>
      <c r="X146" s="10">
        <v>467.50284233255002</v>
      </c>
      <c r="Z146" s="10">
        <v>2005</v>
      </c>
      <c r="AA146" s="10">
        <v>1</v>
      </c>
      <c r="AB146" s="10">
        <v>467.09797784417202</v>
      </c>
    </row>
    <row r="147" spans="1:28" x14ac:dyDescent="0.25">
      <c r="A147" s="8">
        <v>2005</v>
      </c>
      <c r="B147" s="8">
        <v>2</v>
      </c>
      <c r="C147" s="10">
        <v>450.65651797405201</v>
      </c>
      <c r="F147" s="8">
        <v>2005</v>
      </c>
      <c r="G147" s="8">
        <v>2</v>
      </c>
      <c r="H147" s="10">
        <v>452.45478772586199</v>
      </c>
      <c r="J147" s="10">
        <v>2005</v>
      </c>
      <c r="K147" s="10">
        <v>2</v>
      </c>
      <c r="L147" s="10">
        <v>453.13445107963702</v>
      </c>
      <c r="N147" s="10">
        <v>2005</v>
      </c>
      <c r="O147" s="10">
        <v>2</v>
      </c>
      <c r="P147" s="10">
        <v>453.155174771433</v>
      </c>
      <c r="R147" s="10">
        <v>2005</v>
      </c>
      <c r="S147" s="10">
        <v>2</v>
      </c>
      <c r="T147" s="10">
        <v>453.047599371297</v>
      </c>
      <c r="V147" s="10">
        <v>2005</v>
      </c>
      <c r="W147" s="10">
        <v>2</v>
      </c>
      <c r="X147" s="10">
        <v>452.68593195239202</v>
      </c>
      <c r="Z147" s="10">
        <v>2005</v>
      </c>
      <c r="AA147" s="10">
        <v>2</v>
      </c>
      <c r="AB147" s="10">
        <v>452.89475298017197</v>
      </c>
    </row>
    <row r="148" spans="1:28" x14ac:dyDescent="0.25">
      <c r="A148" s="8">
        <v>2005</v>
      </c>
      <c r="B148" s="8">
        <v>3</v>
      </c>
      <c r="C148" s="10">
        <v>447.78821944943002</v>
      </c>
      <c r="F148" s="8">
        <v>2005</v>
      </c>
      <c r="G148" s="8">
        <v>3</v>
      </c>
      <c r="H148" s="10">
        <v>447.77845428283001</v>
      </c>
      <c r="J148" s="10">
        <v>2005</v>
      </c>
      <c r="K148" s="10">
        <v>3</v>
      </c>
      <c r="L148" s="10">
        <v>447.48751041623001</v>
      </c>
      <c r="N148" s="10">
        <v>2005</v>
      </c>
      <c r="O148" s="10">
        <v>3</v>
      </c>
      <c r="P148" s="10">
        <v>447.52096135174702</v>
      </c>
      <c r="R148" s="10">
        <v>2005</v>
      </c>
      <c r="S148" s="10">
        <v>3</v>
      </c>
      <c r="T148" s="10">
        <v>447.43725259968301</v>
      </c>
      <c r="V148" s="10">
        <v>2005</v>
      </c>
      <c r="W148" s="10">
        <v>3</v>
      </c>
      <c r="X148" s="10">
        <v>447.46990972226502</v>
      </c>
      <c r="Z148" s="10">
        <v>2005</v>
      </c>
      <c r="AA148" s="10">
        <v>3</v>
      </c>
      <c r="AB148" s="10">
        <v>447.76783150496499</v>
      </c>
    </row>
    <row r="149" spans="1:28" x14ac:dyDescent="0.25">
      <c r="A149" s="8">
        <v>2005</v>
      </c>
      <c r="B149" s="8">
        <v>4</v>
      </c>
      <c r="C149" s="10">
        <v>455.12994341819001</v>
      </c>
      <c r="F149" s="8">
        <v>2005</v>
      </c>
      <c r="G149" s="8">
        <v>4</v>
      </c>
      <c r="H149" s="10">
        <v>454.940550987064</v>
      </c>
      <c r="J149" s="10">
        <v>2005</v>
      </c>
      <c r="K149" s="10">
        <v>4</v>
      </c>
      <c r="L149" s="10">
        <v>454.83753824985399</v>
      </c>
      <c r="N149" s="10">
        <v>2005</v>
      </c>
      <c r="O149" s="10">
        <v>4</v>
      </c>
      <c r="P149" s="10">
        <v>454.83579019363799</v>
      </c>
      <c r="R149" s="10">
        <v>2005</v>
      </c>
      <c r="S149" s="10">
        <v>4</v>
      </c>
      <c r="T149" s="10">
        <v>454.83290045661198</v>
      </c>
      <c r="V149" s="10">
        <v>2005</v>
      </c>
      <c r="W149" s="10">
        <v>4</v>
      </c>
      <c r="X149" s="10">
        <v>454.904321151462</v>
      </c>
      <c r="Z149" s="10">
        <v>2005</v>
      </c>
      <c r="AA149" s="10">
        <v>4</v>
      </c>
      <c r="AB149" s="10">
        <v>454.83682376846798</v>
      </c>
    </row>
    <row r="150" spans="1:28" x14ac:dyDescent="0.25">
      <c r="A150" s="8">
        <v>2005</v>
      </c>
      <c r="B150" s="8">
        <v>5</v>
      </c>
      <c r="C150" s="10">
        <v>465.34691313652098</v>
      </c>
      <c r="F150" s="8">
        <v>2005</v>
      </c>
      <c r="G150" s="8">
        <v>5</v>
      </c>
      <c r="H150" s="10">
        <v>465.33392216129602</v>
      </c>
      <c r="J150" s="10">
        <v>2005</v>
      </c>
      <c r="K150" s="10">
        <v>5</v>
      </c>
      <c r="L150" s="10">
        <v>465.293554039968</v>
      </c>
      <c r="N150" s="10">
        <v>2005</v>
      </c>
      <c r="O150" s="10">
        <v>5</v>
      </c>
      <c r="P150" s="10">
        <v>465.28705150325402</v>
      </c>
      <c r="R150" s="10">
        <v>2005</v>
      </c>
      <c r="S150" s="10">
        <v>5</v>
      </c>
      <c r="T150" s="10">
        <v>465.29882950602598</v>
      </c>
      <c r="V150" s="10">
        <v>2005</v>
      </c>
      <c r="W150" s="10">
        <v>5</v>
      </c>
      <c r="X150" s="10">
        <v>465.34186907022399</v>
      </c>
      <c r="Z150" s="10">
        <v>2005</v>
      </c>
      <c r="AA150" s="10">
        <v>5</v>
      </c>
      <c r="AB150" s="10">
        <v>465.28100030204502</v>
      </c>
    </row>
    <row r="151" spans="1:28" x14ac:dyDescent="0.25">
      <c r="A151" s="8">
        <v>2005</v>
      </c>
      <c r="B151" s="8">
        <v>6</v>
      </c>
      <c r="C151" s="10">
        <v>441.45725301719898</v>
      </c>
      <c r="F151" s="8">
        <v>2005</v>
      </c>
      <c r="G151" s="8">
        <v>6</v>
      </c>
      <c r="H151" s="10">
        <v>441.53853264606698</v>
      </c>
      <c r="J151" s="10">
        <v>2005</v>
      </c>
      <c r="K151" s="10">
        <v>6</v>
      </c>
      <c r="L151" s="10">
        <v>441.32344082462299</v>
      </c>
      <c r="N151" s="10">
        <v>2005</v>
      </c>
      <c r="O151" s="10">
        <v>6</v>
      </c>
      <c r="P151" s="10">
        <v>441.344587415234</v>
      </c>
      <c r="R151" s="10">
        <v>2005</v>
      </c>
      <c r="S151" s="10">
        <v>6</v>
      </c>
      <c r="T151" s="10">
        <v>441.29810973624802</v>
      </c>
      <c r="V151" s="10">
        <v>2005</v>
      </c>
      <c r="W151" s="10">
        <v>6</v>
      </c>
      <c r="X151" s="10">
        <v>441.32946747604802</v>
      </c>
      <c r="Z151" s="10">
        <v>2005</v>
      </c>
      <c r="AA151" s="10">
        <v>6</v>
      </c>
      <c r="AB151" s="10">
        <v>441.58740996527803</v>
      </c>
    </row>
    <row r="152" spans="1:28" x14ac:dyDescent="0.25">
      <c r="A152" s="8">
        <v>2005</v>
      </c>
      <c r="B152" s="8">
        <v>7</v>
      </c>
      <c r="C152" s="10">
        <v>440.65112865689798</v>
      </c>
      <c r="F152" s="8">
        <v>2005</v>
      </c>
      <c r="G152" s="8">
        <v>7</v>
      </c>
      <c r="H152" s="10">
        <v>440.460219676181</v>
      </c>
      <c r="J152" s="10">
        <v>2005</v>
      </c>
      <c r="K152" s="10">
        <v>7</v>
      </c>
      <c r="L152" s="10">
        <v>440.585616393664</v>
      </c>
      <c r="N152" s="10">
        <v>2005</v>
      </c>
      <c r="O152" s="10">
        <v>7</v>
      </c>
      <c r="P152" s="10">
        <v>440.54056453149701</v>
      </c>
      <c r="R152" s="10">
        <v>2005</v>
      </c>
      <c r="S152" s="10">
        <v>7</v>
      </c>
      <c r="T152" s="10">
        <v>440.63134308967801</v>
      </c>
      <c r="V152" s="10">
        <v>2005</v>
      </c>
      <c r="W152" s="10">
        <v>7</v>
      </c>
      <c r="X152" s="10">
        <v>440.65791447487601</v>
      </c>
      <c r="Z152" s="10">
        <v>2005</v>
      </c>
      <c r="AA152" s="10">
        <v>7</v>
      </c>
      <c r="AB152" s="10">
        <v>440.362382737308</v>
      </c>
    </row>
    <row r="153" spans="1:28" x14ac:dyDescent="0.25">
      <c r="A153" s="8">
        <v>2005</v>
      </c>
      <c r="B153" s="8">
        <v>8</v>
      </c>
      <c r="C153" s="10">
        <v>445.787867353509</v>
      </c>
      <c r="F153" s="8">
        <v>2005</v>
      </c>
      <c r="G153" s="8">
        <v>8</v>
      </c>
      <c r="H153" s="10">
        <v>445.912474372882</v>
      </c>
      <c r="J153" s="10">
        <v>2005</v>
      </c>
      <c r="K153" s="10">
        <v>8</v>
      </c>
      <c r="L153" s="10">
        <v>445.69229861700501</v>
      </c>
      <c r="N153" s="10">
        <v>2005</v>
      </c>
      <c r="O153" s="10">
        <v>8</v>
      </c>
      <c r="P153" s="10">
        <v>445.72027757595203</v>
      </c>
      <c r="R153" s="10">
        <v>2005</v>
      </c>
      <c r="S153" s="10">
        <v>8</v>
      </c>
      <c r="T153" s="10">
        <v>445.670886936079</v>
      </c>
      <c r="V153" s="10">
        <v>2005</v>
      </c>
      <c r="W153" s="10">
        <v>8</v>
      </c>
      <c r="X153" s="10">
        <v>445.66446741568598</v>
      </c>
      <c r="Z153" s="10">
        <v>2005</v>
      </c>
      <c r="AA153" s="10">
        <v>8</v>
      </c>
      <c r="AB153" s="10">
        <v>446.062126389676</v>
      </c>
    </row>
    <row r="154" spans="1:28" x14ac:dyDescent="0.25">
      <c r="A154" s="8">
        <v>2005</v>
      </c>
      <c r="B154" s="8">
        <v>9</v>
      </c>
      <c r="C154" s="10">
        <v>410.77556862595799</v>
      </c>
      <c r="F154" s="8">
        <v>2005</v>
      </c>
      <c r="G154" s="8">
        <v>9</v>
      </c>
      <c r="H154" s="10">
        <v>410.71198080803902</v>
      </c>
      <c r="J154" s="10">
        <v>2005</v>
      </c>
      <c r="K154" s="10">
        <v>9</v>
      </c>
      <c r="L154" s="10">
        <v>410.537998374663</v>
      </c>
      <c r="N154" s="10">
        <v>2005</v>
      </c>
      <c r="O154" s="10">
        <v>9</v>
      </c>
      <c r="P154" s="10">
        <v>410.56405472660703</v>
      </c>
      <c r="R154" s="10">
        <v>2005</v>
      </c>
      <c r="S154" s="10">
        <v>9</v>
      </c>
      <c r="T154" s="10">
        <v>410.51244756247701</v>
      </c>
      <c r="V154" s="10">
        <v>2005</v>
      </c>
      <c r="W154" s="10">
        <v>9</v>
      </c>
      <c r="X154" s="10">
        <v>410.526162902267</v>
      </c>
      <c r="Z154" s="10">
        <v>2005</v>
      </c>
      <c r="AA154" s="10">
        <v>9</v>
      </c>
      <c r="AB154" s="10">
        <v>410.92927432617898</v>
      </c>
    </row>
    <row r="155" spans="1:28" x14ac:dyDescent="0.25">
      <c r="A155" s="8">
        <v>2005</v>
      </c>
      <c r="B155" s="8">
        <v>10</v>
      </c>
      <c r="C155" s="10">
        <v>416.94965732262199</v>
      </c>
      <c r="F155" s="8">
        <v>2005</v>
      </c>
      <c r="G155" s="8">
        <v>10</v>
      </c>
      <c r="H155" s="10">
        <v>416.56131775357898</v>
      </c>
      <c r="J155" s="10">
        <v>2005</v>
      </c>
      <c r="K155" s="10">
        <v>10</v>
      </c>
      <c r="L155" s="10">
        <v>417.163931989905</v>
      </c>
      <c r="N155" s="10">
        <v>2005</v>
      </c>
      <c r="O155" s="10">
        <v>10</v>
      </c>
      <c r="P155" s="10">
        <v>417.10731875014102</v>
      </c>
      <c r="R155" s="10">
        <v>2005</v>
      </c>
      <c r="S155" s="10">
        <v>10</v>
      </c>
      <c r="T155" s="10">
        <v>417.29713705067098</v>
      </c>
      <c r="V155" s="10">
        <v>2005</v>
      </c>
      <c r="W155" s="10">
        <v>10</v>
      </c>
      <c r="X155" s="10">
        <v>417.33466379701002</v>
      </c>
      <c r="Z155" s="10">
        <v>2005</v>
      </c>
      <c r="AA155" s="10">
        <v>10</v>
      </c>
      <c r="AB155" s="10">
        <v>416.67942071225798</v>
      </c>
    </row>
    <row r="156" spans="1:28" x14ac:dyDescent="0.25">
      <c r="A156" s="8">
        <v>2005</v>
      </c>
      <c r="B156" s="8">
        <v>11</v>
      </c>
      <c r="C156" s="10">
        <v>465.21870717028298</v>
      </c>
      <c r="F156" s="8">
        <v>2005</v>
      </c>
      <c r="G156" s="8">
        <v>11</v>
      </c>
      <c r="H156" s="10">
        <v>465.30019891678899</v>
      </c>
      <c r="J156" s="10">
        <v>2005</v>
      </c>
      <c r="K156" s="10">
        <v>11</v>
      </c>
      <c r="L156" s="10">
        <v>465.20118065816303</v>
      </c>
      <c r="N156" s="10">
        <v>2005</v>
      </c>
      <c r="O156" s="10">
        <v>11</v>
      </c>
      <c r="P156" s="10">
        <v>465.19464819806802</v>
      </c>
      <c r="R156" s="10">
        <v>2005</v>
      </c>
      <c r="S156" s="10">
        <v>11</v>
      </c>
      <c r="T156" s="10">
        <v>465.20557892115801</v>
      </c>
      <c r="V156" s="10">
        <v>2005</v>
      </c>
      <c r="W156" s="10">
        <v>11</v>
      </c>
      <c r="X156" s="10">
        <v>465.15442335381402</v>
      </c>
      <c r="Z156" s="10">
        <v>2005</v>
      </c>
      <c r="AA156" s="10">
        <v>11</v>
      </c>
      <c r="AB156" s="10">
        <v>465.40928712856902</v>
      </c>
    </row>
    <row r="157" spans="1:28" x14ac:dyDescent="0.25">
      <c r="A157" s="8">
        <v>2005</v>
      </c>
      <c r="B157" s="8">
        <v>12</v>
      </c>
      <c r="C157" s="10">
        <v>481.05185450361301</v>
      </c>
      <c r="F157" s="8">
        <v>2005</v>
      </c>
      <c r="G157" s="8">
        <v>12</v>
      </c>
      <c r="H157" s="10">
        <v>481.44204400244598</v>
      </c>
      <c r="J157" s="10">
        <v>2005</v>
      </c>
      <c r="K157" s="10">
        <v>12</v>
      </c>
      <c r="L157" s="10">
        <v>481.73895758410902</v>
      </c>
      <c r="N157" s="10">
        <v>2005</v>
      </c>
      <c r="O157" s="10">
        <v>12</v>
      </c>
      <c r="P157" s="10">
        <v>481.764113006645</v>
      </c>
      <c r="R157" s="10">
        <v>2005</v>
      </c>
      <c r="S157" s="10">
        <v>12</v>
      </c>
      <c r="T157" s="10">
        <v>481.71128615746198</v>
      </c>
      <c r="V157" s="10">
        <v>2005</v>
      </c>
      <c r="W157" s="10">
        <v>12</v>
      </c>
      <c r="X157" s="10">
        <v>481.61417834920502</v>
      </c>
      <c r="Z157" s="10">
        <v>2005</v>
      </c>
      <c r="AA157" s="10">
        <v>12</v>
      </c>
      <c r="AB157" s="10">
        <v>481.032635322891</v>
      </c>
    </row>
    <row r="158" spans="1:28" x14ac:dyDescent="0.25">
      <c r="A158" s="8">
        <v>2006</v>
      </c>
      <c r="B158" s="8">
        <v>1</v>
      </c>
      <c r="C158" s="10">
        <v>475.02942018870499</v>
      </c>
      <c r="F158" s="8">
        <v>2006</v>
      </c>
      <c r="G158" s="8">
        <v>1</v>
      </c>
      <c r="H158" s="10">
        <v>475.68358190154697</v>
      </c>
      <c r="J158" s="10">
        <v>2006</v>
      </c>
      <c r="K158" s="10">
        <v>1</v>
      </c>
      <c r="L158" s="10">
        <v>475.957584678898</v>
      </c>
      <c r="N158" s="10">
        <v>2006</v>
      </c>
      <c r="O158" s="10">
        <v>1</v>
      </c>
      <c r="P158" s="10">
        <v>475.96682495776298</v>
      </c>
      <c r="R158" s="10">
        <v>2006</v>
      </c>
      <c r="S158" s="10">
        <v>1</v>
      </c>
      <c r="T158" s="10">
        <v>475.91092711635798</v>
      </c>
      <c r="V158" s="10">
        <v>2006</v>
      </c>
      <c r="W158" s="10">
        <v>1</v>
      </c>
      <c r="X158" s="10">
        <v>475.70165255738999</v>
      </c>
      <c r="Z158" s="10">
        <v>2006</v>
      </c>
      <c r="AA158" s="10">
        <v>1</v>
      </c>
      <c r="AB158" s="10">
        <v>475.87900172565202</v>
      </c>
    </row>
    <row r="159" spans="1:28" x14ac:dyDescent="0.25">
      <c r="A159" s="8">
        <v>2006</v>
      </c>
      <c r="B159" s="8">
        <v>2</v>
      </c>
      <c r="C159" s="10">
        <v>475.474280916981</v>
      </c>
      <c r="F159" s="8">
        <v>2006</v>
      </c>
      <c r="G159" s="8">
        <v>2</v>
      </c>
      <c r="H159" s="10">
        <v>477.05030169618402</v>
      </c>
      <c r="J159" s="10">
        <v>2006</v>
      </c>
      <c r="K159" s="10">
        <v>2</v>
      </c>
      <c r="L159" s="10">
        <v>477.57773783249598</v>
      </c>
      <c r="N159" s="10">
        <v>2006</v>
      </c>
      <c r="O159" s="10">
        <v>2</v>
      </c>
      <c r="P159" s="10">
        <v>477.58369102409102</v>
      </c>
      <c r="R159" s="10">
        <v>2006</v>
      </c>
      <c r="S159" s="10">
        <v>2</v>
      </c>
      <c r="T159" s="10">
        <v>477.51315847259002</v>
      </c>
      <c r="V159" s="10">
        <v>2006</v>
      </c>
      <c r="W159" s="10">
        <v>2</v>
      </c>
      <c r="X159" s="10">
        <v>477.21900494582098</v>
      </c>
      <c r="Z159" s="10">
        <v>2006</v>
      </c>
      <c r="AA159" s="10">
        <v>2</v>
      </c>
      <c r="AB159" s="10">
        <v>477.31181188824502</v>
      </c>
    </row>
    <row r="160" spans="1:28" x14ac:dyDescent="0.25">
      <c r="A160" s="8">
        <v>2006</v>
      </c>
      <c r="B160" s="8">
        <v>3</v>
      </c>
      <c r="C160" s="10">
        <v>485.56436506557901</v>
      </c>
      <c r="F160" s="8">
        <v>2006</v>
      </c>
      <c r="G160" s="8">
        <v>3</v>
      </c>
      <c r="H160" s="10">
        <v>485.58168490777803</v>
      </c>
      <c r="J160" s="10">
        <v>2006</v>
      </c>
      <c r="K160" s="10">
        <v>3</v>
      </c>
      <c r="L160" s="10">
        <v>485.36141317572998</v>
      </c>
      <c r="N160" s="10">
        <v>2006</v>
      </c>
      <c r="O160" s="10">
        <v>3</v>
      </c>
      <c r="P160" s="10">
        <v>485.38533496062502</v>
      </c>
      <c r="R160" s="10">
        <v>2006</v>
      </c>
      <c r="S160" s="10">
        <v>3</v>
      </c>
      <c r="T160" s="10">
        <v>485.30197029698297</v>
      </c>
      <c r="V160" s="10">
        <v>2006</v>
      </c>
      <c r="W160" s="10">
        <v>3</v>
      </c>
      <c r="X160" s="10">
        <v>485.28721017804901</v>
      </c>
      <c r="Z160" s="10">
        <v>2006</v>
      </c>
      <c r="AA160" s="10">
        <v>3</v>
      </c>
      <c r="AB160" s="10">
        <v>485.58584257869001</v>
      </c>
    </row>
    <row r="161" spans="1:28" x14ac:dyDescent="0.25">
      <c r="A161" s="8">
        <v>2006</v>
      </c>
      <c r="B161" s="8">
        <v>4</v>
      </c>
      <c r="C161" s="10">
        <v>471.89893819775</v>
      </c>
      <c r="F161" s="8">
        <v>2006</v>
      </c>
      <c r="G161" s="8">
        <v>4</v>
      </c>
      <c r="H161" s="10">
        <v>471.74995585691897</v>
      </c>
      <c r="J161" s="10">
        <v>2006</v>
      </c>
      <c r="K161" s="10">
        <v>4</v>
      </c>
      <c r="L161" s="10">
        <v>472.04881013977501</v>
      </c>
      <c r="N161" s="10">
        <v>2006</v>
      </c>
      <c r="O161" s="10">
        <v>4</v>
      </c>
      <c r="P161" s="10">
        <v>471.995711124911</v>
      </c>
      <c r="R161" s="10">
        <v>2006</v>
      </c>
      <c r="S161" s="10">
        <v>4</v>
      </c>
      <c r="T161" s="10">
        <v>472.102326879901</v>
      </c>
      <c r="V161" s="10">
        <v>2006</v>
      </c>
      <c r="W161" s="10">
        <v>4</v>
      </c>
      <c r="X161" s="10">
        <v>472.10058327299902</v>
      </c>
      <c r="Z161" s="10">
        <v>2006</v>
      </c>
      <c r="AA161" s="10">
        <v>4</v>
      </c>
      <c r="AB161" s="10">
        <v>471.60486241978299</v>
      </c>
    </row>
    <row r="162" spans="1:28" x14ac:dyDescent="0.25">
      <c r="A162" s="8">
        <v>2006</v>
      </c>
      <c r="B162" s="8">
        <v>5</v>
      </c>
      <c r="C162" s="10">
        <v>482.26801022136198</v>
      </c>
      <c r="F162" s="8">
        <v>2006</v>
      </c>
      <c r="G162" s="8">
        <v>5</v>
      </c>
      <c r="H162" s="10">
        <v>482.443495847267</v>
      </c>
      <c r="J162" s="10">
        <v>2006</v>
      </c>
      <c r="K162" s="10">
        <v>5</v>
      </c>
      <c r="L162" s="10">
        <v>481.97342843412503</v>
      </c>
      <c r="N162" s="10">
        <v>2006</v>
      </c>
      <c r="O162" s="10">
        <v>5</v>
      </c>
      <c r="P162" s="10">
        <v>482.00103370953599</v>
      </c>
      <c r="R162" s="10">
        <v>2006</v>
      </c>
      <c r="S162" s="10">
        <v>5</v>
      </c>
      <c r="T162" s="10">
        <v>481.92289163153401</v>
      </c>
      <c r="V162" s="10">
        <v>2006</v>
      </c>
      <c r="W162" s="10">
        <v>5</v>
      </c>
      <c r="X162" s="10">
        <v>482.17191869251701</v>
      </c>
      <c r="Z162" s="10">
        <v>2006</v>
      </c>
      <c r="AA162" s="10">
        <v>5</v>
      </c>
      <c r="AB162" s="10">
        <v>482.48310488946203</v>
      </c>
    </row>
    <row r="163" spans="1:28" x14ac:dyDescent="0.25">
      <c r="A163" s="8">
        <v>2006</v>
      </c>
      <c r="B163" s="8">
        <v>6</v>
      </c>
      <c r="C163" s="10">
        <v>490.67045392262497</v>
      </c>
      <c r="F163" s="8">
        <v>2006</v>
      </c>
      <c r="G163" s="8">
        <v>6</v>
      </c>
      <c r="H163" s="10">
        <v>490.74701824509401</v>
      </c>
      <c r="J163" s="10">
        <v>2006</v>
      </c>
      <c r="K163" s="10">
        <v>6</v>
      </c>
      <c r="L163" s="10">
        <v>490.602650691343</v>
      </c>
      <c r="N163" s="10">
        <v>2006</v>
      </c>
      <c r="O163" s="10">
        <v>6</v>
      </c>
      <c r="P163" s="10">
        <v>490.62004066364398</v>
      </c>
      <c r="R163" s="10">
        <v>2006</v>
      </c>
      <c r="S163" s="10">
        <v>6</v>
      </c>
      <c r="T163" s="10">
        <v>490.58208064941601</v>
      </c>
      <c r="V163" s="10">
        <v>2006</v>
      </c>
      <c r="W163" s="10">
        <v>6</v>
      </c>
      <c r="X163" s="10">
        <v>490.57170426633297</v>
      </c>
      <c r="Z163" s="10">
        <v>2006</v>
      </c>
      <c r="AA163" s="10">
        <v>6</v>
      </c>
      <c r="AB163" s="10">
        <v>490.81866930292199</v>
      </c>
    </row>
    <row r="164" spans="1:28" x14ac:dyDescent="0.25">
      <c r="A164" s="8">
        <v>2006</v>
      </c>
      <c r="B164" s="8">
        <v>7</v>
      </c>
      <c r="C164" s="10">
        <v>464.44508935829799</v>
      </c>
      <c r="F164" s="8">
        <v>2006</v>
      </c>
      <c r="G164" s="8">
        <v>7</v>
      </c>
      <c r="H164" s="10">
        <v>464.210472859964</v>
      </c>
      <c r="J164" s="10">
        <v>2006</v>
      </c>
      <c r="K164" s="10">
        <v>7</v>
      </c>
      <c r="L164" s="10">
        <v>464.35222772993001</v>
      </c>
      <c r="N164" s="10">
        <v>2006</v>
      </c>
      <c r="O164" s="10">
        <v>7</v>
      </c>
      <c r="P164" s="10">
        <v>464.30379366041399</v>
      </c>
      <c r="R164" s="10">
        <v>2006</v>
      </c>
      <c r="S164" s="10">
        <v>7</v>
      </c>
      <c r="T164" s="10">
        <v>464.39390952095198</v>
      </c>
      <c r="V164" s="10">
        <v>2006</v>
      </c>
      <c r="W164" s="10">
        <v>7</v>
      </c>
      <c r="X164" s="10">
        <v>464.386815521323</v>
      </c>
      <c r="Z164" s="10">
        <v>2006</v>
      </c>
      <c r="AA164" s="10">
        <v>7</v>
      </c>
      <c r="AB164" s="10">
        <v>464.12010021785602</v>
      </c>
    </row>
    <row r="165" spans="1:28" x14ac:dyDescent="0.25">
      <c r="A165" s="8">
        <v>2006</v>
      </c>
      <c r="B165" s="8">
        <v>8</v>
      </c>
      <c r="C165" s="10">
        <v>445.96272302602398</v>
      </c>
      <c r="F165" s="8">
        <v>2006</v>
      </c>
      <c r="G165" s="8">
        <v>8</v>
      </c>
      <c r="H165" s="10">
        <v>446.11227775811602</v>
      </c>
      <c r="J165" s="10">
        <v>2006</v>
      </c>
      <c r="K165" s="10">
        <v>8</v>
      </c>
      <c r="L165" s="10">
        <v>445.92016070036402</v>
      </c>
      <c r="N165" s="10">
        <v>2006</v>
      </c>
      <c r="O165" s="10">
        <v>8</v>
      </c>
      <c r="P165" s="10">
        <v>445.94832252647001</v>
      </c>
      <c r="R165" s="10">
        <v>2006</v>
      </c>
      <c r="S165" s="10">
        <v>8</v>
      </c>
      <c r="T165" s="10">
        <v>445.90701324003902</v>
      </c>
      <c r="V165" s="10">
        <v>2006</v>
      </c>
      <c r="W165" s="10">
        <v>8</v>
      </c>
      <c r="X165" s="10">
        <v>445.87539932645097</v>
      </c>
      <c r="Z165" s="10">
        <v>2006</v>
      </c>
      <c r="AA165" s="10">
        <v>8</v>
      </c>
      <c r="AB165" s="10">
        <v>446.31611229985998</v>
      </c>
    </row>
    <row r="166" spans="1:28" x14ac:dyDescent="0.25">
      <c r="A166" s="8">
        <v>2006</v>
      </c>
      <c r="B166" s="8">
        <v>9</v>
      </c>
      <c r="C166" s="10">
        <v>478.22130293001101</v>
      </c>
      <c r="F166" s="8">
        <v>2006</v>
      </c>
      <c r="G166" s="8">
        <v>9</v>
      </c>
      <c r="H166" s="10">
        <v>478.075798610334</v>
      </c>
      <c r="J166" s="10">
        <v>2006</v>
      </c>
      <c r="K166" s="10">
        <v>9</v>
      </c>
      <c r="L166" s="10">
        <v>478.18066681671598</v>
      </c>
      <c r="N166" s="10">
        <v>2006</v>
      </c>
      <c r="O166" s="10">
        <v>9</v>
      </c>
      <c r="P166" s="10">
        <v>478.16568495679002</v>
      </c>
      <c r="R166" s="10">
        <v>2006</v>
      </c>
      <c r="S166" s="10">
        <v>9</v>
      </c>
      <c r="T166" s="10">
        <v>478.22389290714102</v>
      </c>
      <c r="V166" s="10">
        <v>2006</v>
      </c>
      <c r="W166" s="10">
        <v>9</v>
      </c>
      <c r="X166" s="10">
        <v>478.225175375768</v>
      </c>
      <c r="Z166" s="10">
        <v>2006</v>
      </c>
      <c r="AA166" s="10">
        <v>9</v>
      </c>
      <c r="AB166" s="10">
        <v>478.28713515824199</v>
      </c>
    </row>
    <row r="167" spans="1:28" x14ac:dyDescent="0.25">
      <c r="A167" s="8">
        <v>2006</v>
      </c>
      <c r="B167" s="8">
        <v>10</v>
      </c>
      <c r="C167" s="10">
        <v>452.39177752108498</v>
      </c>
      <c r="F167" s="8">
        <v>2006</v>
      </c>
      <c r="G167" s="8">
        <v>10</v>
      </c>
      <c r="H167" s="10">
        <v>452.15688201334598</v>
      </c>
      <c r="J167" s="10">
        <v>2006</v>
      </c>
      <c r="K167" s="10">
        <v>10</v>
      </c>
      <c r="L167" s="10">
        <v>452.52433534312001</v>
      </c>
      <c r="N167" s="10">
        <v>2006</v>
      </c>
      <c r="O167" s="10">
        <v>10</v>
      </c>
      <c r="P167" s="10">
        <v>452.50721196116098</v>
      </c>
      <c r="R167" s="10">
        <v>2006</v>
      </c>
      <c r="S167" s="10">
        <v>10</v>
      </c>
      <c r="T167" s="10">
        <v>452.62403544261099</v>
      </c>
      <c r="V167" s="10">
        <v>2006</v>
      </c>
      <c r="W167" s="10">
        <v>10</v>
      </c>
      <c r="X167" s="10">
        <v>452.63472968752501</v>
      </c>
      <c r="Z167" s="10">
        <v>2006</v>
      </c>
      <c r="AA167" s="10">
        <v>10</v>
      </c>
      <c r="AB167" s="10">
        <v>452.49051706837099</v>
      </c>
    </row>
    <row r="168" spans="1:28" x14ac:dyDescent="0.25">
      <c r="A168" s="8">
        <v>2006</v>
      </c>
      <c r="B168" s="8">
        <v>11</v>
      </c>
      <c r="C168" s="10">
        <v>406.09329341350599</v>
      </c>
      <c r="F168" s="8">
        <v>2006</v>
      </c>
      <c r="G168" s="8">
        <v>11</v>
      </c>
      <c r="H168" s="10">
        <v>406.046694291145</v>
      </c>
      <c r="J168" s="10">
        <v>2006</v>
      </c>
      <c r="K168" s="10">
        <v>11</v>
      </c>
      <c r="L168" s="10">
        <v>405.89379698584497</v>
      </c>
      <c r="N168" s="10">
        <v>2006</v>
      </c>
      <c r="O168" s="10">
        <v>11</v>
      </c>
      <c r="P168" s="10">
        <v>405.904477513328</v>
      </c>
      <c r="R168" s="10">
        <v>2006</v>
      </c>
      <c r="S168" s="10">
        <v>11</v>
      </c>
      <c r="T168" s="10">
        <v>405.89012738781503</v>
      </c>
      <c r="V168" s="10">
        <v>2006</v>
      </c>
      <c r="W168" s="10">
        <v>11</v>
      </c>
      <c r="X168" s="10">
        <v>405.84724768183401</v>
      </c>
      <c r="Z168" s="10">
        <v>2006</v>
      </c>
      <c r="AA168" s="10">
        <v>11</v>
      </c>
      <c r="AB168" s="10">
        <v>406.18199617680898</v>
      </c>
    </row>
    <row r="169" spans="1:28" x14ac:dyDescent="0.25">
      <c r="A169" s="8">
        <v>2006</v>
      </c>
      <c r="B169" s="8">
        <v>12</v>
      </c>
      <c r="C169" s="10">
        <v>404.13405795013699</v>
      </c>
      <c r="F169" s="8">
        <v>2006</v>
      </c>
      <c r="G169" s="8">
        <v>12</v>
      </c>
      <c r="H169" s="10">
        <v>404.73555465653698</v>
      </c>
      <c r="J169" s="10">
        <v>2006</v>
      </c>
      <c r="K169" s="10">
        <v>12</v>
      </c>
      <c r="L169" s="10">
        <v>405.48454283815198</v>
      </c>
      <c r="N169" s="10">
        <v>2006</v>
      </c>
      <c r="O169" s="10">
        <v>12</v>
      </c>
      <c r="P169" s="10">
        <v>405.4744455613</v>
      </c>
      <c r="R169" s="10">
        <v>2006</v>
      </c>
      <c r="S169" s="10">
        <v>12</v>
      </c>
      <c r="T169" s="10">
        <v>405.48303688895197</v>
      </c>
      <c r="V169" s="10">
        <v>2006</v>
      </c>
      <c r="W169" s="10">
        <v>12</v>
      </c>
      <c r="X169" s="10">
        <v>405.32615708242702</v>
      </c>
      <c r="Z169" s="10">
        <v>2006</v>
      </c>
      <c r="AA169" s="10">
        <v>12</v>
      </c>
      <c r="AB169" s="10">
        <v>404.05106069071599</v>
      </c>
    </row>
    <row r="170" spans="1:28" x14ac:dyDescent="0.25">
      <c r="A170" s="8">
        <v>2007</v>
      </c>
      <c r="B170" s="8">
        <v>1</v>
      </c>
      <c r="C170" s="10">
        <v>405.80973090037497</v>
      </c>
      <c r="F170" s="8">
        <v>2007</v>
      </c>
      <c r="G170" s="8">
        <v>1</v>
      </c>
      <c r="H170" s="10">
        <v>406.26638798352099</v>
      </c>
      <c r="J170" s="10">
        <v>2007</v>
      </c>
      <c r="K170" s="10">
        <v>1</v>
      </c>
      <c r="L170" s="10">
        <v>406.09159922876501</v>
      </c>
      <c r="N170" s="10">
        <v>2007</v>
      </c>
      <c r="O170" s="10">
        <v>1</v>
      </c>
      <c r="P170" s="10">
        <v>406.15816135651698</v>
      </c>
      <c r="R170" s="10">
        <v>2007</v>
      </c>
      <c r="S170" s="10">
        <v>1</v>
      </c>
      <c r="T170" s="10">
        <v>405.98596837229002</v>
      </c>
      <c r="V170" s="10">
        <v>2007</v>
      </c>
      <c r="W170" s="10">
        <v>1</v>
      </c>
      <c r="X170" s="10">
        <v>405.82109046894101</v>
      </c>
      <c r="Z170" s="10">
        <v>2007</v>
      </c>
      <c r="AA170" s="10">
        <v>1</v>
      </c>
      <c r="AB170" s="10">
        <v>406.49537259611901</v>
      </c>
    </row>
    <row r="171" spans="1:28" x14ac:dyDescent="0.25">
      <c r="A171" s="8">
        <v>2007</v>
      </c>
      <c r="B171" s="8">
        <v>2</v>
      </c>
      <c r="C171" s="10">
        <v>445.55869359614599</v>
      </c>
      <c r="F171" s="8">
        <v>2007</v>
      </c>
      <c r="G171" s="8">
        <v>2</v>
      </c>
      <c r="H171" s="10">
        <v>446.87392293014</v>
      </c>
      <c r="J171" s="10">
        <v>2007</v>
      </c>
      <c r="K171" s="10">
        <v>2</v>
      </c>
      <c r="L171" s="10">
        <v>447.30040808868699</v>
      </c>
      <c r="N171" s="10">
        <v>2007</v>
      </c>
      <c r="O171" s="10">
        <v>2</v>
      </c>
      <c r="P171" s="10">
        <v>447.29807446315698</v>
      </c>
      <c r="R171" s="10">
        <v>2007</v>
      </c>
      <c r="S171" s="10">
        <v>2</v>
      </c>
      <c r="T171" s="10">
        <v>447.23964300243301</v>
      </c>
      <c r="V171" s="10">
        <v>2007</v>
      </c>
      <c r="W171" s="10">
        <v>2</v>
      </c>
      <c r="X171" s="10">
        <v>446.98857154665899</v>
      </c>
      <c r="Z171" s="10">
        <v>2007</v>
      </c>
      <c r="AA171" s="10">
        <v>2</v>
      </c>
      <c r="AB171" s="10">
        <v>447.02081437885403</v>
      </c>
    </row>
    <row r="172" spans="1:28" x14ac:dyDescent="0.25">
      <c r="A172" s="8">
        <v>2007</v>
      </c>
      <c r="B172" s="8">
        <v>3</v>
      </c>
      <c r="C172" s="10">
        <v>456.62366175778601</v>
      </c>
      <c r="F172" s="8">
        <v>2007</v>
      </c>
      <c r="G172" s="8">
        <v>3</v>
      </c>
      <c r="H172" s="10">
        <v>456.61298420545398</v>
      </c>
      <c r="J172" s="10">
        <v>2007</v>
      </c>
      <c r="K172" s="10">
        <v>3</v>
      </c>
      <c r="L172" s="10">
        <v>456.73271979417098</v>
      </c>
      <c r="N172" s="10">
        <v>2007</v>
      </c>
      <c r="O172" s="10">
        <v>3</v>
      </c>
      <c r="P172" s="10">
        <v>456.70655162536701</v>
      </c>
      <c r="R172" s="10">
        <v>2007</v>
      </c>
      <c r="S172" s="10">
        <v>3</v>
      </c>
      <c r="T172" s="10">
        <v>456.72083218756597</v>
      </c>
      <c r="V172" s="10">
        <v>2007</v>
      </c>
      <c r="W172" s="10">
        <v>3</v>
      </c>
      <c r="X172" s="10">
        <v>456.662653665128</v>
      </c>
      <c r="Z172" s="10">
        <v>2007</v>
      </c>
      <c r="AA172" s="10">
        <v>3</v>
      </c>
      <c r="AB172" s="10">
        <v>456.55104598965102</v>
      </c>
    </row>
    <row r="173" spans="1:28" x14ac:dyDescent="0.25">
      <c r="A173" s="8">
        <v>2007</v>
      </c>
      <c r="B173" s="8">
        <v>4</v>
      </c>
      <c r="C173" s="10">
        <v>466.82263303161199</v>
      </c>
      <c r="F173" s="8">
        <v>2007</v>
      </c>
      <c r="G173" s="8">
        <v>4</v>
      </c>
      <c r="H173" s="10">
        <v>466.88917834541502</v>
      </c>
      <c r="J173" s="10">
        <v>2007</v>
      </c>
      <c r="K173" s="10">
        <v>4</v>
      </c>
      <c r="L173" s="10">
        <v>467.01093276534601</v>
      </c>
      <c r="N173" s="10">
        <v>2007</v>
      </c>
      <c r="O173" s="10">
        <v>4</v>
      </c>
      <c r="P173" s="10">
        <v>466.99208443538402</v>
      </c>
      <c r="R173" s="10">
        <v>2007</v>
      </c>
      <c r="S173" s="10">
        <v>4</v>
      </c>
      <c r="T173" s="10">
        <v>467.00612359229302</v>
      </c>
      <c r="V173" s="10">
        <v>2007</v>
      </c>
      <c r="W173" s="10">
        <v>4</v>
      </c>
      <c r="X173" s="10">
        <v>466.94302774420402</v>
      </c>
      <c r="Z173" s="10">
        <v>2007</v>
      </c>
      <c r="AA173" s="10">
        <v>4</v>
      </c>
      <c r="AB173" s="10">
        <v>466.86408859440201</v>
      </c>
    </row>
    <row r="174" spans="1:28" x14ac:dyDescent="0.25">
      <c r="A174" s="8">
        <v>2007</v>
      </c>
      <c r="B174" s="8">
        <v>5</v>
      </c>
      <c r="C174" s="10">
        <v>440.01772742748301</v>
      </c>
      <c r="F174" s="8">
        <v>2007</v>
      </c>
      <c r="G174" s="8">
        <v>5</v>
      </c>
      <c r="H174" s="10">
        <v>440.32721287570399</v>
      </c>
      <c r="J174" s="10">
        <v>2007</v>
      </c>
      <c r="K174" s="10">
        <v>5</v>
      </c>
      <c r="L174" s="10">
        <v>439.68869859505799</v>
      </c>
      <c r="N174" s="10">
        <v>2007</v>
      </c>
      <c r="O174" s="10">
        <v>5</v>
      </c>
      <c r="P174" s="10">
        <v>439.70777786539702</v>
      </c>
      <c r="R174" s="10">
        <v>2007</v>
      </c>
      <c r="S174" s="10">
        <v>5</v>
      </c>
      <c r="T174" s="10">
        <v>439.63776091589301</v>
      </c>
      <c r="V174" s="10">
        <v>2007</v>
      </c>
      <c r="W174" s="10">
        <v>5</v>
      </c>
      <c r="X174" s="10">
        <v>440.10036586540502</v>
      </c>
      <c r="Z174" s="10">
        <v>2007</v>
      </c>
      <c r="AA174" s="10">
        <v>5</v>
      </c>
      <c r="AB174" s="10">
        <v>440.36975187510899</v>
      </c>
    </row>
    <row r="175" spans="1:28" x14ac:dyDescent="0.25">
      <c r="A175" s="8">
        <v>2007</v>
      </c>
      <c r="B175" s="8">
        <v>6</v>
      </c>
      <c r="C175" s="10">
        <v>446.30346776169802</v>
      </c>
      <c r="F175" s="8">
        <v>2007</v>
      </c>
      <c r="G175" s="8">
        <v>6</v>
      </c>
      <c r="H175" s="10">
        <v>446.29544189828601</v>
      </c>
      <c r="J175" s="10">
        <v>2007</v>
      </c>
      <c r="K175" s="10">
        <v>6</v>
      </c>
      <c r="L175" s="10">
        <v>446.47355452230101</v>
      </c>
      <c r="N175" s="10">
        <v>2007</v>
      </c>
      <c r="O175" s="10">
        <v>6</v>
      </c>
      <c r="P175" s="10">
        <v>446.44575474601999</v>
      </c>
      <c r="R175" s="10">
        <v>2007</v>
      </c>
      <c r="S175" s="10">
        <v>6</v>
      </c>
      <c r="T175" s="10">
        <v>446.51119142492502</v>
      </c>
      <c r="V175" s="10">
        <v>2007</v>
      </c>
      <c r="W175" s="10">
        <v>6</v>
      </c>
      <c r="X175" s="10">
        <v>446.468265965456</v>
      </c>
      <c r="Z175" s="10">
        <v>2007</v>
      </c>
      <c r="AA175" s="10">
        <v>6</v>
      </c>
      <c r="AB175" s="10">
        <v>446.29062967030097</v>
      </c>
    </row>
    <row r="176" spans="1:28" x14ac:dyDescent="0.25">
      <c r="A176" s="8">
        <v>2007</v>
      </c>
      <c r="B176" s="8">
        <v>7</v>
      </c>
      <c r="C176" s="10">
        <v>337.24575941317897</v>
      </c>
      <c r="F176" s="8">
        <v>2007</v>
      </c>
      <c r="G176" s="8">
        <v>7</v>
      </c>
      <c r="H176" s="10">
        <v>337.13347681848097</v>
      </c>
      <c r="J176" s="10">
        <v>2007</v>
      </c>
      <c r="K176" s="10">
        <v>7</v>
      </c>
      <c r="L176" s="10">
        <v>337.06794267140498</v>
      </c>
      <c r="N176" s="10">
        <v>2007</v>
      </c>
      <c r="O176" s="10">
        <v>7</v>
      </c>
      <c r="P176" s="10">
        <v>337.05730012747699</v>
      </c>
      <c r="R176" s="10">
        <v>2007</v>
      </c>
      <c r="S176" s="10">
        <v>7</v>
      </c>
      <c r="T176" s="10">
        <v>337.060788533052</v>
      </c>
      <c r="V176" s="10">
        <v>2007</v>
      </c>
      <c r="W176" s="10">
        <v>7</v>
      </c>
      <c r="X176" s="10">
        <v>337.016453608115</v>
      </c>
      <c r="Z176" s="10">
        <v>2007</v>
      </c>
      <c r="AA176" s="10">
        <v>7</v>
      </c>
      <c r="AB176" s="10">
        <v>337.14294651904402</v>
      </c>
    </row>
    <row r="177" spans="1:28" x14ac:dyDescent="0.25">
      <c r="A177" s="8">
        <v>2007</v>
      </c>
      <c r="B177" s="8">
        <v>8</v>
      </c>
      <c r="C177" s="10">
        <v>462.22922297725302</v>
      </c>
      <c r="F177" s="8">
        <v>2007</v>
      </c>
      <c r="G177" s="8">
        <v>8</v>
      </c>
      <c r="H177" s="10">
        <v>462.38742241014</v>
      </c>
      <c r="J177" s="10">
        <v>2007</v>
      </c>
      <c r="K177" s="10">
        <v>8</v>
      </c>
      <c r="L177" s="10">
        <v>462.18074758333802</v>
      </c>
      <c r="N177" s="10">
        <v>2007</v>
      </c>
      <c r="O177" s="10">
        <v>8</v>
      </c>
      <c r="P177" s="10">
        <v>462.21682910039198</v>
      </c>
      <c r="R177" s="10">
        <v>2007</v>
      </c>
      <c r="S177" s="10">
        <v>8</v>
      </c>
      <c r="T177" s="10">
        <v>462.16493803787603</v>
      </c>
      <c r="V177" s="10">
        <v>2007</v>
      </c>
      <c r="W177" s="10">
        <v>8</v>
      </c>
      <c r="X177" s="10">
        <v>462.110488973278</v>
      </c>
      <c r="Z177" s="10">
        <v>2007</v>
      </c>
      <c r="AA177" s="10">
        <v>8</v>
      </c>
      <c r="AB177" s="10">
        <v>462.63074629228498</v>
      </c>
    </row>
    <row r="178" spans="1:28" x14ac:dyDescent="0.25">
      <c r="A178" s="8">
        <v>2007</v>
      </c>
      <c r="B178" s="8">
        <v>9</v>
      </c>
      <c r="C178" s="10">
        <v>465.98220757501599</v>
      </c>
      <c r="F178" s="8">
        <v>2007</v>
      </c>
      <c r="G178" s="8">
        <v>9</v>
      </c>
      <c r="H178" s="10">
        <v>465.70712584820501</v>
      </c>
      <c r="J178" s="10">
        <v>2007</v>
      </c>
      <c r="K178" s="10">
        <v>9</v>
      </c>
      <c r="L178" s="10">
        <v>466.10971208284002</v>
      </c>
      <c r="N178" s="10">
        <v>2007</v>
      </c>
      <c r="O178" s="10">
        <v>9</v>
      </c>
      <c r="P178" s="10">
        <v>466.05317505189299</v>
      </c>
      <c r="R178" s="10">
        <v>2007</v>
      </c>
      <c r="S178" s="10">
        <v>9</v>
      </c>
      <c r="T178" s="10">
        <v>466.22857451060901</v>
      </c>
      <c r="V178" s="10">
        <v>2007</v>
      </c>
      <c r="W178" s="10">
        <v>9</v>
      </c>
      <c r="X178" s="10">
        <v>466.21663174521598</v>
      </c>
      <c r="Z178" s="10">
        <v>2007</v>
      </c>
      <c r="AA178" s="10">
        <v>9</v>
      </c>
      <c r="AB178" s="10">
        <v>465.85986313526001</v>
      </c>
    </row>
    <row r="179" spans="1:28" x14ac:dyDescent="0.25">
      <c r="A179" s="8">
        <v>2007</v>
      </c>
      <c r="B179" s="8">
        <v>10</v>
      </c>
      <c r="C179" s="10">
        <v>463.95416606741799</v>
      </c>
      <c r="F179" s="8">
        <v>2007</v>
      </c>
      <c r="G179" s="8">
        <v>10</v>
      </c>
      <c r="H179" s="10">
        <v>463.84213655423002</v>
      </c>
      <c r="J179" s="10">
        <v>2007</v>
      </c>
      <c r="K179" s="10">
        <v>10</v>
      </c>
      <c r="L179" s="10">
        <v>463.86809316416901</v>
      </c>
      <c r="N179" s="10">
        <v>2007</v>
      </c>
      <c r="O179" s="10">
        <v>10</v>
      </c>
      <c r="P179" s="10">
        <v>463.90364395729802</v>
      </c>
      <c r="R179" s="10">
        <v>2007</v>
      </c>
      <c r="S179" s="10">
        <v>10</v>
      </c>
      <c r="T179" s="10">
        <v>463.92278896932999</v>
      </c>
      <c r="V179" s="10">
        <v>2007</v>
      </c>
      <c r="W179" s="10">
        <v>10</v>
      </c>
      <c r="X179" s="10">
        <v>463.90365877785302</v>
      </c>
      <c r="Z179" s="10">
        <v>2007</v>
      </c>
      <c r="AA179" s="10">
        <v>10</v>
      </c>
      <c r="AB179" s="10">
        <v>464.35449601922102</v>
      </c>
    </row>
    <row r="180" spans="1:28" x14ac:dyDescent="0.25">
      <c r="A180" s="8">
        <v>2007</v>
      </c>
      <c r="B180" s="8">
        <v>11</v>
      </c>
      <c r="C180" s="10">
        <v>485.69442724331702</v>
      </c>
      <c r="F180" s="8">
        <v>2007</v>
      </c>
      <c r="G180" s="8">
        <v>11</v>
      </c>
      <c r="H180" s="10">
        <v>485.64830964735</v>
      </c>
      <c r="J180" s="10">
        <v>2007</v>
      </c>
      <c r="K180" s="10">
        <v>11</v>
      </c>
      <c r="L180" s="10">
        <v>485.55992712614102</v>
      </c>
      <c r="N180" s="10">
        <v>2007</v>
      </c>
      <c r="O180" s="10">
        <v>11</v>
      </c>
      <c r="P180" s="10">
        <v>485.57164134248802</v>
      </c>
      <c r="R180" s="10">
        <v>2007</v>
      </c>
      <c r="S180" s="10">
        <v>11</v>
      </c>
      <c r="T180" s="10">
        <v>485.56024975623001</v>
      </c>
      <c r="V180" s="10">
        <v>2007</v>
      </c>
      <c r="W180" s="10">
        <v>11</v>
      </c>
      <c r="X180" s="10">
        <v>485.49528713394301</v>
      </c>
      <c r="Z180" s="10">
        <v>2007</v>
      </c>
      <c r="AA180" s="10">
        <v>11</v>
      </c>
      <c r="AB180" s="10">
        <v>485.802367382753</v>
      </c>
    </row>
    <row r="181" spans="1:28" x14ac:dyDescent="0.25">
      <c r="A181" s="8">
        <v>2007</v>
      </c>
      <c r="B181" s="8">
        <v>12</v>
      </c>
      <c r="C181" s="10">
        <v>511.45125286151898</v>
      </c>
      <c r="F181" s="8">
        <v>2007</v>
      </c>
      <c r="G181" s="8">
        <v>12</v>
      </c>
      <c r="H181" s="10">
        <v>512.15590126115899</v>
      </c>
      <c r="J181" s="10">
        <v>2007</v>
      </c>
      <c r="K181" s="10">
        <v>12</v>
      </c>
      <c r="L181" s="10">
        <v>513.00587833197801</v>
      </c>
      <c r="N181" s="10">
        <v>2007</v>
      </c>
      <c r="O181" s="10">
        <v>12</v>
      </c>
      <c r="P181" s="10">
        <v>512.986477388759</v>
      </c>
      <c r="R181" s="10">
        <v>2007</v>
      </c>
      <c r="S181" s="10">
        <v>12</v>
      </c>
      <c r="T181" s="10">
        <v>512.98032992654203</v>
      </c>
      <c r="V181" s="10">
        <v>2007</v>
      </c>
      <c r="W181" s="10">
        <v>12</v>
      </c>
      <c r="X181" s="10">
        <v>512.78767460172696</v>
      </c>
      <c r="Z181" s="10">
        <v>2007</v>
      </c>
      <c r="AA181" s="10">
        <v>12</v>
      </c>
      <c r="AB181" s="10">
        <v>511.40752349396502</v>
      </c>
    </row>
    <row r="182" spans="1:28" x14ac:dyDescent="0.25">
      <c r="A182" s="8">
        <v>2008</v>
      </c>
      <c r="B182" s="8">
        <v>1</v>
      </c>
      <c r="C182" s="10">
        <v>493.01919342000002</v>
      </c>
      <c r="F182" s="8">
        <v>2008</v>
      </c>
      <c r="G182" s="8">
        <v>1</v>
      </c>
      <c r="H182" s="10">
        <v>493.17054220311798</v>
      </c>
      <c r="J182" s="10">
        <v>2008</v>
      </c>
      <c r="K182" s="10">
        <v>1</v>
      </c>
      <c r="L182" s="10">
        <v>492.846715822882</v>
      </c>
      <c r="N182" s="10">
        <v>2008</v>
      </c>
      <c r="O182" s="10">
        <v>1</v>
      </c>
      <c r="P182" s="10">
        <v>492.93719321743202</v>
      </c>
      <c r="R182" s="10">
        <v>2008</v>
      </c>
      <c r="S182" s="10">
        <v>1</v>
      </c>
      <c r="T182" s="10">
        <v>492.73528975560703</v>
      </c>
      <c r="V182" s="10">
        <v>2008</v>
      </c>
      <c r="W182" s="10">
        <v>1</v>
      </c>
      <c r="X182" s="10">
        <v>492.617815971418</v>
      </c>
      <c r="Z182" s="10">
        <v>2008</v>
      </c>
      <c r="AA182" s="10">
        <v>1</v>
      </c>
      <c r="AB182" s="10">
        <v>493.33184526073501</v>
      </c>
    </row>
    <row r="183" spans="1:28" x14ac:dyDescent="0.25">
      <c r="A183" s="8">
        <v>2008</v>
      </c>
      <c r="B183" s="8">
        <v>2</v>
      </c>
      <c r="C183" s="10">
        <v>450.11632105825299</v>
      </c>
      <c r="F183" s="8">
        <v>2008</v>
      </c>
      <c r="G183" s="8">
        <v>2</v>
      </c>
      <c r="H183" s="10">
        <v>442.31134750471603</v>
      </c>
      <c r="J183" s="10">
        <v>2008</v>
      </c>
      <c r="K183" s="10">
        <v>2</v>
      </c>
      <c r="L183" s="10">
        <v>438.998238358278</v>
      </c>
      <c r="N183" s="10">
        <v>2008</v>
      </c>
      <c r="O183" s="10">
        <v>2</v>
      </c>
      <c r="P183" s="10">
        <v>439.00078432526698</v>
      </c>
      <c r="R183" s="10">
        <v>2008</v>
      </c>
      <c r="S183" s="10">
        <v>2</v>
      </c>
      <c r="T183" s="10">
        <v>439.15509263937901</v>
      </c>
      <c r="V183" s="10">
        <v>2008</v>
      </c>
      <c r="W183" s="10">
        <v>2</v>
      </c>
      <c r="X183" s="10">
        <v>440.64869117804199</v>
      </c>
      <c r="Z183" s="10">
        <v>2008</v>
      </c>
      <c r="AA183" s="10">
        <v>2</v>
      </c>
      <c r="AB183" s="10">
        <v>440.20480767045001</v>
      </c>
    </row>
    <row r="184" spans="1:28" x14ac:dyDescent="0.25">
      <c r="A184" s="8">
        <v>2008</v>
      </c>
      <c r="B184" s="8">
        <v>3</v>
      </c>
      <c r="C184" s="10">
        <v>488.66451441366502</v>
      </c>
      <c r="F184" s="8">
        <v>2008</v>
      </c>
      <c r="G184" s="8">
        <v>3</v>
      </c>
      <c r="H184" s="10">
        <v>488.65172532479897</v>
      </c>
      <c r="J184" s="10">
        <v>2008</v>
      </c>
      <c r="K184" s="10">
        <v>3</v>
      </c>
      <c r="L184" s="10">
        <v>489.12578961235897</v>
      </c>
      <c r="N184" s="10">
        <v>2008</v>
      </c>
      <c r="O184" s="10">
        <v>3</v>
      </c>
      <c r="P184" s="10">
        <v>489.05289237585401</v>
      </c>
      <c r="R184" s="10">
        <v>2008</v>
      </c>
      <c r="S184" s="10">
        <v>3</v>
      </c>
      <c r="T184" s="10">
        <v>489.16047944347002</v>
      </c>
      <c r="V184" s="10">
        <v>2008</v>
      </c>
      <c r="W184" s="10">
        <v>3</v>
      </c>
      <c r="X184" s="10">
        <v>489.05996686472599</v>
      </c>
      <c r="Z184" s="10">
        <v>2008</v>
      </c>
      <c r="AA184" s="10">
        <v>3</v>
      </c>
      <c r="AB184" s="10">
        <v>488.525575119275</v>
      </c>
    </row>
    <row r="185" spans="1:28" x14ac:dyDescent="0.25">
      <c r="A185" s="8">
        <v>2008</v>
      </c>
      <c r="B185" s="8">
        <v>4</v>
      </c>
      <c r="C185" s="10">
        <v>495.91010379744898</v>
      </c>
      <c r="F185" s="8">
        <v>2008</v>
      </c>
      <c r="G185" s="8">
        <v>4</v>
      </c>
      <c r="H185" s="10">
        <v>496.21103528328001</v>
      </c>
      <c r="J185" s="10">
        <v>2008</v>
      </c>
      <c r="K185" s="10">
        <v>4</v>
      </c>
      <c r="L185" s="10">
        <v>496.162498317504</v>
      </c>
      <c r="N185" s="10">
        <v>2008</v>
      </c>
      <c r="O185" s="10">
        <v>4</v>
      </c>
      <c r="P185" s="10">
        <v>496.17778330432799</v>
      </c>
      <c r="R185" s="10">
        <v>2008</v>
      </c>
      <c r="S185" s="10">
        <v>4</v>
      </c>
      <c r="T185" s="10">
        <v>496.10293645588803</v>
      </c>
      <c r="V185" s="10">
        <v>2008</v>
      </c>
      <c r="W185" s="10">
        <v>4</v>
      </c>
      <c r="X185" s="10">
        <v>495.98691453560599</v>
      </c>
      <c r="Z185" s="10">
        <v>2008</v>
      </c>
      <c r="AA185" s="10">
        <v>4</v>
      </c>
      <c r="AB185" s="10">
        <v>496.29666916695101</v>
      </c>
    </row>
    <row r="186" spans="1:28" x14ac:dyDescent="0.25">
      <c r="A186" s="8">
        <v>2008</v>
      </c>
      <c r="B186" s="8">
        <v>5</v>
      </c>
      <c r="C186" s="10">
        <v>497.09282440804799</v>
      </c>
      <c r="F186" s="8">
        <v>2008</v>
      </c>
      <c r="G186" s="8">
        <v>5</v>
      </c>
      <c r="H186" s="10">
        <v>497.45681824181202</v>
      </c>
      <c r="J186" s="10">
        <v>2008</v>
      </c>
      <c r="K186" s="10">
        <v>5</v>
      </c>
      <c r="L186" s="10">
        <v>496.90848569598899</v>
      </c>
      <c r="N186" s="10">
        <v>2008</v>
      </c>
      <c r="O186" s="10">
        <v>5</v>
      </c>
      <c r="P186" s="10">
        <v>496.87937432556402</v>
      </c>
      <c r="R186" s="10">
        <v>2008</v>
      </c>
      <c r="S186" s="10">
        <v>5</v>
      </c>
      <c r="T186" s="10">
        <v>496.91219567908797</v>
      </c>
      <c r="V186" s="10">
        <v>2008</v>
      </c>
      <c r="W186" s="10">
        <v>5</v>
      </c>
      <c r="X186" s="10">
        <v>497.58082889589599</v>
      </c>
      <c r="Z186" s="10">
        <v>2008</v>
      </c>
      <c r="AA186" s="10">
        <v>5</v>
      </c>
      <c r="AB186" s="10">
        <v>497.40260783301699</v>
      </c>
    </row>
    <row r="187" spans="1:28" x14ac:dyDescent="0.25">
      <c r="A187" s="8">
        <v>2008</v>
      </c>
      <c r="B187" s="8">
        <v>6</v>
      </c>
      <c r="C187" s="10">
        <v>494.994078193836</v>
      </c>
      <c r="F187" s="8">
        <v>2008</v>
      </c>
      <c r="G187" s="8">
        <v>6</v>
      </c>
      <c r="H187" s="10">
        <v>495.06219092617101</v>
      </c>
      <c r="J187" s="10">
        <v>2008</v>
      </c>
      <c r="K187" s="10">
        <v>6</v>
      </c>
      <c r="L187" s="10">
        <v>495.25795080014899</v>
      </c>
      <c r="N187" s="10">
        <v>2008</v>
      </c>
      <c r="O187" s="10">
        <v>6</v>
      </c>
      <c r="P187" s="10">
        <v>495.22952400314398</v>
      </c>
      <c r="R187" s="10">
        <v>2008</v>
      </c>
      <c r="S187" s="10">
        <v>6</v>
      </c>
      <c r="T187" s="10">
        <v>495.29727327994601</v>
      </c>
      <c r="V187" s="10">
        <v>2008</v>
      </c>
      <c r="W187" s="10">
        <v>6</v>
      </c>
      <c r="X187" s="10">
        <v>495.22658543477098</v>
      </c>
      <c r="Z187" s="10">
        <v>2008</v>
      </c>
      <c r="AA187" s="10">
        <v>6</v>
      </c>
      <c r="AB187" s="10">
        <v>495.05947705787401</v>
      </c>
    </row>
    <row r="188" spans="1:28" x14ac:dyDescent="0.25">
      <c r="A188" s="8">
        <v>2008</v>
      </c>
      <c r="B188" s="8">
        <v>7</v>
      </c>
      <c r="C188" s="10">
        <v>508.94278869887302</v>
      </c>
      <c r="F188" s="8">
        <v>2008</v>
      </c>
      <c r="G188" s="8">
        <v>7</v>
      </c>
      <c r="H188" s="10">
        <v>508.99045051115399</v>
      </c>
      <c r="J188" s="10">
        <v>2008</v>
      </c>
      <c r="K188" s="10">
        <v>7</v>
      </c>
      <c r="L188" s="10">
        <v>508.695113326034</v>
      </c>
      <c r="N188" s="10">
        <v>2008</v>
      </c>
      <c r="O188" s="10">
        <v>7</v>
      </c>
      <c r="P188" s="10">
        <v>508.72337824822802</v>
      </c>
      <c r="R188" s="10">
        <v>2008</v>
      </c>
      <c r="S188" s="10">
        <v>7</v>
      </c>
      <c r="T188" s="10">
        <v>508.64053637981101</v>
      </c>
      <c r="V188" s="10">
        <v>2008</v>
      </c>
      <c r="W188" s="10">
        <v>7</v>
      </c>
      <c r="X188" s="10">
        <v>508.56687024645902</v>
      </c>
      <c r="Z188" s="10">
        <v>2008</v>
      </c>
      <c r="AA188" s="10">
        <v>7</v>
      </c>
      <c r="AB188" s="10">
        <v>509.08139810426098</v>
      </c>
    </row>
    <row r="189" spans="1:28" x14ac:dyDescent="0.25">
      <c r="A189" s="8">
        <v>2008</v>
      </c>
      <c r="B189" s="8">
        <v>8</v>
      </c>
      <c r="C189" s="10">
        <v>496.268376341156</v>
      </c>
      <c r="F189" s="8">
        <v>2008</v>
      </c>
      <c r="G189" s="8">
        <v>8</v>
      </c>
      <c r="H189" s="10">
        <v>496.20045664842303</v>
      </c>
      <c r="J189" s="10">
        <v>2008</v>
      </c>
      <c r="K189" s="10">
        <v>8</v>
      </c>
      <c r="L189" s="10">
        <v>496.51545001452803</v>
      </c>
      <c r="N189" s="10">
        <v>2008</v>
      </c>
      <c r="O189" s="10">
        <v>8</v>
      </c>
      <c r="P189" s="10">
        <v>496.47355686030301</v>
      </c>
      <c r="R189" s="10">
        <v>2008</v>
      </c>
      <c r="S189" s="10">
        <v>8</v>
      </c>
      <c r="T189" s="10">
        <v>496.61375703599299</v>
      </c>
      <c r="V189" s="10">
        <v>2008</v>
      </c>
      <c r="W189" s="10">
        <v>8</v>
      </c>
      <c r="X189" s="10">
        <v>496.55544875089799</v>
      </c>
      <c r="Z189" s="10">
        <v>2008</v>
      </c>
      <c r="AA189" s="10">
        <v>8</v>
      </c>
      <c r="AB189" s="10">
        <v>496.266585608046</v>
      </c>
    </row>
    <row r="190" spans="1:28" x14ac:dyDescent="0.25">
      <c r="A190" s="8">
        <v>2008</v>
      </c>
      <c r="B190" s="8">
        <v>9</v>
      </c>
      <c r="C190" s="10">
        <v>474.71907930214599</v>
      </c>
      <c r="F190" s="8">
        <v>2008</v>
      </c>
      <c r="G190" s="8">
        <v>9</v>
      </c>
      <c r="H190" s="10">
        <v>474.67285527578298</v>
      </c>
      <c r="J190" s="10">
        <v>2008</v>
      </c>
      <c r="K190" s="10">
        <v>9</v>
      </c>
      <c r="L190" s="10">
        <v>474.54702781324102</v>
      </c>
      <c r="N190" s="10">
        <v>2008</v>
      </c>
      <c r="O190" s="10">
        <v>9</v>
      </c>
      <c r="P190" s="10">
        <v>474.576748376669</v>
      </c>
      <c r="R190" s="10">
        <v>2008</v>
      </c>
      <c r="S190" s="10">
        <v>9</v>
      </c>
      <c r="T190" s="10">
        <v>474.56494231472999</v>
      </c>
      <c r="V190" s="10">
        <v>2008</v>
      </c>
      <c r="W190" s="10">
        <v>9</v>
      </c>
      <c r="X190" s="10">
        <v>474.51479426837801</v>
      </c>
      <c r="Z190" s="10">
        <v>2008</v>
      </c>
      <c r="AA190" s="10">
        <v>9</v>
      </c>
      <c r="AB190" s="10">
        <v>474.99810625886403</v>
      </c>
    </row>
    <row r="191" spans="1:28" x14ac:dyDescent="0.25">
      <c r="A191" s="8">
        <v>2008</v>
      </c>
      <c r="B191" s="8">
        <v>10</v>
      </c>
      <c r="C191" s="10">
        <v>445.99539355244099</v>
      </c>
      <c r="F191" s="8">
        <v>2008</v>
      </c>
      <c r="G191" s="8">
        <v>10</v>
      </c>
      <c r="H191" s="10">
        <v>445.87042241359802</v>
      </c>
      <c r="J191" s="10">
        <v>2008</v>
      </c>
      <c r="K191" s="10">
        <v>10</v>
      </c>
      <c r="L191" s="10">
        <v>445.793508584351</v>
      </c>
      <c r="N191" s="10">
        <v>2008</v>
      </c>
      <c r="O191" s="10">
        <v>10</v>
      </c>
      <c r="P191" s="10">
        <v>445.83773639673598</v>
      </c>
      <c r="R191" s="10">
        <v>2008</v>
      </c>
      <c r="S191" s="10">
        <v>10</v>
      </c>
      <c r="T191" s="10">
        <v>445.83748724518699</v>
      </c>
      <c r="V191" s="10">
        <v>2008</v>
      </c>
      <c r="W191" s="10">
        <v>10</v>
      </c>
      <c r="X191" s="10">
        <v>445.78743342954101</v>
      </c>
      <c r="Z191" s="10">
        <v>2008</v>
      </c>
      <c r="AA191" s="10">
        <v>10</v>
      </c>
      <c r="AB191" s="10">
        <v>446.37058892698201</v>
      </c>
    </row>
    <row r="192" spans="1:28" x14ac:dyDescent="0.25">
      <c r="A192" s="8">
        <v>2008</v>
      </c>
      <c r="B192" s="8">
        <v>11</v>
      </c>
      <c r="C192" s="10">
        <v>383.007118555045</v>
      </c>
      <c r="F192" s="8">
        <v>2008</v>
      </c>
      <c r="G192" s="8">
        <v>11</v>
      </c>
      <c r="H192" s="10">
        <v>382.58779754950802</v>
      </c>
      <c r="J192" s="10">
        <v>2008</v>
      </c>
      <c r="K192" s="10">
        <v>11</v>
      </c>
      <c r="L192" s="10">
        <v>383.05936197481799</v>
      </c>
      <c r="N192" s="10">
        <v>2008</v>
      </c>
      <c r="O192" s="10">
        <v>11</v>
      </c>
      <c r="P192" s="10">
        <v>382.98853606280898</v>
      </c>
      <c r="R192" s="10">
        <v>2008</v>
      </c>
      <c r="S192" s="10">
        <v>11</v>
      </c>
      <c r="T192" s="10">
        <v>383.17633523065001</v>
      </c>
      <c r="V192" s="10">
        <v>2008</v>
      </c>
      <c r="W192" s="10">
        <v>11</v>
      </c>
      <c r="X192" s="10">
        <v>383.12280565555398</v>
      </c>
      <c r="Z192" s="10">
        <v>2008</v>
      </c>
      <c r="AA192" s="10">
        <v>11</v>
      </c>
      <c r="AB192" s="10">
        <v>382.560982059683</v>
      </c>
    </row>
    <row r="193" spans="1:28" x14ac:dyDescent="0.25">
      <c r="A193" s="8">
        <v>2008</v>
      </c>
      <c r="B193" s="8">
        <v>12</v>
      </c>
      <c r="C193" s="10">
        <v>290.072126982052</v>
      </c>
      <c r="F193" s="8">
        <v>2008</v>
      </c>
      <c r="G193" s="8">
        <v>12</v>
      </c>
      <c r="H193" s="10">
        <v>290.75710134119299</v>
      </c>
      <c r="J193" s="10">
        <v>2008</v>
      </c>
      <c r="K193" s="10">
        <v>12</v>
      </c>
      <c r="L193" s="10">
        <v>291.067608393591</v>
      </c>
      <c r="N193" s="10">
        <v>2008</v>
      </c>
      <c r="O193" s="10">
        <v>12</v>
      </c>
      <c r="P193" s="10">
        <v>291.134138665742</v>
      </c>
      <c r="R193" s="10">
        <v>2008</v>
      </c>
      <c r="S193" s="10">
        <v>12</v>
      </c>
      <c r="T193" s="10">
        <v>290.93488652631203</v>
      </c>
      <c r="V193" s="10">
        <v>2008</v>
      </c>
      <c r="W193" s="10">
        <v>12</v>
      </c>
      <c r="X193" s="10">
        <v>290.74607400579498</v>
      </c>
      <c r="Z193" s="10">
        <v>2008</v>
      </c>
      <c r="AA193" s="10">
        <v>12</v>
      </c>
      <c r="AB193" s="10">
        <v>290.194797778355</v>
      </c>
    </row>
    <row r="194" spans="1:28" x14ac:dyDescent="0.25">
      <c r="A194" s="8">
        <v>2009</v>
      </c>
      <c r="B194" s="8">
        <v>1</v>
      </c>
      <c r="C194" s="10">
        <v>362.91900002196201</v>
      </c>
      <c r="F194" s="8">
        <v>2009</v>
      </c>
      <c r="G194" s="8">
        <v>1</v>
      </c>
      <c r="H194" s="10">
        <v>362.68202362608099</v>
      </c>
      <c r="J194" s="10">
        <v>2009</v>
      </c>
      <c r="K194" s="10">
        <v>1</v>
      </c>
      <c r="L194" s="10">
        <v>362.63309622008398</v>
      </c>
      <c r="N194" s="10">
        <v>2009</v>
      </c>
      <c r="O194" s="10">
        <v>1</v>
      </c>
      <c r="P194" s="10">
        <v>362.67170921527497</v>
      </c>
      <c r="R194" s="10">
        <v>2009</v>
      </c>
      <c r="S194" s="10">
        <v>1</v>
      </c>
      <c r="T194" s="10">
        <v>362.58321304121398</v>
      </c>
      <c r="V194" s="10">
        <v>2009</v>
      </c>
      <c r="W194" s="10">
        <v>1</v>
      </c>
      <c r="X194" s="10">
        <v>362.49873595242201</v>
      </c>
      <c r="Z194" s="10">
        <v>2009</v>
      </c>
      <c r="AA194" s="10">
        <v>1</v>
      </c>
      <c r="AB194" s="10">
        <v>362.75148545793502</v>
      </c>
    </row>
    <row r="195" spans="1:28" x14ac:dyDescent="0.25">
      <c r="A195" s="8">
        <v>2009</v>
      </c>
      <c r="B195" s="8">
        <v>2</v>
      </c>
      <c r="C195" s="10">
        <v>291.09422157460898</v>
      </c>
      <c r="F195" s="8">
        <v>2009</v>
      </c>
      <c r="G195" s="8">
        <v>2</v>
      </c>
      <c r="H195" s="10">
        <v>292.73198693735401</v>
      </c>
      <c r="J195" s="10">
        <v>2009</v>
      </c>
      <c r="K195" s="10">
        <v>2</v>
      </c>
      <c r="L195" s="10">
        <v>293.44217428592702</v>
      </c>
      <c r="N195" s="10">
        <v>2009</v>
      </c>
      <c r="O195" s="10">
        <v>2</v>
      </c>
      <c r="P195" s="10">
        <v>293.43256483409698</v>
      </c>
      <c r="R195" s="10">
        <v>2009</v>
      </c>
      <c r="S195" s="10">
        <v>2</v>
      </c>
      <c r="T195" s="10">
        <v>293.363598697768</v>
      </c>
      <c r="V195" s="10">
        <v>2009</v>
      </c>
      <c r="W195" s="10">
        <v>2</v>
      </c>
      <c r="X195" s="10">
        <v>293.01426786323998</v>
      </c>
      <c r="Z195" s="10">
        <v>2009</v>
      </c>
      <c r="AA195" s="10">
        <v>2</v>
      </c>
      <c r="AB195" s="10">
        <v>293.02946996137598</v>
      </c>
    </row>
    <row r="196" spans="1:28" x14ac:dyDescent="0.25">
      <c r="A196" s="8">
        <v>2009</v>
      </c>
      <c r="B196" s="8">
        <v>3</v>
      </c>
      <c r="C196" s="10">
        <v>239.908714469388</v>
      </c>
      <c r="F196" s="8">
        <v>2009</v>
      </c>
      <c r="G196" s="8">
        <v>3</v>
      </c>
      <c r="H196" s="10">
        <v>239.849194826055</v>
      </c>
      <c r="J196" s="10">
        <v>2009</v>
      </c>
      <c r="K196" s="10">
        <v>3</v>
      </c>
      <c r="L196" s="10">
        <v>239.99918041972799</v>
      </c>
      <c r="N196" s="10">
        <v>2009</v>
      </c>
      <c r="O196" s="10">
        <v>3</v>
      </c>
      <c r="P196" s="10">
        <v>239.97118051841201</v>
      </c>
      <c r="R196" s="10">
        <v>2009</v>
      </c>
      <c r="S196" s="10">
        <v>3</v>
      </c>
      <c r="T196" s="10">
        <v>239.975564480912</v>
      </c>
      <c r="V196" s="10">
        <v>2009</v>
      </c>
      <c r="W196" s="10">
        <v>3</v>
      </c>
      <c r="X196" s="10">
        <v>239.90294214602201</v>
      </c>
      <c r="Z196" s="10">
        <v>2009</v>
      </c>
      <c r="AA196" s="10">
        <v>3</v>
      </c>
      <c r="AB196" s="10">
        <v>239.80305199457499</v>
      </c>
    </row>
    <row r="197" spans="1:28" x14ac:dyDescent="0.25">
      <c r="A197" s="8">
        <v>2009</v>
      </c>
      <c r="B197" s="8">
        <v>4</v>
      </c>
      <c r="C197" s="10">
        <v>274.345286968577</v>
      </c>
      <c r="F197" s="8">
        <v>2009</v>
      </c>
      <c r="G197" s="8">
        <v>4</v>
      </c>
      <c r="H197" s="10">
        <v>274.60112006968302</v>
      </c>
      <c r="J197" s="10">
        <v>2009</v>
      </c>
      <c r="K197" s="10">
        <v>4</v>
      </c>
      <c r="L197" s="10">
        <v>274.52416020677498</v>
      </c>
      <c r="N197" s="10">
        <v>2009</v>
      </c>
      <c r="O197" s="10">
        <v>4</v>
      </c>
      <c r="P197" s="10">
        <v>274.53295384990599</v>
      </c>
      <c r="R197" s="10">
        <v>2009</v>
      </c>
      <c r="S197" s="10">
        <v>4</v>
      </c>
      <c r="T197" s="10">
        <v>274.47147606747001</v>
      </c>
      <c r="V197" s="10">
        <v>2009</v>
      </c>
      <c r="W197" s="10">
        <v>4</v>
      </c>
      <c r="X197" s="10">
        <v>274.397061321367</v>
      </c>
      <c r="Z197" s="10">
        <v>2009</v>
      </c>
      <c r="AA197" s="10">
        <v>4</v>
      </c>
      <c r="AB197" s="10">
        <v>274.63487227199198</v>
      </c>
    </row>
    <row r="198" spans="1:28" x14ac:dyDescent="0.25">
      <c r="A198" s="8">
        <v>2009</v>
      </c>
      <c r="B198" s="8">
        <v>5</v>
      </c>
      <c r="C198" s="10">
        <v>266.47625754833501</v>
      </c>
      <c r="F198" s="8">
        <v>2009</v>
      </c>
      <c r="G198" s="8">
        <v>5</v>
      </c>
      <c r="H198" s="10">
        <v>266.84016683594001</v>
      </c>
      <c r="J198" s="10">
        <v>2009</v>
      </c>
      <c r="K198" s="10">
        <v>5</v>
      </c>
      <c r="L198" s="10">
        <v>266.48552652327402</v>
      </c>
      <c r="N198" s="10">
        <v>2009</v>
      </c>
      <c r="O198" s="10">
        <v>5</v>
      </c>
      <c r="P198" s="10">
        <v>266.41400124457903</v>
      </c>
      <c r="R198" s="10">
        <v>2009</v>
      </c>
      <c r="S198" s="10">
        <v>5</v>
      </c>
      <c r="T198" s="10">
        <v>266.53616475354198</v>
      </c>
      <c r="V198" s="10">
        <v>2009</v>
      </c>
      <c r="W198" s="10">
        <v>5</v>
      </c>
      <c r="X198" s="10">
        <v>267.22371209110003</v>
      </c>
      <c r="Z198" s="10">
        <v>2009</v>
      </c>
      <c r="AA198" s="10">
        <v>5</v>
      </c>
      <c r="AB198" s="10">
        <v>266.64348064530401</v>
      </c>
    </row>
    <row r="199" spans="1:28" x14ac:dyDescent="0.25">
      <c r="A199" s="8">
        <v>2009</v>
      </c>
      <c r="B199" s="8">
        <v>6</v>
      </c>
      <c r="C199" s="10">
        <v>314.26568434256598</v>
      </c>
      <c r="F199" s="8">
        <v>2009</v>
      </c>
      <c r="G199" s="8">
        <v>6</v>
      </c>
      <c r="H199" s="10">
        <v>314.65555605469899</v>
      </c>
      <c r="J199" s="10">
        <v>2009</v>
      </c>
      <c r="K199" s="10">
        <v>6</v>
      </c>
      <c r="L199" s="10">
        <v>314.51196629175303</v>
      </c>
      <c r="N199" s="10">
        <v>2009</v>
      </c>
      <c r="O199" s="10">
        <v>6</v>
      </c>
      <c r="P199" s="10">
        <v>314.52266057675303</v>
      </c>
      <c r="R199" s="10">
        <v>2009</v>
      </c>
      <c r="S199" s="10">
        <v>6</v>
      </c>
      <c r="T199" s="10">
        <v>314.48488521072699</v>
      </c>
      <c r="V199" s="10">
        <v>2009</v>
      </c>
      <c r="W199" s="10">
        <v>6</v>
      </c>
      <c r="X199" s="10">
        <v>314.44262634285502</v>
      </c>
      <c r="Z199" s="10">
        <v>2009</v>
      </c>
      <c r="AA199" s="10">
        <v>6</v>
      </c>
      <c r="AB199" s="10">
        <v>314.67683121600101</v>
      </c>
    </row>
    <row r="200" spans="1:28" x14ac:dyDescent="0.25">
      <c r="A200" s="8">
        <v>2009</v>
      </c>
      <c r="B200" s="8">
        <v>7</v>
      </c>
      <c r="C200" s="10">
        <v>336.39648587845397</v>
      </c>
      <c r="F200" s="8">
        <v>2009</v>
      </c>
      <c r="G200" s="8">
        <v>7</v>
      </c>
      <c r="H200" s="10">
        <v>336.526333888355</v>
      </c>
      <c r="J200" s="10">
        <v>2009</v>
      </c>
      <c r="K200" s="10">
        <v>7</v>
      </c>
      <c r="L200" s="10">
        <v>336.11778043701503</v>
      </c>
      <c r="N200" s="10">
        <v>2009</v>
      </c>
      <c r="O200" s="10">
        <v>7</v>
      </c>
      <c r="P200" s="10">
        <v>336.14669681793202</v>
      </c>
      <c r="R200" s="10">
        <v>2009</v>
      </c>
      <c r="S200" s="10">
        <v>7</v>
      </c>
      <c r="T200" s="10">
        <v>336.07506371137498</v>
      </c>
      <c r="V200" s="10">
        <v>2009</v>
      </c>
      <c r="W200" s="10">
        <v>7</v>
      </c>
      <c r="X200" s="10">
        <v>336.08896227493398</v>
      </c>
      <c r="Z200" s="10">
        <v>2009</v>
      </c>
      <c r="AA200" s="10">
        <v>7</v>
      </c>
      <c r="AB200" s="10">
        <v>336.56246926166301</v>
      </c>
    </row>
    <row r="201" spans="1:28" x14ac:dyDescent="0.25">
      <c r="A201" s="8">
        <v>2009</v>
      </c>
      <c r="B201" s="8">
        <v>8</v>
      </c>
      <c r="C201" s="10">
        <v>340.91980920172699</v>
      </c>
      <c r="F201" s="8">
        <v>2009</v>
      </c>
      <c r="G201" s="8">
        <v>8</v>
      </c>
      <c r="H201" s="10">
        <v>340.86561750422402</v>
      </c>
      <c r="J201" s="10">
        <v>2009</v>
      </c>
      <c r="K201" s="10">
        <v>8</v>
      </c>
      <c r="L201" s="10">
        <v>341.09528219255401</v>
      </c>
      <c r="N201" s="10">
        <v>2009</v>
      </c>
      <c r="O201" s="10">
        <v>8</v>
      </c>
      <c r="P201" s="10">
        <v>341.06425503474401</v>
      </c>
      <c r="R201" s="10">
        <v>2009</v>
      </c>
      <c r="S201" s="10">
        <v>8</v>
      </c>
      <c r="T201" s="10">
        <v>341.190454541723</v>
      </c>
      <c r="V201" s="10">
        <v>2009</v>
      </c>
      <c r="W201" s="10">
        <v>8</v>
      </c>
      <c r="X201" s="10">
        <v>341.16101110466502</v>
      </c>
      <c r="Z201" s="10">
        <v>2009</v>
      </c>
      <c r="AA201" s="10">
        <v>8</v>
      </c>
      <c r="AB201" s="10">
        <v>340.88424657061103</v>
      </c>
    </row>
    <row r="202" spans="1:28" x14ac:dyDescent="0.25">
      <c r="A202" s="8">
        <v>2009</v>
      </c>
      <c r="B202" s="8">
        <v>9</v>
      </c>
      <c r="C202" s="10">
        <v>373.59208497993097</v>
      </c>
      <c r="F202" s="8">
        <v>2009</v>
      </c>
      <c r="G202" s="8">
        <v>9</v>
      </c>
      <c r="H202" s="10">
        <v>373.55469274661601</v>
      </c>
      <c r="J202" s="10">
        <v>2009</v>
      </c>
      <c r="K202" s="10">
        <v>9</v>
      </c>
      <c r="L202" s="10">
        <v>373.60323834851903</v>
      </c>
      <c r="N202" s="10">
        <v>2009</v>
      </c>
      <c r="O202" s="10">
        <v>9</v>
      </c>
      <c r="P202" s="10">
        <v>373.621954391521</v>
      </c>
      <c r="R202" s="10">
        <v>2009</v>
      </c>
      <c r="S202" s="10">
        <v>9</v>
      </c>
      <c r="T202" s="10">
        <v>373.645830662577</v>
      </c>
      <c r="V202" s="10">
        <v>2009</v>
      </c>
      <c r="W202" s="10">
        <v>9</v>
      </c>
      <c r="X202" s="10">
        <v>373.41656022216102</v>
      </c>
      <c r="Z202" s="10">
        <v>2009</v>
      </c>
      <c r="AA202" s="10">
        <v>9</v>
      </c>
      <c r="AB202" s="10">
        <v>373.83471609214803</v>
      </c>
    </row>
    <row r="203" spans="1:28" x14ac:dyDescent="0.25">
      <c r="A203" s="8">
        <v>2009</v>
      </c>
      <c r="B203" s="8">
        <v>10</v>
      </c>
      <c r="C203" s="10">
        <v>393.783173727389</v>
      </c>
      <c r="F203" s="8">
        <v>2009</v>
      </c>
      <c r="G203" s="8">
        <v>10</v>
      </c>
      <c r="H203" s="10">
        <v>393.56182285970101</v>
      </c>
      <c r="J203" s="10">
        <v>2009</v>
      </c>
      <c r="K203" s="10">
        <v>10</v>
      </c>
      <c r="L203" s="10">
        <v>393.643521411172</v>
      </c>
      <c r="N203" s="10">
        <v>2009</v>
      </c>
      <c r="O203" s="10">
        <v>10</v>
      </c>
      <c r="P203" s="10">
        <v>393.66131567739302</v>
      </c>
      <c r="R203" s="10">
        <v>2009</v>
      </c>
      <c r="S203" s="10">
        <v>10</v>
      </c>
      <c r="T203" s="10">
        <v>393.72301451143699</v>
      </c>
      <c r="V203" s="10">
        <v>2009</v>
      </c>
      <c r="W203" s="10">
        <v>10</v>
      </c>
      <c r="X203" s="10">
        <v>393.679792016661</v>
      </c>
      <c r="Z203" s="10">
        <v>2009</v>
      </c>
      <c r="AA203" s="10">
        <v>10</v>
      </c>
      <c r="AB203" s="10">
        <v>393.94629231098298</v>
      </c>
    </row>
    <row r="204" spans="1:28" x14ac:dyDescent="0.25">
      <c r="A204" s="8">
        <v>2009</v>
      </c>
      <c r="B204" s="8">
        <v>11</v>
      </c>
      <c r="C204" s="10">
        <v>403.85257809046698</v>
      </c>
      <c r="F204" s="8">
        <v>2009</v>
      </c>
      <c r="G204" s="8">
        <v>11</v>
      </c>
      <c r="H204" s="10">
        <v>403.47755404376102</v>
      </c>
      <c r="J204" s="10">
        <v>2009</v>
      </c>
      <c r="K204" s="10">
        <v>11</v>
      </c>
      <c r="L204" s="10">
        <v>403.71371628417802</v>
      </c>
      <c r="N204" s="10">
        <v>2009</v>
      </c>
      <c r="O204" s="10">
        <v>11</v>
      </c>
      <c r="P204" s="10">
        <v>403.69325020353199</v>
      </c>
      <c r="R204" s="10">
        <v>2009</v>
      </c>
      <c r="S204" s="10">
        <v>11</v>
      </c>
      <c r="T204" s="10">
        <v>403.77099912467099</v>
      </c>
      <c r="V204" s="10">
        <v>2009</v>
      </c>
      <c r="W204" s="10">
        <v>11</v>
      </c>
      <c r="X204" s="10">
        <v>403.73028919058402</v>
      </c>
      <c r="Z204" s="10">
        <v>2009</v>
      </c>
      <c r="AA204" s="10">
        <v>11</v>
      </c>
      <c r="AB204" s="10">
        <v>403.53697940011398</v>
      </c>
    </row>
    <row r="205" spans="1:28" x14ac:dyDescent="0.25">
      <c r="A205" s="8">
        <v>2009</v>
      </c>
      <c r="B205" s="8">
        <v>12</v>
      </c>
      <c r="C205" s="10">
        <v>416.92985561391703</v>
      </c>
      <c r="F205" s="8">
        <v>2009</v>
      </c>
      <c r="G205" s="8">
        <v>12</v>
      </c>
      <c r="H205" s="10">
        <v>417.03321004930899</v>
      </c>
      <c r="J205" s="10">
        <v>2009</v>
      </c>
      <c r="K205" s="10">
        <v>12</v>
      </c>
      <c r="L205" s="10">
        <v>417.23760726852299</v>
      </c>
      <c r="N205" s="10">
        <v>2009</v>
      </c>
      <c r="O205" s="10">
        <v>12</v>
      </c>
      <c r="P205" s="10">
        <v>417.28164075184299</v>
      </c>
      <c r="R205" s="10">
        <v>2009</v>
      </c>
      <c r="S205" s="10">
        <v>12</v>
      </c>
      <c r="T205" s="10">
        <v>417.12206066910898</v>
      </c>
      <c r="V205" s="10">
        <v>2009</v>
      </c>
      <c r="W205" s="10">
        <v>12</v>
      </c>
      <c r="X205" s="10">
        <v>416.98756613031298</v>
      </c>
      <c r="Z205" s="10">
        <v>2009</v>
      </c>
      <c r="AA205" s="10">
        <v>12</v>
      </c>
      <c r="AB205" s="10">
        <v>416.573776372471</v>
      </c>
    </row>
    <row r="206" spans="1:28" x14ac:dyDescent="0.25">
      <c r="A206" s="8">
        <v>2010</v>
      </c>
      <c r="B206" s="8">
        <v>1</v>
      </c>
      <c r="C206" s="10">
        <v>416.88050741714301</v>
      </c>
      <c r="F206" s="8">
        <v>2010</v>
      </c>
      <c r="G206" s="8">
        <v>1</v>
      </c>
      <c r="H206" s="10">
        <v>416.311163784781</v>
      </c>
      <c r="J206" s="10">
        <v>2010</v>
      </c>
      <c r="K206" s="10">
        <v>1</v>
      </c>
      <c r="L206" s="10">
        <v>416.62296701677298</v>
      </c>
      <c r="N206" s="10">
        <v>2010</v>
      </c>
      <c r="O206" s="10">
        <v>1</v>
      </c>
      <c r="P206" s="10">
        <v>416.61573623756402</v>
      </c>
      <c r="R206" s="10">
        <v>2010</v>
      </c>
      <c r="S206" s="10">
        <v>1</v>
      </c>
      <c r="T206" s="10">
        <v>416.634694365413</v>
      </c>
      <c r="V206" s="10">
        <v>2010</v>
      </c>
      <c r="W206" s="10">
        <v>1</v>
      </c>
      <c r="X206" s="10">
        <v>416.57405451326701</v>
      </c>
      <c r="Z206" s="10">
        <v>2010</v>
      </c>
      <c r="AA206" s="10">
        <v>1</v>
      </c>
      <c r="AB206" s="10">
        <v>416.341697007439</v>
      </c>
    </row>
    <row r="207" spans="1:28" x14ac:dyDescent="0.25">
      <c r="A207" s="8">
        <v>2010</v>
      </c>
      <c r="B207" s="8">
        <v>2</v>
      </c>
      <c r="C207" s="10">
        <v>420.71419010922898</v>
      </c>
      <c r="F207" s="8">
        <v>2010</v>
      </c>
      <c r="G207" s="8">
        <v>2</v>
      </c>
      <c r="H207" s="10">
        <v>422.851962006679</v>
      </c>
      <c r="J207" s="10">
        <v>2010</v>
      </c>
      <c r="K207" s="10">
        <v>2</v>
      </c>
      <c r="L207" s="10">
        <v>423.91656248514403</v>
      </c>
      <c r="N207" s="10">
        <v>2010</v>
      </c>
      <c r="O207" s="10">
        <v>2</v>
      </c>
      <c r="P207" s="10">
        <v>423.91007930346098</v>
      </c>
      <c r="R207" s="10">
        <v>2010</v>
      </c>
      <c r="S207" s="10">
        <v>2</v>
      </c>
      <c r="T207" s="10">
        <v>423.82218269522002</v>
      </c>
      <c r="V207" s="10">
        <v>2010</v>
      </c>
      <c r="W207" s="10">
        <v>2</v>
      </c>
      <c r="X207" s="10">
        <v>423.35361928911999</v>
      </c>
      <c r="Z207" s="10">
        <v>2010</v>
      </c>
      <c r="AA207" s="10">
        <v>2</v>
      </c>
      <c r="AB207" s="10">
        <v>423.42566249719903</v>
      </c>
    </row>
    <row r="208" spans="1:28" x14ac:dyDescent="0.25">
      <c r="A208" s="8">
        <v>2010</v>
      </c>
      <c r="B208" s="8">
        <v>3</v>
      </c>
      <c r="C208" s="10">
        <v>425.57056435953501</v>
      </c>
      <c r="F208" s="8">
        <v>2010</v>
      </c>
      <c r="G208" s="8">
        <v>3</v>
      </c>
      <c r="H208" s="10">
        <v>425.41946588513798</v>
      </c>
      <c r="J208" s="10">
        <v>2010</v>
      </c>
      <c r="K208" s="10">
        <v>3</v>
      </c>
      <c r="L208" s="10">
        <v>425.36428490445502</v>
      </c>
      <c r="N208" s="10">
        <v>2010</v>
      </c>
      <c r="O208" s="10">
        <v>3</v>
      </c>
      <c r="P208" s="10">
        <v>425.38354250724802</v>
      </c>
      <c r="R208" s="10">
        <v>2010</v>
      </c>
      <c r="S208" s="10">
        <v>3</v>
      </c>
      <c r="T208" s="10">
        <v>425.28680299546801</v>
      </c>
      <c r="V208" s="10">
        <v>2010</v>
      </c>
      <c r="W208" s="10">
        <v>3</v>
      </c>
      <c r="X208" s="10">
        <v>425.20156390672099</v>
      </c>
      <c r="Z208" s="10">
        <v>2010</v>
      </c>
      <c r="AA208" s="10">
        <v>3</v>
      </c>
      <c r="AB208" s="10">
        <v>425.51639680752402</v>
      </c>
    </row>
    <row r="209" spans="1:28" x14ac:dyDescent="0.25">
      <c r="A209" s="8">
        <v>2010</v>
      </c>
      <c r="B209" s="8">
        <v>4</v>
      </c>
      <c r="C209" s="10">
        <v>422.83437000483798</v>
      </c>
      <c r="F209" s="8">
        <v>2010</v>
      </c>
      <c r="G209" s="8">
        <v>4</v>
      </c>
      <c r="H209" s="10">
        <v>422.89753600372802</v>
      </c>
      <c r="J209" s="10">
        <v>2010</v>
      </c>
      <c r="K209" s="10">
        <v>4</v>
      </c>
      <c r="L209" s="10">
        <v>422.96364365708803</v>
      </c>
      <c r="N209" s="10">
        <v>2010</v>
      </c>
      <c r="O209" s="10">
        <v>4</v>
      </c>
      <c r="P209" s="10">
        <v>422.975510893685</v>
      </c>
      <c r="R209" s="10">
        <v>2010</v>
      </c>
      <c r="S209" s="10">
        <v>4</v>
      </c>
      <c r="T209" s="10">
        <v>422.91137469176402</v>
      </c>
      <c r="V209" s="10">
        <v>2010</v>
      </c>
      <c r="W209" s="10">
        <v>4</v>
      </c>
      <c r="X209" s="10">
        <v>422.80991974600499</v>
      </c>
      <c r="Z209" s="10">
        <v>2010</v>
      </c>
      <c r="AA209" s="10">
        <v>4</v>
      </c>
      <c r="AB209" s="10">
        <v>423.05456561664602</v>
      </c>
    </row>
    <row r="210" spans="1:28" x14ac:dyDescent="0.25">
      <c r="A210" s="8">
        <v>2010</v>
      </c>
      <c r="B210" s="8">
        <v>5</v>
      </c>
      <c r="C210" s="10">
        <v>433.546532723621</v>
      </c>
      <c r="F210" s="8">
        <v>2010</v>
      </c>
      <c r="G210" s="8">
        <v>5</v>
      </c>
      <c r="H210" s="10">
        <v>433.77197857523203</v>
      </c>
      <c r="J210" s="10">
        <v>2010</v>
      </c>
      <c r="K210" s="10">
        <v>5</v>
      </c>
      <c r="L210" s="10">
        <v>433.603380999161</v>
      </c>
      <c r="N210" s="10">
        <v>2010</v>
      </c>
      <c r="O210" s="10">
        <v>5</v>
      </c>
      <c r="P210" s="10">
        <v>433.534580648055</v>
      </c>
      <c r="R210" s="10">
        <v>2010</v>
      </c>
      <c r="S210" s="10">
        <v>5</v>
      </c>
      <c r="T210" s="10">
        <v>433.64602681337198</v>
      </c>
      <c r="V210" s="10">
        <v>2010</v>
      </c>
      <c r="W210" s="10">
        <v>5</v>
      </c>
      <c r="X210" s="10">
        <v>434.26018664562798</v>
      </c>
      <c r="Z210" s="10">
        <v>2010</v>
      </c>
      <c r="AA210" s="10">
        <v>5</v>
      </c>
      <c r="AB210" s="10">
        <v>433.721912996654</v>
      </c>
    </row>
    <row r="211" spans="1:28" x14ac:dyDescent="0.25">
      <c r="A211" s="8">
        <v>2010</v>
      </c>
      <c r="B211" s="8">
        <v>6</v>
      </c>
      <c r="C211" s="10">
        <v>424.07804859134501</v>
      </c>
      <c r="F211" s="8">
        <v>2010</v>
      </c>
      <c r="G211" s="8">
        <v>6</v>
      </c>
      <c r="H211" s="10">
        <v>425.94035756570202</v>
      </c>
      <c r="J211" s="10">
        <v>2010</v>
      </c>
      <c r="K211" s="10">
        <v>6</v>
      </c>
      <c r="L211" s="10">
        <v>424.69417300630897</v>
      </c>
      <c r="N211" s="10">
        <v>2010</v>
      </c>
      <c r="O211" s="10">
        <v>6</v>
      </c>
      <c r="P211" s="10">
        <v>424.69012499226199</v>
      </c>
      <c r="R211" s="10">
        <v>2010</v>
      </c>
      <c r="S211" s="10">
        <v>6</v>
      </c>
      <c r="T211" s="10">
        <v>424.671970021954</v>
      </c>
      <c r="V211" s="10">
        <v>2010</v>
      </c>
      <c r="W211" s="10">
        <v>6</v>
      </c>
      <c r="X211" s="10">
        <v>424.95260626047201</v>
      </c>
      <c r="Z211" s="10">
        <v>2010</v>
      </c>
      <c r="AA211" s="10">
        <v>6</v>
      </c>
      <c r="AB211" s="10">
        <v>424.99278104819803</v>
      </c>
    </row>
    <row r="212" spans="1:28" x14ac:dyDescent="0.25">
      <c r="A212" s="8">
        <v>2010</v>
      </c>
      <c r="B212" s="8">
        <v>7</v>
      </c>
      <c r="C212" s="10">
        <v>419.90111936609298</v>
      </c>
      <c r="F212" s="8">
        <v>2010</v>
      </c>
      <c r="G212" s="8">
        <v>7</v>
      </c>
      <c r="H212" s="10">
        <v>419.733403882186</v>
      </c>
      <c r="J212" s="10">
        <v>2010</v>
      </c>
      <c r="K212" s="10">
        <v>7</v>
      </c>
      <c r="L212" s="10">
        <v>419.66890356598401</v>
      </c>
      <c r="N212" s="10">
        <v>2010</v>
      </c>
      <c r="O212" s="10">
        <v>7</v>
      </c>
      <c r="P212" s="10">
        <v>419.662238943087</v>
      </c>
      <c r="R212" s="10">
        <v>2010</v>
      </c>
      <c r="S212" s="10">
        <v>7</v>
      </c>
      <c r="T212" s="10">
        <v>419.68827674336802</v>
      </c>
      <c r="V212" s="10">
        <v>2010</v>
      </c>
      <c r="W212" s="10">
        <v>7</v>
      </c>
      <c r="X212" s="10">
        <v>419.72391789631502</v>
      </c>
      <c r="Z212" s="10">
        <v>2010</v>
      </c>
      <c r="AA212" s="10">
        <v>7</v>
      </c>
      <c r="AB212" s="10">
        <v>419.80342184610799</v>
      </c>
    </row>
    <row r="213" spans="1:28" x14ac:dyDescent="0.25">
      <c r="A213" s="8">
        <v>2010</v>
      </c>
      <c r="B213" s="8">
        <v>8</v>
      </c>
      <c r="C213" s="10">
        <v>443.24472637195697</v>
      </c>
      <c r="F213" s="8">
        <v>2010</v>
      </c>
      <c r="G213" s="8">
        <v>8</v>
      </c>
      <c r="H213" s="10">
        <v>443.11554307886502</v>
      </c>
      <c r="J213" s="10">
        <v>2010</v>
      </c>
      <c r="K213" s="10">
        <v>8</v>
      </c>
      <c r="L213" s="10">
        <v>443.14613250861402</v>
      </c>
      <c r="N213" s="10">
        <v>2010</v>
      </c>
      <c r="O213" s="10">
        <v>8</v>
      </c>
      <c r="P213" s="10">
        <v>443.165560489977</v>
      </c>
      <c r="R213" s="10">
        <v>2010</v>
      </c>
      <c r="S213" s="10">
        <v>8</v>
      </c>
      <c r="T213" s="10">
        <v>443.182714882732</v>
      </c>
      <c r="V213" s="10">
        <v>2010</v>
      </c>
      <c r="W213" s="10">
        <v>8</v>
      </c>
      <c r="X213" s="10">
        <v>443.13013952276299</v>
      </c>
      <c r="Z213" s="10">
        <v>2010</v>
      </c>
      <c r="AA213" s="10">
        <v>8</v>
      </c>
      <c r="AB213" s="10">
        <v>443.27900408652198</v>
      </c>
    </row>
    <row r="214" spans="1:28" x14ac:dyDescent="0.25">
      <c r="A214" s="8">
        <v>2010</v>
      </c>
      <c r="B214" s="8">
        <v>9</v>
      </c>
      <c r="C214" s="10">
        <v>432.46245381550398</v>
      </c>
      <c r="F214" s="8">
        <v>2010</v>
      </c>
      <c r="G214" s="8">
        <v>9</v>
      </c>
      <c r="H214" s="10">
        <v>432.315047699324</v>
      </c>
      <c r="J214" s="10">
        <v>2010</v>
      </c>
      <c r="K214" s="10">
        <v>9</v>
      </c>
      <c r="L214" s="10">
        <v>432.57413360823199</v>
      </c>
      <c r="N214" s="10">
        <v>2010</v>
      </c>
      <c r="O214" s="10">
        <v>9</v>
      </c>
      <c r="P214" s="10">
        <v>432.586022331077</v>
      </c>
      <c r="R214" s="10">
        <v>2010</v>
      </c>
      <c r="S214" s="10">
        <v>9</v>
      </c>
      <c r="T214" s="10">
        <v>432.62217817501897</v>
      </c>
      <c r="V214" s="10">
        <v>2010</v>
      </c>
      <c r="W214" s="10">
        <v>9</v>
      </c>
      <c r="X214" s="10">
        <v>432.19701782107597</v>
      </c>
      <c r="Z214" s="10">
        <v>2010</v>
      </c>
      <c r="AA214" s="10">
        <v>9</v>
      </c>
      <c r="AB214" s="10">
        <v>432.59512546639098</v>
      </c>
    </row>
    <row r="215" spans="1:28" x14ac:dyDescent="0.25">
      <c r="A215" s="8">
        <v>2010</v>
      </c>
      <c r="B215" s="8">
        <v>10</v>
      </c>
      <c r="C215" s="10">
        <v>430.58094630009998</v>
      </c>
      <c r="F215" s="8">
        <v>2010</v>
      </c>
      <c r="G215" s="8">
        <v>10</v>
      </c>
      <c r="H215" s="10">
        <v>430.17209639011099</v>
      </c>
      <c r="J215" s="10">
        <v>2010</v>
      </c>
      <c r="K215" s="10">
        <v>10</v>
      </c>
      <c r="L215" s="10">
        <v>430.53879433173103</v>
      </c>
      <c r="N215" s="10">
        <v>2010</v>
      </c>
      <c r="O215" s="10">
        <v>10</v>
      </c>
      <c r="P215" s="10">
        <v>430.51982169693599</v>
      </c>
      <c r="R215" s="10">
        <v>2010</v>
      </c>
      <c r="S215" s="10">
        <v>10</v>
      </c>
      <c r="T215" s="10">
        <v>430.64564808933898</v>
      </c>
      <c r="V215" s="10">
        <v>2010</v>
      </c>
      <c r="W215" s="10">
        <v>10</v>
      </c>
      <c r="X215" s="10">
        <v>430.60858736944999</v>
      </c>
      <c r="Z215" s="10">
        <v>2010</v>
      </c>
      <c r="AA215" s="10">
        <v>10</v>
      </c>
      <c r="AB215" s="10">
        <v>430.38991388597799</v>
      </c>
    </row>
    <row r="216" spans="1:28" x14ac:dyDescent="0.25">
      <c r="A216" s="8">
        <v>2010</v>
      </c>
      <c r="B216" s="8">
        <v>11</v>
      </c>
      <c r="C216" s="10">
        <v>435.38752941259702</v>
      </c>
      <c r="F216" s="8">
        <v>2010</v>
      </c>
      <c r="G216" s="8">
        <v>11</v>
      </c>
      <c r="H216" s="10">
        <v>435.01703515905803</v>
      </c>
      <c r="J216" s="10">
        <v>2010</v>
      </c>
      <c r="K216" s="10">
        <v>11</v>
      </c>
      <c r="L216" s="10">
        <v>435.02140839388699</v>
      </c>
      <c r="N216" s="10">
        <v>2010</v>
      </c>
      <c r="O216" s="10">
        <v>11</v>
      </c>
      <c r="P216" s="10">
        <v>435.05073871989299</v>
      </c>
      <c r="R216" s="10">
        <v>2010</v>
      </c>
      <c r="S216" s="10">
        <v>11</v>
      </c>
      <c r="T216" s="10">
        <v>435.01322093395203</v>
      </c>
      <c r="V216" s="10">
        <v>2010</v>
      </c>
      <c r="W216" s="10">
        <v>11</v>
      </c>
      <c r="X216" s="10">
        <v>434.97958882913798</v>
      </c>
      <c r="Z216" s="10">
        <v>2010</v>
      </c>
      <c r="AA216" s="10">
        <v>11</v>
      </c>
      <c r="AB216" s="10">
        <v>435.19084342462099</v>
      </c>
    </row>
    <row r="217" spans="1:28" x14ac:dyDescent="0.25">
      <c r="A217" s="8">
        <v>2010</v>
      </c>
      <c r="B217" s="8">
        <v>12</v>
      </c>
      <c r="C217" s="10">
        <v>435.02378637480501</v>
      </c>
      <c r="F217" s="8">
        <v>2010</v>
      </c>
      <c r="G217" s="8">
        <v>12</v>
      </c>
      <c r="H217" s="10">
        <v>434.47417386697401</v>
      </c>
      <c r="J217" s="10">
        <v>2010</v>
      </c>
      <c r="K217" s="10">
        <v>12</v>
      </c>
      <c r="L217" s="10">
        <v>434.55149019920901</v>
      </c>
      <c r="N217" s="10">
        <v>2010</v>
      </c>
      <c r="O217" s="10">
        <v>12</v>
      </c>
      <c r="P217" s="10">
        <v>434.58355735117999</v>
      </c>
      <c r="R217" s="10">
        <v>2010</v>
      </c>
      <c r="S217" s="10">
        <v>12</v>
      </c>
      <c r="T217" s="10">
        <v>434.46844540939298</v>
      </c>
      <c r="V217" s="10">
        <v>2010</v>
      </c>
      <c r="W217" s="10">
        <v>12</v>
      </c>
      <c r="X217" s="10">
        <v>434.39096520559502</v>
      </c>
      <c r="Z217" s="10">
        <v>2010</v>
      </c>
      <c r="AA217" s="10">
        <v>12</v>
      </c>
      <c r="AB217" s="10">
        <v>434.24549015544602</v>
      </c>
    </row>
    <row r="218" spans="1:28" x14ac:dyDescent="0.25">
      <c r="A218" s="8">
        <v>2011</v>
      </c>
      <c r="B218" s="8">
        <v>1</v>
      </c>
      <c r="C218" s="10">
        <v>438.22040511058702</v>
      </c>
      <c r="F218" s="8">
        <v>2011</v>
      </c>
      <c r="G218" s="8">
        <v>1</v>
      </c>
      <c r="H218" s="10">
        <v>437.43501952111399</v>
      </c>
      <c r="J218" s="10">
        <v>2011</v>
      </c>
      <c r="K218" s="10">
        <v>1</v>
      </c>
      <c r="L218" s="10">
        <v>437.90893703063898</v>
      </c>
      <c r="N218" s="10">
        <v>2011</v>
      </c>
      <c r="O218" s="10">
        <v>1</v>
      </c>
      <c r="P218" s="10">
        <v>437.887716786981</v>
      </c>
      <c r="R218" s="10">
        <v>2011</v>
      </c>
      <c r="S218" s="10">
        <v>1</v>
      </c>
      <c r="T218" s="10">
        <v>437.93323912687998</v>
      </c>
      <c r="V218" s="10">
        <v>2011</v>
      </c>
      <c r="W218" s="10">
        <v>1</v>
      </c>
      <c r="X218" s="10">
        <v>437.88922044262699</v>
      </c>
      <c r="Z218" s="10">
        <v>2011</v>
      </c>
      <c r="AA218" s="10">
        <v>1</v>
      </c>
      <c r="AB218" s="10">
        <v>437.55426923046201</v>
      </c>
    </row>
    <row r="219" spans="1:28" x14ac:dyDescent="0.25">
      <c r="A219" s="8">
        <v>2011</v>
      </c>
      <c r="B219" s="8">
        <v>2</v>
      </c>
      <c r="C219" s="10">
        <v>488.89065547931801</v>
      </c>
      <c r="F219" s="8">
        <v>2011</v>
      </c>
      <c r="G219" s="8">
        <v>2</v>
      </c>
      <c r="H219" s="10">
        <v>491.36223621928701</v>
      </c>
      <c r="J219" s="10">
        <v>2011</v>
      </c>
      <c r="K219" s="10">
        <v>2</v>
      </c>
      <c r="L219" s="10">
        <v>492.725245530873</v>
      </c>
      <c r="N219" s="10">
        <v>2011</v>
      </c>
      <c r="O219" s="10">
        <v>2</v>
      </c>
      <c r="P219" s="10">
        <v>492.72410862414898</v>
      </c>
      <c r="R219" s="10">
        <v>2011</v>
      </c>
      <c r="S219" s="10">
        <v>2</v>
      </c>
      <c r="T219" s="10">
        <v>492.62492748235599</v>
      </c>
      <c r="V219" s="10">
        <v>2011</v>
      </c>
      <c r="W219" s="10">
        <v>2</v>
      </c>
      <c r="X219" s="10">
        <v>492.08323286042798</v>
      </c>
      <c r="Z219" s="10">
        <v>2011</v>
      </c>
      <c r="AA219" s="10">
        <v>2</v>
      </c>
      <c r="AB219" s="10">
        <v>492.21168141878798</v>
      </c>
    </row>
    <row r="220" spans="1:28" x14ac:dyDescent="0.25">
      <c r="A220" s="8">
        <v>2011</v>
      </c>
      <c r="B220" s="8">
        <v>3</v>
      </c>
      <c r="C220" s="10">
        <v>455.14626645726099</v>
      </c>
      <c r="F220" s="8">
        <v>2011</v>
      </c>
      <c r="G220" s="8">
        <v>3</v>
      </c>
      <c r="H220" s="10">
        <v>454.85052351959399</v>
      </c>
      <c r="J220" s="10">
        <v>2011</v>
      </c>
      <c r="K220" s="10">
        <v>3</v>
      </c>
      <c r="L220" s="10">
        <v>454.865407485003</v>
      </c>
      <c r="N220" s="10">
        <v>2011</v>
      </c>
      <c r="O220" s="10">
        <v>3</v>
      </c>
      <c r="P220" s="10">
        <v>454.89300347649998</v>
      </c>
      <c r="R220" s="10">
        <v>2011</v>
      </c>
      <c r="S220" s="10">
        <v>3</v>
      </c>
      <c r="T220" s="10">
        <v>454.78968341433898</v>
      </c>
      <c r="V220" s="10">
        <v>2011</v>
      </c>
      <c r="W220" s="10">
        <v>3</v>
      </c>
      <c r="X220" s="10">
        <v>454.71540844490602</v>
      </c>
      <c r="Z220" s="10">
        <v>2011</v>
      </c>
      <c r="AA220" s="10">
        <v>3</v>
      </c>
      <c r="AB220" s="10">
        <v>455.04450502371202</v>
      </c>
    </row>
    <row r="221" spans="1:28" x14ac:dyDescent="0.25">
      <c r="A221" s="8">
        <v>2011</v>
      </c>
      <c r="B221" s="8">
        <v>4</v>
      </c>
      <c r="C221" s="10">
        <v>467.30464222103302</v>
      </c>
      <c r="F221" s="8">
        <v>2011</v>
      </c>
      <c r="G221" s="8">
        <v>4</v>
      </c>
      <c r="H221" s="10">
        <v>467.14489374386801</v>
      </c>
      <c r="J221" s="10">
        <v>2011</v>
      </c>
      <c r="K221" s="10">
        <v>4</v>
      </c>
      <c r="L221" s="10">
        <v>467.57686848968899</v>
      </c>
      <c r="N221" s="10">
        <v>2011</v>
      </c>
      <c r="O221" s="10">
        <v>4</v>
      </c>
      <c r="P221" s="10">
        <v>467.55071914701801</v>
      </c>
      <c r="R221" s="10">
        <v>2011</v>
      </c>
      <c r="S221" s="10">
        <v>4</v>
      </c>
      <c r="T221" s="10">
        <v>467.57919375120701</v>
      </c>
      <c r="V221" s="10">
        <v>2011</v>
      </c>
      <c r="W221" s="10">
        <v>4</v>
      </c>
      <c r="X221" s="10">
        <v>467.49490043237699</v>
      </c>
      <c r="Z221" s="10">
        <v>2011</v>
      </c>
      <c r="AA221" s="10">
        <v>4</v>
      </c>
      <c r="AB221" s="10">
        <v>467.321240873166</v>
      </c>
    </row>
    <row r="222" spans="1:28" x14ac:dyDescent="0.25">
      <c r="A222" s="8">
        <v>2011</v>
      </c>
      <c r="B222" s="8">
        <v>5</v>
      </c>
      <c r="C222" s="10">
        <v>487.86496259484699</v>
      </c>
      <c r="F222" s="8">
        <v>2011</v>
      </c>
      <c r="G222" s="8">
        <v>5</v>
      </c>
      <c r="H222" s="10">
        <v>488.12641878823399</v>
      </c>
      <c r="J222" s="10">
        <v>2011</v>
      </c>
      <c r="K222" s="10">
        <v>5</v>
      </c>
      <c r="L222" s="10">
        <v>488.00992697415199</v>
      </c>
      <c r="N222" s="10">
        <v>2011</v>
      </c>
      <c r="O222" s="10">
        <v>5</v>
      </c>
      <c r="P222" s="10">
        <v>487.98877911078603</v>
      </c>
      <c r="R222" s="10">
        <v>2011</v>
      </c>
      <c r="S222" s="10">
        <v>5</v>
      </c>
      <c r="T222" s="10">
        <v>487.98843779128202</v>
      </c>
      <c r="V222" s="10">
        <v>2011</v>
      </c>
      <c r="W222" s="10">
        <v>5</v>
      </c>
      <c r="X222" s="10">
        <v>488.334360555633</v>
      </c>
      <c r="Z222" s="10">
        <v>2011</v>
      </c>
      <c r="AA222" s="10">
        <v>5</v>
      </c>
      <c r="AB222" s="10">
        <v>488.273911230154</v>
      </c>
    </row>
    <row r="223" spans="1:28" x14ac:dyDescent="0.25">
      <c r="A223" s="8">
        <v>2011</v>
      </c>
      <c r="B223" s="8">
        <v>6</v>
      </c>
      <c r="C223" s="10">
        <v>472.43436210188003</v>
      </c>
      <c r="F223" s="8">
        <v>2011</v>
      </c>
      <c r="G223" s="8">
        <v>6</v>
      </c>
      <c r="H223" s="10">
        <v>475.916247495493</v>
      </c>
      <c r="J223" s="10">
        <v>2011</v>
      </c>
      <c r="K223" s="10">
        <v>6</v>
      </c>
      <c r="L223" s="10">
        <v>473.45052671751102</v>
      </c>
      <c r="N223" s="10">
        <v>2011</v>
      </c>
      <c r="O223" s="10">
        <v>6</v>
      </c>
      <c r="P223" s="10">
        <v>473.433153179859</v>
      </c>
      <c r="R223" s="10">
        <v>2011</v>
      </c>
      <c r="S223" s="10">
        <v>6</v>
      </c>
      <c r="T223" s="10">
        <v>473.42814622527601</v>
      </c>
      <c r="V223" s="10">
        <v>2011</v>
      </c>
      <c r="W223" s="10">
        <v>6</v>
      </c>
      <c r="X223" s="10">
        <v>474.076852205671</v>
      </c>
      <c r="Z223" s="10">
        <v>2011</v>
      </c>
      <c r="AA223" s="10">
        <v>6</v>
      </c>
      <c r="AB223" s="10">
        <v>473.92897284827598</v>
      </c>
    </row>
    <row r="224" spans="1:28" x14ac:dyDescent="0.25">
      <c r="A224" s="8">
        <v>2011</v>
      </c>
      <c r="B224" s="8">
        <v>7</v>
      </c>
      <c r="C224" s="10">
        <v>476.145803912075</v>
      </c>
      <c r="F224" s="8">
        <v>2011</v>
      </c>
      <c r="G224" s="8">
        <v>7</v>
      </c>
      <c r="H224" s="10">
        <v>475.782083197948</v>
      </c>
      <c r="J224" s="10">
        <v>2011</v>
      </c>
      <c r="K224" s="10">
        <v>7</v>
      </c>
      <c r="L224" s="10">
        <v>475.98518718438601</v>
      </c>
      <c r="N224" s="10">
        <v>2011</v>
      </c>
      <c r="O224" s="10">
        <v>7</v>
      </c>
      <c r="P224" s="10">
        <v>475.94125259413102</v>
      </c>
      <c r="R224" s="10">
        <v>2011</v>
      </c>
      <c r="S224" s="10">
        <v>7</v>
      </c>
      <c r="T224" s="10">
        <v>476.06505829923498</v>
      </c>
      <c r="V224" s="10">
        <v>2011</v>
      </c>
      <c r="W224" s="10">
        <v>7</v>
      </c>
      <c r="X224" s="10">
        <v>476.15721678142</v>
      </c>
      <c r="Z224" s="10">
        <v>2011</v>
      </c>
      <c r="AA224" s="10">
        <v>7</v>
      </c>
      <c r="AB224" s="10">
        <v>475.82314431402398</v>
      </c>
    </row>
    <row r="225" spans="1:28" x14ac:dyDescent="0.25">
      <c r="A225" s="8">
        <v>2011</v>
      </c>
      <c r="B225" s="8">
        <v>8</v>
      </c>
      <c r="C225" s="10">
        <v>461.083287339702</v>
      </c>
      <c r="F225" s="8">
        <v>2011</v>
      </c>
      <c r="G225" s="8">
        <v>8</v>
      </c>
      <c r="H225" s="10">
        <v>460.92429586496502</v>
      </c>
      <c r="J225" s="10">
        <v>2011</v>
      </c>
      <c r="K225" s="10">
        <v>8</v>
      </c>
      <c r="L225" s="10">
        <v>460.72946731108698</v>
      </c>
      <c r="N225" s="10">
        <v>2011</v>
      </c>
      <c r="O225" s="10">
        <v>8</v>
      </c>
      <c r="P225" s="10">
        <v>460.79740020390801</v>
      </c>
      <c r="R225" s="10">
        <v>2011</v>
      </c>
      <c r="S225" s="10">
        <v>8</v>
      </c>
      <c r="T225" s="10">
        <v>460.70487352468899</v>
      </c>
      <c r="V225" s="10">
        <v>2011</v>
      </c>
      <c r="W225" s="10">
        <v>8</v>
      </c>
      <c r="X225" s="10">
        <v>460.64756824219199</v>
      </c>
      <c r="Z225" s="10">
        <v>2011</v>
      </c>
      <c r="AA225" s="10">
        <v>8</v>
      </c>
      <c r="AB225" s="10">
        <v>461.20386158192503</v>
      </c>
    </row>
    <row r="226" spans="1:28" x14ac:dyDescent="0.25">
      <c r="A226" s="8">
        <v>2011</v>
      </c>
      <c r="B226" s="8">
        <v>9</v>
      </c>
      <c r="C226" s="10">
        <v>454.03276786386402</v>
      </c>
      <c r="F226" s="8">
        <v>2011</v>
      </c>
      <c r="G226" s="8">
        <v>9</v>
      </c>
      <c r="H226" s="10">
        <v>453.73611185486698</v>
      </c>
      <c r="J226" s="10">
        <v>2011</v>
      </c>
      <c r="K226" s="10">
        <v>9</v>
      </c>
      <c r="L226" s="10">
        <v>454.211402433724</v>
      </c>
      <c r="N226" s="10">
        <v>2011</v>
      </c>
      <c r="O226" s="10">
        <v>9</v>
      </c>
      <c r="P226" s="10">
        <v>454.215968727995</v>
      </c>
      <c r="R226" s="10">
        <v>2011</v>
      </c>
      <c r="S226" s="10">
        <v>9</v>
      </c>
      <c r="T226" s="10">
        <v>454.25882866827402</v>
      </c>
      <c r="V226" s="10">
        <v>2011</v>
      </c>
      <c r="W226" s="10">
        <v>9</v>
      </c>
      <c r="X226" s="10">
        <v>453.65021338241502</v>
      </c>
      <c r="Z226" s="10">
        <v>2011</v>
      </c>
      <c r="AA226" s="10">
        <v>9</v>
      </c>
      <c r="AB226" s="10">
        <v>454.04009457491998</v>
      </c>
    </row>
    <row r="227" spans="1:28" x14ac:dyDescent="0.25">
      <c r="A227" s="8">
        <v>2011</v>
      </c>
      <c r="B227" s="8">
        <v>10</v>
      </c>
      <c r="C227" s="10">
        <v>468.00163271380501</v>
      </c>
      <c r="F227" s="8">
        <v>2011</v>
      </c>
      <c r="G227" s="8">
        <v>10</v>
      </c>
      <c r="H227" s="10">
        <v>467.41757221626398</v>
      </c>
      <c r="J227" s="10">
        <v>2011</v>
      </c>
      <c r="K227" s="10">
        <v>10</v>
      </c>
      <c r="L227" s="10">
        <v>467.88382151260703</v>
      </c>
      <c r="N227" s="10">
        <v>2011</v>
      </c>
      <c r="O227" s="10">
        <v>10</v>
      </c>
      <c r="P227" s="10">
        <v>467.86438087283801</v>
      </c>
      <c r="R227" s="10">
        <v>2011</v>
      </c>
      <c r="S227" s="10">
        <v>10</v>
      </c>
      <c r="T227" s="10">
        <v>467.97227260767801</v>
      </c>
      <c r="V227" s="10">
        <v>2011</v>
      </c>
      <c r="W227" s="10">
        <v>10</v>
      </c>
      <c r="X227" s="10">
        <v>467.94711061438699</v>
      </c>
      <c r="Z227" s="10">
        <v>2011</v>
      </c>
      <c r="AA227" s="10">
        <v>10</v>
      </c>
      <c r="AB227" s="10">
        <v>467.61594051699598</v>
      </c>
    </row>
    <row r="228" spans="1:28" x14ac:dyDescent="0.25">
      <c r="A228" s="8">
        <v>2011</v>
      </c>
      <c r="B228" s="8">
        <v>11</v>
      </c>
      <c r="C228" s="10">
        <v>468.88798295847499</v>
      </c>
      <c r="F228" s="8">
        <v>2011</v>
      </c>
      <c r="G228" s="8">
        <v>11</v>
      </c>
      <c r="H228" s="10">
        <v>468.400418421871</v>
      </c>
      <c r="J228" s="10">
        <v>2011</v>
      </c>
      <c r="K228" s="10">
        <v>11</v>
      </c>
      <c r="L228" s="10">
        <v>468.47582662354199</v>
      </c>
      <c r="N228" s="10">
        <v>2011</v>
      </c>
      <c r="O228" s="10">
        <v>11</v>
      </c>
      <c r="P228" s="10">
        <v>468.51440843698202</v>
      </c>
      <c r="R228" s="10">
        <v>2011</v>
      </c>
      <c r="S228" s="10">
        <v>11</v>
      </c>
      <c r="T228" s="10">
        <v>468.45390925526198</v>
      </c>
      <c r="V228" s="10">
        <v>2011</v>
      </c>
      <c r="W228" s="10">
        <v>11</v>
      </c>
      <c r="X228" s="10">
        <v>468.42339551237001</v>
      </c>
      <c r="Z228" s="10">
        <v>2011</v>
      </c>
      <c r="AA228" s="10">
        <v>11</v>
      </c>
      <c r="AB228" s="10">
        <v>468.643853977162</v>
      </c>
    </row>
    <row r="229" spans="1:28" x14ac:dyDescent="0.25">
      <c r="A229" s="8">
        <v>2011</v>
      </c>
      <c r="B229" s="8">
        <v>12</v>
      </c>
      <c r="C229" s="10">
        <v>475.73105061107202</v>
      </c>
      <c r="F229" s="8">
        <v>2011</v>
      </c>
      <c r="G229" s="8">
        <v>12</v>
      </c>
      <c r="H229" s="10">
        <v>474.35970047810702</v>
      </c>
      <c r="J229" s="10">
        <v>2011</v>
      </c>
      <c r="K229" s="10">
        <v>12</v>
      </c>
      <c r="L229" s="10">
        <v>474.49117435649998</v>
      </c>
      <c r="N229" s="10">
        <v>2011</v>
      </c>
      <c r="O229" s="10">
        <v>12</v>
      </c>
      <c r="P229" s="10">
        <v>474.46624993163698</v>
      </c>
      <c r="R229" s="10">
        <v>2011</v>
      </c>
      <c r="S229" s="10">
        <v>12</v>
      </c>
      <c r="T229" s="10">
        <v>474.49407947280002</v>
      </c>
      <c r="V229" s="10">
        <v>2011</v>
      </c>
      <c r="W229" s="10">
        <v>12</v>
      </c>
      <c r="X229" s="10">
        <v>474.45844609219802</v>
      </c>
      <c r="Z229" s="10">
        <v>2011</v>
      </c>
      <c r="AA229" s="10">
        <v>12</v>
      </c>
      <c r="AB229" s="10">
        <v>474.14874651260402</v>
      </c>
    </row>
    <row r="230" spans="1:28" x14ac:dyDescent="0.25">
      <c r="A230" s="8">
        <v>2012</v>
      </c>
      <c r="B230" s="8">
        <v>1</v>
      </c>
      <c r="C230" s="10">
        <v>470.35880102181397</v>
      </c>
      <c r="F230" s="8">
        <v>2012</v>
      </c>
      <c r="G230" s="8">
        <v>1</v>
      </c>
      <c r="H230" s="10">
        <v>469.56033642324297</v>
      </c>
      <c r="J230" s="10">
        <v>2012</v>
      </c>
      <c r="K230" s="10">
        <v>1</v>
      </c>
      <c r="L230" s="10">
        <v>469.99634208023002</v>
      </c>
      <c r="N230" s="10">
        <v>2012</v>
      </c>
      <c r="O230" s="10">
        <v>1</v>
      </c>
      <c r="P230" s="10">
        <v>470.01219983841099</v>
      </c>
      <c r="R230" s="10">
        <v>2012</v>
      </c>
      <c r="S230" s="10">
        <v>1</v>
      </c>
      <c r="T230" s="10">
        <v>469.972468413917</v>
      </c>
      <c r="V230" s="10">
        <v>2012</v>
      </c>
      <c r="W230" s="10">
        <v>1</v>
      </c>
      <c r="X230" s="10">
        <v>469.91180328604599</v>
      </c>
      <c r="Z230" s="10">
        <v>2012</v>
      </c>
      <c r="AA230" s="10">
        <v>1</v>
      </c>
      <c r="AB230" s="10">
        <v>469.91876195291098</v>
      </c>
    </row>
    <row r="231" spans="1:28" x14ac:dyDescent="0.25">
      <c r="A231" s="8">
        <v>2012</v>
      </c>
      <c r="B231" s="8">
        <v>2</v>
      </c>
      <c r="C231" s="10">
        <v>482.51712713857</v>
      </c>
      <c r="F231" s="8">
        <v>2012</v>
      </c>
      <c r="G231" s="8">
        <v>2</v>
      </c>
      <c r="H231" s="10">
        <v>475.96294548868701</v>
      </c>
      <c r="J231" s="10">
        <v>2012</v>
      </c>
      <c r="K231" s="10">
        <v>2</v>
      </c>
      <c r="L231" s="10">
        <v>473.757148197866</v>
      </c>
      <c r="N231" s="10">
        <v>2012</v>
      </c>
      <c r="O231" s="10">
        <v>2</v>
      </c>
      <c r="P231" s="10">
        <v>473.77022644296801</v>
      </c>
      <c r="R231" s="10">
        <v>2012</v>
      </c>
      <c r="S231" s="10">
        <v>2</v>
      </c>
      <c r="T231" s="10">
        <v>473.88347182672902</v>
      </c>
      <c r="V231" s="10">
        <v>2012</v>
      </c>
      <c r="W231" s="10">
        <v>2</v>
      </c>
      <c r="X231" s="10">
        <v>475.07892390207002</v>
      </c>
      <c r="Z231" s="10">
        <v>2012</v>
      </c>
      <c r="AA231" s="10">
        <v>2</v>
      </c>
      <c r="AB231" s="10">
        <v>474.79360177125</v>
      </c>
    </row>
    <row r="232" spans="1:28" x14ac:dyDescent="0.25">
      <c r="A232" s="8">
        <v>2012</v>
      </c>
      <c r="B232" s="8">
        <v>3</v>
      </c>
      <c r="C232" s="10">
        <v>481.60699005809499</v>
      </c>
      <c r="F232" s="8">
        <v>2012</v>
      </c>
      <c r="G232" s="8">
        <v>3</v>
      </c>
      <c r="H232" s="10">
        <v>481.119218704898</v>
      </c>
      <c r="J232" s="10">
        <v>2012</v>
      </c>
      <c r="K232" s="10">
        <v>3</v>
      </c>
      <c r="L232" s="10">
        <v>481.62098787944097</v>
      </c>
      <c r="N232" s="10">
        <v>2012</v>
      </c>
      <c r="O232" s="10">
        <v>3</v>
      </c>
      <c r="P232" s="10">
        <v>481.61136010980101</v>
      </c>
      <c r="R232" s="10">
        <v>2012</v>
      </c>
      <c r="S232" s="10">
        <v>3</v>
      </c>
      <c r="T232" s="10">
        <v>481.60410408649801</v>
      </c>
      <c r="V232" s="10">
        <v>2012</v>
      </c>
      <c r="W232" s="10">
        <v>3</v>
      </c>
      <c r="X232" s="10">
        <v>481.51840707225801</v>
      </c>
      <c r="Z232" s="10">
        <v>2012</v>
      </c>
      <c r="AA232" s="10">
        <v>3</v>
      </c>
      <c r="AB232" s="10">
        <v>481.42198102173302</v>
      </c>
    </row>
    <row r="233" spans="1:28" x14ac:dyDescent="0.25">
      <c r="A233" s="8">
        <v>2012</v>
      </c>
      <c r="B233" s="8">
        <v>4</v>
      </c>
      <c r="C233" s="10">
        <v>472.96111623053099</v>
      </c>
      <c r="F233" s="8">
        <v>2012</v>
      </c>
      <c r="G233" s="8">
        <v>4</v>
      </c>
      <c r="H233" s="10">
        <v>472.47495224226498</v>
      </c>
      <c r="J233" s="10">
        <v>2012</v>
      </c>
      <c r="K233" s="10">
        <v>4</v>
      </c>
      <c r="L233" s="10">
        <v>473.28896457314897</v>
      </c>
      <c r="N233" s="10">
        <v>2012</v>
      </c>
      <c r="O233" s="10">
        <v>4</v>
      </c>
      <c r="P233" s="10">
        <v>473.27659189557198</v>
      </c>
      <c r="R233" s="10">
        <v>2012</v>
      </c>
      <c r="S233" s="10">
        <v>4</v>
      </c>
      <c r="T233" s="10">
        <v>473.27770571714802</v>
      </c>
      <c r="V233" s="10">
        <v>2012</v>
      </c>
      <c r="W233" s="10">
        <v>4</v>
      </c>
      <c r="X233" s="10">
        <v>473.21898213331502</v>
      </c>
      <c r="Z233" s="10">
        <v>2012</v>
      </c>
      <c r="AA233" s="10">
        <v>4</v>
      </c>
      <c r="AB233" s="10">
        <v>473.15859110440903</v>
      </c>
    </row>
    <row r="234" spans="1:28" x14ac:dyDescent="0.25">
      <c r="A234" s="8">
        <v>2012</v>
      </c>
      <c r="B234" s="8">
        <v>5</v>
      </c>
      <c r="C234" s="10">
        <v>448.92108212605399</v>
      </c>
      <c r="F234" s="8">
        <v>2012</v>
      </c>
      <c r="G234" s="8">
        <v>5</v>
      </c>
      <c r="H234" s="10">
        <v>448.98499860176798</v>
      </c>
      <c r="J234" s="10">
        <v>2012</v>
      </c>
      <c r="K234" s="10">
        <v>5</v>
      </c>
      <c r="L234" s="10">
        <v>449.25700142301798</v>
      </c>
      <c r="N234" s="10">
        <v>2012</v>
      </c>
      <c r="O234" s="10">
        <v>5</v>
      </c>
      <c r="P234" s="10">
        <v>449.282580190396</v>
      </c>
      <c r="R234" s="10">
        <v>2012</v>
      </c>
      <c r="S234" s="10">
        <v>5</v>
      </c>
      <c r="T234" s="10">
        <v>449.179758270408</v>
      </c>
      <c r="V234" s="10">
        <v>2012</v>
      </c>
      <c r="W234" s="10">
        <v>5</v>
      </c>
      <c r="X234" s="10">
        <v>449.23449731869499</v>
      </c>
      <c r="Z234" s="10">
        <v>2012</v>
      </c>
      <c r="AA234" s="10">
        <v>5</v>
      </c>
      <c r="AB234" s="10">
        <v>449.63094034638698</v>
      </c>
    </row>
    <row r="235" spans="1:28" x14ac:dyDescent="0.25">
      <c r="A235" s="8">
        <v>2012</v>
      </c>
      <c r="B235" s="8">
        <v>6</v>
      </c>
      <c r="C235" s="10">
        <v>449.91575447263398</v>
      </c>
      <c r="F235" s="8">
        <v>2012</v>
      </c>
      <c r="G235" s="8">
        <v>6</v>
      </c>
      <c r="H235" s="10">
        <v>456.34992642847101</v>
      </c>
      <c r="J235" s="10">
        <v>2012</v>
      </c>
      <c r="K235" s="10">
        <v>6</v>
      </c>
      <c r="L235" s="10">
        <v>451.68217308002801</v>
      </c>
      <c r="N235" s="10">
        <v>2012</v>
      </c>
      <c r="O235" s="10">
        <v>6</v>
      </c>
      <c r="P235" s="10">
        <v>451.61306208466101</v>
      </c>
      <c r="R235" s="10">
        <v>2012</v>
      </c>
      <c r="S235" s="10">
        <v>6</v>
      </c>
      <c r="T235" s="10">
        <v>451.720975890114</v>
      </c>
      <c r="V235" s="10">
        <v>2012</v>
      </c>
      <c r="W235" s="10">
        <v>6</v>
      </c>
      <c r="X235" s="10">
        <v>452.72408286474098</v>
      </c>
      <c r="Z235" s="10">
        <v>2012</v>
      </c>
      <c r="AA235" s="10">
        <v>6</v>
      </c>
      <c r="AB235" s="10">
        <v>451.97696597779401</v>
      </c>
    </row>
    <row r="236" spans="1:28" x14ac:dyDescent="0.25">
      <c r="A236" s="8">
        <v>2012</v>
      </c>
      <c r="B236" s="8">
        <v>7</v>
      </c>
      <c r="C236" s="10">
        <v>331.830163794491</v>
      </c>
      <c r="F236" s="8">
        <v>2012</v>
      </c>
      <c r="G236" s="8">
        <v>7</v>
      </c>
      <c r="H236" s="10">
        <v>331.24125335108698</v>
      </c>
      <c r="J236" s="10">
        <v>2012</v>
      </c>
      <c r="K236" s="10">
        <v>7</v>
      </c>
      <c r="L236" s="10">
        <v>331.58522817792499</v>
      </c>
      <c r="N236" s="10">
        <v>2012</v>
      </c>
      <c r="O236" s="10">
        <v>7</v>
      </c>
      <c r="P236" s="10">
        <v>331.58302600174397</v>
      </c>
      <c r="R236" s="10">
        <v>2012</v>
      </c>
      <c r="S236" s="10">
        <v>7</v>
      </c>
      <c r="T236" s="10">
        <v>331.608275621796</v>
      </c>
      <c r="V236" s="10">
        <v>2012</v>
      </c>
      <c r="W236" s="10">
        <v>7</v>
      </c>
      <c r="X236" s="10">
        <v>331.66411669256303</v>
      </c>
      <c r="Z236" s="10">
        <v>2012</v>
      </c>
      <c r="AA236" s="10">
        <v>7</v>
      </c>
      <c r="AB236" s="10">
        <v>331.742852553891</v>
      </c>
    </row>
    <row r="237" spans="1:28" x14ac:dyDescent="0.25">
      <c r="A237" s="8">
        <v>2012</v>
      </c>
      <c r="B237" s="8">
        <v>8</v>
      </c>
      <c r="C237" s="10">
        <v>352.79455295648899</v>
      </c>
      <c r="F237" s="8">
        <v>2012</v>
      </c>
      <c r="G237" s="8">
        <v>8</v>
      </c>
      <c r="H237" s="10">
        <v>352.32130307971403</v>
      </c>
      <c r="J237" s="10">
        <v>2012</v>
      </c>
      <c r="K237" s="10">
        <v>8</v>
      </c>
      <c r="L237" s="10">
        <v>352.432930308582</v>
      </c>
      <c r="N237" s="10">
        <v>2012</v>
      </c>
      <c r="O237" s="10">
        <v>8</v>
      </c>
      <c r="P237" s="10">
        <v>352.50112089933702</v>
      </c>
      <c r="R237" s="10">
        <v>2012</v>
      </c>
      <c r="S237" s="10">
        <v>8</v>
      </c>
      <c r="T237" s="10">
        <v>352.40333724733301</v>
      </c>
      <c r="V237" s="10">
        <v>2012</v>
      </c>
      <c r="W237" s="10">
        <v>8</v>
      </c>
      <c r="X237" s="10">
        <v>352.31864410784601</v>
      </c>
      <c r="Z237" s="10">
        <v>2012</v>
      </c>
      <c r="AA237" s="10">
        <v>8</v>
      </c>
      <c r="AB237" s="10">
        <v>352.86950554404098</v>
      </c>
    </row>
    <row r="238" spans="1:28" x14ac:dyDescent="0.25">
      <c r="A238" s="8">
        <v>2012</v>
      </c>
      <c r="B238" s="8">
        <v>9</v>
      </c>
      <c r="C238" s="10">
        <v>377.46519093312298</v>
      </c>
      <c r="F238" s="8">
        <v>2012</v>
      </c>
      <c r="G238" s="8">
        <v>9</v>
      </c>
      <c r="H238" s="10">
        <v>376.668943146949</v>
      </c>
      <c r="J238" s="10">
        <v>2012</v>
      </c>
      <c r="K238" s="10">
        <v>9</v>
      </c>
      <c r="L238" s="10">
        <v>377.87452071720901</v>
      </c>
      <c r="N238" s="10">
        <v>2012</v>
      </c>
      <c r="O238" s="10">
        <v>9</v>
      </c>
      <c r="P238" s="10">
        <v>377.79300071200498</v>
      </c>
      <c r="R238" s="10">
        <v>2012</v>
      </c>
      <c r="S238" s="10">
        <v>9</v>
      </c>
      <c r="T238" s="10">
        <v>378.02506368581697</v>
      </c>
      <c r="V238" s="10">
        <v>2012</v>
      </c>
      <c r="W238" s="10">
        <v>9</v>
      </c>
      <c r="X238" s="10">
        <v>377.41076627103701</v>
      </c>
      <c r="Z238" s="10">
        <v>2012</v>
      </c>
      <c r="AA238" s="10">
        <v>9</v>
      </c>
      <c r="AB238" s="10">
        <v>376.93010569579099</v>
      </c>
    </row>
    <row r="239" spans="1:28" x14ac:dyDescent="0.25">
      <c r="A239" s="8">
        <v>2012</v>
      </c>
      <c r="B239" s="8">
        <v>10</v>
      </c>
      <c r="C239" s="10">
        <v>377.26670459597398</v>
      </c>
      <c r="F239" s="8">
        <v>2012</v>
      </c>
      <c r="G239" s="8">
        <v>10</v>
      </c>
      <c r="H239" s="10">
        <v>376.67680395756997</v>
      </c>
      <c r="J239" s="10">
        <v>2012</v>
      </c>
      <c r="K239" s="10">
        <v>10</v>
      </c>
      <c r="L239" s="10">
        <v>376.73598772354302</v>
      </c>
      <c r="N239" s="10">
        <v>2012</v>
      </c>
      <c r="O239" s="10">
        <v>10</v>
      </c>
      <c r="P239" s="10">
        <v>376.791972150204</v>
      </c>
      <c r="R239" s="10">
        <v>2012</v>
      </c>
      <c r="S239" s="10">
        <v>10</v>
      </c>
      <c r="T239" s="10">
        <v>376.69842286767403</v>
      </c>
      <c r="V239" s="10">
        <v>2012</v>
      </c>
      <c r="W239" s="10">
        <v>10</v>
      </c>
      <c r="X239" s="10">
        <v>376.65223221319002</v>
      </c>
      <c r="Z239" s="10">
        <v>2012</v>
      </c>
      <c r="AA239" s="10">
        <v>10</v>
      </c>
      <c r="AB239" s="10">
        <v>377.08716831190799</v>
      </c>
    </row>
    <row r="240" spans="1:28" x14ac:dyDescent="0.25">
      <c r="A240" s="8">
        <v>2012</v>
      </c>
      <c r="B240" s="8">
        <v>11</v>
      </c>
      <c r="C240" s="10">
        <v>380.76876531912302</v>
      </c>
      <c r="F240" s="8">
        <v>2012</v>
      </c>
      <c r="G240" s="8">
        <v>11</v>
      </c>
      <c r="H240" s="10">
        <v>379.91206088325401</v>
      </c>
      <c r="J240" s="10">
        <v>2012</v>
      </c>
      <c r="K240" s="10">
        <v>11</v>
      </c>
      <c r="L240" s="10">
        <v>380.00741571645398</v>
      </c>
      <c r="N240" s="10">
        <v>2012</v>
      </c>
      <c r="O240" s="10">
        <v>11</v>
      </c>
      <c r="P240" s="10">
        <v>380.05125310459999</v>
      </c>
      <c r="R240" s="10">
        <v>2012</v>
      </c>
      <c r="S240" s="10">
        <v>11</v>
      </c>
      <c r="T240" s="10">
        <v>379.97314759510999</v>
      </c>
      <c r="V240" s="10">
        <v>2012</v>
      </c>
      <c r="W240" s="10">
        <v>11</v>
      </c>
      <c r="X240" s="10">
        <v>379.920020086617</v>
      </c>
      <c r="Z240" s="10">
        <v>2012</v>
      </c>
      <c r="AA240" s="10">
        <v>11</v>
      </c>
      <c r="AB240" s="10">
        <v>380.21370509707299</v>
      </c>
    </row>
    <row r="241" spans="1:28" x14ac:dyDescent="0.25">
      <c r="A241" s="8">
        <v>2012</v>
      </c>
      <c r="B241" s="8">
        <v>12</v>
      </c>
      <c r="C241" s="10">
        <v>351.49259481904198</v>
      </c>
      <c r="F241" s="8">
        <v>2012</v>
      </c>
      <c r="G241" s="8">
        <v>12</v>
      </c>
      <c r="H241" s="10">
        <v>349.50513287626501</v>
      </c>
      <c r="J241" s="10">
        <v>2012</v>
      </c>
      <c r="K241" s="10">
        <v>12</v>
      </c>
      <c r="L241" s="10">
        <v>349.77872720305299</v>
      </c>
      <c r="N241" s="10">
        <v>2012</v>
      </c>
      <c r="O241" s="10">
        <v>12</v>
      </c>
      <c r="P241" s="10">
        <v>349.71681815326002</v>
      </c>
      <c r="R241" s="10">
        <v>2012</v>
      </c>
      <c r="S241" s="10">
        <v>12</v>
      </c>
      <c r="T241" s="10">
        <v>349.86291920642202</v>
      </c>
      <c r="V241" s="10">
        <v>2012</v>
      </c>
      <c r="W241" s="10">
        <v>12</v>
      </c>
      <c r="X241" s="10">
        <v>349.85288297383499</v>
      </c>
      <c r="Z241" s="10">
        <v>2012</v>
      </c>
      <c r="AA241" s="10">
        <v>12</v>
      </c>
      <c r="AB241" s="10">
        <v>349.199857692877</v>
      </c>
    </row>
    <row r="242" spans="1:28" x14ac:dyDescent="0.25">
      <c r="A242" s="8">
        <v>2013</v>
      </c>
      <c r="B242" s="8">
        <v>1</v>
      </c>
      <c r="C242" s="10">
        <v>388.88414527569103</v>
      </c>
      <c r="F242" s="8">
        <v>2013</v>
      </c>
      <c r="G242" s="8">
        <v>1</v>
      </c>
      <c r="H242" s="10">
        <v>387.79551970015399</v>
      </c>
      <c r="J242" s="10">
        <v>2013</v>
      </c>
      <c r="K242" s="10">
        <v>1</v>
      </c>
      <c r="L242" s="10">
        <v>388.050832507108</v>
      </c>
      <c r="N242" s="10">
        <v>2013</v>
      </c>
      <c r="O242" s="10">
        <v>1</v>
      </c>
      <c r="P242" s="10">
        <v>388.09685051809601</v>
      </c>
      <c r="R242" s="10">
        <v>2013</v>
      </c>
      <c r="S242" s="10">
        <v>1</v>
      </c>
      <c r="T242" s="10">
        <v>387.98522581399197</v>
      </c>
      <c r="V242" s="10">
        <v>2013</v>
      </c>
      <c r="W242" s="10">
        <v>1</v>
      </c>
      <c r="X242" s="10">
        <v>387.94817703854898</v>
      </c>
      <c r="Z242" s="10">
        <v>2013</v>
      </c>
      <c r="AA242" s="10">
        <v>1</v>
      </c>
      <c r="AB242" s="10">
        <v>388.32173942169197</v>
      </c>
    </row>
    <row r="243" spans="1:28" x14ac:dyDescent="0.25">
      <c r="A243" s="8">
        <v>2013</v>
      </c>
      <c r="B243" s="8">
        <v>2</v>
      </c>
      <c r="C243" s="10">
        <v>381.02030449605599</v>
      </c>
      <c r="F243" s="8">
        <v>2013</v>
      </c>
      <c r="G243" s="8">
        <v>2</v>
      </c>
      <c r="H243" s="10">
        <v>383.27111727257397</v>
      </c>
      <c r="J243" s="10">
        <v>2013</v>
      </c>
      <c r="K243" s="10">
        <v>2</v>
      </c>
      <c r="L243" s="10">
        <v>384.99332807065298</v>
      </c>
      <c r="N243" s="10">
        <v>2013</v>
      </c>
      <c r="O243" s="10">
        <v>2</v>
      </c>
      <c r="P243" s="10">
        <v>384.99254906084002</v>
      </c>
      <c r="R243" s="10">
        <v>2013</v>
      </c>
      <c r="S243" s="10">
        <v>2</v>
      </c>
      <c r="T243" s="10">
        <v>384.90790347864902</v>
      </c>
      <c r="V243" s="10">
        <v>2013</v>
      </c>
      <c r="W243" s="10">
        <v>2</v>
      </c>
      <c r="X243" s="10">
        <v>384.34823338955101</v>
      </c>
      <c r="Z243" s="10">
        <v>2013</v>
      </c>
      <c r="AA243" s="10">
        <v>2</v>
      </c>
      <c r="AB243" s="10">
        <v>384.47600161257498</v>
      </c>
    </row>
    <row r="244" spans="1:28" x14ac:dyDescent="0.25">
      <c r="A244" s="8">
        <v>2013</v>
      </c>
      <c r="B244" s="8">
        <v>3</v>
      </c>
      <c r="C244" s="10">
        <v>453.59949356081802</v>
      </c>
      <c r="F244" s="8">
        <v>2013</v>
      </c>
      <c r="G244" s="8">
        <v>3</v>
      </c>
      <c r="H244" s="10">
        <v>452.71971211751998</v>
      </c>
      <c r="J244" s="10">
        <v>2013</v>
      </c>
      <c r="K244" s="10">
        <v>3</v>
      </c>
      <c r="L244" s="10">
        <v>453.61547464335399</v>
      </c>
      <c r="N244" s="10">
        <v>2013</v>
      </c>
      <c r="O244" s="10">
        <v>3</v>
      </c>
      <c r="P244" s="10">
        <v>453.56971866815502</v>
      </c>
      <c r="R244" s="10">
        <v>2013</v>
      </c>
      <c r="S244" s="10">
        <v>3</v>
      </c>
      <c r="T244" s="10">
        <v>453.65348104819799</v>
      </c>
      <c r="V244" s="10">
        <v>2013</v>
      </c>
      <c r="W244" s="10">
        <v>3</v>
      </c>
      <c r="X244" s="10">
        <v>453.58401387115401</v>
      </c>
      <c r="Z244" s="10">
        <v>2013</v>
      </c>
      <c r="AA244" s="10">
        <v>3</v>
      </c>
      <c r="AB244" s="10">
        <v>453.121289334837</v>
      </c>
    </row>
    <row r="245" spans="1:28" x14ac:dyDescent="0.25">
      <c r="A245" s="8">
        <v>2013</v>
      </c>
      <c r="B245" s="8">
        <v>4</v>
      </c>
      <c r="C245" s="10">
        <v>424.44406259104801</v>
      </c>
      <c r="F245" s="8">
        <v>2013</v>
      </c>
      <c r="G245" s="8">
        <v>4</v>
      </c>
      <c r="H245" s="10">
        <v>423.74192363959799</v>
      </c>
      <c r="J245" s="10">
        <v>2013</v>
      </c>
      <c r="K245" s="10">
        <v>4</v>
      </c>
      <c r="L245" s="10">
        <v>424.44303317476698</v>
      </c>
      <c r="N245" s="10">
        <v>2013</v>
      </c>
      <c r="O245" s="10">
        <v>4</v>
      </c>
      <c r="P245" s="10">
        <v>424.48423641682399</v>
      </c>
      <c r="R245" s="10">
        <v>2013</v>
      </c>
      <c r="S245" s="10">
        <v>4</v>
      </c>
      <c r="T245" s="10">
        <v>424.36920513497199</v>
      </c>
      <c r="V245" s="10">
        <v>2013</v>
      </c>
      <c r="W245" s="10">
        <v>4</v>
      </c>
      <c r="X245" s="10">
        <v>424.40089905206401</v>
      </c>
      <c r="Z245" s="10">
        <v>2013</v>
      </c>
      <c r="AA245" s="10">
        <v>4</v>
      </c>
      <c r="AB245" s="10">
        <v>424.84102253014601</v>
      </c>
    </row>
    <row r="246" spans="1:28" x14ac:dyDescent="0.25">
      <c r="A246" s="8">
        <v>2013</v>
      </c>
      <c r="B246" s="8">
        <v>5</v>
      </c>
      <c r="C246" s="10">
        <v>438.63267793436398</v>
      </c>
      <c r="F246" s="8">
        <v>2013</v>
      </c>
      <c r="G246" s="8">
        <v>5</v>
      </c>
      <c r="H246" s="10">
        <v>439.06504686839799</v>
      </c>
      <c r="J246" s="10">
        <v>2013</v>
      </c>
      <c r="K246" s="10">
        <v>5</v>
      </c>
      <c r="L246" s="10">
        <v>440.00345085786</v>
      </c>
      <c r="N246" s="10">
        <v>2013</v>
      </c>
      <c r="O246" s="10">
        <v>5</v>
      </c>
      <c r="P246" s="10">
        <v>440.02730345819401</v>
      </c>
      <c r="R246" s="10">
        <v>2013</v>
      </c>
      <c r="S246" s="10">
        <v>5</v>
      </c>
      <c r="T246" s="10">
        <v>439.932359762977</v>
      </c>
      <c r="V246" s="10">
        <v>2013</v>
      </c>
      <c r="W246" s="10">
        <v>5</v>
      </c>
      <c r="X246" s="10">
        <v>439.78276165827401</v>
      </c>
      <c r="Z246" s="10">
        <v>2013</v>
      </c>
      <c r="AA246" s="10">
        <v>5</v>
      </c>
      <c r="AB246" s="10">
        <v>440.15060595521101</v>
      </c>
    </row>
    <row r="247" spans="1:28" x14ac:dyDescent="0.25">
      <c r="A247" s="8">
        <v>2013</v>
      </c>
      <c r="B247" s="8">
        <v>6</v>
      </c>
      <c r="C247" s="10">
        <v>410.57181918522599</v>
      </c>
      <c r="F247" s="8">
        <v>2013</v>
      </c>
      <c r="G247" s="8">
        <v>6</v>
      </c>
      <c r="H247" s="10">
        <v>420.07203412316198</v>
      </c>
      <c r="J247" s="10">
        <v>2013</v>
      </c>
      <c r="K247" s="10">
        <v>6</v>
      </c>
      <c r="L247" s="10">
        <v>413.96616680768398</v>
      </c>
      <c r="N247" s="10">
        <v>2013</v>
      </c>
      <c r="O247" s="10">
        <v>6</v>
      </c>
      <c r="P247" s="10">
        <v>413.85721693962603</v>
      </c>
      <c r="R247" s="10">
        <v>2013</v>
      </c>
      <c r="S247" s="10">
        <v>6</v>
      </c>
      <c r="T247" s="10">
        <v>414.04927915813602</v>
      </c>
      <c r="V247" s="10">
        <v>2013</v>
      </c>
      <c r="W247" s="10">
        <v>6</v>
      </c>
      <c r="X247" s="10">
        <v>415.094611092891</v>
      </c>
      <c r="Z247" s="10">
        <v>2013</v>
      </c>
      <c r="AA247" s="10">
        <v>6</v>
      </c>
      <c r="AB247" s="10">
        <v>413.92343010058897</v>
      </c>
    </row>
    <row r="248" spans="1:28" x14ac:dyDescent="0.25">
      <c r="A248" s="8">
        <v>2013</v>
      </c>
      <c r="B248" s="8">
        <v>7</v>
      </c>
      <c r="C248" s="10">
        <v>450.53866297153098</v>
      </c>
      <c r="F248" s="8">
        <v>2013</v>
      </c>
      <c r="G248" s="8">
        <v>7</v>
      </c>
      <c r="H248" s="10">
        <v>449.48380243833498</v>
      </c>
      <c r="J248" s="10">
        <v>2013</v>
      </c>
      <c r="K248" s="10">
        <v>7</v>
      </c>
      <c r="L248" s="10">
        <v>449.75913538199001</v>
      </c>
      <c r="N248" s="10">
        <v>2013</v>
      </c>
      <c r="O248" s="10">
        <v>7</v>
      </c>
      <c r="P248" s="10">
        <v>449.79437243660499</v>
      </c>
      <c r="R248" s="10">
        <v>2013</v>
      </c>
      <c r="S248" s="10">
        <v>7</v>
      </c>
      <c r="T248" s="10">
        <v>449.72940059173698</v>
      </c>
      <c r="V248" s="10">
        <v>2013</v>
      </c>
      <c r="W248" s="10">
        <v>7</v>
      </c>
      <c r="X248" s="10">
        <v>449.815319516084</v>
      </c>
      <c r="Z248" s="10">
        <v>2013</v>
      </c>
      <c r="AA248" s="10">
        <v>7</v>
      </c>
      <c r="AB248" s="10">
        <v>450.25660290411298</v>
      </c>
    </row>
    <row r="249" spans="1:28" x14ac:dyDescent="0.25">
      <c r="A249" s="8">
        <v>2013</v>
      </c>
      <c r="B249" s="8">
        <v>8</v>
      </c>
      <c r="C249" s="10">
        <v>452.49608659874298</v>
      </c>
      <c r="F249" s="8">
        <v>2013</v>
      </c>
      <c r="G249" s="8">
        <v>8</v>
      </c>
      <c r="H249" s="10">
        <v>451.48985411789698</v>
      </c>
      <c r="J249" s="10">
        <v>2013</v>
      </c>
      <c r="K249" s="10">
        <v>8</v>
      </c>
      <c r="L249" s="10">
        <v>452.01767003466102</v>
      </c>
      <c r="N249" s="10">
        <v>2013</v>
      </c>
      <c r="O249" s="10">
        <v>8</v>
      </c>
      <c r="P249" s="10">
        <v>452.04187727841298</v>
      </c>
      <c r="R249" s="10">
        <v>2013</v>
      </c>
      <c r="S249" s="10">
        <v>8</v>
      </c>
      <c r="T249" s="10">
        <v>452.04017137424398</v>
      </c>
      <c r="V249" s="10">
        <v>2013</v>
      </c>
      <c r="W249" s="10">
        <v>8</v>
      </c>
      <c r="X249" s="10">
        <v>451.98451879952501</v>
      </c>
      <c r="Z249" s="10">
        <v>2013</v>
      </c>
      <c r="AA249" s="10">
        <v>8</v>
      </c>
      <c r="AB249" s="10">
        <v>452.096067823086</v>
      </c>
    </row>
    <row r="250" spans="1:28" x14ac:dyDescent="0.25">
      <c r="A250" s="8">
        <v>2013</v>
      </c>
      <c r="B250" s="8">
        <v>9</v>
      </c>
      <c r="C250" s="10">
        <v>446.130104747573</v>
      </c>
      <c r="F250" s="8">
        <v>2013</v>
      </c>
      <c r="G250" s="8">
        <v>9</v>
      </c>
      <c r="H250" s="10">
        <v>445.15506748474701</v>
      </c>
      <c r="J250" s="10">
        <v>2013</v>
      </c>
      <c r="K250" s="10">
        <v>9</v>
      </c>
      <c r="L250" s="10">
        <v>446.187115136969</v>
      </c>
      <c r="N250" s="10">
        <v>2013</v>
      </c>
      <c r="O250" s="10">
        <v>9</v>
      </c>
      <c r="P250" s="10">
        <v>446.14571806453898</v>
      </c>
      <c r="R250" s="10">
        <v>2013</v>
      </c>
      <c r="S250" s="10">
        <v>9</v>
      </c>
      <c r="T250" s="10">
        <v>446.27451538827398</v>
      </c>
      <c r="V250" s="10">
        <v>2013</v>
      </c>
      <c r="W250" s="10">
        <v>9</v>
      </c>
      <c r="X250" s="10">
        <v>445.66480164791301</v>
      </c>
      <c r="Z250" s="10">
        <v>2013</v>
      </c>
      <c r="AA250" s="10">
        <v>9</v>
      </c>
      <c r="AB250" s="10">
        <v>445.61013994737499</v>
      </c>
    </row>
    <row r="251" spans="1:28" x14ac:dyDescent="0.25">
      <c r="A251" s="8">
        <v>2013</v>
      </c>
      <c r="B251" s="8">
        <v>10</v>
      </c>
      <c r="C251" s="10">
        <v>440.66849275096001</v>
      </c>
      <c r="F251" s="8">
        <v>2013</v>
      </c>
      <c r="G251" s="8">
        <v>10</v>
      </c>
      <c r="H251" s="10">
        <v>439.79527988858399</v>
      </c>
      <c r="J251" s="10">
        <v>2013</v>
      </c>
      <c r="K251" s="10">
        <v>10</v>
      </c>
      <c r="L251" s="10">
        <v>439.94509156975499</v>
      </c>
      <c r="N251" s="10">
        <v>2013</v>
      </c>
      <c r="O251" s="10">
        <v>10</v>
      </c>
      <c r="P251" s="10">
        <v>439.99281305010197</v>
      </c>
      <c r="R251" s="10">
        <v>2013</v>
      </c>
      <c r="S251" s="10">
        <v>10</v>
      </c>
      <c r="T251" s="10">
        <v>439.91082262269202</v>
      </c>
      <c r="V251" s="10">
        <v>2013</v>
      </c>
      <c r="W251" s="10">
        <v>10</v>
      </c>
      <c r="X251" s="10">
        <v>439.87539753126498</v>
      </c>
      <c r="Z251" s="10">
        <v>2013</v>
      </c>
      <c r="AA251" s="10">
        <v>10</v>
      </c>
      <c r="AB251" s="10">
        <v>440.25484617174197</v>
      </c>
    </row>
    <row r="252" spans="1:28" x14ac:dyDescent="0.25">
      <c r="A252" s="8">
        <v>2013</v>
      </c>
      <c r="B252" s="8">
        <v>11</v>
      </c>
      <c r="C252" s="10">
        <v>454.61730496613598</v>
      </c>
      <c r="F252" s="8">
        <v>2013</v>
      </c>
      <c r="G252" s="8">
        <v>11</v>
      </c>
      <c r="H252" s="10">
        <v>453.21958310342899</v>
      </c>
      <c r="J252" s="10">
        <v>2013</v>
      </c>
      <c r="K252" s="10">
        <v>11</v>
      </c>
      <c r="L252" s="10">
        <v>453.58339563120302</v>
      </c>
      <c r="N252" s="10">
        <v>2013</v>
      </c>
      <c r="O252" s="10">
        <v>11</v>
      </c>
      <c r="P252" s="10">
        <v>453.58934052773498</v>
      </c>
      <c r="R252" s="10">
        <v>2013</v>
      </c>
      <c r="S252" s="10">
        <v>11</v>
      </c>
      <c r="T252" s="10">
        <v>453.59835968226099</v>
      </c>
      <c r="V252" s="10">
        <v>2013</v>
      </c>
      <c r="W252" s="10">
        <v>11</v>
      </c>
      <c r="X252" s="10">
        <v>453.53950034763398</v>
      </c>
      <c r="Z252" s="10">
        <v>2013</v>
      </c>
      <c r="AA252" s="10">
        <v>11</v>
      </c>
      <c r="AB252" s="10">
        <v>453.45002569403903</v>
      </c>
    </row>
    <row r="253" spans="1:28" x14ac:dyDescent="0.25">
      <c r="A253" s="8">
        <v>2013</v>
      </c>
      <c r="B253" s="8">
        <v>12</v>
      </c>
      <c r="C253" s="10">
        <v>451.28715747306097</v>
      </c>
      <c r="F253" s="8">
        <v>2013</v>
      </c>
      <c r="G253" s="8">
        <v>12</v>
      </c>
      <c r="H253" s="10">
        <v>448.98432408767098</v>
      </c>
      <c r="J253" s="10">
        <v>2013</v>
      </c>
      <c r="K253" s="10">
        <v>12</v>
      </c>
      <c r="L253" s="10">
        <v>448.85976834696299</v>
      </c>
      <c r="N253" s="10">
        <v>2013</v>
      </c>
      <c r="O253" s="10">
        <v>12</v>
      </c>
      <c r="P253" s="10">
        <v>448.84161420640299</v>
      </c>
      <c r="R253" s="10">
        <v>2013</v>
      </c>
      <c r="S253" s="10">
        <v>12</v>
      </c>
      <c r="T253" s="10">
        <v>448.88746728878903</v>
      </c>
      <c r="V253" s="10">
        <v>2013</v>
      </c>
      <c r="W253" s="10">
        <v>12</v>
      </c>
      <c r="X253" s="10">
        <v>448.87650017067898</v>
      </c>
      <c r="Z253" s="10">
        <v>2013</v>
      </c>
      <c r="AA253" s="10">
        <v>12</v>
      </c>
      <c r="AB253" s="10">
        <v>448.66633313573197</v>
      </c>
    </row>
    <row r="254" spans="1:28" x14ac:dyDescent="0.25">
      <c r="A254" s="8">
        <v>2014</v>
      </c>
      <c r="B254" s="8">
        <v>1</v>
      </c>
      <c r="C254" s="10">
        <v>460.87606423217699</v>
      </c>
      <c r="F254" s="8">
        <v>2014</v>
      </c>
      <c r="G254" s="8">
        <v>1</v>
      </c>
      <c r="H254" s="10">
        <v>459.43748251263497</v>
      </c>
      <c r="J254" s="10">
        <v>2014</v>
      </c>
      <c r="K254" s="10">
        <v>1</v>
      </c>
      <c r="L254" s="10">
        <v>459.77792837819402</v>
      </c>
      <c r="N254" s="10">
        <v>2014</v>
      </c>
      <c r="O254" s="10">
        <v>1</v>
      </c>
      <c r="P254" s="10">
        <v>459.82246269411002</v>
      </c>
      <c r="R254" s="10">
        <v>2014</v>
      </c>
      <c r="S254" s="10">
        <v>1</v>
      </c>
      <c r="T254" s="10">
        <v>459.72185711797999</v>
      </c>
      <c r="V254" s="10">
        <v>2014</v>
      </c>
      <c r="W254" s="10">
        <v>1</v>
      </c>
      <c r="X254" s="10">
        <v>459.69633911623299</v>
      </c>
      <c r="Z254" s="10">
        <v>2014</v>
      </c>
      <c r="AA254" s="10">
        <v>1</v>
      </c>
      <c r="AB254" s="10">
        <v>460.03261976893498</v>
      </c>
    </row>
    <row r="255" spans="1:28" x14ac:dyDescent="0.25">
      <c r="A255" s="8">
        <v>2014</v>
      </c>
      <c r="B255" s="8">
        <v>2</v>
      </c>
      <c r="C255" s="10">
        <v>442.203405513164</v>
      </c>
      <c r="F255" s="8">
        <v>2014</v>
      </c>
      <c r="G255" s="8">
        <v>2</v>
      </c>
      <c r="H255" s="10">
        <v>443.85165002519699</v>
      </c>
      <c r="J255" s="10">
        <v>2014</v>
      </c>
      <c r="K255" s="10">
        <v>2</v>
      </c>
      <c r="L255" s="10">
        <v>445.59185438059302</v>
      </c>
      <c r="N255" s="10">
        <v>2014</v>
      </c>
      <c r="O255" s="10">
        <v>2</v>
      </c>
      <c r="P255" s="10">
        <v>445.59366390641702</v>
      </c>
      <c r="R255" s="10">
        <v>2014</v>
      </c>
      <c r="S255" s="10">
        <v>2</v>
      </c>
      <c r="T255" s="10">
        <v>445.518750895479</v>
      </c>
      <c r="V255" s="10">
        <v>2014</v>
      </c>
      <c r="W255" s="10">
        <v>2</v>
      </c>
      <c r="X255" s="10">
        <v>445.00120050127299</v>
      </c>
      <c r="Z255" s="10">
        <v>2014</v>
      </c>
      <c r="AA255" s="10">
        <v>2</v>
      </c>
      <c r="AB255" s="10">
        <v>445.09464697501102</v>
      </c>
    </row>
    <row r="256" spans="1:28" x14ac:dyDescent="0.25">
      <c r="A256" s="8">
        <v>2014</v>
      </c>
      <c r="B256" s="8">
        <v>3</v>
      </c>
      <c r="C256" s="10">
        <v>458.375072031103</v>
      </c>
      <c r="F256" s="8">
        <v>2014</v>
      </c>
      <c r="G256" s="8">
        <v>3</v>
      </c>
      <c r="H256" s="10">
        <v>457.36214101227802</v>
      </c>
      <c r="J256" s="10">
        <v>2014</v>
      </c>
      <c r="K256" s="10">
        <v>3</v>
      </c>
      <c r="L256" s="10">
        <v>458.50291064653101</v>
      </c>
      <c r="N256" s="10">
        <v>2014</v>
      </c>
      <c r="O256" s="10">
        <v>3</v>
      </c>
      <c r="P256" s="10">
        <v>458.45888184572999</v>
      </c>
      <c r="R256" s="10">
        <v>2014</v>
      </c>
      <c r="S256" s="10">
        <v>3</v>
      </c>
      <c r="T256" s="10">
        <v>458.541754534446</v>
      </c>
      <c r="V256" s="10">
        <v>2014</v>
      </c>
      <c r="W256" s="10">
        <v>3</v>
      </c>
      <c r="X256" s="10">
        <v>458.43097624822502</v>
      </c>
      <c r="Z256" s="10">
        <v>2014</v>
      </c>
      <c r="AA256" s="10">
        <v>3</v>
      </c>
      <c r="AB256" s="10">
        <v>457.98463796113498</v>
      </c>
    </row>
    <row r="257" spans="1:28" x14ac:dyDescent="0.25">
      <c r="A257" s="8">
        <v>2014</v>
      </c>
      <c r="B257" s="8">
        <v>4</v>
      </c>
      <c r="C257" s="10">
        <v>486.02820814112198</v>
      </c>
      <c r="F257" s="8">
        <v>2014</v>
      </c>
      <c r="G257" s="8">
        <v>4</v>
      </c>
      <c r="H257" s="10">
        <v>485.18127760271199</v>
      </c>
      <c r="J257" s="10">
        <v>2014</v>
      </c>
      <c r="K257" s="10">
        <v>4</v>
      </c>
      <c r="L257" s="10">
        <v>486.16616837654999</v>
      </c>
      <c r="N257" s="10">
        <v>2014</v>
      </c>
      <c r="O257" s="10">
        <v>4</v>
      </c>
      <c r="P257" s="10">
        <v>486.220945575087</v>
      </c>
      <c r="R257" s="10">
        <v>2014</v>
      </c>
      <c r="S257" s="10">
        <v>4</v>
      </c>
      <c r="T257" s="10">
        <v>486.08203921166898</v>
      </c>
      <c r="V257" s="10">
        <v>2014</v>
      </c>
      <c r="W257" s="10">
        <v>4</v>
      </c>
      <c r="X257" s="10">
        <v>486.13418203185302</v>
      </c>
      <c r="Z257" s="10">
        <v>2014</v>
      </c>
      <c r="AA257" s="10">
        <v>4</v>
      </c>
      <c r="AB257" s="10">
        <v>486.70314399610402</v>
      </c>
    </row>
    <row r="258" spans="1:28" x14ac:dyDescent="0.25">
      <c r="A258" s="8">
        <v>2014</v>
      </c>
      <c r="B258" s="8">
        <v>5</v>
      </c>
      <c r="C258" s="10">
        <v>472.26856891072498</v>
      </c>
      <c r="F258" s="8">
        <v>2014</v>
      </c>
      <c r="G258" s="8">
        <v>5</v>
      </c>
      <c r="H258" s="10">
        <v>473.14529054203803</v>
      </c>
      <c r="J258" s="10">
        <v>2014</v>
      </c>
      <c r="K258" s="10">
        <v>5</v>
      </c>
      <c r="L258" s="10">
        <v>474.94887738711202</v>
      </c>
      <c r="N258" s="10">
        <v>2014</v>
      </c>
      <c r="O258" s="10">
        <v>5</v>
      </c>
      <c r="P258" s="10">
        <v>474.92354136040302</v>
      </c>
      <c r="R258" s="10">
        <v>2014</v>
      </c>
      <c r="S258" s="10">
        <v>5</v>
      </c>
      <c r="T258" s="10">
        <v>474.94346619912</v>
      </c>
      <c r="V258" s="10">
        <v>2014</v>
      </c>
      <c r="W258" s="10">
        <v>5</v>
      </c>
      <c r="X258" s="10">
        <v>474.77584627724298</v>
      </c>
      <c r="Z258" s="10">
        <v>2014</v>
      </c>
      <c r="AA258" s="10">
        <v>5</v>
      </c>
      <c r="AB258" s="10">
        <v>474.679028684402</v>
      </c>
    </row>
    <row r="259" spans="1:28" x14ac:dyDescent="0.25">
      <c r="A259" s="8">
        <v>2014</v>
      </c>
      <c r="B259" s="8">
        <v>6</v>
      </c>
      <c r="C259" s="10">
        <v>468.13049561309299</v>
      </c>
      <c r="F259" s="8">
        <v>2014</v>
      </c>
      <c r="G259" s="8">
        <v>6</v>
      </c>
      <c r="H259" s="10">
        <v>480.96288743886799</v>
      </c>
      <c r="J259" s="10">
        <v>2014</v>
      </c>
      <c r="K259" s="10">
        <v>6</v>
      </c>
      <c r="L259" s="10">
        <v>473.03193129631802</v>
      </c>
      <c r="N259" s="10">
        <v>2014</v>
      </c>
      <c r="O259" s="10">
        <v>6</v>
      </c>
      <c r="P259" s="10">
        <v>472.96441181636698</v>
      </c>
      <c r="R259" s="10">
        <v>2014</v>
      </c>
      <c r="S259" s="10">
        <v>6</v>
      </c>
      <c r="T259" s="10">
        <v>473.05459535555701</v>
      </c>
      <c r="V259" s="10">
        <v>2014</v>
      </c>
      <c r="W259" s="10">
        <v>6</v>
      </c>
      <c r="X259" s="10">
        <v>474.05170775140601</v>
      </c>
      <c r="Z259" s="10">
        <v>2014</v>
      </c>
      <c r="AA259" s="10">
        <v>6</v>
      </c>
      <c r="AB259" s="10">
        <v>473.33430661745501</v>
      </c>
    </row>
    <row r="260" spans="1:28" x14ac:dyDescent="0.25">
      <c r="A260" s="8">
        <v>2014</v>
      </c>
      <c r="B260" s="8">
        <v>7</v>
      </c>
      <c r="C260" s="10">
        <v>464.38222337589701</v>
      </c>
      <c r="F260" s="8">
        <v>2014</v>
      </c>
      <c r="G260" s="8">
        <v>7</v>
      </c>
      <c r="H260" s="10">
        <v>462.91785030943799</v>
      </c>
      <c r="J260" s="10">
        <v>2014</v>
      </c>
      <c r="K260" s="10">
        <v>7</v>
      </c>
      <c r="L260" s="10">
        <v>463.585218561337</v>
      </c>
      <c r="N260" s="10">
        <v>2014</v>
      </c>
      <c r="O260" s="10">
        <v>7</v>
      </c>
      <c r="P260" s="10">
        <v>463.61426165735901</v>
      </c>
      <c r="R260" s="10">
        <v>2014</v>
      </c>
      <c r="S260" s="10">
        <v>7</v>
      </c>
      <c r="T260" s="10">
        <v>463.55320107177801</v>
      </c>
      <c r="V260" s="10">
        <v>2014</v>
      </c>
      <c r="W260" s="10">
        <v>7</v>
      </c>
      <c r="X260" s="10">
        <v>463.553577838237</v>
      </c>
      <c r="Z260" s="10">
        <v>2014</v>
      </c>
      <c r="AA260" s="10">
        <v>7</v>
      </c>
      <c r="AB260" s="10">
        <v>463.967122871264</v>
      </c>
    </row>
    <row r="261" spans="1:28" x14ac:dyDescent="0.25">
      <c r="A261" s="8">
        <v>2014</v>
      </c>
      <c r="B261" s="8">
        <v>8</v>
      </c>
      <c r="C261" s="10">
        <v>440.96051092574299</v>
      </c>
      <c r="F261" s="8">
        <v>2014</v>
      </c>
      <c r="G261" s="8">
        <v>8</v>
      </c>
      <c r="H261" s="10">
        <v>439.50036153332798</v>
      </c>
      <c r="J261" s="10">
        <v>2014</v>
      </c>
      <c r="K261" s="10">
        <v>8</v>
      </c>
      <c r="L261" s="10">
        <v>440.500677648357</v>
      </c>
      <c r="N261" s="10">
        <v>2014</v>
      </c>
      <c r="O261" s="10">
        <v>8</v>
      </c>
      <c r="P261" s="10">
        <v>440.47195036517002</v>
      </c>
      <c r="R261" s="10">
        <v>2014</v>
      </c>
      <c r="S261" s="10">
        <v>8</v>
      </c>
      <c r="T261" s="10">
        <v>440.57331315502</v>
      </c>
      <c r="V261" s="10">
        <v>2014</v>
      </c>
      <c r="W261" s="10">
        <v>8</v>
      </c>
      <c r="X261" s="10">
        <v>440.49687637397</v>
      </c>
      <c r="Z261" s="10">
        <v>2014</v>
      </c>
      <c r="AA261" s="10">
        <v>8</v>
      </c>
      <c r="AB261" s="10">
        <v>440.18014506156902</v>
      </c>
    </row>
    <row r="262" spans="1:28" x14ac:dyDescent="0.25">
      <c r="A262" s="8">
        <v>2014</v>
      </c>
      <c r="B262" s="8">
        <v>9</v>
      </c>
      <c r="C262" s="10">
        <v>449.67444172903299</v>
      </c>
      <c r="F262" s="8">
        <v>2014</v>
      </c>
      <c r="G262" s="8">
        <v>9</v>
      </c>
      <c r="H262" s="10">
        <v>448.46646576509102</v>
      </c>
      <c r="J262" s="10">
        <v>2014</v>
      </c>
      <c r="K262" s="10">
        <v>9</v>
      </c>
      <c r="L262" s="10">
        <v>449.12863219507801</v>
      </c>
      <c r="N262" s="10">
        <v>2014</v>
      </c>
      <c r="O262" s="10">
        <v>9</v>
      </c>
      <c r="P262" s="10">
        <v>449.13374876242699</v>
      </c>
      <c r="R262" s="10">
        <v>2014</v>
      </c>
      <c r="S262" s="10">
        <v>9</v>
      </c>
      <c r="T262" s="10">
        <v>449.14379717610001</v>
      </c>
      <c r="V262" s="10">
        <v>2014</v>
      </c>
      <c r="W262" s="10">
        <v>9</v>
      </c>
      <c r="X262" s="10">
        <v>448.697859819798</v>
      </c>
      <c r="Z262" s="10">
        <v>2014</v>
      </c>
      <c r="AA262" s="10">
        <v>9</v>
      </c>
      <c r="AB262" s="10">
        <v>449.03739782682402</v>
      </c>
    </row>
    <row r="263" spans="1:28" x14ac:dyDescent="0.25">
      <c r="A263" s="8">
        <v>2014</v>
      </c>
      <c r="B263" s="8">
        <v>10</v>
      </c>
      <c r="C263" s="10">
        <v>440.29789853711998</v>
      </c>
      <c r="F263" s="8">
        <v>2014</v>
      </c>
      <c r="G263" s="8">
        <v>10</v>
      </c>
      <c r="H263" s="10">
        <v>438.99708867749899</v>
      </c>
      <c r="J263" s="10">
        <v>2014</v>
      </c>
      <c r="K263" s="10">
        <v>10</v>
      </c>
      <c r="L263" s="10">
        <v>439.10916338197899</v>
      </c>
      <c r="N263" s="10">
        <v>2014</v>
      </c>
      <c r="O263" s="10">
        <v>10</v>
      </c>
      <c r="P263" s="10">
        <v>439.15097442800499</v>
      </c>
      <c r="R263" s="10">
        <v>2014</v>
      </c>
      <c r="S263" s="10">
        <v>10</v>
      </c>
      <c r="T263" s="10">
        <v>439.07845155958898</v>
      </c>
      <c r="V263" s="10">
        <v>2014</v>
      </c>
      <c r="W263" s="10">
        <v>10</v>
      </c>
      <c r="X263" s="10">
        <v>439.030787226874</v>
      </c>
      <c r="Z263" s="10">
        <v>2014</v>
      </c>
      <c r="AA263" s="10">
        <v>10</v>
      </c>
      <c r="AB263" s="10">
        <v>439.40127187077297</v>
      </c>
    </row>
    <row r="264" spans="1:28" x14ac:dyDescent="0.25">
      <c r="A264" s="8">
        <v>2014</v>
      </c>
      <c r="B264" s="8">
        <v>11</v>
      </c>
      <c r="C264" s="10">
        <v>447.23390755243298</v>
      </c>
      <c r="F264" s="8">
        <v>2014</v>
      </c>
      <c r="G264" s="8">
        <v>11</v>
      </c>
      <c r="H264" s="10">
        <v>445.04426173916801</v>
      </c>
      <c r="J264" s="10">
        <v>2014</v>
      </c>
      <c r="K264" s="10">
        <v>11</v>
      </c>
      <c r="L264" s="10">
        <v>445.59854992050902</v>
      </c>
      <c r="N264" s="10">
        <v>2014</v>
      </c>
      <c r="O264" s="10">
        <v>11</v>
      </c>
      <c r="P264" s="10">
        <v>445.56319617075098</v>
      </c>
      <c r="R264" s="10">
        <v>2014</v>
      </c>
      <c r="S264" s="10">
        <v>11</v>
      </c>
      <c r="T264" s="10">
        <v>445.67728684277398</v>
      </c>
      <c r="V264" s="10">
        <v>2014</v>
      </c>
      <c r="W264" s="10">
        <v>11</v>
      </c>
      <c r="X264" s="10">
        <v>445.60087017908</v>
      </c>
      <c r="Z264" s="10">
        <v>2014</v>
      </c>
      <c r="AA264" s="10">
        <v>11</v>
      </c>
      <c r="AB264" s="10">
        <v>445.093204708396</v>
      </c>
    </row>
    <row r="265" spans="1:28" x14ac:dyDescent="0.25">
      <c r="A265" s="8">
        <v>2014</v>
      </c>
      <c r="B265" s="8">
        <v>12</v>
      </c>
      <c r="C265" s="10">
        <v>467.41227971790101</v>
      </c>
      <c r="F265" s="8">
        <v>2014</v>
      </c>
      <c r="G265" s="8">
        <v>12</v>
      </c>
      <c r="H265" s="10">
        <v>464.91125127955797</v>
      </c>
      <c r="J265" s="10">
        <v>2014</v>
      </c>
      <c r="K265" s="10">
        <v>12</v>
      </c>
      <c r="L265" s="10">
        <v>464.45480470907899</v>
      </c>
      <c r="N265" s="10">
        <v>2014</v>
      </c>
      <c r="O265" s="10">
        <v>12</v>
      </c>
      <c r="P265" s="10">
        <v>464.49004853987998</v>
      </c>
      <c r="R265" s="10">
        <v>2014</v>
      </c>
      <c r="S265" s="10">
        <v>12</v>
      </c>
      <c r="T265" s="10">
        <v>464.43280533429498</v>
      </c>
      <c r="V265" s="10">
        <v>2014</v>
      </c>
      <c r="W265" s="10">
        <v>12</v>
      </c>
      <c r="X265" s="10">
        <v>464.42132750040099</v>
      </c>
      <c r="Z265" s="10">
        <v>2014</v>
      </c>
      <c r="AA265" s="10">
        <v>12</v>
      </c>
      <c r="AB265" s="10">
        <v>464.70412113880798</v>
      </c>
    </row>
    <row r="266" spans="1:28" x14ac:dyDescent="0.25">
      <c r="A266" s="8">
        <v>2015</v>
      </c>
      <c r="B266" s="8">
        <v>1</v>
      </c>
      <c r="C266" s="10">
        <v>445.25460341792399</v>
      </c>
      <c r="F266" s="8">
        <v>2015</v>
      </c>
      <c r="G266" s="8">
        <v>1</v>
      </c>
      <c r="H266" s="10">
        <v>442.62414556575402</v>
      </c>
      <c r="J266" s="10">
        <v>2015</v>
      </c>
      <c r="K266" s="10">
        <v>1</v>
      </c>
      <c r="L266" s="10">
        <v>443.07949515414799</v>
      </c>
      <c r="N266" s="10">
        <v>2015</v>
      </c>
      <c r="O266" s="10">
        <v>1</v>
      </c>
      <c r="P266" s="10">
        <v>443.09118334141198</v>
      </c>
      <c r="R266" s="10">
        <v>2015</v>
      </c>
      <c r="S266" s="10">
        <v>1</v>
      </c>
      <c r="T266" s="10">
        <v>443.09856174753799</v>
      </c>
      <c r="V266" s="10">
        <v>2015</v>
      </c>
      <c r="W266" s="10">
        <v>1</v>
      </c>
      <c r="X266" s="10">
        <v>443.10776194701202</v>
      </c>
      <c r="Z266" s="10">
        <v>2015</v>
      </c>
      <c r="AA266" s="10">
        <v>1</v>
      </c>
      <c r="AB266" s="10">
        <v>442.995046443121</v>
      </c>
    </row>
    <row r="267" spans="1:28" x14ac:dyDescent="0.25">
      <c r="A267" s="8">
        <v>2015</v>
      </c>
      <c r="B267" s="8">
        <v>2</v>
      </c>
      <c r="C267" s="10">
        <v>437.03915436659099</v>
      </c>
      <c r="F267" s="8">
        <v>2015</v>
      </c>
      <c r="G267" s="8">
        <v>2</v>
      </c>
      <c r="H267" s="10">
        <v>438.0317205627</v>
      </c>
      <c r="J267" s="10">
        <v>2015</v>
      </c>
      <c r="K267" s="10">
        <v>2</v>
      </c>
      <c r="L267" s="10">
        <v>440.09672381738301</v>
      </c>
      <c r="N267" s="10">
        <v>2015</v>
      </c>
      <c r="O267" s="10">
        <v>2</v>
      </c>
      <c r="P267" s="10">
        <v>440.10387052590301</v>
      </c>
      <c r="R267" s="10">
        <v>2015</v>
      </c>
      <c r="S267" s="10">
        <v>2</v>
      </c>
      <c r="T267" s="10">
        <v>440.00713776513902</v>
      </c>
      <c r="V267" s="10">
        <v>2015</v>
      </c>
      <c r="W267" s="10">
        <v>2</v>
      </c>
      <c r="X267" s="10">
        <v>439.52252480410601</v>
      </c>
      <c r="Z267" s="10">
        <v>2015</v>
      </c>
      <c r="AA267" s="10">
        <v>2</v>
      </c>
      <c r="AB267" s="10">
        <v>439.41985115176197</v>
      </c>
    </row>
    <row r="268" spans="1:28" x14ac:dyDescent="0.25">
      <c r="A268" s="8">
        <v>2015</v>
      </c>
      <c r="B268" s="8">
        <v>3</v>
      </c>
      <c r="C268" s="10">
        <v>416.468264118447</v>
      </c>
      <c r="F268" s="8">
        <v>2015</v>
      </c>
      <c r="G268" s="8">
        <v>3</v>
      </c>
      <c r="H268" s="10">
        <v>415.75179364693599</v>
      </c>
      <c r="J268" s="10">
        <v>2015</v>
      </c>
      <c r="K268" s="10">
        <v>3</v>
      </c>
      <c r="L268" s="10">
        <v>416.66806433457401</v>
      </c>
      <c r="N268" s="10">
        <v>2015</v>
      </c>
      <c r="O268" s="10">
        <v>3</v>
      </c>
      <c r="P268" s="10">
        <v>416.66805310606998</v>
      </c>
      <c r="R268" s="10">
        <v>2015</v>
      </c>
      <c r="S268" s="10">
        <v>3</v>
      </c>
      <c r="T268" s="10">
        <v>416.66300437823799</v>
      </c>
      <c r="V268" s="10">
        <v>2015</v>
      </c>
      <c r="W268" s="10">
        <v>3</v>
      </c>
      <c r="X268" s="10">
        <v>416.54690527495001</v>
      </c>
      <c r="Z268" s="10">
        <v>2015</v>
      </c>
      <c r="AA268" s="10">
        <v>3</v>
      </c>
      <c r="AB268" s="10">
        <v>416.57374728782798</v>
      </c>
    </row>
    <row r="269" spans="1:28" x14ac:dyDescent="0.25">
      <c r="A269" s="8">
        <v>2015</v>
      </c>
      <c r="B269" s="8">
        <v>4</v>
      </c>
      <c r="C269" s="10">
        <v>387.01726499174902</v>
      </c>
      <c r="F269" s="8">
        <v>2015</v>
      </c>
      <c r="G269" s="8">
        <v>4</v>
      </c>
      <c r="H269" s="10">
        <v>386.75992473964197</v>
      </c>
      <c r="J269" s="10">
        <v>2015</v>
      </c>
      <c r="K269" s="10">
        <v>4</v>
      </c>
      <c r="L269" s="10">
        <v>387.573983756686</v>
      </c>
      <c r="N269" s="10">
        <v>2015</v>
      </c>
      <c r="O269" s="10">
        <v>4</v>
      </c>
      <c r="P269" s="10">
        <v>387.62910960726902</v>
      </c>
      <c r="R269" s="10">
        <v>2015</v>
      </c>
      <c r="S269" s="10">
        <v>4</v>
      </c>
      <c r="T269" s="10">
        <v>387.49395223529098</v>
      </c>
      <c r="V269" s="10">
        <v>2015</v>
      </c>
      <c r="W269" s="10">
        <v>4</v>
      </c>
      <c r="X269" s="10">
        <v>387.587522966893</v>
      </c>
      <c r="Z269" s="10">
        <v>2015</v>
      </c>
      <c r="AA269" s="10">
        <v>4</v>
      </c>
      <c r="AB269" s="10">
        <v>388.210516977596</v>
      </c>
    </row>
    <row r="270" spans="1:28" x14ac:dyDescent="0.25">
      <c r="A270" s="8">
        <v>2015</v>
      </c>
      <c r="B270" s="8">
        <v>5</v>
      </c>
      <c r="C270" s="10">
        <v>400.13666858702601</v>
      </c>
      <c r="F270" s="8">
        <v>2015</v>
      </c>
      <c r="G270" s="8">
        <v>5</v>
      </c>
      <c r="H270" s="10">
        <v>402.20855334659899</v>
      </c>
      <c r="J270" s="10">
        <v>2015</v>
      </c>
      <c r="K270" s="10">
        <v>5</v>
      </c>
      <c r="L270" s="10">
        <v>404.36475742722399</v>
      </c>
      <c r="N270" s="10">
        <v>2015</v>
      </c>
      <c r="O270" s="10">
        <v>5</v>
      </c>
      <c r="P270" s="10">
        <v>404.28152961227102</v>
      </c>
      <c r="R270" s="10">
        <v>2015</v>
      </c>
      <c r="S270" s="10">
        <v>5</v>
      </c>
      <c r="T270" s="10">
        <v>404.42152184855797</v>
      </c>
      <c r="V270" s="10">
        <v>2015</v>
      </c>
      <c r="W270" s="10">
        <v>5</v>
      </c>
      <c r="X270" s="10">
        <v>404.31611164762802</v>
      </c>
      <c r="Z270" s="10">
        <v>2015</v>
      </c>
      <c r="AA270" s="10">
        <v>5</v>
      </c>
      <c r="AB270" s="10">
        <v>403.752579132515</v>
      </c>
    </row>
    <row r="271" spans="1:28" x14ac:dyDescent="0.25">
      <c r="A271" s="8">
        <v>2015</v>
      </c>
      <c r="B271" s="8">
        <v>6</v>
      </c>
      <c r="C271" s="10">
        <v>434.825147517186</v>
      </c>
      <c r="F271" s="8">
        <v>2015</v>
      </c>
      <c r="G271" s="8">
        <v>6</v>
      </c>
      <c r="H271" s="10">
        <v>449.34303732478003</v>
      </c>
      <c r="J271" s="10">
        <v>2015</v>
      </c>
      <c r="K271" s="10">
        <v>6</v>
      </c>
      <c r="L271" s="10">
        <v>441.94674854761899</v>
      </c>
      <c r="N271" s="10">
        <v>2015</v>
      </c>
      <c r="O271" s="10">
        <v>6</v>
      </c>
      <c r="P271" s="10">
        <v>441.922851846806</v>
      </c>
      <c r="R271" s="10">
        <v>2015</v>
      </c>
      <c r="S271" s="10">
        <v>6</v>
      </c>
      <c r="T271" s="10">
        <v>441.89215259809401</v>
      </c>
      <c r="V271" s="10">
        <v>2015</v>
      </c>
      <c r="W271" s="10">
        <v>6</v>
      </c>
      <c r="X271" s="10">
        <v>442.54863092346199</v>
      </c>
      <c r="Z271" s="10">
        <v>2015</v>
      </c>
      <c r="AA271" s="10">
        <v>6</v>
      </c>
      <c r="AB271" s="10">
        <v>442.459313076905</v>
      </c>
    </row>
    <row r="272" spans="1:28" x14ac:dyDescent="0.25">
      <c r="A272" s="8">
        <v>2015</v>
      </c>
      <c r="B272" s="8">
        <v>7</v>
      </c>
      <c r="C272" s="10">
        <v>416.07287272138302</v>
      </c>
      <c r="F272" s="8">
        <v>2015</v>
      </c>
      <c r="G272" s="8">
        <v>7</v>
      </c>
      <c r="H272" s="10">
        <v>414.90827044207998</v>
      </c>
      <c r="J272" s="10">
        <v>2015</v>
      </c>
      <c r="K272" s="10">
        <v>7</v>
      </c>
      <c r="L272" s="10">
        <v>415.45147099481801</v>
      </c>
      <c r="N272" s="10">
        <v>2015</v>
      </c>
      <c r="O272" s="10">
        <v>7</v>
      </c>
      <c r="P272" s="10">
        <v>415.47043770578802</v>
      </c>
      <c r="R272" s="10">
        <v>2015</v>
      </c>
      <c r="S272" s="10">
        <v>7</v>
      </c>
      <c r="T272" s="10">
        <v>415.398865199</v>
      </c>
      <c r="V272" s="10">
        <v>2015</v>
      </c>
      <c r="W272" s="10">
        <v>7</v>
      </c>
      <c r="X272" s="10">
        <v>415.38527739431498</v>
      </c>
      <c r="Z272" s="10">
        <v>2015</v>
      </c>
      <c r="AA272" s="10">
        <v>7</v>
      </c>
      <c r="AB272" s="10">
        <v>415.80558817167002</v>
      </c>
    </row>
    <row r="273" spans="1:28" x14ac:dyDescent="0.25">
      <c r="A273" s="8">
        <v>2015</v>
      </c>
      <c r="B273" s="8">
        <v>8</v>
      </c>
      <c r="C273" s="10">
        <v>447.58351621687802</v>
      </c>
      <c r="F273" s="8">
        <v>2015</v>
      </c>
      <c r="G273" s="8">
        <v>8</v>
      </c>
      <c r="H273" s="10">
        <v>446.19135192748001</v>
      </c>
      <c r="J273" s="10">
        <v>2015</v>
      </c>
      <c r="K273" s="10">
        <v>8</v>
      </c>
      <c r="L273" s="10">
        <v>447.09430541252402</v>
      </c>
      <c r="N273" s="10">
        <v>2015</v>
      </c>
      <c r="O273" s="10">
        <v>8</v>
      </c>
      <c r="P273" s="10">
        <v>447.04478690472098</v>
      </c>
      <c r="R273" s="10">
        <v>2015</v>
      </c>
      <c r="S273" s="10">
        <v>8</v>
      </c>
      <c r="T273" s="10">
        <v>447.15979280088499</v>
      </c>
      <c r="V273" s="10">
        <v>2015</v>
      </c>
      <c r="W273" s="10">
        <v>8</v>
      </c>
      <c r="X273" s="10">
        <v>447.10645384788</v>
      </c>
      <c r="Z273" s="10">
        <v>2015</v>
      </c>
      <c r="AA273" s="10">
        <v>8</v>
      </c>
      <c r="AB273" s="10">
        <v>446.721914475294</v>
      </c>
    </row>
    <row r="274" spans="1:28" x14ac:dyDescent="0.25">
      <c r="A274" s="8">
        <v>2015</v>
      </c>
      <c r="B274" s="8">
        <v>9</v>
      </c>
      <c r="C274" s="10">
        <v>433.99810060745</v>
      </c>
      <c r="F274" s="8">
        <v>2015</v>
      </c>
      <c r="G274" s="8">
        <v>9</v>
      </c>
      <c r="H274" s="10">
        <v>432.49394973312002</v>
      </c>
      <c r="J274" s="10">
        <v>2015</v>
      </c>
      <c r="K274" s="10">
        <v>9</v>
      </c>
      <c r="L274" s="10">
        <v>432.91157529050901</v>
      </c>
      <c r="N274" s="10">
        <v>2015</v>
      </c>
      <c r="O274" s="10">
        <v>9</v>
      </c>
      <c r="P274" s="10">
        <v>432.92300467135999</v>
      </c>
      <c r="R274" s="10">
        <v>2015</v>
      </c>
      <c r="S274" s="10">
        <v>9</v>
      </c>
      <c r="T274" s="10">
        <v>432.91107297114002</v>
      </c>
      <c r="V274" s="10">
        <v>2015</v>
      </c>
      <c r="W274" s="10">
        <v>9</v>
      </c>
      <c r="X274" s="10">
        <v>432.65934964711602</v>
      </c>
      <c r="Z274" s="10">
        <v>2015</v>
      </c>
      <c r="AA274" s="10">
        <v>9</v>
      </c>
      <c r="AB274" s="10">
        <v>432.979420317571</v>
      </c>
    </row>
    <row r="275" spans="1:28" x14ac:dyDescent="0.25">
      <c r="A275" s="8">
        <v>2015</v>
      </c>
      <c r="B275" s="8">
        <v>10</v>
      </c>
      <c r="C275" s="10">
        <v>431.19801305553301</v>
      </c>
      <c r="F275" s="8">
        <v>2015</v>
      </c>
      <c r="G275" s="8">
        <v>10</v>
      </c>
      <c r="H275" s="10">
        <v>429.08503642823001</v>
      </c>
      <c r="J275" s="10">
        <v>2015</v>
      </c>
      <c r="K275" s="10">
        <v>10</v>
      </c>
      <c r="L275" s="10">
        <v>429.436282357305</v>
      </c>
      <c r="N275" s="10">
        <v>2015</v>
      </c>
      <c r="O275" s="10">
        <v>10</v>
      </c>
      <c r="P275" s="10">
        <v>429.437437874252</v>
      </c>
      <c r="R275" s="10">
        <v>2015</v>
      </c>
      <c r="S275" s="10">
        <v>10</v>
      </c>
      <c r="T275" s="10">
        <v>429.47747469021999</v>
      </c>
      <c r="V275" s="10">
        <v>2015</v>
      </c>
      <c r="W275" s="10">
        <v>10</v>
      </c>
      <c r="X275" s="10">
        <v>429.42871514331398</v>
      </c>
      <c r="Z275" s="10">
        <v>2015</v>
      </c>
      <c r="AA275" s="10">
        <v>10</v>
      </c>
      <c r="AB275" s="10">
        <v>429.389991352104</v>
      </c>
    </row>
    <row r="276" spans="1:28" x14ac:dyDescent="0.25">
      <c r="A276" s="8">
        <v>2015</v>
      </c>
      <c r="B276" s="8">
        <v>11</v>
      </c>
      <c r="C276" s="10">
        <v>391.03914014214899</v>
      </c>
      <c r="F276" s="8">
        <v>2015</v>
      </c>
      <c r="G276" s="8">
        <v>11</v>
      </c>
      <c r="H276" s="10">
        <v>388.08916782664397</v>
      </c>
      <c r="J276" s="10">
        <v>2015</v>
      </c>
      <c r="K276" s="10">
        <v>11</v>
      </c>
      <c r="L276" s="10">
        <v>387.29268714788401</v>
      </c>
      <c r="N276" s="10">
        <v>2015</v>
      </c>
      <c r="O276" s="10">
        <v>11</v>
      </c>
      <c r="P276" s="10">
        <v>387.30056975749397</v>
      </c>
      <c r="R276" s="10">
        <v>2015</v>
      </c>
      <c r="S276" s="10">
        <v>11</v>
      </c>
      <c r="T276" s="10">
        <v>387.30789302141699</v>
      </c>
      <c r="V276" s="10">
        <v>2015</v>
      </c>
      <c r="W276" s="10">
        <v>11</v>
      </c>
      <c r="X276" s="10">
        <v>387.21420410598398</v>
      </c>
      <c r="Z276" s="10">
        <v>2015</v>
      </c>
      <c r="AA276" s="10">
        <v>11</v>
      </c>
      <c r="AB276" s="10">
        <v>387.07328042956601</v>
      </c>
    </row>
    <row r="277" spans="1:28" x14ac:dyDescent="0.25">
      <c r="A277" s="8">
        <v>2015</v>
      </c>
      <c r="B277" s="8">
        <v>12</v>
      </c>
      <c r="C277" s="10">
        <v>398.28409363667203</v>
      </c>
      <c r="F277" s="8">
        <v>2015</v>
      </c>
      <c r="G277" s="8">
        <v>12</v>
      </c>
      <c r="H277" s="10">
        <v>395.16909229565499</v>
      </c>
      <c r="J277" s="10">
        <v>2015</v>
      </c>
      <c r="K277" s="10">
        <v>12</v>
      </c>
      <c r="L277" s="10">
        <v>394.65553329104</v>
      </c>
      <c r="N277" s="10">
        <v>2015</v>
      </c>
      <c r="O277" s="10">
        <v>12</v>
      </c>
      <c r="P277" s="10">
        <v>394.71607346072398</v>
      </c>
      <c r="R277" s="10">
        <v>2015</v>
      </c>
      <c r="S277" s="10">
        <v>12</v>
      </c>
      <c r="T277" s="10">
        <v>394.66559907703299</v>
      </c>
      <c r="V277" s="10">
        <v>2015</v>
      </c>
      <c r="W277" s="10">
        <v>12</v>
      </c>
      <c r="X277" s="10">
        <v>394.64168038117998</v>
      </c>
      <c r="Z277" s="10">
        <v>2015</v>
      </c>
      <c r="AA277" s="10">
        <v>12</v>
      </c>
      <c r="AB277" s="10">
        <v>395.02315964008602</v>
      </c>
    </row>
    <row r="278" spans="1:28" x14ac:dyDescent="0.25">
      <c r="A278" s="8">
        <v>2016</v>
      </c>
      <c r="B278" s="8">
        <v>1</v>
      </c>
      <c r="C278" s="10">
        <v>385.23001141801899</v>
      </c>
      <c r="F278" s="8">
        <v>2016</v>
      </c>
      <c r="G278" s="8">
        <v>1</v>
      </c>
      <c r="H278" s="10">
        <v>380.73643963429799</v>
      </c>
      <c r="J278" s="10">
        <v>2016</v>
      </c>
      <c r="K278" s="10">
        <v>1</v>
      </c>
      <c r="L278" s="10">
        <v>381.26126696960699</v>
      </c>
      <c r="N278" s="10">
        <v>2016</v>
      </c>
      <c r="O278" s="10">
        <v>1</v>
      </c>
      <c r="P278" s="10">
        <v>381.25267336892102</v>
      </c>
      <c r="R278" s="10">
        <v>2016</v>
      </c>
      <c r="S278" s="10">
        <v>1</v>
      </c>
      <c r="T278" s="10">
        <v>381.37955499751399</v>
      </c>
      <c r="V278" s="10">
        <v>2016</v>
      </c>
      <c r="W278" s="10">
        <v>1</v>
      </c>
      <c r="X278" s="10">
        <v>381.39474744847797</v>
      </c>
      <c r="Z278" s="10">
        <v>2016</v>
      </c>
      <c r="AA278" s="10">
        <v>1</v>
      </c>
      <c r="AB278" s="10">
        <v>380.84359865123901</v>
      </c>
    </row>
    <row r="279" spans="1:28" x14ac:dyDescent="0.25">
      <c r="A279" s="8">
        <v>2016</v>
      </c>
      <c r="B279" s="8">
        <v>2</v>
      </c>
      <c r="C279" s="10">
        <v>372.89987036456</v>
      </c>
      <c r="F279" s="8">
        <v>2016</v>
      </c>
      <c r="G279" s="8">
        <v>2</v>
      </c>
      <c r="H279" s="10">
        <v>364.224122652669</v>
      </c>
      <c r="J279" s="10">
        <v>2016</v>
      </c>
      <c r="K279" s="10">
        <v>2</v>
      </c>
      <c r="L279" s="10">
        <v>363.94921070283999</v>
      </c>
      <c r="N279" s="10">
        <v>2016</v>
      </c>
      <c r="O279" s="10">
        <v>2</v>
      </c>
      <c r="P279" s="10">
        <v>363.983471197173</v>
      </c>
      <c r="R279" s="10">
        <v>2016</v>
      </c>
      <c r="S279" s="10">
        <v>2</v>
      </c>
      <c r="T279" s="10">
        <v>364.08344453699999</v>
      </c>
      <c r="V279" s="10">
        <v>2016</v>
      </c>
      <c r="W279" s="10">
        <v>2</v>
      </c>
      <c r="X279" s="10">
        <v>365.405823597108</v>
      </c>
      <c r="Z279" s="10">
        <v>2016</v>
      </c>
      <c r="AA279" s="10">
        <v>2</v>
      </c>
      <c r="AB279" s="10">
        <v>364.68024863195097</v>
      </c>
    </row>
    <row r="280" spans="1:28" x14ac:dyDescent="0.25">
      <c r="A280" s="8">
        <v>2016</v>
      </c>
      <c r="B280" s="8">
        <v>3</v>
      </c>
      <c r="C280" s="10">
        <v>305.14427088529601</v>
      </c>
      <c r="F280" s="8">
        <v>2016</v>
      </c>
      <c r="G280" s="8">
        <v>3</v>
      </c>
      <c r="H280" s="10">
        <v>305.271762842344</v>
      </c>
      <c r="J280" s="10">
        <v>2016</v>
      </c>
      <c r="K280" s="10">
        <v>3</v>
      </c>
      <c r="L280" s="10">
        <v>305.79130625663498</v>
      </c>
      <c r="N280" s="10">
        <v>2016</v>
      </c>
      <c r="O280" s="10">
        <v>3</v>
      </c>
      <c r="P280" s="10">
        <v>305.83368963114702</v>
      </c>
      <c r="R280" s="10">
        <v>2016</v>
      </c>
      <c r="S280" s="10">
        <v>3</v>
      </c>
      <c r="T280" s="10">
        <v>305.74646588418102</v>
      </c>
      <c r="V280" s="10">
        <v>2016</v>
      </c>
      <c r="W280" s="10">
        <v>3</v>
      </c>
      <c r="X280" s="10">
        <v>305.63814945943699</v>
      </c>
      <c r="Z280" s="10">
        <v>2016</v>
      </c>
      <c r="AA280" s="10">
        <v>3</v>
      </c>
      <c r="AB280" s="10">
        <v>306.08836881332297</v>
      </c>
    </row>
    <row r="281" spans="1:28" x14ac:dyDescent="0.25">
      <c r="A281" s="8">
        <v>2016</v>
      </c>
      <c r="B281" s="8">
        <v>4</v>
      </c>
      <c r="C281" s="10">
        <v>322.397616340566</v>
      </c>
      <c r="F281" s="8">
        <v>2016</v>
      </c>
      <c r="G281" s="8">
        <v>4</v>
      </c>
      <c r="H281" s="10">
        <v>323.24845538121502</v>
      </c>
      <c r="J281" s="10">
        <v>2016</v>
      </c>
      <c r="K281" s="10">
        <v>4</v>
      </c>
      <c r="L281" s="10">
        <v>324.16952676629802</v>
      </c>
      <c r="N281" s="10">
        <v>2016</v>
      </c>
      <c r="O281" s="10">
        <v>4</v>
      </c>
      <c r="P281" s="10">
        <v>324.17190754234099</v>
      </c>
      <c r="R281" s="10">
        <v>2016</v>
      </c>
      <c r="S281" s="10">
        <v>4</v>
      </c>
      <c r="T281" s="10">
        <v>324.13185498175397</v>
      </c>
      <c r="V281" s="10">
        <v>2016</v>
      </c>
      <c r="W281" s="10">
        <v>4</v>
      </c>
      <c r="X281" s="10">
        <v>324.25999167017198</v>
      </c>
      <c r="Z281" s="10">
        <v>2016</v>
      </c>
      <c r="AA281" s="10">
        <v>4</v>
      </c>
      <c r="AB281" s="10">
        <v>324.49801272187398</v>
      </c>
    </row>
    <row r="282" spans="1:28" x14ac:dyDescent="0.25">
      <c r="A282" s="8">
        <v>2016</v>
      </c>
      <c r="B282" s="8">
        <v>5</v>
      </c>
      <c r="C282" s="10">
        <v>369.36453952996197</v>
      </c>
      <c r="F282" s="8">
        <v>2016</v>
      </c>
      <c r="G282" s="8">
        <v>5</v>
      </c>
      <c r="H282" s="10">
        <v>372.96075544256399</v>
      </c>
      <c r="J282" s="10">
        <v>2016</v>
      </c>
      <c r="K282" s="10">
        <v>5</v>
      </c>
      <c r="L282" s="10">
        <v>374.73965204731098</v>
      </c>
      <c r="N282" s="10">
        <v>2016</v>
      </c>
      <c r="O282" s="10">
        <v>5</v>
      </c>
      <c r="P282" s="10">
        <v>374.66977124722598</v>
      </c>
      <c r="R282" s="10">
        <v>2016</v>
      </c>
      <c r="S282" s="10">
        <v>5</v>
      </c>
      <c r="T282" s="10">
        <v>374.71653427256598</v>
      </c>
      <c r="V282" s="10">
        <v>2016</v>
      </c>
      <c r="W282" s="10">
        <v>5</v>
      </c>
      <c r="X282" s="10">
        <v>374.645964709319</v>
      </c>
      <c r="Z282" s="10">
        <v>2016</v>
      </c>
      <c r="AA282" s="10">
        <v>5</v>
      </c>
      <c r="AB282" s="10">
        <v>374.47910535423898</v>
      </c>
    </row>
    <row r="283" spans="1:28" x14ac:dyDescent="0.25">
      <c r="A283" s="8">
        <v>2016</v>
      </c>
      <c r="B283" s="8">
        <v>6</v>
      </c>
      <c r="C283" s="10">
        <v>363.41428505850399</v>
      </c>
      <c r="F283" s="8">
        <v>2016</v>
      </c>
      <c r="G283" s="8">
        <v>6</v>
      </c>
      <c r="H283" s="10">
        <v>378.632307999104</v>
      </c>
      <c r="J283" s="10">
        <v>2016</v>
      </c>
      <c r="K283" s="10">
        <v>6</v>
      </c>
      <c r="L283" s="10">
        <v>372.39521920839599</v>
      </c>
      <c r="N283" s="10">
        <v>2016</v>
      </c>
      <c r="O283" s="10">
        <v>6</v>
      </c>
      <c r="P283" s="10">
        <v>372.35847071806597</v>
      </c>
      <c r="R283" s="10">
        <v>2016</v>
      </c>
      <c r="S283" s="10">
        <v>6</v>
      </c>
      <c r="T283" s="10">
        <v>372.29062153019498</v>
      </c>
      <c r="V283" s="10">
        <v>2016</v>
      </c>
      <c r="W283" s="10">
        <v>6</v>
      </c>
      <c r="X283" s="10">
        <v>372.61590310858702</v>
      </c>
      <c r="Z283" s="10">
        <v>2016</v>
      </c>
      <c r="AA283" s="10">
        <v>6</v>
      </c>
      <c r="AB283" s="10">
        <v>372.74106585175599</v>
      </c>
    </row>
    <row r="284" spans="1:28" x14ac:dyDescent="0.25">
      <c r="A284" s="8">
        <v>2016</v>
      </c>
      <c r="B284" s="8">
        <v>7</v>
      </c>
      <c r="C284" s="10">
        <v>337.70639790601399</v>
      </c>
      <c r="F284" s="8">
        <v>2016</v>
      </c>
      <c r="G284" s="8">
        <v>7</v>
      </c>
      <c r="H284" s="10">
        <v>337.56457491905201</v>
      </c>
      <c r="J284" s="10">
        <v>2016</v>
      </c>
      <c r="K284" s="10">
        <v>7</v>
      </c>
      <c r="L284" s="10">
        <v>338.61929697317498</v>
      </c>
      <c r="N284" s="10">
        <v>2016</v>
      </c>
      <c r="O284" s="10">
        <v>7</v>
      </c>
      <c r="P284" s="10">
        <v>338.53127713467097</v>
      </c>
      <c r="R284" s="10">
        <v>2016</v>
      </c>
      <c r="S284" s="10">
        <v>7</v>
      </c>
      <c r="T284" s="10">
        <v>338.63831982426302</v>
      </c>
      <c r="V284" s="10">
        <v>2016</v>
      </c>
      <c r="W284" s="10">
        <v>7</v>
      </c>
      <c r="X284" s="10">
        <v>338.61564784230899</v>
      </c>
      <c r="Z284" s="10">
        <v>2016</v>
      </c>
      <c r="AA284" s="10">
        <v>7</v>
      </c>
      <c r="AB284" s="10">
        <v>338.18315015894501</v>
      </c>
    </row>
    <row r="285" spans="1:28" x14ac:dyDescent="0.25">
      <c r="A285" s="8">
        <v>2016</v>
      </c>
      <c r="B285" s="8">
        <v>8</v>
      </c>
      <c r="C285" s="10">
        <v>316.33519126437898</v>
      </c>
      <c r="F285" s="8">
        <v>2016</v>
      </c>
      <c r="G285" s="8">
        <v>8</v>
      </c>
      <c r="H285" s="10">
        <v>315.88541784353401</v>
      </c>
      <c r="J285" s="10">
        <v>2016</v>
      </c>
      <c r="K285" s="10">
        <v>8</v>
      </c>
      <c r="L285" s="10">
        <v>316.078458484544</v>
      </c>
      <c r="N285" s="10">
        <v>2016</v>
      </c>
      <c r="O285" s="10">
        <v>8</v>
      </c>
      <c r="P285" s="10">
        <v>316.09084302319701</v>
      </c>
      <c r="R285" s="10">
        <v>2016</v>
      </c>
      <c r="S285" s="10">
        <v>8</v>
      </c>
      <c r="T285" s="10">
        <v>316.014907028631</v>
      </c>
      <c r="V285" s="10">
        <v>2016</v>
      </c>
      <c r="W285" s="10">
        <v>8</v>
      </c>
      <c r="X285" s="10">
        <v>315.962037966347</v>
      </c>
      <c r="Z285" s="10">
        <v>2016</v>
      </c>
      <c r="AA285" s="10">
        <v>8</v>
      </c>
      <c r="AB285" s="10">
        <v>316.372743027242</v>
      </c>
    </row>
    <row r="286" spans="1:28" x14ac:dyDescent="0.25">
      <c r="A286" s="8">
        <v>2016</v>
      </c>
      <c r="B286" s="8">
        <v>9</v>
      </c>
      <c r="C286" s="10">
        <v>309.97862532875803</v>
      </c>
      <c r="F286" s="8">
        <v>2016</v>
      </c>
      <c r="G286" s="8">
        <v>9</v>
      </c>
      <c r="H286" s="10">
        <v>308.44439560906699</v>
      </c>
      <c r="J286" s="10">
        <v>2016</v>
      </c>
      <c r="K286" s="10">
        <v>9</v>
      </c>
      <c r="L286" s="10">
        <v>308.446098441782</v>
      </c>
      <c r="N286" s="10">
        <v>2016</v>
      </c>
      <c r="O286" s="10">
        <v>9</v>
      </c>
      <c r="P286" s="10">
        <v>308.47221167325398</v>
      </c>
      <c r="R286" s="10">
        <v>2016</v>
      </c>
      <c r="S286" s="10">
        <v>9</v>
      </c>
      <c r="T286" s="10">
        <v>308.43307001113999</v>
      </c>
      <c r="V286" s="10">
        <v>2016</v>
      </c>
      <c r="W286" s="10">
        <v>9</v>
      </c>
      <c r="X286" s="10">
        <v>308.36518069717403</v>
      </c>
      <c r="Z286" s="10">
        <v>2016</v>
      </c>
      <c r="AA286" s="10">
        <v>9</v>
      </c>
      <c r="AB286" s="10">
        <v>308.70629834904702</v>
      </c>
    </row>
    <row r="287" spans="1:28" x14ac:dyDescent="0.25">
      <c r="A287" s="8">
        <v>2016</v>
      </c>
      <c r="B287" s="8">
        <v>10</v>
      </c>
      <c r="C287" s="10">
        <v>340.52930519167001</v>
      </c>
      <c r="F287" s="8">
        <v>2016</v>
      </c>
      <c r="G287" s="8">
        <v>10</v>
      </c>
      <c r="H287" s="10">
        <v>337.49540485341799</v>
      </c>
      <c r="J287" s="10">
        <v>2016</v>
      </c>
      <c r="K287" s="10">
        <v>10</v>
      </c>
      <c r="L287" s="10">
        <v>337.83483845774299</v>
      </c>
      <c r="N287" s="10">
        <v>2016</v>
      </c>
      <c r="O287" s="10">
        <v>10</v>
      </c>
      <c r="P287" s="10">
        <v>337.80291778513703</v>
      </c>
      <c r="R287" s="10">
        <v>2016</v>
      </c>
      <c r="S287" s="10">
        <v>10</v>
      </c>
      <c r="T287" s="10">
        <v>337.96493506761999</v>
      </c>
      <c r="V287" s="10">
        <v>2016</v>
      </c>
      <c r="W287" s="10">
        <v>10</v>
      </c>
      <c r="X287" s="10">
        <v>337.905231055385</v>
      </c>
      <c r="Z287" s="10">
        <v>2016</v>
      </c>
      <c r="AA287" s="10">
        <v>10</v>
      </c>
      <c r="AB287" s="10">
        <v>337.46461282720401</v>
      </c>
    </row>
    <row r="288" spans="1:28" x14ac:dyDescent="0.25">
      <c r="A288" s="8">
        <v>2016</v>
      </c>
      <c r="B288" s="8">
        <v>11</v>
      </c>
      <c r="C288" s="10">
        <v>347.45665368679198</v>
      </c>
      <c r="F288" s="8">
        <v>2016</v>
      </c>
      <c r="G288" s="8">
        <v>11</v>
      </c>
      <c r="H288" s="10">
        <v>343.16203269969498</v>
      </c>
      <c r="J288" s="10">
        <v>2016</v>
      </c>
      <c r="K288" s="10">
        <v>11</v>
      </c>
      <c r="L288" s="10">
        <v>340.73516878672399</v>
      </c>
      <c r="N288" s="10">
        <v>2016</v>
      </c>
      <c r="O288" s="10">
        <v>11</v>
      </c>
      <c r="P288" s="10">
        <v>340.78732876140901</v>
      </c>
      <c r="R288" s="10">
        <v>2016</v>
      </c>
      <c r="S288" s="10">
        <v>11</v>
      </c>
      <c r="T288" s="10">
        <v>340.71134349206801</v>
      </c>
      <c r="V288" s="10">
        <v>2016</v>
      </c>
      <c r="W288" s="10">
        <v>11</v>
      </c>
      <c r="X288" s="10">
        <v>340.59913027168898</v>
      </c>
      <c r="Z288" s="10">
        <v>2016</v>
      </c>
      <c r="AA288" s="10">
        <v>11</v>
      </c>
      <c r="AB288" s="10">
        <v>340.80791247639098</v>
      </c>
    </row>
    <row r="289" spans="1:28" x14ac:dyDescent="0.25">
      <c r="A289" s="8">
        <v>2016</v>
      </c>
      <c r="B289" s="8">
        <v>12</v>
      </c>
      <c r="C289" s="10">
        <v>345.23894446329302</v>
      </c>
      <c r="F289" s="8">
        <v>2016</v>
      </c>
      <c r="G289" s="8">
        <v>12</v>
      </c>
      <c r="H289" s="10">
        <v>340.24965453553602</v>
      </c>
      <c r="J289" s="10">
        <v>2016</v>
      </c>
      <c r="K289" s="10">
        <v>12</v>
      </c>
      <c r="L289" s="10">
        <v>339.85246187465799</v>
      </c>
      <c r="N289" s="10">
        <v>2016</v>
      </c>
      <c r="O289" s="10">
        <v>12</v>
      </c>
      <c r="P289" s="10">
        <v>339.902796426007</v>
      </c>
      <c r="R289" s="10">
        <v>2016</v>
      </c>
      <c r="S289" s="10">
        <v>12</v>
      </c>
      <c r="T289" s="10">
        <v>339.97577645687102</v>
      </c>
      <c r="V289" s="10">
        <v>2016</v>
      </c>
      <c r="W289" s="10">
        <v>12</v>
      </c>
      <c r="X289" s="10">
        <v>339.96009551113298</v>
      </c>
      <c r="Z289" s="10">
        <v>2016</v>
      </c>
      <c r="AA289" s="10">
        <v>12</v>
      </c>
      <c r="AB289" s="10">
        <v>340.04295625174802</v>
      </c>
    </row>
    <row r="290" spans="1:28" x14ac:dyDescent="0.25">
      <c r="A290" s="8">
        <v>2017</v>
      </c>
      <c r="B290" s="8">
        <v>1</v>
      </c>
      <c r="C290" s="10">
        <v>345.746984629861</v>
      </c>
      <c r="F290" s="8">
        <v>2017</v>
      </c>
      <c r="G290" s="8">
        <v>1</v>
      </c>
      <c r="H290" s="10">
        <v>337.504485482132</v>
      </c>
      <c r="J290" s="10">
        <v>2017</v>
      </c>
      <c r="K290" s="10">
        <v>1</v>
      </c>
      <c r="L290" s="10">
        <v>337.31179097412701</v>
      </c>
      <c r="N290" s="10">
        <v>2017</v>
      </c>
      <c r="O290" s="10">
        <v>1</v>
      </c>
      <c r="P290" s="10">
        <v>337.37661315546399</v>
      </c>
      <c r="R290" s="10">
        <v>2017</v>
      </c>
      <c r="S290" s="10">
        <v>1</v>
      </c>
      <c r="T290" s="10">
        <v>337.44703228113701</v>
      </c>
      <c r="V290" s="10">
        <v>2017</v>
      </c>
      <c r="W290" s="10">
        <v>1</v>
      </c>
      <c r="X290" s="10">
        <v>337.48602501705898</v>
      </c>
      <c r="Z290" s="10">
        <v>2017</v>
      </c>
      <c r="AA290" s="10">
        <v>1</v>
      </c>
      <c r="AB290" s="10">
        <v>337.35123022281601</v>
      </c>
    </row>
    <row r="291" spans="1:28" x14ac:dyDescent="0.25">
      <c r="A291" s="8">
        <v>2017</v>
      </c>
      <c r="B291" s="8">
        <v>2</v>
      </c>
      <c r="C291" s="10">
        <v>357.900000351426</v>
      </c>
      <c r="F291" s="8">
        <v>2017</v>
      </c>
      <c r="G291" s="8">
        <v>2</v>
      </c>
      <c r="H291" s="10">
        <v>357.97739971268402</v>
      </c>
      <c r="J291" s="10">
        <v>2017</v>
      </c>
      <c r="K291" s="10">
        <v>2</v>
      </c>
      <c r="L291" s="10">
        <v>363.80848919795397</v>
      </c>
      <c r="N291" s="10">
        <v>2017</v>
      </c>
      <c r="O291" s="10">
        <v>2</v>
      </c>
      <c r="P291" s="10">
        <v>363.86137747049202</v>
      </c>
      <c r="R291" s="10">
        <v>2017</v>
      </c>
      <c r="S291" s="10">
        <v>2</v>
      </c>
      <c r="T291" s="10">
        <v>363.73609805739301</v>
      </c>
      <c r="V291" s="10">
        <v>2017</v>
      </c>
      <c r="W291" s="10">
        <v>2</v>
      </c>
      <c r="X291" s="10">
        <v>363.359826632666</v>
      </c>
      <c r="Z291" s="10">
        <v>2017</v>
      </c>
      <c r="AA291" s="10">
        <v>2</v>
      </c>
      <c r="AB291" s="10">
        <v>362.84729919262298</v>
      </c>
    </row>
    <row r="292" spans="1:28" x14ac:dyDescent="0.25">
      <c r="A292" s="8">
        <v>2017</v>
      </c>
      <c r="B292" s="8">
        <v>3</v>
      </c>
      <c r="C292" s="10">
        <v>379.61493574778098</v>
      </c>
      <c r="F292" s="8">
        <v>2017</v>
      </c>
      <c r="G292" s="8">
        <v>3</v>
      </c>
      <c r="H292" s="10">
        <v>381.90624500606498</v>
      </c>
      <c r="J292" s="10">
        <v>2017</v>
      </c>
      <c r="K292" s="10">
        <v>3</v>
      </c>
      <c r="L292" s="10">
        <v>381.971949100865</v>
      </c>
      <c r="N292" s="10">
        <v>2017</v>
      </c>
      <c r="O292" s="10">
        <v>3</v>
      </c>
      <c r="P292" s="10">
        <v>382.05082995758499</v>
      </c>
      <c r="R292" s="10">
        <v>2017</v>
      </c>
      <c r="S292" s="10">
        <v>3</v>
      </c>
      <c r="T292" s="10">
        <v>381.979280474723</v>
      </c>
      <c r="V292" s="10">
        <v>2017</v>
      </c>
      <c r="W292" s="10">
        <v>3</v>
      </c>
      <c r="X292" s="10">
        <v>381.942392017207</v>
      </c>
      <c r="Z292" s="10">
        <v>2017</v>
      </c>
      <c r="AA292" s="10">
        <v>3</v>
      </c>
      <c r="AB292" s="10">
        <v>382.41822925137097</v>
      </c>
    </row>
    <row r="293" spans="1:28" x14ac:dyDescent="0.25">
      <c r="A293" s="8">
        <v>2017</v>
      </c>
      <c r="B293" s="8">
        <v>4</v>
      </c>
      <c r="C293" s="10">
        <v>367.28794843242298</v>
      </c>
      <c r="F293" s="8">
        <v>2017</v>
      </c>
      <c r="G293" s="8">
        <v>4</v>
      </c>
      <c r="H293" s="10">
        <v>369.87170759196198</v>
      </c>
      <c r="J293" s="10">
        <v>2017</v>
      </c>
      <c r="K293" s="10">
        <v>4</v>
      </c>
      <c r="L293" s="10">
        <v>371.03011100702201</v>
      </c>
      <c r="N293" s="10">
        <v>2017</v>
      </c>
      <c r="O293" s="10">
        <v>4</v>
      </c>
      <c r="P293" s="10">
        <v>370.987492725766</v>
      </c>
      <c r="R293" s="10">
        <v>2017</v>
      </c>
      <c r="S293" s="10">
        <v>4</v>
      </c>
      <c r="T293" s="10">
        <v>371.07011393647502</v>
      </c>
      <c r="V293" s="10">
        <v>2017</v>
      </c>
      <c r="W293" s="10">
        <v>4</v>
      </c>
      <c r="X293" s="10">
        <v>371.24831949391103</v>
      </c>
      <c r="Z293" s="10">
        <v>2017</v>
      </c>
      <c r="AA293" s="10">
        <v>4</v>
      </c>
      <c r="AB293" s="10">
        <v>370.98026946065397</v>
      </c>
    </row>
    <row r="294" spans="1:28" x14ac:dyDescent="0.25">
      <c r="A294" s="8">
        <v>2017</v>
      </c>
      <c r="B294" s="8">
        <v>5</v>
      </c>
      <c r="C294" s="10">
        <v>385.23572204469002</v>
      </c>
      <c r="F294" s="8">
        <v>2017</v>
      </c>
      <c r="G294" s="8">
        <v>5</v>
      </c>
      <c r="H294" s="10">
        <v>391.47604728647701</v>
      </c>
      <c r="J294" s="10">
        <v>2017</v>
      </c>
      <c r="K294" s="10">
        <v>5</v>
      </c>
      <c r="L294" s="10">
        <v>392.47854644208797</v>
      </c>
      <c r="N294" s="10">
        <v>2017</v>
      </c>
      <c r="O294" s="10">
        <v>5</v>
      </c>
      <c r="P294" s="10">
        <v>392.46455014873999</v>
      </c>
      <c r="R294" s="10">
        <v>2017</v>
      </c>
      <c r="S294" s="10">
        <v>5</v>
      </c>
      <c r="T294" s="10">
        <v>392.33967618306099</v>
      </c>
      <c r="V294" s="10">
        <v>2017</v>
      </c>
      <c r="W294" s="10">
        <v>5</v>
      </c>
      <c r="X294" s="10">
        <v>392.315994624447</v>
      </c>
      <c r="Z294" s="10">
        <v>2017</v>
      </c>
      <c r="AA294" s="10">
        <v>5</v>
      </c>
      <c r="AB294" s="10">
        <v>392.28073462022098</v>
      </c>
    </row>
    <row r="295" spans="1:28" x14ac:dyDescent="0.25">
      <c r="A295" s="8">
        <v>2017</v>
      </c>
      <c r="B295" s="8">
        <v>6</v>
      </c>
      <c r="C295" s="10">
        <v>365.25113087740601</v>
      </c>
      <c r="F295" s="8">
        <v>2017</v>
      </c>
      <c r="G295" s="8">
        <v>6</v>
      </c>
      <c r="H295" s="10">
        <v>380.73493123541903</v>
      </c>
      <c r="J295" s="10">
        <v>2017</v>
      </c>
      <c r="K295" s="10">
        <v>6</v>
      </c>
      <c r="L295" s="10">
        <v>377.15557874371399</v>
      </c>
      <c r="N295" s="10">
        <v>2017</v>
      </c>
      <c r="O295" s="10">
        <v>6</v>
      </c>
      <c r="P295" s="10">
        <v>376.82956614991599</v>
      </c>
      <c r="R295" s="10">
        <v>2017</v>
      </c>
      <c r="S295" s="10">
        <v>6</v>
      </c>
      <c r="T295" s="10">
        <v>376.73825868208701</v>
      </c>
      <c r="V295" s="10">
        <v>2017</v>
      </c>
      <c r="W295" s="10">
        <v>6</v>
      </c>
      <c r="X295" s="10">
        <v>376.68692094558298</v>
      </c>
      <c r="Z295" s="10">
        <v>2017</v>
      </c>
      <c r="AA295" s="10">
        <v>6</v>
      </c>
      <c r="AB295" s="10">
        <v>377.39598439934002</v>
      </c>
    </row>
    <row r="296" spans="1:28" x14ac:dyDescent="0.25">
      <c r="A296" s="8">
        <v>2017</v>
      </c>
      <c r="B296" s="8">
        <v>7</v>
      </c>
      <c r="C296" s="10">
        <v>378.13095225156297</v>
      </c>
      <c r="F296" s="8">
        <v>2017</v>
      </c>
      <c r="G296" s="8">
        <v>7</v>
      </c>
      <c r="H296" s="10">
        <v>378.918078595417</v>
      </c>
      <c r="J296" s="10">
        <v>2017</v>
      </c>
      <c r="K296" s="10">
        <v>7</v>
      </c>
      <c r="L296" s="10">
        <v>379.35145920183402</v>
      </c>
      <c r="N296" s="10">
        <v>2017</v>
      </c>
      <c r="O296" s="10">
        <v>7</v>
      </c>
      <c r="P296" s="10">
        <v>379.317065742132</v>
      </c>
      <c r="R296" s="10">
        <v>2017</v>
      </c>
      <c r="S296" s="10">
        <v>7</v>
      </c>
      <c r="T296" s="10">
        <v>379.374941907569</v>
      </c>
      <c r="V296" s="10">
        <v>2017</v>
      </c>
      <c r="W296" s="10">
        <v>7</v>
      </c>
      <c r="X296" s="10">
        <v>379.41926149821899</v>
      </c>
      <c r="Z296" s="10">
        <v>2017</v>
      </c>
      <c r="AA296" s="10">
        <v>7</v>
      </c>
      <c r="AB296" s="10">
        <v>378.96439548951702</v>
      </c>
    </row>
    <row r="297" spans="1:28" x14ac:dyDescent="0.25">
      <c r="A297" s="8">
        <v>2017</v>
      </c>
      <c r="B297" s="8">
        <v>8</v>
      </c>
      <c r="C297" s="10">
        <v>389.59540022735001</v>
      </c>
      <c r="F297" s="8">
        <v>2017</v>
      </c>
      <c r="G297" s="8">
        <v>8</v>
      </c>
      <c r="H297" s="10">
        <v>390.50881362160402</v>
      </c>
      <c r="J297" s="10">
        <v>2017</v>
      </c>
      <c r="K297" s="10">
        <v>8</v>
      </c>
      <c r="L297" s="10">
        <v>390.05745447037498</v>
      </c>
      <c r="N297" s="10">
        <v>2017</v>
      </c>
      <c r="O297" s="10">
        <v>8</v>
      </c>
      <c r="P297" s="10">
        <v>390.10626425338899</v>
      </c>
      <c r="R297" s="10">
        <v>2017</v>
      </c>
      <c r="S297" s="10">
        <v>8</v>
      </c>
      <c r="T297" s="10">
        <v>390.018391122732</v>
      </c>
      <c r="V297" s="10">
        <v>2017</v>
      </c>
      <c r="W297" s="10">
        <v>8</v>
      </c>
      <c r="X297" s="10">
        <v>390.00727520873102</v>
      </c>
      <c r="Z297" s="10">
        <v>2017</v>
      </c>
      <c r="AA297" s="10">
        <v>8</v>
      </c>
      <c r="AB297" s="10">
        <v>390.32585278962199</v>
      </c>
    </row>
    <row r="298" spans="1:28" x14ac:dyDescent="0.25">
      <c r="A298" s="8">
        <v>2017</v>
      </c>
      <c r="B298" s="8">
        <v>9</v>
      </c>
      <c r="C298" s="10">
        <v>410.01398448270902</v>
      </c>
      <c r="F298" s="8">
        <v>2017</v>
      </c>
      <c r="G298" s="8">
        <v>9</v>
      </c>
      <c r="H298" s="10">
        <v>407.87368204943601</v>
      </c>
      <c r="J298" s="10">
        <v>2017</v>
      </c>
      <c r="K298" s="10">
        <v>9</v>
      </c>
      <c r="L298" s="10">
        <v>407.46442053220301</v>
      </c>
      <c r="N298" s="10">
        <v>2017</v>
      </c>
      <c r="O298" s="10">
        <v>9</v>
      </c>
      <c r="P298" s="10">
        <v>407.48490042751098</v>
      </c>
      <c r="R298" s="10">
        <v>2017</v>
      </c>
      <c r="S298" s="10">
        <v>9</v>
      </c>
      <c r="T298" s="10">
        <v>407.54027284289498</v>
      </c>
      <c r="V298" s="10">
        <v>2017</v>
      </c>
      <c r="W298" s="10">
        <v>9</v>
      </c>
      <c r="X298" s="10">
        <v>407.48725643326901</v>
      </c>
      <c r="Z298" s="10">
        <v>2017</v>
      </c>
      <c r="AA298" s="10">
        <v>9</v>
      </c>
      <c r="AB298" s="10">
        <v>407.44441312915802</v>
      </c>
    </row>
    <row r="299" spans="1:28" x14ac:dyDescent="0.25">
      <c r="A299" s="8">
        <v>2017</v>
      </c>
      <c r="B299" s="8">
        <v>10</v>
      </c>
      <c r="C299" s="10">
        <v>414.19209930477001</v>
      </c>
      <c r="F299" s="8">
        <v>2017</v>
      </c>
      <c r="G299" s="8">
        <v>10</v>
      </c>
      <c r="H299" s="10">
        <v>410.93926788067398</v>
      </c>
      <c r="J299" s="10">
        <v>2017</v>
      </c>
      <c r="K299" s="10">
        <v>10</v>
      </c>
      <c r="L299" s="10">
        <v>410.45904357568799</v>
      </c>
      <c r="N299" s="10">
        <v>2017</v>
      </c>
      <c r="O299" s="10">
        <v>10</v>
      </c>
      <c r="P299" s="10">
        <v>410.49578829158202</v>
      </c>
      <c r="R299" s="10">
        <v>2017</v>
      </c>
      <c r="S299" s="10">
        <v>10</v>
      </c>
      <c r="T299" s="10">
        <v>410.59622778841998</v>
      </c>
      <c r="V299" s="10">
        <v>2017</v>
      </c>
      <c r="W299" s="10">
        <v>10</v>
      </c>
      <c r="X299" s="10">
        <v>410.51837879058797</v>
      </c>
      <c r="Z299" s="10">
        <v>2017</v>
      </c>
      <c r="AA299" s="10">
        <v>10</v>
      </c>
      <c r="AB299" s="10">
        <v>410.537094694107</v>
      </c>
    </row>
    <row r="300" spans="1:28" x14ac:dyDescent="0.25">
      <c r="A300" s="8">
        <v>2017</v>
      </c>
      <c r="B300" s="8">
        <v>11</v>
      </c>
      <c r="C300" s="10">
        <v>423.96126482662203</v>
      </c>
      <c r="F300" s="8">
        <v>2017</v>
      </c>
      <c r="G300" s="8">
        <v>11</v>
      </c>
      <c r="H300" s="10">
        <v>417.88141349187799</v>
      </c>
      <c r="J300" s="10">
        <v>2017</v>
      </c>
      <c r="K300" s="10">
        <v>11</v>
      </c>
      <c r="L300" s="10">
        <v>413.965478204509</v>
      </c>
      <c r="N300" s="10">
        <v>2017</v>
      </c>
      <c r="O300" s="10">
        <v>11</v>
      </c>
      <c r="P300" s="10">
        <v>414.030671191453</v>
      </c>
      <c r="R300" s="10">
        <v>2017</v>
      </c>
      <c r="S300" s="10">
        <v>11</v>
      </c>
      <c r="T300" s="10">
        <v>413.99430464911597</v>
      </c>
      <c r="V300" s="10">
        <v>2017</v>
      </c>
      <c r="W300" s="10">
        <v>11</v>
      </c>
      <c r="X300" s="10">
        <v>413.88605096886801</v>
      </c>
      <c r="Z300" s="10">
        <v>2017</v>
      </c>
      <c r="AA300" s="10">
        <v>11</v>
      </c>
      <c r="AB300" s="10">
        <v>414.01590659021002</v>
      </c>
    </row>
    <row r="301" spans="1:28" x14ac:dyDescent="0.25">
      <c r="A301" s="8">
        <v>2017</v>
      </c>
      <c r="B301" s="8">
        <v>12</v>
      </c>
      <c r="C301" s="10">
        <v>417.58796253277899</v>
      </c>
      <c r="F301" s="8">
        <v>2017</v>
      </c>
      <c r="G301" s="8">
        <v>12</v>
      </c>
      <c r="H301" s="10">
        <v>409.10707006261202</v>
      </c>
      <c r="J301" s="10">
        <v>2017</v>
      </c>
      <c r="K301" s="10">
        <v>12</v>
      </c>
      <c r="L301" s="10">
        <v>408.78381845349099</v>
      </c>
      <c r="N301" s="10">
        <v>2017</v>
      </c>
      <c r="O301" s="10">
        <v>12</v>
      </c>
      <c r="P301" s="10">
        <v>408.82594640730002</v>
      </c>
      <c r="R301" s="10">
        <v>2017</v>
      </c>
      <c r="S301" s="10">
        <v>12</v>
      </c>
      <c r="T301" s="10">
        <v>409.05316518300799</v>
      </c>
      <c r="V301" s="10">
        <v>2017</v>
      </c>
      <c r="W301" s="10">
        <v>12</v>
      </c>
      <c r="X301" s="10">
        <v>409.03203358282099</v>
      </c>
      <c r="Z301" s="10">
        <v>2017</v>
      </c>
      <c r="AA301" s="10">
        <v>12</v>
      </c>
      <c r="AB301" s="10">
        <v>408.75164508248997</v>
      </c>
    </row>
    <row r="302" spans="1:28" x14ac:dyDescent="0.25">
      <c r="A302" s="8">
        <v>2018</v>
      </c>
      <c r="B302" s="8">
        <v>1</v>
      </c>
      <c r="C302" s="10">
        <v>398.29092827409301</v>
      </c>
      <c r="F302" s="8">
        <v>2018</v>
      </c>
      <c r="G302" s="8">
        <v>1</v>
      </c>
      <c r="H302" s="10">
        <v>384.99238973267802</v>
      </c>
      <c r="J302" s="10">
        <v>2018</v>
      </c>
      <c r="K302" s="10">
        <v>1</v>
      </c>
      <c r="L302" s="10">
        <v>384.662963080579</v>
      </c>
      <c r="N302" s="10">
        <v>2018</v>
      </c>
      <c r="O302" s="10">
        <v>1</v>
      </c>
      <c r="P302" s="10">
        <v>384.805648851792</v>
      </c>
      <c r="R302" s="10">
        <v>2018</v>
      </c>
      <c r="S302" s="10">
        <v>1</v>
      </c>
      <c r="T302" s="10">
        <v>384.82943542020502</v>
      </c>
      <c r="V302" s="10">
        <v>2018</v>
      </c>
      <c r="W302" s="10">
        <v>1</v>
      </c>
      <c r="X302" s="10">
        <v>384.86611340020397</v>
      </c>
      <c r="Z302" s="10">
        <v>2018</v>
      </c>
      <c r="AA302" s="10">
        <v>1</v>
      </c>
      <c r="AB302" s="10">
        <v>385.14282964035198</v>
      </c>
    </row>
    <row r="303" spans="1:28" x14ac:dyDescent="0.25">
      <c r="A303" s="8">
        <v>2018</v>
      </c>
      <c r="B303" s="8">
        <v>2</v>
      </c>
      <c r="C303" s="10">
        <v>468.11209918277598</v>
      </c>
      <c r="F303" s="8">
        <v>2018</v>
      </c>
      <c r="G303" s="8">
        <v>2</v>
      </c>
      <c r="H303" s="10">
        <v>469.34408271873599</v>
      </c>
      <c r="J303" s="10">
        <v>2018</v>
      </c>
      <c r="K303" s="10">
        <v>2</v>
      </c>
      <c r="L303" s="10">
        <v>477.56788242014397</v>
      </c>
      <c r="N303" s="10">
        <v>2018</v>
      </c>
      <c r="O303" s="10">
        <v>2</v>
      </c>
      <c r="P303" s="10">
        <v>477.66854559178103</v>
      </c>
      <c r="R303" s="10">
        <v>2018</v>
      </c>
      <c r="S303" s="10">
        <v>2</v>
      </c>
      <c r="T303" s="10">
        <v>477.55581508061499</v>
      </c>
      <c r="V303" s="10">
        <v>2018</v>
      </c>
      <c r="W303" s="10">
        <v>2</v>
      </c>
      <c r="X303" s="10">
        <v>477.32798199232798</v>
      </c>
      <c r="Z303" s="10">
        <v>2018</v>
      </c>
      <c r="AA303" s="10">
        <v>2</v>
      </c>
      <c r="AB303" s="10">
        <v>476.74453659087902</v>
      </c>
    </row>
    <row r="304" spans="1:28" x14ac:dyDescent="0.25">
      <c r="A304" s="8">
        <v>2018</v>
      </c>
      <c r="B304" s="8">
        <v>3</v>
      </c>
      <c r="C304" s="10">
        <v>460.77485512816497</v>
      </c>
      <c r="F304" s="8">
        <v>2018</v>
      </c>
      <c r="G304" s="8">
        <v>3</v>
      </c>
      <c r="H304" s="10">
        <v>466.18178999297203</v>
      </c>
      <c r="J304" s="10">
        <v>2018</v>
      </c>
      <c r="K304" s="10">
        <v>3</v>
      </c>
      <c r="L304" s="10">
        <v>465.23267807090701</v>
      </c>
      <c r="N304" s="10">
        <v>2018</v>
      </c>
      <c r="O304" s="10">
        <v>3</v>
      </c>
      <c r="P304" s="10">
        <v>465.31052243355202</v>
      </c>
      <c r="R304" s="10">
        <v>2018</v>
      </c>
      <c r="S304" s="10">
        <v>3</v>
      </c>
      <c r="T304" s="10">
        <v>465.32539596492802</v>
      </c>
      <c r="V304" s="10">
        <v>2018</v>
      </c>
      <c r="W304" s="10">
        <v>3</v>
      </c>
      <c r="X304" s="10">
        <v>465.37290461463499</v>
      </c>
      <c r="Z304" s="10">
        <v>2018</v>
      </c>
      <c r="AA304" s="10">
        <v>3</v>
      </c>
      <c r="AB304" s="10">
        <v>465.34971611563401</v>
      </c>
    </row>
    <row r="305" spans="1:28" x14ac:dyDescent="0.25">
      <c r="A305" s="8">
        <v>2018</v>
      </c>
      <c r="B305" s="8">
        <v>4</v>
      </c>
      <c r="C305" s="10">
        <v>458.43029219668199</v>
      </c>
      <c r="F305" s="8">
        <v>2018</v>
      </c>
      <c r="G305" s="8">
        <v>4</v>
      </c>
      <c r="H305" s="10">
        <v>463.64910760732101</v>
      </c>
      <c r="J305" s="10">
        <v>2018</v>
      </c>
      <c r="K305" s="10">
        <v>4</v>
      </c>
      <c r="L305" s="10">
        <v>465.17655905157699</v>
      </c>
      <c r="N305" s="10">
        <v>2018</v>
      </c>
      <c r="O305" s="10">
        <v>4</v>
      </c>
      <c r="P305" s="10">
        <v>465.15561488163598</v>
      </c>
      <c r="R305" s="10">
        <v>2018</v>
      </c>
      <c r="S305" s="10">
        <v>4</v>
      </c>
      <c r="T305" s="10">
        <v>465.13383098230099</v>
      </c>
      <c r="V305" s="10">
        <v>2018</v>
      </c>
      <c r="W305" s="10">
        <v>4</v>
      </c>
      <c r="X305" s="10">
        <v>465.26920690881201</v>
      </c>
      <c r="Z305" s="10">
        <v>2018</v>
      </c>
      <c r="AA305" s="10">
        <v>4</v>
      </c>
      <c r="AB305" s="10">
        <v>465.34592644738302</v>
      </c>
    </row>
    <row r="306" spans="1:28" x14ac:dyDescent="0.25">
      <c r="A306" s="8">
        <v>2018</v>
      </c>
      <c r="B306" s="8">
        <v>5</v>
      </c>
      <c r="C306" s="10">
        <v>428.798630241257</v>
      </c>
      <c r="F306" s="8">
        <v>2018</v>
      </c>
      <c r="G306" s="8">
        <v>5</v>
      </c>
      <c r="H306" s="10">
        <v>437.014422314017</v>
      </c>
      <c r="J306" s="10">
        <v>2018</v>
      </c>
      <c r="K306" s="10">
        <v>5</v>
      </c>
      <c r="L306" s="10">
        <v>438.86586346475099</v>
      </c>
      <c r="N306" s="10">
        <v>2018</v>
      </c>
      <c r="O306" s="10">
        <v>5</v>
      </c>
      <c r="P306" s="10">
        <v>438.85064245499501</v>
      </c>
      <c r="R306" s="10">
        <v>2018</v>
      </c>
      <c r="S306" s="10">
        <v>5</v>
      </c>
      <c r="T306" s="10">
        <v>438.60958139528498</v>
      </c>
      <c r="V306" s="10">
        <v>2018</v>
      </c>
      <c r="W306" s="10">
        <v>5</v>
      </c>
      <c r="X306" s="10">
        <v>438.58854744399798</v>
      </c>
      <c r="Z306" s="10">
        <v>2018</v>
      </c>
      <c r="AA306" s="10">
        <v>5</v>
      </c>
      <c r="AB306" s="10">
        <v>438.333800479324</v>
      </c>
    </row>
    <row r="307" spans="1:28" x14ac:dyDescent="0.25">
      <c r="A307" s="8">
        <v>2018</v>
      </c>
      <c r="B307" s="8">
        <v>6</v>
      </c>
      <c r="C307" s="10">
        <v>408.794726476314</v>
      </c>
      <c r="F307" s="8">
        <v>2018</v>
      </c>
      <c r="G307" s="8">
        <v>6</v>
      </c>
      <c r="H307" s="10">
        <v>423.472882066061</v>
      </c>
      <c r="J307" s="10">
        <v>2018</v>
      </c>
      <c r="K307" s="10">
        <v>6</v>
      </c>
      <c r="L307" s="10">
        <v>422.17038224508201</v>
      </c>
      <c r="N307" s="10">
        <v>2018</v>
      </c>
      <c r="O307" s="10">
        <v>6</v>
      </c>
      <c r="P307" s="10">
        <v>421.46536021867797</v>
      </c>
      <c r="R307" s="10">
        <v>2018</v>
      </c>
      <c r="S307" s="10">
        <v>6</v>
      </c>
      <c r="T307" s="10">
        <v>421.46257087380798</v>
      </c>
      <c r="V307" s="10">
        <v>2018</v>
      </c>
      <c r="W307" s="10">
        <v>6</v>
      </c>
      <c r="X307" s="10">
        <v>421.33768822487298</v>
      </c>
      <c r="Z307" s="10">
        <v>2018</v>
      </c>
      <c r="AA307" s="10">
        <v>6</v>
      </c>
      <c r="AB307" s="10">
        <v>422.01897750576398</v>
      </c>
    </row>
    <row r="308" spans="1:28" x14ac:dyDescent="0.25">
      <c r="A308" s="8">
        <v>2018</v>
      </c>
      <c r="B308" s="8">
        <v>7</v>
      </c>
      <c r="C308" s="10">
        <v>442.649036521222</v>
      </c>
      <c r="F308" s="8">
        <v>2018</v>
      </c>
      <c r="G308" s="8">
        <v>7</v>
      </c>
      <c r="H308" s="10">
        <v>444.99122453417101</v>
      </c>
      <c r="J308" s="10">
        <v>2018</v>
      </c>
      <c r="K308" s="10">
        <v>7</v>
      </c>
      <c r="L308" s="10">
        <v>444.16614947270102</v>
      </c>
      <c r="N308" s="10">
        <v>2018</v>
      </c>
      <c r="O308" s="10">
        <v>7</v>
      </c>
      <c r="P308" s="10">
        <v>444.19749082686798</v>
      </c>
      <c r="R308" s="10">
        <v>2018</v>
      </c>
      <c r="S308" s="10">
        <v>7</v>
      </c>
      <c r="T308" s="10">
        <v>444.10167312359499</v>
      </c>
      <c r="V308" s="10">
        <v>2018</v>
      </c>
      <c r="W308" s="10">
        <v>7</v>
      </c>
      <c r="X308" s="10">
        <v>444.11085890586702</v>
      </c>
      <c r="Z308" s="10">
        <v>2018</v>
      </c>
      <c r="AA308" s="10">
        <v>7</v>
      </c>
      <c r="AB308" s="10">
        <v>444.07889498428602</v>
      </c>
    </row>
    <row r="309" spans="1:28" x14ac:dyDescent="0.25">
      <c r="A309" s="8">
        <v>2018</v>
      </c>
      <c r="B309" s="8">
        <v>8</v>
      </c>
      <c r="C309" s="10">
        <v>425.46476943209399</v>
      </c>
      <c r="F309" s="8">
        <v>2018</v>
      </c>
      <c r="G309" s="8">
        <v>8</v>
      </c>
      <c r="H309" s="10">
        <v>428.188362451449</v>
      </c>
      <c r="J309" s="10">
        <v>2018</v>
      </c>
      <c r="K309" s="10">
        <v>8</v>
      </c>
      <c r="L309" s="10">
        <v>427.82071410529801</v>
      </c>
      <c r="N309" s="10">
        <v>2018</v>
      </c>
      <c r="O309" s="10">
        <v>8</v>
      </c>
      <c r="P309" s="10">
        <v>427.90167252871998</v>
      </c>
      <c r="R309" s="10">
        <v>2018</v>
      </c>
      <c r="S309" s="10">
        <v>8</v>
      </c>
      <c r="T309" s="10">
        <v>427.78955943790402</v>
      </c>
      <c r="V309" s="10">
        <v>2018</v>
      </c>
      <c r="W309" s="10">
        <v>8</v>
      </c>
      <c r="X309" s="10">
        <v>427.734299386023</v>
      </c>
      <c r="Z309" s="10">
        <v>2018</v>
      </c>
      <c r="AA309" s="10">
        <v>8</v>
      </c>
      <c r="AB309" s="10">
        <v>428.07538857151002</v>
      </c>
    </row>
    <row r="310" spans="1:28" x14ac:dyDescent="0.25">
      <c r="A310" s="8">
        <v>2018</v>
      </c>
      <c r="B310" s="8">
        <v>9</v>
      </c>
      <c r="C310" s="10">
        <v>419.87634935874399</v>
      </c>
      <c r="F310" s="8">
        <v>2018</v>
      </c>
      <c r="G310" s="8">
        <v>9</v>
      </c>
      <c r="H310" s="10">
        <v>417.45948890602898</v>
      </c>
      <c r="J310" s="10">
        <v>2018</v>
      </c>
      <c r="K310" s="10">
        <v>9</v>
      </c>
      <c r="L310" s="10">
        <v>416.05569152373198</v>
      </c>
      <c r="N310" s="10">
        <v>2018</v>
      </c>
      <c r="O310" s="10">
        <v>9</v>
      </c>
      <c r="P310" s="10">
        <v>416.07699430144999</v>
      </c>
      <c r="R310" s="10">
        <v>2018</v>
      </c>
      <c r="S310" s="10">
        <v>9</v>
      </c>
      <c r="T310" s="10">
        <v>416.206305469293</v>
      </c>
      <c r="V310" s="10">
        <v>2018</v>
      </c>
      <c r="W310" s="10">
        <v>9</v>
      </c>
      <c r="X310" s="10">
        <v>416.11355283130302</v>
      </c>
      <c r="Z310" s="10">
        <v>2018</v>
      </c>
      <c r="AA310" s="10">
        <v>9</v>
      </c>
      <c r="AB310" s="10">
        <v>415.66798094827402</v>
      </c>
    </row>
    <row r="311" spans="1:28" x14ac:dyDescent="0.25">
      <c r="A311" s="8">
        <v>2018</v>
      </c>
      <c r="B311" s="8">
        <v>10</v>
      </c>
      <c r="C311" s="10">
        <v>417.69936686527399</v>
      </c>
      <c r="F311" s="8">
        <v>2018</v>
      </c>
      <c r="G311" s="8">
        <v>10</v>
      </c>
      <c r="H311" s="10">
        <v>413.988062022002</v>
      </c>
      <c r="J311" s="10">
        <v>2018</v>
      </c>
      <c r="K311" s="10">
        <v>10</v>
      </c>
      <c r="L311" s="10">
        <v>412.415153794145</v>
      </c>
      <c r="N311" s="10">
        <v>2018</v>
      </c>
      <c r="O311" s="10">
        <v>10</v>
      </c>
      <c r="P311" s="10">
        <v>412.545445367843</v>
      </c>
      <c r="R311" s="10">
        <v>2018</v>
      </c>
      <c r="S311" s="10">
        <v>10</v>
      </c>
      <c r="T311" s="10">
        <v>412.48784651287298</v>
      </c>
      <c r="V311" s="10">
        <v>2018</v>
      </c>
      <c r="W311" s="10">
        <v>10</v>
      </c>
      <c r="X311" s="10">
        <v>412.37252547296902</v>
      </c>
      <c r="Z311" s="10">
        <v>2018</v>
      </c>
      <c r="AA311" s="10">
        <v>10</v>
      </c>
      <c r="AB311" s="10">
        <v>412.79178540655101</v>
      </c>
    </row>
    <row r="312" spans="1:28" x14ac:dyDescent="0.25">
      <c r="A312" s="8">
        <v>2018</v>
      </c>
      <c r="B312" s="8">
        <v>11</v>
      </c>
      <c r="C312" s="10">
        <v>446.85987709156097</v>
      </c>
      <c r="F312" s="8">
        <v>2018</v>
      </c>
      <c r="G312" s="8">
        <v>11</v>
      </c>
      <c r="H312" s="10">
        <v>439.14509611439399</v>
      </c>
      <c r="J312" s="10">
        <v>2018</v>
      </c>
      <c r="K312" s="10">
        <v>11</v>
      </c>
      <c r="L312" s="10">
        <v>432.84924619799199</v>
      </c>
      <c r="N312" s="10">
        <v>2018</v>
      </c>
      <c r="O312" s="10">
        <v>11</v>
      </c>
      <c r="P312" s="10">
        <v>432.96686817789401</v>
      </c>
      <c r="R312" s="10">
        <v>2018</v>
      </c>
      <c r="S312" s="10">
        <v>11</v>
      </c>
      <c r="T312" s="10">
        <v>432.82286479176702</v>
      </c>
      <c r="V312" s="10">
        <v>2018</v>
      </c>
      <c r="W312" s="10">
        <v>11</v>
      </c>
      <c r="X312" s="10">
        <v>432.73189006430101</v>
      </c>
      <c r="Z312" s="10">
        <v>2018</v>
      </c>
      <c r="AA312" s="10">
        <v>11</v>
      </c>
      <c r="AB312" s="10">
        <v>432.75175844329902</v>
      </c>
    </row>
    <row r="313" spans="1:28" x14ac:dyDescent="0.25">
      <c r="A313" s="8">
        <v>2018</v>
      </c>
      <c r="B313" s="8">
        <v>12</v>
      </c>
      <c r="C313" s="10">
        <v>395.79537917229601</v>
      </c>
      <c r="F313" s="8">
        <v>2018</v>
      </c>
      <c r="G313" s="8">
        <v>12</v>
      </c>
      <c r="H313" s="10">
        <v>382.80683789932198</v>
      </c>
      <c r="J313" s="10">
        <v>2018</v>
      </c>
      <c r="K313" s="10">
        <v>12</v>
      </c>
      <c r="L313" s="10">
        <v>381.01012234538598</v>
      </c>
      <c r="N313" s="10">
        <v>2018</v>
      </c>
      <c r="O313" s="10">
        <v>12</v>
      </c>
      <c r="P313" s="10">
        <v>381.09971511975698</v>
      </c>
      <c r="R313" s="10">
        <v>2018</v>
      </c>
      <c r="S313" s="10">
        <v>12</v>
      </c>
      <c r="T313" s="10">
        <v>382.08792314287899</v>
      </c>
      <c r="V313" s="10">
        <v>2018</v>
      </c>
      <c r="W313" s="10">
        <v>12</v>
      </c>
      <c r="X313" s="10">
        <v>381.87321393104401</v>
      </c>
      <c r="Z313" s="10">
        <v>2018</v>
      </c>
      <c r="AA313" s="10">
        <v>12</v>
      </c>
      <c r="AB313" s="10">
        <v>382.00348038311898</v>
      </c>
    </row>
    <row r="314" spans="1:28" x14ac:dyDescent="0.25">
      <c r="A314" s="8">
        <v>2019</v>
      </c>
      <c r="B314" s="8">
        <v>1</v>
      </c>
      <c r="C314" s="10">
        <v>425.58269932694202</v>
      </c>
      <c r="F314" s="8">
        <v>2019</v>
      </c>
      <c r="G314" s="8">
        <v>1</v>
      </c>
      <c r="H314" s="10">
        <v>407.658969785914</v>
      </c>
      <c r="J314" s="10">
        <v>2019</v>
      </c>
      <c r="K314" s="10">
        <v>1</v>
      </c>
      <c r="L314" s="10">
        <v>408.13155027094803</v>
      </c>
      <c r="N314" s="10">
        <v>2019</v>
      </c>
      <c r="O314" s="10">
        <v>1</v>
      </c>
      <c r="P314" s="10">
        <v>408.34574348355102</v>
      </c>
      <c r="R314" s="10">
        <v>2019</v>
      </c>
      <c r="S314" s="10">
        <v>1</v>
      </c>
      <c r="T314" s="10">
        <v>408.21160115544399</v>
      </c>
      <c r="V314" s="10">
        <v>2019</v>
      </c>
      <c r="W314" s="10">
        <v>1</v>
      </c>
      <c r="X314" s="10">
        <v>408.33804044556803</v>
      </c>
      <c r="Z314" s="10">
        <v>2019</v>
      </c>
      <c r="AA314" s="10">
        <v>1</v>
      </c>
      <c r="AB314" s="10">
        <v>408.471680027464</v>
      </c>
    </row>
    <row r="315" spans="1:28" x14ac:dyDescent="0.25">
      <c r="A315" s="8">
        <v>2019</v>
      </c>
      <c r="B315" s="8">
        <v>2</v>
      </c>
      <c r="C315" s="10">
        <v>367.88970191586799</v>
      </c>
      <c r="F315" s="8">
        <v>2019</v>
      </c>
      <c r="G315" s="8">
        <v>2</v>
      </c>
      <c r="H315" s="10">
        <v>370.06642848277897</v>
      </c>
      <c r="J315" s="10">
        <v>2019</v>
      </c>
      <c r="K315" s="10">
        <v>2</v>
      </c>
      <c r="L315" s="10">
        <v>382.435896157179</v>
      </c>
      <c r="N315" s="10">
        <v>2019</v>
      </c>
      <c r="O315" s="10">
        <v>2</v>
      </c>
      <c r="P315" s="10">
        <v>382.61533730743997</v>
      </c>
      <c r="R315" s="10">
        <v>2019</v>
      </c>
      <c r="S315" s="10">
        <v>2</v>
      </c>
      <c r="T315" s="10">
        <v>382.36911344487402</v>
      </c>
      <c r="V315" s="10">
        <v>2019</v>
      </c>
      <c r="W315" s="10">
        <v>2</v>
      </c>
      <c r="X315" s="10">
        <v>382.37366657428998</v>
      </c>
      <c r="Z315" s="10">
        <v>2019</v>
      </c>
      <c r="AA315" s="10">
        <v>2</v>
      </c>
      <c r="AB315" s="10">
        <v>381.61947188376899</v>
      </c>
    </row>
    <row r="316" spans="1:28" x14ac:dyDescent="0.25">
      <c r="A316" s="8">
        <v>2019</v>
      </c>
      <c r="B316" s="8">
        <v>3</v>
      </c>
      <c r="C316" s="10">
        <v>377.10441899072498</v>
      </c>
      <c r="F316" s="8">
        <v>2019</v>
      </c>
      <c r="G316" s="8">
        <v>3</v>
      </c>
      <c r="H316" s="10">
        <v>386.32784199374203</v>
      </c>
      <c r="J316" s="10">
        <v>2019</v>
      </c>
      <c r="K316" s="10">
        <v>3</v>
      </c>
      <c r="L316" s="10">
        <v>384.63840167723203</v>
      </c>
      <c r="N316" s="10">
        <v>2019</v>
      </c>
      <c r="O316" s="10">
        <v>3</v>
      </c>
      <c r="P316" s="10">
        <v>384.74577538901502</v>
      </c>
      <c r="R316" s="10">
        <v>2019</v>
      </c>
      <c r="S316" s="10">
        <v>3</v>
      </c>
      <c r="T316" s="10">
        <v>384.78844375971698</v>
      </c>
      <c r="V316" s="10">
        <v>2019</v>
      </c>
      <c r="W316" s="10">
        <v>3</v>
      </c>
      <c r="X316" s="10">
        <v>385.00002374626399</v>
      </c>
      <c r="Z316" s="10">
        <v>2019</v>
      </c>
      <c r="AA316" s="10">
        <v>3</v>
      </c>
      <c r="AB316" s="10">
        <v>384.42907358772999</v>
      </c>
    </row>
    <row r="317" spans="1:28" x14ac:dyDescent="0.25">
      <c r="A317" s="8">
        <v>2019</v>
      </c>
      <c r="B317" s="8">
        <v>4</v>
      </c>
      <c r="C317" s="10">
        <v>411.21392204013</v>
      </c>
      <c r="F317" s="8">
        <v>2019</v>
      </c>
      <c r="G317" s="8">
        <v>4</v>
      </c>
      <c r="H317" s="10">
        <v>418.76877307277698</v>
      </c>
      <c r="J317" s="10">
        <v>2019</v>
      </c>
      <c r="K317" s="10">
        <v>4</v>
      </c>
      <c r="L317" s="10">
        <v>421.92473077103699</v>
      </c>
      <c r="N317" s="10">
        <v>2019</v>
      </c>
      <c r="O317" s="10">
        <v>4</v>
      </c>
      <c r="P317" s="10">
        <v>421.909830043662</v>
      </c>
      <c r="R317" s="10">
        <v>2019</v>
      </c>
      <c r="S317" s="10">
        <v>4</v>
      </c>
      <c r="T317" s="10">
        <v>421.81243779255198</v>
      </c>
      <c r="V317" s="10">
        <v>2019</v>
      </c>
      <c r="W317" s="10">
        <v>4</v>
      </c>
      <c r="X317" s="10">
        <v>421.98117200405397</v>
      </c>
      <c r="Z317" s="10">
        <v>2019</v>
      </c>
      <c r="AA317" s="10">
        <v>4</v>
      </c>
      <c r="AB317" s="10">
        <v>422.30711534749599</v>
      </c>
    </row>
    <row r="318" spans="1:28" x14ac:dyDescent="0.25">
      <c r="A318" s="8">
        <v>2019</v>
      </c>
      <c r="B318" s="8">
        <v>5</v>
      </c>
      <c r="C318" s="10">
        <v>397.33342642185897</v>
      </c>
      <c r="F318" s="8">
        <v>2019</v>
      </c>
      <c r="G318" s="8">
        <v>5</v>
      </c>
      <c r="H318" s="10">
        <v>407.536832451625</v>
      </c>
      <c r="J318" s="10">
        <v>2019</v>
      </c>
      <c r="K318" s="10">
        <v>5</v>
      </c>
      <c r="L318" s="10">
        <v>409.53199259927601</v>
      </c>
      <c r="N318" s="10">
        <v>2019</v>
      </c>
      <c r="O318" s="10">
        <v>5</v>
      </c>
      <c r="P318" s="10">
        <v>409.54114851438197</v>
      </c>
      <c r="R318" s="10">
        <v>2019</v>
      </c>
      <c r="S318" s="10">
        <v>5</v>
      </c>
      <c r="T318" s="10">
        <v>409.22675813038597</v>
      </c>
      <c r="V318" s="10">
        <v>2019</v>
      </c>
      <c r="W318" s="10">
        <v>5</v>
      </c>
      <c r="X318" s="10">
        <v>409.26746704056001</v>
      </c>
      <c r="Z318" s="10">
        <v>2019</v>
      </c>
      <c r="AA318" s="10">
        <v>5</v>
      </c>
      <c r="AB318" s="10">
        <v>408.839399045486</v>
      </c>
    </row>
    <row r="319" spans="1:28" x14ac:dyDescent="0.25">
      <c r="A319" s="8">
        <v>2019</v>
      </c>
      <c r="B319" s="8">
        <v>6</v>
      </c>
      <c r="C319" s="10">
        <v>408.75240254017302</v>
      </c>
      <c r="F319" s="8">
        <v>2019</v>
      </c>
      <c r="G319" s="8">
        <v>6</v>
      </c>
      <c r="H319" s="10">
        <v>422.558298596913</v>
      </c>
      <c r="J319" s="10">
        <v>2019</v>
      </c>
      <c r="K319" s="10">
        <v>6</v>
      </c>
      <c r="L319" s="10">
        <v>422.97521532039599</v>
      </c>
      <c r="N319" s="10">
        <v>2019</v>
      </c>
      <c r="O319" s="10">
        <v>6</v>
      </c>
      <c r="P319" s="10">
        <v>421.61604186014603</v>
      </c>
      <c r="R319" s="10">
        <v>2019</v>
      </c>
      <c r="S319" s="10">
        <v>6</v>
      </c>
      <c r="T319" s="10">
        <v>421.35367113944</v>
      </c>
      <c r="V319" s="10">
        <v>2019</v>
      </c>
      <c r="W319" s="10">
        <v>6</v>
      </c>
      <c r="X319" s="10">
        <v>421.00789597623401</v>
      </c>
      <c r="Z319" s="10">
        <v>2019</v>
      </c>
      <c r="AA319" s="10">
        <v>6</v>
      </c>
      <c r="AB319" s="10">
        <v>421.66212339832498</v>
      </c>
    </row>
    <row r="320" spans="1:28" x14ac:dyDescent="0.25">
      <c r="A320" s="8">
        <v>2019</v>
      </c>
      <c r="B320" s="8">
        <v>7</v>
      </c>
      <c r="C320" s="10">
        <v>396.28215322525199</v>
      </c>
      <c r="F320" s="8">
        <v>2019</v>
      </c>
      <c r="G320" s="8">
        <v>7</v>
      </c>
      <c r="H320" s="10">
        <v>399.575810780751</v>
      </c>
      <c r="J320" s="10">
        <v>2019</v>
      </c>
      <c r="K320" s="10">
        <v>7</v>
      </c>
      <c r="L320" s="10">
        <v>397.46411177173599</v>
      </c>
      <c r="N320" s="10">
        <v>2019</v>
      </c>
      <c r="O320" s="10">
        <v>7</v>
      </c>
      <c r="P320" s="10">
        <v>397.54242141966398</v>
      </c>
      <c r="R320" s="10">
        <v>2019</v>
      </c>
      <c r="S320" s="10">
        <v>7</v>
      </c>
      <c r="T320" s="10">
        <v>397.34188008697402</v>
      </c>
      <c r="V320" s="10">
        <v>2019</v>
      </c>
      <c r="W320" s="10">
        <v>7</v>
      </c>
      <c r="X320" s="10">
        <v>397.382743518648</v>
      </c>
      <c r="Z320" s="10">
        <v>2019</v>
      </c>
      <c r="AA320" s="10">
        <v>7</v>
      </c>
      <c r="AB320" s="10">
        <v>397.73577650805697</v>
      </c>
    </row>
    <row r="321" spans="1:28" x14ac:dyDescent="0.25">
      <c r="A321" s="8">
        <v>2019</v>
      </c>
      <c r="B321" s="8">
        <v>8</v>
      </c>
      <c r="C321" s="10">
        <v>404.86951799063002</v>
      </c>
      <c r="F321" s="8">
        <v>2019</v>
      </c>
      <c r="G321" s="8">
        <v>8</v>
      </c>
      <c r="H321" s="10">
        <v>409.09188168690503</v>
      </c>
      <c r="J321" s="10">
        <v>2019</v>
      </c>
      <c r="K321" s="10">
        <v>8</v>
      </c>
      <c r="L321" s="10">
        <v>410.74195615372003</v>
      </c>
      <c r="N321" s="10">
        <v>2019</v>
      </c>
      <c r="O321" s="10">
        <v>8</v>
      </c>
      <c r="P321" s="10">
        <v>410.78736364169703</v>
      </c>
      <c r="R321" s="10">
        <v>2019</v>
      </c>
      <c r="S321" s="10">
        <v>8</v>
      </c>
      <c r="T321" s="10">
        <v>410.76607322718303</v>
      </c>
      <c r="V321" s="10">
        <v>2019</v>
      </c>
      <c r="W321" s="10">
        <v>8</v>
      </c>
      <c r="X321" s="10">
        <v>410.756622061153</v>
      </c>
      <c r="Z321" s="10">
        <v>2019</v>
      </c>
      <c r="AA321" s="10">
        <v>8</v>
      </c>
      <c r="AB321" s="10">
        <v>410.66905339842498</v>
      </c>
    </row>
    <row r="322" spans="1:28" x14ac:dyDescent="0.25">
      <c r="A322" s="8">
        <v>2019</v>
      </c>
      <c r="B322" s="8">
        <v>9</v>
      </c>
      <c r="C322" s="10">
        <v>391.16250807112198</v>
      </c>
      <c r="F322" s="8">
        <v>2019</v>
      </c>
      <c r="G322" s="8">
        <v>9</v>
      </c>
      <c r="H322" s="10">
        <v>388.508255363893</v>
      </c>
      <c r="J322" s="10">
        <v>2019</v>
      </c>
      <c r="K322" s="10">
        <v>9</v>
      </c>
      <c r="L322" s="10">
        <v>385.11705055950301</v>
      </c>
      <c r="N322" s="10">
        <v>2019</v>
      </c>
      <c r="O322" s="10">
        <v>9</v>
      </c>
      <c r="P322" s="10">
        <v>385.380456917961</v>
      </c>
      <c r="R322" s="10">
        <v>2019</v>
      </c>
      <c r="S322" s="10">
        <v>9</v>
      </c>
      <c r="T322" s="10">
        <v>385.74787628864601</v>
      </c>
      <c r="V322" s="10">
        <v>2019</v>
      </c>
      <c r="W322" s="10">
        <v>9</v>
      </c>
      <c r="X322" s="10">
        <v>385.26298412450399</v>
      </c>
      <c r="Z322" s="10">
        <v>2019</v>
      </c>
      <c r="AA322" s="10">
        <v>9</v>
      </c>
      <c r="AB322" s="10">
        <v>385.51272171560203</v>
      </c>
    </row>
    <row r="323" spans="1:28" x14ac:dyDescent="0.25">
      <c r="A323" s="8">
        <v>2019</v>
      </c>
      <c r="B323" s="8">
        <v>10</v>
      </c>
      <c r="C323" s="10">
        <v>356.665261640832</v>
      </c>
      <c r="F323" s="8">
        <v>2019</v>
      </c>
      <c r="G323" s="8">
        <v>10</v>
      </c>
      <c r="H323" s="10">
        <v>352.60997874269799</v>
      </c>
      <c r="J323" s="10">
        <v>2019</v>
      </c>
      <c r="K323" s="10">
        <v>10</v>
      </c>
      <c r="L323" s="10">
        <v>349.07658708173301</v>
      </c>
      <c r="N323" s="10">
        <v>2019</v>
      </c>
      <c r="O323" s="10">
        <v>10</v>
      </c>
      <c r="P323" s="10">
        <v>349.26874661694001</v>
      </c>
      <c r="R323" s="10">
        <v>2019</v>
      </c>
      <c r="S323" s="10">
        <v>10</v>
      </c>
      <c r="T323" s="10">
        <v>349.17770479904902</v>
      </c>
      <c r="V323" s="10">
        <v>2019</v>
      </c>
      <c r="W323" s="10">
        <v>10</v>
      </c>
      <c r="X323" s="10">
        <v>349.07397074091199</v>
      </c>
      <c r="Z323" s="10">
        <v>2019</v>
      </c>
      <c r="AA323" s="10">
        <v>10</v>
      </c>
      <c r="AB323" s="10">
        <v>349.51137622542001</v>
      </c>
    </row>
    <row r="324" spans="1:28" x14ac:dyDescent="0.25">
      <c r="A324" s="8">
        <v>2019</v>
      </c>
      <c r="B324" s="8">
        <v>11</v>
      </c>
      <c r="C324" s="10">
        <v>348.79767896826598</v>
      </c>
      <c r="F324" s="8">
        <v>2019</v>
      </c>
      <c r="G324" s="8">
        <v>11</v>
      </c>
      <c r="H324" s="10">
        <v>339.72539113656597</v>
      </c>
      <c r="J324" s="10">
        <v>2019</v>
      </c>
      <c r="K324" s="10">
        <v>11</v>
      </c>
      <c r="L324" s="10">
        <v>331.89275329382298</v>
      </c>
      <c r="N324" s="10">
        <v>2019</v>
      </c>
      <c r="O324" s="10">
        <v>11</v>
      </c>
      <c r="P324" s="10">
        <v>332.07034707726399</v>
      </c>
      <c r="R324" s="10">
        <v>2019</v>
      </c>
      <c r="S324" s="10">
        <v>11</v>
      </c>
      <c r="T324" s="10">
        <v>331.99791696262298</v>
      </c>
      <c r="V324" s="10">
        <v>2019</v>
      </c>
      <c r="W324" s="10">
        <v>11</v>
      </c>
      <c r="X324" s="10">
        <v>331.93592728466598</v>
      </c>
      <c r="Z324" s="10">
        <v>2019</v>
      </c>
      <c r="AA324" s="10">
        <v>11</v>
      </c>
      <c r="AB324" s="10">
        <v>331.522885370572</v>
      </c>
    </row>
    <row r="325" spans="1:28" x14ac:dyDescent="0.25">
      <c r="A325" s="8">
        <v>2019</v>
      </c>
      <c r="B325" s="8">
        <v>12</v>
      </c>
      <c r="C325" s="10">
        <v>366.63381100537998</v>
      </c>
      <c r="F325" s="8">
        <v>2019</v>
      </c>
      <c r="G325" s="8">
        <v>12</v>
      </c>
      <c r="H325" s="10">
        <v>349.16948245615902</v>
      </c>
      <c r="J325" s="10">
        <v>2019</v>
      </c>
      <c r="K325" s="10">
        <v>12</v>
      </c>
      <c r="L325" s="10">
        <v>344.20918534452602</v>
      </c>
      <c r="N325" s="10">
        <v>2019</v>
      </c>
      <c r="O325" s="10">
        <v>12</v>
      </c>
      <c r="P325" s="10">
        <v>344.44848377952599</v>
      </c>
      <c r="R325" s="10">
        <v>2019</v>
      </c>
      <c r="S325" s="10">
        <v>12</v>
      </c>
      <c r="T325" s="10">
        <v>346.21686995847301</v>
      </c>
      <c r="V325" s="10">
        <v>2019</v>
      </c>
      <c r="W325" s="10">
        <v>12</v>
      </c>
      <c r="X325" s="10">
        <v>345.740505208863</v>
      </c>
      <c r="Z325" s="10">
        <v>2019</v>
      </c>
      <c r="AA325" s="10">
        <v>12</v>
      </c>
      <c r="AB325" s="10">
        <v>346.79350022896602</v>
      </c>
    </row>
    <row r="326" spans="1:28" x14ac:dyDescent="0.25">
      <c r="A326" s="8">
        <v>2020</v>
      </c>
      <c r="B326" s="8">
        <v>1</v>
      </c>
      <c r="C326" s="10">
        <v>352.68797028945698</v>
      </c>
      <c r="F326" s="8">
        <v>2020</v>
      </c>
      <c r="G326" s="8">
        <v>1</v>
      </c>
      <c r="H326" s="10">
        <v>331.52439163613201</v>
      </c>
      <c r="J326" s="10">
        <v>2020</v>
      </c>
      <c r="K326" s="10">
        <v>1</v>
      </c>
      <c r="L326" s="10">
        <v>333.53248576304998</v>
      </c>
      <c r="N326" s="10">
        <v>2020</v>
      </c>
      <c r="O326" s="10">
        <v>1</v>
      </c>
      <c r="P326" s="10">
        <v>333.83971702742798</v>
      </c>
      <c r="R326" s="10">
        <v>2020</v>
      </c>
      <c r="S326" s="10">
        <v>1</v>
      </c>
      <c r="T326" s="10">
        <v>332.88817565887899</v>
      </c>
      <c r="V326" s="10">
        <v>2020</v>
      </c>
      <c r="W326" s="10">
        <v>1</v>
      </c>
      <c r="X326" s="10">
        <v>333.193006456224</v>
      </c>
      <c r="Z326" s="10">
        <v>2020</v>
      </c>
      <c r="AA326" s="10">
        <v>1</v>
      </c>
      <c r="AB326" s="10">
        <v>332.40845928499903</v>
      </c>
    </row>
    <row r="327" spans="1:28" x14ac:dyDescent="0.25">
      <c r="F327" s="8">
        <v>2020</v>
      </c>
      <c r="G327" s="8">
        <v>2</v>
      </c>
      <c r="H327" s="10">
        <v>364.61110968501902</v>
      </c>
      <c r="J327" s="10">
        <v>2020</v>
      </c>
      <c r="K327" s="10">
        <v>2</v>
      </c>
      <c r="L327" s="10">
        <v>378.53739928903002</v>
      </c>
      <c r="N327" s="10">
        <v>2020</v>
      </c>
      <c r="O327" s="10">
        <v>2</v>
      </c>
      <c r="P327" s="10">
        <v>378.78811693579098</v>
      </c>
      <c r="R327" s="10">
        <v>2020</v>
      </c>
      <c r="S327" s="10">
        <v>2</v>
      </c>
      <c r="T327" s="10">
        <v>378.813430818943</v>
      </c>
      <c r="V327" s="10">
        <v>2020</v>
      </c>
      <c r="W327" s="10">
        <v>2</v>
      </c>
      <c r="X327" s="10">
        <v>380.63249752841898</v>
      </c>
      <c r="Z327" s="10">
        <v>2020</v>
      </c>
      <c r="AA327" s="10">
        <v>2</v>
      </c>
      <c r="AB327" s="10">
        <v>379.16035969410501</v>
      </c>
    </row>
    <row r="328" spans="1:28" x14ac:dyDescent="0.25">
      <c r="F328" s="8">
        <v>2020</v>
      </c>
      <c r="G328" s="8">
        <v>3</v>
      </c>
      <c r="H328" s="10">
        <v>286.53251892184301</v>
      </c>
      <c r="J328" s="10">
        <v>2020</v>
      </c>
      <c r="K328" s="10">
        <v>3</v>
      </c>
      <c r="L328" s="10">
        <v>283.43126101108902</v>
      </c>
      <c r="N328" s="10">
        <v>2020</v>
      </c>
      <c r="O328" s="10">
        <v>3</v>
      </c>
      <c r="P328" s="10">
        <v>283.64019870471401</v>
      </c>
      <c r="R328" s="10">
        <v>2020</v>
      </c>
      <c r="S328" s="10">
        <v>3</v>
      </c>
      <c r="T328" s="10">
        <v>283.723337799776</v>
      </c>
      <c r="V328" s="10">
        <v>2020</v>
      </c>
      <c r="W328" s="10">
        <v>3</v>
      </c>
      <c r="X328" s="10">
        <v>284.70035279242899</v>
      </c>
      <c r="Z328" s="10">
        <v>2020</v>
      </c>
      <c r="AA328" s="10">
        <v>3</v>
      </c>
      <c r="AB328" s="10">
        <v>284.44717072827598</v>
      </c>
    </row>
    <row r="329" spans="1:28" x14ac:dyDescent="0.25">
      <c r="F329" s="8">
        <v>2020</v>
      </c>
      <c r="G329" s="8">
        <v>4</v>
      </c>
      <c r="H329" s="10">
        <v>103.07657280831501</v>
      </c>
      <c r="J329" s="10">
        <v>2020</v>
      </c>
      <c r="K329" s="10">
        <v>4</v>
      </c>
      <c r="L329" s="10">
        <v>108.525840300146</v>
      </c>
      <c r="N329" s="10">
        <v>2020</v>
      </c>
      <c r="O329" s="10">
        <v>4</v>
      </c>
      <c r="P329" s="10">
        <v>108.420040494189</v>
      </c>
      <c r="R329" s="10">
        <v>2020</v>
      </c>
      <c r="S329" s="10">
        <v>4</v>
      </c>
      <c r="T329" s="10">
        <v>108.273247015219</v>
      </c>
      <c r="V329" s="10">
        <v>2020</v>
      </c>
      <c r="W329" s="10">
        <v>4</v>
      </c>
      <c r="X329" s="10">
        <v>108.338927144175</v>
      </c>
      <c r="Z329" s="10">
        <v>2020</v>
      </c>
      <c r="AA329" s="10">
        <v>4</v>
      </c>
      <c r="AB329" s="10">
        <v>108.584161990673</v>
      </c>
    </row>
    <row r="330" spans="1:28" x14ac:dyDescent="0.25">
      <c r="F330" s="8">
        <v>2020</v>
      </c>
      <c r="G330" s="8">
        <v>5</v>
      </c>
      <c r="H330" s="10">
        <v>195.29628696135001</v>
      </c>
      <c r="J330" s="10">
        <v>2020</v>
      </c>
      <c r="K330" s="10">
        <v>5</v>
      </c>
      <c r="L330" s="10">
        <v>196.95751562274501</v>
      </c>
      <c r="N330" s="10">
        <v>2020</v>
      </c>
      <c r="O330" s="10">
        <v>5</v>
      </c>
      <c r="P330" s="10">
        <v>196.768589795244</v>
      </c>
      <c r="R330" s="10">
        <v>2020</v>
      </c>
      <c r="S330" s="10">
        <v>5</v>
      </c>
      <c r="T330" s="10">
        <v>196.61460545880101</v>
      </c>
      <c r="V330" s="10">
        <v>2020</v>
      </c>
      <c r="W330" s="10">
        <v>5</v>
      </c>
      <c r="X330" s="10">
        <v>196.60794078797801</v>
      </c>
      <c r="Z330" s="10">
        <v>2020</v>
      </c>
      <c r="AA330" s="10">
        <v>5</v>
      </c>
      <c r="AB330" s="10">
        <v>195.369817605517</v>
      </c>
    </row>
    <row r="331" spans="1:28" x14ac:dyDescent="0.25">
      <c r="F331" s="8">
        <v>2020</v>
      </c>
      <c r="G331" s="8">
        <v>6</v>
      </c>
      <c r="H331" s="10">
        <v>252.670376361915</v>
      </c>
      <c r="J331" s="10">
        <v>2020</v>
      </c>
      <c r="K331" s="10">
        <v>6</v>
      </c>
      <c r="L331" s="10">
        <v>251.46878019416499</v>
      </c>
      <c r="N331" s="10">
        <v>2020</v>
      </c>
      <c r="O331" s="10">
        <v>6</v>
      </c>
      <c r="P331" s="10">
        <v>249.74949647957001</v>
      </c>
      <c r="R331" s="10">
        <v>2020</v>
      </c>
      <c r="S331" s="10">
        <v>6</v>
      </c>
      <c r="T331" s="10">
        <v>248.881482900241</v>
      </c>
      <c r="V331" s="10">
        <v>2020</v>
      </c>
      <c r="W331" s="10">
        <v>6</v>
      </c>
      <c r="X331" s="10">
        <v>248.24842650630001</v>
      </c>
      <c r="Z331" s="10">
        <v>2020</v>
      </c>
      <c r="AA331" s="10">
        <v>6</v>
      </c>
      <c r="AB331" s="10">
        <v>249.802041846306</v>
      </c>
    </row>
    <row r="332" spans="1:28" x14ac:dyDescent="0.25">
      <c r="F332" s="8">
        <v>2020</v>
      </c>
      <c r="G332" s="8">
        <v>7</v>
      </c>
      <c r="H332" s="10">
        <v>307.90999516807699</v>
      </c>
      <c r="J332" s="10">
        <v>2020</v>
      </c>
      <c r="K332" s="10">
        <v>7</v>
      </c>
      <c r="L332" s="10">
        <v>306.09761834320102</v>
      </c>
      <c r="N332" s="10">
        <v>2020</v>
      </c>
      <c r="O332" s="10">
        <v>7</v>
      </c>
      <c r="P332" s="10">
        <v>306.00617416481799</v>
      </c>
      <c r="R332" s="10">
        <v>2020</v>
      </c>
      <c r="S332" s="10">
        <v>7</v>
      </c>
      <c r="T332" s="10">
        <v>305.81311418696203</v>
      </c>
      <c r="V332" s="10">
        <v>2020</v>
      </c>
      <c r="W332" s="10">
        <v>7</v>
      </c>
      <c r="X332" s="10">
        <v>305.80058845067299</v>
      </c>
      <c r="Z332" s="10">
        <v>2020</v>
      </c>
      <c r="AA332" s="10">
        <v>7</v>
      </c>
      <c r="AB332" s="10">
        <v>306.20853308217602</v>
      </c>
    </row>
    <row r="333" spans="1:28" x14ac:dyDescent="0.25">
      <c r="F333" s="8">
        <v>2020</v>
      </c>
      <c r="G333" s="8">
        <v>8</v>
      </c>
      <c r="H333" s="10">
        <v>308.86179771426902</v>
      </c>
      <c r="J333" s="10">
        <v>2020</v>
      </c>
      <c r="K333" s="10">
        <v>8</v>
      </c>
      <c r="L333" s="10">
        <v>313.075999026381</v>
      </c>
      <c r="N333" s="10">
        <v>2020</v>
      </c>
      <c r="O333" s="10">
        <v>8</v>
      </c>
      <c r="P333" s="10">
        <v>312.99006554182699</v>
      </c>
      <c r="R333" s="10">
        <v>2020</v>
      </c>
      <c r="S333" s="10">
        <v>8</v>
      </c>
      <c r="T333" s="10">
        <v>313.11368877541503</v>
      </c>
      <c r="V333" s="10">
        <v>2020</v>
      </c>
      <c r="W333" s="10">
        <v>8</v>
      </c>
      <c r="X333" s="10">
        <v>313.076009015691</v>
      </c>
      <c r="Z333" s="10">
        <v>2020</v>
      </c>
      <c r="AA333" s="10">
        <v>8</v>
      </c>
      <c r="AB333" s="10">
        <v>312.61626583198802</v>
      </c>
    </row>
    <row r="334" spans="1:28" x14ac:dyDescent="0.25">
      <c r="F334" s="8">
        <v>2020</v>
      </c>
      <c r="G334" s="8">
        <v>9</v>
      </c>
      <c r="H334" s="10">
        <v>339.52056744707397</v>
      </c>
      <c r="J334" s="10">
        <v>2020</v>
      </c>
      <c r="K334" s="10">
        <v>9</v>
      </c>
      <c r="L334" s="10">
        <v>333.70611509231901</v>
      </c>
      <c r="N334" s="10">
        <v>2020</v>
      </c>
      <c r="O334" s="10">
        <v>9</v>
      </c>
      <c r="P334" s="10">
        <v>334.20832201889101</v>
      </c>
      <c r="R334" s="10">
        <v>2020</v>
      </c>
      <c r="S334" s="10">
        <v>9</v>
      </c>
      <c r="T334" s="10">
        <v>334.84465335649099</v>
      </c>
      <c r="V334" s="10">
        <v>2020</v>
      </c>
      <c r="W334" s="10">
        <v>9</v>
      </c>
      <c r="X334" s="10">
        <v>333.93388518728</v>
      </c>
      <c r="Z334" s="10">
        <v>2020</v>
      </c>
      <c r="AA334" s="10">
        <v>9</v>
      </c>
      <c r="AB334" s="10">
        <v>334.90897528434499</v>
      </c>
    </row>
    <row r="335" spans="1:28" x14ac:dyDescent="0.25">
      <c r="F335" s="8">
        <v>2020</v>
      </c>
      <c r="G335" s="8">
        <v>10</v>
      </c>
      <c r="H335" s="10">
        <v>354.38993581260399</v>
      </c>
      <c r="J335" s="10">
        <v>2020</v>
      </c>
      <c r="K335" s="10">
        <v>10</v>
      </c>
      <c r="L335" s="10">
        <v>346.37479485024198</v>
      </c>
      <c r="N335" s="10">
        <v>2020</v>
      </c>
      <c r="O335" s="10">
        <v>10</v>
      </c>
      <c r="P335" s="10">
        <v>346.66967813105703</v>
      </c>
      <c r="R335" s="10">
        <v>2020</v>
      </c>
      <c r="S335" s="10">
        <v>10</v>
      </c>
      <c r="T335" s="10">
        <v>346.58285651475398</v>
      </c>
      <c r="V335" s="10">
        <v>2020</v>
      </c>
      <c r="W335" s="10">
        <v>10</v>
      </c>
      <c r="X335" s="10">
        <v>346.49538774396598</v>
      </c>
      <c r="Z335" s="10">
        <v>2020</v>
      </c>
      <c r="AA335" s="10">
        <v>10</v>
      </c>
      <c r="AB335" s="10">
        <v>346.60802030752302</v>
      </c>
    </row>
    <row r="336" spans="1:28" x14ac:dyDescent="0.25">
      <c r="F336" s="8">
        <v>2020</v>
      </c>
      <c r="G336" s="8">
        <v>11</v>
      </c>
      <c r="H336" s="10">
        <v>374.65688719184601</v>
      </c>
      <c r="J336" s="10">
        <v>2020</v>
      </c>
      <c r="K336" s="10">
        <v>11</v>
      </c>
      <c r="L336" s="10">
        <v>364.46214723162302</v>
      </c>
      <c r="N336" s="10">
        <v>2020</v>
      </c>
      <c r="O336" s="10">
        <v>11</v>
      </c>
      <c r="P336" s="10">
        <v>364.86965398293103</v>
      </c>
      <c r="R336" s="10">
        <v>2020</v>
      </c>
      <c r="S336" s="10">
        <v>11</v>
      </c>
      <c r="T336" s="10">
        <v>364.65203291410802</v>
      </c>
      <c r="V336" s="10">
        <v>2020</v>
      </c>
      <c r="W336" s="10">
        <v>11</v>
      </c>
      <c r="X336" s="10">
        <v>364.61937934777302</v>
      </c>
      <c r="Z336" s="10">
        <v>2020</v>
      </c>
      <c r="AA336" s="10">
        <v>11</v>
      </c>
      <c r="AB336" s="10">
        <v>364.34030876268201</v>
      </c>
    </row>
    <row r="337" spans="6:28" x14ac:dyDescent="0.25">
      <c r="F337" s="8">
        <v>2020</v>
      </c>
      <c r="G337" s="8">
        <v>12</v>
      </c>
      <c r="H337" s="10">
        <v>407.027837275602</v>
      </c>
      <c r="J337" s="10">
        <v>2020</v>
      </c>
      <c r="K337" s="10">
        <v>12</v>
      </c>
      <c r="L337" s="10">
        <v>399.64222676412197</v>
      </c>
      <c r="N337" s="10">
        <v>2020</v>
      </c>
      <c r="O337" s="10">
        <v>12</v>
      </c>
      <c r="P337" s="10">
        <v>399.98092996184101</v>
      </c>
      <c r="R337" s="10">
        <v>2020</v>
      </c>
      <c r="S337" s="10">
        <v>12</v>
      </c>
      <c r="T337" s="10">
        <v>403.29535961459402</v>
      </c>
      <c r="V337" s="10">
        <v>2020</v>
      </c>
      <c r="W337" s="10">
        <v>12</v>
      </c>
      <c r="X337" s="10">
        <v>402.61920515506603</v>
      </c>
      <c r="Z337" s="10">
        <v>2020</v>
      </c>
      <c r="AA337" s="10">
        <v>12</v>
      </c>
      <c r="AB337" s="10">
        <v>404.68240100586002</v>
      </c>
    </row>
    <row r="338" spans="6:28" x14ac:dyDescent="0.25">
      <c r="F338" s="8">
        <v>2021</v>
      </c>
      <c r="G338" s="8">
        <v>1</v>
      </c>
      <c r="H338" s="10">
        <v>401.29027654424902</v>
      </c>
      <c r="J338" s="10">
        <v>2021</v>
      </c>
      <c r="K338" s="10">
        <v>1</v>
      </c>
      <c r="L338" s="10">
        <v>407.40997572513601</v>
      </c>
      <c r="N338" s="10">
        <v>2021</v>
      </c>
      <c r="O338" s="10">
        <v>1</v>
      </c>
      <c r="P338" s="10">
        <v>407.82484547430801</v>
      </c>
      <c r="R338" s="10">
        <v>2021</v>
      </c>
      <c r="S338" s="10">
        <v>1</v>
      </c>
      <c r="T338" s="10">
        <v>405.75269712781602</v>
      </c>
      <c r="V338" s="10">
        <v>2021</v>
      </c>
      <c r="W338" s="10">
        <v>1</v>
      </c>
      <c r="X338" s="10">
        <v>406.40956527529499</v>
      </c>
      <c r="Z338" s="10">
        <v>2021</v>
      </c>
      <c r="AA338" s="10">
        <v>1</v>
      </c>
      <c r="AB338" s="10">
        <v>403.24536831663301</v>
      </c>
    </row>
    <row r="339" spans="6:28" x14ac:dyDescent="0.25">
      <c r="F339" s="8">
        <v>2021</v>
      </c>
      <c r="G339" s="8">
        <v>2</v>
      </c>
      <c r="H339" s="10">
        <v>384.37794818104601</v>
      </c>
      <c r="J339" s="10">
        <v>2021</v>
      </c>
      <c r="K339" s="10">
        <v>2</v>
      </c>
      <c r="L339" s="10">
        <v>404.869988541765</v>
      </c>
      <c r="N339" s="10">
        <v>2021</v>
      </c>
      <c r="O339" s="10">
        <v>2</v>
      </c>
      <c r="P339" s="10">
        <v>405.30978501603499</v>
      </c>
      <c r="R339" s="10">
        <v>2021</v>
      </c>
      <c r="S339" s="10">
        <v>2</v>
      </c>
      <c r="T339" s="10">
        <v>404.80980605880899</v>
      </c>
      <c r="V339" s="10">
        <v>2021</v>
      </c>
      <c r="W339" s="10">
        <v>2</v>
      </c>
      <c r="X339" s="10">
        <v>404.85689263367902</v>
      </c>
      <c r="Z339" s="10">
        <v>2021</v>
      </c>
      <c r="AA339" s="10">
        <v>2</v>
      </c>
      <c r="AB339" s="10">
        <v>404.47824977956901</v>
      </c>
    </row>
    <row r="340" spans="6:28" x14ac:dyDescent="0.25">
      <c r="J340" s="10">
        <v>2021</v>
      </c>
      <c r="K340" s="10">
        <v>3</v>
      </c>
      <c r="L340" s="10">
        <v>423.3356259331</v>
      </c>
      <c r="N340" s="10">
        <v>2021</v>
      </c>
      <c r="O340" s="10">
        <v>3</v>
      </c>
      <c r="P340" s="10">
        <v>423.69274868267399</v>
      </c>
      <c r="R340" s="10">
        <v>2021</v>
      </c>
      <c r="S340" s="10">
        <v>3</v>
      </c>
      <c r="T340" s="10">
        <v>423.69139621690402</v>
      </c>
      <c r="V340" s="10">
        <v>2021</v>
      </c>
      <c r="W340" s="10">
        <v>3</v>
      </c>
      <c r="X340" s="10">
        <v>425.56414689423298</v>
      </c>
      <c r="Z340" s="10">
        <v>2021</v>
      </c>
      <c r="AA340" s="10">
        <v>3</v>
      </c>
      <c r="AB340" s="10">
        <v>425.63703257081102</v>
      </c>
    </row>
    <row r="341" spans="6:28" x14ac:dyDescent="0.25">
      <c r="J341" s="10">
        <v>2021</v>
      </c>
      <c r="K341" s="10">
        <v>4</v>
      </c>
      <c r="L341" s="10">
        <v>350.33082806054898</v>
      </c>
      <c r="N341" s="10">
        <v>2021</v>
      </c>
      <c r="O341" s="10">
        <v>4</v>
      </c>
      <c r="P341" s="10">
        <v>350.181656395277</v>
      </c>
      <c r="R341" s="10">
        <v>2021</v>
      </c>
      <c r="S341" s="10">
        <v>4</v>
      </c>
      <c r="T341" s="10">
        <v>349.93611607041902</v>
      </c>
      <c r="V341" s="10">
        <v>2021</v>
      </c>
      <c r="W341" s="10">
        <v>4</v>
      </c>
      <c r="X341" s="10">
        <v>349.98182764913997</v>
      </c>
      <c r="Z341" s="10">
        <v>2021</v>
      </c>
      <c r="AA341" s="10">
        <v>4</v>
      </c>
      <c r="AB341" s="10">
        <v>350.20043317540302</v>
      </c>
    </row>
    <row r="342" spans="6:28" x14ac:dyDescent="0.25">
      <c r="J342" s="10">
        <v>2021</v>
      </c>
      <c r="K342" s="10">
        <v>5</v>
      </c>
      <c r="L342" s="10">
        <v>393.22279844538599</v>
      </c>
      <c r="N342" s="10">
        <v>2021</v>
      </c>
      <c r="O342" s="10">
        <v>5</v>
      </c>
      <c r="P342" s="10">
        <v>392.93714922383799</v>
      </c>
      <c r="R342" s="10">
        <v>2021</v>
      </c>
      <c r="S342" s="10">
        <v>5</v>
      </c>
      <c r="T342" s="10">
        <v>392.717539357173</v>
      </c>
      <c r="V342" s="10">
        <v>2021</v>
      </c>
      <c r="W342" s="10">
        <v>5</v>
      </c>
      <c r="X342" s="10">
        <v>392.632170934182</v>
      </c>
      <c r="Z342" s="10">
        <v>2021</v>
      </c>
      <c r="AA342" s="10">
        <v>5</v>
      </c>
      <c r="AB342" s="10">
        <v>391.51599773515699</v>
      </c>
    </row>
    <row r="343" spans="6:28" x14ac:dyDescent="0.25">
      <c r="J343" s="10">
        <v>2021</v>
      </c>
      <c r="K343" s="10">
        <v>6</v>
      </c>
      <c r="L343" s="10">
        <v>410.13999531817802</v>
      </c>
      <c r="N343" s="10">
        <v>2021</v>
      </c>
      <c r="O343" s="10">
        <v>6</v>
      </c>
      <c r="P343" s="10">
        <v>407.80892770494</v>
      </c>
      <c r="R343" s="10">
        <v>2021</v>
      </c>
      <c r="S343" s="10">
        <v>6</v>
      </c>
      <c r="T343" s="10">
        <v>406.74358122390498</v>
      </c>
      <c r="V343" s="10">
        <v>2021</v>
      </c>
      <c r="W343" s="10">
        <v>6</v>
      </c>
      <c r="X343" s="10">
        <v>405.66489287114399</v>
      </c>
      <c r="Z343" s="10">
        <v>2021</v>
      </c>
      <c r="AA343" s="10">
        <v>6</v>
      </c>
      <c r="AB343" s="10">
        <v>407.17988029034501</v>
      </c>
    </row>
    <row r="344" spans="6:28" x14ac:dyDescent="0.25">
      <c r="J344" s="10">
        <v>2021</v>
      </c>
      <c r="K344" s="10">
        <v>7</v>
      </c>
      <c r="L344" s="10">
        <v>412.37318494287598</v>
      </c>
      <c r="N344" s="10">
        <v>2021</v>
      </c>
      <c r="O344" s="10">
        <v>7</v>
      </c>
      <c r="P344" s="10">
        <v>411.90665810097698</v>
      </c>
      <c r="R344" s="10">
        <v>2021</v>
      </c>
      <c r="S344" s="10">
        <v>7</v>
      </c>
      <c r="T344" s="10">
        <v>411.796583802751</v>
      </c>
      <c r="V344" s="10">
        <v>2021</v>
      </c>
      <c r="W344" s="10">
        <v>7</v>
      </c>
      <c r="X344" s="10">
        <v>411.75617672905003</v>
      </c>
      <c r="Z344" s="10">
        <v>2021</v>
      </c>
      <c r="AA344" s="10">
        <v>7</v>
      </c>
      <c r="AB344" s="10">
        <v>411.86815162847699</v>
      </c>
    </row>
    <row r="345" spans="6:28" x14ac:dyDescent="0.25">
      <c r="J345" s="10">
        <v>2021</v>
      </c>
      <c r="K345" s="10">
        <v>8</v>
      </c>
      <c r="L345" s="10">
        <v>403.41012960421898</v>
      </c>
      <c r="N345" s="10">
        <v>2021</v>
      </c>
      <c r="O345" s="10">
        <v>8</v>
      </c>
      <c r="P345" s="10">
        <v>402.87923242001699</v>
      </c>
      <c r="R345" s="10">
        <v>2021</v>
      </c>
      <c r="S345" s="10">
        <v>8</v>
      </c>
      <c r="T345" s="10">
        <v>402.94061185903098</v>
      </c>
      <c r="V345" s="10">
        <v>2021</v>
      </c>
      <c r="W345" s="10">
        <v>8</v>
      </c>
      <c r="X345" s="10">
        <v>402.93634331371697</v>
      </c>
      <c r="Z345" s="10">
        <v>2021</v>
      </c>
      <c r="AA345" s="10">
        <v>8</v>
      </c>
      <c r="AB345" s="10">
        <v>402.93350525066802</v>
      </c>
    </row>
    <row r="346" spans="6:28" x14ac:dyDescent="0.25">
      <c r="J346" s="10">
        <v>2021</v>
      </c>
      <c r="K346" s="10">
        <v>9</v>
      </c>
      <c r="L346" s="10">
        <v>404.19213036147198</v>
      </c>
      <c r="N346" s="10">
        <v>2021</v>
      </c>
      <c r="O346" s="10">
        <v>9</v>
      </c>
      <c r="P346" s="10">
        <v>404.77419092223897</v>
      </c>
      <c r="R346" s="10">
        <v>2021</v>
      </c>
      <c r="S346" s="10">
        <v>9</v>
      </c>
      <c r="T346" s="10">
        <v>406.03599851334297</v>
      </c>
      <c r="V346" s="10">
        <v>2021</v>
      </c>
      <c r="W346" s="10">
        <v>9</v>
      </c>
      <c r="X346" s="10">
        <v>404.34850495970801</v>
      </c>
      <c r="Z346" s="10">
        <v>2021</v>
      </c>
      <c r="AA346" s="10">
        <v>9</v>
      </c>
      <c r="AB346" s="10">
        <v>405.90887633046401</v>
      </c>
    </row>
    <row r="347" spans="6:28" x14ac:dyDescent="0.25">
      <c r="J347" s="10">
        <v>2021</v>
      </c>
      <c r="K347" s="10">
        <v>10</v>
      </c>
      <c r="L347" s="10">
        <v>406.85048837173099</v>
      </c>
      <c r="N347" s="10">
        <v>2021</v>
      </c>
      <c r="O347" s="10">
        <v>10</v>
      </c>
      <c r="P347" s="10">
        <v>407.744857047332</v>
      </c>
      <c r="R347" s="10">
        <v>2021</v>
      </c>
      <c r="S347" s="10">
        <v>10</v>
      </c>
      <c r="T347" s="10">
        <v>407.87623478140603</v>
      </c>
      <c r="V347" s="10">
        <v>2021</v>
      </c>
      <c r="W347" s="10">
        <v>10</v>
      </c>
      <c r="X347" s="10">
        <v>407.90269992659699</v>
      </c>
      <c r="Z347" s="10">
        <v>2021</v>
      </c>
      <c r="AA347" s="10">
        <v>10</v>
      </c>
      <c r="AB347" s="10">
        <v>407.56384918972498</v>
      </c>
    </row>
    <row r="348" spans="6:28" x14ac:dyDescent="0.25">
      <c r="J348" s="10">
        <v>2021</v>
      </c>
      <c r="K348" s="10">
        <v>11</v>
      </c>
      <c r="L348" s="10">
        <v>424.59920900493802</v>
      </c>
      <c r="N348" s="10">
        <v>2021</v>
      </c>
      <c r="O348" s="10">
        <v>11</v>
      </c>
      <c r="P348" s="10">
        <v>425.59916898603302</v>
      </c>
      <c r="R348" s="10">
        <v>2021</v>
      </c>
      <c r="S348" s="10">
        <v>11</v>
      </c>
      <c r="T348" s="10">
        <v>425.54408645433102</v>
      </c>
      <c r="V348" s="10">
        <v>2021</v>
      </c>
      <c r="W348" s="10">
        <v>11</v>
      </c>
      <c r="X348" s="10">
        <v>425.57558633846003</v>
      </c>
      <c r="Z348" s="10">
        <v>2021</v>
      </c>
      <c r="AA348" s="10">
        <v>11</v>
      </c>
      <c r="AB348" s="10">
        <v>425.71020057494599</v>
      </c>
    </row>
    <row r="349" spans="6:28" x14ac:dyDescent="0.25">
      <c r="J349" s="10">
        <v>2021</v>
      </c>
      <c r="K349" s="10">
        <v>12</v>
      </c>
      <c r="L349" s="10">
        <v>436.57830671201901</v>
      </c>
      <c r="N349" s="10">
        <v>2021</v>
      </c>
      <c r="O349" s="10">
        <v>12</v>
      </c>
      <c r="P349" s="10">
        <v>437.02926066532302</v>
      </c>
      <c r="R349" s="10">
        <v>2021</v>
      </c>
      <c r="S349" s="10">
        <v>12</v>
      </c>
      <c r="T349" s="10">
        <v>441.56883877148198</v>
      </c>
      <c r="V349" s="10">
        <v>2021</v>
      </c>
      <c r="W349" s="10">
        <v>12</v>
      </c>
      <c r="X349" s="10">
        <v>440.83477236332197</v>
      </c>
      <c r="Z349" s="10">
        <v>2021</v>
      </c>
      <c r="AA349" s="10">
        <v>12</v>
      </c>
      <c r="AB349" s="10">
        <v>443.78972336261899</v>
      </c>
    </row>
    <row r="350" spans="6:28" x14ac:dyDescent="0.25">
      <c r="J350" s="10">
        <v>2022</v>
      </c>
      <c r="K350" s="10">
        <v>1</v>
      </c>
      <c r="L350" s="10">
        <v>394.46850923243699</v>
      </c>
      <c r="N350" s="10">
        <v>2022</v>
      </c>
      <c r="O350" s="10">
        <v>1</v>
      </c>
      <c r="P350" s="10">
        <v>395.03674642991501</v>
      </c>
      <c r="R350" s="10">
        <v>2022</v>
      </c>
      <c r="S350" s="10">
        <v>1</v>
      </c>
      <c r="T350" s="10">
        <v>390.64340958219498</v>
      </c>
      <c r="V350" s="10">
        <v>2022</v>
      </c>
      <c r="W350" s="10">
        <v>1</v>
      </c>
      <c r="X350" s="10">
        <v>391.467079263394</v>
      </c>
      <c r="Z350" s="10">
        <v>2022</v>
      </c>
      <c r="AA350" s="10">
        <v>1</v>
      </c>
      <c r="AB350" s="10">
        <v>386.52095443056498</v>
      </c>
    </row>
    <row r="351" spans="6:28" x14ac:dyDescent="0.25">
      <c r="J351" s="10">
        <v>2022</v>
      </c>
      <c r="K351" s="10">
        <v>2</v>
      </c>
      <c r="L351" s="10">
        <v>393.92768840758202</v>
      </c>
      <c r="N351" s="10">
        <v>2022</v>
      </c>
      <c r="O351" s="10">
        <v>2</v>
      </c>
      <c r="P351" s="10">
        <v>394.43550767650498</v>
      </c>
      <c r="R351" s="10">
        <v>2022</v>
      </c>
      <c r="S351" s="10">
        <v>2</v>
      </c>
      <c r="T351" s="10">
        <v>393.91944381876903</v>
      </c>
      <c r="V351" s="10">
        <v>2022</v>
      </c>
      <c r="W351" s="10">
        <v>2</v>
      </c>
      <c r="X351" s="10">
        <v>394.08331653106598</v>
      </c>
      <c r="Z351" s="10">
        <v>2022</v>
      </c>
      <c r="AA351" s="10">
        <v>2</v>
      </c>
      <c r="AB351" s="10">
        <v>394.03785689221598</v>
      </c>
    </row>
    <row r="352" spans="6:28" x14ac:dyDescent="0.25">
      <c r="J352" s="10">
        <v>2022</v>
      </c>
      <c r="K352" s="10">
        <v>3</v>
      </c>
      <c r="L352" s="10">
        <v>417.96502831805202</v>
      </c>
      <c r="N352" s="10">
        <v>2022</v>
      </c>
      <c r="O352" s="10">
        <v>3</v>
      </c>
      <c r="P352" s="10">
        <v>418.30501990442099</v>
      </c>
      <c r="R352" s="10">
        <v>2022</v>
      </c>
      <c r="S352" s="10">
        <v>3</v>
      </c>
      <c r="T352" s="10">
        <v>418.42716065835901</v>
      </c>
      <c r="V352" s="10">
        <v>2022</v>
      </c>
      <c r="W352" s="10">
        <v>3</v>
      </c>
      <c r="X352" s="10">
        <v>421.50201986099199</v>
      </c>
      <c r="Z352" s="10">
        <v>2022</v>
      </c>
      <c r="AA352" s="10">
        <v>3</v>
      </c>
      <c r="AB352" s="10">
        <v>421.20727848521699</v>
      </c>
    </row>
    <row r="353" spans="10:28" x14ac:dyDescent="0.25">
      <c r="J353" s="10">
        <v>2022</v>
      </c>
      <c r="K353" s="10">
        <v>4</v>
      </c>
      <c r="L353" s="10">
        <v>362.20523208161597</v>
      </c>
      <c r="N353" s="10">
        <v>2022</v>
      </c>
      <c r="O353" s="10">
        <v>4</v>
      </c>
      <c r="P353" s="10">
        <v>361.90422090724502</v>
      </c>
      <c r="R353" s="10">
        <v>2022</v>
      </c>
      <c r="S353" s="10">
        <v>4</v>
      </c>
      <c r="T353" s="10">
        <v>361.73883078395801</v>
      </c>
      <c r="V353" s="10">
        <v>2022</v>
      </c>
      <c r="W353" s="10">
        <v>4</v>
      </c>
      <c r="X353" s="10">
        <v>362.19822540664802</v>
      </c>
      <c r="Z353" s="10">
        <v>2022</v>
      </c>
      <c r="AA353" s="10">
        <v>4</v>
      </c>
      <c r="AB353" s="10">
        <v>361.66146994919399</v>
      </c>
    </row>
    <row r="354" spans="10:28" x14ac:dyDescent="0.25">
      <c r="J354" s="10">
        <v>2022</v>
      </c>
      <c r="K354" s="10">
        <v>5</v>
      </c>
      <c r="L354" s="10">
        <v>448.37656333780598</v>
      </c>
      <c r="N354" s="10">
        <v>2022</v>
      </c>
      <c r="O354" s="10">
        <v>5</v>
      </c>
      <c r="P354" s="10">
        <v>447.92819033278403</v>
      </c>
      <c r="R354" s="10">
        <v>2022</v>
      </c>
      <c r="S354" s="10">
        <v>5</v>
      </c>
      <c r="T354" s="10">
        <v>447.59274371203099</v>
      </c>
      <c r="V354" s="10">
        <v>2022</v>
      </c>
      <c r="W354" s="10">
        <v>5</v>
      </c>
      <c r="X354" s="10">
        <v>446.75318904993202</v>
      </c>
      <c r="Z354" s="10">
        <v>2022</v>
      </c>
      <c r="AA354" s="10">
        <v>5</v>
      </c>
      <c r="AB354" s="10">
        <v>446.02287874212101</v>
      </c>
    </row>
    <row r="355" spans="10:28" x14ac:dyDescent="0.25">
      <c r="J355" s="10">
        <v>2022</v>
      </c>
      <c r="K355" s="10">
        <v>6</v>
      </c>
      <c r="L355" s="10">
        <v>473.901788451372</v>
      </c>
      <c r="N355" s="10">
        <v>2022</v>
      </c>
      <c r="O355" s="10">
        <v>6</v>
      </c>
      <c r="P355" s="10">
        <v>471.44097539924701</v>
      </c>
      <c r="R355" s="10">
        <v>2022</v>
      </c>
      <c r="S355" s="10">
        <v>6</v>
      </c>
      <c r="T355" s="10">
        <v>470.56471607360101</v>
      </c>
      <c r="V355" s="10">
        <v>2022</v>
      </c>
      <c r="W355" s="10">
        <v>6</v>
      </c>
      <c r="X355" s="10">
        <v>469.01841083754999</v>
      </c>
      <c r="Z355" s="10">
        <v>2022</v>
      </c>
      <c r="AA355" s="10">
        <v>6</v>
      </c>
      <c r="AB355" s="10">
        <v>470.70671793195203</v>
      </c>
    </row>
    <row r="356" spans="10:28" x14ac:dyDescent="0.25">
      <c r="J356" s="10">
        <v>2022</v>
      </c>
      <c r="K356" s="10">
        <v>7</v>
      </c>
      <c r="L356" s="10">
        <v>447.78010324098398</v>
      </c>
      <c r="N356" s="10">
        <v>2022</v>
      </c>
      <c r="O356" s="10">
        <v>7</v>
      </c>
      <c r="P356" s="10">
        <v>446.78042532262202</v>
      </c>
      <c r="R356" s="10">
        <v>2022</v>
      </c>
      <c r="S356" s="10">
        <v>7</v>
      </c>
      <c r="T356" s="10">
        <v>446.743579847305</v>
      </c>
      <c r="V356" s="10">
        <v>2022</v>
      </c>
      <c r="W356" s="10">
        <v>7</v>
      </c>
      <c r="X356" s="10">
        <v>446.41536060030103</v>
      </c>
      <c r="Z356" s="10">
        <v>2022</v>
      </c>
      <c r="AA356" s="10">
        <v>7</v>
      </c>
      <c r="AB356" s="10">
        <v>447.75689437985301</v>
      </c>
    </row>
    <row r="357" spans="10:28" x14ac:dyDescent="0.25">
      <c r="J357" s="10">
        <v>2022</v>
      </c>
      <c r="K357" s="10">
        <v>8</v>
      </c>
      <c r="L357" s="10">
        <v>438.56102726869</v>
      </c>
      <c r="N357" s="10">
        <v>2022</v>
      </c>
      <c r="O357" s="10">
        <v>8</v>
      </c>
      <c r="P357" s="10">
        <v>437.43596078562302</v>
      </c>
      <c r="R357" s="10">
        <v>2022</v>
      </c>
      <c r="S357" s="10">
        <v>8</v>
      </c>
      <c r="T357" s="10">
        <v>437.48573104167298</v>
      </c>
      <c r="V357" s="10">
        <v>2022</v>
      </c>
      <c r="W357" s="10">
        <v>8</v>
      </c>
      <c r="X357" s="10">
        <v>437.27986300704799</v>
      </c>
      <c r="Z357" s="10">
        <v>2022</v>
      </c>
      <c r="AA357" s="10">
        <v>8</v>
      </c>
      <c r="AB357" s="10">
        <v>437.10506682851599</v>
      </c>
    </row>
    <row r="358" spans="10:28" x14ac:dyDescent="0.25">
      <c r="J358" s="10">
        <v>2022</v>
      </c>
      <c r="K358" s="10">
        <v>9</v>
      </c>
      <c r="L358" s="10">
        <v>398.10722662488701</v>
      </c>
      <c r="N358" s="10">
        <v>2022</v>
      </c>
      <c r="O358" s="10">
        <v>9</v>
      </c>
      <c r="P358" s="10">
        <v>398.44022358660698</v>
      </c>
      <c r="R358" s="10">
        <v>2022</v>
      </c>
      <c r="S358" s="10">
        <v>9</v>
      </c>
      <c r="T358" s="10">
        <v>400.00452587210702</v>
      </c>
      <c r="V358" s="10">
        <v>2022</v>
      </c>
      <c r="W358" s="10">
        <v>9</v>
      </c>
      <c r="X358" s="10">
        <v>397.80986759879403</v>
      </c>
      <c r="Z358" s="10">
        <v>2022</v>
      </c>
      <c r="AA358" s="10">
        <v>9</v>
      </c>
      <c r="AB358" s="10">
        <v>399.641441311699</v>
      </c>
    </row>
    <row r="359" spans="10:28" x14ac:dyDescent="0.25">
      <c r="J359" s="10">
        <v>2022</v>
      </c>
      <c r="K359" s="10">
        <v>10</v>
      </c>
      <c r="L359" s="10">
        <v>446.040974633779</v>
      </c>
      <c r="N359" s="10">
        <v>2022</v>
      </c>
      <c r="O359" s="10">
        <v>10</v>
      </c>
      <c r="P359" s="10">
        <v>447.847622725235</v>
      </c>
      <c r="R359" s="10">
        <v>2022</v>
      </c>
      <c r="S359" s="10">
        <v>10</v>
      </c>
      <c r="T359" s="10">
        <v>448.19690843631798</v>
      </c>
      <c r="V359" s="10">
        <v>2022</v>
      </c>
      <c r="W359" s="10">
        <v>10</v>
      </c>
      <c r="X359" s="10">
        <v>448.28716024295397</v>
      </c>
      <c r="Z359" s="10">
        <v>2022</v>
      </c>
      <c r="AA359" s="10">
        <v>10</v>
      </c>
      <c r="AB359" s="10">
        <v>448.01221431396198</v>
      </c>
    </row>
    <row r="360" spans="10:28" x14ac:dyDescent="0.25">
      <c r="J360" s="10">
        <v>2022</v>
      </c>
      <c r="K360" s="10">
        <v>11</v>
      </c>
      <c r="L360" s="10">
        <v>431.90175725979299</v>
      </c>
      <c r="N360" s="10">
        <v>2022</v>
      </c>
      <c r="O360" s="10">
        <v>11</v>
      </c>
      <c r="P360" s="10">
        <v>433.43942589658201</v>
      </c>
      <c r="R360" s="10">
        <v>2022</v>
      </c>
      <c r="S360" s="10">
        <v>11</v>
      </c>
      <c r="T360" s="10">
        <v>433.79728875774902</v>
      </c>
      <c r="V360" s="10">
        <v>2022</v>
      </c>
      <c r="W360" s="10">
        <v>11</v>
      </c>
      <c r="X360" s="10">
        <v>434.03100745663301</v>
      </c>
      <c r="Z360" s="10">
        <v>2022</v>
      </c>
      <c r="AA360" s="10">
        <v>11</v>
      </c>
      <c r="AB360" s="10">
        <v>432.71825200008402</v>
      </c>
    </row>
    <row r="361" spans="10:28" x14ac:dyDescent="0.25">
      <c r="J361" s="10">
        <v>2022</v>
      </c>
      <c r="K361" s="10">
        <v>12</v>
      </c>
      <c r="L361" s="10">
        <v>447.07821312173502</v>
      </c>
      <c r="N361" s="10">
        <v>2022</v>
      </c>
      <c r="O361" s="10">
        <v>12</v>
      </c>
      <c r="P361" s="10">
        <v>447.58767638734503</v>
      </c>
      <c r="R361" s="10">
        <v>2022</v>
      </c>
      <c r="S361" s="10">
        <v>12</v>
      </c>
      <c r="T361" s="10">
        <v>453.59353460997698</v>
      </c>
      <c r="V361" s="10">
        <v>2022</v>
      </c>
      <c r="W361" s="10">
        <v>12</v>
      </c>
      <c r="X361" s="10">
        <v>453.20901186226098</v>
      </c>
      <c r="Z361" s="10">
        <v>2022</v>
      </c>
      <c r="AA361" s="10">
        <v>12</v>
      </c>
      <c r="AB361" s="10">
        <v>458.251996260895</v>
      </c>
    </row>
    <row r="362" spans="10:28" x14ac:dyDescent="0.25">
      <c r="J362" s="10">
        <v>2023</v>
      </c>
      <c r="K362" s="10">
        <v>1</v>
      </c>
      <c r="L362" s="10">
        <v>488.16956258908402</v>
      </c>
      <c r="N362" s="10">
        <v>2023</v>
      </c>
      <c r="O362" s="10">
        <v>1</v>
      </c>
      <c r="P362" s="10">
        <v>488.96853139483602</v>
      </c>
      <c r="R362" s="10">
        <v>2023</v>
      </c>
      <c r="S362" s="10">
        <v>1</v>
      </c>
      <c r="T362" s="10">
        <v>481.93568559574697</v>
      </c>
      <c r="V362" s="10">
        <v>2023</v>
      </c>
      <c r="W362" s="10">
        <v>1</v>
      </c>
      <c r="X362" s="10">
        <v>483.46398432426099</v>
      </c>
      <c r="Z362" s="10">
        <v>2023</v>
      </c>
      <c r="AA362" s="10">
        <v>1</v>
      </c>
      <c r="AB362" s="10">
        <v>476.66221708020998</v>
      </c>
    </row>
    <row r="363" spans="10:28" x14ac:dyDescent="0.25">
      <c r="J363" s="10">
        <v>2023</v>
      </c>
      <c r="K363" s="10">
        <v>2</v>
      </c>
      <c r="L363" s="10">
        <v>431.21836649165198</v>
      </c>
      <c r="N363" s="10">
        <v>2023</v>
      </c>
      <c r="O363" s="10">
        <v>2</v>
      </c>
      <c r="P363" s="10">
        <v>431.78810747939298</v>
      </c>
      <c r="R363" s="10">
        <v>2023</v>
      </c>
      <c r="S363" s="10">
        <v>2</v>
      </c>
      <c r="T363" s="10">
        <v>431.11834090767297</v>
      </c>
      <c r="V363" s="10">
        <v>2023</v>
      </c>
      <c r="W363" s="10">
        <v>2</v>
      </c>
      <c r="X363" s="10">
        <v>430.51352890727298</v>
      </c>
      <c r="Z363" s="10">
        <v>2023</v>
      </c>
      <c r="AA363" s="10">
        <v>2</v>
      </c>
      <c r="AB363" s="10">
        <v>431.10227550959303</v>
      </c>
    </row>
    <row r="364" spans="10:28" x14ac:dyDescent="0.25">
      <c r="J364" s="10">
        <v>2023</v>
      </c>
      <c r="K364" s="10">
        <v>3</v>
      </c>
      <c r="L364" s="10">
        <v>413.72624254595797</v>
      </c>
      <c r="N364" s="10">
        <v>2023</v>
      </c>
      <c r="O364" s="10">
        <v>3</v>
      </c>
      <c r="P364" s="10">
        <v>414.04507422604797</v>
      </c>
      <c r="R364" s="10">
        <v>2023</v>
      </c>
      <c r="S364" s="10">
        <v>3</v>
      </c>
      <c r="T364" s="10">
        <v>414.109897497291</v>
      </c>
      <c r="V364" s="10">
        <v>2023</v>
      </c>
      <c r="W364" s="10">
        <v>3</v>
      </c>
      <c r="X364" s="10">
        <v>417.68705475910298</v>
      </c>
      <c r="Z364" s="10">
        <v>2023</v>
      </c>
      <c r="AA364" s="10">
        <v>3</v>
      </c>
      <c r="AB364" s="10">
        <v>416.78585054992999</v>
      </c>
    </row>
    <row r="365" spans="10:28" x14ac:dyDescent="0.25">
      <c r="J365" s="10">
        <v>2023</v>
      </c>
      <c r="K365" s="10">
        <v>4</v>
      </c>
      <c r="L365" s="10">
        <v>438.98129818486598</v>
      </c>
      <c r="N365" s="10">
        <v>2023</v>
      </c>
      <c r="O365" s="10">
        <v>4</v>
      </c>
      <c r="P365" s="10">
        <v>438.57715637309099</v>
      </c>
      <c r="R365" s="10">
        <v>2023</v>
      </c>
      <c r="S365" s="10">
        <v>4</v>
      </c>
      <c r="T365" s="10">
        <v>438.565304349332</v>
      </c>
      <c r="V365" s="10">
        <v>2023</v>
      </c>
      <c r="W365" s="10">
        <v>4</v>
      </c>
      <c r="X365" s="10">
        <v>439.950153025227</v>
      </c>
      <c r="Z365" s="10">
        <v>2023</v>
      </c>
      <c r="AA365" s="10">
        <v>4</v>
      </c>
      <c r="AB365" s="10">
        <v>438.603093759964</v>
      </c>
    </row>
    <row r="366" spans="10:28" x14ac:dyDescent="0.25">
      <c r="J366" s="10">
        <v>2023</v>
      </c>
      <c r="K366" s="10">
        <v>5</v>
      </c>
      <c r="L366" s="10">
        <v>442.18247893909898</v>
      </c>
      <c r="N366" s="10">
        <v>2023</v>
      </c>
      <c r="O366" s="10">
        <v>5</v>
      </c>
      <c r="P366" s="10">
        <v>441.66165115665302</v>
      </c>
      <c r="R366" s="10">
        <v>2023</v>
      </c>
      <c r="S366" s="10">
        <v>5</v>
      </c>
      <c r="T366" s="10">
        <v>441.29608247318998</v>
      </c>
      <c r="V366" s="10">
        <v>2023</v>
      </c>
      <c r="W366" s="10">
        <v>5</v>
      </c>
      <c r="X366" s="10">
        <v>440.07021140384597</v>
      </c>
      <c r="Z366" s="10">
        <v>2023</v>
      </c>
      <c r="AA366" s="10">
        <v>5</v>
      </c>
      <c r="AB366" s="10">
        <v>439.49966779794602</v>
      </c>
    </row>
    <row r="367" spans="10:28" x14ac:dyDescent="0.25">
      <c r="J367" s="10">
        <v>2023</v>
      </c>
      <c r="K367" s="10">
        <v>6</v>
      </c>
      <c r="L367" s="10">
        <v>434.19782761070502</v>
      </c>
      <c r="N367" s="10">
        <v>2023</v>
      </c>
      <c r="O367" s="10">
        <v>6</v>
      </c>
      <c r="P367" s="10">
        <v>431.58731204840097</v>
      </c>
      <c r="R367" s="10">
        <v>2023</v>
      </c>
      <c r="S367" s="10">
        <v>6</v>
      </c>
      <c r="T367" s="10">
        <v>430.90208099363002</v>
      </c>
      <c r="V367" s="10">
        <v>2023</v>
      </c>
      <c r="W367" s="10">
        <v>6</v>
      </c>
      <c r="X367" s="10">
        <v>428.79596576085697</v>
      </c>
      <c r="Z367" s="10">
        <v>2023</v>
      </c>
      <c r="AA367" s="10">
        <v>6</v>
      </c>
      <c r="AB367" s="10">
        <v>431.03975660169903</v>
      </c>
    </row>
    <row r="368" spans="10:28" x14ac:dyDescent="0.25">
      <c r="J368" s="10">
        <v>2023</v>
      </c>
      <c r="K368" s="10">
        <v>7</v>
      </c>
      <c r="L368" s="10">
        <v>333.02974494158298</v>
      </c>
      <c r="N368" s="10">
        <v>2023</v>
      </c>
      <c r="O368" s="10">
        <v>7</v>
      </c>
      <c r="P368" s="10">
        <v>331.56047886938899</v>
      </c>
      <c r="R368" s="10">
        <v>2023</v>
      </c>
      <c r="S368" s="10">
        <v>7</v>
      </c>
      <c r="T368" s="10">
        <v>331.512598664618</v>
      </c>
      <c r="V368" s="10">
        <v>2023</v>
      </c>
      <c r="W368" s="10">
        <v>7</v>
      </c>
      <c r="X368" s="10">
        <v>330.94925677195801</v>
      </c>
      <c r="Z368" s="10">
        <v>2023</v>
      </c>
      <c r="AA368" s="10">
        <v>7</v>
      </c>
      <c r="AB368" s="10">
        <v>333.83882517697498</v>
      </c>
    </row>
    <row r="369" spans="10:28" x14ac:dyDescent="0.25">
      <c r="J369" s="10">
        <v>2023</v>
      </c>
      <c r="K369" s="10">
        <v>8</v>
      </c>
      <c r="L369" s="10">
        <v>404.80532144434801</v>
      </c>
      <c r="N369" s="10">
        <v>2023</v>
      </c>
      <c r="O369" s="10">
        <v>8</v>
      </c>
      <c r="P369" s="10">
        <v>402.94837601953901</v>
      </c>
      <c r="R369" s="10">
        <v>2023</v>
      </c>
      <c r="S369" s="10">
        <v>8</v>
      </c>
      <c r="T369" s="10">
        <v>403.05562773357798</v>
      </c>
      <c r="V369" s="10">
        <v>2023</v>
      </c>
      <c r="W369" s="10">
        <v>8</v>
      </c>
      <c r="X369" s="10">
        <v>402.745656029175</v>
      </c>
      <c r="Z369" s="10">
        <v>2023</v>
      </c>
      <c r="AA369" s="10">
        <v>8</v>
      </c>
      <c r="AB369" s="10">
        <v>401.42865276434202</v>
      </c>
    </row>
    <row r="370" spans="10:28" x14ac:dyDescent="0.25">
      <c r="J370" s="10">
        <v>2023</v>
      </c>
      <c r="K370" s="10">
        <v>9</v>
      </c>
      <c r="L370" s="10">
        <v>413.79667657434101</v>
      </c>
      <c r="N370" s="10">
        <v>2023</v>
      </c>
      <c r="O370" s="10">
        <v>9</v>
      </c>
      <c r="P370" s="10">
        <v>413.793873379231</v>
      </c>
      <c r="R370" s="10">
        <v>2023</v>
      </c>
      <c r="S370" s="10">
        <v>9</v>
      </c>
      <c r="T370" s="10">
        <v>415.90148752486198</v>
      </c>
      <c r="V370" s="10">
        <v>2023</v>
      </c>
      <c r="W370" s="10">
        <v>9</v>
      </c>
      <c r="X370" s="10">
        <v>413.03505702030498</v>
      </c>
      <c r="Z370" s="10">
        <v>2023</v>
      </c>
      <c r="AA370" s="10">
        <v>9</v>
      </c>
      <c r="AB370" s="10">
        <v>415.34729358279998</v>
      </c>
    </row>
    <row r="371" spans="10:28" x14ac:dyDescent="0.25">
      <c r="J371" s="10">
        <v>2023</v>
      </c>
      <c r="K371" s="10">
        <v>10</v>
      </c>
      <c r="L371" s="10">
        <v>407.83548765900298</v>
      </c>
      <c r="N371" s="10">
        <v>2023</v>
      </c>
      <c r="O371" s="10">
        <v>10</v>
      </c>
      <c r="P371" s="10">
        <v>410.47967130030497</v>
      </c>
      <c r="R371" s="10">
        <v>2023</v>
      </c>
      <c r="S371" s="10">
        <v>10</v>
      </c>
      <c r="T371" s="10">
        <v>411.14480774858498</v>
      </c>
      <c r="V371" s="10">
        <v>2023</v>
      </c>
      <c r="W371" s="10">
        <v>10</v>
      </c>
      <c r="X371" s="10">
        <v>411.31276443956</v>
      </c>
      <c r="Z371" s="10">
        <v>2023</v>
      </c>
      <c r="AA371" s="10">
        <v>10</v>
      </c>
      <c r="AB371" s="10">
        <v>411.81723252964798</v>
      </c>
    </row>
    <row r="372" spans="10:28" x14ac:dyDescent="0.25">
      <c r="J372" s="10">
        <v>2023</v>
      </c>
      <c r="K372" s="10">
        <v>11</v>
      </c>
      <c r="L372" s="10">
        <v>385.13783562405501</v>
      </c>
      <c r="N372" s="10">
        <v>2023</v>
      </c>
      <c r="O372" s="10">
        <v>11</v>
      </c>
      <c r="P372" s="10">
        <v>387.410761648223</v>
      </c>
      <c r="R372" s="10">
        <v>2023</v>
      </c>
      <c r="S372" s="10">
        <v>11</v>
      </c>
      <c r="T372" s="10">
        <v>388.54541465984198</v>
      </c>
      <c r="V372" s="10">
        <v>2023</v>
      </c>
      <c r="W372" s="10">
        <v>11</v>
      </c>
      <c r="X372" s="10">
        <v>389.00471278480501</v>
      </c>
      <c r="Z372" s="10">
        <v>2023</v>
      </c>
      <c r="AA372" s="10">
        <v>11</v>
      </c>
      <c r="AB372" s="10">
        <v>385.96230400631498</v>
      </c>
    </row>
    <row r="373" spans="10:28" x14ac:dyDescent="0.25">
      <c r="J373" s="10">
        <v>2023</v>
      </c>
      <c r="K373" s="10">
        <v>12</v>
      </c>
      <c r="L373" s="10">
        <v>341.714104725602</v>
      </c>
      <c r="N373" s="10">
        <v>2023</v>
      </c>
      <c r="O373" s="10">
        <v>12</v>
      </c>
      <c r="P373" s="10">
        <v>342.34063780547399</v>
      </c>
      <c r="R373" s="10">
        <v>2023</v>
      </c>
      <c r="S373" s="10">
        <v>12</v>
      </c>
      <c r="T373" s="10">
        <v>348.904614930241</v>
      </c>
      <c r="V373" s="10">
        <v>2023</v>
      </c>
      <c r="W373" s="10">
        <v>12</v>
      </c>
      <c r="X373" s="10">
        <v>349.09750797928501</v>
      </c>
      <c r="Z373" s="10">
        <v>2023</v>
      </c>
      <c r="AA373" s="10">
        <v>12</v>
      </c>
      <c r="AB373" s="10">
        <v>356.042234887961</v>
      </c>
    </row>
    <row r="374" spans="10:28" x14ac:dyDescent="0.25">
      <c r="J374" s="10">
        <v>2024</v>
      </c>
      <c r="K374" s="10">
        <v>1</v>
      </c>
      <c r="L374" s="10">
        <v>457.71146868499301</v>
      </c>
      <c r="N374" s="10">
        <v>2024</v>
      </c>
      <c r="O374" s="10">
        <v>1</v>
      </c>
      <c r="P374" s="10">
        <v>458.63650826706601</v>
      </c>
      <c r="R374" s="10">
        <v>2024</v>
      </c>
      <c r="S374" s="10">
        <v>1</v>
      </c>
      <c r="T374" s="10">
        <v>448.83784972939702</v>
      </c>
      <c r="V374" s="10">
        <v>2024</v>
      </c>
      <c r="W374" s="10">
        <v>1</v>
      </c>
      <c r="X374" s="10">
        <v>451.067443243946</v>
      </c>
      <c r="Z374" s="10">
        <v>2024</v>
      </c>
      <c r="AA374" s="10">
        <v>1</v>
      </c>
      <c r="AB374" s="10">
        <v>442.80516566079501</v>
      </c>
    </row>
    <row r="375" spans="10:28" x14ac:dyDescent="0.25">
      <c r="J375" s="10">
        <v>2024</v>
      </c>
      <c r="K375" s="10">
        <v>2</v>
      </c>
      <c r="L375" s="10">
        <v>359.63130984059802</v>
      </c>
      <c r="N375" s="10">
        <v>2024</v>
      </c>
      <c r="O375" s="10">
        <v>2</v>
      </c>
      <c r="P375" s="10">
        <v>360.19560101015202</v>
      </c>
      <c r="R375" s="10">
        <v>2024</v>
      </c>
      <c r="S375" s="10">
        <v>2</v>
      </c>
      <c r="T375" s="10">
        <v>359.83397593677603</v>
      </c>
      <c r="V375" s="10">
        <v>2024</v>
      </c>
      <c r="W375" s="10">
        <v>2</v>
      </c>
      <c r="X375" s="10">
        <v>359.631566606251</v>
      </c>
      <c r="Z375" s="10">
        <v>2024</v>
      </c>
      <c r="AA375" s="10">
        <v>2</v>
      </c>
      <c r="AB375" s="10">
        <v>360.03695168882598</v>
      </c>
    </row>
    <row r="376" spans="10:28" x14ac:dyDescent="0.25">
      <c r="J376" s="10">
        <v>2024</v>
      </c>
      <c r="K376" s="10">
        <v>3</v>
      </c>
      <c r="L376" s="10">
        <v>242.09246146617599</v>
      </c>
      <c r="N376" s="10">
        <v>2024</v>
      </c>
      <c r="O376" s="10">
        <v>3</v>
      </c>
      <c r="P376" s="10">
        <v>242.23168951486801</v>
      </c>
      <c r="R376" s="10">
        <v>2024</v>
      </c>
      <c r="S376" s="10">
        <v>3</v>
      </c>
      <c r="T376" s="10">
        <v>242.64408709437799</v>
      </c>
      <c r="V376" s="10">
        <v>2024</v>
      </c>
      <c r="W376" s="10">
        <v>3</v>
      </c>
      <c r="X376" s="10">
        <v>246.84602613296099</v>
      </c>
      <c r="Z376" s="10">
        <v>2024</v>
      </c>
      <c r="AA376" s="10">
        <v>3</v>
      </c>
      <c r="AB376" s="10">
        <v>244.44564461071101</v>
      </c>
    </row>
    <row r="377" spans="10:28" x14ac:dyDescent="0.25">
      <c r="J377" s="10">
        <v>2024</v>
      </c>
      <c r="K377" s="10">
        <v>4</v>
      </c>
      <c r="L377" s="10">
        <v>327.04264928136001</v>
      </c>
      <c r="N377" s="10">
        <v>2024</v>
      </c>
      <c r="O377" s="10">
        <v>4</v>
      </c>
      <c r="P377" s="10">
        <v>326.62645316096001</v>
      </c>
      <c r="R377" s="10">
        <v>2024</v>
      </c>
      <c r="S377" s="10">
        <v>4</v>
      </c>
      <c r="T377" s="10">
        <v>326.50689986561298</v>
      </c>
      <c r="V377" s="10">
        <v>2024</v>
      </c>
      <c r="W377" s="10">
        <v>4</v>
      </c>
      <c r="X377" s="10">
        <v>328.84848734494102</v>
      </c>
      <c r="Z377" s="10">
        <v>2024</v>
      </c>
      <c r="AA377" s="10">
        <v>4</v>
      </c>
      <c r="AB377" s="10">
        <v>327.95814674278898</v>
      </c>
    </row>
    <row r="378" spans="10:28" x14ac:dyDescent="0.25">
      <c r="J378" s="10">
        <v>2024</v>
      </c>
      <c r="K378" s="10">
        <v>5</v>
      </c>
      <c r="L378" s="10">
        <v>311.102585533965</v>
      </c>
      <c r="N378" s="10">
        <v>2024</v>
      </c>
      <c r="O378" s="10">
        <v>5</v>
      </c>
      <c r="P378" s="10">
        <v>310.444899343575</v>
      </c>
      <c r="R378" s="10">
        <v>2024</v>
      </c>
      <c r="S378" s="10">
        <v>5</v>
      </c>
      <c r="T378" s="10">
        <v>310.15243940765299</v>
      </c>
      <c r="V378" s="10">
        <v>2024</v>
      </c>
      <c r="W378" s="10">
        <v>5</v>
      </c>
      <c r="X378" s="10">
        <v>308.45307534110702</v>
      </c>
      <c r="Z378" s="10">
        <v>2024</v>
      </c>
      <c r="AA378" s="10">
        <v>5</v>
      </c>
      <c r="AB378" s="10">
        <v>307.40881200221099</v>
      </c>
    </row>
    <row r="379" spans="10:28" x14ac:dyDescent="0.25">
      <c r="J379" s="10">
        <v>2024</v>
      </c>
      <c r="K379" s="10">
        <v>6</v>
      </c>
      <c r="L379" s="10">
        <v>285.63493950718498</v>
      </c>
      <c r="N379" s="10">
        <v>2024</v>
      </c>
      <c r="O379" s="10">
        <v>6</v>
      </c>
      <c r="P379" s="10">
        <v>283.149533652218</v>
      </c>
      <c r="R379" s="10">
        <v>2024</v>
      </c>
      <c r="S379" s="10">
        <v>6</v>
      </c>
      <c r="T379" s="10">
        <v>282.961029813783</v>
      </c>
      <c r="V379" s="10">
        <v>2024</v>
      </c>
      <c r="W379" s="10">
        <v>6</v>
      </c>
      <c r="X379" s="10">
        <v>280.485830525079</v>
      </c>
      <c r="Z379" s="10">
        <v>2024</v>
      </c>
      <c r="AA379" s="10">
        <v>6</v>
      </c>
      <c r="AB379" s="10">
        <v>282.96682412855</v>
      </c>
    </row>
    <row r="380" spans="10:28" x14ac:dyDescent="0.25">
      <c r="J380" s="10">
        <v>2024</v>
      </c>
      <c r="K380" s="10">
        <v>7</v>
      </c>
      <c r="L380" s="10">
        <v>303.78876529929499</v>
      </c>
      <c r="N380" s="10">
        <v>2024</v>
      </c>
      <c r="O380" s="10">
        <v>7</v>
      </c>
      <c r="P380" s="10">
        <v>302.09101465771602</v>
      </c>
      <c r="R380" s="10">
        <v>2024</v>
      </c>
      <c r="S380" s="10">
        <v>7</v>
      </c>
      <c r="T380" s="10">
        <v>301.73468339489602</v>
      </c>
      <c r="V380" s="10">
        <v>2024</v>
      </c>
      <c r="W380" s="10">
        <v>7</v>
      </c>
      <c r="X380" s="10">
        <v>300.84237410429802</v>
      </c>
      <c r="Z380" s="10">
        <v>2024</v>
      </c>
      <c r="AA380" s="10">
        <v>7</v>
      </c>
      <c r="AB380" s="10">
        <v>306.50575818748399</v>
      </c>
    </row>
    <row r="381" spans="10:28" x14ac:dyDescent="0.25">
      <c r="J381" s="10">
        <v>2024</v>
      </c>
      <c r="K381" s="10">
        <v>8</v>
      </c>
      <c r="L381" s="10">
        <v>328.567448126545</v>
      </c>
      <c r="N381" s="10">
        <v>2024</v>
      </c>
      <c r="O381" s="10">
        <v>8</v>
      </c>
      <c r="P381" s="10">
        <v>326.26854282924302</v>
      </c>
      <c r="R381" s="10">
        <v>2024</v>
      </c>
      <c r="S381" s="10">
        <v>8</v>
      </c>
      <c r="T381" s="10">
        <v>326.42297253580199</v>
      </c>
      <c r="V381" s="10">
        <v>2024</v>
      </c>
      <c r="W381" s="10">
        <v>8</v>
      </c>
      <c r="X381" s="10">
        <v>325.91082790043299</v>
      </c>
      <c r="Z381" s="10">
        <v>2024</v>
      </c>
      <c r="AA381" s="10">
        <v>8</v>
      </c>
      <c r="AB381" s="10">
        <v>322.62957153513599</v>
      </c>
    </row>
    <row r="382" spans="10:28" x14ac:dyDescent="0.25">
      <c r="J382" s="10">
        <v>2024</v>
      </c>
      <c r="K382" s="10">
        <v>9</v>
      </c>
      <c r="L382" s="10">
        <v>336.75636547072099</v>
      </c>
      <c r="N382" s="10">
        <v>2024</v>
      </c>
      <c r="O382" s="10">
        <v>9</v>
      </c>
      <c r="P382" s="10">
        <v>336.43388873594802</v>
      </c>
      <c r="R382" s="10">
        <v>2024</v>
      </c>
      <c r="S382" s="10">
        <v>9</v>
      </c>
      <c r="T382" s="10">
        <v>338.42421453759999</v>
      </c>
      <c r="V382" s="10">
        <v>2024</v>
      </c>
      <c r="W382" s="10">
        <v>9</v>
      </c>
      <c r="X382" s="10">
        <v>335.47233289911799</v>
      </c>
      <c r="Z382" s="10">
        <v>2024</v>
      </c>
      <c r="AA382" s="10">
        <v>9</v>
      </c>
      <c r="AB382" s="10">
        <v>338.17987783871502</v>
      </c>
    </row>
    <row r="383" spans="10:28" x14ac:dyDescent="0.25">
      <c r="N383" s="10">
        <v>2024</v>
      </c>
      <c r="O383" s="10">
        <v>10</v>
      </c>
      <c r="P383" s="10">
        <v>309.54341479414597</v>
      </c>
      <c r="R383" s="10">
        <v>2024</v>
      </c>
      <c r="S383" s="10">
        <v>10</v>
      </c>
      <c r="T383" s="10">
        <v>310.30252620834699</v>
      </c>
      <c r="V383" s="10">
        <v>2024</v>
      </c>
      <c r="W383" s="10">
        <v>10</v>
      </c>
      <c r="X383" s="10">
        <v>310.539277196184</v>
      </c>
      <c r="Z383" s="10">
        <v>2024</v>
      </c>
      <c r="AA383" s="10">
        <v>10</v>
      </c>
      <c r="AB383" s="10">
        <v>312.03579349309899</v>
      </c>
    </row>
    <row r="384" spans="10:28" x14ac:dyDescent="0.25">
      <c r="N384" s="10">
        <v>2024</v>
      </c>
      <c r="O384" s="10">
        <v>11</v>
      </c>
      <c r="P384" s="10">
        <v>312.93161727502502</v>
      </c>
      <c r="R384" s="10">
        <v>2024</v>
      </c>
      <c r="S384" s="10">
        <v>11</v>
      </c>
      <c r="T384" s="10">
        <v>314.59127864879099</v>
      </c>
      <c r="V384" s="10">
        <v>2024</v>
      </c>
      <c r="W384" s="10">
        <v>11</v>
      </c>
      <c r="X384" s="10">
        <v>315.33918958453199</v>
      </c>
      <c r="Z384" s="10">
        <v>2024</v>
      </c>
      <c r="AA384" s="10">
        <v>11</v>
      </c>
      <c r="AB384" s="10">
        <v>309.80196017815598</v>
      </c>
    </row>
    <row r="385" spans="18:28" x14ac:dyDescent="0.25">
      <c r="R385" s="10">
        <v>2024</v>
      </c>
      <c r="S385" s="10">
        <v>12</v>
      </c>
      <c r="T385" s="10">
        <v>275.26627590158699</v>
      </c>
      <c r="V385" s="10">
        <v>2024</v>
      </c>
      <c r="W385" s="10">
        <v>12</v>
      </c>
      <c r="X385" s="10">
        <v>276.25410913571602</v>
      </c>
      <c r="Z385" s="10">
        <v>2024</v>
      </c>
      <c r="AA385" s="10">
        <v>12</v>
      </c>
      <c r="AB385" s="10">
        <v>286.12869880308398</v>
      </c>
    </row>
    <row r="386" spans="18:28" x14ac:dyDescent="0.25">
      <c r="R386" s="10">
        <v>2025</v>
      </c>
      <c r="S386" s="10">
        <v>1</v>
      </c>
      <c r="T386" s="10">
        <v>340.57929276920902</v>
      </c>
      <c r="V386" s="10">
        <v>2025</v>
      </c>
      <c r="W386" s="10">
        <v>1</v>
      </c>
      <c r="X386" s="10">
        <v>343.76258515495499</v>
      </c>
      <c r="Z386" s="10">
        <v>2025</v>
      </c>
      <c r="AA386" s="10">
        <v>1</v>
      </c>
      <c r="AB386" s="10">
        <v>334.24231974078498</v>
      </c>
    </row>
    <row r="387" spans="18:28" x14ac:dyDescent="0.25">
      <c r="V387" s="10">
        <v>2025</v>
      </c>
      <c r="W387" s="10">
        <v>2</v>
      </c>
      <c r="X387" s="10">
        <v>381.949071984515</v>
      </c>
      <c r="Z387" s="10">
        <v>2025</v>
      </c>
      <c r="AA387" s="10">
        <v>2</v>
      </c>
      <c r="AB387" s="10">
        <v>382.71555623717597</v>
      </c>
    </row>
    <row r="388" spans="18:28" x14ac:dyDescent="0.25">
      <c r="V388" s="10">
        <v>2025</v>
      </c>
      <c r="W388" s="10">
        <v>3</v>
      </c>
      <c r="X388" s="10">
        <v>336.577658082097</v>
      </c>
      <c r="Z388" s="10">
        <v>2025</v>
      </c>
      <c r="AA388" s="10">
        <v>3</v>
      </c>
      <c r="AB388" s="10">
        <v>333.73235238075398</v>
      </c>
    </row>
    <row r="389" spans="18:28" x14ac:dyDescent="0.25">
      <c r="V389" s="10">
        <v>2025</v>
      </c>
      <c r="W389" s="10">
        <v>4</v>
      </c>
      <c r="X389" s="10">
        <v>330.19658125349298</v>
      </c>
      <c r="Z389" s="10">
        <v>2025</v>
      </c>
      <c r="AA389" s="10">
        <v>4</v>
      </c>
      <c r="AB389" s="10">
        <v>329.13824188884502</v>
      </c>
    </row>
    <row r="390" spans="18:28" x14ac:dyDescent="0.25">
      <c r="V390" s="10">
        <v>2025</v>
      </c>
      <c r="W390" s="10">
        <v>5</v>
      </c>
      <c r="X390" s="10">
        <v>345.79521588057702</v>
      </c>
      <c r="Z390" s="10">
        <v>2025</v>
      </c>
      <c r="AA390" s="10">
        <v>5</v>
      </c>
      <c r="AB390" s="10">
        <v>343.82189742949902</v>
      </c>
    </row>
    <row r="391" spans="18:28" x14ac:dyDescent="0.25">
      <c r="Z391" s="10">
        <v>2025</v>
      </c>
      <c r="AA391" s="10">
        <v>6</v>
      </c>
      <c r="AB391" s="10">
        <v>331.38749134365997</v>
      </c>
    </row>
    <row r="392" spans="18:28" x14ac:dyDescent="0.25">
      <c r="Z392" s="10">
        <v>2025</v>
      </c>
      <c r="AA392" s="10">
        <v>7</v>
      </c>
      <c r="AB392" s="10">
        <v>321.78761564152302</v>
      </c>
    </row>
    <row r="393" spans="18:28" x14ac:dyDescent="0.25">
      <c r="Z393" s="10">
        <v>2025</v>
      </c>
      <c r="AA393" s="10">
        <v>8</v>
      </c>
      <c r="AB393" s="10">
        <v>342.168569649608</v>
      </c>
    </row>
    <row r="394" spans="18:28" x14ac:dyDescent="0.25">
      <c r="Z394" s="10">
        <v>2025</v>
      </c>
      <c r="AA394" s="10">
        <v>9</v>
      </c>
      <c r="AB394" s="10">
        <v>323.959928323398</v>
      </c>
    </row>
    <row r="395" spans="18:28" x14ac:dyDescent="0.25">
      <c r="Z395" s="10">
        <v>2025</v>
      </c>
      <c r="AA395" s="10">
        <v>10</v>
      </c>
      <c r="AB395" s="10">
        <v>326.36969472532502</v>
      </c>
    </row>
    <row r="396" spans="18:28" x14ac:dyDescent="0.25">
      <c r="Z396" s="10">
        <v>2025</v>
      </c>
      <c r="AA396" s="10">
        <v>11</v>
      </c>
      <c r="AB396" s="10">
        <v>346.12517377265698</v>
      </c>
    </row>
    <row r="397" spans="18:28" x14ac:dyDescent="0.25">
      <c r="Z397" s="10">
        <v>2025</v>
      </c>
      <c r="AA397" s="10">
        <v>12</v>
      </c>
      <c r="AB397" s="10">
        <v>320.13055470287497</v>
      </c>
    </row>
    <row r="398" spans="18:28" x14ac:dyDescent="0.25">
      <c r="Z398" s="10">
        <v>2026</v>
      </c>
      <c r="AA398" s="10">
        <v>1</v>
      </c>
      <c r="AB398" s="10">
        <v>384.56969380973698</v>
      </c>
    </row>
    <row r="399" spans="18:28" x14ac:dyDescent="0.25">
      <c r="Z399" s="10">
        <v>2026</v>
      </c>
      <c r="AA399" s="10">
        <v>2</v>
      </c>
      <c r="AB399" s="10">
        <v>335.527973700237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Gráficos</vt:lpstr>
      </vt:variant>
      <vt:variant>
        <vt:i4>1</vt:i4>
      </vt:variant>
    </vt:vector>
  </HeadingPairs>
  <TitlesOfParts>
    <vt:vector size="13" baseType="lpstr">
      <vt:lpstr>Hoja1</vt:lpstr>
      <vt:lpstr>Hoja12</vt:lpstr>
      <vt:lpstr>Hoja11</vt:lpstr>
      <vt:lpstr>Hoja10</vt:lpstr>
      <vt:lpstr>Hoja9</vt:lpstr>
      <vt:lpstr>Hoja8</vt:lpstr>
      <vt:lpstr>Hoja7</vt:lpstr>
      <vt:lpstr>Hoja6</vt:lpstr>
      <vt:lpstr>Hoja5</vt:lpstr>
      <vt:lpstr>Hoja4</vt:lpstr>
      <vt:lpstr>Hoja3</vt:lpstr>
      <vt:lpstr>Hoja2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Caamaño</dc:creator>
  <cp:lastModifiedBy>Gabriel Caamaño</cp:lastModifiedBy>
  <dcterms:created xsi:type="dcterms:W3CDTF">2019-02-18T19:32:25Z</dcterms:created>
  <dcterms:modified xsi:type="dcterms:W3CDTF">2026-06-30T18:09:03Z</dcterms:modified>
</cp:coreProperties>
</file>